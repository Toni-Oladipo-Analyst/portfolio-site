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cuments\"/>
    </mc:Choice>
  </mc:AlternateContent>
  <xr:revisionPtr revIDLastSave="0" documentId="13_ncr:1_{272C54FF-76EB-4F57-9056-19AF1251729A}" xr6:coauthVersionLast="47" xr6:coauthVersionMax="47" xr10:uidLastSave="{00000000-0000-0000-0000-000000000000}"/>
  <bookViews>
    <workbookView xWindow="-108" yWindow="-108" windowWidth="23256" windowHeight="12456" activeTab="2" xr2:uid="{00000000-000D-0000-FFFF-FFFF00000000}"/>
  </bookViews>
  <sheets>
    <sheet name="Order Detail" sheetId="6" r:id="rId1"/>
    <sheet name="Pivot_Table" sheetId="15" r:id="rId2"/>
    <sheet name="Assessment Brief" sheetId="13" r:id="rId3"/>
    <sheet name="Sales Order" sheetId="9" r:id="rId4"/>
    <sheet name="Category" sheetId="1" r:id="rId5"/>
    <sheet name="Customer" sheetId="2" r:id="rId6"/>
    <sheet name="Employee" sheetId="4" r:id="rId7"/>
    <sheet name="Employee Territory" sheetId="5" r:id="rId8"/>
    <sheet name="Product" sheetId="7" r:id="rId9"/>
    <sheet name="Region" sheetId="8" r:id="rId10"/>
    <sheet name="Shipper" sheetId="10" r:id="rId11"/>
    <sheet name="Supplier" sheetId="11" r:id="rId12"/>
    <sheet name="Territory" sheetId="12" r:id="rId13"/>
  </sheets>
  <definedNames>
    <definedName name="_xlnm._FilterDatabase" localSheetId="0" hidden="1">'Order Detail'!$I$1:$I$2156</definedName>
    <definedName name="_xlnm._FilterDatabase" localSheetId="3" hidden="1">'Sales Order'!$A$1:$O$829</definedName>
    <definedName name="_xlnm._FilterDatabase" localSheetId="11" hidden="1">Supplier!$C$1:$C$31</definedName>
  </definedNames>
  <calcPr calcId="191029"/>
  <pivotCaches>
    <pivotCache cacheId="308"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4" i="6" l="1"/>
  <c r="S1502" i="6"/>
  <c r="S1503" i="6"/>
  <c r="S1504" i="6"/>
  <c r="S1505" i="6"/>
  <c r="S1506" i="6"/>
  <c r="S1507" i="6"/>
  <c r="S1508" i="6"/>
  <c r="S1509" i="6"/>
  <c r="S1510" i="6"/>
  <c r="S1511" i="6"/>
  <c r="S1512" i="6"/>
  <c r="S1513" i="6"/>
  <c r="S1514" i="6"/>
  <c r="S1515" i="6"/>
  <c r="S1516" i="6"/>
  <c r="S1517" i="6"/>
  <c r="S1518" i="6"/>
  <c r="S1519" i="6"/>
  <c r="S1520" i="6"/>
  <c r="S1521" i="6"/>
  <c r="S1522" i="6"/>
  <c r="S1523" i="6"/>
  <c r="S1524" i="6"/>
  <c r="S1525" i="6"/>
  <c r="S1526" i="6"/>
  <c r="S1527" i="6"/>
  <c r="S1528" i="6"/>
  <c r="S1529" i="6"/>
  <c r="S1530" i="6"/>
  <c r="S1531" i="6"/>
  <c r="S1532" i="6"/>
  <c r="S1533" i="6"/>
  <c r="S1534" i="6"/>
  <c r="S1535" i="6"/>
  <c r="S1536" i="6"/>
  <c r="S1537" i="6"/>
  <c r="S1538" i="6"/>
  <c r="S1539" i="6"/>
  <c r="S1540" i="6"/>
  <c r="S1541" i="6"/>
  <c r="S1542" i="6"/>
  <c r="S1543" i="6"/>
  <c r="S1544" i="6"/>
  <c r="S1545" i="6"/>
  <c r="S1546" i="6"/>
  <c r="S1547" i="6"/>
  <c r="S1548" i="6"/>
  <c r="S1549" i="6"/>
  <c r="S1550" i="6"/>
  <c r="S1551" i="6"/>
  <c r="S1552" i="6"/>
  <c r="S1553" i="6"/>
  <c r="S1554" i="6"/>
  <c r="S1555" i="6"/>
  <c r="S1556" i="6"/>
  <c r="S1557" i="6"/>
  <c r="S1558" i="6"/>
  <c r="S1559" i="6"/>
  <c r="S1560" i="6"/>
  <c r="S1561" i="6"/>
  <c r="S1562" i="6"/>
  <c r="S1563" i="6"/>
  <c r="S1564" i="6"/>
  <c r="S1565" i="6"/>
  <c r="S1566" i="6"/>
  <c r="S1567" i="6"/>
  <c r="S1568" i="6"/>
  <c r="S1569" i="6"/>
  <c r="S1570" i="6"/>
  <c r="S1571" i="6"/>
  <c r="S1572" i="6"/>
  <c r="S1573" i="6"/>
  <c r="S1574" i="6"/>
  <c r="S1575" i="6"/>
  <c r="S1576" i="6"/>
  <c r="S1577" i="6"/>
  <c r="S1578" i="6"/>
  <c r="S1579" i="6"/>
  <c r="S1580" i="6"/>
  <c r="S1581" i="6"/>
  <c r="S1582" i="6"/>
  <c r="S1583" i="6"/>
  <c r="S1584" i="6"/>
  <c r="S1585" i="6"/>
  <c r="S1586" i="6"/>
  <c r="S1587" i="6"/>
  <c r="S1588" i="6"/>
  <c r="S1589" i="6"/>
  <c r="S1590" i="6"/>
  <c r="S1591" i="6"/>
  <c r="S1592" i="6"/>
  <c r="S1593" i="6"/>
  <c r="S1594" i="6"/>
  <c r="S1595" i="6"/>
  <c r="S1596" i="6"/>
  <c r="S1597" i="6"/>
  <c r="S1598" i="6"/>
  <c r="S1599" i="6"/>
  <c r="S1600" i="6"/>
  <c r="S1601" i="6"/>
  <c r="S1602" i="6"/>
  <c r="S1603" i="6"/>
  <c r="S1604" i="6"/>
  <c r="S1605" i="6"/>
  <c r="S1606" i="6"/>
  <c r="S1607" i="6"/>
  <c r="S1608" i="6"/>
  <c r="S1609" i="6"/>
  <c r="S1610" i="6"/>
  <c r="S1611" i="6"/>
  <c r="S1612" i="6"/>
  <c r="S1613" i="6"/>
  <c r="S1614" i="6"/>
  <c r="S1615" i="6"/>
  <c r="S1616" i="6"/>
  <c r="S1617" i="6"/>
  <c r="S1618" i="6"/>
  <c r="S1619" i="6"/>
  <c r="S1620" i="6"/>
  <c r="S1621" i="6"/>
  <c r="S1622" i="6"/>
  <c r="S1623" i="6"/>
  <c r="S1624" i="6"/>
  <c r="S1625" i="6"/>
  <c r="S1626" i="6"/>
  <c r="S1627" i="6"/>
  <c r="S1628" i="6"/>
  <c r="S1629" i="6"/>
  <c r="S1630" i="6"/>
  <c r="S1631" i="6"/>
  <c r="S1632" i="6"/>
  <c r="S1633" i="6"/>
  <c r="S1634" i="6"/>
  <c r="S1635" i="6"/>
  <c r="S1636" i="6"/>
  <c r="S1637" i="6"/>
  <c r="S1638" i="6"/>
  <c r="S1639" i="6"/>
  <c r="S1640" i="6"/>
  <c r="S1641" i="6"/>
  <c r="S1642" i="6"/>
  <c r="S1643" i="6"/>
  <c r="S1644" i="6"/>
  <c r="S1645" i="6"/>
  <c r="S1646" i="6"/>
  <c r="S1647" i="6"/>
  <c r="S1648" i="6"/>
  <c r="S1649" i="6"/>
  <c r="S1650" i="6"/>
  <c r="S1651" i="6"/>
  <c r="S1652" i="6"/>
  <c r="S1653" i="6"/>
  <c r="S1654" i="6"/>
  <c r="S1655" i="6"/>
  <c r="S1656" i="6"/>
  <c r="S1657" i="6"/>
  <c r="S1658" i="6"/>
  <c r="S1659" i="6"/>
  <c r="S1660" i="6"/>
  <c r="S1661" i="6"/>
  <c r="S1662" i="6"/>
  <c r="S1663" i="6"/>
  <c r="S1664" i="6"/>
  <c r="S1665" i="6"/>
  <c r="S1666" i="6"/>
  <c r="S1667" i="6"/>
  <c r="S1668" i="6"/>
  <c r="S1669" i="6"/>
  <c r="S1670" i="6"/>
  <c r="S1671" i="6"/>
  <c r="S1672" i="6"/>
  <c r="S1673" i="6"/>
  <c r="S1674" i="6"/>
  <c r="S1675" i="6"/>
  <c r="S1676" i="6"/>
  <c r="S1677" i="6"/>
  <c r="S1678" i="6"/>
  <c r="S1679" i="6"/>
  <c r="S1680" i="6"/>
  <c r="S1681" i="6"/>
  <c r="S1682" i="6"/>
  <c r="S1683" i="6"/>
  <c r="S1684" i="6"/>
  <c r="S1685" i="6"/>
  <c r="S1686" i="6"/>
  <c r="S1687" i="6"/>
  <c r="S1688" i="6"/>
  <c r="S1689" i="6"/>
  <c r="S1690" i="6"/>
  <c r="S1691" i="6"/>
  <c r="S1692" i="6"/>
  <c r="S1693" i="6"/>
  <c r="S1694" i="6"/>
  <c r="S1695" i="6"/>
  <c r="S1696" i="6"/>
  <c r="S1697" i="6"/>
  <c r="S1698" i="6"/>
  <c r="S1699" i="6"/>
  <c r="S1700" i="6"/>
  <c r="S1701" i="6"/>
  <c r="S1702" i="6"/>
  <c r="S1703" i="6"/>
  <c r="S1704" i="6"/>
  <c r="S1705" i="6"/>
  <c r="S1706" i="6"/>
  <c r="S1707" i="6"/>
  <c r="S1708" i="6"/>
  <c r="S1709" i="6"/>
  <c r="S1710" i="6"/>
  <c r="S1711" i="6"/>
  <c r="S1712" i="6"/>
  <c r="S1713" i="6"/>
  <c r="S1714" i="6"/>
  <c r="S1715" i="6"/>
  <c r="S1716" i="6"/>
  <c r="S1717" i="6"/>
  <c r="S1718" i="6"/>
  <c r="S1719" i="6"/>
  <c r="S1720" i="6"/>
  <c r="S1721" i="6"/>
  <c r="S1722" i="6"/>
  <c r="S1723" i="6"/>
  <c r="S1724" i="6"/>
  <c r="S1725" i="6"/>
  <c r="S1726" i="6"/>
  <c r="S1727" i="6"/>
  <c r="S1728" i="6"/>
  <c r="S1729" i="6"/>
  <c r="S1730" i="6"/>
  <c r="S1731" i="6"/>
  <c r="S1732" i="6"/>
  <c r="S1733" i="6"/>
  <c r="S1734" i="6"/>
  <c r="S1735" i="6"/>
  <c r="S1736" i="6"/>
  <c r="S1737" i="6"/>
  <c r="S1738" i="6"/>
  <c r="S1739" i="6"/>
  <c r="S1740" i="6"/>
  <c r="S1741" i="6"/>
  <c r="S1742" i="6"/>
  <c r="S1743" i="6"/>
  <c r="S1744" i="6"/>
  <c r="S1745" i="6"/>
  <c r="S1746" i="6"/>
  <c r="S1747" i="6"/>
  <c r="S1748" i="6"/>
  <c r="S1749" i="6"/>
  <c r="S1750" i="6"/>
  <c r="S1751" i="6"/>
  <c r="S1752" i="6"/>
  <c r="S1753" i="6"/>
  <c r="S1754" i="6"/>
  <c r="S1755" i="6"/>
  <c r="S1756" i="6"/>
  <c r="S1757" i="6"/>
  <c r="S1758" i="6"/>
  <c r="S1759" i="6"/>
  <c r="S1760" i="6"/>
  <c r="S1761" i="6"/>
  <c r="S1762" i="6"/>
  <c r="S1763" i="6"/>
  <c r="S1764" i="6"/>
  <c r="S1765" i="6"/>
  <c r="S1766" i="6"/>
  <c r="S1767" i="6"/>
  <c r="S1768" i="6"/>
  <c r="S1769" i="6"/>
  <c r="S1770" i="6"/>
  <c r="S1771" i="6"/>
  <c r="S1772" i="6"/>
  <c r="S1773" i="6"/>
  <c r="S1774" i="6"/>
  <c r="S1775" i="6"/>
  <c r="S1776" i="6"/>
  <c r="S1777" i="6"/>
  <c r="S1778" i="6"/>
  <c r="S1779" i="6"/>
  <c r="S1780" i="6"/>
  <c r="S1781" i="6"/>
  <c r="S1782" i="6"/>
  <c r="S1783" i="6"/>
  <c r="S1784" i="6"/>
  <c r="S1785" i="6"/>
  <c r="S1786" i="6"/>
  <c r="S1787" i="6"/>
  <c r="S1788" i="6"/>
  <c r="S1789" i="6"/>
  <c r="S1790" i="6"/>
  <c r="S1791" i="6"/>
  <c r="S1792" i="6"/>
  <c r="S1793" i="6"/>
  <c r="S1794" i="6"/>
  <c r="S1795" i="6"/>
  <c r="S1796" i="6"/>
  <c r="S1797" i="6"/>
  <c r="S1798" i="6"/>
  <c r="S1799" i="6"/>
  <c r="S1800" i="6"/>
  <c r="S1801" i="6"/>
  <c r="S1802" i="6"/>
  <c r="S1803" i="6"/>
  <c r="S1804" i="6"/>
  <c r="S1805" i="6"/>
  <c r="S1806" i="6"/>
  <c r="S1807" i="6"/>
  <c r="S1808" i="6"/>
  <c r="S1809" i="6"/>
  <c r="S1810" i="6"/>
  <c r="S1811" i="6"/>
  <c r="S1812" i="6"/>
  <c r="S1813" i="6"/>
  <c r="S1814" i="6"/>
  <c r="S1815" i="6"/>
  <c r="S1816" i="6"/>
  <c r="S1817" i="6"/>
  <c r="S1818" i="6"/>
  <c r="S1819" i="6"/>
  <c r="S1820" i="6"/>
  <c r="S1821" i="6"/>
  <c r="S1822" i="6"/>
  <c r="S1823" i="6"/>
  <c r="S1824" i="6"/>
  <c r="S1825" i="6"/>
  <c r="S1826" i="6"/>
  <c r="S1827" i="6"/>
  <c r="S1828" i="6"/>
  <c r="S1829" i="6"/>
  <c r="S1830" i="6"/>
  <c r="S1831" i="6"/>
  <c r="S1832" i="6"/>
  <c r="S1833" i="6"/>
  <c r="S1834" i="6"/>
  <c r="S1835" i="6"/>
  <c r="S1836" i="6"/>
  <c r="S1837" i="6"/>
  <c r="S1838" i="6"/>
  <c r="S1839" i="6"/>
  <c r="S1840" i="6"/>
  <c r="S1841" i="6"/>
  <c r="S1842" i="6"/>
  <c r="S1843" i="6"/>
  <c r="S1844" i="6"/>
  <c r="S1845" i="6"/>
  <c r="S1846" i="6"/>
  <c r="S1847" i="6"/>
  <c r="S1848" i="6"/>
  <c r="S1849" i="6"/>
  <c r="S1850" i="6"/>
  <c r="S1851" i="6"/>
  <c r="S1852" i="6"/>
  <c r="S1853" i="6"/>
  <c r="S1854" i="6"/>
  <c r="S1855" i="6"/>
  <c r="S1856" i="6"/>
  <c r="S1857" i="6"/>
  <c r="S1858" i="6"/>
  <c r="S1859" i="6"/>
  <c r="S1860" i="6"/>
  <c r="S1861" i="6"/>
  <c r="S1862" i="6"/>
  <c r="S1863" i="6"/>
  <c r="S1864" i="6"/>
  <c r="S1865" i="6"/>
  <c r="S1866" i="6"/>
  <c r="S1867" i="6"/>
  <c r="S1868" i="6"/>
  <c r="S1869" i="6"/>
  <c r="S1870" i="6"/>
  <c r="S1871" i="6"/>
  <c r="S1872" i="6"/>
  <c r="S1873" i="6"/>
  <c r="S1874" i="6"/>
  <c r="S1875" i="6"/>
  <c r="S1876" i="6"/>
  <c r="S1877" i="6"/>
  <c r="S1878" i="6"/>
  <c r="S1879" i="6"/>
  <c r="S1880" i="6"/>
  <c r="S1881" i="6"/>
  <c r="S1882" i="6"/>
  <c r="S1883" i="6"/>
  <c r="S1884" i="6"/>
  <c r="S1885" i="6"/>
  <c r="S1886" i="6"/>
  <c r="S1887" i="6"/>
  <c r="S1888" i="6"/>
  <c r="S1889" i="6"/>
  <c r="S1890" i="6"/>
  <c r="S1891" i="6"/>
  <c r="S1892" i="6"/>
  <c r="S1893" i="6"/>
  <c r="S1894" i="6"/>
  <c r="S1895" i="6"/>
  <c r="S1896" i="6"/>
  <c r="S1897" i="6"/>
  <c r="S1898" i="6"/>
  <c r="S1899" i="6"/>
  <c r="S1900" i="6"/>
  <c r="S1901" i="6"/>
  <c r="S1902" i="6"/>
  <c r="S1903" i="6"/>
  <c r="S1904" i="6"/>
  <c r="S1905" i="6"/>
  <c r="S1906" i="6"/>
  <c r="S1907" i="6"/>
  <c r="S1908" i="6"/>
  <c r="S1909" i="6"/>
  <c r="S1910" i="6"/>
  <c r="S1911" i="6"/>
  <c r="S1912" i="6"/>
  <c r="S1913" i="6"/>
  <c r="S1914" i="6"/>
  <c r="S1915" i="6"/>
  <c r="S1916" i="6"/>
  <c r="S1917" i="6"/>
  <c r="S1918" i="6"/>
  <c r="S1919" i="6"/>
  <c r="S1920" i="6"/>
  <c r="S1921" i="6"/>
  <c r="S1922" i="6"/>
  <c r="S1923" i="6"/>
  <c r="S1924" i="6"/>
  <c r="S1925" i="6"/>
  <c r="S1926" i="6"/>
  <c r="S1927" i="6"/>
  <c r="S1928" i="6"/>
  <c r="S1929" i="6"/>
  <c r="S1930" i="6"/>
  <c r="S1931" i="6"/>
  <c r="S1932" i="6"/>
  <c r="S1933" i="6"/>
  <c r="S1934" i="6"/>
  <c r="S1935" i="6"/>
  <c r="S1936" i="6"/>
  <c r="S1937" i="6"/>
  <c r="S1938" i="6"/>
  <c r="S1939" i="6"/>
  <c r="S1940" i="6"/>
  <c r="S1941" i="6"/>
  <c r="S1942" i="6"/>
  <c r="S1943" i="6"/>
  <c r="S1944" i="6"/>
  <c r="S1945" i="6"/>
  <c r="S1946" i="6"/>
  <c r="S1947" i="6"/>
  <c r="S1948" i="6"/>
  <c r="S1949" i="6"/>
  <c r="S1950" i="6"/>
  <c r="S1951" i="6"/>
  <c r="S1952" i="6"/>
  <c r="S1953" i="6"/>
  <c r="S1954" i="6"/>
  <c r="S1955" i="6"/>
  <c r="S1956" i="6"/>
  <c r="S1957" i="6"/>
  <c r="S1958" i="6"/>
  <c r="S1959" i="6"/>
  <c r="S1960" i="6"/>
  <c r="S1961" i="6"/>
  <c r="S1962" i="6"/>
  <c r="S1963" i="6"/>
  <c r="S1964" i="6"/>
  <c r="S1965" i="6"/>
  <c r="S1966" i="6"/>
  <c r="S1967" i="6"/>
  <c r="S1968" i="6"/>
  <c r="S1969" i="6"/>
  <c r="S1970" i="6"/>
  <c r="S1971" i="6"/>
  <c r="S1972" i="6"/>
  <c r="S1973" i="6"/>
  <c r="S1974" i="6"/>
  <c r="S1975" i="6"/>
  <c r="S1976" i="6"/>
  <c r="S1977" i="6"/>
  <c r="S1978" i="6"/>
  <c r="S1979" i="6"/>
  <c r="S1980" i="6"/>
  <c r="S1981" i="6"/>
  <c r="S1982" i="6"/>
  <c r="S1983" i="6"/>
  <c r="S1984" i="6"/>
  <c r="S1985" i="6"/>
  <c r="S1986" i="6"/>
  <c r="S1987" i="6"/>
  <c r="S1988" i="6"/>
  <c r="S1989" i="6"/>
  <c r="S1990" i="6"/>
  <c r="S1991" i="6"/>
  <c r="S1992" i="6"/>
  <c r="S1993" i="6"/>
  <c r="S1994" i="6"/>
  <c r="S1995" i="6"/>
  <c r="S1996" i="6"/>
  <c r="S1997" i="6"/>
  <c r="S1998" i="6"/>
  <c r="S1999" i="6"/>
  <c r="S2000" i="6"/>
  <c r="S2001" i="6"/>
  <c r="S2002" i="6"/>
  <c r="S2003" i="6"/>
  <c r="S2004" i="6"/>
  <c r="S2005" i="6"/>
  <c r="S2006" i="6"/>
  <c r="S2007" i="6"/>
  <c r="S2008" i="6"/>
  <c r="S2009" i="6"/>
  <c r="S2010" i="6"/>
  <c r="S2011" i="6"/>
  <c r="S2012" i="6"/>
  <c r="S2013" i="6"/>
  <c r="S2014" i="6"/>
  <c r="S2015" i="6"/>
  <c r="S2016" i="6"/>
  <c r="S2017" i="6"/>
  <c r="S2018" i="6"/>
  <c r="S2019" i="6"/>
  <c r="S2020" i="6"/>
  <c r="S2021" i="6"/>
  <c r="S2022" i="6"/>
  <c r="S2023" i="6"/>
  <c r="S2024" i="6"/>
  <c r="S2025" i="6"/>
  <c r="S2026" i="6"/>
  <c r="S2027" i="6"/>
  <c r="S2028" i="6"/>
  <c r="S2029" i="6"/>
  <c r="S2030" i="6"/>
  <c r="S2031" i="6"/>
  <c r="S2032" i="6"/>
  <c r="S2033" i="6"/>
  <c r="S2034" i="6"/>
  <c r="S2035" i="6"/>
  <c r="S2036" i="6"/>
  <c r="S2037" i="6"/>
  <c r="S2038" i="6"/>
  <c r="S2039" i="6"/>
  <c r="S2040" i="6"/>
  <c r="S2041" i="6"/>
  <c r="S2042" i="6"/>
  <c r="S2043" i="6"/>
  <c r="S2044" i="6"/>
  <c r="S2045" i="6"/>
  <c r="S2046" i="6"/>
  <c r="S2047" i="6"/>
  <c r="S2048" i="6"/>
  <c r="S2049" i="6"/>
  <c r="S2050" i="6"/>
  <c r="S2051" i="6"/>
  <c r="S2052" i="6"/>
  <c r="S2053" i="6"/>
  <c r="S2054" i="6"/>
  <c r="S2055" i="6"/>
  <c r="S2056" i="6"/>
  <c r="S2057" i="6"/>
  <c r="S2058" i="6"/>
  <c r="S2059" i="6"/>
  <c r="S2060" i="6"/>
  <c r="S2061" i="6"/>
  <c r="S2062" i="6"/>
  <c r="S2063" i="6"/>
  <c r="S2064" i="6"/>
  <c r="S2065" i="6"/>
  <c r="S2066" i="6"/>
  <c r="S2067" i="6"/>
  <c r="S2068" i="6"/>
  <c r="S2069" i="6"/>
  <c r="S2070" i="6"/>
  <c r="S2071" i="6"/>
  <c r="S2072" i="6"/>
  <c r="S2073" i="6"/>
  <c r="S2074" i="6"/>
  <c r="S2075" i="6"/>
  <c r="S2076" i="6"/>
  <c r="S2077" i="6"/>
  <c r="S2078" i="6"/>
  <c r="S2079" i="6"/>
  <c r="S2080" i="6"/>
  <c r="S2081" i="6"/>
  <c r="S2082" i="6"/>
  <c r="S2083" i="6"/>
  <c r="S2084" i="6"/>
  <c r="S2085" i="6"/>
  <c r="S2086" i="6"/>
  <c r="S2087" i="6"/>
  <c r="S2088" i="6"/>
  <c r="S2089" i="6"/>
  <c r="S2090" i="6"/>
  <c r="S2091" i="6"/>
  <c r="S2092" i="6"/>
  <c r="S2093" i="6"/>
  <c r="S2094" i="6"/>
  <c r="S2095" i="6"/>
  <c r="S2096" i="6"/>
  <c r="S2097" i="6"/>
  <c r="S2098" i="6"/>
  <c r="S2099" i="6"/>
  <c r="S2100" i="6"/>
  <c r="S2101" i="6"/>
  <c r="S2102" i="6"/>
  <c r="S2103" i="6"/>
  <c r="S2104" i="6"/>
  <c r="S2105" i="6"/>
  <c r="S2106" i="6"/>
  <c r="S2107" i="6"/>
  <c r="S2108" i="6"/>
  <c r="S2109" i="6"/>
  <c r="S2110" i="6"/>
  <c r="S2111" i="6"/>
  <c r="S2112" i="6"/>
  <c r="S2113" i="6"/>
  <c r="S2114" i="6"/>
  <c r="S2115" i="6"/>
  <c r="S2116" i="6"/>
  <c r="S2117" i="6"/>
  <c r="S2118" i="6"/>
  <c r="S2119" i="6"/>
  <c r="S2120" i="6"/>
  <c r="S2121" i="6"/>
  <c r="S2122" i="6"/>
  <c r="S2123" i="6"/>
  <c r="S2124" i="6"/>
  <c r="S2125" i="6"/>
  <c r="S2126" i="6"/>
  <c r="S2127" i="6"/>
  <c r="S2128" i="6"/>
  <c r="S2129" i="6"/>
  <c r="S2130" i="6"/>
  <c r="S2131" i="6"/>
  <c r="S2132" i="6"/>
  <c r="S2133" i="6"/>
  <c r="S2134" i="6"/>
  <c r="S2135" i="6"/>
  <c r="S2136" i="6"/>
  <c r="S2137" i="6"/>
  <c r="S2138" i="6"/>
  <c r="S2139" i="6"/>
  <c r="S2140" i="6"/>
  <c r="S2141" i="6"/>
  <c r="S2142" i="6"/>
  <c r="S2143" i="6"/>
  <c r="S2144" i="6"/>
  <c r="S2145" i="6"/>
  <c r="S2146" i="6"/>
  <c r="S2147" i="6"/>
  <c r="S2148" i="6"/>
  <c r="S2149" i="6"/>
  <c r="S2150" i="6"/>
  <c r="S2151" i="6"/>
  <c r="S2152" i="6"/>
  <c r="S2153" i="6"/>
  <c r="S2154" i="6"/>
  <c r="S2155" i="6"/>
  <c r="S2156"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S1002" i="6"/>
  <c r="S1003" i="6"/>
  <c r="S1004" i="6"/>
  <c r="S1005" i="6"/>
  <c r="S1006" i="6"/>
  <c r="S1007" i="6"/>
  <c r="S1008" i="6"/>
  <c r="S1009" i="6"/>
  <c r="S1010" i="6"/>
  <c r="S1011" i="6"/>
  <c r="S1012" i="6"/>
  <c r="S1013" i="6"/>
  <c r="S1014" i="6"/>
  <c r="S1015" i="6"/>
  <c r="S1016" i="6"/>
  <c r="S1017" i="6"/>
  <c r="S1018" i="6"/>
  <c r="S1019" i="6"/>
  <c r="S1020" i="6"/>
  <c r="S1021" i="6"/>
  <c r="S1022" i="6"/>
  <c r="S1023" i="6"/>
  <c r="S1024" i="6"/>
  <c r="S1025" i="6"/>
  <c r="S1026" i="6"/>
  <c r="S1027" i="6"/>
  <c r="S1028" i="6"/>
  <c r="S1029" i="6"/>
  <c r="S1030" i="6"/>
  <c r="S1031" i="6"/>
  <c r="S1032" i="6"/>
  <c r="S1033" i="6"/>
  <c r="S1034" i="6"/>
  <c r="S1035" i="6"/>
  <c r="S1036" i="6"/>
  <c r="S1037" i="6"/>
  <c r="S1038" i="6"/>
  <c r="S1039" i="6"/>
  <c r="S1040" i="6"/>
  <c r="S1041" i="6"/>
  <c r="S1042" i="6"/>
  <c r="S1043" i="6"/>
  <c r="S1044" i="6"/>
  <c r="S1045" i="6"/>
  <c r="S1046" i="6"/>
  <c r="S1047" i="6"/>
  <c r="S1048" i="6"/>
  <c r="S1049" i="6"/>
  <c r="S1050" i="6"/>
  <c r="S1051" i="6"/>
  <c r="S1052" i="6"/>
  <c r="S1053" i="6"/>
  <c r="S1054" i="6"/>
  <c r="S1055" i="6"/>
  <c r="S1056" i="6"/>
  <c r="S1057" i="6"/>
  <c r="S1058" i="6"/>
  <c r="S1059" i="6"/>
  <c r="S1060" i="6"/>
  <c r="S1061" i="6"/>
  <c r="S1062" i="6"/>
  <c r="S1063" i="6"/>
  <c r="S1064" i="6"/>
  <c r="S1065" i="6"/>
  <c r="S1066" i="6"/>
  <c r="S1067" i="6"/>
  <c r="S1068" i="6"/>
  <c r="S1069" i="6"/>
  <c r="S1070" i="6"/>
  <c r="S1071" i="6"/>
  <c r="S1072" i="6"/>
  <c r="S1073" i="6"/>
  <c r="S1074" i="6"/>
  <c r="S1075" i="6"/>
  <c r="S1076" i="6"/>
  <c r="S1077" i="6"/>
  <c r="S1078" i="6"/>
  <c r="S1079" i="6"/>
  <c r="S1080" i="6"/>
  <c r="S1081" i="6"/>
  <c r="S1082" i="6"/>
  <c r="S1083" i="6"/>
  <c r="S1084" i="6"/>
  <c r="S1085" i="6"/>
  <c r="S1086" i="6"/>
  <c r="S1087" i="6"/>
  <c r="S1088" i="6"/>
  <c r="S1089" i="6"/>
  <c r="S1090" i="6"/>
  <c r="S1091" i="6"/>
  <c r="S1092" i="6"/>
  <c r="S1093" i="6"/>
  <c r="S1094" i="6"/>
  <c r="S1095" i="6"/>
  <c r="S1096" i="6"/>
  <c r="S1097" i="6"/>
  <c r="S1098" i="6"/>
  <c r="S1099" i="6"/>
  <c r="S1100" i="6"/>
  <c r="S1101" i="6"/>
  <c r="S1102" i="6"/>
  <c r="S1103" i="6"/>
  <c r="S1104" i="6"/>
  <c r="S1105" i="6"/>
  <c r="S1106" i="6"/>
  <c r="S1107" i="6"/>
  <c r="S1108" i="6"/>
  <c r="S1109" i="6"/>
  <c r="S1110" i="6"/>
  <c r="S1111" i="6"/>
  <c r="S1112" i="6"/>
  <c r="S1113" i="6"/>
  <c r="S1114" i="6"/>
  <c r="S1115" i="6"/>
  <c r="S1116" i="6"/>
  <c r="S1117" i="6"/>
  <c r="S1118" i="6"/>
  <c r="S1119" i="6"/>
  <c r="S1120" i="6"/>
  <c r="S1121" i="6"/>
  <c r="S1122" i="6"/>
  <c r="S1123" i="6"/>
  <c r="S1124" i="6"/>
  <c r="S1125" i="6"/>
  <c r="S1126" i="6"/>
  <c r="S1127" i="6"/>
  <c r="S1128" i="6"/>
  <c r="S1129" i="6"/>
  <c r="S1130" i="6"/>
  <c r="S1131" i="6"/>
  <c r="S1132" i="6"/>
  <c r="S1133" i="6"/>
  <c r="S1134" i="6"/>
  <c r="S1135" i="6"/>
  <c r="S1136" i="6"/>
  <c r="S1137" i="6"/>
  <c r="S1138" i="6"/>
  <c r="S1139" i="6"/>
  <c r="S1140" i="6"/>
  <c r="S1141" i="6"/>
  <c r="S1142" i="6"/>
  <c r="S1143" i="6"/>
  <c r="S1144" i="6"/>
  <c r="S1145" i="6"/>
  <c r="S1146" i="6"/>
  <c r="S1147" i="6"/>
  <c r="S1148" i="6"/>
  <c r="S1149" i="6"/>
  <c r="S1150" i="6"/>
  <c r="S1151" i="6"/>
  <c r="S1152" i="6"/>
  <c r="S1153" i="6"/>
  <c r="S1154" i="6"/>
  <c r="S1155" i="6"/>
  <c r="S1156" i="6"/>
  <c r="S1157" i="6"/>
  <c r="S1158" i="6"/>
  <c r="S1159" i="6"/>
  <c r="S1160" i="6"/>
  <c r="S1161" i="6"/>
  <c r="S1162" i="6"/>
  <c r="S1163" i="6"/>
  <c r="S1164" i="6"/>
  <c r="S1165" i="6"/>
  <c r="S1166" i="6"/>
  <c r="S1167" i="6"/>
  <c r="S1168" i="6"/>
  <c r="S1169" i="6"/>
  <c r="S1170" i="6"/>
  <c r="S1171" i="6"/>
  <c r="S1172" i="6"/>
  <c r="S1173" i="6"/>
  <c r="S1174" i="6"/>
  <c r="S1175" i="6"/>
  <c r="S1176" i="6"/>
  <c r="S1177" i="6"/>
  <c r="S1178" i="6"/>
  <c r="S1179" i="6"/>
  <c r="S1180" i="6"/>
  <c r="S1181" i="6"/>
  <c r="S1182" i="6"/>
  <c r="S1183" i="6"/>
  <c r="S1184" i="6"/>
  <c r="S1185" i="6"/>
  <c r="S1186" i="6"/>
  <c r="S1187" i="6"/>
  <c r="S1188" i="6"/>
  <c r="S1189" i="6"/>
  <c r="S1190" i="6"/>
  <c r="S1191" i="6"/>
  <c r="S1192" i="6"/>
  <c r="S1193" i="6"/>
  <c r="S1194" i="6"/>
  <c r="S1195" i="6"/>
  <c r="S1196" i="6"/>
  <c r="S1197" i="6"/>
  <c r="S1198" i="6"/>
  <c r="S1199" i="6"/>
  <c r="S1200" i="6"/>
  <c r="S1201" i="6"/>
  <c r="S1202" i="6"/>
  <c r="S1203" i="6"/>
  <c r="S1204" i="6"/>
  <c r="S1205" i="6"/>
  <c r="S1206" i="6"/>
  <c r="S1207" i="6"/>
  <c r="S1208" i="6"/>
  <c r="S1209" i="6"/>
  <c r="S1210" i="6"/>
  <c r="S1211" i="6"/>
  <c r="S1212" i="6"/>
  <c r="S1213" i="6"/>
  <c r="S1214" i="6"/>
  <c r="S1215" i="6"/>
  <c r="S1216" i="6"/>
  <c r="S1217" i="6"/>
  <c r="S1218" i="6"/>
  <c r="S1219" i="6"/>
  <c r="S1220" i="6"/>
  <c r="S1221" i="6"/>
  <c r="S1222" i="6"/>
  <c r="S1223" i="6"/>
  <c r="S1224" i="6"/>
  <c r="S1225" i="6"/>
  <c r="S1226" i="6"/>
  <c r="S1227" i="6"/>
  <c r="S1228" i="6"/>
  <c r="S1229" i="6"/>
  <c r="S1230" i="6"/>
  <c r="S1231" i="6"/>
  <c r="S1232" i="6"/>
  <c r="S1233" i="6"/>
  <c r="S1234" i="6"/>
  <c r="S1235" i="6"/>
  <c r="S1236" i="6"/>
  <c r="S1237" i="6"/>
  <c r="S1238" i="6"/>
  <c r="S1239" i="6"/>
  <c r="S1240" i="6"/>
  <c r="S1241" i="6"/>
  <c r="S1242" i="6"/>
  <c r="S1243" i="6"/>
  <c r="S1244" i="6"/>
  <c r="S1245" i="6"/>
  <c r="S1246" i="6"/>
  <c r="S1247" i="6"/>
  <c r="S1248" i="6"/>
  <c r="S1249" i="6"/>
  <c r="S1250" i="6"/>
  <c r="S1251" i="6"/>
  <c r="S1252" i="6"/>
  <c r="S1253" i="6"/>
  <c r="S1254" i="6"/>
  <c r="S1255" i="6"/>
  <c r="S1256" i="6"/>
  <c r="S1257" i="6"/>
  <c r="S1258" i="6"/>
  <c r="S1259" i="6"/>
  <c r="S1260" i="6"/>
  <c r="S1261" i="6"/>
  <c r="S1262" i="6"/>
  <c r="S1263" i="6"/>
  <c r="S1264" i="6"/>
  <c r="S1265" i="6"/>
  <c r="S1266" i="6"/>
  <c r="S1267" i="6"/>
  <c r="S1268" i="6"/>
  <c r="S1269" i="6"/>
  <c r="S1270" i="6"/>
  <c r="S1271" i="6"/>
  <c r="S1272" i="6"/>
  <c r="S1273" i="6"/>
  <c r="S1274" i="6"/>
  <c r="S1275" i="6"/>
  <c r="S1276" i="6"/>
  <c r="S1277" i="6"/>
  <c r="S1278" i="6"/>
  <c r="S1279" i="6"/>
  <c r="S1280" i="6"/>
  <c r="S1281" i="6"/>
  <c r="S1282" i="6"/>
  <c r="S1283" i="6"/>
  <c r="S1284" i="6"/>
  <c r="S1285" i="6"/>
  <c r="S1286" i="6"/>
  <c r="S1287" i="6"/>
  <c r="S1288" i="6"/>
  <c r="S1289" i="6"/>
  <c r="S1290" i="6"/>
  <c r="S1291" i="6"/>
  <c r="S1292" i="6"/>
  <c r="S1293" i="6"/>
  <c r="S1294" i="6"/>
  <c r="S1295" i="6"/>
  <c r="S1296" i="6"/>
  <c r="S1297" i="6"/>
  <c r="S1298" i="6"/>
  <c r="S1299" i="6"/>
  <c r="S1300" i="6"/>
  <c r="S1301" i="6"/>
  <c r="S1302" i="6"/>
  <c r="S1303" i="6"/>
  <c r="S1304" i="6"/>
  <c r="S1305" i="6"/>
  <c r="S1306" i="6"/>
  <c r="S1307" i="6"/>
  <c r="S1308" i="6"/>
  <c r="S1309" i="6"/>
  <c r="S1310" i="6"/>
  <c r="S1311" i="6"/>
  <c r="S1312" i="6"/>
  <c r="S1313" i="6"/>
  <c r="S1314" i="6"/>
  <c r="S1315" i="6"/>
  <c r="S1316" i="6"/>
  <c r="S1317" i="6"/>
  <c r="S1318" i="6"/>
  <c r="S1319" i="6"/>
  <c r="S1320" i="6"/>
  <c r="S1321" i="6"/>
  <c r="S1322" i="6"/>
  <c r="S1323" i="6"/>
  <c r="S1324" i="6"/>
  <c r="S1325" i="6"/>
  <c r="S1326" i="6"/>
  <c r="S1327" i="6"/>
  <c r="S1328" i="6"/>
  <c r="S1329" i="6"/>
  <c r="S1330" i="6"/>
  <c r="S1331" i="6"/>
  <c r="S1332" i="6"/>
  <c r="S1333" i="6"/>
  <c r="S1334" i="6"/>
  <c r="S1335" i="6"/>
  <c r="S1336" i="6"/>
  <c r="S1337" i="6"/>
  <c r="S1338" i="6"/>
  <c r="S1339" i="6"/>
  <c r="S1340" i="6"/>
  <c r="S1341" i="6"/>
  <c r="S1342" i="6"/>
  <c r="S1343" i="6"/>
  <c r="S1344" i="6"/>
  <c r="S1345" i="6"/>
  <c r="S1346" i="6"/>
  <c r="S1347" i="6"/>
  <c r="S1348" i="6"/>
  <c r="S1349" i="6"/>
  <c r="S1350" i="6"/>
  <c r="S1351" i="6"/>
  <c r="S1352" i="6"/>
  <c r="S1353" i="6"/>
  <c r="S1354" i="6"/>
  <c r="S1355" i="6"/>
  <c r="S1356" i="6"/>
  <c r="S1357" i="6"/>
  <c r="S1358" i="6"/>
  <c r="S1359" i="6"/>
  <c r="S1360" i="6"/>
  <c r="S1361" i="6"/>
  <c r="S1362" i="6"/>
  <c r="S1363" i="6"/>
  <c r="S1364" i="6"/>
  <c r="S1365" i="6"/>
  <c r="S1366" i="6"/>
  <c r="S1367" i="6"/>
  <c r="S1368" i="6"/>
  <c r="S1369" i="6"/>
  <c r="S1370" i="6"/>
  <c r="S1371" i="6"/>
  <c r="S1372" i="6"/>
  <c r="S1373" i="6"/>
  <c r="S1374" i="6"/>
  <c r="S1375" i="6"/>
  <c r="S1376" i="6"/>
  <c r="S1377" i="6"/>
  <c r="S1378" i="6"/>
  <c r="S1379" i="6"/>
  <c r="S1380" i="6"/>
  <c r="S1381" i="6"/>
  <c r="S1382" i="6"/>
  <c r="S1383" i="6"/>
  <c r="S1384" i="6"/>
  <c r="S1385" i="6"/>
  <c r="S1386" i="6"/>
  <c r="S1387" i="6"/>
  <c r="S1388" i="6"/>
  <c r="S1389" i="6"/>
  <c r="S1390" i="6"/>
  <c r="S1391" i="6"/>
  <c r="S1392" i="6"/>
  <c r="S1393" i="6"/>
  <c r="S1394" i="6"/>
  <c r="S1395" i="6"/>
  <c r="S1396" i="6"/>
  <c r="S1397" i="6"/>
  <c r="S1398" i="6"/>
  <c r="S1399" i="6"/>
  <c r="S1400" i="6"/>
  <c r="S1401" i="6"/>
  <c r="S1402" i="6"/>
  <c r="S1403" i="6"/>
  <c r="S1404" i="6"/>
  <c r="S1405" i="6"/>
  <c r="S1406" i="6"/>
  <c r="S1407" i="6"/>
  <c r="S1408" i="6"/>
  <c r="S1409" i="6"/>
  <c r="S1410" i="6"/>
  <c r="S1411" i="6"/>
  <c r="S1412" i="6"/>
  <c r="S1413" i="6"/>
  <c r="S1414" i="6"/>
  <c r="S1415" i="6"/>
  <c r="S1416" i="6"/>
  <c r="S1417" i="6"/>
  <c r="S1418" i="6"/>
  <c r="S1419" i="6"/>
  <c r="S1420" i="6"/>
  <c r="S1421" i="6"/>
  <c r="S1422" i="6"/>
  <c r="S1423" i="6"/>
  <c r="S1424" i="6"/>
  <c r="S1425" i="6"/>
  <c r="S1426" i="6"/>
  <c r="S1427" i="6"/>
  <c r="S1428" i="6"/>
  <c r="S1429" i="6"/>
  <c r="S1430" i="6"/>
  <c r="S1431" i="6"/>
  <c r="S1432" i="6"/>
  <c r="S1433" i="6"/>
  <c r="S1434" i="6"/>
  <c r="S1435" i="6"/>
  <c r="S1436" i="6"/>
  <c r="S1437" i="6"/>
  <c r="S1438" i="6"/>
  <c r="S1439" i="6"/>
  <c r="S1440" i="6"/>
  <c r="S1441" i="6"/>
  <c r="S1442" i="6"/>
  <c r="S1443" i="6"/>
  <c r="S1444" i="6"/>
  <c r="S1445" i="6"/>
  <c r="S1446" i="6"/>
  <c r="S1447" i="6"/>
  <c r="S1448" i="6"/>
  <c r="S1449" i="6"/>
  <c r="S1450" i="6"/>
  <c r="S1451" i="6"/>
  <c r="S1452" i="6"/>
  <c r="S1453" i="6"/>
  <c r="S1454" i="6"/>
  <c r="S1455" i="6"/>
  <c r="S1456" i="6"/>
  <c r="S1457" i="6"/>
  <c r="S1458" i="6"/>
  <c r="S1459" i="6"/>
  <c r="S1460" i="6"/>
  <c r="S1461" i="6"/>
  <c r="S1462" i="6"/>
  <c r="S1463" i="6"/>
  <c r="S1464" i="6"/>
  <c r="S1465" i="6"/>
  <c r="S1466" i="6"/>
  <c r="S1467" i="6"/>
  <c r="S1468" i="6"/>
  <c r="S1469" i="6"/>
  <c r="S1470" i="6"/>
  <c r="S1471" i="6"/>
  <c r="S1472" i="6"/>
  <c r="S1473" i="6"/>
  <c r="S1474" i="6"/>
  <c r="S1475" i="6"/>
  <c r="S1476" i="6"/>
  <c r="S1477" i="6"/>
  <c r="S1478" i="6"/>
  <c r="S1479" i="6"/>
  <c r="S1480" i="6"/>
  <c r="S1481" i="6"/>
  <c r="S1482" i="6"/>
  <c r="S1483" i="6"/>
  <c r="S1484" i="6"/>
  <c r="S1485" i="6"/>
  <c r="S1486" i="6"/>
  <c r="S1487" i="6"/>
  <c r="S1488" i="6"/>
  <c r="S1489" i="6"/>
  <c r="S1490" i="6"/>
  <c r="S1491" i="6"/>
  <c r="S1492" i="6"/>
  <c r="S1493" i="6"/>
  <c r="S1494" i="6"/>
  <c r="S1495" i="6"/>
  <c r="S1496" i="6"/>
  <c r="S1497" i="6"/>
  <c r="S1498" i="6"/>
  <c r="S1499" i="6"/>
  <c r="S1500" i="6"/>
  <c r="S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 i="6"/>
  <c r="N3"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F1502" i="6"/>
  <c r="F1503" i="6"/>
  <c r="F1504" i="6"/>
  <c r="F1505" i="6"/>
  <c r="F1506" i="6"/>
  <c r="F1507" i="6"/>
  <c r="F1508" i="6"/>
  <c r="F1509" i="6"/>
  <c r="G1509" i="6" s="1"/>
  <c r="F1510" i="6"/>
  <c r="F1511" i="6"/>
  <c r="F1512" i="6"/>
  <c r="F1513" i="6"/>
  <c r="F1514" i="6"/>
  <c r="F1515" i="6"/>
  <c r="G1515" i="6" s="1"/>
  <c r="F1516" i="6"/>
  <c r="F1517" i="6"/>
  <c r="F1518" i="6"/>
  <c r="F1519" i="6"/>
  <c r="F1520" i="6"/>
  <c r="F1521" i="6"/>
  <c r="F1522" i="6"/>
  <c r="F1523" i="6"/>
  <c r="F1524" i="6"/>
  <c r="F1525" i="6"/>
  <c r="F1526" i="6"/>
  <c r="F1527" i="6"/>
  <c r="F1528" i="6"/>
  <c r="F1529" i="6"/>
  <c r="F1530" i="6"/>
  <c r="F1531" i="6"/>
  <c r="F1532" i="6"/>
  <c r="F1533" i="6"/>
  <c r="G1533" i="6" s="1"/>
  <c r="F1534" i="6"/>
  <c r="F1535" i="6"/>
  <c r="F1536" i="6"/>
  <c r="F1537" i="6"/>
  <c r="F1538" i="6"/>
  <c r="F1539" i="6"/>
  <c r="F1540" i="6"/>
  <c r="F1541" i="6"/>
  <c r="G1541" i="6" s="1"/>
  <c r="F1542" i="6"/>
  <c r="F1543" i="6"/>
  <c r="F1544" i="6"/>
  <c r="F1545" i="6"/>
  <c r="F1546" i="6"/>
  <c r="F1547" i="6"/>
  <c r="F1548" i="6"/>
  <c r="F1549" i="6"/>
  <c r="G1549" i="6" s="1"/>
  <c r="F1550" i="6"/>
  <c r="F1551" i="6"/>
  <c r="F1552" i="6"/>
  <c r="F1553" i="6"/>
  <c r="F1554" i="6"/>
  <c r="F1555" i="6"/>
  <c r="F1556" i="6"/>
  <c r="F1557" i="6"/>
  <c r="F1558" i="6"/>
  <c r="F1559" i="6"/>
  <c r="F1560" i="6"/>
  <c r="F1561" i="6"/>
  <c r="F1562" i="6"/>
  <c r="F1563" i="6"/>
  <c r="F1564" i="6"/>
  <c r="F1565" i="6"/>
  <c r="G1565" i="6" s="1"/>
  <c r="F1566" i="6"/>
  <c r="F1567" i="6"/>
  <c r="F1568" i="6"/>
  <c r="F1569" i="6"/>
  <c r="F1570" i="6"/>
  <c r="F1571" i="6"/>
  <c r="F1572" i="6"/>
  <c r="F1573" i="6"/>
  <c r="G1573" i="6" s="1"/>
  <c r="F1574" i="6"/>
  <c r="F1575" i="6"/>
  <c r="F1576" i="6"/>
  <c r="F1577" i="6"/>
  <c r="F1578" i="6"/>
  <c r="F1579" i="6"/>
  <c r="F1580" i="6"/>
  <c r="F1581" i="6"/>
  <c r="G1581" i="6" s="1"/>
  <c r="F1582" i="6"/>
  <c r="F1583" i="6"/>
  <c r="F1584" i="6"/>
  <c r="F1585" i="6"/>
  <c r="F1586" i="6"/>
  <c r="F1587" i="6"/>
  <c r="F1588" i="6"/>
  <c r="F1589" i="6"/>
  <c r="G1589" i="6" s="1"/>
  <c r="F1590" i="6"/>
  <c r="F1591" i="6"/>
  <c r="F1592" i="6"/>
  <c r="F1593" i="6"/>
  <c r="F1594" i="6"/>
  <c r="F1595" i="6"/>
  <c r="F1596" i="6"/>
  <c r="F1597" i="6"/>
  <c r="G1597" i="6" s="1"/>
  <c r="F1598" i="6"/>
  <c r="F1599" i="6"/>
  <c r="F1600" i="6"/>
  <c r="F1601" i="6"/>
  <c r="F1602" i="6"/>
  <c r="F1603" i="6"/>
  <c r="G1603" i="6" s="1"/>
  <c r="F1604" i="6"/>
  <c r="F1605" i="6"/>
  <c r="G1605" i="6" s="1"/>
  <c r="F1606" i="6"/>
  <c r="F1607" i="6"/>
  <c r="F1608" i="6"/>
  <c r="F1609" i="6"/>
  <c r="F1610" i="6"/>
  <c r="F1611" i="6"/>
  <c r="G1611" i="6" s="1"/>
  <c r="F1612" i="6"/>
  <c r="F1613" i="6"/>
  <c r="G1613" i="6" s="1"/>
  <c r="F1614" i="6"/>
  <c r="F1615" i="6"/>
  <c r="F1616" i="6"/>
  <c r="F1617" i="6"/>
  <c r="F1618" i="6"/>
  <c r="F1619" i="6"/>
  <c r="F1620" i="6"/>
  <c r="F1621" i="6"/>
  <c r="F1622" i="6"/>
  <c r="F1623" i="6"/>
  <c r="F1624" i="6"/>
  <c r="F1625" i="6"/>
  <c r="F1626" i="6"/>
  <c r="F1627" i="6"/>
  <c r="G1627" i="6" s="1"/>
  <c r="F1628" i="6"/>
  <c r="F1629" i="6"/>
  <c r="G1629" i="6" s="1"/>
  <c r="F1630" i="6"/>
  <c r="F1631" i="6"/>
  <c r="F1632" i="6"/>
  <c r="F1633" i="6"/>
  <c r="F1634" i="6"/>
  <c r="F1635" i="6"/>
  <c r="F1636" i="6"/>
  <c r="F1637" i="6"/>
  <c r="F1638" i="6"/>
  <c r="F1639" i="6"/>
  <c r="F1640" i="6"/>
  <c r="F1641" i="6"/>
  <c r="F1642" i="6"/>
  <c r="F1643" i="6"/>
  <c r="G1643" i="6" s="1"/>
  <c r="F1644" i="6"/>
  <c r="F1645" i="6"/>
  <c r="G1645" i="6" s="1"/>
  <c r="F1646" i="6"/>
  <c r="F1647" i="6"/>
  <c r="F1648" i="6"/>
  <c r="F1649" i="6"/>
  <c r="F1650" i="6"/>
  <c r="F1651" i="6"/>
  <c r="G1651" i="6" s="1"/>
  <c r="F1652" i="6"/>
  <c r="F1653" i="6"/>
  <c r="G1653" i="6" s="1"/>
  <c r="F1654" i="6"/>
  <c r="F1655" i="6"/>
  <c r="F1656" i="6"/>
  <c r="F1657" i="6"/>
  <c r="F1658" i="6"/>
  <c r="F1659" i="6"/>
  <c r="G1659" i="6" s="1"/>
  <c r="F1660" i="6"/>
  <c r="F1661" i="6"/>
  <c r="G1661" i="6" s="1"/>
  <c r="F1662" i="6"/>
  <c r="F1663" i="6"/>
  <c r="F1664" i="6"/>
  <c r="F1665" i="6"/>
  <c r="F1666" i="6"/>
  <c r="F1667" i="6"/>
  <c r="G1667" i="6" s="1"/>
  <c r="F1668" i="6"/>
  <c r="F1669" i="6"/>
  <c r="G1669" i="6" s="1"/>
  <c r="F1670" i="6"/>
  <c r="F1671" i="6"/>
  <c r="F1672" i="6"/>
  <c r="F1673" i="6"/>
  <c r="F1674" i="6"/>
  <c r="F1675" i="6"/>
  <c r="G1675" i="6" s="1"/>
  <c r="F1676" i="6"/>
  <c r="F1677" i="6"/>
  <c r="G1677" i="6" s="1"/>
  <c r="F1678" i="6"/>
  <c r="F1679" i="6"/>
  <c r="F1680" i="6"/>
  <c r="F1681" i="6"/>
  <c r="F1682" i="6"/>
  <c r="F1683" i="6"/>
  <c r="G1683" i="6" s="1"/>
  <c r="F1684" i="6"/>
  <c r="F1685" i="6"/>
  <c r="F1686" i="6"/>
  <c r="F1687" i="6"/>
  <c r="F1688" i="6"/>
  <c r="F1689" i="6"/>
  <c r="F1690" i="6"/>
  <c r="F1691" i="6"/>
  <c r="F1692" i="6"/>
  <c r="F1693" i="6"/>
  <c r="G1693" i="6" s="1"/>
  <c r="F1694" i="6"/>
  <c r="F1695" i="6"/>
  <c r="F1696" i="6"/>
  <c r="F1697" i="6"/>
  <c r="F1698" i="6"/>
  <c r="F1699" i="6"/>
  <c r="G1699" i="6" s="1"/>
  <c r="F1700" i="6"/>
  <c r="F1701" i="6"/>
  <c r="G1701" i="6" s="1"/>
  <c r="F1702" i="6"/>
  <c r="F1703" i="6"/>
  <c r="F1704" i="6"/>
  <c r="F1705" i="6"/>
  <c r="F1706" i="6"/>
  <c r="F1707" i="6"/>
  <c r="G1707" i="6" s="1"/>
  <c r="F1708" i="6"/>
  <c r="F1709" i="6"/>
  <c r="G1709" i="6" s="1"/>
  <c r="F1710" i="6"/>
  <c r="F1711" i="6"/>
  <c r="F1712" i="6"/>
  <c r="F1713" i="6"/>
  <c r="F1714" i="6"/>
  <c r="F1715" i="6"/>
  <c r="G1715" i="6" s="1"/>
  <c r="F1716" i="6"/>
  <c r="F1717" i="6"/>
  <c r="G1717" i="6" s="1"/>
  <c r="F1718" i="6"/>
  <c r="F1719" i="6"/>
  <c r="F1720" i="6"/>
  <c r="F1721" i="6"/>
  <c r="F1722" i="6"/>
  <c r="F1723" i="6"/>
  <c r="F1724" i="6"/>
  <c r="F1725" i="6"/>
  <c r="G1725" i="6" s="1"/>
  <c r="F1726" i="6"/>
  <c r="F1727" i="6"/>
  <c r="F1728" i="6"/>
  <c r="F1729" i="6"/>
  <c r="F1730" i="6"/>
  <c r="F1731" i="6"/>
  <c r="G1731" i="6" s="1"/>
  <c r="F1732" i="6"/>
  <c r="F1733" i="6"/>
  <c r="F1734" i="6"/>
  <c r="F1735" i="6"/>
  <c r="F1736" i="6"/>
  <c r="F1737" i="6"/>
  <c r="F1738" i="6"/>
  <c r="F1739" i="6"/>
  <c r="F1740" i="6"/>
  <c r="F1741" i="6"/>
  <c r="F1742" i="6"/>
  <c r="F1743" i="6"/>
  <c r="F1744" i="6"/>
  <c r="F1745" i="6"/>
  <c r="F1746" i="6"/>
  <c r="F1747" i="6"/>
  <c r="G1747" i="6" s="1"/>
  <c r="F1748" i="6"/>
  <c r="F1749" i="6"/>
  <c r="F1750" i="6"/>
  <c r="F1751" i="6"/>
  <c r="F1752" i="6"/>
  <c r="F1753" i="6"/>
  <c r="F1754" i="6"/>
  <c r="F1755" i="6"/>
  <c r="G1755" i="6" s="1"/>
  <c r="F1756" i="6"/>
  <c r="F1757" i="6"/>
  <c r="F1758" i="6"/>
  <c r="F1759" i="6"/>
  <c r="F1760" i="6"/>
  <c r="F1761" i="6"/>
  <c r="F1762" i="6"/>
  <c r="F1763" i="6"/>
  <c r="F1764" i="6"/>
  <c r="F1765" i="6"/>
  <c r="G1765" i="6" s="1"/>
  <c r="F1766" i="6"/>
  <c r="F1767" i="6"/>
  <c r="F1768" i="6"/>
  <c r="F1769" i="6"/>
  <c r="F1770" i="6"/>
  <c r="F1771" i="6"/>
  <c r="G1771" i="6" s="1"/>
  <c r="F1772" i="6"/>
  <c r="F1773" i="6"/>
  <c r="G1773" i="6" s="1"/>
  <c r="F1774" i="6"/>
  <c r="F1775" i="6"/>
  <c r="F1776" i="6"/>
  <c r="F1777" i="6"/>
  <c r="F1778" i="6"/>
  <c r="F1779" i="6"/>
  <c r="G1779" i="6" s="1"/>
  <c r="F1780" i="6"/>
  <c r="F1781" i="6"/>
  <c r="G1781" i="6" s="1"/>
  <c r="F1782" i="6"/>
  <c r="F1783" i="6"/>
  <c r="F1784" i="6"/>
  <c r="F1785" i="6"/>
  <c r="F1786" i="6"/>
  <c r="F1787" i="6"/>
  <c r="F1788" i="6"/>
  <c r="F1789" i="6"/>
  <c r="G1789" i="6" s="1"/>
  <c r="F1790" i="6"/>
  <c r="F1791" i="6"/>
  <c r="F1792" i="6"/>
  <c r="F1793" i="6"/>
  <c r="F1794" i="6"/>
  <c r="F1795" i="6"/>
  <c r="G1795" i="6" s="1"/>
  <c r="F1796" i="6"/>
  <c r="F1797" i="6"/>
  <c r="G1797" i="6" s="1"/>
  <c r="F1798" i="6"/>
  <c r="F1799" i="6"/>
  <c r="F1800" i="6"/>
  <c r="F1801" i="6"/>
  <c r="F1802" i="6"/>
  <c r="F1803" i="6"/>
  <c r="G1803" i="6" s="1"/>
  <c r="F1804" i="6"/>
  <c r="F1805" i="6"/>
  <c r="G1805" i="6" s="1"/>
  <c r="F1806" i="6"/>
  <c r="F1807" i="6"/>
  <c r="F1808" i="6"/>
  <c r="F1809" i="6"/>
  <c r="F1810" i="6"/>
  <c r="F1811" i="6"/>
  <c r="G1811" i="6" s="1"/>
  <c r="F1812" i="6"/>
  <c r="F1813" i="6"/>
  <c r="G1813" i="6" s="1"/>
  <c r="F1814" i="6"/>
  <c r="F1815" i="6"/>
  <c r="F1816" i="6"/>
  <c r="F1817" i="6"/>
  <c r="F1818" i="6"/>
  <c r="F1819" i="6"/>
  <c r="G1819" i="6" s="1"/>
  <c r="F1820" i="6"/>
  <c r="F1821" i="6"/>
  <c r="G1821" i="6" s="1"/>
  <c r="F1822" i="6"/>
  <c r="F1823" i="6"/>
  <c r="F1824" i="6"/>
  <c r="F1825" i="6"/>
  <c r="F1826" i="6"/>
  <c r="F1827" i="6"/>
  <c r="G1827" i="6" s="1"/>
  <c r="F1828" i="6"/>
  <c r="F1829" i="6"/>
  <c r="G1829" i="6" s="1"/>
  <c r="F1830" i="6"/>
  <c r="F1831" i="6"/>
  <c r="F1832" i="6"/>
  <c r="F1833" i="6"/>
  <c r="F1834" i="6"/>
  <c r="F1835" i="6"/>
  <c r="G1835" i="6" s="1"/>
  <c r="F1836" i="6"/>
  <c r="F1837" i="6"/>
  <c r="G1837" i="6" s="1"/>
  <c r="F1838" i="6"/>
  <c r="F1839" i="6"/>
  <c r="F1840" i="6"/>
  <c r="F1841" i="6"/>
  <c r="F1842" i="6"/>
  <c r="F1843" i="6"/>
  <c r="G1843" i="6" s="1"/>
  <c r="F1844" i="6"/>
  <c r="F1845" i="6"/>
  <c r="G1845" i="6" s="1"/>
  <c r="F1846" i="6"/>
  <c r="F1847" i="6"/>
  <c r="F1848" i="6"/>
  <c r="F1849" i="6"/>
  <c r="F1850" i="6"/>
  <c r="F1851" i="6"/>
  <c r="G1851" i="6" s="1"/>
  <c r="F1852" i="6"/>
  <c r="F1853" i="6"/>
  <c r="G1853" i="6" s="1"/>
  <c r="F1854" i="6"/>
  <c r="F1855" i="6"/>
  <c r="F1856" i="6"/>
  <c r="F1857" i="6"/>
  <c r="F1858" i="6"/>
  <c r="F1859" i="6"/>
  <c r="G1859" i="6" s="1"/>
  <c r="F1860" i="6"/>
  <c r="F1861" i="6"/>
  <c r="F1862" i="6"/>
  <c r="F1863" i="6"/>
  <c r="F1864" i="6"/>
  <c r="F1865" i="6"/>
  <c r="F1866" i="6"/>
  <c r="F1867" i="6"/>
  <c r="F1868" i="6"/>
  <c r="F1869" i="6"/>
  <c r="F1870" i="6"/>
  <c r="F1871" i="6"/>
  <c r="F1872" i="6"/>
  <c r="F1873" i="6"/>
  <c r="F1874" i="6"/>
  <c r="F1875" i="6"/>
  <c r="G1875" i="6" s="1"/>
  <c r="F1876" i="6"/>
  <c r="F1877" i="6"/>
  <c r="G1877" i="6" s="1"/>
  <c r="F1878" i="6"/>
  <c r="F1879" i="6"/>
  <c r="F1880" i="6"/>
  <c r="F1881" i="6"/>
  <c r="F1882" i="6"/>
  <c r="F1883" i="6"/>
  <c r="G1883" i="6" s="1"/>
  <c r="F1884" i="6"/>
  <c r="F1885" i="6"/>
  <c r="G1885" i="6" s="1"/>
  <c r="F1886" i="6"/>
  <c r="F1887" i="6"/>
  <c r="F1888" i="6"/>
  <c r="F1889" i="6"/>
  <c r="F1890" i="6"/>
  <c r="F1891" i="6"/>
  <c r="G1891" i="6" s="1"/>
  <c r="F1892" i="6"/>
  <c r="F1893" i="6"/>
  <c r="G1893" i="6" s="1"/>
  <c r="F1894" i="6"/>
  <c r="F1895" i="6"/>
  <c r="F1896" i="6"/>
  <c r="F1897" i="6"/>
  <c r="F1898" i="6"/>
  <c r="F1899" i="6"/>
  <c r="G1899" i="6" s="1"/>
  <c r="F1900" i="6"/>
  <c r="F1901" i="6"/>
  <c r="G1901" i="6" s="1"/>
  <c r="F1902" i="6"/>
  <c r="F1903" i="6"/>
  <c r="F1904" i="6"/>
  <c r="F1905" i="6"/>
  <c r="F1906" i="6"/>
  <c r="F1907" i="6"/>
  <c r="F1908" i="6"/>
  <c r="F1909" i="6"/>
  <c r="F1910" i="6"/>
  <c r="F1911" i="6"/>
  <c r="F1912" i="6"/>
  <c r="F1913" i="6"/>
  <c r="F1914" i="6"/>
  <c r="F1915" i="6"/>
  <c r="G1915" i="6" s="1"/>
  <c r="F1916" i="6"/>
  <c r="F1917" i="6"/>
  <c r="G1917" i="6" s="1"/>
  <c r="F1918" i="6"/>
  <c r="F1919" i="6"/>
  <c r="F1920" i="6"/>
  <c r="F1921" i="6"/>
  <c r="F1922" i="6"/>
  <c r="F1923" i="6"/>
  <c r="G1923" i="6" s="1"/>
  <c r="F1924" i="6"/>
  <c r="F1925" i="6"/>
  <c r="F1926" i="6"/>
  <c r="F1927" i="6"/>
  <c r="F1928" i="6"/>
  <c r="F1929" i="6"/>
  <c r="F1930" i="6"/>
  <c r="F1931" i="6"/>
  <c r="G1931" i="6" s="1"/>
  <c r="F1932" i="6"/>
  <c r="F1933" i="6"/>
  <c r="G1933" i="6" s="1"/>
  <c r="F1934" i="6"/>
  <c r="F1935" i="6"/>
  <c r="F1936" i="6"/>
  <c r="F1937" i="6"/>
  <c r="F1938" i="6"/>
  <c r="F1939" i="6"/>
  <c r="G1939" i="6" s="1"/>
  <c r="F1940" i="6"/>
  <c r="F1941" i="6"/>
  <c r="F1942" i="6"/>
  <c r="F1943" i="6"/>
  <c r="F1944" i="6"/>
  <c r="F1945" i="6"/>
  <c r="F1946" i="6"/>
  <c r="F1947" i="6"/>
  <c r="G1947" i="6" s="1"/>
  <c r="F1948" i="6"/>
  <c r="F1949" i="6"/>
  <c r="G1949" i="6" s="1"/>
  <c r="F1950" i="6"/>
  <c r="F1951" i="6"/>
  <c r="F1952" i="6"/>
  <c r="F1953" i="6"/>
  <c r="F1954" i="6"/>
  <c r="F1955" i="6"/>
  <c r="F1956" i="6"/>
  <c r="F1957" i="6"/>
  <c r="G1957" i="6" s="1"/>
  <c r="F1958" i="6"/>
  <c r="F1959" i="6"/>
  <c r="F1960" i="6"/>
  <c r="F1961" i="6"/>
  <c r="F1962" i="6"/>
  <c r="F1963" i="6"/>
  <c r="G1963" i="6" s="1"/>
  <c r="F1964" i="6"/>
  <c r="F1965" i="6"/>
  <c r="G1965" i="6" s="1"/>
  <c r="F1966" i="6"/>
  <c r="F1967" i="6"/>
  <c r="F1968" i="6"/>
  <c r="F1969" i="6"/>
  <c r="F1970" i="6"/>
  <c r="F1971" i="6"/>
  <c r="G1971" i="6" s="1"/>
  <c r="F1972" i="6"/>
  <c r="F1973" i="6"/>
  <c r="G1973" i="6" s="1"/>
  <c r="F1974" i="6"/>
  <c r="F1975" i="6"/>
  <c r="F1976" i="6"/>
  <c r="F1977" i="6"/>
  <c r="F1978" i="6"/>
  <c r="F1979" i="6"/>
  <c r="F1980" i="6"/>
  <c r="F1981" i="6"/>
  <c r="F1982" i="6"/>
  <c r="F1983" i="6"/>
  <c r="F1984" i="6"/>
  <c r="F1985" i="6"/>
  <c r="F1986" i="6"/>
  <c r="F1987" i="6"/>
  <c r="F1988" i="6"/>
  <c r="F1989" i="6"/>
  <c r="G1989" i="6" s="1"/>
  <c r="F1990" i="6"/>
  <c r="F1991" i="6"/>
  <c r="F1992" i="6"/>
  <c r="F1993" i="6"/>
  <c r="F1994" i="6"/>
  <c r="F1995" i="6"/>
  <c r="F1996" i="6"/>
  <c r="F1997" i="6"/>
  <c r="G1997" i="6" s="1"/>
  <c r="F1998" i="6"/>
  <c r="F1999" i="6"/>
  <c r="F2000" i="6"/>
  <c r="F2001" i="6"/>
  <c r="F2002" i="6"/>
  <c r="F2003" i="6"/>
  <c r="G2003" i="6" s="1"/>
  <c r="F2004" i="6"/>
  <c r="F2005" i="6"/>
  <c r="G2005" i="6" s="1"/>
  <c r="F2006" i="6"/>
  <c r="F2007" i="6"/>
  <c r="F2008" i="6"/>
  <c r="F2009" i="6"/>
  <c r="F2010" i="6"/>
  <c r="F2011" i="6"/>
  <c r="F2012" i="6"/>
  <c r="F2013" i="6"/>
  <c r="G2013" i="6" s="1"/>
  <c r="F2014" i="6"/>
  <c r="F2015" i="6"/>
  <c r="F2016" i="6"/>
  <c r="F2017" i="6"/>
  <c r="F2018" i="6"/>
  <c r="F2019" i="6"/>
  <c r="F2020" i="6"/>
  <c r="F2021" i="6"/>
  <c r="G2021" i="6" s="1"/>
  <c r="F2022" i="6"/>
  <c r="F2023" i="6"/>
  <c r="F2024" i="6"/>
  <c r="F2025" i="6"/>
  <c r="F2026" i="6"/>
  <c r="F2027" i="6"/>
  <c r="G2027" i="6" s="1"/>
  <c r="F2028" i="6"/>
  <c r="F2029" i="6"/>
  <c r="G2029" i="6" s="1"/>
  <c r="F2030" i="6"/>
  <c r="F2031" i="6"/>
  <c r="F2032" i="6"/>
  <c r="F2033" i="6"/>
  <c r="F2034" i="6"/>
  <c r="F2035" i="6"/>
  <c r="G2035" i="6" s="1"/>
  <c r="F2036" i="6"/>
  <c r="F2037" i="6"/>
  <c r="G2037" i="6" s="1"/>
  <c r="F2038" i="6"/>
  <c r="F2039" i="6"/>
  <c r="F2040" i="6"/>
  <c r="F2041" i="6"/>
  <c r="F2042" i="6"/>
  <c r="F2043" i="6"/>
  <c r="G2043" i="6" s="1"/>
  <c r="F2044" i="6"/>
  <c r="F2045" i="6"/>
  <c r="G2045" i="6" s="1"/>
  <c r="F2046" i="6"/>
  <c r="F2047" i="6"/>
  <c r="F2048" i="6"/>
  <c r="F2049" i="6"/>
  <c r="F2050" i="6"/>
  <c r="F2051" i="6"/>
  <c r="G2051" i="6" s="1"/>
  <c r="F2052" i="6"/>
  <c r="F2053" i="6"/>
  <c r="G2053" i="6" s="1"/>
  <c r="F2054" i="6"/>
  <c r="F2055" i="6"/>
  <c r="F2056" i="6"/>
  <c r="F2057" i="6"/>
  <c r="F2058" i="6"/>
  <c r="F2059" i="6"/>
  <c r="G2059" i="6" s="1"/>
  <c r="F2060" i="6"/>
  <c r="F2061" i="6"/>
  <c r="F2062" i="6"/>
  <c r="F2063" i="6"/>
  <c r="F2064" i="6"/>
  <c r="F2065" i="6"/>
  <c r="F2066" i="6"/>
  <c r="F2067" i="6"/>
  <c r="G2067" i="6" s="1"/>
  <c r="F2068" i="6"/>
  <c r="F2069" i="6"/>
  <c r="G2069" i="6" s="1"/>
  <c r="F2070" i="6"/>
  <c r="F2071" i="6"/>
  <c r="F2072" i="6"/>
  <c r="F2073" i="6"/>
  <c r="F2074" i="6"/>
  <c r="F2075" i="6"/>
  <c r="G2075" i="6" s="1"/>
  <c r="F2076" i="6"/>
  <c r="F2077" i="6"/>
  <c r="G2077" i="6" s="1"/>
  <c r="F2078" i="6"/>
  <c r="F2079" i="6"/>
  <c r="F2080" i="6"/>
  <c r="F2081" i="6"/>
  <c r="F2082" i="6"/>
  <c r="F2083" i="6"/>
  <c r="G2083" i="6" s="1"/>
  <c r="F2084" i="6"/>
  <c r="F2085" i="6"/>
  <c r="G2085" i="6" s="1"/>
  <c r="F2086" i="6"/>
  <c r="F2087" i="6"/>
  <c r="F2088" i="6"/>
  <c r="F2089" i="6"/>
  <c r="F2090" i="6"/>
  <c r="F2091" i="6"/>
  <c r="G2091" i="6" s="1"/>
  <c r="F2092" i="6"/>
  <c r="F2093" i="6"/>
  <c r="G2093" i="6" s="1"/>
  <c r="F2094" i="6"/>
  <c r="F2095" i="6"/>
  <c r="F2096" i="6"/>
  <c r="F2097" i="6"/>
  <c r="F2098" i="6"/>
  <c r="F2099" i="6"/>
  <c r="G2099" i="6" s="1"/>
  <c r="F2100" i="6"/>
  <c r="F2101" i="6"/>
  <c r="G2101" i="6" s="1"/>
  <c r="F2102" i="6"/>
  <c r="F2103" i="6"/>
  <c r="F2104" i="6"/>
  <c r="F2105" i="6"/>
  <c r="F2106" i="6"/>
  <c r="F2107" i="6"/>
  <c r="G2107" i="6" s="1"/>
  <c r="F2108" i="6"/>
  <c r="F2109" i="6"/>
  <c r="F2110" i="6"/>
  <c r="F2111" i="6"/>
  <c r="F2112" i="6"/>
  <c r="F2113" i="6"/>
  <c r="F2114" i="6"/>
  <c r="F2115" i="6"/>
  <c r="G2115" i="6" s="1"/>
  <c r="F2116" i="6"/>
  <c r="F2117" i="6"/>
  <c r="G2117" i="6" s="1"/>
  <c r="F2118" i="6"/>
  <c r="F2119" i="6"/>
  <c r="F2120" i="6"/>
  <c r="F2121" i="6"/>
  <c r="F2122" i="6"/>
  <c r="F2123" i="6"/>
  <c r="G2123" i="6" s="1"/>
  <c r="F2124" i="6"/>
  <c r="F2125" i="6"/>
  <c r="G2125" i="6" s="1"/>
  <c r="F2126" i="6"/>
  <c r="F2127" i="6"/>
  <c r="F2128" i="6"/>
  <c r="F2129" i="6"/>
  <c r="F2130" i="6"/>
  <c r="F2131" i="6"/>
  <c r="F2132" i="6"/>
  <c r="F2133" i="6"/>
  <c r="G2133" i="6" s="1"/>
  <c r="F2134" i="6"/>
  <c r="F2135" i="6"/>
  <c r="F2136" i="6"/>
  <c r="F2137" i="6"/>
  <c r="F2138" i="6"/>
  <c r="F2139" i="6"/>
  <c r="G2139" i="6" s="1"/>
  <c r="F2140" i="6"/>
  <c r="F2141" i="6"/>
  <c r="G2141" i="6" s="1"/>
  <c r="F2142" i="6"/>
  <c r="F2143" i="6"/>
  <c r="F2144" i="6"/>
  <c r="F2145" i="6"/>
  <c r="F2146" i="6"/>
  <c r="F2147" i="6"/>
  <c r="F2148" i="6"/>
  <c r="F2149" i="6"/>
  <c r="G2149" i="6" s="1"/>
  <c r="F2150" i="6"/>
  <c r="F2151" i="6"/>
  <c r="F2152" i="6"/>
  <c r="F2153" i="6"/>
  <c r="F2154" i="6"/>
  <c r="F2155" i="6"/>
  <c r="G2155" i="6" s="1"/>
  <c r="F2156"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G110" i="6" s="1"/>
  <c r="F111" i="6"/>
  <c r="F112" i="6"/>
  <c r="F113" i="6"/>
  <c r="F114" i="6"/>
  <c r="F115" i="6"/>
  <c r="F116" i="6"/>
  <c r="F117" i="6"/>
  <c r="F118" i="6"/>
  <c r="G118" i="6" s="1"/>
  <c r="F119" i="6"/>
  <c r="F120" i="6"/>
  <c r="F121" i="6"/>
  <c r="F122" i="6"/>
  <c r="F123" i="6"/>
  <c r="F124" i="6"/>
  <c r="F125" i="6"/>
  <c r="F126" i="6"/>
  <c r="F127" i="6"/>
  <c r="F128" i="6"/>
  <c r="F129" i="6"/>
  <c r="F130" i="6"/>
  <c r="G130" i="6" s="1"/>
  <c r="F131" i="6"/>
  <c r="F132" i="6"/>
  <c r="G132" i="6" s="1"/>
  <c r="F133" i="6"/>
  <c r="G133" i="6" s="1"/>
  <c r="F134" i="6"/>
  <c r="G134" i="6" s="1"/>
  <c r="F135" i="6"/>
  <c r="F136" i="6"/>
  <c r="F137" i="6"/>
  <c r="F138" i="6"/>
  <c r="F139" i="6"/>
  <c r="F140" i="6"/>
  <c r="F141" i="6"/>
  <c r="F142" i="6"/>
  <c r="F143" i="6"/>
  <c r="F144" i="6"/>
  <c r="F145" i="6"/>
  <c r="F146" i="6"/>
  <c r="F147" i="6"/>
  <c r="F148" i="6"/>
  <c r="F149" i="6"/>
  <c r="F150" i="6"/>
  <c r="F151" i="6"/>
  <c r="F152" i="6"/>
  <c r="F153" i="6"/>
  <c r="F154" i="6"/>
  <c r="F155" i="6"/>
  <c r="G155" i="6" s="1"/>
  <c r="F156" i="6"/>
  <c r="F157" i="6"/>
  <c r="G157" i="6" s="1"/>
  <c r="F158" i="6"/>
  <c r="G158" i="6" s="1"/>
  <c r="F159" i="6"/>
  <c r="F160" i="6"/>
  <c r="F161" i="6"/>
  <c r="F162" i="6"/>
  <c r="F163" i="6"/>
  <c r="F164" i="6"/>
  <c r="F165" i="6"/>
  <c r="F166" i="6"/>
  <c r="G166" i="6" s="1"/>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G194" i="6" s="1"/>
  <c r="F195" i="6"/>
  <c r="F196" i="6"/>
  <c r="F197" i="6"/>
  <c r="F198" i="6"/>
  <c r="F199" i="6"/>
  <c r="F200" i="6"/>
  <c r="F201" i="6"/>
  <c r="F202" i="6"/>
  <c r="F203" i="6"/>
  <c r="F204" i="6"/>
  <c r="G204" i="6" s="1"/>
  <c r="F205" i="6"/>
  <c r="F206" i="6"/>
  <c r="F207" i="6"/>
  <c r="F208" i="6"/>
  <c r="F209" i="6"/>
  <c r="F210" i="6"/>
  <c r="F211" i="6"/>
  <c r="F212" i="6"/>
  <c r="F213" i="6"/>
  <c r="G213" i="6" s="1"/>
  <c r="F214" i="6"/>
  <c r="F215" i="6"/>
  <c r="F216" i="6"/>
  <c r="F217" i="6"/>
  <c r="F218" i="6"/>
  <c r="F219" i="6"/>
  <c r="F220" i="6"/>
  <c r="F221" i="6"/>
  <c r="F222" i="6"/>
  <c r="F223" i="6"/>
  <c r="F224" i="6"/>
  <c r="F225" i="6"/>
  <c r="F226" i="6"/>
  <c r="F227" i="6"/>
  <c r="G227" i="6" s="1"/>
  <c r="F228" i="6"/>
  <c r="G228" i="6" s="1"/>
  <c r="F229" i="6"/>
  <c r="F230" i="6"/>
  <c r="F231" i="6"/>
  <c r="F232" i="6"/>
  <c r="F233" i="6"/>
  <c r="F234" i="6"/>
  <c r="G234" i="6" s="1"/>
  <c r="F235" i="6"/>
  <c r="G235" i="6" s="1"/>
  <c r="F236" i="6"/>
  <c r="F237" i="6"/>
  <c r="F238" i="6"/>
  <c r="F239" i="6"/>
  <c r="F240" i="6"/>
  <c r="F241" i="6"/>
  <c r="F242" i="6"/>
  <c r="F243" i="6"/>
  <c r="F244" i="6"/>
  <c r="F245" i="6"/>
  <c r="F246" i="6"/>
  <c r="G246" i="6" s="1"/>
  <c r="F247" i="6"/>
  <c r="F248" i="6"/>
  <c r="F249" i="6"/>
  <c r="F250" i="6"/>
  <c r="F251" i="6"/>
  <c r="F252" i="6"/>
  <c r="F253" i="6"/>
  <c r="G253" i="6" s="1"/>
  <c r="F254" i="6"/>
  <c r="F255" i="6"/>
  <c r="F256" i="6"/>
  <c r="F257" i="6"/>
  <c r="F258" i="6"/>
  <c r="F259" i="6"/>
  <c r="G259" i="6" s="1"/>
  <c r="F260" i="6"/>
  <c r="G260" i="6" s="1"/>
  <c r="F261" i="6"/>
  <c r="G261" i="6" s="1"/>
  <c r="F262" i="6"/>
  <c r="F263" i="6"/>
  <c r="F264" i="6"/>
  <c r="F265" i="6"/>
  <c r="F266" i="6"/>
  <c r="F267" i="6"/>
  <c r="F268" i="6"/>
  <c r="F269" i="6"/>
  <c r="F270" i="6"/>
  <c r="F271" i="6"/>
  <c r="F272" i="6"/>
  <c r="F273" i="6"/>
  <c r="F274" i="6"/>
  <c r="F275" i="6"/>
  <c r="F276" i="6"/>
  <c r="F277" i="6"/>
  <c r="G277" i="6" s="1"/>
  <c r="F278" i="6"/>
  <c r="G278" i="6" s="1"/>
  <c r="F279" i="6"/>
  <c r="F280" i="6"/>
  <c r="F281" i="6"/>
  <c r="F282" i="6"/>
  <c r="F283" i="6"/>
  <c r="F284" i="6"/>
  <c r="F285" i="6"/>
  <c r="G285" i="6" s="1"/>
  <c r="F286" i="6"/>
  <c r="F287" i="6"/>
  <c r="F288" i="6"/>
  <c r="F289" i="6"/>
  <c r="F290" i="6"/>
  <c r="F291" i="6"/>
  <c r="F292" i="6"/>
  <c r="F293" i="6"/>
  <c r="F294" i="6"/>
  <c r="F295" i="6"/>
  <c r="F296" i="6"/>
  <c r="F297" i="6"/>
  <c r="F298" i="6"/>
  <c r="F299" i="6"/>
  <c r="F300" i="6"/>
  <c r="F301" i="6"/>
  <c r="F302" i="6"/>
  <c r="F303" i="6"/>
  <c r="F304" i="6"/>
  <c r="F305" i="6"/>
  <c r="F306" i="6"/>
  <c r="F307" i="6"/>
  <c r="F308" i="6"/>
  <c r="G308" i="6" s="1"/>
  <c r="F309" i="6"/>
  <c r="F310" i="6"/>
  <c r="F311" i="6"/>
  <c r="F312" i="6"/>
  <c r="F313" i="6"/>
  <c r="F314" i="6"/>
  <c r="F315" i="6"/>
  <c r="F316" i="6"/>
  <c r="F317" i="6"/>
  <c r="G317" i="6" s="1"/>
  <c r="F318" i="6"/>
  <c r="F319" i="6"/>
  <c r="F320" i="6"/>
  <c r="F321" i="6"/>
  <c r="F322" i="6"/>
  <c r="F323" i="6"/>
  <c r="G323" i="6" s="1"/>
  <c r="F324" i="6"/>
  <c r="F325" i="6"/>
  <c r="F326" i="6"/>
  <c r="G326" i="6" s="1"/>
  <c r="F327" i="6"/>
  <c r="F328" i="6"/>
  <c r="F329" i="6"/>
  <c r="F330" i="6"/>
  <c r="F331" i="6"/>
  <c r="G331" i="6" s="1"/>
  <c r="F332" i="6"/>
  <c r="G332" i="6" s="1"/>
  <c r="F333" i="6"/>
  <c r="F334" i="6"/>
  <c r="F335" i="6"/>
  <c r="F336" i="6"/>
  <c r="F337" i="6"/>
  <c r="F338" i="6"/>
  <c r="F339" i="6"/>
  <c r="F340" i="6"/>
  <c r="F341" i="6"/>
  <c r="F342" i="6"/>
  <c r="F343" i="6"/>
  <c r="F344" i="6"/>
  <c r="F345" i="6"/>
  <c r="F346" i="6"/>
  <c r="F347" i="6"/>
  <c r="G347" i="6" s="1"/>
  <c r="F348" i="6"/>
  <c r="F349" i="6"/>
  <c r="F350" i="6"/>
  <c r="F351" i="6"/>
  <c r="F352" i="6"/>
  <c r="F353" i="6"/>
  <c r="F354" i="6"/>
  <c r="G354" i="6" s="1"/>
  <c r="F355" i="6"/>
  <c r="G355" i="6" s="1"/>
  <c r="F356" i="6"/>
  <c r="F357" i="6"/>
  <c r="F358" i="6"/>
  <c r="F359" i="6"/>
  <c r="F360" i="6"/>
  <c r="F361" i="6"/>
  <c r="F362" i="6"/>
  <c r="F363" i="6"/>
  <c r="G363" i="6" s="1"/>
  <c r="F364" i="6"/>
  <c r="F365" i="6"/>
  <c r="G365" i="6" s="1"/>
  <c r="F366" i="6"/>
  <c r="F367" i="6"/>
  <c r="F368" i="6"/>
  <c r="F369" i="6"/>
  <c r="F370" i="6"/>
  <c r="F371" i="6"/>
  <c r="F372" i="6"/>
  <c r="F373" i="6"/>
  <c r="F374" i="6"/>
  <c r="F375" i="6"/>
  <c r="F376" i="6"/>
  <c r="F377" i="6"/>
  <c r="F378" i="6"/>
  <c r="F379" i="6"/>
  <c r="G379" i="6" s="1"/>
  <c r="F380" i="6"/>
  <c r="G380" i="6" s="1"/>
  <c r="F381" i="6"/>
  <c r="G381" i="6" s="1"/>
  <c r="F382" i="6"/>
  <c r="F383" i="6"/>
  <c r="F384" i="6"/>
  <c r="F385" i="6"/>
  <c r="F386" i="6"/>
  <c r="F387" i="6"/>
  <c r="F388" i="6"/>
  <c r="F389" i="6"/>
  <c r="F390" i="6"/>
  <c r="G390" i="6" s="1"/>
  <c r="F391" i="6"/>
  <c r="F392" i="6"/>
  <c r="F393" i="6"/>
  <c r="F394" i="6"/>
  <c r="F395" i="6"/>
  <c r="G395" i="6" s="1"/>
  <c r="F396" i="6"/>
  <c r="G396" i="6" s="1"/>
  <c r="F397" i="6"/>
  <c r="G397" i="6" s="1"/>
  <c r="F398" i="6"/>
  <c r="F399" i="6"/>
  <c r="F400" i="6"/>
  <c r="F401" i="6"/>
  <c r="F402" i="6"/>
  <c r="G402" i="6" s="1"/>
  <c r="F403" i="6"/>
  <c r="F404" i="6"/>
  <c r="G404" i="6" s="1"/>
  <c r="F405" i="6"/>
  <c r="G405" i="6" s="1"/>
  <c r="F406" i="6"/>
  <c r="F407" i="6"/>
  <c r="F408" i="6"/>
  <c r="F409" i="6"/>
  <c r="F410" i="6"/>
  <c r="F411" i="6"/>
  <c r="F412" i="6"/>
  <c r="F413" i="6"/>
  <c r="F414" i="6"/>
  <c r="F415" i="6"/>
  <c r="F416" i="6"/>
  <c r="F417" i="6"/>
  <c r="F418" i="6"/>
  <c r="F419" i="6"/>
  <c r="F420" i="6"/>
  <c r="F421" i="6"/>
  <c r="F422" i="6"/>
  <c r="F423" i="6"/>
  <c r="F424" i="6"/>
  <c r="F425" i="6"/>
  <c r="F426" i="6"/>
  <c r="G426" i="6" s="1"/>
  <c r="F427" i="6"/>
  <c r="F428" i="6"/>
  <c r="F429" i="6"/>
  <c r="G429" i="6" s="1"/>
  <c r="F430" i="6"/>
  <c r="G430" i="6" s="1"/>
  <c r="F431" i="6"/>
  <c r="F432" i="6"/>
  <c r="F433" i="6"/>
  <c r="F434" i="6"/>
  <c r="F435" i="6"/>
  <c r="F436" i="6"/>
  <c r="F437" i="6"/>
  <c r="G437" i="6" s="1"/>
  <c r="F438" i="6"/>
  <c r="G438" i="6" s="1"/>
  <c r="F439" i="6"/>
  <c r="F440" i="6"/>
  <c r="F441" i="6"/>
  <c r="F442" i="6"/>
  <c r="F443" i="6"/>
  <c r="F444" i="6"/>
  <c r="F445" i="6"/>
  <c r="F446" i="6"/>
  <c r="G446" i="6" s="1"/>
  <c r="F447" i="6"/>
  <c r="F448" i="6"/>
  <c r="F449" i="6"/>
  <c r="F450" i="6"/>
  <c r="F451" i="6"/>
  <c r="G451" i="6" s="1"/>
  <c r="F452" i="6"/>
  <c r="F453" i="6"/>
  <c r="F454" i="6"/>
  <c r="F455" i="6"/>
  <c r="F456" i="6"/>
  <c r="F457" i="6"/>
  <c r="F458" i="6"/>
  <c r="F459" i="6"/>
  <c r="G459" i="6" s="1"/>
  <c r="F460" i="6"/>
  <c r="F461" i="6"/>
  <c r="F462" i="6"/>
  <c r="F463" i="6"/>
  <c r="F464" i="6"/>
  <c r="F465" i="6"/>
  <c r="F466" i="6"/>
  <c r="F467" i="6"/>
  <c r="F468" i="6"/>
  <c r="G468" i="6" s="1"/>
  <c r="F469" i="6"/>
  <c r="F470" i="6"/>
  <c r="F471" i="6"/>
  <c r="F472" i="6"/>
  <c r="F473" i="6"/>
  <c r="F474" i="6"/>
  <c r="F475" i="6"/>
  <c r="F476" i="6"/>
  <c r="F477" i="6"/>
  <c r="G477" i="6" s="1"/>
  <c r="F478" i="6"/>
  <c r="F479" i="6"/>
  <c r="F480" i="6"/>
  <c r="F481" i="6"/>
  <c r="F482" i="6"/>
  <c r="F483" i="6"/>
  <c r="G483" i="6" s="1"/>
  <c r="F484" i="6"/>
  <c r="F485" i="6"/>
  <c r="F486" i="6"/>
  <c r="G486" i="6" s="1"/>
  <c r="F487" i="6"/>
  <c r="F488" i="6"/>
  <c r="F489" i="6"/>
  <c r="F490" i="6"/>
  <c r="F491" i="6"/>
  <c r="G491" i="6" s="1"/>
  <c r="F492" i="6"/>
  <c r="F493" i="6"/>
  <c r="F494" i="6"/>
  <c r="F495" i="6"/>
  <c r="F496" i="6"/>
  <c r="F497" i="6"/>
  <c r="F498" i="6"/>
  <c r="F499" i="6"/>
  <c r="F500" i="6"/>
  <c r="F501" i="6"/>
  <c r="F502" i="6"/>
  <c r="F503" i="6"/>
  <c r="F504" i="6"/>
  <c r="F505" i="6"/>
  <c r="F506" i="6"/>
  <c r="F507" i="6"/>
  <c r="F508" i="6"/>
  <c r="G508" i="6" s="1"/>
  <c r="F509" i="6"/>
  <c r="F510" i="6"/>
  <c r="F511" i="6"/>
  <c r="F512" i="6"/>
  <c r="F513" i="6"/>
  <c r="F514" i="6"/>
  <c r="F515" i="6"/>
  <c r="F516" i="6"/>
  <c r="F517" i="6"/>
  <c r="F518" i="6"/>
  <c r="F519" i="6"/>
  <c r="F520" i="6"/>
  <c r="F521" i="6"/>
  <c r="F522" i="6"/>
  <c r="G522" i="6" s="1"/>
  <c r="F523" i="6"/>
  <c r="F524" i="6"/>
  <c r="F525" i="6"/>
  <c r="F526" i="6"/>
  <c r="F527" i="6"/>
  <c r="F528" i="6"/>
  <c r="F529" i="6"/>
  <c r="F530" i="6"/>
  <c r="F531" i="6"/>
  <c r="F532" i="6"/>
  <c r="G532" i="6" s="1"/>
  <c r="F533" i="6"/>
  <c r="F534" i="6"/>
  <c r="F535" i="6"/>
  <c r="F536" i="6"/>
  <c r="F537" i="6"/>
  <c r="F538" i="6"/>
  <c r="F539" i="6"/>
  <c r="G539" i="6" s="1"/>
  <c r="F540" i="6"/>
  <c r="G540" i="6" s="1"/>
  <c r="F541" i="6"/>
  <c r="F542" i="6"/>
  <c r="G542" i="6" s="1"/>
  <c r="F543" i="6"/>
  <c r="F544" i="6"/>
  <c r="F545" i="6"/>
  <c r="F546" i="6"/>
  <c r="F547" i="6"/>
  <c r="G547" i="6" s="1"/>
  <c r="F548" i="6"/>
  <c r="G548" i="6" s="1"/>
  <c r="F549" i="6"/>
  <c r="F550" i="6"/>
  <c r="F551" i="6"/>
  <c r="F552" i="6"/>
  <c r="F553" i="6"/>
  <c r="F554" i="6"/>
  <c r="F555" i="6"/>
  <c r="F556" i="6"/>
  <c r="G556" i="6" s="1"/>
  <c r="F557" i="6"/>
  <c r="G557" i="6" s="1"/>
  <c r="F558" i="6"/>
  <c r="F559" i="6"/>
  <c r="F560" i="6"/>
  <c r="F561" i="6"/>
  <c r="F562" i="6"/>
  <c r="F563" i="6"/>
  <c r="G563" i="6" s="1"/>
  <c r="F564" i="6"/>
  <c r="F565" i="6"/>
  <c r="F566" i="6"/>
  <c r="F567" i="6"/>
  <c r="F568" i="6"/>
  <c r="F569" i="6"/>
  <c r="F570" i="6"/>
  <c r="F571" i="6"/>
  <c r="F572" i="6"/>
  <c r="F573" i="6"/>
  <c r="G573" i="6" s="1"/>
  <c r="F574" i="6"/>
  <c r="F575" i="6"/>
  <c r="F576" i="6"/>
  <c r="F577" i="6"/>
  <c r="F578" i="6"/>
  <c r="F579" i="6"/>
  <c r="G579" i="6" s="1"/>
  <c r="F580" i="6"/>
  <c r="G580" i="6" s="1"/>
  <c r="F581" i="6"/>
  <c r="F582" i="6"/>
  <c r="F583" i="6"/>
  <c r="F584" i="6"/>
  <c r="F585" i="6"/>
  <c r="F586" i="6"/>
  <c r="F587" i="6"/>
  <c r="F588" i="6"/>
  <c r="G588" i="6" s="1"/>
  <c r="F589" i="6"/>
  <c r="G589" i="6" s="1"/>
  <c r="F590" i="6"/>
  <c r="G590" i="6" s="1"/>
  <c r="F591" i="6"/>
  <c r="F592" i="6"/>
  <c r="F593" i="6"/>
  <c r="F594" i="6"/>
  <c r="F595" i="6"/>
  <c r="G595" i="6" s="1"/>
  <c r="F596" i="6"/>
  <c r="F597" i="6"/>
  <c r="F598" i="6"/>
  <c r="F599" i="6"/>
  <c r="F600" i="6"/>
  <c r="F601" i="6"/>
  <c r="F602" i="6"/>
  <c r="F603" i="6"/>
  <c r="G603" i="6" s="1"/>
  <c r="F604" i="6"/>
  <c r="F605" i="6"/>
  <c r="F606" i="6"/>
  <c r="G606" i="6" s="1"/>
  <c r="F607" i="6"/>
  <c r="F608" i="6"/>
  <c r="F609" i="6"/>
  <c r="F610" i="6"/>
  <c r="F611" i="6"/>
  <c r="F612" i="6"/>
  <c r="G612" i="6" s="1"/>
  <c r="F613" i="6"/>
  <c r="F614" i="6"/>
  <c r="F615" i="6"/>
  <c r="F616" i="6"/>
  <c r="F617" i="6"/>
  <c r="F618" i="6"/>
  <c r="F619" i="6"/>
  <c r="F620" i="6"/>
  <c r="G620" i="6" s="1"/>
  <c r="F621" i="6"/>
  <c r="F622" i="6"/>
  <c r="F623" i="6"/>
  <c r="F624" i="6"/>
  <c r="F625" i="6"/>
  <c r="F626" i="6"/>
  <c r="F627" i="6"/>
  <c r="F628" i="6"/>
  <c r="F629" i="6"/>
  <c r="G629" i="6" s="1"/>
  <c r="F630" i="6"/>
  <c r="F631" i="6"/>
  <c r="F632" i="6"/>
  <c r="F633" i="6"/>
  <c r="F634" i="6"/>
  <c r="F635" i="6"/>
  <c r="F636" i="6"/>
  <c r="F637" i="6"/>
  <c r="G637" i="6" s="1"/>
  <c r="F638" i="6"/>
  <c r="F639" i="6"/>
  <c r="F640" i="6"/>
  <c r="F641" i="6"/>
  <c r="F642" i="6"/>
  <c r="F643" i="6"/>
  <c r="F644" i="6"/>
  <c r="F645" i="6"/>
  <c r="G645" i="6" s="1"/>
  <c r="F646" i="6"/>
  <c r="F647" i="6"/>
  <c r="F648" i="6"/>
  <c r="F649" i="6"/>
  <c r="F650" i="6"/>
  <c r="F651" i="6"/>
  <c r="F652" i="6"/>
  <c r="F653" i="6"/>
  <c r="G653" i="6" s="1"/>
  <c r="F654" i="6"/>
  <c r="F655" i="6"/>
  <c r="F656" i="6"/>
  <c r="F657" i="6"/>
  <c r="F658" i="6"/>
  <c r="F659" i="6"/>
  <c r="F660" i="6"/>
  <c r="F661" i="6"/>
  <c r="G661" i="6" s="1"/>
  <c r="F662" i="6"/>
  <c r="F663" i="6"/>
  <c r="F664" i="6"/>
  <c r="F665" i="6"/>
  <c r="F666" i="6"/>
  <c r="F667" i="6"/>
  <c r="F668" i="6"/>
  <c r="F669" i="6"/>
  <c r="G669" i="6" s="1"/>
  <c r="F670" i="6"/>
  <c r="G670" i="6" s="1"/>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G698" i="6" s="1"/>
  <c r="F699" i="6"/>
  <c r="F700" i="6"/>
  <c r="F701" i="6"/>
  <c r="F702" i="6"/>
  <c r="F703" i="6"/>
  <c r="F704" i="6"/>
  <c r="F705" i="6"/>
  <c r="F706" i="6"/>
  <c r="F707" i="6"/>
  <c r="G707" i="6" s="1"/>
  <c r="F708" i="6"/>
  <c r="G708" i="6" s="1"/>
  <c r="F709" i="6"/>
  <c r="G709" i="6" s="1"/>
  <c r="F710" i="6"/>
  <c r="G710" i="6" s="1"/>
  <c r="F711" i="6"/>
  <c r="F712" i="6"/>
  <c r="F713" i="6"/>
  <c r="F714" i="6"/>
  <c r="F715" i="6"/>
  <c r="F716" i="6"/>
  <c r="G716" i="6" s="1"/>
  <c r="F717" i="6"/>
  <c r="F718" i="6"/>
  <c r="F719" i="6"/>
  <c r="F720" i="6"/>
  <c r="F721" i="6"/>
  <c r="F722" i="6"/>
  <c r="F723" i="6"/>
  <c r="F724" i="6"/>
  <c r="F725" i="6"/>
  <c r="G725" i="6" s="1"/>
  <c r="F726" i="6"/>
  <c r="F727" i="6"/>
  <c r="F728" i="6"/>
  <c r="F729" i="6"/>
  <c r="F730" i="6"/>
  <c r="F731" i="6"/>
  <c r="F732" i="6"/>
  <c r="G732" i="6" s="1"/>
  <c r="F733" i="6"/>
  <c r="F734" i="6"/>
  <c r="G734" i="6" s="1"/>
  <c r="F735" i="6"/>
  <c r="F736" i="6"/>
  <c r="F737" i="6"/>
  <c r="F738" i="6"/>
  <c r="F739" i="6"/>
  <c r="F740" i="6"/>
  <c r="G740" i="6" s="1"/>
  <c r="F741" i="6"/>
  <c r="F742" i="6"/>
  <c r="F743" i="6"/>
  <c r="F744" i="6"/>
  <c r="F745" i="6"/>
  <c r="F746" i="6"/>
  <c r="F747" i="6"/>
  <c r="F748" i="6"/>
  <c r="F749" i="6"/>
  <c r="F750" i="6"/>
  <c r="F751" i="6"/>
  <c r="F752" i="6"/>
  <c r="F753" i="6"/>
  <c r="F754" i="6"/>
  <c r="F755" i="6"/>
  <c r="F756" i="6"/>
  <c r="G756" i="6" s="1"/>
  <c r="F757" i="6"/>
  <c r="G757" i="6" s="1"/>
  <c r="F758" i="6"/>
  <c r="F759" i="6"/>
  <c r="F760" i="6"/>
  <c r="F761" i="6"/>
  <c r="F762" i="6"/>
  <c r="F763" i="6"/>
  <c r="F764" i="6"/>
  <c r="F765" i="6"/>
  <c r="G765" i="6" s="1"/>
  <c r="F766" i="6"/>
  <c r="F767" i="6"/>
  <c r="F768" i="6"/>
  <c r="F769" i="6"/>
  <c r="F770" i="6"/>
  <c r="F771" i="6"/>
  <c r="G771" i="6" s="1"/>
  <c r="F772" i="6"/>
  <c r="F773" i="6"/>
  <c r="F774" i="6"/>
  <c r="F775" i="6"/>
  <c r="F776" i="6"/>
  <c r="F777" i="6"/>
  <c r="F778" i="6"/>
  <c r="F779" i="6"/>
  <c r="F780" i="6"/>
  <c r="G780" i="6" s="1"/>
  <c r="F781" i="6"/>
  <c r="F782" i="6"/>
  <c r="G782" i="6" s="1"/>
  <c r="F783" i="6"/>
  <c r="F784" i="6"/>
  <c r="F785" i="6"/>
  <c r="F786" i="6"/>
  <c r="G786" i="6" s="1"/>
  <c r="F787" i="6"/>
  <c r="F788" i="6"/>
  <c r="F789" i="6"/>
  <c r="F790" i="6"/>
  <c r="G790" i="6" s="1"/>
  <c r="F791" i="6"/>
  <c r="F792" i="6"/>
  <c r="F793" i="6"/>
  <c r="F794" i="6"/>
  <c r="F795" i="6"/>
  <c r="G795" i="6" s="1"/>
  <c r="F796" i="6"/>
  <c r="G796" i="6" s="1"/>
  <c r="F797" i="6"/>
  <c r="G797" i="6" s="1"/>
  <c r="F798" i="6"/>
  <c r="F799" i="6"/>
  <c r="F800" i="6"/>
  <c r="F801" i="6"/>
  <c r="F802" i="6"/>
  <c r="F803" i="6"/>
  <c r="F804" i="6"/>
  <c r="F805" i="6"/>
  <c r="F806" i="6"/>
  <c r="G806" i="6" s="1"/>
  <c r="F807" i="6"/>
  <c r="F808" i="6"/>
  <c r="F809" i="6"/>
  <c r="F810" i="6"/>
  <c r="F811" i="6"/>
  <c r="F812" i="6"/>
  <c r="F813" i="6"/>
  <c r="F814" i="6"/>
  <c r="G814" i="6" s="1"/>
  <c r="F815" i="6"/>
  <c r="F816" i="6"/>
  <c r="F817" i="6"/>
  <c r="F818" i="6"/>
  <c r="F819" i="6"/>
  <c r="F820" i="6"/>
  <c r="F821" i="6"/>
  <c r="G821" i="6" s="1"/>
  <c r="F822" i="6"/>
  <c r="F823" i="6"/>
  <c r="F824" i="6"/>
  <c r="F825" i="6"/>
  <c r="F826" i="6"/>
  <c r="F827" i="6"/>
  <c r="F828" i="6"/>
  <c r="F829" i="6"/>
  <c r="F830" i="6"/>
  <c r="F831" i="6"/>
  <c r="F832" i="6"/>
  <c r="F833" i="6"/>
  <c r="F834" i="6"/>
  <c r="F835" i="6"/>
  <c r="G835" i="6" s="1"/>
  <c r="F836" i="6"/>
  <c r="F837" i="6"/>
  <c r="F838" i="6"/>
  <c r="F839" i="6"/>
  <c r="F840" i="6"/>
  <c r="F841" i="6"/>
  <c r="F842" i="6"/>
  <c r="F843" i="6"/>
  <c r="G843" i="6" s="1"/>
  <c r="F844" i="6"/>
  <c r="F845" i="6"/>
  <c r="F846" i="6"/>
  <c r="F847" i="6"/>
  <c r="F848" i="6"/>
  <c r="F849" i="6"/>
  <c r="F850" i="6"/>
  <c r="F851" i="6"/>
  <c r="G851" i="6" s="1"/>
  <c r="F852" i="6"/>
  <c r="G852" i="6" s="1"/>
  <c r="F853" i="6"/>
  <c r="F854" i="6"/>
  <c r="F855" i="6"/>
  <c r="F856" i="6"/>
  <c r="F857" i="6"/>
  <c r="F858" i="6"/>
  <c r="F859" i="6"/>
  <c r="F860" i="6"/>
  <c r="F861" i="6"/>
  <c r="G861" i="6" s="1"/>
  <c r="F862" i="6"/>
  <c r="G862" i="6" s="1"/>
  <c r="F863" i="6"/>
  <c r="F864" i="6"/>
  <c r="F865" i="6"/>
  <c r="F866" i="6"/>
  <c r="G866" i="6" s="1"/>
  <c r="F867" i="6"/>
  <c r="F868" i="6"/>
  <c r="F869" i="6"/>
  <c r="F870" i="6"/>
  <c r="F871" i="6"/>
  <c r="F872" i="6"/>
  <c r="F873" i="6"/>
  <c r="F874" i="6"/>
  <c r="F875" i="6"/>
  <c r="F876" i="6"/>
  <c r="F877" i="6"/>
  <c r="F878" i="6"/>
  <c r="F879" i="6"/>
  <c r="F880" i="6"/>
  <c r="F881" i="6"/>
  <c r="F882" i="6"/>
  <c r="F883" i="6"/>
  <c r="F884" i="6"/>
  <c r="G884" i="6" s="1"/>
  <c r="F885" i="6"/>
  <c r="F886" i="6"/>
  <c r="G886" i="6" s="1"/>
  <c r="F887" i="6"/>
  <c r="F888" i="6"/>
  <c r="F889" i="6"/>
  <c r="F890" i="6"/>
  <c r="F891" i="6"/>
  <c r="G891" i="6" s="1"/>
  <c r="F892" i="6"/>
  <c r="G892" i="6" s="1"/>
  <c r="F893" i="6"/>
  <c r="G893" i="6" s="1"/>
  <c r="F894" i="6"/>
  <c r="G894" i="6" s="1"/>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G938" i="6" s="1"/>
  <c r="F939" i="6"/>
  <c r="G939" i="6" s="1"/>
  <c r="F940" i="6"/>
  <c r="G940" i="6" s="1"/>
  <c r="F941" i="6"/>
  <c r="F942" i="6"/>
  <c r="F943" i="6"/>
  <c r="F944" i="6"/>
  <c r="F945" i="6"/>
  <c r="F946" i="6"/>
  <c r="G946" i="6" s="1"/>
  <c r="F947" i="6"/>
  <c r="F948" i="6"/>
  <c r="G948" i="6" s="1"/>
  <c r="F949" i="6"/>
  <c r="G949" i="6" s="1"/>
  <c r="F950" i="6"/>
  <c r="F951" i="6"/>
  <c r="F952" i="6"/>
  <c r="F953" i="6"/>
  <c r="F954" i="6"/>
  <c r="F955" i="6"/>
  <c r="G955" i="6" s="1"/>
  <c r="F956" i="6"/>
  <c r="F957" i="6"/>
  <c r="F958" i="6"/>
  <c r="G958" i="6" s="1"/>
  <c r="F959" i="6"/>
  <c r="F960" i="6"/>
  <c r="F961" i="6"/>
  <c r="F962" i="6"/>
  <c r="F963" i="6"/>
  <c r="F964" i="6"/>
  <c r="G964" i="6" s="1"/>
  <c r="F965" i="6"/>
  <c r="F966" i="6"/>
  <c r="F967" i="6"/>
  <c r="F968" i="6"/>
  <c r="F969" i="6"/>
  <c r="F970" i="6"/>
  <c r="F971" i="6"/>
  <c r="F972" i="6"/>
  <c r="F973" i="6"/>
  <c r="F974" i="6"/>
  <c r="F975" i="6"/>
  <c r="F976" i="6"/>
  <c r="F977" i="6"/>
  <c r="F978" i="6"/>
  <c r="F979" i="6"/>
  <c r="F980" i="6"/>
  <c r="F981" i="6"/>
  <c r="F982" i="6"/>
  <c r="F983" i="6"/>
  <c r="F984" i="6"/>
  <c r="F985" i="6"/>
  <c r="F986" i="6"/>
  <c r="F987" i="6"/>
  <c r="F988" i="6"/>
  <c r="G988" i="6" s="1"/>
  <c r="F989" i="6"/>
  <c r="G989" i="6" s="1"/>
  <c r="F990" i="6"/>
  <c r="G990" i="6" s="1"/>
  <c r="F991" i="6"/>
  <c r="F992" i="6"/>
  <c r="F993" i="6"/>
  <c r="F994" i="6"/>
  <c r="F995" i="6"/>
  <c r="F996" i="6"/>
  <c r="F997" i="6"/>
  <c r="G997" i="6" s="1"/>
  <c r="F998" i="6"/>
  <c r="G998" i="6" s="1"/>
  <c r="F999" i="6"/>
  <c r="F1000" i="6"/>
  <c r="F1001" i="6"/>
  <c r="F1002" i="6"/>
  <c r="F1003" i="6"/>
  <c r="F1004" i="6"/>
  <c r="F1005" i="6"/>
  <c r="F1006" i="6"/>
  <c r="F1007" i="6"/>
  <c r="F1008" i="6"/>
  <c r="F1009" i="6"/>
  <c r="F1010" i="6"/>
  <c r="F1011" i="6"/>
  <c r="G1011" i="6" s="1"/>
  <c r="F1012" i="6"/>
  <c r="F1013" i="6"/>
  <c r="F1014" i="6"/>
  <c r="F1015" i="6"/>
  <c r="F1016" i="6"/>
  <c r="F1017" i="6"/>
  <c r="F1018" i="6"/>
  <c r="F1019" i="6"/>
  <c r="G1019" i="6" s="1"/>
  <c r="F1020" i="6"/>
  <c r="F1021" i="6"/>
  <c r="F1022" i="6"/>
  <c r="F1023" i="6"/>
  <c r="F1024" i="6"/>
  <c r="F1025" i="6"/>
  <c r="F1026" i="6"/>
  <c r="F1027" i="6"/>
  <c r="F1028" i="6"/>
  <c r="F1029" i="6"/>
  <c r="F1030" i="6"/>
  <c r="F1031" i="6"/>
  <c r="F1032" i="6"/>
  <c r="F1033" i="6"/>
  <c r="F1034" i="6"/>
  <c r="F1035" i="6"/>
  <c r="G1035" i="6" s="1"/>
  <c r="F1036" i="6"/>
  <c r="G1036" i="6" s="1"/>
  <c r="F1037" i="6"/>
  <c r="G1037" i="6" s="1"/>
  <c r="F1038" i="6"/>
  <c r="F1039" i="6"/>
  <c r="F1040" i="6"/>
  <c r="F1041" i="6"/>
  <c r="F1042" i="6"/>
  <c r="F1043" i="6"/>
  <c r="F1044" i="6"/>
  <c r="G1044" i="6" s="1"/>
  <c r="F1045" i="6"/>
  <c r="F1046" i="6"/>
  <c r="G1046" i="6" s="1"/>
  <c r="F1047" i="6"/>
  <c r="F1048" i="6"/>
  <c r="F1049" i="6"/>
  <c r="F1050" i="6"/>
  <c r="F1051" i="6"/>
  <c r="G1051" i="6" s="1"/>
  <c r="F1052" i="6"/>
  <c r="F1053" i="6"/>
  <c r="F1054" i="6"/>
  <c r="G1054" i="6" s="1"/>
  <c r="F1055" i="6"/>
  <c r="F1056" i="6"/>
  <c r="F1057" i="6"/>
  <c r="F1058" i="6"/>
  <c r="F1059" i="6"/>
  <c r="G1059" i="6" s="1"/>
  <c r="F1060" i="6"/>
  <c r="G1060" i="6" s="1"/>
  <c r="F1061" i="6"/>
  <c r="F1062" i="6"/>
  <c r="F1063" i="6"/>
  <c r="F1064" i="6"/>
  <c r="F1065" i="6"/>
  <c r="F1066" i="6"/>
  <c r="G1066" i="6" s="1"/>
  <c r="F1067" i="6"/>
  <c r="G1067" i="6" s="1"/>
  <c r="F1068" i="6"/>
  <c r="F1069" i="6"/>
  <c r="F1070" i="6"/>
  <c r="F1071" i="6"/>
  <c r="F1072" i="6"/>
  <c r="F1073" i="6"/>
  <c r="F1074" i="6"/>
  <c r="F1075" i="6"/>
  <c r="F1076" i="6"/>
  <c r="F1077" i="6"/>
  <c r="F1078" i="6"/>
  <c r="F1079" i="6"/>
  <c r="F1080" i="6"/>
  <c r="F1081" i="6"/>
  <c r="F1082" i="6"/>
  <c r="F1083" i="6"/>
  <c r="G1083" i="6" s="1"/>
  <c r="F1084" i="6"/>
  <c r="G1084" i="6" s="1"/>
  <c r="F1085" i="6"/>
  <c r="G1085" i="6" s="1"/>
  <c r="F1086" i="6"/>
  <c r="G1086" i="6" s="1"/>
  <c r="F1087" i="6"/>
  <c r="F1088" i="6"/>
  <c r="F1089" i="6"/>
  <c r="F1090" i="6"/>
  <c r="F1091" i="6"/>
  <c r="F1092" i="6"/>
  <c r="F1093" i="6"/>
  <c r="G1093" i="6" s="1"/>
  <c r="F1094" i="6"/>
  <c r="G1094" i="6" s="1"/>
  <c r="F1095" i="6"/>
  <c r="F1096" i="6"/>
  <c r="F1097" i="6"/>
  <c r="F1098" i="6"/>
  <c r="F1099" i="6"/>
  <c r="F1100" i="6"/>
  <c r="G1100" i="6" s="1"/>
  <c r="F1101" i="6"/>
  <c r="F1102" i="6"/>
  <c r="F1103" i="6"/>
  <c r="F1104" i="6"/>
  <c r="F1105" i="6"/>
  <c r="F1106" i="6"/>
  <c r="G1106" i="6" s="1"/>
  <c r="F1107" i="6"/>
  <c r="G1107" i="6" s="1"/>
  <c r="F1108" i="6"/>
  <c r="G1108" i="6" s="1"/>
  <c r="F1109" i="6"/>
  <c r="F1110" i="6"/>
  <c r="F1111" i="6"/>
  <c r="F1112" i="6"/>
  <c r="F1113" i="6"/>
  <c r="F1114" i="6"/>
  <c r="F1115" i="6"/>
  <c r="F1116" i="6"/>
  <c r="G1116" i="6" s="1"/>
  <c r="F1117" i="6"/>
  <c r="F1118" i="6"/>
  <c r="F1119" i="6"/>
  <c r="F1120" i="6"/>
  <c r="F1121" i="6"/>
  <c r="F1122" i="6"/>
  <c r="F1123" i="6"/>
  <c r="F1124" i="6"/>
  <c r="F1125" i="6"/>
  <c r="F1126" i="6"/>
  <c r="F1127" i="6"/>
  <c r="F1128" i="6"/>
  <c r="F1129" i="6"/>
  <c r="F1130" i="6"/>
  <c r="G1130" i="6" s="1"/>
  <c r="F1131" i="6"/>
  <c r="G1131" i="6" s="1"/>
  <c r="F1132" i="6"/>
  <c r="G1132" i="6" s="1"/>
  <c r="F1133" i="6"/>
  <c r="F1134" i="6"/>
  <c r="F1135" i="6"/>
  <c r="F1136" i="6"/>
  <c r="F1137" i="6"/>
  <c r="F1138" i="6"/>
  <c r="F1139" i="6"/>
  <c r="F1140" i="6"/>
  <c r="G1140" i="6" s="1"/>
  <c r="F1141" i="6"/>
  <c r="G1141" i="6" s="1"/>
  <c r="F1142" i="6"/>
  <c r="G1142" i="6" s="1"/>
  <c r="F1143" i="6"/>
  <c r="F1144" i="6"/>
  <c r="F1145" i="6"/>
  <c r="F1146" i="6"/>
  <c r="G1146" i="6" s="1"/>
  <c r="F1147" i="6"/>
  <c r="G1147" i="6" s="1"/>
  <c r="F1148" i="6"/>
  <c r="G1148" i="6" s="1"/>
  <c r="F1149" i="6"/>
  <c r="F1150" i="6"/>
  <c r="G1150" i="6" s="1"/>
  <c r="F1151" i="6"/>
  <c r="F1152" i="6"/>
  <c r="F1153" i="6"/>
  <c r="F1154" i="6"/>
  <c r="F1155" i="6"/>
  <c r="F1156" i="6"/>
  <c r="G1156" i="6" s="1"/>
  <c r="F1157" i="6"/>
  <c r="F1158" i="6"/>
  <c r="F1159" i="6"/>
  <c r="F1160" i="6"/>
  <c r="F1161" i="6"/>
  <c r="F1162" i="6"/>
  <c r="F1163" i="6"/>
  <c r="F1164" i="6"/>
  <c r="F1165" i="6"/>
  <c r="F1166" i="6"/>
  <c r="F1167" i="6"/>
  <c r="F1168" i="6"/>
  <c r="F1169" i="6"/>
  <c r="F1170" i="6"/>
  <c r="F1171" i="6"/>
  <c r="G1171" i="6" s="1"/>
  <c r="F1172" i="6"/>
  <c r="F1173" i="6"/>
  <c r="F1174" i="6"/>
  <c r="F1175" i="6"/>
  <c r="F1176" i="6"/>
  <c r="F1177" i="6"/>
  <c r="F1178" i="6"/>
  <c r="G1178" i="6" s="1"/>
  <c r="F1179" i="6"/>
  <c r="G1179" i="6" s="1"/>
  <c r="F1180" i="6"/>
  <c r="F1181" i="6"/>
  <c r="F1182" i="6"/>
  <c r="G1182" i="6" s="1"/>
  <c r="F1183" i="6"/>
  <c r="F1184" i="6"/>
  <c r="F1185" i="6"/>
  <c r="F1186" i="6"/>
  <c r="G1186" i="6" s="1"/>
  <c r="F1187" i="6"/>
  <c r="G1187" i="6" s="1"/>
  <c r="F1188" i="6"/>
  <c r="G1188" i="6" s="1"/>
  <c r="F1189" i="6"/>
  <c r="F1190" i="6"/>
  <c r="F1191" i="6"/>
  <c r="F1192" i="6"/>
  <c r="F1193" i="6"/>
  <c r="F1194" i="6"/>
  <c r="F1195" i="6"/>
  <c r="G1195" i="6" s="1"/>
  <c r="F1196" i="6"/>
  <c r="G1196" i="6" s="1"/>
  <c r="F1197" i="6"/>
  <c r="G1197" i="6" s="1"/>
  <c r="F1198" i="6"/>
  <c r="F1199" i="6"/>
  <c r="F1200" i="6"/>
  <c r="F1201" i="6"/>
  <c r="F1202" i="6"/>
  <c r="F1203" i="6"/>
  <c r="F1204" i="6"/>
  <c r="F1205" i="6"/>
  <c r="F1206" i="6"/>
  <c r="G1206" i="6" s="1"/>
  <c r="F1207" i="6"/>
  <c r="F1208" i="6"/>
  <c r="F1209" i="6"/>
  <c r="F1210" i="6"/>
  <c r="G1210" i="6" s="1"/>
  <c r="F1211" i="6"/>
  <c r="F1212" i="6"/>
  <c r="G1212" i="6" s="1"/>
  <c r="F1213" i="6"/>
  <c r="G1213" i="6" s="1"/>
  <c r="F1214" i="6"/>
  <c r="G1214" i="6" s="1"/>
  <c r="F1215" i="6"/>
  <c r="F1216" i="6"/>
  <c r="F1217" i="6"/>
  <c r="F1218" i="6"/>
  <c r="F1219" i="6"/>
  <c r="G1219" i="6" s="1"/>
  <c r="F1220" i="6"/>
  <c r="G1220" i="6" s="1"/>
  <c r="F1221" i="6"/>
  <c r="F1222" i="6"/>
  <c r="G1222" i="6" s="1"/>
  <c r="F1223" i="6"/>
  <c r="F1224" i="6"/>
  <c r="F1225" i="6"/>
  <c r="F1226" i="6"/>
  <c r="F1227" i="6"/>
  <c r="G1227" i="6" s="1"/>
  <c r="F1228" i="6"/>
  <c r="F1229" i="6"/>
  <c r="F1230" i="6"/>
  <c r="F1231" i="6"/>
  <c r="F1232" i="6"/>
  <c r="F1233" i="6"/>
  <c r="F1234" i="6"/>
  <c r="F1235" i="6"/>
  <c r="F1236" i="6"/>
  <c r="F1237" i="6"/>
  <c r="F1238" i="6"/>
  <c r="F1239" i="6"/>
  <c r="F1240" i="6"/>
  <c r="F1241" i="6"/>
  <c r="F1242" i="6"/>
  <c r="G1242" i="6" s="1"/>
  <c r="F1243" i="6"/>
  <c r="F1244" i="6"/>
  <c r="F1245" i="6"/>
  <c r="F1246" i="6"/>
  <c r="G1246" i="6" s="1"/>
  <c r="F1247" i="6"/>
  <c r="F1248" i="6"/>
  <c r="F1249" i="6"/>
  <c r="F1250" i="6"/>
  <c r="G1250" i="6" s="1"/>
  <c r="F1251" i="6"/>
  <c r="G1251" i="6" s="1"/>
  <c r="F1252" i="6"/>
  <c r="G1252" i="6" s="1"/>
  <c r="F1253" i="6"/>
  <c r="F1254" i="6"/>
  <c r="G1254" i="6" s="1"/>
  <c r="F1255" i="6"/>
  <c r="F1256" i="6"/>
  <c r="F1257" i="6"/>
  <c r="F1258" i="6"/>
  <c r="F1259" i="6"/>
  <c r="F1260" i="6"/>
  <c r="F1261" i="6"/>
  <c r="F1262" i="6"/>
  <c r="F1263" i="6"/>
  <c r="F1264" i="6"/>
  <c r="F1265" i="6"/>
  <c r="F1266" i="6"/>
  <c r="G1266" i="6" s="1"/>
  <c r="F1267" i="6"/>
  <c r="G1267" i="6" s="1"/>
  <c r="F1268" i="6"/>
  <c r="F1269" i="6"/>
  <c r="F1270" i="6"/>
  <c r="G1270" i="6" s="1"/>
  <c r="F1271" i="6"/>
  <c r="F1272" i="6"/>
  <c r="F1273" i="6"/>
  <c r="F1274" i="6"/>
  <c r="G1274" i="6" s="1"/>
  <c r="F1275" i="6"/>
  <c r="G1275" i="6" s="1"/>
  <c r="F1276" i="6"/>
  <c r="F1277" i="6"/>
  <c r="G1277" i="6" s="1"/>
  <c r="F1278" i="6"/>
  <c r="F1279" i="6"/>
  <c r="F1280" i="6"/>
  <c r="F1281" i="6"/>
  <c r="F1282" i="6"/>
  <c r="F1283" i="6"/>
  <c r="G1283" i="6" s="1"/>
  <c r="F1284" i="6"/>
  <c r="F1285" i="6"/>
  <c r="F1286" i="6"/>
  <c r="F1287" i="6"/>
  <c r="F1288" i="6"/>
  <c r="F1289" i="6"/>
  <c r="F1290" i="6"/>
  <c r="G1290" i="6" s="1"/>
  <c r="F1291" i="6"/>
  <c r="F1292" i="6"/>
  <c r="F1293" i="6"/>
  <c r="F1294" i="6"/>
  <c r="G1294" i="6" s="1"/>
  <c r="F1295" i="6"/>
  <c r="F1296" i="6"/>
  <c r="F1297" i="6"/>
  <c r="F1298" i="6"/>
  <c r="F1299" i="6"/>
  <c r="F1300" i="6"/>
  <c r="G1300" i="6" s="1"/>
  <c r="F1301" i="6"/>
  <c r="G1301" i="6" s="1"/>
  <c r="F1302" i="6"/>
  <c r="G1302" i="6" s="1"/>
  <c r="F1303" i="6"/>
  <c r="F1304" i="6"/>
  <c r="F1305" i="6"/>
  <c r="F1306" i="6"/>
  <c r="F1307" i="6"/>
  <c r="G1307" i="6" s="1"/>
  <c r="F1308" i="6"/>
  <c r="G1308" i="6" s="1"/>
  <c r="F1309" i="6"/>
  <c r="G1309" i="6" s="1"/>
  <c r="F1310" i="6"/>
  <c r="G1310" i="6" s="1"/>
  <c r="F1311" i="6"/>
  <c r="F1312" i="6"/>
  <c r="F1313" i="6"/>
  <c r="F1314" i="6"/>
  <c r="F1315" i="6"/>
  <c r="G1315" i="6" s="1"/>
  <c r="F1316" i="6"/>
  <c r="G1316" i="6" s="1"/>
  <c r="F1317" i="6"/>
  <c r="F1318" i="6"/>
  <c r="F1319" i="6"/>
  <c r="F1320" i="6"/>
  <c r="F1321" i="6"/>
  <c r="F1322" i="6"/>
  <c r="F1323" i="6"/>
  <c r="F1324" i="6"/>
  <c r="F1325" i="6"/>
  <c r="F1326" i="6"/>
  <c r="G1326" i="6" s="1"/>
  <c r="F1327" i="6"/>
  <c r="F1328" i="6"/>
  <c r="F1329" i="6"/>
  <c r="F1330" i="6"/>
  <c r="F1331" i="6"/>
  <c r="F1332" i="6"/>
  <c r="F1333" i="6"/>
  <c r="F1334" i="6"/>
  <c r="G1334" i="6" s="1"/>
  <c r="F1335" i="6"/>
  <c r="F1336" i="6"/>
  <c r="F1337" i="6"/>
  <c r="F1338" i="6"/>
  <c r="G1338" i="6" s="1"/>
  <c r="F1339" i="6"/>
  <c r="G1339" i="6" s="1"/>
  <c r="F1340" i="6"/>
  <c r="F1341" i="6"/>
  <c r="F1342" i="6"/>
  <c r="F1343" i="6"/>
  <c r="F1344" i="6"/>
  <c r="F1345" i="6"/>
  <c r="F1346" i="6"/>
  <c r="F1347" i="6"/>
  <c r="F1348" i="6"/>
  <c r="G1348" i="6" s="1"/>
  <c r="F1349" i="6"/>
  <c r="G1349" i="6" s="1"/>
  <c r="F1350" i="6"/>
  <c r="G1350" i="6" s="1"/>
  <c r="F1351" i="6"/>
  <c r="F1352" i="6"/>
  <c r="F1353" i="6"/>
  <c r="F1354" i="6"/>
  <c r="F1355" i="6"/>
  <c r="F1356" i="6"/>
  <c r="F1357" i="6"/>
  <c r="G1357" i="6" s="1"/>
  <c r="F1358" i="6"/>
  <c r="G1358" i="6" s="1"/>
  <c r="F1359" i="6"/>
  <c r="F1360" i="6"/>
  <c r="F1361" i="6"/>
  <c r="F1362" i="6"/>
  <c r="G1362" i="6" s="1"/>
  <c r="F1363" i="6"/>
  <c r="F1364" i="6"/>
  <c r="F1365" i="6"/>
  <c r="F1366" i="6"/>
  <c r="G1366" i="6" s="1"/>
  <c r="F1367" i="6"/>
  <c r="F1368" i="6"/>
  <c r="F1369" i="6"/>
  <c r="F1370" i="6"/>
  <c r="G1370" i="6" s="1"/>
  <c r="F1371" i="6"/>
  <c r="G1371" i="6" s="1"/>
  <c r="F1372" i="6"/>
  <c r="F1373" i="6"/>
  <c r="F1374" i="6"/>
  <c r="F1375" i="6"/>
  <c r="F1376" i="6"/>
  <c r="F1377" i="6"/>
  <c r="F1378" i="6"/>
  <c r="G1378" i="6" s="1"/>
  <c r="F1379" i="6"/>
  <c r="G1379" i="6" s="1"/>
  <c r="F1380" i="6"/>
  <c r="G1380" i="6" s="1"/>
  <c r="F1381" i="6"/>
  <c r="G1381" i="6" s="1"/>
  <c r="F1382" i="6"/>
  <c r="F1383" i="6"/>
  <c r="F1384" i="6"/>
  <c r="F1385" i="6"/>
  <c r="F1386" i="6"/>
  <c r="G1386" i="6" s="1"/>
  <c r="F1387" i="6"/>
  <c r="F1388" i="6"/>
  <c r="F1389" i="6"/>
  <c r="F1390" i="6"/>
  <c r="G1390" i="6" s="1"/>
  <c r="F1391" i="6"/>
  <c r="F1392" i="6"/>
  <c r="F1393" i="6"/>
  <c r="F1394" i="6"/>
  <c r="G1394" i="6" s="1"/>
  <c r="F1395" i="6"/>
  <c r="F1396" i="6"/>
  <c r="F1397" i="6"/>
  <c r="F1398" i="6"/>
  <c r="F1399" i="6"/>
  <c r="F1400" i="6"/>
  <c r="F1401" i="6"/>
  <c r="F1402" i="6"/>
  <c r="G1402" i="6" s="1"/>
  <c r="F1403" i="6"/>
  <c r="G1403" i="6" s="1"/>
  <c r="F1404" i="6"/>
  <c r="G1404" i="6" s="1"/>
  <c r="F1405" i="6"/>
  <c r="F1406" i="6"/>
  <c r="G1406" i="6" s="1"/>
  <c r="F1407" i="6"/>
  <c r="F1408" i="6"/>
  <c r="F1409" i="6"/>
  <c r="F1410" i="6"/>
  <c r="G1410" i="6" s="1"/>
  <c r="F1411" i="6"/>
  <c r="F1412" i="6"/>
  <c r="G1412" i="6" s="1"/>
  <c r="F1413" i="6"/>
  <c r="F1414" i="6"/>
  <c r="G1414" i="6" s="1"/>
  <c r="F1415" i="6"/>
  <c r="F1416" i="6"/>
  <c r="F1417" i="6"/>
  <c r="F1418" i="6"/>
  <c r="F1419" i="6"/>
  <c r="F1420" i="6"/>
  <c r="G1420" i="6" s="1"/>
  <c r="F1421" i="6"/>
  <c r="G1421" i="6" s="1"/>
  <c r="F1422" i="6"/>
  <c r="G1422" i="6" s="1"/>
  <c r="F1423" i="6"/>
  <c r="F1424" i="6"/>
  <c r="F1425" i="6"/>
  <c r="F1426" i="6"/>
  <c r="G1426" i="6" s="1"/>
  <c r="F1427" i="6"/>
  <c r="G1427" i="6" s="1"/>
  <c r="F1428" i="6"/>
  <c r="G1428" i="6" s="1"/>
  <c r="F1429" i="6"/>
  <c r="F1430" i="6"/>
  <c r="F1431" i="6"/>
  <c r="F1432" i="6"/>
  <c r="F1433" i="6"/>
  <c r="F1434" i="6"/>
  <c r="F1435" i="6"/>
  <c r="F1436" i="6"/>
  <c r="G1436" i="6" s="1"/>
  <c r="F1437" i="6"/>
  <c r="F1438" i="6"/>
  <c r="F1439" i="6"/>
  <c r="F1440" i="6"/>
  <c r="F1441" i="6"/>
  <c r="F1442" i="6"/>
  <c r="F1443" i="6"/>
  <c r="G1443" i="6" s="1"/>
  <c r="F1444" i="6"/>
  <c r="G1444" i="6" s="1"/>
  <c r="F1445" i="6"/>
  <c r="G1445" i="6" s="1"/>
  <c r="F1446" i="6"/>
  <c r="G1446" i="6" s="1"/>
  <c r="F1447" i="6"/>
  <c r="F1448" i="6"/>
  <c r="F1449" i="6"/>
  <c r="F1450" i="6"/>
  <c r="G1450" i="6" s="1"/>
  <c r="F1451" i="6"/>
  <c r="G1451" i="6" s="1"/>
  <c r="F1452" i="6"/>
  <c r="G1452" i="6" s="1"/>
  <c r="F1453" i="6"/>
  <c r="F1454" i="6"/>
  <c r="F1455" i="6"/>
  <c r="F1456" i="6"/>
  <c r="F1457" i="6"/>
  <c r="F1458" i="6"/>
  <c r="G1458" i="6" s="1"/>
  <c r="F1459" i="6"/>
  <c r="G1459" i="6" s="1"/>
  <c r="F1460" i="6"/>
  <c r="G1460" i="6" s="1"/>
  <c r="F1461" i="6"/>
  <c r="F1462" i="6"/>
  <c r="G1462" i="6" s="1"/>
  <c r="F1463" i="6"/>
  <c r="F1464" i="6"/>
  <c r="F1465" i="6"/>
  <c r="F1466" i="6"/>
  <c r="F1467" i="6"/>
  <c r="F1468" i="6"/>
  <c r="F1469" i="6"/>
  <c r="G1469" i="6" s="1"/>
  <c r="F1470" i="6"/>
  <c r="G1470" i="6" s="1"/>
  <c r="F1471" i="6"/>
  <c r="F1472" i="6"/>
  <c r="F1473" i="6"/>
  <c r="F1474" i="6"/>
  <c r="G1474" i="6" s="1"/>
  <c r="F1475" i="6"/>
  <c r="G1475" i="6" s="1"/>
  <c r="F1476" i="6"/>
  <c r="F1477" i="6"/>
  <c r="F1478" i="6"/>
  <c r="F1479" i="6"/>
  <c r="F1480" i="6"/>
  <c r="F1481" i="6"/>
  <c r="F1482" i="6"/>
  <c r="F1483" i="6"/>
  <c r="F1484" i="6"/>
  <c r="F1485" i="6"/>
  <c r="F1486" i="6"/>
  <c r="G1486" i="6" s="1"/>
  <c r="F1487" i="6"/>
  <c r="F1488" i="6"/>
  <c r="F1489" i="6"/>
  <c r="F1490" i="6"/>
  <c r="G1490" i="6" s="1"/>
  <c r="F1491" i="6"/>
  <c r="F1492" i="6"/>
  <c r="G1492" i="6" s="1"/>
  <c r="F1493" i="6"/>
  <c r="F1494" i="6"/>
  <c r="F1495" i="6"/>
  <c r="F1496" i="6"/>
  <c r="F1497" i="6"/>
  <c r="F1498" i="6"/>
  <c r="G1498" i="6" s="1"/>
  <c r="F1499" i="6"/>
  <c r="G1499" i="6" s="1"/>
  <c r="F1500" i="6"/>
  <c r="G1500" i="6" s="1"/>
  <c r="F1501" i="6"/>
  <c r="G1501" i="6" s="1"/>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 i="6"/>
  <c r="G106" i="6"/>
  <c r="G123" i="6"/>
  <c r="G124" i="6"/>
  <c r="G125" i="6"/>
  <c r="G140" i="6"/>
  <c r="G141" i="6"/>
  <c r="G142" i="6"/>
  <c r="G148" i="6"/>
  <c r="G150" i="6"/>
  <c r="G195" i="6"/>
  <c r="G203" i="6"/>
  <c r="G211" i="6"/>
  <c r="G219" i="6"/>
  <c r="G220" i="6"/>
  <c r="G236" i="6"/>
  <c r="G243" i="6"/>
  <c r="G244" i="6"/>
  <c r="G251" i="6"/>
  <c r="G252" i="6"/>
  <c r="G262" i="6"/>
  <c r="G268" i="6"/>
  <c r="G269" i="6"/>
  <c r="G270" i="6"/>
  <c r="G276" i="6"/>
  <c r="G286" i="6"/>
  <c r="G294" i="6"/>
  <c r="G299" i="6"/>
  <c r="G307" i="6"/>
  <c r="G315" i="6"/>
  <c r="G364" i="6"/>
  <c r="G371" i="6"/>
  <c r="G372" i="6"/>
  <c r="G387" i="6"/>
  <c r="G388" i="6"/>
  <c r="G389" i="6"/>
  <c r="G413" i="6"/>
  <c r="G414" i="6"/>
  <c r="G419" i="6"/>
  <c r="G421" i="6"/>
  <c r="G422" i="6"/>
  <c r="G467" i="6"/>
  <c r="G475" i="6"/>
  <c r="G515" i="6"/>
  <c r="G523" i="6"/>
  <c r="G531" i="6"/>
  <c r="G564" i="6"/>
  <c r="G565" i="6"/>
  <c r="G571" i="6"/>
  <c r="G572" i="6"/>
  <c r="G581" i="6"/>
  <c r="G598" i="6"/>
  <c r="G674" i="6"/>
  <c r="G683" i="6"/>
  <c r="G691" i="6"/>
  <c r="G699" i="6"/>
  <c r="G739" i="6"/>
  <c r="G742" i="6"/>
  <c r="G749" i="6"/>
  <c r="G766" i="6"/>
  <c r="G774" i="6"/>
  <c r="G803" i="6"/>
  <c r="G804" i="6"/>
  <c r="G805" i="6"/>
  <c r="G812" i="6"/>
  <c r="G813" i="6"/>
  <c r="G853" i="6"/>
  <c r="G858" i="6"/>
  <c r="G868" i="6"/>
  <c r="G875" i="6"/>
  <c r="G883" i="6"/>
  <c r="G901" i="6"/>
  <c r="G902" i="6"/>
  <c r="G931" i="6"/>
  <c r="G932" i="6"/>
  <c r="G941" i="6"/>
  <c r="G950" i="6"/>
  <c r="G972" i="6"/>
  <c r="G979" i="6"/>
  <c r="G980" i="6"/>
  <c r="G981" i="6"/>
  <c r="G1026" i="6"/>
  <c r="G1027" i="6"/>
  <c r="G1034" i="6"/>
  <c r="G1043" i="6"/>
  <c r="G1045" i="6"/>
  <c r="G1069" i="6"/>
  <c r="G1074" i="6"/>
  <c r="G1075" i="6"/>
  <c r="G1076" i="6"/>
  <c r="G1077" i="6"/>
  <c r="G1114" i="6"/>
  <c r="G1122" i="6"/>
  <c r="G1133" i="6"/>
  <c r="G1138" i="6"/>
  <c r="G1139" i="6"/>
  <c r="G1155" i="6"/>
  <c r="G1163" i="6"/>
  <c r="G1164" i="6"/>
  <c r="G1170" i="6"/>
  <c r="G1180" i="6"/>
  <c r="G1189" i="6"/>
  <c r="G1198" i="6"/>
  <c r="G1203" i="6"/>
  <c r="G1204" i="6"/>
  <c r="G1205" i="6"/>
  <c r="G1228" i="6"/>
  <c r="G1235" i="6"/>
  <c r="G1243" i="6"/>
  <c r="G1258" i="6"/>
  <c r="G1259" i="6"/>
  <c r="G1284" i="6"/>
  <c r="G1285" i="6"/>
  <c r="G1291" i="6"/>
  <c r="G1292" i="6"/>
  <c r="G1293" i="6"/>
  <c r="G1317" i="6"/>
  <c r="G1318" i="6"/>
  <c r="G1346" i="6"/>
  <c r="G1347" i="6"/>
  <c r="G1354" i="6"/>
  <c r="G1387" i="6"/>
  <c r="G1395" i="6"/>
  <c r="G1396" i="6"/>
  <c r="G1397" i="6"/>
  <c r="G1405" i="6"/>
  <c r="G1418" i="6"/>
  <c r="G1434" i="6"/>
  <c r="G1435" i="6"/>
  <c r="G1442" i="6"/>
  <c r="G1461" i="6"/>
  <c r="G1466" i="6"/>
  <c r="G1468" i="6"/>
  <c r="G1477" i="6"/>
  <c r="G1478" i="6"/>
  <c r="G1506" i="6"/>
  <c r="G1507" i="6"/>
  <c r="G1514" i="6"/>
  <c r="G1522" i="6"/>
  <c r="G1523" i="6"/>
  <c r="G1530" i="6"/>
  <c r="G1531" i="6"/>
  <c r="G1532" i="6"/>
  <c r="G1540" i="6"/>
  <c r="G1550" i="6"/>
  <c r="G1554" i="6"/>
  <c r="G1555" i="6"/>
  <c r="G1557" i="6"/>
  <c r="G1558" i="6"/>
  <c r="G1566" i="6"/>
  <c r="G1574" i="6"/>
  <c r="G1582" i="6"/>
  <c r="G1586" i="6"/>
  <c r="G1594" i="6"/>
  <c r="G1595" i="6"/>
  <c r="G1602" i="6"/>
  <c r="G1610" i="6"/>
  <c r="G1618" i="6"/>
  <c r="G1620" i="6"/>
  <c r="G1621" i="6"/>
  <c r="G1626" i="6"/>
  <c r="G1628" i="6"/>
  <c r="G1630" i="6"/>
  <c r="G1634" i="6"/>
  <c r="G1638" i="6"/>
  <c r="G1646" i="6"/>
  <c r="G1650" i="6"/>
  <c r="G1658" i="6"/>
  <c r="G1662" i="6"/>
  <c r="G1666" i="6"/>
  <c r="G1668" i="6"/>
  <c r="G1674" i="6"/>
  <c r="G1678" i="6"/>
  <c r="G1685" i="6"/>
  <c r="G1690" i="6"/>
  <c r="G1691" i="6"/>
  <c r="G1692" i="6"/>
  <c r="G1702" i="6"/>
  <c r="G1710" i="6"/>
  <c r="G1716" i="6"/>
  <c r="G1718" i="6"/>
  <c r="G1724" i="6"/>
  <c r="G1726" i="6"/>
  <c r="G1732" i="6"/>
  <c r="G1733" i="6"/>
  <c r="G1734" i="6"/>
  <c r="G1738" i="6"/>
  <c r="G1746" i="6"/>
  <c r="G1748" i="6"/>
  <c r="G1754" i="6"/>
  <c r="G1756" i="6"/>
  <c r="G1757" i="6"/>
  <c r="G1758" i="6"/>
  <c r="G1763" i="6"/>
  <c r="G1764" i="6"/>
  <c r="G1770" i="6"/>
  <c r="G1774" i="6"/>
  <c r="G1778" i="6"/>
  <c r="G1780" i="6"/>
  <c r="G1782" i="6"/>
  <c r="G1786" i="6"/>
  <c r="G1790" i="6"/>
  <c r="G1798" i="6"/>
  <c r="G1818" i="6"/>
  <c r="G1826" i="6"/>
  <c r="G1828" i="6"/>
  <c r="G1834" i="6"/>
  <c r="G1838" i="6"/>
  <c r="G1844" i="6"/>
  <c r="G1854" i="6"/>
  <c r="G1860" i="6"/>
  <c r="G1861" i="6"/>
  <c r="G1868" i="6"/>
  <c r="G1869" i="6"/>
  <c r="G1870" i="6"/>
  <c r="G1876" i="6"/>
  <c r="G1878" i="6"/>
  <c r="G1886" i="6"/>
  <c r="G1890" i="6"/>
  <c r="G1906" i="6"/>
  <c r="G1907" i="6"/>
  <c r="G1914" i="6"/>
  <c r="G1918" i="6"/>
  <c r="G1922" i="6"/>
  <c r="G1924" i="6"/>
  <c r="G1932" i="6"/>
  <c r="G1940" i="6"/>
  <c r="G1942" i="6"/>
  <c r="G1950" i="6"/>
  <c r="G1954" i="6"/>
  <c r="G1958" i="6"/>
  <c r="G1966" i="6"/>
  <c r="G1970" i="6"/>
  <c r="G1978" i="6"/>
  <c r="G1982" i="6"/>
  <c r="G1986" i="6"/>
  <c r="G1987" i="6"/>
  <c r="G1994" i="6"/>
  <c r="G1995" i="6"/>
  <c r="G1996" i="6"/>
  <c r="G2002" i="6"/>
  <c r="G2004" i="6"/>
  <c r="G2012" i="6"/>
  <c r="G2014" i="6"/>
  <c r="G2018" i="6"/>
  <c r="G2022" i="6"/>
  <c r="G2030" i="6"/>
  <c r="G2034" i="6"/>
  <c r="G2046" i="6"/>
  <c r="G2050" i="6"/>
  <c r="G2058" i="6"/>
  <c r="G2066" i="6"/>
  <c r="G2076" i="6"/>
  <c r="G2084" i="6"/>
  <c r="G2086" i="6"/>
  <c r="G2092" i="6"/>
  <c r="G2094" i="6"/>
  <c r="G2098" i="6"/>
  <c r="G2102" i="6"/>
  <c r="G2110" i="6"/>
  <c r="G2122" i="6"/>
  <c r="G2130" i="6"/>
  <c r="G2138" i="6"/>
  <c r="G2140" i="6"/>
  <c r="G2146" i="6"/>
  <c r="G2147" i="6"/>
  <c r="G2148" i="6"/>
  <c r="G215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T1002" i="6"/>
  <c r="T1003" i="6"/>
  <c r="T1004" i="6"/>
  <c r="T1005" i="6"/>
  <c r="T1006" i="6"/>
  <c r="T1007" i="6"/>
  <c r="T1008" i="6"/>
  <c r="T1009" i="6"/>
  <c r="T1010" i="6"/>
  <c r="T1011" i="6"/>
  <c r="T1012" i="6"/>
  <c r="T1013" i="6"/>
  <c r="T1014" i="6"/>
  <c r="T1015" i="6"/>
  <c r="T1016" i="6"/>
  <c r="T1017" i="6"/>
  <c r="T1018" i="6"/>
  <c r="T1019" i="6"/>
  <c r="T1020" i="6"/>
  <c r="T1021" i="6"/>
  <c r="T1022" i="6"/>
  <c r="T1023" i="6"/>
  <c r="T1024" i="6"/>
  <c r="T1025" i="6"/>
  <c r="T1026" i="6"/>
  <c r="T1027" i="6"/>
  <c r="T1028" i="6"/>
  <c r="T1029" i="6"/>
  <c r="T1030" i="6"/>
  <c r="T1031" i="6"/>
  <c r="T1032" i="6"/>
  <c r="T1033" i="6"/>
  <c r="T1034" i="6"/>
  <c r="T1035" i="6"/>
  <c r="T1036" i="6"/>
  <c r="T1037" i="6"/>
  <c r="T1038" i="6"/>
  <c r="T1039" i="6"/>
  <c r="T1040" i="6"/>
  <c r="T1041" i="6"/>
  <c r="T1042" i="6"/>
  <c r="T1043" i="6"/>
  <c r="T1044" i="6"/>
  <c r="T1045" i="6"/>
  <c r="T1046" i="6"/>
  <c r="T1047" i="6"/>
  <c r="T1048" i="6"/>
  <c r="T1049" i="6"/>
  <c r="T1050" i="6"/>
  <c r="T1051" i="6"/>
  <c r="T1052" i="6"/>
  <c r="T1053" i="6"/>
  <c r="T1054" i="6"/>
  <c r="T1055" i="6"/>
  <c r="T1056" i="6"/>
  <c r="T1057" i="6"/>
  <c r="T1058" i="6"/>
  <c r="T1059" i="6"/>
  <c r="T1060" i="6"/>
  <c r="T1061" i="6"/>
  <c r="T1062" i="6"/>
  <c r="T1063" i="6"/>
  <c r="T1064" i="6"/>
  <c r="T1065" i="6"/>
  <c r="T1066" i="6"/>
  <c r="T1067" i="6"/>
  <c r="T1068" i="6"/>
  <c r="T1069" i="6"/>
  <c r="T1070" i="6"/>
  <c r="T1071" i="6"/>
  <c r="T1072" i="6"/>
  <c r="T1073" i="6"/>
  <c r="T1074" i="6"/>
  <c r="T1075" i="6"/>
  <c r="T1076" i="6"/>
  <c r="T1077" i="6"/>
  <c r="T1078" i="6"/>
  <c r="T1079" i="6"/>
  <c r="T1080" i="6"/>
  <c r="T1081" i="6"/>
  <c r="T1082" i="6"/>
  <c r="T1083" i="6"/>
  <c r="T1084" i="6"/>
  <c r="T1085" i="6"/>
  <c r="T1086" i="6"/>
  <c r="T1087" i="6"/>
  <c r="T1088" i="6"/>
  <c r="T1089" i="6"/>
  <c r="T1090" i="6"/>
  <c r="T1091" i="6"/>
  <c r="T1092" i="6"/>
  <c r="T1093" i="6"/>
  <c r="T1094" i="6"/>
  <c r="T1095" i="6"/>
  <c r="T1096" i="6"/>
  <c r="T1097" i="6"/>
  <c r="T1098" i="6"/>
  <c r="T1099" i="6"/>
  <c r="T1100" i="6"/>
  <c r="T1101" i="6"/>
  <c r="T1102" i="6"/>
  <c r="T1103" i="6"/>
  <c r="T1104" i="6"/>
  <c r="T1105" i="6"/>
  <c r="T1106" i="6"/>
  <c r="T1107" i="6"/>
  <c r="T1108" i="6"/>
  <c r="T1109" i="6"/>
  <c r="T1110" i="6"/>
  <c r="T1111" i="6"/>
  <c r="T1112" i="6"/>
  <c r="T1113" i="6"/>
  <c r="T1114" i="6"/>
  <c r="T1115" i="6"/>
  <c r="T1116" i="6"/>
  <c r="T1117" i="6"/>
  <c r="T1118" i="6"/>
  <c r="T1119" i="6"/>
  <c r="T1120" i="6"/>
  <c r="T1121" i="6"/>
  <c r="T1122" i="6"/>
  <c r="T1123" i="6"/>
  <c r="T1124" i="6"/>
  <c r="T1125" i="6"/>
  <c r="T1126" i="6"/>
  <c r="T1127" i="6"/>
  <c r="T1128" i="6"/>
  <c r="T1129" i="6"/>
  <c r="T1130" i="6"/>
  <c r="T1131" i="6"/>
  <c r="T1132" i="6"/>
  <c r="T1133" i="6"/>
  <c r="T1134" i="6"/>
  <c r="T1135" i="6"/>
  <c r="T1136" i="6"/>
  <c r="T1137" i="6"/>
  <c r="T1138" i="6"/>
  <c r="T1139" i="6"/>
  <c r="T1140" i="6"/>
  <c r="T1141" i="6"/>
  <c r="T1142" i="6"/>
  <c r="T1143" i="6"/>
  <c r="T1144" i="6"/>
  <c r="T1145" i="6"/>
  <c r="T1146" i="6"/>
  <c r="T1147" i="6"/>
  <c r="T1148" i="6"/>
  <c r="T1149" i="6"/>
  <c r="T1150" i="6"/>
  <c r="T1151" i="6"/>
  <c r="T1152" i="6"/>
  <c r="T1153" i="6"/>
  <c r="T1154" i="6"/>
  <c r="T1155" i="6"/>
  <c r="T1156" i="6"/>
  <c r="T1157" i="6"/>
  <c r="T1158" i="6"/>
  <c r="T1159" i="6"/>
  <c r="T1160" i="6"/>
  <c r="T1161" i="6"/>
  <c r="T1162" i="6"/>
  <c r="T1163" i="6"/>
  <c r="T1164" i="6"/>
  <c r="T1165" i="6"/>
  <c r="T1166" i="6"/>
  <c r="T1167" i="6"/>
  <c r="T1168" i="6"/>
  <c r="T1169" i="6"/>
  <c r="T1170" i="6"/>
  <c r="T1171" i="6"/>
  <c r="T1172" i="6"/>
  <c r="T1173" i="6"/>
  <c r="T1174" i="6"/>
  <c r="T1175" i="6"/>
  <c r="T1176" i="6"/>
  <c r="T1177" i="6"/>
  <c r="T1178" i="6"/>
  <c r="T1179" i="6"/>
  <c r="T1180" i="6"/>
  <c r="T1181" i="6"/>
  <c r="T1182" i="6"/>
  <c r="T1183" i="6"/>
  <c r="T1184" i="6"/>
  <c r="T1185" i="6"/>
  <c r="T1186" i="6"/>
  <c r="T1187" i="6"/>
  <c r="T1188" i="6"/>
  <c r="T1189" i="6"/>
  <c r="T1190" i="6"/>
  <c r="T1191" i="6"/>
  <c r="T1192" i="6"/>
  <c r="T1193" i="6"/>
  <c r="T1194" i="6"/>
  <c r="T1195" i="6"/>
  <c r="T1196" i="6"/>
  <c r="T1197" i="6"/>
  <c r="T1198" i="6"/>
  <c r="T1199" i="6"/>
  <c r="T1200" i="6"/>
  <c r="T1201" i="6"/>
  <c r="T1202" i="6"/>
  <c r="T1203" i="6"/>
  <c r="T1204" i="6"/>
  <c r="T1205" i="6"/>
  <c r="T1206" i="6"/>
  <c r="T1207" i="6"/>
  <c r="T1208" i="6"/>
  <c r="T1209" i="6"/>
  <c r="T1210" i="6"/>
  <c r="T1211" i="6"/>
  <c r="T1212" i="6"/>
  <c r="T1213" i="6"/>
  <c r="T1214" i="6"/>
  <c r="T1215" i="6"/>
  <c r="T1216" i="6"/>
  <c r="T1217" i="6"/>
  <c r="T1218" i="6"/>
  <c r="T1219" i="6"/>
  <c r="T1220" i="6"/>
  <c r="T1221" i="6"/>
  <c r="T1222" i="6"/>
  <c r="T1223" i="6"/>
  <c r="T1224" i="6"/>
  <c r="T1225" i="6"/>
  <c r="T1226" i="6"/>
  <c r="T1227" i="6"/>
  <c r="T1228" i="6"/>
  <c r="T1229" i="6"/>
  <c r="T1230" i="6"/>
  <c r="T1231" i="6"/>
  <c r="T1232" i="6"/>
  <c r="T1233" i="6"/>
  <c r="T1234" i="6"/>
  <c r="T1235" i="6"/>
  <c r="T1236" i="6"/>
  <c r="T1237" i="6"/>
  <c r="T1238" i="6"/>
  <c r="T1239" i="6"/>
  <c r="T1240" i="6"/>
  <c r="T1241" i="6"/>
  <c r="T1242" i="6"/>
  <c r="T1243" i="6"/>
  <c r="T1244" i="6"/>
  <c r="T1245" i="6"/>
  <c r="T1246" i="6"/>
  <c r="T1247" i="6"/>
  <c r="T1248" i="6"/>
  <c r="T1249" i="6"/>
  <c r="T1250" i="6"/>
  <c r="T1251" i="6"/>
  <c r="T1252" i="6"/>
  <c r="T1253" i="6"/>
  <c r="T1254" i="6"/>
  <c r="T1255" i="6"/>
  <c r="T1256" i="6"/>
  <c r="T1257" i="6"/>
  <c r="T1258" i="6"/>
  <c r="T1259" i="6"/>
  <c r="T1260" i="6"/>
  <c r="T1261" i="6"/>
  <c r="T1262" i="6"/>
  <c r="T1263" i="6"/>
  <c r="T1264" i="6"/>
  <c r="T1265" i="6"/>
  <c r="T1266" i="6"/>
  <c r="T1267" i="6"/>
  <c r="T1268" i="6"/>
  <c r="T1269" i="6"/>
  <c r="T1270" i="6"/>
  <c r="T1271" i="6"/>
  <c r="T1272" i="6"/>
  <c r="T1273" i="6"/>
  <c r="T1274" i="6"/>
  <c r="T1275" i="6"/>
  <c r="T1276" i="6"/>
  <c r="T1277" i="6"/>
  <c r="T1278" i="6"/>
  <c r="T1279" i="6"/>
  <c r="T1280" i="6"/>
  <c r="T1281" i="6"/>
  <c r="T1282" i="6"/>
  <c r="T1283" i="6"/>
  <c r="T1284" i="6"/>
  <c r="T1285" i="6"/>
  <c r="T1286" i="6"/>
  <c r="T1287" i="6"/>
  <c r="T1288" i="6"/>
  <c r="T1289" i="6"/>
  <c r="T1290" i="6"/>
  <c r="T1291" i="6"/>
  <c r="T1292" i="6"/>
  <c r="T1293" i="6"/>
  <c r="T1294" i="6"/>
  <c r="T1295" i="6"/>
  <c r="T1296" i="6"/>
  <c r="T1297" i="6"/>
  <c r="T1298" i="6"/>
  <c r="T1299" i="6"/>
  <c r="T1300" i="6"/>
  <c r="T1301" i="6"/>
  <c r="T1302" i="6"/>
  <c r="T1303" i="6"/>
  <c r="T1304" i="6"/>
  <c r="T1305" i="6"/>
  <c r="T1306" i="6"/>
  <c r="T1307" i="6"/>
  <c r="T1308" i="6"/>
  <c r="T1309" i="6"/>
  <c r="T1310" i="6"/>
  <c r="T1311" i="6"/>
  <c r="T1312" i="6"/>
  <c r="T1313" i="6"/>
  <c r="T1314" i="6"/>
  <c r="T1315" i="6"/>
  <c r="T1316" i="6"/>
  <c r="T1317" i="6"/>
  <c r="T1318" i="6"/>
  <c r="T1319" i="6"/>
  <c r="T1320" i="6"/>
  <c r="T1321" i="6"/>
  <c r="T1322" i="6"/>
  <c r="T1323" i="6"/>
  <c r="T1324" i="6"/>
  <c r="T1325" i="6"/>
  <c r="T1326" i="6"/>
  <c r="T1327" i="6"/>
  <c r="T1328" i="6"/>
  <c r="T1329" i="6"/>
  <c r="T1330" i="6"/>
  <c r="T1331" i="6"/>
  <c r="T1332" i="6"/>
  <c r="T1333" i="6"/>
  <c r="T1334" i="6"/>
  <c r="T1335" i="6"/>
  <c r="T1336" i="6"/>
  <c r="T1337" i="6"/>
  <c r="T1338" i="6"/>
  <c r="T1339" i="6"/>
  <c r="T1340" i="6"/>
  <c r="T1341" i="6"/>
  <c r="T1342" i="6"/>
  <c r="T1343" i="6"/>
  <c r="T1344" i="6"/>
  <c r="T1345" i="6"/>
  <c r="T1346" i="6"/>
  <c r="T1347" i="6"/>
  <c r="T1348" i="6"/>
  <c r="T1349" i="6"/>
  <c r="T1350" i="6"/>
  <c r="T1351" i="6"/>
  <c r="T1352" i="6"/>
  <c r="T1353" i="6"/>
  <c r="T1354" i="6"/>
  <c r="T1355" i="6"/>
  <c r="T1356" i="6"/>
  <c r="T1357" i="6"/>
  <c r="T1358" i="6"/>
  <c r="T1359" i="6"/>
  <c r="T1360" i="6"/>
  <c r="T1361" i="6"/>
  <c r="T1362" i="6"/>
  <c r="T1363" i="6"/>
  <c r="T1364" i="6"/>
  <c r="T1365" i="6"/>
  <c r="T1366" i="6"/>
  <c r="T1367" i="6"/>
  <c r="T1368" i="6"/>
  <c r="T1369" i="6"/>
  <c r="T1370" i="6"/>
  <c r="T1371" i="6"/>
  <c r="T1372" i="6"/>
  <c r="T1373" i="6"/>
  <c r="T1374" i="6"/>
  <c r="T1375" i="6"/>
  <c r="T1376" i="6"/>
  <c r="T1377" i="6"/>
  <c r="T1378" i="6"/>
  <c r="T1379" i="6"/>
  <c r="T1380" i="6"/>
  <c r="T1381" i="6"/>
  <c r="T1382" i="6"/>
  <c r="T1383" i="6"/>
  <c r="T1384" i="6"/>
  <c r="T1385" i="6"/>
  <c r="T1386" i="6"/>
  <c r="T1387" i="6"/>
  <c r="T1388" i="6"/>
  <c r="T1389" i="6"/>
  <c r="T1390" i="6"/>
  <c r="T1391" i="6"/>
  <c r="T1392" i="6"/>
  <c r="T1393" i="6"/>
  <c r="T1394" i="6"/>
  <c r="T1395" i="6"/>
  <c r="T1396" i="6"/>
  <c r="T1397" i="6"/>
  <c r="T1398" i="6"/>
  <c r="T1399" i="6"/>
  <c r="T1400" i="6"/>
  <c r="T1401" i="6"/>
  <c r="T1402" i="6"/>
  <c r="T1403" i="6"/>
  <c r="T1404" i="6"/>
  <c r="T1405" i="6"/>
  <c r="T1406" i="6"/>
  <c r="T1407" i="6"/>
  <c r="T1408" i="6"/>
  <c r="T1409" i="6"/>
  <c r="T1410" i="6"/>
  <c r="T1411" i="6"/>
  <c r="T1412" i="6"/>
  <c r="T1413" i="6"/>
  <c r="T1414" i="6"/>
  <c r="T1415" i="6"/>
  <c r="T1416" i="6"/>
  <c r="T1417" i="6"/>
  <c r="T1418" i="6"/>
  <c r="T1419" i="6"/>
  <c r="T1420" i="6"/>
  <c r="T1421" i="6"/>
  <c r="T1422" i="6"/>
  <c r="T1423" i="6"/>
  <c r="T1424" i="6"/>
  <c r="T1425" i="6"/>
  <c r="T1426" i="6"/>
  <c r="T1427" i="6"/>
  <c r="T1428" i="6"/>
  <c r="T1429" i="6"/>
  <c r="T1430" i="6"/>
  <c r="T1431" i="6"/>
  <c r="T1432" i="6"/>
  <c r="T1433" i="6"/>
  <c r="T1434" i="6"/>
  <c r="T1435" i="6"/>
  <c r="T1436" i="6"/>
  <c r="T1437" i="6"/>
  <c r="T1438" i="6"/>
  <c r="T1439" i="6"/>
  <c r="T1440" i="6"/>
  <c r="T1441" i="6"/>
  <c r="T1442" i="6"/>
  <c r="T1443" i="6"/>
  <c r="T1444" i="6"/>
  <c r="T1445" i="6"/>
  <c r="T1446" i="6"/>
  <c r="T1447" i="6"/>
  <c r="T1448" i="6"/>
  <c r="T1449" i="6"/>
  <c r="T1450" i="6"/>
  <c r="T1451" i="6"/>
  <c r="T1452" i="6"/>
  <c r="T1453" i="6"/>
  <c r="T1454" i="6"/>
  <c r="T1455" i="6"/>
  <c r="T1456" i="6"/>
  <c r="T1457" i="6"/>
  <c r="T1458" i="6"/>
  <c r="T1459" i="6"/>
  <c r="T1460" i="6"/>
  <c r="T1461" i="6"/>
  <c r="T1462" i="6"/>
  <c r="T1463" i="6"/>
  <c r="T1464" i="6"/>
  <c r="T1465" i="6"/>
  <c r="T1466" i="6"/>
  <c r="T1467" i="6"/>
  <c r="T1468" i="6"/>
  <c r="T1469" i="6"/>
  <c r="T1470" i="6"/>
  <c r="T1471" i="6"/>
  <c r="T1472" i="6"/>
  <c r="T1473" i="6"/>
  <c r="T1474" i="6"/>
  <c r="T1475" i="6"/>
  <c r="T1476" i="6"/>
  <c r="T1477" i="6"/>
  <c r="T1478" i="6"/>
  <c r="T1479" i="6"/>
  <c r="T1480" i="6"/>
  <c r="T1481" i="6"/>
  <c r="T1482" i="6"/>
  <c r="T1483" i="6"/>
  <c r="T1484" i="6"/>
  <c r="T1485" i="6"/>
  <c r="T1486" i="6"/>
  <c r="T1487" i="6"/>
  <c r="T1488" i="6"/>
  <c r="T1489" i="6"/>
  <c r="T1490" i="6"/>
  <c r="T1491" i="6"/>
  <c r="T1492" i="6"/>
  <c r="T1493" i="6"/>
  <c r="T1494" i="6"/>
  <c r="T1495" i="6"/>
  <c r="T1496" i="6"/>
  <c r="T1497" i="6"/>
  <c r="T1498" i="6"/>
  <c r="T1499" i="6"/>
  <c r="T1500" i="6"/>
  <c r="T1501" i="6"/>
  <c r="T1502" i="6"/>
  <c r="T1503" i="6"/>
  <c r="T1504" i="6"/>
  <c r="T1505" i="6"/>
  <c r="T1506" i="6"/>
  <c r="T1507" i="6"/>
  <c r="T1508" i="6"/>
  <c r="T1509" i="6"/>
  <c r="T1510" i="6"/>
  <c r="T1511" i="6"/>
  <c r="T1512" i="6"/>
  <c r="T1513" i="6"/>
  <c r="T1514" i="6"/>
  <c r="T1515" i="6"/>
  <c r="T1516" i="6"/>
  <c r="T1517" i="6"/>
  <c r="T1518" i="6"/>
  <c r="T1519" i="6"/>
  <c r="T1520" i="6"/>
  <c r="T1521" i="6"/>
  <c r="T1522" i="6"/>
  <c r="T1523" i="6"/>
  <c r="T1524" i="6"/>
  <c r="T1525" i="6"/>
  <c r="T1526" i="6"/>
  <c r="T1527" i="6"/>
  <c r="T1528" i="6"/>
  <c r="T1529" i="6"/>
  <c r="T1530" i="6"/>
  <c r="T1531" i="6"/>
  <c r="T1532" i="6"/>
  <c r="T1533" i="6"/>
  <c r="T1534" i="6"/>
  <c r="T1535" i="6"/>
  <c r="T1536" i="6"/>
  <c r="T1537" i="6"/>
  <c r="T1538" i="6"/>
  <c r="T1539" i="6"/>
  <c r="T1540" i="6"/>
  <c r="T1541" i="6"/>
  <c r="T1542" i="6"/>
  <c r="T1543" i="6"/>
  <c r="T1544" i="6"/>
  <c r="T1545" i="6"/>
  <c r="T1546" i="6"/>
  <c r="T1547" i="6"/>
  <c r="T1548" i="6"/>
  <c r="T1549" i="6"/>
  <c r="T1550" i="6"/>
  <c r="T1551" i="6"/>
  <c r="T1552" i="6"/>
  <c r="T1553" i="6"/>
  <c r="T1554" i="6"/>
  <c r="T1555" i="6"/>
  <c r="T1556" i="6"/>
  <c r="T1557" i="6"/>
  <c r="T1558" i="6"/>
  <c r="T1559" i="6"/>
  <c r="T1560" i="6"/>
  <c r="T1561" i="6"/>
  <c r="T1562" i="6"/>
  <c r="T1563" i="6"/>
  <c r="T1564" i="6"/>
  <c r="T1565" i="6"/>
  <c r="T1566" i="6"/>
  <c r="T1567" i="6"/>
  <c r="T1568" i="6"/>
  <c r="T1569" i="6"/>
  <c r="T1570" i="6"/>
  <c r="T1571" i="6"/>
  <c r="T1572" i="6"/>
  <c r="T1573" i="6"/>
  <c r="T1574" i="6"/>
  <c r="T1575" i="6"/>
  <c r="T1576" i="6"/>
  <c r="T1577" i="6"/>
  <c r="T1578" i="6"/>
  <c r="T1579" i="6"/>
  <c r="T1580" i="6"/>
  <c r="T1581" i="6"/>
  <c r="T1582" i="6"/>
  <c r="T1583" i="6"/>
  <c r="T1584" i="6"/>
  <c r="T1585" i="6"/>
  <c r="T1586" i="6"/>
  <c r="T1587" i="6"/>
  <c r="T1588" i="6"/>
  <c r="T1589" i="6"/>
  <c r="T1590" i="6"/>
  <c r="T1591" i="6"/>
  <c r="T1592" i="6"/>
  <c r="T1593" i="6"/>
  <c r="T1594" i="6"/>
  <c r="T1595" i="6"/>
  <c r="T1596" i="6"/>
  <c r="T1597" i="6"/>
  <c r="T1598" i="6"/>
  <c r="T1599" i="6"/>
  <c r="T1600" i="6"/>
  <c r="T1601" i="6"/>
  <c r="T1602" i="6"/>
  <c r="T1603" i="6"/>
  <c r="T1604" i="6"/>
  <c r="T1605" i="6"/>
  <c r="T1606" i="6"/>
  <c r="T1607" i="6"/>
  <c r="T1608" i="6"/>
  <c r="T1609" i="6"/>
  <c r="T1610" i="6"/>
  <c r="T1611" i="6"/>
  <c r="T1612" i="6"/>
  <c r="T1613" i="6"/>
  <c r="T1614" i="6"/>
  <c r="T1615" i="6"/>
  <c r="T1616" i="6"/>
  <c r="T1617" i="6"/>
  <c r="T1618" i="6"/>
  <c r="T1619" i="6"/>
  <c r="T1620" i="6"/>
  <c r="T1621" i="6"/>
  <c r="T1622" i="6"/>
  <c r="T1623" i="6"/>
  <c r="T1624" i="6"/>
  <c r="T1625" i="6"/>
  <c r="T1626" i="6"/>
  <c r="T1627" i="6"/>
  <c r="T1628" i="6"/>
  <c r="T1629" i="6"/>
  <c r="T1630" i="6"/>
  <c r="T1631" i="6"/>
  <c r="T1632" i="6"/>
  <c r="T1633" i="6"/>
  <c r="T1634" i="6"/>
  <c r="T1635" i="6"/>
  <c r="T1636" i="6"/>
  <c r="T1637" i="6"/>
  <c r="T1638" i="6"/>
  <c r="T1639" i="6"/>
  <c r="T1640" i="6"/>
  <c r="T1641" i="6"/>
  <c r="T1642" i="6"/>
  <c r="T1643" i="6"/>
  <c r="T1644" i="6"/>
  <c r="T1645" i="6"/>
  <c r="T1646" i="6"/>
  <c r="T1647" i="6"/>
  <c r="T1648" i="6"/>
  <c r="T1649" i="6"/>
  <c r="T1650" i="6"/>
  <c r="T1651" i="6"/>
  <c r="T1652" i="6"/>
  <c r="T1653" i="6"/>
  <c r="T1654" i="6"/>
  <c r="T1655" i="6"/>
  <c r="T1656" i="6"/>
  <c r="T1657" i="6"/>
  <c r="T1658" i="6"/>
  <c r="T1659" i="6"/>
  <c r="T1660" i="6"/>
  <c r="T1661" i="6"/>
  <c r="T1662" i="6"/>
  <c r="T1663" i="6"/>
  <c r="T1664" i="6"/>
  <c r="T1665" i="6"/>
  <c r="T1666" i="6"/>
  <c r="T1667" i="6"/>
  <c r="T1668" i="6"/>
  <c r="T1669" i="6"/>
  <c r="T1670" i="6"/>
  <c r="T1671" i="6"/>
  <c r="T1672" i="6"/>
  <c r="T1673" i="6"/>
  <c r="T1674" i="6"/>
  <c r="T1675" i="6"/>
  <c r="T1676" i="6"/>
  <c r="T1677" i="6"/>
  <c r="T1678" i="6"/>
  <c r="T1679" i="6"/>
  <c r="T1680" i="6"/>
  <c r="T1681" i="6"/>
  <c r="T1682" i="6"/>
  <c r="T1683" i="6"/>
  <c r="T1684" i="6"/>
  <c r="T1685" i="6"/>
  <c r="T1686" i="6"/>
  <c r="T1687" i="6"/>
  <c r="T1688" i="6"/>
  <c r="T1689" i="6"/>
  <c r="T1690" i="6"/>
  <c r="T1691" i="6"/>
  <c r="T1692" i="6"/>
  <c r="T1693" i="6"/>
  <c r="T1694" i="6"/>
  <c r="T1695" i="6"/>
  <c r="T1696" i="6"/>
  <c r="T1697" i="6"/>
  <c r="T1698" i="6"/>
  <c r="T1699" i="6"/>
  <c r="T1700" i="6"/>
  <c r="T1701" i="6"/>
  <c r="T1702" i="6"/>
  <c r="T1703" i="6"/>
  <c r="T1704" i="6"/>
  <c r="T1705" i="6"/>
  <c r="T1706" i="6"/>
  <c r="T1707" i="6"/>
  <c r="T1708" i="6"/>
  <c r="T1709" i="6"/>
  <c r="T1710" i="6"/>
  <c r="T1711" i="6"/>
  <c r="T1712" i="6"/>
  <c r="T1713" i="6"/>
  <c r="T1714" i="6"/>
  <c r="T1715" i="6"/>
  <c r="T1716" i="6"/>
  <c r="T1717" i="6"/>
  <c r="T1718" i="6"/>
  <c r="T1719" i="6"/>
  <c r="T1720" i="6"/>
  <c r="T1721" i="6"/>
  <c r="T1722" i="6"/>
  <c r="T1723" i="6"/>
  <c r="T1724" i="6"/>
  <c r="T1725" i="6"/>
  <c r="T1726" i="6"/>
  <c r="T1727" i="6"/>
  <c r="T1728" i="6"/>
  <c r="T1729" i="6"/>
  <c r="T1730" i="6"/>
  <c r="T1731" i="6"/>
  <c r="T1732" i="6"/>
  <c r="T1733" i="6"/>
  <c r="T1734" i="6"/>
  <c r="T1735" i="6"/>
  <c r="T1736" i="6"/>
  <c r="T1737" i="6"/>
  <c r="T1738" i="6"/>
  <c r="T1739" i="6"/>
  <c r="T1740" i="6"/>
  <c r="T1741" i="6"/>
  <c r="T1742" i="6"/>
  <c r="T1743" i="6"/>
  <c r="T1744" i="6"/>
  <c r="T1745" i="6"/>
  <c r="T1746" i="6"/>
  <c r="T1747" i="6"/>
  <c r="T1748" i="6"/>
  <c r="T1749" i="6"/>
  <c r="T1750" i="6"/>
  <c r="T1751" i="6"/>
  <c r="T1752" i="6"/>
  <c r="T1753" i="6"/>
  <c r="T1754" i="6"/>
  <c r="T1755" i="6"/>
  <c r="T1756" i="6"/>
  <c r="T1757" i="6"/>
  <c r="T1758" i="6"/>
  <c r="T1759" i="6"/>
  <c r="T1760" i="6"/>
  <c r="T1761" i="6"/>
  <c r="T1762" i="6"/>
  <c r="T1763" i="6"/>
  <c r="T1764" i="6"/>
  <c r="T1765" i="6"/>
  <c r="T1766" i="6"/>
  <c r="T1767" i="6"/>
  <c r="T1768" i="6"/>
  <c r="T1769" i="6"/>
  <c r="T1770" i="6"/>
  <c r="T1771" i="6"/>
  <c r="T1772" i="6"/>
  <c r="T1773" i="6"/>
  <c r="T1774" i="6"/>
  <c r="T1775" i="6"/>
  <c r="T1776" i="6"/>
  <c r="T1777" i="6"/>
  <c r="T1778" i="6"/>
  <c r="T1779" i="6"/>
  <c r="T1780" i="6"/>
  <c r="T1781" i="6"/>
  <c r="T1782" i="6"/>
  <c r="T1783" i="6"/>
  <c r="T1784" i="6"/>
  <c r="T1785" i="6"/>
  <c r="T1786" i="6"/>
  <c r="T1787" i="6"/>
  <c r="T1788" i="6"/>
  <c r="T1789" i="6"/>
  <c r="T1790" i="6"/>
  <c r="T1791" i="6"/>
  <c r="T1792" i="6"/>
  <c r="T1793" i="6"/>
  <c r="T1794" i="6"/>
  <c r="T1795" i="6"/>
  <c r="T1796" i="6"/>
  <c r="T1797" i="6"/>
  <c r="T1798" i="6"/>
  <c r="T1799" i="6"/>
  <c r="T1800" i="6"/>
  <c r="T1801" i="6"/>
  <c r="T1802" i="6"/>
  <c r="T1803" i="6"/>
  <c r="T1804" i="6"/>
  <c r="T1805" i="6"/>
  <c r="T1806" i="6"/>
  <c r="T1807" i="6"/>
  <c r="T1808" i="6"/>
  <c r="T1809" i="6"/>
  <c r="T1810" i="6"/>
  <c r="T1811" i="6"/>
  <c r="T1812" i="6"/>
  <c r="T1813" i="6"/>
  <c r="T1814" i="6"/>
  <c r="T1815" i="6"/>
  <c r="T1816" i="6"/>
  <c r="T1817" i="6"/>
  <c r="T1818" i="6"/>
  <c r="T1819" i="6"/>
  <c r="T1820" i="6"/>
  <c r="T1821" i="6"/>
  <c r="T1822" i="6"/>
  <c r="T1823" i="6"/>
  <c r="T1824" i="6"/>
  <c r="T1825" i="6"/>
  <c r="T1826" i="6"/>
  <c r="T1827" i="6"/>
  <c r="T1828" i="6"/>
  <c r="T1829" i="6"/>
  <c r="T1830" i="6"/>
  <c r="T1831" i="6"/>
  <c r="T1832" i="6"/>
  <c r="T1833" i="6"/>
  <c r="T1834" i="6"/>
  <c r="T1835" i="6"/>
  <c r="T1836" i="6"/>
  <c r="T1837" i="6"/>
  <c r="T1838" i="6"/>
  <c r="T1839" i="6"/>
  <c r="T1840" i="6"/>
  <c r="T1841" i="6"/>
  <c r="T1842" i="6"/>
  <c r="T1843" i="6"/>
  <c r="T1844" i="6"/>
  <c r="T1845" i="6"/>
  <c r="T1846" i="6"/>
  <c r="T1847" i="6"/>
  <c r="T1848" i="6"/>
  <c r="T1849" i="6"/>
  <c r="T1850" i="6"/>
  <c r="T1851" i="6"/>
  <c r="T1852" i="6"/>
  <c r="T1853" i="6"/>
  <c r="T1854" i="6"/>
  <c r="T1855" i="6"/>
  <c r="T1856" i="6"/>
  <c r="T1857" i="6"/>
  <c r="T1858" i="6"/>
  <c r="T1859" i="6"/>
  <c r="T1860" i="6"/>
  <c r="T1861" i="6"/>
  <c r="T1862" i="6"/>
  <c r="T1863" i="6"/>
  <c r="T1864" i="6"/>
  <c r="T1865" i="6"/>
  <c r="T1866" i="6"/>
  <c r="T1867" i="6"/>
  <c r="T1868" i="6"/>
  <c r="T1869" i="6"/>
  <c r="T1870" i="6"/>
  <c r="T1871" i="6"/>
  <c r="T1872" i="6"/>
  <c r="T1873" i="6"/>
  <c r="T1874" i="6"/>
  <c r="T1875" i="6"/>
  <c r="T1876" i="6"/>
  <c r="T1877" i="6"/>
  <c r="T1878" i="6"/>
  <c r="T1879" i="6"/>
  <c r="T1880" i="6"/>
  <c r="T1881" i="6"/>
  <c r="T1882" i="6"/>
  <c r="T1883" i="6"/>
  <c r="T1884" i="6"/>
  <c r="T1885" i="6"/>
  <c r="T1886" i="6"/>
  <c r="T1887" i="6"/>
  <c r="T1888" i="6"/>
  <c r="T1889" i="6"/>
  <c r="T1890" i="6"/>
  <c r="T1891" i="6"/>
  <c r="T1892" i="6"/>
  <c r="T1893" i="6"/>
  <c r="T1894" i="6"/>
  <c r="T1895" i="6"/>
  <c r="T1896" i="6"/>
  <c r="T1897" i="6"/>
  <c r="T1898" i="6"/>
  <c r="T1899" i="6"/>
  <c r="T1900" i="6"/>
  <c r="T1901" i="6"/>
  <c r="T1902" i="6"/>
  <c r="T1903" i="6"/>
  <c r="T1904" i="6"/>
  <c r="T1905" i="6"/>
  <c r="T1906" i="6"/>
  <c r="T1907" i="6"/>
  <c r="T1908" i="6"/>
  <c r="T1909" i="6"/>
  <c r="T1910" i="6"/>
  <c r="T1911" i="6"/>
  <c r="T1912" i="6"/>
  <c r="T1913" i="6"/>
  <c r="T1914" i="6"/>
  <c r="T1915" i="6"/>
  <c r="T1916" i="6"/>
  <c r="T1917" i="6"/>
  <c r="T1918" i="6"/>
  <c r="T1919" i="6"/>
  <c r="T1920" i="6"/>
  <c r="T1921" i="6"/>
  <c r="T1922" i="6"/>
  <c r="T1923" i="6"/>
  <c r="T1924" i="6"/>
  <c r="T1925" i="6"/>
  <c r="T1926" i="6"/>
  <c r="T1927" i="6"/>
  <c r="T1928" i="6"/>
  <c r="T1929" i="6"/>
  <c r="T1930" i="6"/>
  <c r="T1931" i="6"/>
  <c r="T1932" i="6"/>
  <c r="T1933" i="6"/>
  <c r="T1934" i="6"/>
  <c r="T1935" i="6"/>
  <c r="T1936" i="6"/>
  <c r="T1937" i="6"/>
  <c r="T1938" i="6"/>
  <c r="T1939" i="6"/>
  <c r="T1940" i="6"/>
  <c r="T1941" i="6"/>
  <c r="T1942" i="6"/>
  <c r="T1943" i="6"/>
  <c r="T1944" i="6"/>
  <c r="T1945" i="6"/>
  <c r="T1946" i="6"/>
  <c r="T1947" i="6"/>
  <c r="T1948" i="6"/>
  <c r="T1949" i="6"/>
  <c r="T1950" i="6"/>
  <c r="T1951" i="6"/>
  <c r="T1952" i="6"/>
  <c r="T1953" i="6"/>
  <c r="T1954" i="6"/>
  <c r="T1955" i="6"/>
  <c r="T1956" i="6"/>
  <c r="T1957" i="6"/>
  <c r="T1958" i="6"/>
  <c r="T1959" i="6"/>
  <c r="T1960" i="6"/>
  <c r="T1961" i="6"/>
  <c r="T1962" i="6"/>
  <c r="T1963" i="6"/>
  <c r="T1964" i="6"/>
  <c r="T1965" i="6"/>
  <c r="T1966" i="6"/>
  <c r="T1967" i="6"/>
  <c r="T1968" i="6"/>
  <c r="T1969" i="6"/>
  <c r="T1970" i="6"/>
  <c r="T1971" i="6"/>
  <c r="T1972" i="6"/>
  <c r="T1973" i="6"/>
  <c r="T1974" i="6"/>
  <c r="T1975" i="6"/>
  <c r="T1976" i="6"/>
  <c r="T1977" i="6"/>
  <c r="T1978" i="6"/>
  <c r="T1979" i="6"/>
  <c r="T1980" i="6"/>
  <c r="T1981" i="6"/>
  <c r="T1982" i="6"/>
  <c r="T1983" i="6"/>
  <c r="T1984" i="6"/>
  <c r="T1985" i="6"/>
  <c r="T1986" i="6"/>
  <c r="T1987" i="6"/>
  <c r="T1988" i="6"/>
  <c r="T1989" i="6"/>
  <c r="T1990" i="6"/>
  <c r="T1991" i="6"/>
  <c r="T1992" i="6"/>
  <c r="T1993" i="6"/>
  <c r="T1994" i="6"/>
  <c r="T1995" i="6"/>
  <c r="T1996" i="6"/>
  <c r="T1997" i="6"/>
  <c r="T1998" i="6"/>
  <c r="T1999" i="6"/>
  <c r="T2000" i="6"/>
  <c r="T2001" i="6"/>
  <c r="T2002" i="6"/>
  <c r="T2003" i="6"/>
  <c r="T2004" i="6"/>
  <c r="T2005" i="6"/>
  <c r="T2006" i="6"/>
  <c r="T2007" i="6"/>
  <c r="T2008" i="6"/>
  <c r="T2009" i="6"/>
  <c r="T2010" i="6"/>
  <c r="T2011" i="6"/>
  <c r="T2012" i="6"/>
  <c r="T2013" i="6"/>
  <c r="T2014" i="6"/>
  <c r="T2015" i="6"/>
  <c r="T2016" i="6"/>
  <c r="T2017" i="6"/>
  <c r="T2018" i="6"/>
  <c r="T2019" i="6"/>
  <c r="T2020" i="6"/>
  <c r="T2021" i="6"/>
  <c r="T2022" i="6"/>
  <c r="T2023" i="6"/>
  <c r="T2024" i="6"/>
  <c r="T2025" i="6"/>
  <c r="T2026" i="6"/>
  <c r="T2027" i="6"/>
  <c r="T2028" i="6"/>
  <c r="T2029" i="6"/>
  <c r="T2030" i="6"/>
  <c r="T2031" i="6"/>
  <c r="T2032" i="6"/>
  <c r="T2033" i="6"/>
  <c r="T2034" i="6"/>
  <c r="T2035" i="6"/>
  <c r="T2036" i="6"/>
  <c r="T2037" i="6"/>
  <c r="T2038" i="6"/>
  <c r="T2039" i="6"/>
  <c r="T2040" i="6"/>
  <c r="T2041" i="6"/>
  <c r="T2042" i="6"/>
  <c r="T2043" i="6"/>
  <c r="T2044" i="6"/>
  <c r="T2045" i="6"/>
  <c r="T2046" i="6"/>
  <c r="T2047" i="6"/>
  <c r="T2048" i="6"/>
  <c r="T2049" i="6"/>
  <c r="T2050" i="6"/>
  <c r="T2051" i="6"/>
  <c r="T2052" i="6"/>
  <c r="T2053" i="6"/>
  <c r="T2054" i="6"/>
  <c r="T2055" i="6"/>
  <c r="T2056" i="6"/>
  <c r="T2057" i="6"/>
  <c r="T2058" i="6"/>
  <c r="T2059" i="6"/>
  <c r="T2060" i="6"/>
  <c r="T2061" i="6"/>
  <c r="T2062" i="6"/>
  <c r="T2063" i="6"/>
  <c r="T2064" i="6"/>
  <c r="T2065" i="6"/>
  <c r="T2066" i="6"/>
  <c r="T2067" i="6"/>
  <c r="T2068" i="6"/>
  <c r="T2069" i="6"/>
  <c r="T2070" i="6"/>
  <c r="T2071" i="6"/>
  <c r="T2072" i="6"/>
  <c r="T2073" i="6"/>
  <c r="T2074" i="6"/>
  <c r="T2075" i="6"/>
  <c r="T2076" i="6"/>
  <c r="T2077" i="6"/>
  <c r="T2078" i="6"/>
  <c r="T2079" i="6"/>
  <c r="T2080" i="6"/>
  <c r="T2081" i="6"/>
  <c r="T2082" i="6"/>
  <c r="T2083" i="6"/>
  <c r="T2084" i="6"/>
  <c r="T2085" i="6"/>
  <c r="T2086" i="6"/>
  <c r="T2087" i="6"/>
  <c r="T2088" i="6"/>
  <c r="T2089" i="6"/>
  <c r="T2090" i="6"/>
  <c r="T2091" i="6"/>
  <c r="T2092" i="6"/>
  <c r="T2093" i="6"/>
  <c r="T2094" i="6"/>
  <c r="T2095" i="6"/>
  <c r="T2096" i="6"/>
  <c r="T2097" i="6"/>
  <c r="T2098" i="6"/>
  <c r="T2099" i="6"/>
  <c r="T2100" i="6"/>
  <c r="T2101" i="6"/>
  <c r="T2102" i="6"/>
  <c r="T2103" i="6"/>
  <c r="T2104" i="6"/>
  <c r="T2105" i="6"/>
  <c r="T2106" i="6"/>
  <c r="T2107" i="6"/>
  <c r="T2108" i="6"/>
  <c r="T2109" i="6"/>
  <c r="T2110" i="6"/>
  <c r="T2111" i="6"/>
  <c r="T2112" i="6"/>
  <c r="T2113" i="6"/>
  <c r="T2114" i="6"/>
  <c r="T2115" i="6"/>
  <c r="T2116" i="6"/>
  <c r="T2117" i="6"/>
  <c r="T2118" i="6"/>
  <c r="T2119" i="6"/>
  <c r="T2120" i="6"/>
  <c r="T2121" i="6"/>
  <c r="T2122" i="6"/>
  <c r="T2123" i="6"/>
  <c r="T2124" i="6"/>
  <c r="T2125" i="6"/>
  <c r="T2126" i="6"/>
  <c r="T2127" i="6"/>
  <c r="T2128" i="6"/>
  <c r="T2129" i="6"/>
  <c r="T2130" i="6"/>
  <c r="T2131" i="6"/>
  <c r="T2132" i="6"/>
  <c r="T2133" i="6"/>
  <c r="T2134" i="6"/>
  <c r="T2135" i="6"/>
  <c r="T2136" i="6"/>
  <c r="T2137" i="6"/>
  <c r="T2138" i="6"/>
  <c r="T2139" i="6"/>
  <c r="T2140" i="6"/>
  <c r="T2141" i="6"/>
  <c r="T2142" i="6"/>
  <c r="T2143" i="6"/>
  <c r="T2144" i="6"/>
  <c r="T2145" i="6"/>
  <c r="T2146" i="6"/>
  <c r="T2147" i="6"/>
  <c r="T2148" i="6"/>
  <c r="T2149" i="6"/>
  <c r="T2150" i="6"/>
  <c r="T2151" i="6"/>
  <c r="T2152" i="6"/>
  <c r="T2153" i="6"/>
  <c r="T2154" i="6"/>
  <c r="T2155" i="6"/>
  <c r="T2156" i="6"/>
  <c r="T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R1002" i="6"/>
  <c r="R1003" i="6"/>
  <c r="R1004" i="6"/>
  <c r="R1005" i="6"/>
  <c r="R1006" i="6"/>
  <c r="R1007" i="6"/>
  <c r="R1008" i="6"/>
  <c r="R1009" i="6"/>
  <c r="R1010" i="6"/>
  <c r="R1011" i="6"/>
  <c r="R1012" i="6"/>
  <c r="R1013" i="6"/>
  <c r="R1014" i="6"/>
  <c r="R1015" i="6"/>
  <c r="R1016" i="6"/>
  <c r="R1017" i="6"/>
  <c r="R1018" i="6"/>
  <c r="R1019" i="6"/>
  <c r="R1020" i="6"/>
  <c r="R1021" i="6"/>
  <c r="R1022" i="6"/>
  <c r="R1023" i="6"/>
  <c r="R1024" i="6"/>
  <c r="R1025" i="6"/>
  <c r="R1026" i="6"/>
  <c r="R1027" i="6"/>
  <c r="R1028" i="6"/>
  <c r="R1029" i="6"/>
  <c r="R1030" i="6"/>
  <c r="R1031" i="6"/>
  <c r="R1032" i="6"/>
  <c r="R1033" i="6"/>
  <c r="R1034" i="6"/>
  <c r="R1035" i="6"/>
  <c r="R1036" i="6"/>
  <c r="R1037" i="6"/>
  <c r="R1038" i="6"/>
  <c r="R1039" i="6"/>
  <c r="R1040" i="6"/>
  <c r="R1041" i="6"/>
  <c r="R1042" i="6"/>
  <c r="R1043" i="6"/>
  <c r="R1044" i="6"/>
  <c r="R1045" i="6"/>
  <c r="R1046" i="6"/>
  <c r="R1047" i="6"/>
  <c r="R1048" i="6"/>
  <c r="R1049" i="6"/>
  <c r="R1050" i="6"/>
  <c r="R1051" i="6"/>
  <c r="R1052" i="6"/>
  <c r="R1053" i="6"/>
  <c r="R1054" i="6"/>
  <c r="R1055" i="6"/>
  <c r="R1056" i="6"/>
  <c r="R1057" i="6"/>
  <c r="R1058" i="6"/>
  <c r="R1059" i="6"/>
  <c r="R1060" i="6"/>
  <c r="R1061" i="6"/>
  <c r="R1062" i="6"/>
  <c r="R1063" i="6"/>
  <c r="R1064" i="6"/>
  <c r="R1065" i="6"/>
  <c r="R1066" i="6"/>
  <c r="R1067" i="6"/>
  <c r="R1068" i="6"/>
  <c r="R1069" i="6"/>
  <c r="R1070" i="6"/>
  <c r="R1071" i="6"/>
  <c r="R1072" i="6"/>
  <c r="R1073" i="6"/>
  <c r="R1074" i="6"/>
  <c r="R1075" i="6"/>
  <c r="R1076" i="6"/>
  <c r="R1077" i="6"/>
  <c r="R1078" i="6"/>
  <c r="R1079" i="6"/>
  <c r="R1080" i="6"/>
  <c r="R1081" i="6"/>
  <c r="R1082" i="6"/>
  <c r="R1083" i="6"/>
  <c r="R1084" i="6"/>
  <c r="R1085" i="6"/>
  <c r="R1086" i="6"/>
  <c r="R1087" i="6"/>
  <c r="R1088" i="6"/>
  <c r="R1089" i="6"/>
  <c r="R1090" i="6"/>
  <c r="R1091" i="6"/>
  <c r="R1092" i="6"/>
  <c r="R1093" i="6"/>
  <c r="R1094" i="6"/>
  <c r="R1095" i="6"/>
  <c r="R1096" i="6"/>
  <c r="R1097" i="6"/>
  <c r="R1098" i="6"/>
  <c r="R1099" i="6"/>
  <c r="R1100" i="6"/>
  <c r="R1101" i="6"/>
  <c r="R1102" i="6"/>
  <c r="R1103" i="6"/>
  <c r="R1104" i="6"/>
  <c r="R1105" i="6"/>
  <c r="R1106" i="6"/>
  <c r="R1107" i="6"/>
  <c r="R1108" i="6"/>
  <c r="R1109" i="6"/>
  <c r="R1110" i="6"/>
  <c r="R1111" i="6"/>
  <c r="R1112" i="6"/>
  <c r="R1113" i="6"/>
  <c r="R1114" i="6"/>
  <c r="R1115" i="6"/>
  <c r="R1116" i="6"/>
  <c r="R1117" i="6"/>
  <c r="R1118" i="6"/>
  <c r="R1119" i="6"/>
  <c r="R1120" i="6"/>
  <c r="R1121" i="6"/>
  <c r="R1122" i="6"/>
  <c r="R1123" i="6"/>
  <c r="R1124" i="6"/>
  <c r="R1125" i="6"/>
  <c r="R1126" i="6"/>
  <c r="R1127" i="6"/>
  <c r="R1128" i="6"/>
  <c r="R1129" i="6"/>
  <c r="R1130" i="6"/>
  <c r="R1131" i="6"/>
  <c r="R1132" i="6"/>
  <c r="R1133" i="6"/>
  <c r="R1134" i="6"/>
  <c r="R1135" i="6"/>
  <c r="R1136" i="6"/>
  <c r="R1137" i="6"/>
  <c r="R1138" i="6"/>
  <c r="R1139" i="6"/>
  <c r="R1140" i="6"/>
  <c r="R1141" i="6"/>
  <c r="R1142" i="6"/>
  <c r="R1143" i="6"/>
  <c r="R1144" i="6"/>
  <c r="R1145" i="6"/>
  <c r="R1146" i="6"/>
  <c r="R1147" i="6"/>
  <c r="R1148" i="6"/>
  <c r="R1149" i="6"/>
  <c r="R1150" i="6"/>
  <c r="R1151" i="6"/>
  <c r="R1152" i="6"/>
  <c r="R1153" i="6"/>
  <c r="R1154" i="6"/>
  <c r="R1155" i="6"/>
  <c r="R1156" i="6"/>
  <c r="R1157" i="6"/>
  <c r="R1158" i="6"/>
  <c r="R1159" i="6"/>
  <c r="R1160" i="6"/>
  <c r="R1161" i="6"/>
  <c r="R1162" i="6"/>
  <c r="R1163" i="6"/>
  <c r="R1164" i="6"/>
  <c r="R1165" i="6"/>
  <c r="R1166" i="6"/>
  <c r="R1167" i="6"/>
  <c r="R1168" i="6"/>
  <c r="R1169" i="6"/>
  <c r="R1170" i="6"/>
  <c r="R1171" i="6"/>
  <c r="R1172" i="6"/>
  <c r="R1173" i="6"/>
  <c r="R1174" i="6"/>
  <c r="R1175" i="6"/>
  <c r="R1176" i="6"/>
  <c r="R1177" i="6"/>
  <c r="R1178" i="6"/>
  <c r="R1179" i="6"/>
  <c r="R1180" i="6"/>
  <c r="R1181" i="6"/>
  <c r="R1182" i="6"/>
  <c r="R1183" i="6"/>
  <c r="R1184" i="6"/>
  <c r="R1185" i="6"/>
  <c r="R1186" i="6"/>
  <c r="R1187" i="6"/>
  <c r="R1188" i="6"/>
  <c r="R1189" i="6"/>
  <c r="R1190" i="6"/>
  <c r="R1191" i="6"/>
  <c r="R1192" i="6"/>
  <c r="R1193" i="6"/>
  <c r="R1194" i="6"/>
  <c r="R1195" i="6"/>
  <c r="R1196" i="6"/>
  <c r="R1197" i="6"/>
  <c r="R1198" i="6"/>
  <c r="R1199" i="6"/>
  <c r="R1200" i="6"/>
  <c r="R1201" i="6"/>
  <c r="R1202" i="6"/>
  <c r="R1203" i="6"/>
  <c r="R1204" i="6"/>
  <c r="R1205" i="6"/>
  <c r="R1206" i="6"/>
  <c r="R1207" i="6"/>
  <c r="R1208" i="6"/>
  <c r="R1209" i="6"/>
  <c r="R1210" i="6"/>
  <c r="R1211" i="6"/>
  <c r="R1212" i="6"/>
  <c r="R1213" i="6"/>
  <c r="R1214" i="6"/>
  <c r="R1215" i="6"/>
  <c r="R1216" i="6"/>
  <c r="R1217" i="6"/>
  <c r="R1218" i="6"/>
  <c r="R1219" i="6"/>
  <c r="R1220" i="6"/>
  <c r="R1221" i="6"/>
  <c r="R1222" i="6"/>
  <c r="R1223" i="6"/>
  <c r="R1224" i="6"/>
  <c r="R1225" i="6"/>
  <c r="R1226" i="6"/>
  <c r="R1227" i="6"/>
  <c r="R1228" i="6"/>
  <c r="R1229" i="6"/>
  <c r="R1230" i="6"/>
  <c r="R1231" i="6"/>
  <c r="R1232" i="6"/>
  <c r="R1233" i="6"/>
  <c r="R1234" i="6"/>
  <c r="R1235" i="6"/>
  <c r="R1236" i="6"/>
  <c r="R1237" i="6"/>
  <c r="R1238" i="6"/>
  <c r="R1239" i="6"/>
  <c r="R1240" i="6"/>
  <c r="R1241" i="6"/>
  <c r="R1242" i="6"/>
  <c r="R1243" i="6"/>
  <c r="R1244" i="6"/>
  <c r="R1245" i="6"/>
  <c r="R1246" i="6"/>
  <c r="R1247" i="6"/>
  <c r="R1248" i="6"/>
  <c r="R1249" i="6"/>
  <c r="R1250" i="6"/>
  <c r="R1251" i="6"/>
  <c r="R1252" i="6"/>
  <c r="R1253" i="6"/>
  <c r="R1254" i="6"/>
  <c r="R1255" i="6"/>
  <c r="R1256" i="6"/>
  <c r="R1257" i="6"/>
  <c r="R1258" i="6"/>
  <c r="R1259" i="6"/>
  <c r="R1260" i="6"/>
  <c r="R1261" i="6"/>
  <c r="R1262" i="6"/>
  <c r="R1263" i="6"/>
  <c r="R1264" i="6"/>
  <c r="R1265" i="6"/>
  <c r="R1266" i="6"/>
  <c r="R1267" i="6"/>
  <c r="R1268" i="6"/>
  <c r="R1269" i="6"/>
  <c r="R1270" i="6"/>
  <c r="R1271" i="6"/>
  <c r="R1272" i="6"/>
  <c r="R1273" i="6"/>
  <c r="R1274" i="6"/>
  <c r="R1275" i="6"/>
  <c r="R1276" i="6"/>
  <c r="R1277" i="6"/>
  <c r="R1278" i="6"/>
  <c r="R1279" i="6"/>
  <c r="R1280" i="6"/>
  <c r="R1281" i="6"/>
  <c r="R1282" i="6"/>
  <c r="R1283" i="6"/>
  <c r="R1284" i="6"/>
  <c r="R1285" i="6"/>
  <c r="R1286" i="6"/>
  <c r="R1287" i="6"/>
  <c r="R1288" i="6"/>
  <c r="R1289" i="6"/>
  <c r="R1290" i="6"/>
  <c r="R1291" i="6"/>
  <c r="R1292" i="6"/>
  <c r="R1293" i="6"/>
  <c r="R1294" i="6"/>
  <c r="R1295" i="6"/>
  <c r="R1296" i="6"/>
  <c r="R1297" i="6"/>
  <c r="R1298" i="6"/>
  <c r="R1299" i="6"/>
  <c r="R1300" i="6"/>
  <c r="R1301" i="6"/>
  <c r="R1302" i="6"/>
  <c r="R1303" i="6"/>
  <c r="R1304" i="6"/>
  <c r="R1305" i="6"/>
  <c r="R1306" i="6"/>
  <c r="R1307" i="6"/>
  <c r="R1308" i="6"/>
  <c r="R1309" i="6"/>
  <c r="R1310" i="6"/>
  <c r="R1311" i="6"/>
  <c r="R1312" i="6"/>
  <c r="R1313" i="6"/>
  <c r="R1314" i="6"/>
  <c r="R1315" i="6"/>
  <c r="R1316" i="6"/>
  <c r="R1317" i="6"/>
  <c r="R1318" i="6"/>
  <c r="R1319" i="6"/>
  <c r="R1320" i="6"/>
  <c r="R1321" i="6"/>
  <c r="R1322" i="6"/>
  <c r="R1323" i="6"/>
  <c r="R1324" i="6"/>
  <c r="R1325" i="6"/>
  <c r="R1326" i="6"/>
  <c r="R1327" i="6"/>
  <c r="R1328" i="6"/>
  <c r="R1329" i="6"/>
  <c r="R1330" i="6"/>
  <c r="R1331" i="6"/>
  <c r="R1332" i="6"/>
  <c r="R1333" i="6"/>
  <c r="R1334" i="6"/>
  <c r="R1335" i="6"/>
  <c r="R1336" i="6"/>
  <c r="R1337" i="6"/>
  <c r="R1338" i="6"/>
  <c r="R1339" i="6"/>
  <c r="R1340" i="6"/>
  <c r="R1341" i="6"/>
  <c r="R1342" i="6"/>
  <c r="R1343" i="6"/>
  <c r="R1344" i="6"/>
  <c r="R1345" i="6"/>
  <c r="R1346" i="6"/>
  <c r="R1347" i="6"/>
  <c r="R1348" i="6"/>
  <c r="R1349" i="6"/>
  <c r="R1350" i="6"/>
  <c r="R1351" i="6"/>
  <c r="R1352" i="6"/>
  <c r="R1353" i="6"/>
  <c r="R1354" i="6"/>
  <c r="R1355" i="6"/>
  <c r="R1356" i="6"/>
  <c r="R1357" i="6"/>
  <c r="R1358" i="6"/>
  <c r="R1359" i="6"/>
  <c r="R1360" i="6"/>
  <c r="R1361" i="6"/>
  <c r="R1362" i="6"/>
  <c r="R1363" i="6"/>
  <c r="R1364" i="6"/>
  <c r="R1365" i="6"/>
  <c r="R1366" i="6"/>
  <c r="R1367" i="6"/>
  <c r="R1368" i="6"/>
  <c r="R1369" i="6"/>
  <c r="R1370" i="6"/>
  <c r="R1371" i="6"/>
  <c r="R1372" i="6"/>
  <c r="R1373" i="6"/>
  <c r="R1374" i="6"/>
  <c r="R1375" i="6"/>
  <c r="R1376" i="6"/>
  <c r="R1377" i="6"/>
  <c r="R1378" i="6"/>
  <c r="R1379" i="6"/>
  <c r="R1380" i="6"/>
  <c r="R1381" i="6"/>
  <c r="R1382" i="6"/>
  <c r="R1383" i="6"/>
  <c r="R1384" i="6"/>
  <c r="R1385" i="6"/>
  <c r="R1386" i="6"/>
  <c r="R1387" i="6"/>
  <c r="R1388" i="6"/>
  <c r="R1389" i="6"/>
  <c r="R1390" i="6"/>
  <c r="R1391" i="6"/>
  <c r="R1392" i="6"/>
  <c r="R1393" i="6"/>
  <c r="R1394" i="6"/>
  <c r="R1395" i="6"/>
  <c r="R1396" i="6"/>
  <c r="R1397" i="6"/>
  <c r="R1398" i="6"/>
  <c r="R1399" i="6"/>
  <c r="R1400" i="6"/>
  <c r="R1401" i="6"/>
  <c r="R1402" i="6"/>
  <c r="R1403" i="6"/>
  <c r="R1404" i="6"/>
  <c r="R1405" i="6"/>
  <c r="R1406" i="6"/>
  <c r="R1407" i="6"/>
  <c r="R1408" i="6"/>
  <c r="R1409" i="6"/>
  <c r="R1410" i="6"/>
  <c r="R1411" i="6"/>
  <c r="R1412" i="6"/>
  <c r="R1413" i="6"/>
  <c r="R1414" i="6"/>
  <c r="R1415" i="6"/>
  <c r="R1416" i="6"/>
  <c r="R1417" i="6"/>
  <c r="R1418" i="6"/>
  <c r="R1419" i="6"/>
  <c r="R1420" i="6"/>
  <c r="R1421" i="6"/>
  <c r="R1422" i="6"/>
  <c r="R1423" i="6"/>
  <c r="R1424" i="6"/>
  <c r="R1425" i="6"/>
  <c r="R1426" i="6"/>
  <c r="R1427" i="6"/>
  <c r="R1428" i="6"/>
  <c r="R1429" i="6"/>
  <c r="R1430" i="6"/>
  <c r="R1431" i="6"/>
  <c r="R1432" i="6"/>
  <c r="R1433" i="6"/>
  <c r="R1434" i="6"/>
  <c r="R1435" i="6"/>
  <c r="R1436" i="6"/>
  <c r="R1437" i="6"/>
  <c r="R1438" i="6"/>
  <c r="R1439" i="6"/>
  <c r="R1440" i="6"/>
  <c r="R1441" i="6"/>
  <c r="R1442" i="6"/>
  <c r="R1443" i="6"/>
  <c r="R1444" i="6"/>
  <c r="R1445" i="6"/>
  <c r="R1446" i="6"/>
  <c r="R1447" i="6"/>
  <c r="R1448" i="6"/>
  <c r="R1449" i="6"/>
  <c r="R1450" i="6"/>
  <c r="R1451" i="6"/>
  <c r="R1452" i="6"/>
  <c r="R1453" i="6"/>
  <c r="R1454" i="6"/>
  <c r="R1455" i="6"/>
  <c r="R1456" i="6"/>
  <c r="R1457" i="6"/>
  <c r="R1458" i="6"/>
  <c r="R1459" i="6"/>
  <c r="R1460" i="6"/>
  <c r="R1461" i="6"/>
  <c r="R1462" i="6"/>
  <c r="R1463" i="6"/>
  <c r="R1464" i="6"/>
  <c r="R1465" i="6"/>
  <c r="R1466" i="6"/>
  <c r="R1467" i="6"/>
  <c r="R1468" i="6"/>
  <c r="R1469" i="6"/>
  <c r="R1470" i="6"/>
  <c r="R1471" i="6"/>
  <c r="R1472" i="6"/>
  <c r="R1473" i="6"/>
  <c r="R1474" i="6"/>
  <c r="R1475" i="6"/>
  <c r="R1476" i="6"/>
  <c r="R1477" i="6"/>
  <c r="R1478" i="6"/>
  <c r="R1479" i="6"/>
  <c r="R1480" i="6"/>
  <c r="R1481" i="6"/>
  <c r="R1482" i="6"/>
  <c r="R1483" i="6"/>
  <c r="R1484" i="6"/>
  <c r="R1485" i="6"/>
  <c r="R1486" i="6"/>
  <c r="R1487" i="6"/>
  <c r="R1488" i="6"/>
  <c r="R1489" i="6"/>
  <c r="R1490" i="6"/>
  <c r="R1491" i="6"/>
  <c r="R1492" i="6"/>
  <c r="R1493" i="6"/>
  <c r="R1494" i="6"/>
  <c r="R1495" i="6"/>
  <c r="R1496" i="6"/>
  <c r="R1497" i="6"/>
  <c r="R1498" i="6"/>
  <c r="R1499" i="6"/>
  <c r="R1500" i="6"/>
  <c r="R1501" i="6"/>
  <c r="R1502" i="6"/>
  <c r="R1503" i="6"/>
  <c r="R1504" i="6"/>
  <c r="R1505" i="6"/>
  <c r="R1506" i="6"/>
  <c r="R1507" i="6"/>
  <c r="R1508" i="6"/>
  <c r="R1509" i="6"/>
  <c r="R1510" i="6"/>
  <c r="R1511" i="6"/>
  <c r="R1512" i="6"/>
  <c r="R1513" i="6"/>
  <c r="R1514" i="6"/>
  <c r="R1515" i="6"/>
  <c r="R1516" i="6"/>
  <c r="R1517" i="6"/>
  <c r="R1518" i="6"/>
  <c r="R1519" i="6"/>
  <c r="R1520" i="6"/>
  <c r="R1521" i="6"/>
  <c r="R1522" i="6"/>
  <c r="R1523" i="6"/>
  <c r="R1524" i="6"/>
  <c r="R1525" i="6"/>
  <c r="R1526" i="6"/>
  <c r="R1527" i="6"/>
  <c r="R1528" i="6"/>
  <c r="R1529" i="6"/>
  <c r="R1530" i="6"/>
  <c r="R1531" i="6"/>
  <c r="R1532" i="6"/>
  <c r="R1533" i="6"/>
  <c r="R1534" i="6"/>
  <c r="R1535" i="6"/>
  <c r="R1536" i="6"/>
  <c r="R1537" i="6"/>
  <c r="R1538" i="6"/>
  <c r="R1539" i="6"/>
  <c r="R1540" i="6"/>
  <c r="R1541" i="6"/>
  <c r="R1542" i="6"/>
  <c r="R1543" i="6"/>
  <c r="R1544" i="6"/>
  <c r="R1545" i="6"/>
  <c r="R1546" i="6"/>
  <c r="R1547" i="6"/>
  <c r="R1548" i="6"/>
  <c r="R1549" i="6"/>
  <c r="R1550" i="6"/>
  <c r="R1551" i="6"/>
  <c r="R1552" i="6"/>
  <c r="R1553" i="6"/>
  <c r="R1554" i="6"/>
  <c r="R1555" i="6"/>
  <c r="R1556" i="6"/>
  <c r="R1557" i="6"/>
  <c r="R1558" i="6"/>
  <c r="R1559" i="6"/>
  <c r="R1560" i="6"/>
  <c r="R1561" i="6"/>
  <c r="R1562" i="6"/>
  <c r="R1563" i="6"/>
  <c r="R1564" i="6"/>
  <c r="R1565" i="6"/>
  <c r="R1566" i="6"/>
  <c r="R1567" i="6"/>
  <c r="R1568" i="6"/>
  <c r="R1569" i="6"/>
  <c r="R1570" i="6"/>
  <c r="R1571" i="6"/>
  <c r="R1572" i="6"/>
  <c r="R1573" i="6"/>
  <c r="R1574" i="6"/>
  <c r="R1575" i="6"/>
  <c r="R1576" i="6"/>
  <c r="R1577" i="6"/>
  <c r="R1578" i="6"/>
  <c r="R1579" i="6"/>
  <c r="R1580" i="6"/>
  <c r="R1581" i="6"/>
  <c r="R1582" i="6"/>
  <c r="R1583" i="6"/>
  <c r="R1584" i="6"/>
  <c r="R1585" i="6"/>
  <c r="R1586" i="6"/>
  <c r="R1587" i="6"/>
  <c r="R1588" i="6"/>
  <c r="R1589" i="6"/>
  <c r="R1590" i="6"/>
  <c r="R1591" i="6"/>
  <c r="R1592" i="6"/>
  <c r="R1593" i="6"/>
  <c r="R1594" i="6"/>
  <c r="R1595" i="6"/>
  <c r="R1596" i="6"/>
  <c r="R1597" i="6"/>
  <c r="R1598" i="6"/>
  <c r="R1599" i="6"/>
  <c r="R1600" i="6"/>
  <c r="R1601" i="6"/>
  <c r="R1602" i="6"/>
  <c r="R1603" i="6"/>
  <c r="R1604" i="6"/>
  <c r="R1605" i="6"/>
  <c r="R1606" i="6"/>
  <c r="R1607" i="6"/>
  <c r="R1608" i="6"/>
  <c r="R1609" i="6"/>
  <c r="R1610" i="6"/>
  <c r="R1611" i="6"/>
  <c r="R1612" i="6"/>
  <c r="R1613" i="6"/>
  <c r="R1614" i="6"/>
  <c r="R1615" i="6"/>
  <c r="R1616" i="6"/>
  <c r="R1617" i="6"/>
  <c r="R1618" i="6"/>
  <c r="R1619" i="6"/>
  <c r="R1620" i="6"/>
  <c r="R1621" i="6"/>
  <c r="R1622" i="6"/>
  <c r="R1623" i="6"/>
  <c r="R1624" i="6"/>
  <c r="R1625" i="6"/>
  <c r="R1626" i="6"/>
  <c r="R1627" i="6"/>
  <c r="R1628" i="6"/>
  <c r="R1629" i="6"/>
  <c r="R1630" i="6"/>
  <c r="R1631" i="6"/>
  <c r="R1632" i="6"/>
  <c r="R1633" i="6"/>
  <c r="R1634" i="6"/>
  <c r="R1635" i="6"/>
  <c r="R1636" i="6"/>
  <c r="R1637" i="6"/>
  <c r="R1638" i="6"/>
  <c r="R1639" i="6"/>
  <c r="R1640" i="6"/>
  <c r="R1641" i="6"/>
  <c r="R1642" i="6"/>
  <c r="R1643" i="6"/>
  <c r="R1644" i="6"/>
  <c r="R1645" i="6"/>
  <c r="R1646" i="6"/>
  <c r="R1647" i="6"/>
  <c r="R1648" i="6"/>
  <c r="R1649" i="6"/>
  <c r="R1650" i="6"/>
  <c r="R1651" i="6"/>
  <c r="R1652" i="6"/>
  <c r="R1653" i="6"/>
  <c r="R1654" i="6"/>
  <c r="R1655" i="6"/>
  <c r="R1656" i="6"/>
  <c r="R1657" i="6"/>
  <c r="R1658" i="6"/>
  <c r="R1659" i="6"/>
  <c r="R1660" i="6"/>
  <c r="R1661" i="6"/>
  <c r="R1662" i="6"/>
  <c r="R1663" i="6"/>
  <c r="R1664" i="6"/>
  <c r="R1665" i="6"/>
  <c r="R1666" i="6"/>
  <c r="R1667" i="6"/>
  <c r="R1668" i="6"/>
  <c r="R1669" i="6"/>
  <c r="R1670" i="6"/>
  <c r="R1671" i="6"/>
  <c r="R1672" i="6"/>
  <c r="R1673" i="6"/>
  <c r="R1674" i="6"/>
  <c r="R1675" i="6"/>
  <c r="R1676" i="6"/>
  <c r="R1677" i="6"/>
  <c r="R1678" i="6"/>
  <c r="R1679" i="6"/>
  <c r="R1680" i="6"/>
  <c r="R1681" i="6"/>
  <c r="R1682" i="6"/>
  <c r="R1683" i="6"/>
  <c r="R1684" i="6"/>
  <c r="R1685" i="6"/>
  <c r="R1686" i="6"/>
  <c r="R1687" i="6"/>
  <c r="R1688" i="6"/>
  <c r="R1689" i="6"/>
  <c r="R1690" i="6"/>
  <c r="R1691" i="6"/>
  <c r="R1692" i="6"/>
  <c r="R1693" i="6"/>
  <c r="R1694" i="6"/>
  <c r="R1695" i="6"/>
  <c r="R1696" i="6"/>
  <c r="R1697" i="6"/>
  <c r="R1698" i="6"/>
  <c r="R1699" i="6"/>
  <c r="R1700" i="6"/>
  <c r="R1701" i="6"/>
  <c r="R1702" i="6"/>
  <c r="R1703" i="6"/>
  <c r="R1704" i="6"/>
  <c r="R1705" i="6"/>
  <c r="R1706" i="6"/>
  <c r="R1707" i="6"/>
  <c r="R1708" i="6"/>
  <c r="R1709" i="6"/>
  <c r="R1710" i="6"/>
  <c r="R1711" i="6"/>
  <c r="R1712" i="6"/>
  <c r="R1713" i="6"/>
  <c r="R1714" i="6"/>
  <c r="R1715" i="6"/>
  <c r="R1716" i="6"/>
  <c r="R1717" i="6"/>
  <c r="R1718" i="6"/>
  <c r="R1719" i="6"/>
  <c r="R1720" i="6"/>
  <c r="R1721" i="6"/>
  <c r="R1722" i="6"/>
  <c r="R1723" i="6"/>
  <c r="R1724" i="6"/>
  <c r="R1725" i="6"/>
  <c r="R1726" i="6"/>
  <c r="R1727" i="6"/>
  <c r="R1728" i="6"/>
  <c r="R1729" i="6"/>
  <c r="R1730" i="6"/>
  <c r="R1731" i="6"/>
  <c r="R1732" i="6"/>
  <c r="R1733" i="6"/>
  <c r="R1734" i="6"/>
  <c r="R1735" i="6"/>
  <c r="R1736" i="6"/>
  <c r="R1737" i="6"/>
  <c r="R1738" i="6"/>
  <c r="R1739" i="6"/>
  <c r="R1740" i="6"/>
  <c r="R1741" i="6"/>
  <c r="R1742" i="6"/>
  <c r="R1743" i="6"/>
  <c r="R1744" i="6"/>
  <c r="R1745" i="6"/>
  <c r="R1746" i="6"/>
  <c r="R1747" i="6"/>
  <c r="R1748" i="6"/>
  <c r="R1749" i="6"/>
  <c r="R1750" i="6"/>
  <c r="R1751" i="6"/>
  <c r="R1752" i="6"/>
  <c r="R1753" i="6"/>
  <c r="R1754" i="6"/>
  <c r="R1755" i="6"/>
  <c r="R1756" i="6"/>
  <c r="R1757" i="6"/>
  <c r="R1758" i="6"/>
  <c r="R1759" i="6"/>
  <c r="R1760" i="6"/>
  <c r="R1761" i="6"/>
  <c r="R1762" i="6"/>
  <c r="R1763" i="6"/>
  <c r="R1764" i="6"/>
  <c r="R1765" i="6"/>
  <c r="R1766" i="6"/>
  <c r="R1767" i="6"/>
  <c r="R1768" i="6"/>
  <c r="R1769" i="6"/>
  <c r="R1770" i="6"/>
  <c r="R1771" i="6"/>
  <c r="R1772" i="6"/>
  <c r="R1773" i="6"/>
  <c r="R1774" i="6"/>
  <c r="R1775" i="6"/>
  <c r="R1776" i="6"/>
  <c r="R1777" i="6"/>
  <c r="R1778" i="6"/>
  <c r="R1779" i="6"/>
  <c r="R1780" i="6"/>
  <c r="R1781" i="6"/>
  <c r="R1782" i="6"/>
  <c r="R1783" i="6"/>
  <c r="R1784" i="6"/>
  <c r="R1785" i="6"/>
  <c r="R1786" i="6"/>
  <c r="R1787" i="6"/>
  <c r="R1788" i="6"/>
  <c r="R1789" i="6"/>
  <c r="R1790" i="6"/>
  <c r="R1791" i="6"/>
  <c r="R1792" i="6"/>
  <c r="R1793" i="6"/>
  <c r="R1794" i="6"/>
  <c r="R1795" i="6"/>
  <c r="R1796" i="6"/>
  <c r="R1797" i="6"/>
  <c r="R1798" i="6"/>
  <c r="R1799" i="6"/>
  <c r="R1800" i="6"/>
  <c r="R1801" i="6"/>
  <c r="R1802" i="6"/>
  <c r="R1803" i="6"/>
  <c r="R1804" i="6"/>
  <c r="R1805" i="6"/>
  <c r="R1806" i="6"/>
  <c r="R1807" i="6"/>
  <c r="R1808" i="6"/>
  <c r="R1809" i="6"/>
  <c r="R1810" i="6"/>
  <c r="R1811" i="6"/>
  <c r="R1812" i="6"/>
  <c r="R1813" i="6"/>
  <c r="R1814" i="6"/>
  <c r="R1815" i="6"/>
  <c r="R1816" i="6"/>
  <c r="R1817" i="6"/>
  <c r="R1818" i="6"/>
  <c r="R1819" i="6"/>
  <c r="R1820" i="6"/>
  <c r="R1821" i="6"/>
  <c r="R1822" i="6"/>
  <c r="R1823" i="6"/>
  <c r="R1824" i="6"/>
  <c r="R1825" i="6"/>
  <c r="R1826" i="6"/>
  <c r="R1827" i="6"/>
  <c r="R1828" i="6"/>
  <c r="R1829" i="6"/>
  <c r="R1830" i="6"/>
  <c r="R1831" i="6"/>
  <c r="R1832" i="6"/>
  <c r="R1833" i="6"/>
  <c r="R1834" i="6"/>
  <c r="R1835" i="6"/>
  <c r="R1836" i="6"/>
  <c r="R1837" i="6"/>
  <c r="R1838" i="6"/>
  <c r="R1839" i="6"/>
  <c r="R1840" i="6"/>
  <c r="R1841" i="6"/>
  <c r="R1842" i="6"/>
  <c r="R1843" i="6"/>
  <c r="R1844" i="6"/>
  <c r="R1845" i="6"/>
  <c r="R1846" i="6"/>
  <c r="R1847" i="6"/>
  <c r="R1848" i="6"/>
  <c r="R1849" i="6"/>
  <c r="R1850" i="6"/>
  <c r="R1851" i="6"/>
  <c r="R1852" i="6"/>
  <c r="R1853" i="6"/>
  <c r="R1854" i="6"/>
  <c r="R1855" i="6"/>
  <c r="R1856" i="6"/>
  <c r="R1857" i="6"/>
  <c r="R1858" i="6"/>
  <c r="R1859" i="6"/>
  <c r="R1860" i="6"/>
  <c r="R1861" i="6"/>
  <c r="R1862" i="6"/>
  <c r="R1863" i="6"/>
  <c r="R1864" i="6"/>
  <c r="R1865" i="6"/>
  <c r="R1866" i="6"/>
  <c r="R1867" i="6"/>
  <c r="R1868" i="6"/>
  <c r="R1869" i="6"/>
  <c r="R1870" i="6"/>
  <c r="R1871" i="6"/>
  <c r="R1872" i="6"/>
  <c r="R1873" i="6"/>
  <c r="R1874" i="6"/>
  <c r="R1875" i="6"/>
  <c r="R1876" i="6"/>
  <c r="R1877" i="6"/>
  <c r="R1878" i="6"/>
  <c r="R1879" i="6"/>
  <c r="R1880" i="6"/>
  <c r="R1881" i="6"/>
  <c r="R1882" i="6"/>
  <c r="R1883" i="6"/>
  <c r="R1884" i="6"/>
  <c r="R1885" i="6"/>
  <c r="R1886" i="6"/>
  <c r="R1887" i="6"/>
  <c r="R1888" i="6"/>
  <c r="R1889" i="6"/>
  <c r="R1890" i="6"/>
  <c r="R1891" i="6"/>
  <c r="R1892" i="6"/>
  <c r="R1893" i="6"/>
  <c r="R1894" i="6"/>
  <c r="R1895" i="6"/>
  <c r="R1896" i="6"/>
  <c r="R1897" i="6"/>
  <c r="R1898" i="6"/>
  <c r="R1899" i="6"/>
  <c r="R1900" i="6"/>
  <c r="R1901" i="6"/>
  <c r="R1902" i="6"/>
  <c r="R1903" i="6"/>
  <c r="R1904" i="6"/>
  <c r="R1905" i="6"/>
  <c r="R1906" i="6"/>
  <c r="R1907" i="6"/>
  <c r="R1908" i="6"/>
  <c r="R1909" i="6"/>
  <c r="R1910" i="6"/>
  <c r="R1911" i="6"/>
  <c r="R1912" i="6"/>
  <c r="R1913" i="6"/>
  <c r="R1914" i="6"/>
  <c r="R1915" i="6"/>
  <c r="R1916" i="6"/>
  <c r="R1917" i="6"/>
  <c r="R1918" i="6"/>
  <c r="R1919" i="6"/>
  <c r="R1920" i="6"/>
  <c r="R1921" i="6"/>
  <c r="R1922" i="6"/>
  <c r="R1923" i="6"/>
  <c r="R1924" i="6"/>
  <c r="R1925" i="6"/>
  <c r="R1926" i="6"/>
  <c r="R1927" i="6"/>
  <c r="R1928" i="6"/>
  <c r="R1929" i="6"/>
  <c r="R1930" i="6"/>
  <c r="R1931" i="6"/>
  <c r="R1932" i="6"/>
  <c r="R1933" i="6"/>
  <c r="R1934" i="6"/>
  <c r="R1935" i="6"/>
  <c r="R1936" i="6"/>
  <c r="R1937" i="6"/>
  <c r="R1938" i="6"/>
  <c r="R1939" i="6"/>
  <c r="R1940" i="6"/>
  <c r="R1941" i="6"/>
  <c r="R1942" i="6"/>
  <c r="R1943" i="6"/>
  <c r="R1944" i="6"/>
  <c r="R1945" i="6"/>
  <c r="R1946" i="6"/>
  <c r="R1947" i="6"/>
  <c r="R1948" i="6"/>
  <c r="R1949" i="6"/>
  <c r="R1950" i="6"/>
  <c r="R1951" i="6"/>
  <c r="R1952" i="6"/>
  <c r="R1953" i="6"/>
  <c r="R1954" i="6"/>
  <c r="R1955" i="6"/>
  <c r="R1956" i="6"/>
  <c r="R1957" i="6"/>
  <c r="R1958" i="6"/>
  <c r="R1959" i="6"/>
  <c r="R1960" i="6"/>
  <c r="R1961" i="6"/>
  <c r="R1962" i="6"/>
  <c r="R1963" i="6"/>
  <c r="R1964" i="6"/>
  <c r="R1965" i="6"/>
  <c r="R1966" i="6"/>
  <c r="R1967" i="6"/>
  <c r="R1968" i="6"/>
  <c r="R1969" i="6"/>
  <c r="R1970" i="6"/>
  <c r="R1971" i="6"/>
  <c r="R1972" i="6"/>
  <c r="R1973" i="6"/>
  <c r="R1974" i="6"/>
  <c r="R1975" i="6"/>
  <c r="R1976" i="6"/>
  <c r="R1977" i="6"/>
  <c r="R1978" i="6"/>
  <c r="R1979" i="6"/>
  <c r="R1980" i="6"/>
  <c r="R1981" i="6"/>
  <c r="R1982" i="6"/>
  <c r="R1983" i="6"/>
  <c r="R1984" i="6"/>
  <c r="R1985" i="6"/>
  <c r="R1986" i="6"/>
  <c r="R1987" i="6"/>
  <c r="R1988" i="6"/>
  <c r="R1989" i="6"/>
  <c r="R1990" i="6"/>
  <c r="R1991" i="6"/>
  <c r="R1992" i="6"/>
  <c r="R1993" i="6"/>
  <c r="R1994" i="6"/>
  <c r="R1995" i="6"/>
  <c r="R1996" i="6"/>
  <c r="R1997" i="6"/>
  <c r="R1998" i="6"/>
  <c r="R1999" i="6"/>
  <c r="R2000" i="6"/>
  <c r="R2001" i="6"/>
  <c r="R2002" i="6"/>
  <c r="R2003" i="6"/>
  <c r="R2004" i="6"/>
  <c r="R2005" i="6"/>
  <c r="R2006" i="6"/>
  <c r="R2007" i="6"/>
  <c r="R2008" i="6"/>
  <c r="R2009" i="6"/>
  <c r="R2010" i="6"/>
  <c r="R2011" i="6"/>
  <c r="R2012" i="6"/>
  <c r="R2013" i="6"/>
  <c r="R2014" i="6"/>
  <c r="R2015" i="6"/>
  <c r="R2016" i="6"/>
  <c r="R2017" i="6"/>
  <c r="R2018" i="6"/>
  <c r="R2019" i="6"/>
  <c r="R2020" i="6"/>
  <c r="R2021" i="6"/>
  <c r="R2022" i="6"/>
  <c r="R2023" i="6"/>
  <c r="R2024" i="6"/>
  <c r="R2025" i="6"/>
  <c r="R2026" i="6"/>
  <c r="R2027" i="6"/>
  <c r="R2028" i="6"/>
  <c r="R2029" i="6"/>
  <c r="R2030" i="6"/>
  <c r="R2031" i="6"/>
  <c r="R2032" i="6"/>
  <c r="R2033" i="6"/>
  <c r="R2034" i="6"/>
  <c r="R2035" i="6"/>
  <c r="R2036" i="6"/>
  <c r="R2037" i="6"/>
  <c r="R2038" i="6"/>
  <c r="R2039" i="6"/>
  <c r="R2040" i="6"/>
  <c r="R2041" i="6"/>
  <c r="R2042" i="6"/>
  <c r="R2043" i="6"/>
  <c r="R2044" i="6"/>
  <c r="R2045" i="6"/>
  <c r="R2046" i="6"/>
  <c r="R2047" i="6"/>
  <c r="R2048" i="6"/>
  <c r="R2049" i="6"/>
  <c r="R2050" i="6"/>
  <c r="R2051" i="6"/>
  <c r="R2052" i="6"/>
  <c r="R2053" i="6"/>
  <c r="R2054" i="6"/>
  <c r="R2055" i="6"/>
  <c r="R2056" i="6"/>
  <c r="R2057" i="6"/>
  <c r="R2058" i="6"/>
  <c r="R2059" i="6"/>
  <c r="R2060" i="6"/>
  <c r="R2061" i="6"/>
  <c r="R2062" i="6"/>
  <c r="R2063" i="6"/>
  <c r="R2064" i="6"/>
  <c r="R2065" i="6"/>
  <c r="R2066" i="6"/>
  <c r="R2067" i="6"/>
  <c r="R2068" i="6"/>
  <c r="R2069" i="6"/>
  <c r="R2070" i="6"/>
  <c r="R2071" i="6"/>
  <c r="R2072" i="6"/>
  <c r="R2073" i="6"/>
  <c r="R2074" i="6"/>
  <c r="R2075" i="6"/>
  <c r="R2076" i="6"/>
  <c r="R2077" i="6"/>
  <c r="R2078" i="6"/>
  <c r="R2079" i="6"/>
  <c r="R2080" i="6"/>
  <c r="R2081" i="6"/>
  <c r="R2082" i="6"/>
  <c r="R2083" i="6"/>
  <c r="R2084" i="6"/>
  <c r="R2085" i="6"/>
  <c r="R2086" i="6"/>
  <c r="R2087" i="6"/>
  <c r="R2088" i="6"/>
  <c r="R2089" i="6"/>
  <c r="R2090" i="6"/>
  <c r="R2091" i="6"/>
  <c r="R2092" i="6"/>
  <c r="R2093" i="6"/>
  <c r="R2094" i="6"/>
  <c r="R2095" i="6"/>
  <c r="R2096" i="6"/>
  <c r="R2097" i="6"/>
  <c r="R2098" i="6"/>
  <c r="R2099" i="6"/>
  <c r="R2100" i="6"/>
  <c r="R2101" i="6"/>
  <c r="R2102" i="6"/>
  <c r="R2103" i="6"/>
  <c r="R2104" i="6"/>
  <c r="R2105" i="6"/>
  <c r="R2106" i="6"/>
  <c r="R2107" i="6"/>
  <c r="R2108" i="6"/>
  <c r="R2109" i="6"/>
  <c r="R2110" i="6"/>
  <c r="R2111" i="6"/>
  <c r="R2112" i="6"/>
  <c r="R2113" i="6"/>
  <c r="R2114" i="6"/>
  <c r="R2115" i="6"/>
  <c r="R2116" i="6"/>
  <c r="R2117" i="6"/>
  <c r="R2118" i="6"/>
  <c r="R2119" i="6"/>
  <c r="R2120" i="6"/>
  <c r="R2121" i="6"/>
  <c r="R2122" i="6"/>
  <c r="R2123" i="6"/>
  <c r="R2124" i="6"/>
  <c r="R2125" i="6"/>
  <c r="R2126" i="6"/>
  <c r="R2127" i="6"/>
  <c r="R2128" i="6"/>
  <c r="R2129" i="6"/>
  <c r="R2130" i="6"/>
  <c r="R2131" i="6"/>
  <c r="R2132" i="6"/>
  <c r="R2133" i="6"/>
  <c r="R2134" i="6"/>
  <c r="R2135" i="6"/>
  <c r="R2136" i="6"/>
  <c r="R2137" i="6"/>
  <c r="R2138" i="6"/>
  <c r="R2139" i="6"/>
  <c r="R2140" i="6"/>
  <c r="R2141" i="6"/>
  <c r="R2142" i="6"/>
  <c r="R2143" i="6"/>
  <c r="R2144" i="6"/>
  <c r="R2145" i="6"/>
  <c r="R2146" i="6"/>
  <c r="R2147" i="6"/>
  <c r="R2148" i="6"/>
  <c r="R2149" i="6"/>
  <c r="R2150" i="6"/>
  <c r="R2151" i="6"/>
  <c r="R2152" i="6"/>
  <c r="R2153" i="6"/>
  <c r="R2154" i="6"/>
  <c r="R2155" i="6"/>
  <c r="R2156" i="6"/>
  <c r="R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 i="6"/>
  <c r="G5" i="6"/>
  <c r="G17" i="6"/>
  <c r="G28" i="6"/>
  <c r="G56" i="6"/>
  <c r="G66" i="6"/>
  <c r="G81" i="6"/>
  <c r="G129" i="6"/>
  <c r="G149" i="6"/>
  <c r="G161" i="6"/>
  <c r="G170" i="6"/>
  <c r="G177" i="6"/>
  <c r="G193" i="6"/>
  <c r="G218" i="6"/>
  <c r="G248" i="6"/>
  <c r="G258" i="6"/>
  <c r="G280" i="6"/>
  <c r="G290" i="6"/>
  <c r="G300" i="6"/>
  <c r="G345" i="6"/>
  <c r="G377" i="6"/>
  <c r="G394" i="6"/>
  <c r="G410" i="6"/>
  <c r="G436" i="6"/>
  <c r="G453" i="6"/>
  <c r="G463" i="6"/>
  <c r="G496" i="6"/>
  <c r="G551" i="6"/>
  <c r="G583" i="6"/>
  <c r="G593" i="6"/>
  <c r="G609" i="6"/>
  <c r="G625" i="6"/>
  <c r="G680" i="6"/>
  <c r="G718" i="6"/>
  <c r="G746" i="6"/>
  <c r="G783" i="6"/>
  <c r="G817" i="6"/>
  <c r="G825" i="6"/>
  <c r="G828" i="6"/>
  <c r="G839" i="6"/>
  <c r="G847" i="6"/>
  <c r="G857" i="6"/>
  <c r="G881" i="6"/>
  <c r="G896" i="6"/>
  <c r="G903" i="6"/>
  <c r="G913" i="6"/>
  <c r="G924" i="6"/>
  <c r="G953" i="6"/>
  <c r="G959" i="6"/>
  <c r="G977" i="6"/>
  <c r="G983" i="6"/>
  <c r="G1001" i="6"/>
  <c r="G1008" i="6"/>
  <c r="G1017" i="6"/>
  <c r="G1032" i="6"/>
  <c r="G1041" i="6"/>
  <c r="G1056" i="6"/>
  <c r="G1065" i="6"/>
  <c r="G1081" i="6"/>
  <c r="G1105" i="6"/>
  <c r="G1124" i="6"/>
  <c r="G1129" i="6"/>
  <c r="G1173" i="6"/>
  <c r="G1221" i="6"/>
  <c r="G1276" i="6"/>
  <c r="G1319" i="6"/>
  <c r="G1343" i="6"/>
  <c r="G1367" i="6"/>
  <c r="G1389" i="6"/>
  <c r="G1401" i="6"/>
  <c r="G1417" i="6"/>
  <c r="G1423" i="6"/>
  <c r="G1463" i="6"/>
  <c r="G1476" i="6"/>
  <c r="G1479" i="6"/>
  <c r="G1497" i="6"/>
  <c r="G1513" i="6"/>
  <c r="G1527" i="6"/>
  <c r="G1543" i="6"/>
  <c r="G1561" i="6"/>
  <c r="G1577" i="6"/>
  <c r="G1598" i="6"/>
  <c r="G1615" i="6"/>
  <c r="G1679" i="6"/>
  <c r="G1684" i="6"/>
  <c r="G1698" i="6"/>
  <c r="G1714" i="6"/>
  <c r="G1719" i="6"/>
  <c r="G1735" i="6"/>
  <c r="G1753" i="6"/>
  <c r="G1769" i="6"/>
  <c r="G1783" i="6"/>
  <c r="G1799" i="6"/>
  <c r="G1817" i="6"/>
  <c r="G1833" i="6"/>
  <c r="G1850" i="6"/>
  <c r="G1865" i="6"/>
  <c r="G1881" i="6"/>
  <c r="G1902" i="6"/>
  <c r="G1929" i="6"/>
  <c r="G1941" i="6"/>
  <c r="G1945" i="6"/>
  <c r="G1993" i="6"/>
  <c r="G2009" i="6"/>
  <c r="G2057" i="6"/>
  <c r="G2073" i="6"/>
  <c r="G2082" i="6"/>
  <c r="G2121" i="6"/>
  <c r="G2137" i="6"/>
  <c r="G3" i="6"/>
  <c r="G4" i="6"/>
  <c r="G6" i="6"/>
  <c r="G7" i="6"/>
  <c r="G8" i="6"/>
  <c r="G9" i="6"/>
  <c r="G10" i="6"/>
  <c r="G11" i="6"/>
  <c r="G12" i="6"/>
  <c r="G13" i="6"/>
  <c r="G14" i="6"/>
  <c r="G15" i="6"/>
  <c r="G16" i="6"/>
  <c r="G18" i="6"/>
  <c r="G19" i="6"/>
  <c r="G20" i="6"/>
  <c r="G21" i="6"/>
  <c r="G22" i="6"/>
  <c r="G23" i="6"/>
  <c r="G24" i="6"/>
  <c r="G25" i="6"/>
  <c r="G26" i="6"/>
  <c r="G27" i="6"/>
  <c r="G29" i="6"/>
  <c r="G30" i="6"/>
  <c r="G31" i="6"/>
  <c r="G32" i="6"/>
  <c r="G33" i="6"/>
  <c r="G34" i="6"/>
  <c r="G35" i="6"/>
  <c r="G36" i="6"/>
  <c r="G37" i="6"/>
  <c r="G38" i="6"/>
  <c r="G39" i="6"/>
  <c r="G40" i="6"/>
  <c r="G41" i="6"/>
  <c r="G42" i="6"/>
  <c r="G43" i="6"/>
  <c r="G44" i="6"/>
  <c r="G45" i="6"/>
  <c r="G46" i="6"/>
  <c r="G47" i="6"/>
  <c r="G48" i="6"/>
  <c r="G49" i="6"/>
  <c r="G50" i="6"/>
  <c r="G51" i="6"/>
  <c r="G52" i="6"/>
  <c r="G53" i="6"/>
  <c r="G54" i="6"/>
  <c r="G55" i="6"/>
  <c r="G57" i="6"/>
  <c r="G58" i="6"/>
  <c r="G59" i="6"/>
  <c r="G60" i="6"/>
  <c r="G61" i="6"/>
  <c r="G62" i="6"/>
  <c r="G63" i="6"/>
  <c r="G64" i="6"/>
  <c r="G65" i="6"/>
  <c r="G67" i="6"/>
  <c r="G68" i="6"/>
  <c r="G69" i="6"/>
  <c r="G70" i="6"/>
  <c r="G71" i="6"/>
  <c r="G72" i="6"/>
  <c r="G73" i="6"/>
  <c r="G74" i="6"/>
  <c r="G75" i="6"/>
  <c r="G76" i="6"/>
  <c r="G77" i="6"/>
  <c r="G78" i="6"/>
  <c r="G79" i="6"/>
  <c r="G80" i="6"/>
  <c r="G82" i="6"/>
  <c r="G83" i="6"/>
  <c r="G84" i="6"/>
  <c r="G85" i="6"/>
  <c r="G86" i="6"/>
  <c r="G87" i="6"/>
  <c r="G88" i="6"/>
  <c r="G89" i="6"/>
  <c r="G90" i="6"/>
  <c r="G91" i="6"/>
  <c r="G92" i="6"/>
  <c r="G93" i="6"/>
  <c r="G94" i="6"/>
  <c r="G95" i="6"/>
  <c r="G96" i="6"/>
  <c r="G97" i="6"/>
  <c r="G98" i="6"/>
  <c r="G99" i="6"/>
  <c r="G100" i="6"/>
  <c r="G101" i="6"/>
  <c r="G102" i="6"/>
  <c r="G103" i="6"/>
  <c r="G104" i="6"/>
  <c r="G105" i="6"/>
  <c r="G107" i="6"/>
  <c r="G108" i="6"/>
  <c r="G109" i="6"/>
  <c r="G111" i="6"/>
  <c r="G112" i="6"/>
  <c r="G113" i="6"/>
  <c r="G114" i="6"/>
  <c r="G115" i="6"/>
  <c r="G116" i="6"/>
  <c r="G117" i="6"/>
  <c r="G119" i="6"/>
  <c r="G120" i="6"/>
  <c r="G121" i="6"/>
  <c r="G122" i="6"/>
  <c r="G126" i="6"/>
  <c r="G127" i="6"/>
  <c r="G128" i="6"/>
  <c r="G131" i="6"/>
  <c r="G135" i="6"/>
  <c r="G136" i="6"/>
  <c r="G137" i="6"/>
  <c r="G138" i="6"/>
  <c r="G139" i="6"/>
  <c r="G143" i="6"/>
  <c r="G144" i="6"/>
  <c r="G145" i="6"/>
  <c r="G146" i="6"/>
  <c r="G147" i="6"/>
  <c r="G151" i="6"/>
  <c r="G152" i="6"/>
  <c r="G153" i="6"/>
  <c r="G154" i="6"/>
  <c r="G156" i="6"/>
  <c r="G159" i="6"/>
  <c r="G160" i="6"/>
  <c r="G162" i="6"/>
  <c r="G163" i="6"/>
  <c r="G164" i="6"/>
  <c r="G165" i="6"/>
  <c r="G167" i="6"/>
  <c r="G168" i="6"/>
  <c r="G169" i="6"/>
  <c r="G171" i="6"/>
  <c r="G172" i="6"/>
  <c r="G173" i="6"/>
  <c r="G174" i="6"/>
  <c r="G175" i="6"/>
  <c r="G176" i="6"/>
  <c r="G178" i="6"/>
  <c r="G179" i="6"/>
  <c r="G180" i="6"/>
  <c r="G181" i="6"/>
  <c r="G182" i="6"/>
  <c r="G183" i="6"/>
  <c r="G184" i="6"/>
  <c r="G185" i="6"/>
  <c r="G186" i="6"/>
  <c r="G187" i="6"/>
  <c r="G188" i="6"/>
  <c r="G189" i="6"/>
  <c r="G190" i="6"/>
  <c r="G191" i="6"/>
  <c r="G192" i="6"/>
  <c r="G196" i="6"/>
  <c r="G197" i="6"/>
  <c r="G198" i="6"/>
  <c r="G199" i="6"/>
  <c r="G200" i="6"/>
  <c r="G201" i="6"/>
  <c r="G202" i="6"/>
  <c r="G205" i="6"/>
  <c r="G206" i="6"/>
  <c r="G207" i="6"/>
  <c r="G208" i="6"/>
  <c r="G209" i="6"/>
  <c r="G210" i="6"/>
  <c r="G212" i="6"/>
  <c r="G214" i="6"/>
  <c r="G215" i="6"/>
  <c r="G216" i="6"/>
  <c r="G217" i="6"/>
  <c r="G221" i="6"/>
  <c r="G222" i="6"/>
  <c r="G223" i="6"/>
  <c r="G224" i="6"/>
  <c r="G225" i="6"/>
  <c r="G226" i="6"/>
  <c r="G229" i="6"/>
  <c r="G230" i="6"/>
  <c r="G231" i="6"/>
  <c r="G232" i="6"/>
  <c r="G233" i="6"/>
  <c r="G237" i="6"/>
  <c r="G238" i="6"/>
  <c r="G239" i="6"/>
  <c r="G240" i="6"/>
  <c r="G241" i="6"/>
  <c r="G242" i="6"/>
  <c r="G245" i="6"/>
  <c r="G247" i="6"/>
  <c r="G249" i="6"/>
  <c r="G250" i="6"/>
  <c r="G254" i="6"/>
  <c r="G255" i="6"/>
  <c r="G256" i="6"/>
  <c r="G257" i="6"/>
  <c r="G263" i="6"/>
  <c r="G264" i="6"/>
  <c r="G265" i="6"/>
  <c r="G266" i="6"/>
  <c r="G267" i="6"/>
  <c r="G271" i="6"/>
  <c r="G272" i="6"/>
  <c r="G273" i="6"/>
  <c r="G274" i="6"/>
  <c r="G275" i="6"/>
  <c r="G279" i="6"/>
  <c r="G281" i="6"/>
  <c r="G282" i="6"/>
  <c r="G283" i="6"/>
  <c r="G284" i="6"/>
  <c r="G287" i="6"/>
  <c r="G288" i="6"/>
  <c r="G289" i="6"/>
  <c r="G291" i="6"/>
  <c r="G292" i="6"/>
  <c r="G293" i="6"/>
  <c r="G295" i="6"/>
  <c r="G296" i="6"/>
  <c r="G297" i="6"/>
  <c r="G298" i="6"/>
  <c r="G301" i="6"/>
  <c r="G302" i="6"/>
  <c r="G303" i="6"/>
  <c r="G304" i="6"/>
  <c r="G305" i="6"/>
  <c r="G306" i="6"/>
  <c r="G309" i="6"/>
  <c r="G310" i="6"/>
  <c r="G311" i="6"/>
  <c r="G312" i="6"/>
  <c r="G313" i="6"/>
  <c r="G314" i="6"/>
  <c r="G316" i="6"/>
  <c r="G318" i="6"/>
  <c r="G319" i="6"/>
  <c r="G320" i="6"/>
  <c r="G321" i="6"/>
  <c r="G322" i="6"/>
  <c r="G324" i="6"/>
  <c r="G325" i="6"/>
  <c r="G327" i="6"/>
  <c r="G328" i="6"/>
  <c r="G329" i="6"/>
  <c r="G330" i="6"/>
  <c r="G333" i="6"/>
  <c r="G334" i="6"/>
  <c r="G335" i="6"/>
  <c r="G336" i="6"/>
  <c r="G337" i="6"/>
  <c r="G338" i="6"/>
  <c r="G339" i="6"/>
  <c r="G340" i="6"/>
  <c r="G341" i="6"/>
  <c r="G342" i="6"/>
  <c r="G343" i="6"/>
  <c r="G344" i="6"/>
  <c r="G346" i="6"/>
  <c r="G348" i="6"/>
  <c r="G349" i="6"/>
  <c r="G350" i="6"/>
  <c r="G351" i="6"/>
  <c r="G352" i="6"/>
  <c r="G353" i="6"/>
  <c r="G356" i="6"/>
  <c r="G357" i="6"/>
  <c r="G358" i="6"/>
  <c r="G359" i="6"/>
  <c r="G360" i="6"/>
  <c r="G361" i="6"/>
  <c r="G362" i="6"/>
  <c r="G366" i="6"/>
  <c r="G367" i="6"/>
  <c r="G368" i="6"/>
  <c r="G369" i="6"/>
  <c r="G370" i="6"/>
  <c r="G373" i="6"/>
  <c r="G374" i="6"/>
  <c r="G375" i="6"/>
  <c r="G376" i="6"/>
  <c r="G378" i="6"/>
  <c r="G382" i="6"/>
  <c r="G383" i="6"/>
  <c r="G384" i="6"/>
  <c r="G385" i="6"/>
  <c r="G386" i="6"/>
  <c r="G391" i="6"/>
  <c r="G392" i="6"/>
  <c r="G393" i="6"/>
  <c r="G398" i="6"/>
  <c r="G399" i="6"/>
  <c r="G400" i="6"/>
  <c r="G401" i="6"/>
  <c r="G403" i="6"/>
  <c r="G406" i="6"/>
  <c r="G407" i="6"/>
  <c r="G408" i="6"/>
  <c r="G409" i="6"/>
  <c r="G411" i="6"/>
  <c r="G412" i="6"/>
  <c r="G415" i="6"/>
  <c r="G416" i="6"/>
  <c r="G417" i="6"/>
  <c r="G418" i="6"/>
  <c r="G420" i="6"/>
  <c r="G423" i="6"/>
  <c r="G424" i="6"/>
  <c r="G425" i="6"/>
  <c r="G427" i="6"/>
  <c r="G428" i="6"/>
  <c r="G431" i="6"/>
  <c r="G432" i="6"/>
  <c r="G433" i="6"/>
  <c r="G434" i="6"/>
  <c r="G435" i="6"/>
  <c r="G439" i="6"/>
  <c r="G440" i="6"/>
  <c r="G441" i="6"/>
  <c r="G442" i="6"/>
  <c r="G443" i="6"/>
  <c r="G444" i="6"/>
  <c r="G445" i="6"/>
  <c r="G447" i="6"/>
  <c r="G448" i="6"/>
  <c r="G449" i="6"/>
  <c r="G450" i="6"/>
  <c r="G452" i="6"/>
  <c r="G454" i="6"/>
  <c r="G455" i="6"/>
  <c r="G456" i="6"/>
  <c r="G457" i="6"/>
  <c r="G458" i="6"/>
  <c r="G460" i="6"/>
  <c r="G461" i="6"/>
  <c r="G462" i="6"/>
  <c r="G464" i="6"/>
  <c r="G465" i="6"/>
  <c r="G466" i="6"/>
  <c r="G469" i="6"/>
  <c r="G470" i="6"/>
  <c r="G471" i="6"/>
  <c r="G472" i="6"/>
  <c r="G473" i="6"/>
  <c r="G474" i="6"/>
  <c r="G476" i="6"/>
  <c r="G478" i="6"/>
  <c r="G479" i="6"/>
  <c r="G480" i="6"/>
  <c r="G481" i="6"/>
  <c r="G482" i="6"/>
  <c r="G484" i="6"/>
  <c r="G485" i="6"/>
  <c r="G487" i="6"/>
  <c r="G488" i="6"/>
  <c r="G489" i="6"/>
  <c r="G490" i="6"/>
  <c r="G492" i="6"/>
  <c r="G493" i="6"/>
  <c r="G494" i="6"/>
  <c r="G495" i="6"/>
  <c r="G497" i="6"/>
  <c r="G498" i="6"/>
  <c r="G499" i="6"/>
  <c r="G500" i="6"/>
  <c r="G501" i="6"/>
  <c r="G502" i="6"/>
  <c r="G503" i="6"/>
  <c r="G504" i="6"/>
  <c r="G505" i="6"/>
  <c r="G506" i="6"/>
  <c r="G507" i="6"/>
  <c r="G509" i="6"/>
  <c r="G510" i="6"/>
  <c r="G511" i="6"/>
  <c r="G512" i="6"/>
  <c r="G513" i="6"/>
  <c r="G514" i="6"/>
  <c r="G516" i="6"/>
  <c r="G517" i="6"/>
  <c r="G518" i="6"/>
  <c r="G519" i="6"/>
  <c r="G520" i="6"/>
  <c r="G521" i="6"/>
  <c r="G524" i="6"/>
  <c r="G525" i="6"/>
  <c r="G526" i="6"/>
  <c r="G527" i="6"/>
  <c r="G528" i="6"/>
  <c r="G529" i="6"/>
  <c r="G530" i="6"/>
  <c r="G533" i="6"/>
  <c r="G534" i="6"/>
  <c r="G535" i="6"/>
  <c r="G536" i="6"/>
  <c r="G537" i="6"/>
  <c r="G538" i="6"/>
  <c r="G541" i="6"/>
  <c r="G543" i="6"/>
  <c r="G544" i="6"/>
  <c r="G545" i="6"/>
  <c r="G546" i="6"/>
  <c r="G549" i="6"/>
  <c r="G550" i="6"/>
  <c r="G552" i="6"/>
  <c r="G553" i="6"/>
  <c r="G554" i="6"/>
  <c r="G555" i="6"/>
  <c r="G558" i="6"/>
  <c r="G559" i="6"/>
  <c r="G560" i="6"/>
  <c r="G561" i="6"/>
  <c r="G562" i="6"/>
  <c r="G566" i="6"/>
  <c r="G567" i="6"/>
  <c r="G568" i="6"/>
  <c r="G569" i="6"/>
  <c r="G570" i="6"/>
  <c r="G574" i="6"/>
  <c r="G575" i="6"/>
  <c r="G576" i="6"/>
  <c r="G577" i="6"/>
  <c r="G578" i="6"/>
  <c r="G582" i="6"/>
  <c r="G584" i="6"/>
  <c r="G585" i="6"/>
  <c r="G586" i="6"/>
  <c r="G587" i="6"/>
  <c r="G591" i="6"/>
  <c r="G592" i="6"/>
  <c r="G594" i="6"/>
  <c r="G596" i="6"/>
  <c r="G597" i="6"/>
  <c r="G599" i="6"/>
  <c r="G600" i="6"/>
  <c r="G601" i="6"/>
  <c r="G602" i="6"/>
  <c r="G604" i="6"/>
  <c r="G605" i="6"/>
  <c r="G607" i="6"/>
  <c r="G608" i="6"/>
  <c r="G610" i="6"/>
  <c r="G611" i="6"/>
  <c r="G613" i="6"/>
  <c r="G614" i="6"/>
  <c r="G615" i="6"/>
  <c r="G616" i="6"/>
  <c r="G617" i="6"/>
  <c r="G618" i="6"/>
  <c r="G619" i="6"/>
  <c r="G621" i="6"/>
  <c r="G622" i="6"/>
  <c r="G623" i="6"/>
  <c r="G624" i="6"/>
  <c r="G626" i="6"/>
  <c r="G627" i="6"/>
  <c r="G628" i="6"/>
  <c r="G630" i="6"/>
  <c r="G631" i="6"/>
  <c r="G632" i="6"/>
  <c r="G633" i="6"/>
  <c r="G634" i="6"/>
  <c r="G635" i="6"/>
  <c r="G636" i="6"/>
  <c r="G638" i="6"/>
  <c r="G639" i="6"/>
  <c r="G640" i="6"/>
  <c r="G641" i="6"/>
  <c r="G642" i="6"/>
  <c r="G643" i="6"/>
  <c r="G644" i="6"/>
  <c r="G646" i="6"/>
  <c r="G647" i="6"/>
  <c r="G648" i="6"/>
  <c r="G649" i="6"/>
  <c r="G650" i="6"/>
  <c r="G651" i="6"/>
  <c r="G652" i="6"/>
  <c r="G654" i="6"/>
  <c r="G655" i="6"/>
  <c r="G656" i="6"/>
  <c r="G657" i="6"/>
  <c r="G658" i="6"/>
  <c r="G659" i="6"/>
  <c r="G660" i="6"/>
  <c r="G662" i="6"/>
  <c r="G663" i="6"/>
  <c r="G664" i="6"/>
  <c r="G665" i="6"/>
  <c r="G666" i="6"/>
  <c r="G667" i="6"/>
  <c r="G668" i="6"/>
  <c r="G671" i="6"/>
  <c r="G672" i="6"/>
  <c r="G673" i="6"/>
  <c r="G675" i="6"/>
  <c r="G676" i="6"/>
  <c r="G677" i="6"/>
  <c r="G678" i="6"/>
  <c r="G679" i="6"/>
  <c r="G681" i="6"/>
  <c r="G682" i="6"/>
  <c r="G684" i="6"/>
  <c r="G685" i="6"/>
  <c r="G686" i="6"/>
  <c r="G687" i="6"/>
  <c r="G688" i="6"/>
  <c r="G689" i="6"/>
  <c r="G690" i="6"/>
  <c r="G692" i="6"/>
  <c r="G693" i="6"/>
  <c r="G694" i="6"/>
  <c r="G695" i="6"/>
  <c r="G696" i="6"/>
  <c r="G697" i="6"/>
  <c r="G700" i="6"/>
  <c r="G701" i="6"/>
  <c r="G702" i="6"/>
  <c r="G703" i="6"/>
  <c r="G704" i="6"/>
  <c r="G705" i="6"/>
  <c r="G706" i="6"/>
  <c r="G711" i="6"/>
  <c r="G712" i="6"/>
  <c r="G713" i="6"/>
  <c r="G714" i="6"/>
  <c r="G715" i="6"/>
  <c r="G717" i="6"/>
  <c r="G719" i="6"/>
  <c r="G720" i="6"/>
  <c r="G721" i="6"/>
  <c r="G722" i="6"/>
  <c r="G723" i="6"/>
  <c r="G724" i="6"/>
  <c r="G726" i="6"/>
  <c r="G727" i="6"/>
  <c r="G728" i="6"/>
  <c r="G729" i="6"/>
  <c r="G730" i="6"/>
  <c r="G731" i="6"/>
  <c r="G733" i="6"/>
  <c r="G735" i="6"/>
  <c r="G736" i="6"/>
  <c r="G737" i="6"/>
  <c r="G738" i="6"/>
  <c r="G741" i="6"/>
  <c r="G743" i="6"/>
  <c r="G744" i="6"/>
  <c r="G745" i="6"/>
  <c r="G747" i="6"/>
  <c r="G748" i="6"/>
  <c r="G750" i="6"/>
  <c r="G751" i="6"/>
  <c r="G752" i="6"/>
  <c r="G753" i="6"/>
  <c r="G754" i="6"/>
  <c r="G755" i="6"/>
  <c r="G758" i="6"/>
  <c r="G759" i="6"/>
  <c r="G760" i="6"/>
  <c r="G761" i="6"/>
  <c r="G762" i="6"/>
  <c r="G763" i="6"/>
  <c r="G764" i="6"/>
  <c r="G767" i="6"/>
  <c r="G768" i="6"/>
  <c r="G769" i="6"/>
  <c r="G770" i="6"/>
  <c r="G772" i="6"/>
  <c r="G773" i="6"/>
  <c r="G775" i="6"/>
  <c r="G776" i="6"/>
  <c r="G777" i="6"/>
  <c r="G778" i="6"/>
  <c r="G779" i="6"/>
  <c r="G781" i="6"/>
  <c r="G784" i="6"/>
  <c r="G785" i="6"/>
  <c r="G787" i="6"/>
  <c r="G788" i="6"/>
  <c r="G789" i="6"/>
  <c r="G791" i="6"/>
  <c r="G792" i="6"/>
  <c r="G793" i="6"/>
  <c r="G794" i="6"/>
  <c r="G798" i="6"/>
  <c r="G799" i="6"/>
  <c r="G800" i="6"/>
  <c r="G801" i="6"/>
  <c r="G802" i="6"/>
  <c r="G807" i="6"/>
  <c r="G808" i="6"/>
  <c r="G809" i="6"/>
  <c r="G810" i="6"/>
  <c r="G811" i="6"/>
  <c r="G815" i="6"/>
  <c r="G816" i="6"/>
  <c r="G818" i="6"/>
  <c r="G819" i="6"/>
  <c r="G820" i="6"/>
  <c r="G822" i="6"/>
  <c r="G823" i="6"/>
  <c r="G824" i="6"/>
  <c r="G826" i="6"/>
  <c r="G827" i="6"/>
  <c r="G829" i="6"/>
  <c r="G830" i="6"/>
  <c r="G831" i="6"/>
  <c r="G832" i="6"/>
  <c r="G833" i="6"/>
  <c r="G834" i="6"/>
  <c r="G836" i="6"/>
  <c r="G837" i="6"/>
  <c r="G838" i="6"/>
  <c r="G840" i="6"/>
  <c r="G841" i="6"/>
  <c r="G842" i="6"/>
  <c r="G844" i="6"/>
  <c r="G845" i="6"/>
  <c r="G846" i="6"/>
  <c r="G848" i="6"/>
  <c r="G849" i="6"/>
  <c r="G850" i="6"/>
  <c r="G854" i="6"/>
  <c r="G855" i="6"/>
  <c r="G856" i="6"/>
  <c r="G859" i="6"/>
  <c r="G860" i="6"/>
  <c r="G863" i="6"/>
  <c r="G864" i="6"/>
  <c r="G865" i="6"/>
  <c r="G867" i="6"/>
  <c r="G869" i="6"/>
  <c r="G870" i="6"/>
  <c r="G871" i="6"/>
  <c r="G872" i="6"/>
  <c r="G873" i="6"/>
  <c r="G874" i="6"/>
  <c r="G876" i="6"/>
  <c r="G877" i="6"/>
  <c r="G878" i="6"/>
  <c r="G879" i="6"/>
  <c r="G880" i="6"/>
  <c r="G882" i="6"/>
  <c r="G885" i="6"/>
  <c r="G887" i="6"/>
  <c r="G888" i="6"/>
  <c r="G889" i="6"/>
  <c r="G890" i="6"/>
  <c r="G895" i="6"/>
  <c r="G897" i="6"/>
  <c r="G898" i="6"/>
  <c r="G899" i="6"/>
  <c r="G900" i="6"/>
  <c r="G904" i="6"/>
  <c r="G905" i="6"/>
  <c r="G906" i="6"/>
  <c r="G907" i="6"/>
  <c r="G908" i="6"/>
  <c r="G909" i="6"/>
  <c r="G910" i="6"/>
  <c r="G911" i="6"/>
  <c r="G912" i="6"/>
  <c r="G914" i="6"/>
  <c r="G915" i="6"/>
  <c r="G916" i="6"/>
  <c r="G917" i="6"/>
  <c r="G918" i="6"/>
  <c r="G919" i="6"/>
  <c r="G920" i="6"/>
  <c r="G921" i="6"/>
  <c r="G922" i="6"/>
  <c r="G923" i="6"/>
  <c r="G925" i="6"/>
  <c r="G926" i="6"/>
  <c r="G927" i="6"/>
  <c r="G928" i="6"/>
  <c r="G929" i="6"/>
  <c r="G930" i="6"/>
  <c r="G933" i="6"/>
  <c r="G934" i="6"/>
  <c r="G935" i="6"/>
  <c r="G936" i="6"/>
  <c r="G937" i="6"/>
  <c r="G942" i="6"/>
  <c r="G943" i="6"/>
  <c r="G944" i="6"/>
  <c r="G945" i="6"/>
  <c r="G947" i="6"/>
  <c r="G951" i="6"/>
  <c r="G952" i="6"/>
  <c r="G954" i="6"/>
  <c r="G956" i="6"/>
  <c r="G957" i="6"/>
  <c r="G960" i="6"/>
  <c r="G961" i="6"/>
  <c r="G962" i="6"/>
  <c r="G963" i="6"/>
  <c r="G965" i="6"/>
  <c r="G966" i="6"/>
  <c r="G967" i="6"/>
  <c r="G968" i="6"/>
  <c r="G969" i="6"/>
  <c r="G970" i="6"/>
  <c r="G971" i="6"/>
  <c r="G973" i="6"/>
  <c r="G974" i="6"/>
  <c r="G975" i="6"/>
  <c r="G976" i="6"/>
  <c r="G978" i="6"/>
  <c r="G982" i="6"/>
  <c r="G984" i="6"/>
  <c r="G985" i="6"/>
  <c r="G986" i="6"/>
  <c r="G987" i="6"/>
  <c r="G991" i="6"/>
  <c r="G992" i="6"/>
  <c r="G993" i="6"/>
  <c r="G994" i="6"/>
  <c r="G995" i="6"/>
  <c r="G996" i="6"/>
  <c r="G999" i="6"/>
  <c r="G1000" i="6"/>
  <c r="G1002" i="6"/>
  <c r="G1003" i="6"/>
  <c r="G1004" i="6"/>
  <c r="G1005" i="6"/>
  <c r="G1006" i="6"/>
  <c r="G1007" i="6"/>
  <c r="G1009" i="6"/>
  <c r="G1010" i="6"/>
  <c r="G1012" i="6"/>
  <c r="G1013" i="6"/>
  <c r="G1014" i="6"/>
  <c r="G1015" i="6"/>
  <c r="G1016" i="6"/>
  <c r="G1018" i="6"/>
  <c r="G1020" i="6"/>
  <c r="G1021" i="6"/>
  <c r="G1022" i="6"/>
  <c r="G1023" i="6"/>
  <c r="G1024" i="6"/>
  <c r="G1025" i="6"/>
  <c r="G1028" i="6"/>
  <c r="G1029" i="6"/>
  <c r="G1030" i="6"/>
  <c r="G1031" i="6"/>
  <c r="G1033" i="6"/>
  <c r="G1038" i="6"/>
  <c r="G1039" i="6"/>
  <c r="G1040" i="6"/>
  <c r="G1042" i="6"/>
  <c r="G1047" i="6"/>
  <c r="G1048" i="6"/>
  <c r="G1049" i="6"/>
  <c r="G1050" i="6"/>
  <c r="G1052" i="6"/>
  <c r="G1053" i="6"/>
  <c r="G1055" i="6"/>
  <c r="G1057" i="6"/>
  <c r="G1058" i="6"/>
  <c r="G1061" i="6"/>
  <c r="G1062" i="6"/>
  <c r="G1063" i="6"/>
  <c r="G1064" i="6"/>
  <c r="G1068" i="6"/>
  <c r="G1070" i="6"/>
  <c r="G1071" i="6"/>
  <c r="G1072" i="6"/>
  <c r="G1073" i="6"/>
  <c r="G1078" i="6"/>
  <c r="G1079" i="6"/>
  <c r="G1080" i="6"/>
  <c r="G1082" i="6"/>
  <c r="G1087" i="6"/>
  <c r="G1088" i="6"/>
  <c r="G1089" i="6"/>
  <c r="G1090" i="6"/>
  <c r="G1091" i="6"/>
  <c r="G1092" i="6"/>
  <c r="G1095" i="6"/>
  <c r="G1096" i="6"/>
  <c r="G1097" i="6"/>
  <c r="G1098" i="6"/>
  <c r="G1099" i="6"/>
  <c r="G1101" i="6"/>
  <c r="G1102" i="6"/>
  <c r="G1103" i="6"/>
  <c r="G1104" i="6"/>
  <c r="G1109" i="6"/>
  <c r="G1110" i="6"/>
  <c r="G1111" i="6"/>
  <c r="G1112" i="6"/>
  <c r="G1113" i="6"/>
  <c r="G1115" i="6"/>
  <c r="G1117" i="6"/>
  <c r="G1118" i="6"/>
  <c r="G1119" i="6"/>
  <c r="G1120" i="6"/>
  <c r="G1121" i="6"/>
  <c r="G1123" i="6"/>
  <c r="G1125" i="6"/>
  <c r="G1126" i="6"/>
  <c r="G1127" i="6"/>
  <c r="G1128" i="6"/>
  <c r="G1134" i="6"/>
  <c r="G1135" i="6"/>
  <c r="G1136" i="6"/>
  <c r="G1137" i="6"/>
  <c r="G1143" i="6"/>
  <c r="G1144" i="6"/>
  <c r="G1145" i="6"/>
  <c r="G1149" i="6"/>
  <c r="G1151" i="6"/>
  <c r="G1152" i="6"/>
  <c r="G1153" i="6"/>
  <c r="G1154" i="6"/>
  <c r="G1157" i="6"/>
  <c r="G1158" i="6"/>
  <c r="G1159" i="6"/>
  <c r="G1160" i="6"/>
  <c r="G1161" i="6"/>
  <c r="G1162" i="6"/>
  <c r="G1165" i="6"/>
  <c r="G1166" i="6"/>
  <c r="G1167" i="6"/>
  <c r="G1168" i="6"/>
  <c r="G1169" i="6"/>
  <c r="G1172" i="6"/>
  <c r="G1174" i="6"/>
  <c r="G1175" i="6"/>
  <c r="G1176" i="6"/>
  <c r="G1177" i="6"/>
  <c r="G1181" i="6"/>
  <c r="G1183" i="6"/>
  <c r="G1184" i="6"/>
  <c r="G1185" i="6"/>
  <c r="G1190" i="6"/>
  <c r="G1191" i="6"/>
  <c r="G1192" i="6"/>
  <c r="G1193" i="6"/>
  <c r="G1194" i="6"/>
  <c r="G1199" i="6"/>
  <c r="G1200" i="6"/>
  <c r="G1201" i="6"/>
  <c r="G1202" i="6"/>
  <c r="G1207" i="6"/>
  <c r="G1208" i="6"/>
  <c r="G1209" i="6"/>
  <c r="G1211" i="6"/>
  <c r="G1215" i="6"/>
  <c r="G1216" i="6"/>
  <c r="G1217" i="6"/>
  <c r="G1218" i="6"/>
  <c r="G1223" i="6"/>
  <c r="G1224" i="6"/>
  <c r="G1225" i="6"/>
  <c r="G1226" i="6"/>
  <c r="G1229" i="6"/>
  <c r="G1230" i="6"/>
  <c r="G1231" i="6"/>
  <c r="G1232" i="6"/>
  <c r="G1233" i="6"/>
  <c r="G1234" i="6"/>
  <c r="G1236" i="6"/>
  <c r="G1237" i="6"/>
  <c r="G1238" i="6"/>
  <c r="G1239" i="6"/>
  <c r="G1240" i="6"/>
  <c r="G1241" i="6"/>
  <c r="G1244" i="6"/>
  <c r="G1245" i="6"/>
  <c r="G1247" i="6"/>
  <c r="G1248" i="6"/>
  <c r="G1249" i="6"/>
  <c r="G1253" i="6"/>
  <c r="G1255" i="6"/>
  <c r="G1256" i="6"/>
  <c r="G1257" i="6"/>
  <c r="G1260" i="6"/>
  <c r="G1261" i="6"/>
  <c r="G1262" i="6"/>
  <c r="G1263" i="6"/>
  <c r="G1264" i="6"/>
  <c r="G1265" i="6"/>
  <c r="G1268" i="6"/>
  <c r="G1269" i="6"/>
  <c r="G1271" i="6"/>
  <c r="G1272" i="6"/>
  <c r="G1273" i="6"/>
  <c r="G1278" i="6"/>
  <c r="G1279" i="6"/>
  <c r="G1280" i="6"/>
  <c r="G1281" i="6"/>
  <c r="G1282" i="6"/>
  <c r="G1286" i="6"/>
  <c r="G1287" i="6"/>
  <c r="G1288" i="6"/>
  <c r="G1289" i="6"/>
  <c r="G1295" i="6"/>
  <c r="G1296" i="6"/>
  <c r="G1297" i="6"/>
  <c r="G1298" i="6"/>
  <c r="G1299" i="6"/>
  <c r="G1303" i="6"/>
  <c r="G1304" i="6"/>
  <c r="G1305" i="6"/>
  <c r="G1306" i="6"/>
  <c r="G1311" i="6"/>
  <c r="G1312" i="6"/>
  <c r="G1313" i="6"/>
  <c r="G1314" i="6"/>
  <c r="G1320" i="6"/>
  <c r="G1321" i="6"/>
  <c r="G1322" i="6"/>
  <c r="G1323" i="6"/>
  <c r="G1324" i="6"/>
  <c r="G1325" i="6"/>
  <c r="G1327" i="6"/>
  <c r="G1328" i="6"/>
  <c r="G1329" i="6"/>
  <c r="G1330" i="6"/>
  <c r="G1331" i="6"/>
  <c r="G1332" i="6"/>
  <c r="G1333" i="6"/>
  <c r="G1335" i="6"/>
  <c r="G1336" i="6"/>
  <c r="G1337" i="6"/>
  <c r="G1340" i="6"/>
  <c r="G1341" i="6"/>
  <c r="G1342" i="6"/>
  <c r="G1344" i="6"/>
  <c r="G1345" i="6"/>
  <c r="G1351" i="6"/>
  <c r="G1352" i="6"/>
  <c r="G1353" i="6"/>
  <c r="G1355" i="6"/>
  <c r="G1356" i="6"/>
  <c r="G1359" i="6"/>
  <c r="G1360" i="6"/>
  <c r="G1361" i="6"/>
  <c r="G1363" i="6"/>
  <c r="G1364" i="6"/>
  <c r="G1365" i="6"/>
  <c r="G1368" i="6"/>
  <c r="G1369" i="6"/>
  <c r="G1372" i="6"/>
  <c r="G1373" i="6"/>
  <c r="G1374" i="6"/>
  <c r="G1375" i="6"/>
  <c r="G1376" i="6"/>
  <c r="G1377" i="6"/>
  <c r="G1382" i="6"/>
  <c r="G1383" i="6"/>
  <c r="G1384" i="6"/>
  <c r="G1385" i="6"/>
  <c r="G1388" i="6"/>
  <c r="G1391" i="6"/>
  <c r="G1392" i="6"/>
  <c r="G1393" i="6"/>
  <c r="G1398" i="6"/>
  <c r="G1399" i="6"/>
  <c r="G1400" i="6"/>
  <c r="G1407" i="6"/>
  <c r="G1408" i="6"/>
  <c r="G1409" i="6"/>
  <c r="G1411" i="6"/>
  <c r="G1413" i="6"/>
  <c r="G1415" i="6"/>
  <c r="G1416" i="6"/>
  <c r="G1419" i="6"/>
  <c r="G1424" i="6"/>
  <c r="G1425" i="6"/>
  <c r="G1429" i="6"/>
  <c r="G1430" i="6"/>
  <c r="G1431" i="6"/>
  <c r="G1432" i="6"/>
  <c r="G1433" i="6"/>
  <c r="G1437" i="6"/>
  <c r="G1438" i="6"/>
  <c r="G1439" i="6"/>
  <c r="G1440" i="6"/>
  <c r="G1441" i="6"/>
  <c r="G1447" i="6"/>
  <c r="G1448" i="6"/>
  <c r="G1449" i="6"/>
  <c r="G1453" i="6"/>
  <c r="G1454" i="6"/>
  <c r="G1455" i="6"/>
  <c r="G1456" i="6"/>
  <c r="G1457" i="6"/>
  <c r="G1464" i="6"/>
  <c r="G1465" i="6"/>
  <c r="G1467" i="6"/>
  <c r="G1471" i="6"/>
  <c r="G1472" i="6"/>
  <c r="G1473" i="6"/>
  <c r="G1480" i="6"/>
  <c r="G1481" i="6"/>
  <c r="G1482" i="6"/>
  <c r="G1483" i="6"/>
  <c r="G1484" i="6"/>
  <c r="G1485" i="6"/>
  <c r="G1487" i="6"/>
  <c r="G1488" i="6"/>
  <c r="G1489" i="6"/>
  <c r="G1491" i="6"/>
  <c r="G1493" i="6"/>
  <c r="G1494" i="6"/>
  <c r="G1495" i="6"/>
  <c r="G1496" i="6"/>
  <c r="G1502" i="6"/>
  <c r="G1503" i="6"/>
  <c r="G1504" i="6"/>
  <c r="G1505" i="6"/>
  <c r="G1508" i="6"/>
  <c r="G1510" i="6"/>
  <c r="G1511" i="6"/>
  <c r="G1512" i="6"/>
  <c r="G1516" i="6"/>
  <c r="G1517" i="6"/>
  <c r="G1518" i="6"/>
  <c r="G1519" i="6"/>
  <c r="G1520" i="6"/>
  <c r="G1521" i="6"/>
  <c r="G1524" i="6"/>
  <c r="G1525" i="6"/>
  <c r="G1526" i="6"/>
  <c r="G1528" i="6"/>
  <c r="G1529" i="6"/>
  <c r="G1534" i="6"/>
  <c r="G1535" i="6"/>
  <c r="G1536" i="6"/>
  <c r="G1537" i="6"/>
  <c r="G1538" i="6"/>
  <c r="G1539" i="6"/>
  <c r="G1542" i="6"/>
  <c r="G1544" i="6"/>
  <c r="G1545" i="6"/>
  <c r="G1546" i="6"/>
  <c r="G1547" i="6"/>
  <c r="G1548" i="6"/>
  <c r="G1551" i="6"/>
  <c r="G1552" i="6"/>
  <c r="G1553" i="6"/>
  <c r="G1556" i="6"/>
  <c r="G1559" i="6"/>
  <c r="G1560" i="6"/>
  <c r="G1562" i="6"/>
  <c r="G1563" i="6"/>
  <c r="G1564" i="6"/>
  <c r="G1567" i="6"/>
  <c r="G1568" i="6"/>
  <c r="G1569" i="6"/>
  <c r="G1570" i="6"/>
  <c r="G1571" i="6"/>
  <c r="G1572" i="6"/>
  <c r="G1575" i="6"/>
  <c r="G1576" i="6"/>
  <c r="G1578" i="6"/>
  <c r="G1579" i="6"/>
  <c r="G1580" i="6"/>
  <c r="G1583" i="6"/>
  <c r="G1584" i="6"/>
  <c r="G1585" i="6"/>
  <c r="G1587" i="6"/>
  <c r="G1588" i="6"/>
  <c r="G1590" i="6"/>
  <c r="G1591" i="6"/>
  <c r="G1592" i="6"/>
  <c r="G1593" i="6"/>
  <c r="G1596" i="6"/>
  <c r="G1599" i="6"/>
  <c r="G1600" i="6"/>
  <c r="G1601" i="6"/>
  <c r="G1604" i="6"/>
  <c r="G1606" i="6"/>
  <c r="G1607" i="6"/>
  <c r="G1608" i="6"/>
  <c r="G1609" i="6"/>
  <c r="G1612" i="6"/>
  <c r="G1614" i="6"/>
  <c r="G1616" i="6"/>
  <c r="G1617" i="6"/>
  <c r="G1619" i="6"/>
  <c r="G1622" i="6"/>
  <c r="G1623" i="6"/>
  <c r="G1624" i="6"/>
  <c r="G1625" i="6"/>
  <c r="G1631" i="6"/>
  <c r="G1632" i="6"/>
  <c r="G1633" i="6"/>
  <c r="G1635" i="6"/>
  <c r="G1636" i="6"/>
  <c r="G1637" i="6"/>
  <c r="G1639" i="6"/>
  <c r="G1640" i="6"/>
  <c r="G1641" i="6"/>
  <c r="G1642" i="6"/>
  <c r="G1644" i="6"/>
  <c r="G1647" i="6"/>
  <c r="G1648" i="6"/>
  <c r="G1649" i="6"/>
  <c r="G1652" i="6"/>
  <c r="G1654" i="6"/>
  <c r="G1655" i="6"/>
  <c r="G1656" i="6"/>
  <c r="G1657" i="6"/>
  <c r="G1660" i="6"/>
  <c r="G1663" i="6"/>
  <c r="G1664" i="6"/>
  <c r="G1665" i="6"/>
  <c r="G1670" i="6"/>
  <c r="G1671" i="6"/>
  <c r="G1672" i="6"/>
  <c r="G1673" i="6"/>
  <c r="G1676" i="6"/>
  <c r="G1680" i="6"/>
  <c r="G1681" i="6"/>
  <c r="G1682" i="6"/>
  <c r="G1686" i="6"/>
  <c r="G1687" i="6"/>
  <c r="G1688" i="6"/>
  <c r="G1689" i="6"/>
  <c r="G1694" i="6"/>
  <c r="G1695" i="6"/>
  <c r="G1696" i="6"/>
  <c r="G1697" i="6"/>
  <c r="G1700" i="6"/>
  <c r="G1703" i="6"/>
  <c r="G1704" i="6"/>
  <c r="G1705" i="6"/>
  <c r="G1706" i="6"/>
  <c r="G1708" i="6"/>
  <c r="G1711" i="6"/>
  <c r="G1712" i="6"/>
  <c r="G1713" i="6"/>
  <c r="G1720" i="6"/>
  <c r="G1721" i="6"/>
  <c r="G1722" i="6"/>
  <c r="G1723" i="6"/>
  <c r="G1727" i="6"/>
  <c r="G1728" i="6"/>
  <c r="G1729" i="6"/>
  <c r="G1730" i="6"/>
  <c r="G1736" i="6"/>
  <c r="G1737" i="6"/>
  <c r="G1739" i="6"/>
  <c r="G1740" i="6"/>
  <c r="G1741" i="6"/>
  <c r="G1742" i="6"/>
  <c r="G1743" i="6"/>
  <c r="G1744" i="6"/>
  <c r="G1745" i="6"/>
  <c r="G1749" i="6"/>
  <c r="G1750" i="6"/>
  <c r="G1751" i="6"/>
  <c r="G1752" i="6"/>
  <c r="G1759" i="6"/>
  <c r="G1760" i="6"/>
  <c r="G1761" i="6"/>
  <c r="G1762" i="6"/>
  <c r="G1766" i="6"/>
  <c r="G1767" i="6"/>
  <c r="G1768" i="6"/>
  <c r="G1772" i="6"/>
  <c r="G1775" i="6"/>
  <c r="G1776" i="6"/>
  <c r="G1777" i="6"/>
  <c r="G1784" i="6"/>
  <c r="G1785" i="6"/>
  <c r="G1787" i="6"/>
  <c r="G1788" i="6"/>
  <c r="G1791" i="6"/>
  <c r="G1792" i="6"/>
  <c r="G1793" i="6"/>
  <c r="G1794" i="6"/>
  <c r="G1796" i="6"/>
  <c r="G1800" i="6"/>
  <c r="G1801" i="6"/>
  <c r="G1802" i="6"/>
  <c r="G1804" i="6"/>
  <c r="G1806" i="6"/>
  <c r="G1807" i="6"/>
  <c r="G1808" i="6"/>
  <c r="G1809" i="6"/>
  <c r="G1810" i="6"/>
  <c r="G1812" i="6"/>
  <c r="G1814" i="6"/>
  <c r="G1815" i="6"/>
  <c r="G1816" i="6"/>
  <c r="G1820" i="6"/>
  <c r="G1822" i="6"/>
  <c r="G1823" i="6"/>
  <c r="G1824" i="6"/>
  <c r="G1825" i="6"/>
  <c r="G1830" i="6"/>
  <c r="G1831" i="6"/>
  <c r="G1832" i="6"/>
  <c r="G1836" i="6"/>
  <c r="G1839" i="6"/>
  <c r="G1840" i="6"/>
  <c r="G1841" i="6"/>
  <c r="G1842" i="6"/>
  <c r="G1846" i="6"/>
  <c r="G1847" i="6"/>
  <c r="G1848" i="6"/>
  <c r="G1849" i="6"/>
  <c r="G1852" i="6"/>
  <c r="G1855" i="6"/>
  <c r="G1856" i="6"/>
  <c r="G1857" i="6"/>
  <c r="G1858" i="6"/>
  <c r="G1862" i="6"/>
  <c r="G1863" i="6"/>
  <c r="G1864" i="6"/>
  <c r="G1866" i="6"/>
  <c r="G1867" i="6"/>
  <c r="G1871" i="6"/>
  <c r="G1872" i="6"/>
  <c r="G1873" i="6"/>
  <c r="G1874" i="6"/>
  <c r="G1879" i="6"/>
  <c r="G1880" i="6"/>
  <c r="G1882" i="6"/>
  <c r="G1884" i="6"/>
  <c r="G1887" i="6"/>
  <c r="G1888" i="6"/>
  <c r="G1889" i="6"/>
  <c r="G1892" i="6"/>
  <c r="G1894" i="6"/>
  <c r="G1895" i="6"/>
  <c r="G1896" i="6"/>
  <c r="G1897" i="6"/>
  <c r="G1898" i="6"/>
  <c r="G1900" i="6"/>
  <c r="G1903" i="6"/>
  <c r="G1904" i="6"/>
  <c r="G1905" i="6"/>
  <c r="G1908" i="6"/>
  <c r="G1909" i="6"/>
  <c r="G1910" i="6"/>
  <c r="G1911" i="6"/>
  <c r="G1912" i="6"/>
  <c r="G1913" i="6"/>
  <c r="G1916" i="6"/>
  <c r="G1919" i="6"/>
  <c r="G1920" i="6"/>
  <c r="G1921" i="6"/>
  <c r="G1925" i="6"/>
  <c r="G1926" i="6"/>
  <c r="G1927" i="6"/>
  <c r="G1928" i="6"/>
  <c r="G1930" i="6"/>
  <c r="G1934" i="6"/>
  <c r="G1935" i="6"/>
  <c r="G1936" i="6"/>
  <c r="G1937" i="6"/>
  <c r="G1938" i="6"/>
  <c r="G1943" i="6"/>
  <c r="G1944" i="6"/>
  <c r="G1946" i="6"/>
  <c r="G1948" i="6"/>
  <c r="G1951" i="6"/>
  <c r="G1952" i="6"/>
  <c r="G1953" i="6"/>
  <c r="G1955" i="6"/>
  <c r="G1956" i="6"/>
  <c r="G1959" i="6"/>
  <c r="G1960" i="6"/>
  <c r="G1961" i="6"/>
  <c r="G1962" i="6"/>
  <c r="G1964" i="6"/>
  <c r="G1967" i="6"/>
  <c r="G1968" i="6"/>
  <c r="G1969" i="6"/>
  <c r="G1972" i="6"/>
  <c r="G1974" i="6"/>
  <c r="G1975" i="6"/>
  <c r="G1976" i="6"/>
  <c r="G1977" i="6"/>
  <c r="G1979" i="6"/>
  <c r="G1980" i="6"/>
  <c r="G1981" i="6"/>
  <c r="G1983" i="6"/>
  <c r="G1984" i="6"/>
  <c r="G1985" i="6"/>
  <c r="G1988" i="6"/>
  <c r="G1990" i="6"/>
  <c r="G1991" i="6"/>
  <c r="G1992" i="6"/>
  <c r="G1998" i="6"/>
  <c r="G1999" i="6"/>
  <c r="G2000" i="6"/>
  <c r="G2001" i="6"/>
  <c r="G2006" i="6"/>
  <c r="G2007" i="6"/>
  <c r="G2008" i="6"/>
  <c r="G2010" i="6"/>
  <c r="G2011" i="6"/>
  <c r="G2015" i="6"/>
  <c r="G2016" i="6"/>
  <c r="G2017" i="6"/>
  <c r="G2019" i="6"/>
  <c r="G2020" i="6"/>
  <c r="G2023" i="6"/>
  <c r="G2024" i="6"/>
  <c r="G2025" i="6"/>
  <c r="G2026" i="6"/>
  <c r="G2028" i="6"/>
  <c r="G2031" i="6"/>
  <c r="G2032" i="6"/>
  <c r="G2033" i="6"/>
  <c r="G2036" i="6"/>
  <c r="G2038" i="6"/>
  <c r="G2039" i="6"/>
  <c r="G2040" i="6"/>
  <c r="G2041" i="6"/>
  <c r="G2042" i="6"/>
  <c r="G2044" i="6"/>
  <c r="G2047" i="6"/>
  <c r="G2048" i="6"/>
  <c r="G2049" i="6"/>
  <c r="G2052" i="6"/>
  <c r="G2054" i="6"/>
  <c r="G2055" i="6"/>
  <c r="G2056" i="6"/>
  <c r="G2060" i="6"/>
  <c r="G2061" i="6"/>
  <c r="G2062" i="6"/>
  <c r="G2063" i="6"/>
  <c r="G2064" i="6"/>
  <c r="G2065" i="6"/>
  <c r="G2068" i="6"/>
  <c r="G2070" i="6"/>
  <c r="G2071" i="6"/>
  <c r="G2072" i="6"/>
  <c r="G2074" i="6"/>
  <c r="G2078" i="6"/>
  <c r="G2079" i="6"/>
  <c r="G2080" i="6"/>
  <c r="G2081" i="6"/>
  <c r="G2087" i="6"/>
  <c r="G2088" i="6"/>
  <c r="G2089" i="6"/>
  <c r="G2090" i="6"/>
  <c r="G2095" i="6"/>
  <c r="G2096" i="6"/>
  <c r="G2097" i="6"/>
  <c r="G2100" i="6"/>
  <c r="G2103" i="6"/>
  <c r="G2104" i="6"/>
  <c r="G2105" i="6"/>
  <c r="G2106" i="6"/>
  <c r="G2108" i="6"/>
  <c r="G2109" i="6"/>
  <c r="G2111" i="6"/>
  <c r="G2112" i="6"/>
  <c r="G2113" i="6"/>
  <c r="G2114" i="6"/>
  <c r="G2116" i="6"/>
  <c r="G2118" i="6"/>
  <c r="G2119" i="6"/>
  <c r="G2120" i="6"/>
  <c r="G2124" i="6"/>
  <c r="G2126" i="6"/>
  <c r="G2127" i="6"/>
  <c r="G2128" i="6"/>
  <c r="G2129" i="6"/>
  <c r="G2131" i="6"/>
  <c r="G2132" i="6"/>
  <c r="G2134" i="6"/>
  <c r="G2135" i="6"/>
  <c r="G2136" i="6"/>
  <c r="G2142" i="6"/>
  <c r="G2143" i="6"/>
  <c r="G2144" i="6"/>
  <c r="G2145" i="6"/>
  <c r="G2150" i="6"/>
  <c r="G2151" i="6"/>
  <c r="G2152" i="6"/>
  <c r="G2153" i="6"/>
  <c r="G2154" i="6"/>
  <c r="G2" i="6"/>
</calcChain>
</file>

<file path=xl/sharedStrings.xml><?xml version="1.0" encoding="utf-8"?>
<sst xmlns="http://schemas.openxmlformats.org/spreadsheetml/2006/main" count="5844" uniqueCount="1470">
  <si>
    <t>categoryid</t>
  </si>
  <si>
    <t>categoryname</t>
  </si>
  <si>
    <t>description</t>
  </si>
  <si>
    <t>picture</t>
  </si>
  <si>
    <t>Beverages</t>
  </si>
  <si>
    <t>Soft drinks, coffees, teas, beers, and ales</t>
  </si>
  <si>
    <t>Condiments</t>
  </si>
  <si>
    <t>Sweet and savory sauces, relishes, spreads, and seasonings</t>
  </si>
  <si>
    <t>Confections</t>
  </si>
  <si>
    <t>Desserts, candies, and sweet breads</t>
  </si>
  <si>
    <t>Dairy Product</t>
  </si>
  <si>
    <t>Cheeses</t>
  </si>
  <si>
    <t>Grains/Cereals</t>
  </si>
  <si>
    <t>Breads, crackers, pasta, and cereal</t>
  </si>
  <si>
    <t>Meat/Poultry</t>
  </si>
  <si>
    <t>Prepared meats</t>
  </si>
  <si>
    <t>Produce</t>
  </si>
  <si>
    <t>Dried fruit and bean curd</t>
  </si>
  <si>
    <t>Seafood</t>
  </si>
  <si>
    <t>Seaweed and fish</t>
  </si>
  <si>
    <t>custid</t>
  </si>
  <si>
    <t>companyname</t>
  </si>
  <si>
    <t>contactname</t>
  </si>
  <si>
    <t>contacttitle</t>
  </si>
  <si>
    <t>address</t>
  </si>
  <si>
    <t>city</t>
  </si>
  <si>
    <t>region</t>
  </si>
  <si>
    <t>postalcode</t>
  </si>
  <si>
    <t>country</t>
  </si>
  <si>
    <t>phone</t>
  </si>
  <si>
    <t>fax</t>
  </si>
  <si>
    <t>Customer NRZBB</t>
  </si>
  <si>
    <t>Allen, Michael</t>
  </si>
  <si>
    <t>Sales Representative</t>
  </si>
  <si>
    <t>Obere Str. 0123</t>
  </si>
  <si>
    <t>Berlin</t>
  </si>
  <si>
    <t>Germany</t>
  </si>
  <si>
    <t>030-3456789</t>
  </si>
  <si>
    <t>030-0123456</t>
  </si>
  <si>
    <t>Customer MLTDN</t>
  </si>
  <si>
    <t>Hassall, Mark</t>
  </si>
  <si>
    <t>Owner</t>
  </si>
  <si>
    <t>Avda. de la Constitución 5678</t>
  </si>
  <si>
    <t>México D.F.</t>
  </si>
  <si>
    <t>Mexico</t>
  </si>
  <si>
    <t>(5) 789-0123</t>
  </si>
  <si>
    <t>(5) 456-7890</t>
  </si>
  <si>
    <t>Customer KBUDE</t>
  </si>
  <si>
    <t>Peoples, John</t>
  </si>
  <si>
    <t>Mataderos 7890</t>
  </si>
  <si>
    <t>(5) 123-4567</t>
  </si>
  <si>
    <t>Customer HFBZG</t>
  </si>
  <si>
    <t>Arndt, Torsten</t>
  </si>
  <si>
    <t>7890 Hanover Sq.</t>
  </si>
  <si>
    <t>London</t>
  </si>
  <si>
    <t>UK</t>
  </si>
  <si>
    <t>(171) 456-7890</t>
  </si>
  <si>
    <t>(171) 456-7891</t>
  </si>
  <si>
    <t>Customer HGVLZ</t>
  </si>
  <si>
    <t>Higginbotham, Tom</t>
  </si>
  <si>
    <t>Order Administrator</t>
  </si>
  <si>
    <t>Berguvsvägen 5678</t>
  </si>
  <si>
    <t>Luleå</t>
  </si>
  <si>
    <t>Sweden</t>
  </si>
  <si>
    <t>0921-67 89 01</t>
  </si>
  <si>
    <t>0921-23 45 67</t>
  </si>
  <si>
    <t>Customer XHXJV</t>
  </si>
  <si>
    <t>Poland, Carole</t>
  </si>
  <si>
    <t>Forsterstr. 7890</t>
  </si>
  <si>
    <t>Mannheim</t>
  </si>
  <si>
    <t>0621-67890</t>
  </si>
  <si>
    <t>0621-12345</t>
  </si>
  <si>
    <t>Customer QXVLA</t>
  </si>
  <si>
    <t>Bansal, Dushyant</t>
  </si>
  <si>
    <t>Marketing Manager</t>
  </si>
  <si>
    <t>2345, place Kléber</t>
  </si>
  <si>
    <t>Strasbourg</t>
  </si>
  <si>
    <t>France</t>
  </si>
  <si>
    <t>67.89.01.23</t>
  </si>
  <si>
    <t>67.89.01.24</t>
  </si>
  <si>
    <t>Customer QUHWH</t>
  </si>
  <si>
    <t>Ilyina, Julia</t>
  </si>
  <si>
    <t>C/ Araquil, 0123</t>
  </si>
  <si>
    <t>Madrid</t>
  </si>
  <si>
    <t>Spain</t>
  </si>
  <si>
    <t>(91) 345 67 89</t>
  </si>
  <si>
    <t>(91) 012 34 56</t>
  </si>
  <si>
    <t>Customer RTXGC</t>
  </si>
  <si>
    <t>Raghav, Amritansh</t>
  </si>
  <si>
    <t>6789, rue des Bouchers</t>
  </si>
  <si>
    <t>Marseille</t>
  </si>
  <si>
    <t>23.45.67.89</t>
  </si>
  <si>
    <t>23.45.67.80</t>
  </si>
  <si>
    <t>Customer EEALV</t>
  </si>
  <si>
    <t>Bassols, Pilar Colome</t>
  </si>
  <si>
    <t>Accounting Manager</t>
  </si>
  <si>
    <t>8901 Tsawassen Blvd.</t>
  </si>
  <si>
    <t>Tsawassen</t>
  </si>
  <si>
    <t>BC</t>
  </si>
  <si>
    <t>Canada</t>
  </si>
  <si>
    <t>(604) 901-2345</t>
  </si>
  <si>
    <t>(604) 678-9012</t>
  </si>
  <si>
    <t>Customer UBHAU</t>
  </si>
  <si>
    <t>Jaffe, David</t>
  </si>
  <si>
    <t>Fauntleroy Circus 4567</t>
  </si>
  <si>
    <t>(171) 789-0123</t>
  </si>
  <si>
    <t>Customer PSNMQ</t>
  </si>
  <si>
    <t>Ray, Mike</t>
  </si>
  <si>
    <t>Sales Agent</t>
  </si>
  <si>
    <t>Cerrito 3456</t>
  </si>
  <si>
    <t>Buenos Aires</t>
  </si>
  <si>
    <t>Argentina</t>
  </si>
  <si>
    <t>(1) 890-1234</t>
  </si>
  <si>
    <t>(1) 567-8901</t>
  </si>
  <si>
    <t>Customer VMLOG</t>
  </si>
  <si>
    <t>Benito, Almudena</t>
  </si>
  <si>
    <t>Sierras de Granada 7890</t>
  </si>
  <si>
    <t>Customer WNMAF</t>
  </si>
  <si>
    <t>Jelitto, Jacek</t>
  </si>
  <si>
    <t>Hauptstr. 0123</t>
  </si>
  <si>
    <t>Bern</t>
  </si>
  <si>
    <t>Switzerland</t>
  </si>
  <si>
    <t>0452-678901</t>
  </si>
  <si>
    <t>Customer JUWXK</t>
  </si>
  <si>
    <t>Richardson, Shawn</t>
  </si>
  <si>
    <t>Sales Associate</t>
  </si>
  <si>
    <t>Av. dos Lusíadas, 6789</t>
  </si>
  <si>
    <t>Sao Paulo</t>
  </si>
  <si>
    <t>SP</t>
  </si>
  <si>
    <t>Brazil</t>
  </si>
  <si>
    <t>(11) 012-3456</t>
  </si>
  <si>
    <t>Customer GYBBY</t>
  </si>
  <si>
    <t>Birkby, Dana</t>
  </si>
  <si>
    <t>Berkeley Gardens 0123 Brewery</t>
  </si>
  <si>
    <t>(171) 234-5678</t>
  </si>
  <si>
    <t>(171) 234-5679</t>
  </si>
  <si>
    <t>Customer FEVNN</t>
  </si>
  <si>
    <t>Jones, TiAnna</t>
  </si>
  <si>
    <t>Walserweg 4567</t>
  </si>
  <si>
    <t>Aachen</t>
  </si>
  <si>
    <t>0241-789012</t>
  </si>
  <si>
    <t>0241-345678</t>
  </si>
  <si>
    <t>Customer BSVAR</t>
  </si>
  <si>
    <t>Rizaldy, Arif</t>
  </si>
  <si>
    <t>3456, rue des Cinquante Otages</t>
  </si>
  <si>
    <t>Nantes</t>
  </si>
  <si>
    <t>89.01.23.45</t>
  </si>
  <si>
    <t>89.01.23.46</t>
  </si>
  <si>
    <t>Customer RFNQC</t>
  </si>
  <si>
    <t>Boseman, Randall</t>
  </si>
  <si>
    <t>5678 King George</t>
  </si>
  <si>
    <t>(171) 345-6789</t>
  </si>
  <si>
    <t>(171) 345-6780</t>
  </si>
  <si>
    <t>Customer THHDP</t>
  </si>
  <si>
    <t>Kane, John</t>
  </si>
  <si>
    <t>Sales Manager</t>
  </si>
  <si>
    <t>Kirchgasse 9012</t>
  </si>
  <si>
    <t>Graz</t>
  </si>
  <si>
    <t>Austria</t>
  </si>
  <si>
    <t>1234-5678</t>
  </si>
  <si>
    <t>9012-3456</t>
  </si>
  <si>
    <t>Customer KIDPX</t>
  </si>
  <si>
    <t>Russo, Giuseppe</t>
  </si>
  <si>
    <t>Marketing Assistant</t>
  </si>
  <si>
    <t>Rua Orós, 3456</t>
  </si>
  <si>
    <t>(11) 456-7890</t>
  </si>
  <si>
    <t>Customer DTDMN</t>
  </si>
  <si>
    <t>Bueno, Janaina Burdan, Neville</t>
  </si>
  <si>
    <t>C/ Moralzarzal, 5678</t>
  </si>
  <si>
    <t>(91) 890 12 34</t>
  </si>
  <si>
    <t>(91) 567 89 01</t>
  </si>
  <si>
    <t>Customer WVFAF</t>
  </si>
  <si>
    <t>Khanna, Karan</t>
  </si>
  <si>
    <t>Assistant Sales Agent</t>
  </si>
  <si>
    <t>4567, chaussée de Tournai</t>
  </si>
  <si>
    <t>Lille</t>
  </si>
  <si>
    <t>45.67.89.01</t>
  </si>
  <si>
    <t>45.67.89.02</t>
  </si>
  <si>
    <t>Customer CYZTN</t>
  </si>
  <si>
    <t>San Juan, Patricia</t>
  </si>
  <si>
    <t>Åkergatan 5678</t>
  </si>
  <si>
    <t>Bräcke</t>
  </si>
  <si>
    <t>0695-67 89 01</t>
  </si>
  <si>
    <t>Customer AZJED</t>
  </si>
  <si>
    <t>Carlson, Jason</t>
  </si>
  <si>
    <t>Berliner Platz 9012</t>
  </si>
  <si>
    <t>München</t>
  </si>
  <si>
    <t>089-8901234</t>
  </si>
  <si>
    <t>089-5678901</t>
  </si>
  <si>
    <t>Customer USDBG</t>
  </si>
  <si>
    <t>Koch, Paul</t>
  </si>
  <si>
    <t>9012, rue Royale</t>
  </si>
  <si>
    <t>34.56.78.90</t>
  </si>
  <si>
    <t>34.56.78.91</t>
  </si>
  <si>
    <t>Customer WMFEA</t>
  </si>
  <si>
    <t>Schmöllerl, Martin</t>
  </si>
  <si>
    <t>Via Monte Bianco 4567</t>
  </si>
  <si>
    <t>Torino</t>
  </si>
  <si>
    <t>Italy</t>
  </si>
  <si>
    <t>011-2345678</t>
  </si>
  <si>
    <t>011-9012345</t>
  </si>
  <si>
    <t>Customer XYUFB</t>
  </si>
  <si>
    <t>Cavaglieri, Giorgio</t>
  </si>
  <si>
    <t>Jardim das rosas n. 8901</t>
  </si>
  <si>
    <t>Lisboa</t>
  </si>
  <si>
    <t>Portugal</t>
  </si>
  <si>
    <t>(1) 456-7890</t>
  </si>
  <si>
    <t>(1) 123-4567</t>
  </si>
  <si>
    <t>Customer MDLWA</t>
  </si>
  <si>
    <t>Kolesnikova, Katerina</t>
  </si>
  <si>
    <t>Rambla de Cataluña, 8901</t>
  </si>
  <si>
    <t>Barcelona</t>
  </si>
  <si>
    <t>(93) 789 0123</t>
  </si>
  <si>
    <t>(93) 456 7890</t>
  </si>
  <si>
    <t>Customer KSLQF</t>
  </si>
  <si>
    <t>Shabalin, Rostislav</t>
  </si>
  <si>
    <t>C/ Romero, 1234</t>
  </si>
  <si>
    <t>Sevilla</t>
  </si>
  <si>
    <t>(95) 901 23 45</t>
  </si>
  <si>
    <t>Customer YJCBX</t>
  </si>
  <si>
    <t>Cheng, Yao-Qiang</t>
  </si>
  <si>
    <t>Av. Brasil, 5678</t>
  </si>
  <si>
    <t>Campinas</t>
  </si>
  <si>
    <t>(11) 567-8901</t>
  </si>
  <si>
    <t>Customer YSIQX</t>
  </si>
  <si>
    <t>Krishnan, Venky</t>
  </si>
  <si>
    <t>6789 Baker Blvd.</t>
  </si>
  <si>
    <t>Eugene</t>
  </si>
  <si>
    <t>OR</t>
  </si>
  <si>
    <t>USA</t>
  </si>
  <si>
    <t>(503) 555-0122</t>
  </si>
  <si>
    <t>Customer FVXPQ</t>
  </si>
  <si>
    <t>Sigurdarson, Hallur</t>
  </si>
  <si>
    <t>5ª Ave. Los Palos Grandes 3456</t>
  </si>
  <si>
    <t>Caracas</t>
  </si>
  <si>
    <t>DF</t>
  </si>
  <si>
    <t>Venezuela</t>
  </si>
  <si>
    <t>(2) 789-0123</t>
  </si>
  <si>
    <t>(2) 456-7890</t>
  </si>
  <si>
    <t>Customer IBVRG</t>
  </si>
  <si>
    <t>Cohen, Shy</t>
  </si>
  <si>
    <t>Rua do Paço, 7890</t>
  </si>
  <si>
    <t>Rio de Janeiro</t>
  </si>
  <si>
    <t>RJ</t>
  </si>
  <si>
    <t>(21) 789-0123</t>
  </si>
  <si>
    <t>(21) 789-0124</t>
  </si>
  <si>
    <t>Customer UMTLM</t>
  </si>
  <si>
    <t>Langohr, Kris</t>
  </si>
  <si>
    <t>Carrera 1234 con Ave. Carlos Soublette #8-35</t>
  </si>
  <si>
    <t>San Cristóbal</t>
  </si>
  <si>
    <t>Táchira</t>
  </si>
  <si>
    <t>(5) 567-8901</t>
  </si>
  <si>
    <t>(5) 234-5678</t>
  </si>
  <si>
    <t>Customer LVJSO</t>
  </si>
  <si>
    <t>Smith, Denise</t>
  </si>
  <si>
    <t>City Center Plaza 2345 Main St.</t>
  </si>
  <si>
    <t>Elgin</t>
  </si>
  <si>
    <t>(503) 555-0126</t>
  </si>
  <si>
    <t>(503) 555-0135</t>
  </si>
  <si>
    <t>Customer FRXZL</t>
  </si>
  <si>
    <t>Crăciun, Ovidiu V.</t>
  </si>
  <si>
    <t>9012 Johnstown Road</t>
  </si>
  <si>
    <t>Cork</t>
  </si>
  <si>
    <t>Co. Cork</t>
  </si>
  <si>
    <t>Ireland</t>
  </si>
  <si>
    <t>8901 234</t>
  </si>
  <si>
    <t>5678 9012</t>
  </si>
  <si>
    <t>Customer LJUCA</t>
  </si>
  <si>
    <t>Lee, Frank</t>
  </si>
  <si>
    <t>Garden House Crowther Way 3456</t>
  </si>
  <si>
    <t>Cowes</t>
  </si>
  <si>
    <t>Isle of Wight</t>
  </si>
  <si>
    <t>(198) 567-8901</t>
  </si>
  <si>
    <t>Customer GLLAG</t>
  </si>
  <si>
    <t>Song, Lolan</t>
  </si>
  <si>
    <t>Maubelstr. 8901</t>
  </si>
  <si>
    <t>Brandenburg</t>
  </si>
  <si>
    <t>0555-34567</t>
  </si>
  <si>
    <t>Customer EFFTC</t>
  </si>
  <si>
    <t>De Oliveira, Jose</t>
  </si>
  <si>
    <t>2345, avenue de l'Europe</t>
  </si>
  <si>
    <t>Versailles</t>
  </si>
  <si>
    <t>12.34.56.78</t>
  </si>
  <si>
    <t>12.34.56.79</t>
  </si>
  <si>
    <t>Customer XIIWM</t>
  </si>
  <si>
    <t>Litton, Tim</t>
  </si>
  <si>
    <t>3456 rue Alsace-Lorraine</t>
  </si>
  <si>
    <t>Toulouse</t>
  </si>
  <si>
    <t>90.12.34.56</t>
  </si>
  <si>
    <t>90.12.34.57</t>
  </si>
  <si>
    <t>Customer IAIJK</t>
  </si>
  <si>
    <t>Steiner, Dominik</t>
  </si>
  <si>
    <t>2345 Oak St.</t>
  </si>
  <si>
    <t>Vancouver</t>
  </si>
  <si>
    <t>(604) 567-8901</t>
  </si>
  <si>
    <t>(604) 234-5678</t>
  </si>
  <si>
    <t>Customer UISOJ</t>
  </si>
  <si>
    <t>Deshpande, Anu</t>
  </si>
  <si>
    <t>8901 Orchestra Terrace</t>
  </si>
  <si>
    <t>Walla Walla</t>
  </si>
  <si>
    <t>WA</t>
  </si>
  <si>
    <t>(509) 555-0119</t>
  </si>
  <si>
    <t>(509) 555-0130</t>
  </si>
  <si>
    <t>Customer OXFRU</t>
  </si>
  <si>
    <t>Louverdis, George</t>
  </si>
  <si>
    <t>Magazinweg 8901</t>
  </si>
  <si>
    <t>Frankfurt a.M.</t>
  </si>
  <si>
    <t>069-7890123</t>
  </si>
  <si>
    <t>069-4567890</t>
  </si>
  <si>
    <t>Customer QXPPT</t>
  </si>
  <si>
    <t>Sunkammurali, Krishna</t>
  </si>
  <si>
    <t>1234 Polk St. Suite 5</t>
  </si>
  <si>
    <t>San Francisco</t>
  </si>
  <si>
    <t>CA</t>
  </si>
  <si>
    <t>(415) 555-0118</t>
  </si>
  <si>
    <t>Customer XPNIK</t>
  </si>
  <si>
    <t>Dressler, Marlies</t>
  </si>
  <si>
    <t>Carrera 7890 con Ave. Bolívar #65-98 Llano Largo</t>
  </si>
  <si>
    <t>Barquisimeto</t>
  </si>
  <si>
    <t>Lara</t>
  </si>
  <si>
    <t>(9) 789-0123</t>
  </si>
  <si>
    <t>(9) 456-7890</t>
  </si>
  <si>
    <t>Customer PSQUZ</t>
  </si>
  <si>
    <t>Lupu, Cornel</t>
  </si>
  <si>
    <t>Ave. 5 de Mayo Porlamar 5678</t>
  </si>
  <si>
    <t>I. de Margarita</t>
  </si>
  <si>
    <t>Nueva Esparta</t>
  </si>
  <si>
    <t>(8) 01-23-45</t>
  </si>
  <si>
    <t>(8) 67-89-01</t>
  </si>
  <si>
    <t>Customer DVFMB</t>
  </si>
  <si>
    <t>Szymczak, Radosław</t>
  </si>
  <si>
    <t>9012 Chiaroscuro Rd.</t>
  </si>
  <si>
    <t>Portland</t>
  </si>
  <si>
    <t>(503) 555-0117</t>
  </si>
  <si>
    <t>(503) 555-0129</t>
  </si>
  <si>
    <t>Customer CQRAA</t>
  </si>
  <si>
    <t>Duerr, Bernard</t>
  </si>
  <si>
    <t>Via Ludovico il Moro 6789</t>
  </si>
  <si>
    <t>Bergamo</t>
  </si>
  <si>
    <t>035-345678</t>
  </si>
  <si>
    <t>035-901234</t>
  </si>
  <si>
    <t>Customer JYPSC</t>
  </si>
  <si>
    <t>Mace, Donald</t>
  </si>
  <si>
    <t>Rue Joseph-Bens 0123</t>
  </si>
  <si>
    <t>Bruxelles</t>
  </si>
  <si>
    <t>Belgium</t>
  </si>
  <si>
    <t>(02) 890 12 34</t>
  </si>
  <si>
    <t>(02) 567 89 01</t>
  </si>
  <si>
    <t>Customer PVDZC</t>
  </si>
  <si>
    <t>Taylor, Maurice</t>
  </si>
  <si>
    <t>8901 rue St. Laurent</t>
  </si>
  <si>
    <t>Montréal</t>
  </si>
  <si>
    <t>Québec</t>
  </si>
  <si>
    <t>(514) 345-6789</t>
  </si>
  <si>
    <t>(514) 012-3456</t>
  </si>
  <si>
    <t>Customer PZNLA</t>
  </si>
  <si>
    <t>Dupont-Roc, Patrice</t>
  </si>
  <si>
    <t>Heerstr. 4567</t>
  </si>
  <si>
    <t>Leipzig</t>
  </si>
  <si>
    <t>0342-12345</t>
  </si>
  <si>
    <t>Customer GCJSG</t>
  </si>
  <si>
    <t>Mallit, Ken</t>
  </si>
  <si>
    <t>South House 1234 Queensbridge</t>
  </si>
  <si>
    <t>(171) 890-1234</t>
  </si>
  <si>
    <t>(171) 890-1235</t>
  </si>
  <si>
    <t>Customer TDKEG</t>
  </si>
  <si>
    <t>Tiano, Mike</t>
  </si>
  <si>
    <t>Ing. Gustavo Moncada 0123 Piso 20-A</t>
  </si>
  <si>
    <t>Customer KZQZT</t>
  </si>
  <si>
    <t>Egelund-Muller, Anja</t>
  </si>
  <si>
    <t>7890 Bering St.</t>
  </si>
  <si>
    <t>Anchorage</t>
  </si>
  <si>
    <t>AK</t>
  </si>
  <si>
    <t>(907) 555-0115</t>
  </si>
  <si>
    <t>(907) 555-0128</t>
  </si>
  <si>
    <t>Customer QNIVZ</t>
  </si>
  <si>
    <t>Marinova, Nadejda</t>
  </si>
  <si>
    <t>Mehrheimerstr. 9012</t>
  </si>
  <si>
    <t>Köln</t>
  </si>
  <si>
    <t>0221-0123456</t>
  </si>
  <si>
    <t>0221-7890123</t>
  </si>
  <si>
    <t>Customer WVAXS</t>
  </si>
  <si>
    <t>Tollevsen, Bjørn</t>
  </si>
  <si>
    <t>5678, boulevard Charonne</t>
  </si>
  <si>
    <t>Paris</t>
  </si>
  <si>
    <t>(1) 89.01.23.45</t>
  </si>
  <si>
    <t>(1) 89.01.23.46</t>
  </si>
  <si>
    <t>Customer AHXHT</t>
  </si>
  <si>
    <t>Fakhouri, Fadi</t>
  </si>
  <si>
    <t>Calle Dr. Jorge Cash 8901</t>
  </si>
  <si>
    <t>(5) 890-1234</t>
  </si>
  <si>
    <t>Customer LOLJO</t>
  </si>
  <si>
    <t>Meston, Tosh</t>
  </si>
  <si>
    <t>Geislweg 2345</t>
  </si>
  <si>
    <t>Salzburg</t>
  </si>
  <si>
    <t>4567-8901</t>
  </si>
  <si>
    <t>2345-6789</t>
  </si>
  <si>
    <t>Customer QZURI</t>
  </si>
  <si>
    <t>Uppal, Sunil</t>
  </si>
  <si>
    <t>Estrada da saúde n. 6789</t>
  </si>
  <si>
    <t>(1) 789-0123</t>
  </si>
  <si>
    <t>Customer WULWD</t>
  </si>
  <si>
    <t>Florczyk, Krzysztof</t>
  </si>
  <si>
    <t>Rua da Panificadora, 1234</t>
  </si>
  <si>
    <t>(21) 678-9012</t>
  </si>
  <si>
    <t>(21) 678-9013</t>
  </si>
  <si>
    <t>Customer WFIZJ</t>
  </si>
  <si>
    <t>Misiec, Anna</t>
  </si>
  <si>
    <t>Alameda dos Canàrios, 1234</t>
  </si>
  <si>
    <t>(11) 901-2345</t>
  </si>
  <si>
    <t>Customer IRRVL</t>
  </si>
  <si>
    <t>Veronesi, Giorgio</t>
  </si>
  <si>
    <t>Taucherstraße 1234</t>
  </si>
  <si>
    <t>Cunewalde</t>
  </si>
  <si>
    <t>0372-12345</t>
  </si>
  <si>
    <t>Customer LWGMD</t>
  </si>
  <si>
    <t>Gaffney, Lawrie</t>
  </si>
  <si>
    <t>Av. del Libertador 3456</t>
  </si>
  <si>
    <t>(1) 234-5678</t>
  </si>
  <si>
    <t>(1) 901-2345</t>
  </si>
  <si>
    <t>Customer NYUHS</t>
  </si>
  <si>
    <t>Moore, Michael</t>
  </si>
  <si>
    <t>Assistant Sales Representative</t>
  </si>
  <si>
    <t>6789 Milton Dr.</t>
  </si>
  <si>
    <t>Albuquerque</t>
  </si>
  <si>
    <t>NM</t>
  </si>
  <si>
    <t>(505) 555-0125</t>
  </si>
  <si>
    <t>(505) 555-0134</t>
  </si>
  <si>
    <t>Customer LHANT</t>
  </si>
  <si>
    <t>Voss, Florian</t>
  </si>
  <si>
    <t>Strada Provinciale 7890</t>
  </si>
  <si>
    <t>Reggio Emilia</t>
  </si>
  <si>
    <t>0522-012345</t>
  </si>
  <si>
    <t>0522-678901</t>
  </si>
  <si>
    <t>Customer QVEPD</t>
  </si>
  <si>
    <t>Garden, Euan</t>
  </si>
  <si>
    <t>Av. Copacabana, 6789</t>
  </si>
  <si>
    <t>(21) 345-6789</t>
  </si>
  <si>
    <t>Customer CCKOT</t>
  </si>
  <si>
    <t>Myrcha, Jacek</t>
  </si>
  <si>
    <t>Grenzacherweg 0123</t>
  </si>
  <si>
    <t>Genève</t>
  </si>
  <si>
    <t>0897-012345</t>
  </si>
  <si>
    <t>Customer SIUIH</t>
  </si>
  <si>
    <t>Watters, Jason M.</t>
  </si>
  <si>
    <t>Gran Vía, 4567</t>
  </si>
  <si>
    <t>(91) 567 8901</t>
  </si>
  <si>
    <t>(91) 234 5678</t>
  </si>
  <si>
    <t>Customer TMXGN</t>
  </si>
  <si>
    <t>Ginters, Kaspars</t>
  </si>
  <si>
    <t>Erling Skakkes gate 2345</t>
  </si>
  <si>
    <t>Stavern</t>
  </si>
  <si>
    <t>Norway</t>
  </si>
  <si>
    <t>07-89 01 23</t>
  </si>
  <si>
    <t>07-45 67 89</t>
  </si>
  <si>
    <t>Customer LCOUJ</t>
  </si>
  <si>
    <t>Navarro, Tomás</t>
  </si>
  <si>
    <t>9012 Suffolk Ln.</t>
  </si>
  <si>
    <t>Boise</t>
  </si>
  <si>
    <t>ID</t>
  </si>
  <si>
    <t>(208) 555-0116</t>
  </si>
  <si>
    <t>Customer AHPOP</t>
  </si>
  <si>
    <t>Welcker, Brian</t>
  </si>
  <si>
    <t>4567 Wadhurst Rd.</t>
  </si>
  <si>
    <t>(171) 901-2345</t>
  </si>
  <si>
    <t>(171) 901-2346</t>
  </si>
  <si>
    <t>Customer JMIKW</t>
  </si>
  <si>
    <t>Gonzalez, Nuria</t>
  </si>
  <si>
    <t>Vinbæltet 3456</t>
  </si>
  <si>
    <t>Kobenhavn</t>
  </si>
  <si>
    <t>Denmark</t>
  </si>
  <si>
    <t>12 34 56 78</t>
  </si>
  <si>
    <t>90 12 34 56</t>
  </si>
  <si>
    <t>Customer YSHXL</t>
  </si>
  <si>
    <t>O’Brien, Dave</t>
  </si>
  <si>
    <t>9012, rue Lauriston</t>
  </si>
  <si>
    <t>(1) 23.45.67.89</t>
  </si>
  <si>
    <t>(1) 23.45.67.80</t>
  </si>
  <si>
    <t>Customer XOJYP</t>
  </si>
  <si>
    <t>Wojciechowska, Agnieszka</t>
  </si>
  <si>
    <t>P.O. Box 1234</t>
  </si>
  <si>
    <t>Lander</t>
  </si>
  <si>
    <t>WY</t>
  </si>
  <si>
    <t>(307) 555-0114</t>
  </si>
  <si>
    <t>(307) 555-0127</t>
  </si>
  <si>
    <t>Customer SFOGW</t>
  </si>
  <si>
    <t>Gulbis, Katrin</t>
  </si>
  <si>
    <t>Boulevard Tirou, 2345</t>
  </si>
  <si>
    <t>Charleroi</t>
  </si>
  <si>
    <t>(071) 56 78 90 12</t>
  </si>
  <si>
    <t>(071) 34 56 78 90</t>
  </si>
  <si>
    <t>Customer LCYBZ</t>
  </si>
  <si>
    <t>Osorio, Cristian</t>
  </si>
  <si>
    <t>2345 Jefferson Way Suite 2</t>
  </si>
  <si>
    <t>(503) 555-0120</t>
  </si>
  <si>
    <t>Customer NLTYP</t>
  </si>
  <si>
    <t>Young, Robin</t>
  </si>
  <si>
    <t>0123 Grizzly Peak Rd.</t>
  </si>
  <si>
    <t>Butte</t>
  </si>
  <si>
    <t>MT</t>
  </si>
  <si>
    <t>(406) 555-0121</t>
  </si>
  <si>
    <t>(406) 555-0131</t>
  </si>
  <si>
    <t>Customer FAPSM</t>
  </si>
  <si>
    <t>Wickham, Jim</t>
  </si>
  <si>
    <t>Luisenstr. 0123</t>
  </si>
  <si>
    <t>Münster</t>
  </si>
  <si>
    <t>0251-456789</t>
  </si>
  <si>
    <t>0251-012345</t>
  </si>
  <si>
    <t>Customer VONTK</t>
  </si>
  <si>
    <t>Geschwandtner, Jens</t>
  </si>
  <si>
    <t>Avda. Azteca 4567</t>
  </si>
  <si>
    <t>(5) 678-9012</t>
  </si>
  <si>
    <t>Customer YQQWW</t>
  </si>
  <si>
    <t>Nagel, Jean-Philippe</t>
  </si>
  <si>
    <t>Av. Inês de Castro, 1234</t>
  </si>
  <si>
    <t>(11) 123-4567</t>
  </si>
  <si>
    <t>(11) 234-5678</t>
  </si>
  <si>
    <t>Customer EYHKM</t>
  </si>
  <si>
    <t>Veninga, Tjeerd</t>
  </si>
  <si>
    <t>1234 DaVinci Blvd.</t>
  </si>
  <si>
    <t>Kirkland</t>
  </si>
  <si>
    <t>(206) 555-0124</t>
  </si>
  <si>
    <t>(206) 555-0133</t>
  </si>
  <si>
    <t>Customer ZRNDE</t>
  </si>
  <si>
    <t>Fonteneau, Karl</t>
  </si>
  <si>
    <t>Smagsloget 3456</t>
  </si>
  <si>
    <t>Århus</t>
  </si>
  <si>
    <t>23 45 67 89</t>
  </si>
  <si>
    <t>01 23 45 67</t>
  </si>
  <si>
    <t>Customer NRCSK</t>
  </si>
  <si>
    <t>Tuntisangaroon, Sittichai</t>
  </si>
  <si>
    <t>6789, rue du Commerce</t>
  </si>
  <si>
    <t>Lyon</t>
  </si>
  <si>
    <t>78.90.12.34</t>
  </si>
  <si>
    <t>78.90.12.35</t>
  </si>
  <si>
    <t>Customer ENQZT</t>
  </si>
  <si>
    <t>McLin, Nkenge</t>
  </si>
  <si>
    <t>5678 rue de l'Abbaye</t>
  </si>
  <si>
    <t>Reims</t>
  </si>
  <si>
    <t>56.78.90.12</t>
  </si>
  <si>
    <t>56.78.90.13</t>
  </si>
  <si>
    <t>Customer SNXOJ</t>
  </si>
  <si>
    <t>Syamala, Manoj</t>
  </si>
  <si>
    <t>Adenauerallee 7890</t>
  </si>
  <si>
    <t>Stuttgart</t>
  </si>
  <si>
    <t>0711-345678</t>
  </si>
  <si>
    <t>0711-901234</t>
  </si>
  <si>
    <t>Customer ZHYOS</t>
  </si>
  <si>
    <t>Ludwig, Michael</t>
  </si>
  <si>
    <t>Torikatu 9012</t>
  </si>
  <si>
    <t>Oulu</t>
  </si>
  <si>
    <t>Finland</t>
  </si>
  <si>
    <t>981-123456</t>
  </si>
  <si>
    <t>981-789012</t>
  </si>
  <si>
    <t>Customer SRQVM</t>
  </si>
  <si>
    <t>Li, Yan</t>
  </si>
  <si>
    <t>Rua do Mercado, 4567</t>
  </si>
  <si>
    <t>Resende</t>
  </si>
  <si>
    <t>(14) 234-5678</t>
  </si>
  <si>
    <t>Customer YBQTI</t>
  </si>
  <si>
    <t>Smith Jr., Ronaldo</t>
  </si>
  <si>
    <t>8901 - 14th Ave. S. Suite 3B</t>
  </si>
  <si>
    <t>Seattle</t>
  </si>
  <si>
    <t>(206) 555-0123</t>
  </si>
  <si>
    <t>(206) 555-0132</t>
  </si>
  <si>
    <t>Customer XBBVR</t>
  </si>
  <si>
    <t>Larsson, Katarina</t>
  </si>
  <si>
    <t>Owner/Marketing Assistant</t>
  </si>
  <si>
    <t>Keskuskatu 2345</t>
  </si>
  <si>
    <t>Helsinki</t>
  </si>
  <si>
    <t>90-012 3456</t>
  </si>
  <si>
    <t>90-789 0123</t>
  </si>
  <si>
    <t>Customer CCFIZ</t>
  </si>
  <si>
    <t>Conn, Steve</t>
  </si>
  <si>
    <t>ul. Filtrowa 6789</t>
  </si>
  <si>
    <t>Warszawa</t>
  </si>
  <si>
    <t>Poland</t>
  </si>
  <si>
    <t>(26) 234-5678</t>
  </si>
  <si>
    <t>(26) 901-2345</t>
  </si>
  <si>
    <t>empid</t>
  </si>
  <si>
    <t>lastname</t>
  </si>
  <si>
    <t>firstname</t>
  </si>
  <si>
    <t>title</t>
  </si>
  <si>
    <t>titleofcourtesy</t>
  </si>
  <si>
    <t>birthdate</t>
  </si>
  <si>
    <t>hiredate</t>
  </si>
  <si>
    <t>extension</t>
  </si>
  <si>
    <t>photo</t>
  </si>
  <si>
    <t>notes</t>
  </si>
  <si>
    <t>mgrid</t>
  </si>
  <si>
    <t>photopath</t>
  </si>
  <si>
    <t>Davis</t>
  </si>
  <si>
    <t>Sara</t>
  </si>
  <si>
    <t>CEO</t>
  </si>
  <si>
    <t>Ms.</t>
  </si>
  <si>
    <t>7890 - 20th Ave. E., Apt. 2A</t>
  </si>
  <si>
    <t>(206) 555-0101</t>
  </si>
  <si>
    <t>Funk</t>
  </si>
  <si>
    <t>Don</t>
  </si>
  <si>
    <t>Vice President, Sales</t>
  </si>
  <si>
    <t>Dr.</t>
  </si>
  <si>
    <t>9012 W. Capital Way</t>
  </si>
  <si>
    <t>Tacoma</t>
  </si>
  <si>
    <t>(206) 555-0100</t>
  </si>
  <si>
    <t>Lew</t>
  </si>
  <si>
    <t>Judy</t>
  </si>
  <si>
    <t>2345 Moss Bay Blvd.</t>
  </si>
  <si>
    <t>(206) 555-0103</t>
  </si>
  <si>
    <t>Peled</t>
  </si>
  <si>
    <t>Yael</t>
  </si>
  <si>
    <t>Mrs.</t>
  </si>
  <si>
    <t>5678 Old Redmond Rd.</t>
  </si>
  <si>
    <t>Redmond</t>
  </si>
  <si>
    <t>(206) 555-0104</t>
  </si>
  <si>
    <t>Buck</t>
  </si>
  <si>
    <t>Sven</t>
  </si>
  <si>
    <t>Mr.</t>
  </si>
  <si>
    <t>8901 Garrett Hill</t>
  </si>
  <si>
    <t>(71) 234-5678</t>
  </si>
  <si>
    <t>Suurs</t>
  </si>
  <si>
    <t>Paul</t>
  </si>
  <si>
    <t>3456 Coventry House, Miner Rd.</t>
  </si>
  <si>
    <t>(71) 345-6789</t>
  </si>
  <si>
    <t>King</t>
  </si>
  <si>
    <t>Russell</t>
  </si>
  <si>
    <t>6789 Edgeham Hollow, Winchester Way</t>
  </si>
  <si>
    <t>(71) 123-4567</t>
  </si>
  <si>
    <t>Cameron</t>
  </si>
  <si>
    <t>Maria</t>
  </si>
  <si>
    <t>4567 - 11th Ave. N.E.</t>
  </si>
  <si>
    <t>(206) 555-0102</t>
  </si>
  <si>
    <t>Dolgopyatova</t>
  </si>
  <si>
    <t>Zoya</t>
  </si>
  <si>
    <t>1234 Houndstooth Rd.</t>
  </si>
  <si>
    <t>(71) 456-7890</t>
  </si>
  <si>
    <t>employeeid</t>
  </si>
  <si>
    <t>territoryid</t>
  </si>
  <si>
    <t>orderid</t>
  </si>
  <si>
    <t>productid</t>
  </si>
  <si>
    <t>unitprice</t>
  </si>
  <si>
    <t>qty</t>
  </si>
  <si>
    <t>discount</t>
  </si>
  <si>
    <t>productname</t>
  </si>
  <si>
    <t>supplierid</t>
  </si>
  <si>
    <t>quantityperunit</t>
  </si>
  <si>
    <t>unitsinstock</t>
  </si>
  <si>
    <t>unitsonorder</t>
  </si>
  <si>
    <t>reorderlevel</t>
  </si>
  <si>
    <t>discontinued</t>
  </si>
  <si>
    <t>Product HHYDP</t>
  </si>
  <si>
    <t>Product RECZE</t>
  </si>
  <si>
    <t>Product IMEHJ</t>
  </si>
  <si>
    <t>Product KSBRM</t>
  </si>
  <si>
    <t>Product EPEIM</t>
  </si>
  <si>
    <t>Product VAIIV</t>
  </si>
  <si>
    <t>Product HMLNI</t>
  </si>
  <si>
    <t>Product WVJFP</t>
  </si>
  <si>
    <t>Product AOZBW</t>
  </si>
  <si>
    <t>Product YHXGE</t>
  </si>
  <si>
    <t>Product QMVUN</t>
  </si>
  <si>
    <t>Product OSFNS</t>
  </si>
  <si>
    <t>Product POXFU</t>
  </si>
  <si>
    <t>Product PWCJB</t>
  </si>
  <si>
    <t>Product KSZOI</t>
  </si>
  <si>
    <t>Product PAFRH</t>
  </si>
  <si>
    <t>Product BLCAX</t>
  </si>
  <si>
    <t>Product CKEDC</t>
  </si>
  <si>
    <t>Product XKXDO</t>
  </si>
  <si>
    <t>Product QHFFP</t>
  </si>
  <si>
    <t>Product VJZZH</t>
  </si>
  <si>
    <t>Product CPHFY</t>
  </si>
  <si>
    <t>Product JLUDZ</t>
  </si>
  <si>
    <t>Product QOGNU</t>
  </si>
  <si>
    <t>Product LYLNI</t>
  </si>
  <si>
    <t>Product HLGZA</t>
  </si>
  <si>
    <t>Product SMIOH</t>
  </si>
  <si>
    <t>Product OFBNT</t>
  </si>
  <si>
    <t>Product VJXYN</t>
  </si>
  <si>
    <t>Product LYERX</t>
  </si>
  <si>
    <t>Product XWOXC</t>
  </si>
  <si>
    <t>Product NUNAW</t>
  </si>
  <si>
    <t>Product ASTMN</t>
  </si>
  <si>
    <t>Product SWNJY</t>
  </si>
  <si>
    <t>Product NEVTJ</t>
  </si>
  <si>
    <t>Product GMKIJ</t>
  </si>
  <si>
    <t>Product EVFFA</t>
  </si>
  <si>
    <t>Product QDOMO</t>
  </si>
  <si>
    <t>Product LSOFL</t>
  </si>
  <si>
    <t>Product YZIXQ</t>
  </si>
  <si>
    <t>Product TTEEX</t>
  </si>
  <si>
    <t>Product RJVNM</t>
  </si>
  <si>
    <t>Product ZZZHR</t>
  </si>
  <si>
    <t>Product VJIEO</t>
  </si>
  <si>
    <t>Product AQOKR</t>
  </si>
  <si>
    <t>Product CBRRL</t>
  </si>
  <si>
    <t>Product EZZPR</t>
  </si>
  <si>
    <t>Product MYNXN</t>
  </si>
  <si>
    <t>Product FPYPN</t>
  </si>
  <si>
    <t>Product BIUDV</t>
  </si>
  <si>
    <t>Product APITJ</t>
  </si>
  <si>
    <t>Product QSRXF</t>
  </si>
  <si>
    <t>Product BKGEA</t>
  </si>
  <si>
    <t>Product QAQRL</t>
  </si>
  <si>
    <t>Product YYWRT</t>
  </si>
  <si>
    <t>Product VKCMF</t>
  </si>
  <si>
    <t>Product OVLQI</t>
  </si>
  <si>
    <t>Product ACRVI</t>
  </si>
  <si>
    <t>Product UKXRI</t>
  </si>
  <si>
    <t>Product WHBYK</t>
  </si>
  <si>
    <t>Product XYZPE</t>
  </si>
  <si>
    <t>Product WUXYK</t>
  </si>
  <si>
    <t>Product ICKNK</t>
  </si>
  <si>
    <t>Product HCQDE</t>
  </si>
  <si>
    <t>Product XYWBZ</t>
  </si>
  <si>
    <t>Product LQMGN</t>
  </si>
  <si>
    <t>Product XLXQF</t>
  </si>
  <si>
    <t>Product TBTBL</t>
  </si>
  <si>
    <t>Product COAXA</t>
  </si>
  <si>
    <t>Product TOONT</t>
  </si>
  <si>
    <t>Product MYMOI</t>
  </si>
  <si>
    <t>Product GEEOO</t>
  </si>
  <si>
    <t>Product WEUJZ</t>
  </si>
  <si>
    <t>Product BKAZJ</t>
  </si>
  <si>
    <t>Product BWRLG</t>
  </si>
  <si>
    <t>Product JYGFE</t>
  </si>
  <si>
    <t>Product LUNZZ</t>
  </si>
  <si>
    <t>regoinid</t>
  </si>
  <si>
    <t>regiondescription</t>
  </si>
  <si>
    <t>Eastern</t>
  </si>
  <si>
    <t>Western</t>
  </si>
  <si>
    <t>Northern</t>
  </si>
  <si>
    <t>Southern</t>
  </si>
  <si>
    <t>orderdate</t>
  </si>
  <si>
    <t>requireddate</t>
  </si>
  <si>
    <t>shippeddate</t>
  </si>
  <si>
    <t>shipperid</t>
  </si>
  <si>
    <t>freight</t>
  </si>
  <si>
    <t>shipname</t>
  </si>
  <si>
    <t>shipaddress</t>
  </si>
  <si>
    <t>shipcity</t>
  </si>
  <si>
    <t>shipregion</t>
  </si>
  <si>
    <t>shippostalcode</t>
  </si>
  <si>
    <t>shipcountry</t>
  </si>
  <si>
    <t>chargeid</t>
  </si>
  <si>
    <t>Destination SCQXA</t>
  </si>
  <si>
    <t>{ch_743w32_TEST}</t>
  </si>
  <si>
    <t>Ship to 84-A</t>
  </si>
  <si>
    <t>3456, rue du Commerce</t>
  </si>
  <si>
    <t>Ship to 76-B</t>
  </si>
  <si>
    <t>Boulevard Tirou, 9012</t>
  </si>
  <si>
    <t>Destination JPAIY</t>
  </si>
  <si>
    <t>Rua do Paço, 8901</t>
  </si>
  <si>
    <t>Destination YUJRD</t>
  </si>
  <si>
    <t>Hauptstr. 1234</t>
  </si>
  <si>
    <t>Ship to 68-A</t>
  </si>
  <si>
    <t>Starenweg 6789</t>
  </si>
  <si>
    <t>Ship to 88-B</t>
  </si>
  <si>
    <t>Rua do Mercado, 5678</t>
  </si>
  <si>
    <t>Destination JYDLM</t>
  </si>
  <si>
    <t>Carrera1234 con Ave. Carlos Soublette #8-35</t>
  </si>
  <si>
    <t>Destination RVDMF</t>
  </si>
  <si>
    <t>Destination LGGCH</t>
  </si>
  <si>
    <t>Sierras de Granada 9012</t>
  </si>
  <si>
    <t>Ship to 56-A</t>
  </si>
  <si>
    <t>Mehrheimerstr. 0123</t>
  </si>
  <si>
    <t>Ship to 61-B</t>
  </si>
  <si>
    <t>Rua da Panificadora, 6789</t>
  </si>
  <si>
    <t>Ship to 65-B</t>
  </si>
  <si>
    <t>8901 Milton Dr.</t>
  </si>
  <si>
    <t>Destination FFXKT</t>
  </si>
  <si>
    <t>Kirchgasse 0123</t>
  </si>
  <si>
    <t>Destination KBSBN</t>
  </si>
  <si>
    <t>Åkergatan 9012</t>
  </si>
  <si>
    <t>Ship to 7-A</t>
  </si>
  <si>
    <t>0123, place Kléber</t>
  </si>
  <si>
    <t>Ship to 87-B</t>
  </si>
  <si>
    <t>Torikatu 2345</t>
  </si>
  <si>
    <t>Destination VAPXU</t>
  </si>
  <si>
    <t>Berliner Platz 0123</t>
  </si>
  <si>
    <t>Destination QJVQH</t>
  </si>
  <si>
    <t>5ª Ave. Los Palos Grandes 5678</t>
  </si>
  <si>
    <t>Ship to 89-B</t>
  </si>
  <si>
    <t>8901 - 12th Ave. S.</t>
  </si>
  <si>
    <t>Ship to 75-C</t>
  </si>
  <si>
    <t>P.O. Box 7890</t>
  </si>
  <si>
    <t>Ship to 65-A</t>
  </si>
  <si>
    <t>7890 Milton Dr.</t>
  </si>
  <si>
    <t>Ship to 63-A</t>
  </si>
  <si>
    <t>Ship to 85-B</t>
  </si>
  <si>
    <t>6789 rue de l'Abbaye</t>
  </si>
  <si>
    <t>Ship to 49-A</t>
  </si>
  <si>
    <t>Via Ludovico il Moro 8901</t>
  </si>
  <si>
    <t>Ship to 80-C</t>
  </si>
  <si>
    <t>Avda. Azteca 5678</t>
  </si>
  <si>
    <t>Ship to 52-A</t>
  </si>
  <si>
    <t>Heerstr. 9012</t>
  </si>
  <si>
    <t>Ship to 5-C</t>
  </si>
  <si>
    <t>Berguvsvägen 1234</t>
  </si>
  <si>
    <t>Ship to 44-A</t>
  </si>
  <si>
    <t>Magazinweg 4567</t>
  </si>
  <si>
    <t>Ship to 5-B</t>
  </si>
  <si>
    <t>Berguvsvägen 0123</t>
  </si>
  <si>
    <t>Ship to 69-A</t>
  </si>
  <si>
    <t>Gran Vía, 9012</t>
  </si>
  <si>
    <t>Ship to 69-B</t>
  </si>
  <si>
    <t>Gran Vía, 0123</t>
  </si>
  <si>
    <t>Ship to 46-A</t>
  </si>
  <si>
    <t>Carrera 0123 con Ave. Bolívar #65-98 Llano Largo</t>
  </si>
  <si>
    <t>Ship to 63-B</t>
  </si>
  <si>
    <t>Taucherstraße 2345</t>
  </si>
  <si>
    <t>Ship to 67-A</t>
  </si>
  <si>
    <t>Av. Copacabana, 3456</t>
  </si>
  <si>
    <t>Ship to 66-C</t>
  </si>
  <si>
    <t>Strada Provinciale 2345</t>
  </si>
  <si>
    <t>Destination DLEUN</t>
  </si>
  <si>
    <t>Destination HQZHO</t>
  </si>
  <si>
    <t>Av. dos Lusíadas, 4567</t>
  </si>
  <si>
    <t>Ship to 61-A</t>
  </si>
  <si>
    <t>Rua da Panificadora, 5678</t>
  </si>
  <si>
    <t>Ship to 81-A</t>
  </si>
  <si>
    <t>Av. Inês de Castro, 6789</t>
  </si>
  <si>
    <t>Ship to 80-B</t>
  </si>
  <si>
    <t>Ship to 85-C</t>
  </si>
  <si>
    <t>7890 rue de l'Abbaye</t>
  </si>
  <si>
    <t>Ship to 46-C</t>
  </si>
  <si>
    <t>Carrera 2345 con Ave. Bolívar #65-98 Llano Largo</t>
  </si>
  <si>
    <t>Ship to 7-C</t>
  </si>
  <si>
    <t>Destination ATSOA</t>
  </si>
  <si>
    <t>4567 Johnstown Road</t>
  </si>
  <si>
    <t>Ship to 86-A</t>
  </si>
  <si>
    <t>Adenauerallee 8901</t>
  </si>
  <si>
    <t>Destination IIYDD</t>
  </si>
  <si>
    <t>C/ Romero, 5678</t>
  </si>
  <si>
    <t>Ship to 55-B</t>
  </si>
  <si>
    <t>8901 Bering St.</t>
  </si>
  <si>
    <t>Ship to 48-B</t>
  </si>
  <si>
    <t>6789 Chiaroscuro Rd.</t>
  </si>
  <si>
    <t>Destination QMVCI</t>
  </si>
  <si>
    <t>Avda. de la Constitución 2345</t>
  </si>
  <si>
    <t>Ship to 77-B</t>
  </si>
  <si>
    <t>Destination SNPXM</t>
  </si>
  <si>
    <t>0123, rue des Cinquante Otages</t>
  </si>
  <si>
    <t>Ship to 86-B</t>
  </si>
  <si>
    <t>Adenauerallee 9012</t>
  </si>
  <si>
    <t>Destination AXVHD</t>
  </si>
  <si>
    <t>Garden House Crowther Way 9012</t>
  </si>
  <si>
    <t>Ship to 87-A</t>
  </si>
  <si>
    <t>Torikatu 1234</t>
  </si>
  <si>
    <t>Destination LMVGS</t>
  </si>
  <si>
    <t>Garden House Crowther Way 8901</t>
  </si>
  <si>
    <t>Ship to 58-A</t>
  </si>
  <si>
    <t>Calle Dr. Jorge Cash 3456</t>
  </si>
  <si>
    <t>Destination RMBHM</t>
  </si>
  <si>
    <t>Maubelstr. 1234</t>
  </si>
  <si>
    <t>Ship to 71-C</t>
  </si>
  <si>
    <t>Ship to 8-A</t>
  </si>
  <si>
    <t>Destination NCKKO</t>
  </si>
  <si>
    <t>Åkergatan 7890</t>
  </si>
  <si>
    <t>Destination CIRQO</t>
  </si>
  <si>
    <t>Ship to 9-C</t>
  </si>
  <si>
    <t>0123, rue des Bouchers</t>
  </si>
  <si>
    <t>Ship to 51-B</t>
  </si>
  <si>
    <t>7890 rue St. Laurent</t>
  </si>
  <si>
    <t>Ship to 87-C</t>
  </si>
  <si>
    <t>Torikatu 3456</t>
  </si>
  <si>
    <t>Ship to 84-B</t>
  </si>
  <si>
    <t>4567, rue du Commerce</t>
  </si>
  <si>
    <t>Ship to 60-B</t>
  </si>
  <si>
    <t>Estrada da saúde n. 3456</t>
  </si>
  <si>
    <t>Destination QOCBL</t>
  </si>
  <si>
    <t>Berliner Platz 1234</t>
  </si>
  <si>
    <t>Ship to 55-C</t>
  </si>
  <si>
    <t>9012 Bering St.</t>
  </si>
  <si>
    <t>Ship to 51-C</t>
  </si>
  <si>
    <t>Ship to 9-A</t>
  </si>
  <si>
    <t>8901, rue des Bouchers</t>
  </si>
  <si>
    <t>Ship to 73-A</t>
  </si>
  <si>
    <t>Vinbæltet 1234</t>
  </si>
  <si>
    <t>Ship to 89-A</t>
  </si>
  <si>
    <t>7890 - 12th Ave. S.</t>
  </si>
  <si>
    <t>Destination KKELL</t>
  </si>
  <si>
    <t>Rua Orós, 4567</t>
  </si>
  <si>
    <t>Destination DWJIO</t>
  </si>
  <si>
    <t>9012 rue Alsace-Lorraine</t>
  </si>
  <si>
    <t>Destination OTSWR</t>
  </si>
  <si>
    <t>Jardim das rosas n. 9012</t>
  </si>
  <si>
    <t>Ship to 59-B</t>
  </si>
  <si>
    <t>Geislweg 7890</t>
  </si>
  <si>
    <t>Ship to 58-C</t>
  </si>
  <si>
    <t>Calle Dr. Jorge Cash 5678</t>
  </si>
  <si>
    <t>Ship to 4-A</t>
  </si>
  <si>
    <t>Brook Farm Stratford St. Mary 0123</t>
  </si>
  <si>
    <t>Colchester</t>
  </si>
  <si>
    <t>Essex</t>
  </si>
  <si>
    <t>Ship to 46-B</t>
  </si>
  <si>
    <t>Carrera 1234 con Ave. Bolívar #65-98 Llano Largo</t>
  </si>
  <si>
    <t>Ship to 41-C</t>
  </si>
  <si>
    <t>0123 rue Alsace-Lorraine</t>
  </si>
  <si>
    <t>Ship to 72-C</t>
  </si>
  <si>
    <t>1234 Wadhurst Rd.</t>
  </si>
  <si>
    <t>Ship to 63-C</t>
  </si>
  <si>
    <t>Taucherstraße 3456</t>
  </si>
  <si>
    <t>Ship to 9-B</t>
  </si>
  <si>
    <t>9012, rue des Bouchers</t>
  </si>
  <si>
    <t>Destination BJCXA</t>
  </si>
  <si>
    <t>Walserweg 7890</t>
  </si>
  <si>
    <t>Destination QTKCU</t>
  </si>
  <si>
    <t>3456 King George</t>
  </si>
  <si>
    <t>Destination FQFLS</t>
  </si>
  <si>
    <t>Mataderos 3456</t>
  </si>
  <si>
    <t>Destination VPNNG</t>
  </si>
  <si>
    <t>Rambla de Cataluña, 0123</t>
  </si>
  <si>
    <t>Ship to 83-B</t>
  </si>
  <si>
    <t>Smagsloget 1234</t>
  </si>
  <si>
    <t>Ship to 62-A</t>
  </si>
  <si>
    <t>Alameda dos Canàrios, 8901</t>
  </si>
  <si>
    <t>Destination KPVYJ</t>
  </si>
  <si>
    <t>5678 Johnstown Road</t>
  </si>
  <si>
    <t>Ship to 91-A</t>
  </si>
  <si>
    <t>ul. Filtrowa 5678</t>
  </si>
  <si>
    <t>Destination HOHCR</t>
  </si>
  <si>
    <t>City Center Plaza 3456 Main St.</t>
  </si>
  <si>
    <t>Ship to 4-B</t>
  </si>
  <si>
    <t>Brook Farm Stratford St. Mary 1234</t>
  </si>
  <si>
    <t>Ship to 75-B</t>
  </si>
  <si>
    <t>P.O. Box 6789</t>
  </si>
  <si>
    <t>Destination RNSMS</t>
  </si>
  <si>
    <t>Rua Orós, 2345</t>
  </si>
  <si>
    <t>Ship to 70-B</t>
  </si>
  <si>
    <t>Erling Skakkes gate 5678</t>
  </si>
  <si>
    <t>Destination OLSSJ</t>
  </si>
  <si>
    <t>2345 Tsawassen Blvd.</t>
  </si>
  <si>
    <t>Destination AJTHX</t>
  </si>
  <si>
    <t>Walserweg 9012</t>
  </si>
  <si>
    <t>Ship to 59-A</t>
  </si>
  <si>
    <t>Geislweg 6789</t>
  </si>
  <si>
    <t>Ship to 71-B</t>
  </si>
  <si>
    <t>8901 Suffolk Ln.</t>
  </si>
  <si>
    <t>Destination AWPJG</t>
  </si>
  <si>
    <t>Ship to 60-A</t>
  </si>
  <si>
    <t>Estrada da saúde n. 2345</t>
  </si>
  <si>
    <t>Ship to 83-C</t>
  </si>
  <si>
    <t>Smagsloget 2345</t>
  </si>
  <si>
    <t>Destination BBMRT</t>
  </si>
  <si>
    <t>4567 King George</t>
  </si>
  <si>
    <t>Ship to 49-B</t>
  </si>
  <si>
    <t>Via Ludovico il Moro 9012</t>
  </si>
  <si>
    <t>Ship to 47-B</t>
  </si>
  <si>
    <t>Ave. 5 de Mayo Porlamar 4567</t>
  </si>
  <si>
    <t>Ship to 56-B</t>
  </si>
  <si>
    <t>Mehrheimerstr. 1234</t>
  </si>
  <si>
    <t>Destination PXQRR</t>
  </si>
  <si>
    <t>5678, chaussée de Tournai</t>
  </si>
  <si>
    <t>Ship to 54-C</t>
  </si>
  <si>
    <t>Ing. Gustavo Moncada 6789 Piso 20-A</t>
  </si>
  <si>
    <t>Destination XJIBQ</t>
  </si>
  <si>
    <t>1234 Tsawassen Blvd.</t>
  </si>
  <si>
    <t>Destination SSYXZ</t>
  </si>
  <si>
    <t>Ship to 73-C</t>
  </si>
  <si>
    <t>Vinbæltet 2345</t>
  </si>
  <si>
    <t>Ship to 88-C</t>
  </si>
  <si>
    <t>Rua do Mercado, 6789</t>
  </si>
  <si>
    <t>Ship to 61-C</t>
  </si>
  <si>
    <t>Rua da Panificadora, 7890</t>
  </si>
  <si>
    <t>Destination FFLQT</t>
  </si>
  <si>
    <t>Via Monte Bianco 6789</t>
  </si>
  <si>
    <t>Destination VNIAG</t>
  </si>
  <si>
    <t>Av. Brasil, 9012</t>
  </si>
  <si>
    <t>Destination WOFLH</t>
  </si>
  <si>
    <t>Rambla de Cataluña, 1234</t>
  </si>
  <si>
    <t>Ship to 59-C</t>
  </si>
  <si>
    <t>Geislweg 8901</t>
  </si>
  <si>
    <t>Destination DGKOU</t>
  </si>
  <si>
    <t>6789 Johnstown Road</t>
  </si>
  <si>
    <t>Destination CUVPF</t>
  </si>
  <si>
    <t>Kirchgasse 1234</t>
  </si>
  <si>
    <t>Ship to 75-A</t>
  </si>
  <si>
    <t>P.O. Box 5678</t>
  </si>
  <si>
    <t>Destination QKQNB</t>
  </si>
  <si>
    <t>Berkeley Gardens 5678 Brewery</t>
  </si>
  <si>
    <t>Ship to 79-A</t>
  </si>
  <si>
    <t>Luisenstr. 7890</t>
  </si>
  <si>
    <t>Ship to 5-A</t>
  </si>
  <si>
    <t>Berguvsvägen 9012</t>
  </si>
  <si>
    <t>Ship to 79-C</t>
  </si>
  <si>
    <t>Luisenstr. 9012</t>
  </si>
  <si>
    <t>Ship to 67-C</t>
  </si>
  <si>
    <t>Av. Copacabana, 5678</t>
  </si>
  <si>
    <t>Ship to 64-A</t>
  </si>
  <si>
    <t>Av. del Libertador 4567</t>
  </si>
  <si>
    <t>Ship to 84-C</t>
  </si>
  <si>
    <t>5678, rue du Commerce</t>
  </si>
  <si>
    <t>Ship to 4-C</t>
  </si>
  <si>
    <t>Brook Farm Stratford St. Mary 2345</t>
  </si>
  <si>
    <t>Destination DKMQA</t>
  </si>
  <si>
    <t>Maubelstr. 0123</t>
  </si>
  <si>
    <t>Ship to 76-A</t>
  </si>
  <si>
    <t>Boulevard Tirou, 8901</t>
  </si>
  <si>
    <t>Destination YCMPK</t>
  </si>
  <si>
    <t>Åkergatan 8901</t>
  </si>
  <si>
    <t>Destination ARRMM</t>
  </si>
  <si>
    <t>Berkeley Gardens 6789 Brewery</t>
  </si>
  <si>
    <t>Ship to 83-A</t>
  </si>
  <si>
    <t>Smagsloget 0123</t>
  </si>
  <si>
    <t>Destination GGSQD</t>
  </si>
  <si>
    <t>Av. dos Lusíadas, 2345</t>
  </si>
  <si>
    <t>Ship to 49-C</t>
  </si>
  <si>
    <t>Via Ludovico il Moro 0123</t>
  </si>
  <si>
    <t>Ship to 89-C</t>
  </si>
  <si>
    <t>9012 - 12th Ave. S.</t>
  </si>
  <si>
    <t>Destination NZASL</t>
  </si>
  <si>
    <t>Fauntleroy Circus 5678</t>
  </si>
  <si>
    <t>Ship to 72-A</t>
  </si>
  <si>
    <t>0123 Wadhurst Rd.</t>
  </si>
  <si>
    <t>Ship to 76-C</t>
  </si>
  <si>
    <t>Boulevard Tirou, 0123</t>
  </si>
  <si>
    <t>Destination SXYQX</t>
  </si>
  <si>
    <t>Carrera 0123 con Ave. Carlos Soublette #8-35</t>
  </si>
  <si>
    <t>Ship to 65-C</t>
  </si>
  <si>
    <t>9012 Milton Dr.</t>
  </si>
  <si>
    <t>Destination AGPCO</t>
  </si>
  <si>
    <t>6789, chaussée de Tournai</t>
  </si>
  <si>
    <t>Ship to 43-B</t>
  </si>
  <si>
    <t>3456 Orchestra Terrace</t>
  </si>
  <si>
    <t>Destination UOUWK</t>
  </si>
  <si>
    <t>Carrera 9012 con Ave. Carlos Soublette #8-35</t>
  </si>
  <si>
    <t>Ship to 62-B</t>
  </si>
  <si>
    <t>Alameda dos Canàrios, 9012</t>
  </si>
  <si>
    <t>Destination OLJND</t>
  </si>
  <si>
    <t>8901 rue Alsace-Lorraine</t>
  </si>
  <si>
    <t>Destination EVHYA</t>
  </si>
  <si>
    <t>Av. dos Lusíadas, 3456</t>
  </si>
  <si>
    <t>Ship to 42-C</t>
  </si>
  <si>
    <t>2345 Elm St.</t>
  </si>
  <si>
    <t>Ship to 81-C</t>
  </si>
  <si>
    <t>Av. Inês de Castro, 7890</t>
  </si>
  <si>
    <t>Ship to 6-C</t>
  </si>
  <si>
    <t>Forsterstr. 4567</t>
  </si>
  <si>
    <t>Ship to 58-B</t>
  </si>
  <si>
    <t>Calle Dr. Jorge Cash 4567</t>
  </si>
  <si>
    <t>Ship to 56-C</t>
  </si>
  <si>
    <t>Mehrheimerstr. 2345</t>
  </si>
  <si>
    <t>Ship to 6-A</t>
  </si>
  <si>
    <t>Forsterstr. 2345</t>
  </si>
  <si>
    <t>Ship to 71-A</t>
  </si>
  <si>
    <t>7890 Suffolk Ln.</t>
  </si>
  <si>
    <t>Ship to 53-A</t>
  </si>
  <si>
    <t>South House 2345 Queensbridge</t>
  </si>
  <si>
    <t>Destination NRTZZ</t>
  </si>
  <si>
    <t>Destination QTHBC</t>
  </si>
  <si>
    <t>Cerrito 6789</t>
  </si>
  <si>
    <t>Destination LLUXZ</t>
  </si>
  <si>
    <t>1234 Baker Blvd.</t>
  </si>
  <si>
    <t>Ship to 50-B</t>
  </si>
  <si>
    <t>Rue Joseph-Bens 4567</t>
  </si>
  <si>
    <t>Ship to 54-A</t>
  </si>
  <si>
    <t>Ing. Gustavo Moncada 4567 Piso 20-A</t>
  </si>
  <si>
    <t>Ship to 44-B</t>
  </si>
  <si>
    <t>Magazinweg 5678</t>
  </si>
  <si>
    <t>Ship to 68-B</t>
  </si>
  <si>
    <t>Starenweg 7890</t>
  </si>
  <si>
    <t>Ship to 48-C</t>
  </si>
  <si>
    <t>7890 Chiaroscuro Rd.</t>
  </si>
  <si>
    <t>Destination GGQIR</t>
  </si>
  <si>
    <t>C/ Romero, 6789</t>
  </si>
  <si>
    <t>Ship to 44-C</t>
  </si>
  <si>
    <t>Magazinweg 6789</t>
  </si>
  <si>
    <t>Ship to 7-B</t>
  </si>
  <si>
    <t>1234, place Kléber</t>
  </si>
  <si>
    <t>Ship to 66-B</t>
  </si>
  <si>
    <t>Strada Provinciale 1234</t>
  </si>
  <si>
    <t>Ship to 67-B</t>
  </si>
  <si>
    <t>Av. Copacabana, 4567</t>
  </si>
  <si>
    <t>Destination LANNN</t>
  </si>
  <si>
    <t>Mataderos 4567</t>
  </si>
  <si>
    <t>Ship to 82-A</t>
  </si>
  <si>
    <t>8901 DaVinci Blvd.</t>
  </si>
  <si>
    <t>Ship to 52-C</t>
  </si>
  <si>
    <t>Heerstr. 1234</t>
  </si>
  <si>
    <t>Ship to 82-B</t>
  </si>
  <si>
    <t>9012 DaVinci Blvd.</t>
  </si>
  <si>
    <t>Ship to 45-C</t>
  </si>
  <si>
    <t>9012 Polk St. Suite 5</t>
  </si>
  <si>
    <t>Ship to 88-A</t>
  </si>
  <si>
    <t>Destination AVQUS</t>
  </si>
  <si>
    <t>2345 Baker Blvd.</t>
  </si>
  <si>
    <t>Ship to 91-B</t>
  </si>
  <si>
    <t>Ship to 90-B</t>
  </si>
  <si>
    <t>Keskuskatu 3456</t>
  </si>
  <si>
    <t>Ship to 42-A</t>
  </si>
  <si>
    <t>1234 Elm St.</t>
  </si>
  <si>
    <t>Ship to 78-C</t>
  </si>
  <si>
    <t>6789 Grizzly Peak Rd.</t>
  </si>
  <si>
    <t>Destination QOTQA</t>
  </si>
  <si>
    <t>Avda. de la Constitución 3456</t>
  </si>
  <si>
    <t>Ship to 86-C</t>
  </si>
  <si>
    <t>Adenauerallee 0123</t>
  </si>
  <si>
    <t>Ship to 62-C</t>
  </si>
  <si>
    <t>Alameda dos Canàrios, 0123</t>
  </si>
  <si>
    <t>Destination LOUIE</t>
  </si>
  <si>
    <t>Obere Str. 6789</t>
  </si>
  <si>
    <t>Destination DPCVR</t>
  </si>
  <si>
    <t>Rua do Paço, 6789</t>
  </si>
  <si>
    <t>Destination OPXJT</t>
  </si>
  <si>
    <t>4567, rue Royale</t>
  </si>
  <si>
    <t>Destination QVTLW</t>
  </si>
  <si>
    <t>Garden House Crowther Way 7890</t>
  </si>
  <si>
    <t>Destination WEGWI</t>
  </si>
  <si>
    <t>Berliner Platz 2345</t>
  </si>
  <si>
    <t>Destination RTGIS</t>
  </si>
  <si>
    <t>Mataderos 2345</t>
  </si>
  <si>
    <t>Destination FVRGC</t>
  </si>
  <si>
    <t>2345, rue des Cinquante Otages</t>
  </si>
  <si>
    <t>Destination RSVRP</t>
  </si>
  <si>
    <t>Obere Str. 8901</t>
  </si>
  <si>
    <t>Ship to 90-C</t>
  </si>
  <si>
    <t>Keskuskatu 4567</t>
  </si>
  <si>
    <t>Ship to 52-B</t>
  </si>
  <si>
    <t>Heerstr. 0123</t>
  </si>
  <si>
    <t>Destination ZELZJ</t>
  </si>
  <si>
    <t>Obere Str. 7890</t>
  </si>
  <si>
    <t>Ship to 77-C</t>
  </si>
  <si>
    <t>3456 Jefferson Way Suite 2</t>
  </si>
  <si>
    <t>Destination GWPFK</t>
  </si>
  <si>
    <t>Av. Brasil, 0123</t>
  </si>
  <si>
    <t>Ship to 64-B</t>
  </si>
  <si>
    <t>Av. del Libertador 5678</t>
  </si>
  <si>
    <t>Ship to 45-A</t>
  </si>
  <si>
    <t>8901 Polk St. Suite 5</t>
  </si>
  <si>
    <t>Ship to 51-A</t>
  </si>
  <si>
    <t>6789 rue St. Laurent</t>
  </si>
  <si>
    <t>Destination FRCGJ</t>
  </si>
  <si>
    <t>Ship to 66-A</t>
  </si>
  <si>
    <t>Strada Provinciale 0123</t>
  </si>
  <si>
    <t>Ship to 47-A</t>
  </si>
  <si>
    <t>Ave. 5 de Mayo Porlamar 3456</t>
  </si>
  <si>
    <t>Ship to 74-A</t>
  </si>
  <si>
    <t>3456, rue Lauriston</t>
  </si>
  <si>
    <t>Destination LPHSI</t>
  </si>
  <si>
    <t>3456 Tsawassen Blvd.</t>
  </si>
  <si>
    <t>Ship to 53-C</t>
  </si>
  <si>
    <t>South House 3456 Queensbridge</t>
  </si>
  <si>
    <t>Destination DICGM</t>
  </si>
  <si>
    <t>Via Monte Bianco 7890</t>
  </si>
  <si>
    <t>Ship to 68-C</t>
  </si>
  <si>
    <t>Starenweg 8901</t>
  </si>
  <si>
    <t>Ship to 78-A</t>
  </si>
  <si>
    <t>4567 Grizzly Peak Rd.</t>
  </si>
  <si>
    <t>Destination CJDJB</t>
  </si>
  <si>
    <t>Cerrito 8901</t>
  </si>
  <si>
    <t>Destination FQJFJ</t>
  </si>
  <si>
    <t>5ª Ave. Los Palos Grandes 4567</t>
  </si>
  <si>
    <t>Destination XOIGC</t>
  </si>
  <si>
    <t>Av. Brasil, 8901</t>
  </si>
  <si>
    <t>Ship to 91-C</t>
  </si>
  <si>
    <t>ul. Filtrowa 7890</t>
  </si>
  <si>
    <t>Ship to 8-C</t>
  </si>
  <si>
    <t>C/ Araquil, 1234</t>
  </si>
  <si>
    <t>Ship to 77-A</t>
  </si>
  <si>
    <t>1234 Jefferson Way Suite 2</t>
  </si>
  <si>
    <t>Destination XNLFB</t>
  </si>
  <si>
    <t>Via Monte Bianco 5678</t>
  </si>
  <si>
    <t>Ship to 80-A</t>
  </si>
  <si>
    <t>Avda. Azteca 3456</t>
  </si>
  <si>
    <t>Ship to 6-B</t>
  </si>
  <si>
    <t>Forsterstr. 3456</t>
  </si>
  <si>
    <t>Ship to 55-A</t>
  </si>
  <si>
    <t>Destination POAEW</t>
  </si>
  <si>
    <t>7890, avenue de l'Europe</t>
  </si>
  <si>
    <t>Destination XBVKN</t>
  </si>
  <si>
    <t>3456, rue Royale</t>
  </si>
  <si>
    <t>Ship to 90-A</t>
  </si>
  <si>
    <t>Destination IGLOB</t>
  </si>
  <si>
    <t>Cerrito 7890</t>
  </si>
  <si>
    <t>Destination JNSYI</t>
  </si>
  <si>
    <t>1234, rue des Cinquante Otages</t>
  </si>
  <si>
    <t>Ship to 50-A</t>
  </si>
  <si>
    <t>Rue Joseph-Bens 3456</t>
  </si>
  <si>
    <t>Ship to 54-B</t>
  </si>
  <si>
    <t>Ing. Gustavo Moncada 5678 Piso 20-A</t>
  </si>
  <si>
    <t>Ship to 74-B</t>
  </si>
  <si>
    <t>4567, rue Lauriston</t>
  </si>
  <si>
    <t>Ship to 70-C</t>
  </si>
  <si>
    <t>Erling Skakkes gate 6789</t>
  </si>
  <si>
    <t>Ship to 64-C</t>
  </si>
  <si>
    <t>Av. del Libertador 6789</t>
  </si>
  <si>
    <t>Ship to 69-C</t>
  </si>
  <si>
    <t>Gran Vía, 1234</t>
  </si>
  <si>
    <t>Destination RAIGI</t>
  </si>
  <si>
    <t>Avda. de la Constitución 4567</t>
  </si>
  <si>
    <t>Destination WWJLO</t>
  </si>
  <si>
    <t>6789, avenue de l'Europe</t>
  </si>
  <si>
    <t>Ship to 79-B</t>
  </si>
  <si>
    <t>Luisenstr. 8901</t>
  </si>
  <si>
    <t>Destination MVTWX</t>
  </si>
  <si>
    <t>5678, avenue de l'Europe</t>
  </si>
  <si>
    <t>Ship to 78-B</t>
  </si>
  <si>
    <t>5678 Grizzly Peak Rd.</t>
  </si>
  <si>
    <t>Ship to 50-C</t>
  </si>
  <si>
    <t>Rue Joseph-Bens 5678</t>
  </si>
  <si>
    <t>Ship to 60-C</t>
  </si>
  <si>
    <t>Estrada da saúde n. 4567</t>
  </si>
  <si>
    <t>Destination WVLDH</t>
  </si>
  <si>
    <t>C/ Romero, 7890</t>
  </si>
  <si>
    <t>Destination YPUYI</t>
  </si>
  <si>
    <t>Walserweg 8901</t>
  </si>
  <si>
    <t>Ship to 47-C</t>
  </si>
  <si>
    <t>Destination VYOBK</t>
  </si>
  <si>
    <t>3456 Baker Blvd.</t>
  </si>
  <si>
    <t>Shipper GVSUA</t>
  </si>
  <si>
    <t>(503) 555-0137</t>
  </si>
  <si>
    <t>Shipper ETYNR</t>
  </si>
  <si>
    <t>(425) 555-0136</t>
  </si>
  <si>
    <t>Shipper ZHISN</t>
  </si>
  <si>
    <t>(415) 555-0138</t>
  </si>
  <si>
    <t>homepage</t>
  </si>
  <si>
    <t>Supplier SWRXU</t>
  </si>
  <si>
    <t>Adolphi, Stephan</t>
  </si>
  <si>
    <t>Purchasing Manager</t>
  </si>
  <si>
    <t>2345 Gilbert St.</t>
  </si>
  <si>
    <t>Supplier VHQZD</t>
  </si>
  <si>
    <t>Hance, Jim</t>
  </si>
  <si>
    <t>New Orleans</t>
  </si>
  <si>
    <t>LA</t>
  </si>
  <si>
    <t>(100) 555-0111</t>
  </si>
  <si>
    <t>Supplier STUAZ</t>
  </si>
  <si>
    <t>Parovszky, Alfons</t>
  </si>
  <si>
    <t>1234 Oxford Rd.</t>
  </si>
  <si>
    <t>Ann Arbor</t>
  </si>
  <si>
    <t>MI</t>
  </si>
  <si>
    <t>(313) 555-0109</t>
  </si>
  <si>
    <t>(313) 555-0112</t>
  </si>
  <si>
    <t>Supplier QOVFD</t>
  </si>
  <si>
    <t>Balázs, Erzsébet</t>
  </si>
  <si>
    <t>7890 Sekimai Musashino-shi</t>
  </si>
  <si>
    <t>Tokyo</t>
  </si>
  <si>
    <t>Japan</t>
  </si>
  <si>
    <t>(03) 6789-0123</t>
  </si>
  <si>
    <t>Supplier EQPNC</t>
  </si>
  <si>
    <t>Holm, Michael</t>
  </si>
  <si>
    <t>Export Administrator</t>
  </si>
  <si>
    <t>Calle del Rosal 4567</t>
  </si>
  <si>
    <t>Oviedo</t>
  </si>
  <si>
    <t>Asturias</t>
  </si>
  <si>
    <t>(98) 123 45 67</t>
  </si>
  <si>
    <t>Supplier QWUSF</t>
  </si>
  <si>
    <t>Popkova, Darya</t>
  </si>
  <si>
    <t>Marketing Representative</t>
  </si>
  <si>
    <t>8901 Setsuko Chuo-ku</t>
  </si>
  <si>
    <t>Osaka</t>
  </si>
  <si>
    <t>(06) 789-0123</t>
  </si>
  <si>
    <t>Supplier GQRCV</t>
  </si>
  <si>
    <t>Ræbild, Jesper</t>
  </si>
  <si>
    <t>5678 Rose St. Moonie Ponds</t>
  </si>
  <si>
    <t>Melbourne</t>
  </si>
  <si>
    <t>Victoria</t>
  </si>
  <si>
    <t>Australia</t>
  </si>
  <si>
    <t>(03) 123-4567</t>
  </si>
  <si>
    <t>(03) 456-7890</t>
  </si>
  <si>
    <t>Supplier BWGYE</t>
  </si>
  <si>
    <t>Iallo, Lucio</t>
  </si>
  <si>
    <t>9012 King's Way</t>
  </si>
  <si>
    <t>Manchester</t>
  </si>
  <si>
    <t>(161) 567-8901</t>
  </si>
  <si>
    <t>Supplier QQYEU</t>
  </si>
  <si>
    <t>Basalik, Evan</t>
  </si>
  <si>
    <t>Kaloadagatan 4567</t>
  </si>
  <si>
    <t>Göteborg</t>
  </si>
  <si>
    <t>031-345 67 89</t>
  </si>
  <si>
    <t>031-678 90 12</t>
  </si>
  <si>
    <t>Supplier UNAHG</t>
  </si>
  <si>
    <t>Barnett, Dave</t>
  </si>
  <si>
    <t>Av. das Americanas 2345</t>
  </si>
  <si>
    <t>(11) 345 6789</t>
  </si>
  <si>
    <t>Supplier ZPYVS</t>
  </si>
  <si>
    <t>Jain, Mukesh</t>
  </si>
  <si>
    <t>Tiergartenstraße 3456</t>
  </si>
  <si>
    <t>(010) 3456789</t>
  </si>
  <si>
    <t>Supplier SVIYA</t>
  </si>
  <si>
    <t>Regev, Barak</t>
  </si>
  <si>
    <t>International Marketing Mgr.</t>
  </si>
  <si>
    <t>Bogenallee 9012</t>
  </si>
  <si>
    <t>Frankfurt</t>
  </si>
  <si>
    <t>(069) 234567</t>
  </si>
  <si>
    <t>Supplier TEGSC</t>
  </si>
  <si>
    <t>Brehm, Peter</t>
  </si>
  <si>
    <t>Coordinator Foreign Markets</t>
  </si>
  <si>
    <t>Frahmredder 3456</t>
  </si>
  <si>
    <t>Cuxhaven</t>
  </si>
  <si>
    <t>(04721) 1234</t>
  </si>
  <si>
    <t>(04721) 2345</t>
  </si>
  <si>
    <t>Supplier KEREV</t>
  </si>
  <si>
    <t>Keil, Kendall</t>
  </si>
  <si>
    <t>Viale Dante, 6789</t>
  </si>
  <si>
    <t>Ravenna</t>
  </si>
  <si>
    <t>(0544) 56789</t>
  </si>
  <si>
    <t>(0544) 34567</t>
  </si>
  <si>
    <t>Supplier NZLIF</t>
  </si>
  <si>
    <t>Sałas-Szlejter, Karolina</t>
  </si>
  <si>
    <t>Hatlevegen 1234</t>
  </si>
  <si>
    <t>Sandvika</t>
  </si>
  <si>
    <t>(0)9-012345</t>
  </si>
  <si>
    <t>Supplier UHZRG</t>
  </si>
  <si>
    <t>Scholl, Thorsten</t>
  </si>
  <si>
    <t>Regional Account Rep.</t>
  </si>
  <si>
    <t>8901 - 8th Avenue Suite 210</t>
  </si>
  <si>
    <t>Bend</t>
  </si>
  <si>
    <t>(503) 555-0108</t>
  </si>
  <si>
    <t>Supplier QZGUF</t>
  </si>
  <si>
    <t>Kleinerman, Christian</t>
  </si>
  <si>
    <t>Brovallavägen 0123</t>
  </si>
  <si>
    <t>Stockholm</t>
  </si>
  <si>
    <t>08-234 56 78</t>
  </si>
  <si>
    <t>Supplier LVJUA</t>
  </si>
  <si>
    <t>Canel, Fabrice</t>
  </si>
  <si>
    <t>3456, Rue des Francs-Bourgeois</t>
  </si>
  <si>
    <t>(1) 90.12.34.56</t>
  </si>
  <si>
    <t>(1) 01.23.45.67</t>
  </si>
  <si>
    <t>Supplier JDNUG</t>
  </si>
  <si>
    <t>Chapman, Greg</t>
  </si>
  <si>
    <t>Wholesale Account Agent</t>
  </si>
  <si>
    <t>Order Processing Dept. 7890 Paul Revere Blvd.</t>
  </si>
  <si>
    <t>Boston</t>
  </si>
  <si>
    <t>MA</t>
  </si>
  <si>
    <t>(617) 555-0110</t>
  </si>
  <si>
    <t>(617) 555-0113</t>
  </si>
  <si>
    <t>Supplier CIYNM</t>
  </si>
  <si>
    <t>Köszegi, Emília</t>
  </si>
  <si>
    <t>6789 Serangoon Loop, Suite #402</t>
  </si>
  <si>
    <t>Singapore</t>
  </si>
  <si>
    <t>012-3456</t>
  </si>
  <si>
    <t>Supplier XOXZA</t>
  </si>
  <si>
    <t>Shakespear, Paul</t>
  </si>
  <si>
    <t>Lyngbysild Fiskebakken 9012</t>
  </si>
  <si>
    <t>Lyngby</t>
  </si>
  <si>
    <t>Supplier FNUXM</t>
  </si>
  <si>
    <t>Skelly, Bonnie L.</t>
  </si>
  <si>
    <t>Verkoop Rijnweg 8901</t>
  </si>
  <si>
    <t>Zaandam</t>
  </si>
  <si>
    <t>Netherlands</t>
  </si>
  <si>
    <t>(12345) 8901</t>
  </si>
  <si>
    <t>(12345) 5678</t>
  </si>
  <si>
    <t>Supplier ELCRN</t>
  </si>
  <si>
    <t>LaMee, Brian</t>
  </si>
  <si>
    <t>Product Manager</t>
  </si>
  <si>
    <t>Valtakatu 1234</t>
  </si>
  <si>
    <t>Lappeenranta</t>
  </si>
  <si>
    <t>(953) 78901</t>
  </si>
  <si>
    <t>Supplier JNNES</t>
  </si>
  <si>
    <t>Clark, Molly</t>
  </si>
  <si>
    <t>6789 Prince Edward Parade Hunter's Hill</t>
  </si>
  <si>
    <t>Sydney</t>
  </si>
  <si>
    <t>NSW</t>
  </si>
  <si>
    <t>(02) 234-5678</t>
  </si>
  <si>
    <t>(02) 567-8901</t>
  </si>
  <si>
    <t>Supplier ERVYZ</t>
  </si>
  <si>
    <t>Sprenger, Christof</t>
  </si>
  <si>
    <t>7890 Rue St. Laurent</t>
  </si>
  <si>
    <t>(514) 456-7890</t>
  </si>
  <si>
    <t>Supplier ZWZDM</t>
  </si>
  <si>
    <t>Cunha, Gonçalo</t>
  </si>
  <si>
    <t>Via dei Gelsomini, 5678</t>
  </si>
  <si>
    <t>Salerno</t>
  </si>
  <si>
    <t>(089) 4567890</t>
  </si>
  <si>
    <t>Supplier ZRYDZ</t>
  </si>
  <si>
    <t>Leoni, Alessandro</t>
  </si>
  <si>
    <t>4567, rue H. Voiron</t>
  </si>
  <si>
    <t>Montceau</t>
  </si>
  <si>
    <t>Supplier OAVQT</t>
  </si>
  <si>
    <t>Teper, Jeff</t>
  </si>
  <si>
    <t>Bat. B 2345, rue des Alpes</t>
  </si>
  <si>
    <t>Annecy</t>
  </si>
  <si>
    <t>01.23.45.67</t>
  </si>
  <si>
    <t>Supplier OGLRK</t>
  </si>
  <si>
    <t>Walters, Rob</t>
  </si>
  <si>
    <t>0123 rue Chasseur</t>
  </si>
  <si>
    <t>Ste-Hyacinthe</t>
  </si>
  <si>
    <t>(514) 567-890</t>
  </si>
  <si>
    <t>(514) 678-9012</t>
  </si>
  <si>
    <t>territorydescription</t>
  </si>
  <si>
    <t>regionid</t>
  </si>
  <si>
    <t>Westboro</t>
  </si>
  <si>
    <t>Bedford</t>
  </si>
  <si>
    <t>Georgetow</t>
  </si>
  <si>
    <t>Cambridge</t>
  </si>
  <si>
    <t>Braintree</t>
  </si>
  <si>
    <t>Providence</t>
  </si>
  <si>
    <t>Hollis</t>
  </si>
  <si>
    <t>Portsmouth</t>
  </si>
  <si>
    <t>Wilton</t>
  </si>
  <si>
    <t>Morristown</t>
  </si>
  <si>
    <t>Edison</t>
  </si>
  <si>
    <t>New York</t>
  </si>
  <si>
    <t>Mellvile</t>
  </si>
  <si>
    <t>Fairport</t>
  </si>
  <si>
    <t>Philadelphia</t>
  </si>
  <si>
    <t>Neward</t>
  </si>
  <si>
    <t>Rockville</t>
  </si>
  <si>
    <t>Greensboro</t>
  </si>
  <si>
    <t>Cary</t>
  </si>
  <si>
    <t>Columbia</t>
  </si>
  <si>
    <t>Atlanta</t>
  </si>
  <si>
    <t>Savannah</t>
  </si>
  <si>
    <t>Orlando</t>
  </si>
  <si>
    <t>Tampa</t>
  </si>
  <si>
    <t>Louisville</t>
  </si>
  <si>
    <t>Beachwood</t>
  </si>
  <si>
    <t>Findlay</t>
  </si>
  <si>
    <t>Southfield</t>
  </si>
  <si>
    <t>Troy</t>
  </si>
  <si>
    <t>Bloomfield Hills</t>
  </si>
  <si>
    <t>Racine</t>
  </si>
  <si>
    <t>Roseville</t>
  </si>
  <si>
    <t>Minneapolis</t>
  </si>
  <si>
    <t>Hoffman Estates</t>
  </si>
  <si>
    <t>Chicago</t>
  </si>
  <si>
    <t>Bentonville</t>
  </si>
  <si>
    <t>Dallas</t>
  </si>
  <si>
    <t>Austin</t>
  </si>
  <si>
    <t>Denver</t>
  </si>
  <si>
    <t>Colorado Springs</t>
  </si>
  <si>
    <t>Phoenix</t>
  </si>
  <si>
    <t>Scottsdale</t>
  </si>
  <si>
    <t>Santa Monica</t>
  </si>
  <si>
    <t>Menlo Park</t>
  </si>
  <si>
    <t>Campbell</t>
  </si>
  <si>
    <t>Santa Clara</t>
  </si>
  <si>
    <t>Santa Cruz</t>
  </si>
  <si>
    <t>Bellevue</t>
  </si>
  <si>
    <t>Customer Name</t>
  </si>
  <si>
    <t>Employee Region</t>
  </si>
  <si>
    <t>Product Name</t>
  </si>
  <si>
    <t>Product Category</t>
  </si>
  <si>
    <t>Shipping Company</t>
  </si>
  <si>
    <t>Supplying Company</t>
  </si>
  <si>
    <t>Supplier Country</t>
  </si>
  <si>
    <t>Freight Category</t>
  </si>
  <si>
    <r>
      <t xml:space="preserve">Assessment Instructions
</t>
    </r>
    <r>
      <rPr>
        <sz val="10"/>
        <color theme="1"/>
        <rFont val="Arial"/>
        <family val="2"/>
        <scheme val="minor"/>
      </rPr>
      <t xml:space="preserve">Using these tables as references, do the following:
1. Populate all columns in the "Order Detail" sheet. This can be done largely with any lookUp function of your choice from other tables in this workbook.
a. For Employee Name Column, if an employee's first name, last name, and title are John, Doe, and Mr. respectively. What is expected in the Employee Full Nam Column is </t>
    </r>
    <r>
      <rPr>
        <b/>
        <sz val="10"/>
        <color theme="1"/>
        <rFont val="Arial"/>
        <family val="2"/>
        <scheme val="minor"/>
      </rPr>
      <t xml:space="preserve">Mr. John Doe
</t>
    </r>
    <r>
      <rPr>
        <sz val="10"/>
        <color theme="1"/>
        <rFont val="Arial"/>
        <family val="2"/>
        <scheme val="minor"/>
      </rPr>
      <t>b. For Freight Category column, if freight for order is greater than 100 return 'High Freight' else 'Low Freight'.
c. Revenue can be calculated using the price and quantity ordered columns.</t>
    </r>
    <r>
      <rPr>
        <u/>
        <sz val="10"/>
        <color theme="1"/>
        <rFont val="Arial"/>
        <family val="2"/>
        <scheme val="minor"/>
      </rPr>
      <t xml:space="preserve">
</t>
    </r>
    <r>
      <rPr>
        <b/>
        <u/>
        <sz val="10"/>
        <color theme="1"/>
        <rFont val="Arial"/>
        <family val="2"/>
        <scheme val="minor"/>
      </rPr>
      <t xml:space="preserve">
</t>
    </r>
    <r>
      <rPr>
        <sz val="10"/>
        <color theme="1"/>
        <rFont val="Arial"/>
        <family val="2"/>
        <scheme val="minor"/>
      </rPr>
      <t>2. Create pivot table and charts from the fully populated sheet and generate these insights.
a. Revenue generated by product category
b. Top 10 Employees by revenue generated
c. Revenue Trend
d. Include other visuals</t>
    </r>
    <r>
      <rPr>
        <b/>
        <u/>
        <sz val="10"/>
        <color theme="1"/>
        <rFont val="Arial"/>
        <family val="2"/>
        <scheme val="minor"/>
      </rPr>
      <t xml:space="preserve">
</t>
    </r>
    <r>
      <rPr>
        <sz val="10"/>
        <color theme="1"/>
        <rFont val="Arial"/>
        <family val="2"/>
        <scheme val="minor"/>
      </rPr>
      <t>3. Create a dashboard to show all pivot charts in one locations. See sample dashboard below</t>
    </r>
    <r>
      <rPr>
        <b/>
        <u/>
        <sz val="10"/>
        <color theme="1"/>
        <rFont val="Arial"/>
        <family val="2"/>
        <scheme val="minor"/>
      </rPr>
      <t xml:space="preserve">
</t>
    </r>
    <r>
      <rPr>
        <sz val="10"/>
        <color theme="1"/>
        <rFont val="Arial"/>
        <family val="2"/>
        <scheme val="minor"/>
      </rPr>
      <t>4. Include slicers and timelines to make your report interactive.</t>
    </r>
    <r>
      <rPr>
        <b/>
        <u/>
        <sz val="10"/>
        <color theme="1"/>
        <rFont val="Arial"/>
        <family val="2"/>
        <scheme val="minor"/>
      </rPr>
      <t xml:space="preserve">
</t>
    </r>
    <r>
      <rPr>
        <sz val="10"/>
        <color theme="1"/>
        <rFont val="Arial"/>
        <family val="2"/>
        <scheme val="minor"/>
      </rPr>
      <t>5. In a detailed powerpoint presentation, summarize your findings from analyzing the data.
Things to capture in the presentation are:</t>
    </r>
    <r>
      <rPr>
        <b/>
        <u/>
        <sz val="10"/>
        <color theme="1"/>
        <rFont val="Arial"/>
        <family val="2"/>
        <scheme val="minor"/>
      </rPr>
      <t xml:space="preserve">
</t>
    </r>
    <r>
      <rPr>
        <sz val="10"/>
        <color theme="1"/>
        <rFont val="Arial"/>
        <family val="2"/>
        <scheme val="minor"/>
      </rPr>
      <t xml:space="preserve">-- Descriptive Analytics showing details about what has happened.
-- Possible Root Cause Analysis explaining why key things happened
-- Recommedations to improve the business in areas that are poor in performance.
</t>
    </r>
    <r>
      <rPr>
        <b/>
        <sz val="10"/>
        <color rgb="FFFF0000"/>
        <rFont val="Arial"/>
        <family val="2"/>
        <scheme val="minor"/>
      </rPr>
      <t>Note</t>
    </r>
    <r>
      <rPr>
        <b/>
        <sz val="10"/>
        <color theme="1"/>
        <rFont val="Arial"/>
        <family val="2"/>
        <scheme val="minor"/>
      </rPr>
      <t>: The key metrics are Revenue, Profit, Transaction Count</t>
    </r>
  </si>
  <si>
    <t>Employee Name</t>
  </si>
  <si>
    <t>Column Name2</t>
  </si>
  <si>
    <t>Row Labels</t>
  </si>
  <si>
    <t>Grand Total</t>
  </si>
  <si>
    <t>REVENUE BY PRODUCT CATEGORY</t>
  </si>
  <si>
    <t>Dr. Don Funk</t>
  </si>
  <si>
    <t>Mr. Paul Suurs</t>
  </si>
  <si>
    <t>Mr. Russell King</t>
  </si>
  <si>
    <t>Mr. Sven Buck</t>
  </si>
  <si>
    <t>Mrs. Yael Peled</t>
  </si>
  <si>
    <t>Ms. Judy Lew</t>
  </si>
  <si>
    <t>Ms. Maria Cameron</t>
  </si>
  <si>
    <t>Ms. Sara Davis</t>
  </si>
  <si>
    <t>Ms. Zoya Dolgopyatova</t>
  </si>
  <si>
    <t>REVENUE BY EMPLOYEE</t>
  </si>
  <si>
    <t>REVENUE BY COUNTRY</t>
  </si>
  <si>
    <t>SHIPPER REVENUE</t>
  </si>
  <si>
    <t>High Freight</t>
  </si>
  <si>
    <t>Low Freight</t>
  </si>
  <si>
    <t>Count of orderid</t>
  </si>
  <si>
    <t>FREIGHT ANALYSIS</t>
  </si>
  <si>
    <t>(blank)</t>
  </si>
  <si>
    <t>&lt;7/8/2006</t>
  </si>
  <si>
    <t>2006</t>
  </si>
  <si>
    <t>2007</t>
  </si>
  <si>
    <t>2008</t>
  </si>
  <si>
    <t>Data Note</t>
  </si>
  <si>
    <t>Not Specified</t>
  </si>
  <si>
    <t>Order 10248 absent from Sales Order; orderdate not available</t>
  </si>
  <si>
    <t>Order 10249 absent from Sales Order; orderdate not available</t>
  </si>
  <si>
    <t xml:space="preserve">Revenue </t>
  </si>
  <si>
    <t xml:space="preserve">Sum of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</si>
</sst>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yyyy\-mm\-dd"/>
  </numFmts>
  <fonts count="17">
    <font>
      <sz val="10"/>
      <color rgb="FF000000"/>
      <name val="Arial"/>
      <scheme val="minor"/>
    </font>
    <font>
      <sz val="8"/>
      <color rgb="FF000000"/>
      <name val="Arial"/>
      <scheme val="minor"/>
    </font>
    <font>
      <sz val="8"/>
      <color theme="1"/>
      <name val="Arial"/>
      <scheme val="minor"/>
    </font>
    <font>
      <sz val="8"/>
      <color rgb="FF000000"/>
      <name val="&quot;Helvetica Neue&quot;"/>
    </font>
    <font>
      <sz val="10"/>
      <color theme="1"/>
      <name val="Arial"/>
      <scheme val="minor"/>
    </font>
    <font>
      <b/>
      <sz val="8"/>
      <color rgb="FF000000"/>
      <name val="&quot;Helvetica Neue&quot;"/>
    </font>
    <font>
      <sz val="8"/>
      <color rgb="FF3C4257"/>
      <name val="Arial"/>
      <scheme val="minor"/>
    </font>
    <font>
      <sz val="11"/>
      <color rgb="FF3C4257"/>
      <name val="Menlo"/>
    </font>
    <font>
      <sz val="10"/>
      <color rgb="FF000000"/>
      <name val="Arial"/>
      <scheme val="minor"/>
    </font>
    <font>
      <b/>
      <u/>
      <sz val="10"/>
      <color theme="1"/>
      <name val="Arial"/>
      <family val="2"/>
      <scheme val="minor"/>
    </font>
    <font>
      <sz val="10"/>
      <color theme="1"/>
      <name val="Arial"/>
      <family val="2"/>
      <scheme val="minor"/>
    </font>
    <font>
      <u/>
      <sz val="10"/>
      <color theme="1"/>
      <name val="Arial"/>
      <family val="2"/>
      <scheme val="minor"/>
    </font>
    <font>
      <b/>
      <sz val="10"/>
      <color theme="1"/>
      <name val="Arial"/>
      <family val="2"/>
      <scheme val="minor"/>
    </font>
    <font>
      <b/>
      <sz val="10"/>
      <color rgb="FFFF0000"/>
      <name val="Arial"/>
      <family val="2"/>
      <scheme val="minor"/>
    </font>
    <font>
      <sz val="10"/>
      <color rgb="FF0000FF"/>
      <name val="Arial"/>
      <scheme val="minor"/>
    </font>
    <font>
      <b/>
      <sz val="8"/>
      <color rgb="FF000000"/>
      <name val="Arial"/>
      <scheme val="minor"/>
    </font>
    <font>
      <sz val="10"/>
      <color rgb="FF0000FF"/>
      <name val="Arial"/>
      <family val="2"/>
      <scheme val="minor"/>
    </font>
  </fonts>
  <fills count="5">
    <fill>
      <patternFill patternType="none"/>
    </fill>
    <fill>
      <patternFill patternType="gray125"/>
    </fill>
    <fill>
      <patternFill patternType="solid">
        <fgColor rgb="FFFFFFFF"/>
        <bgColor rgb="FFFFFFFF"/>
      </patternFill>
    </fill>
    <fill>
      <patternFill patternType="solid">
        <fgColor theme="2" tint="-4.9989318521683403E-2"/>
        <bgColor indexed="64"/>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9" fontId="8" fillId="0" borderId="0" applyFont="0" applyFill="0" applyBorder="0" applyAlignment="0" applyProtection="0"/>
  </cellStyleXfs>
  <cellXfs count="36">
    <xf numFmtId="0" fontId="0" fillId="0" borderId="0" xfId="0"/>
    <xf numFmtId="0" fontId="1" fillId="0" borderId="1" xfId="0" applyFont="1" applyBorder="1" applyAlignment="1">
      <alignment vertical="top"/>
    </xf>
    <xf numFmtId="0" fontId="2" fillId="0" borderId="1" xfId="0" applyFont="1" applyBorder="1" applyAlignment="1">
      <alignment vertical="top"/>
    </xf>
    <xf numFmtId="0" fontId="2" fillId="0" borderId="0" xfId="0" applyFont="1"/>
    <xf numFmtId="0" fontId="3" fillId="0" borderId="0" xfId="0" applyFont="1" applyAlignment="1">
      <alignment vertical="top"/>
    </xf>
    <xf numFmtId="0" fontId="4" fillId="0" borderId="0" xfId="0" applyFont="1" applyAlignment="1">
      <alignment vertical="top"/>
    </xf>
    <xf numFmtId="0" fontId="3" fillId="0" borderId="1" xfId="0" applyFont="1" applyBorder="1" applyAlignment="1">
      <alignment vertical="top"/>
    </xf>
    <xf numFmtId="0" fontId="4" fillId="0" borderId="1" xfId="0" applyFont="1" applyBorder="1" applyAlignment="1">
      <alignment vertical="top"/>
    </xf>
    <xf numFmtId="164" fontId="3" fillId="0" borderId="1" xfId="0" applyNumberFormat="1" applyFont="1" applyBorder="1" applyAlignment="1">
      <alignment vertical="top"/>
    </xf>
    <xf numFmtId="0" fontId="5" fillId="0" borderId="1" xfId="0" applyFont="1" applyBorder="1" applyAlignment="1">
      <alignment vertical="top"/>
    </xf>
    <xf numFmtId="0" fontId="2" fillId="0" borderId="0" xfId="0" applyFont="1" applyAlignment="1">
      <alignment vertical="top"/>
    </xf>
    <xf numFmtId="0" fontId="6" fillId="2" borderId="1" xfId="0" applyFont="1" applyFill="1" applyBorder="1"/>
    <xf numFmtId="0" fontId="6" fillId="2" borderId="0" xfId="0" applyFont="1" applyFill="1"/>
    <xf numFmtId="164" fontId="4" fillId="0" borderId="0" xfId="0" applyNumberFormat="1" applyFont="1"/>
    <xf numFmtId="165" fontId="4" fillId="0" borderId="0" xfId="0" applyNumberFormat="1" applyFont="1"/>
    <xf numFmtId="0" fontId="7" fillId="2" borderId="0" xfId="0" applyFont="1" applyFill="1"/>
    <xf numFmtId="0" fontId="2" fillId="0" borderId="1" xfId="0" applyFont="1" applyBorder="1"/>
    <xf numFmtId="0" fontId="1" fillId="0" borderId="2" xfId="0" applyFont="1" applyBorder="1" applyAlignment="1">
      <alignment vertical="top"/>
    </xf>
    <xf numFmtId="9" fontId="3" fillId="0" borderId="1" xfId="1" applyFont="1" applyBorder="1" applyAlignment="1">
      <alignment vertical="top"/>
    </xf>
    <xf numFmtId="9" fontId="0" fillId="0" borderId="0" xfId="1" applyFont="1"/>
    <xf numFmtId="0" fontId="9" fillId="3" borderId="0" xfId="0" applyFont="1" applyFill="1" applyAlignment="1">
      <alignment horizontal="left" vertical="top" wrapText="1"/>
    </xf>
    <xf numFmtId="0" fontId="10" fillId="3" borderId="0" xfId="0" applyFont="1" applyFill="1" applyAlignment="1">
      <alignment horizontal="left" vertical="top"/>
    </xf>
    <xf numFmtId="0" fontId="3" fillId="0" borderId="0" xfId="0" applyFont="1" applyBorder="1" applyAlignment="1">
      <alignment vertical="top"/>
    </xf>
    <xf numFmtId="14" fontId="3" fillId="0" borderId="1" xfId="0" applyNumberFormat="1" applyFont="1" applyBorder="1" applyAlignment="1">
      <alignment vertical="top"/>
    </xf>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4" borderId="0" xfId="0" applyFill="1"/>
    <xf numFmtId="0" fontId="0" fillId="0" borderId="0" xfId="0" applyFill="1"/>
    <xf numFmtId="0" fontId="0" fillId="0" borderId="0" xfId="0" applyAlignment="1">
      <alignment horizontal="left" indent="1"/>
    </xf>
    <xf numFmtId="14" fontId="14" fillId="0" borderId="0" xfId="0" applyNumberFormat="1" applyFont="1"/>
    <xf numFmtId="0" fontId="15" fillId="0" borderId="2" xfId="0" applyFont="1" applyFill="1" applyBorder="1" applyAlignment="1">
      <alignment vertical="top"/>
    </xf>
    <xf numFmtId="0" fontId="14" fillId="0" borderId="0" xfId="0" applyFont="1"/>
    <xf numFmtId="0" fontId="16" fillId="0" borderId="0" xfId="0" applyFont="1"/>
  </cellXfs>
  <cellStyles count="2">
    <cellStyle name="Normal" xfId="0" builtinId="0"/>
    <cellStyle name="Percent" xfId="1" builtinId="5"/>
  </cellStyles>
  <dxfs count="7">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4B8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236220</xdr:colOff>
      <xdr:row>16</xdr:row>
      <xdr:rowOff>60960</xdr:rowOff>
    </xdr:from>
    <xdr:to>
      <xdr:col>19</xdr:col>
      <xdr:colOff>182880</xdr:colOff>
      <xdr:row>38</xdr:row>
      <xdr:rowOff>114300</xdr:rowOff>
    </xdr:to>
    <xdr:pic>
      <xdr:nvPicPr>
        <xdr:cNvPr id="3" name="Picture 2">
          <a:extLst>
            <a:ext uri="{FF2B5EF4-FFF2-40B4-BE49-F238E27FC236}">
              <a16:creationId xmlns:a16="http://schemas.microsoft.com/office/drawing/2014/main" id="{ECDB89E9-F412-B610-4A6A-A2EB58208E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3020" y="2743200"/>
          <a:ext cx="6652260" cy="37414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4.564476388892" createdVersion="7" refreshedVersion="7" minRefreshableVersion="3" recordCount="2155" xr:uid="{019A0A74-AB91-4A29-937D-DD4D8DB908A9}">
  <cacheSource type="worksheet">
    <worksheetSource ref="A1:T2156" sheet="Order Detail"/>
  </cacheSource>
  <cacheFields count="21">
    <cacheField name="orderid" numFmtId="0">
      <sharedItems containsSemiMixedTypes="0" containsString="0" containsNumber="1" containsInteger="1" minValue="10248" maxValue="11077"/>
    </cacheField>
    <cacheField name="productid" numFmtId="0">
      <sharedItems containsSemiMixedTypes="0" containsString="0" containsNumber="1" containsInteger="1" minValue="1" maxValue="77"/>
    </cacheField>
    <cacheField name="unitprice" numFmtId="0">
      <sharedItems containsSemiMixedTypes="0" containsString="0" containsNumber="1" minValue="2" maxValue="263.5"/>
    </cacheField>
    <cacheField name="qty" numFmtId="0">
      <sharedItems containsSemiMixedTypes="0" containsString="0" containsNumber="1" containsInteger="1" minValue="1" maxValue="130"/>
    </cacheField>
    <cacheField name="discount" numFmtId="9">
      <sharedItems containsSemiMixedTypes="0" containsString="0" containsNumber="1" minValue="0" maxValue="0.25"/>
    </cacheField>
    <cacheField name="Customer Name" numFmtId="0">
      <sharedItems/>
    </cacheField>
    <cacheField name="Column Name2" numFmtId="0">
      <sharedItems/>
    </cacheField>
    <cacheField name="Employee Name" numFmtId="0">
      <sharedItems count="12">
        <s v="Not Specified"/>
        <s v="Mrs. Yael Peled"/>
        <s v="Ms. Judy Lew"/>
        <s v="Mr. Sven Buck"/>
        <s v="Ms. Zoya Dolgopyatova"/>
        <s v="Ms. Sara Davis"/>
        <s v="Ms. Maria Cameron"/>
        <s v="Mr. Paul Suurs"/>
        <s v="Dr. Don Funk"/>
        <s v="Mr. Russell King"/>
        <s v="" u="1"/>
        <e v="#N/A" u="1"/>
      </sharedItems>
    </cacheField>
    <cacheField name="Employee Region" numFmtId="0">
      <sharedItems containsMixedTypes="1" containsNumber="1" containsInteger="1" minValue="0" maxValue="0"/>
    </cacheField>
    <cacheField name="Product Name" numFmtId="0">
      <sharedItems/>
    </cacheField>
    <cacheField name="Product Category" numFmtId="0">
      <sharedItems count="8">
        <s v="Dairy Product"/>
        <s v="Grains/Cereals"/>
        <s v="Produce"/>
        <s v="Seafood"/>
        <s v="Condiments"/>
        <s v="Confections"/>
        <s v="Beverages"/>
        <s v="Meat/Poultry"/>
      </sharedItems>
    </cacheField>
    <cacheField name="orderdate" numFmtId="14">
      <sharedItems containsNonDate="0" containsDate="1" containsString="0" containsBlank="1" minDate="2006-07-08T00:00:00" maxDate="2008-05-07T00:00:00" count="479">
        <m/>
        <d v="2006-07-08T00:00:00"/>
        <d v="2006-07-09T00:00:00"/>
        <d v="2006-07-10T00:00:00"/>
        <d v="2006-07-11T00:00:00"/>
        <d v="2006-07-12T00:00:00"/>
        <d v="2006-07-15T00:00:00"/>
        <d v="2006-07-16T00:00:00"/>
        <d v="2006-07-17T00:00:00"/>
        <d v="2006-07-18T00:00:00"/>
        <d v="2006-07-19T00:00:00"/>
        <d v="2006-07-22T00:00:00"/>
        <d v="2006-07-23T00:00:00"/>
        <d v="2006-07-24T00:00:00"/>
        <d v="2006-07-25T00:00:00"/>
        <d v="2006-07-26T00:00:00"/>
        <d v="2006-07-29T00:00:00"/>
        <d v="2006-07-30T00:00:00"/>
        <d v="2006-07-31T00:00:00"/>
        <d v="2006-08-01T00:00:00"/>
        <d v="2006-08-02T00:00:00"/>
        <d v="2006-08-05T00:00:00"/>
        <d v="2006-08-06T00:00:00"/>
        <d v="2006-08-07T00:00:00"/>
        <d v="2006-08-08T00:00:00"/>
        <d v="2006-08-09T00:00:00"/>
        <d v="2006-08-12T00:00:00"/>
        <d v="2006-08-13T00:00:00"/>
        <d v="2006-08-14T00:00:00"/>
        <d v="2006-08-15T00:00:00"/>
        <d v="2006-08-16T00:00:00"/>
        <d v="2006-08-19T00:00:00"/>
        <d v="2006-08-20T00:00:00"/>
        <d v="2006-08-21T00:00:00"/>
        <d v="2006-08-22T00:00:00"/>
        <d v="2006-08-23T00:00:00"/>
        <d v="2006-08-26T00:00:00"/>
        <d v="2006-08-27T00:00:00"/>
        <d v="2006-08-28T00:00:00"/>
        <d v="2006-08-29T00:00:00"/>
        <d v="2006-08-30T00:00:00"/>
        <d v="2006-09-02T00:00:00"/>
        <d v="2006-09-03T00:00:00"/>
        <d v="2006-09-04T00:00:00"/>
        <d v="2006-09-05T00:00:00"/>
        <d v="2006-09-06T00:00:00"/>
        <d v="2006-09-09T00:00:00"/>
        <d v="2006-09-10T00:00:00"/>
        <d v="2006-09-11T00:00:00"/>
        <d v="2006-09-12T00:00:00"/>
        <d v="2006-09-13T00:00:00"/>
        <d v="2006-09-16T00:00:00"/>
        <d v="2006-09-17T00:00:00"/>
        <d v="2006-09-18T00:00:00"/>
        <d v="2006-09-19T00:00:00"/>
        <d v="2006-09-20T00:00:00"/>
        <d v="2006-09-23T00:00:00"/>
        <d v="2006-09-24T00:00:00"/>
        <d v="2006-09-25T00:00:00"/>
        <d v="2006-09-26T00:00:00"/>
        <d v="2006-09-27T00:00:00"/>
        <d v="2006-09-30T00:00:00"/>
        <d v="2006-10-01T00:00:00"/>
        <d v="2006-10-02T00:00:00"/>
        <d v="2006-10-03T00:00:00"/>
        <d v="2006-10-04T00:00:00"/>
        <d v="2006-10-07T00:00:00"/>
        <d v="2006-10-08T00:00:00"/>
        <d v="2006-10-09T00:00:00"/>
        <d v="2006-10-10T00:00:00"/>
        <d v="2006-10-11T00:00:00"/>
        <d v="2006-10-14T00:00:00"/>
        <d v="2006-10-15T00:00:00"/>
        <d v="2006-10-16T00:00:00"/>
        <d v="2006-10-17T00:00:00"/>
        <d v="2006-10-18T00:00:00"/>
        <d v="2006-10-21T00:00:00"/>
        <d v="2006-10-22T00:00:00"/>
        <d v="2006-10-23T00:00:00"/>
        <d v="2006-10-24T00:00:00"/>
        <d v="2006-10-25T00:00:00"/>
        <d v="2006-10-28T00:00:00"/>
        <d v="2006-10-29T00:00:00"/>
        <d v="2006-10-30T00:00:00"/>
        <d v="2006-10-31T00:00:00"/>
        <d v="2006-11-01T00:00:00"/>
        <d v="2006-11-04T00:00:00"/>
        <d v="2006-11-05T00:00:00"/>
        <d v="2006-11-06T00:00:00"/>
        <d v="2006-11-07T00:00:00"/>
        <d v="2006-11-08T00:00:00"/>
        <d v="2006-11-11T00:00:00"/>
        <d v="2006-11-12T00:00:00"/>
        <d v="2006-11-13T00:00:00"/>
        <d v="2006-11-14T00:00:00"/>
        <d v="2006-11-15T00:00:00"/>
        <d v="2006-11-18T00:00:00"/>
        <d v="2006-11-19T00:00:00"/>
        <d v="2006-11-20T00:00:00"/>
        <d v="2006-11-21T00:00:00"/>
        <d v="2006-11-22T00:00:00"/>
        <d v="2006-11-25T00:00:00"/>
        <d v="2006-11-26T00:00:00"/>
        <d v="2006-11-27T00:00:00"/>
        <d v="2006-11-28T00:00:00"/>
        <d v="2006-11-29T00:00:00"/>
        <d v="2006-12-02T00:00:00"/>
        <d v="2006-12-03T00:00:00"/>
        <d v="2006-12-04T00:00:00"/>
        <d v="2006-12-05T00:00:00"/>
        <d v="2006-12-06T00:00:00"/>
        <d v="2006-12-09T00:00:00"/>
        <d v="2006-12-10T00:00:00"/>
        <d v="2006-12-11T00:00:00"/>
        <d v="2006-12-12T00:00:00"/>
        <d v="2006-12-13T00:00:00"/>
        <d v="2006-12-16T00:00:00"/>
        <d v="2006-12-17T00:00:00"/>
        <d v="2006-12-18T00:00:00"/>
        <d v="2006-12-19T00:00:00"/>
        <d v="2006-12-20T00:00:00"/>
        <d v="2006-12-23T00:00:00"/>
        <d v="2006-12-24T00:00:00"/>
        <d v="2006-12-25T00:00:00"/>
        <d v="2006-12-26T00:00:00"/>
        <d v="2006-12-27T00:00:00"/>
        <d v="2006-12-30T00:00:00"/>
        <d v="2006-12-31T00:00:00"/>
        <d v="2007-01-01T00:00:00"/>
        <d v="2007-01-02T00:00:00"/>
        <d v="2007-01-03T00:00:00"/>
        <d v="2007-01-06T00:00:00"/>
        <d v="2007-01-07T00:00:00"/>
        <d v="2007-01-08T00:00:00"/>
        <d v="2007-01-09T00:00:00"/>
        <d v="2007-01-10T00:00:00"/>
        <d v="2007-01-13T00:00:00"/>
        <d v="2007-01-14T00:00:00"/>
        <d v="2007-01-15T00:00:00"/>
        <d v="2007-01-16T00:00:00"/>
        <d v="2007-01-17T00:00:00"/>
        <d v="2007-01-20T00:00:00"/>
        <d v="2007-01-21T00:00:00"/>
        <d v="2007-01-22T00:00:00"/>
        <d v="2007-01-23T00:00:00"/>
        <d v="2007-01-24T00:00:00"/>
        <d v="2007-01-27T00:00:00"/>
        <d v="2007-01-28T00:00:00"/>
        <d v="2007-01-29T00:00:00"/>
        <d v="2007-01-30T00:00:00"/>
        <d v="2007-01-31T00:00:00"/>
        <d v="2007-02-03T00:00:00"/>
        <d v="2007-02-04T00:00:00"/>
        <d v="2007-02-05T00:00:00"/>
        <d v="2007-02-06T00:00:00"/>
        <d v="2007-02-07T00:00:00"/>
        <d v="2007-02-10T00:00:00"/>
        <d v="2007-02-11T00:00:00"/>
        <d v="2007-02-12T00:00:00"/>
        <d v="2007-02-13T00:00:00"/>
        <d v="2007-02-14T00:00:00"/>
        <d v="2007-02-17T00:00:00"/>
        <d v="2007-02-18T00:00:00"/>
        <d v="2007-02-19T00:00:00"/>
        <d v="2007-02-20T00:00:00"/>
        <d v="2007-02-21T00:00:00"/>
        <d v="2007-02-24T00:00:00"/>
        <d v="2007-02-25T00:00:00"/>
        <d v="2007-02-26T00:00:00"/>
        <d v="2007-02-27T00:00:00"/>
        <d v="2007-02-28T00:00:00"/>
        <d v="2007-03-03T00:00:00"/>
        <d v="2007-03-04T00:00:00"/>
        <d v="2007-03-05T00:00:00"/>
        <d v="2007-03-06T00:00:00"/>
        <d v="2007-03-07T00:00:00"/>
        <d v="2007-03-10T00:00:00"/>
        <d v="2007-03-11T00:00:00"/>
        <d v="2007-03-12T00:00:00"/>
        <d v="2007-03-13T00:00:00"/>
        <d v="2007-03-14T00:00:00"/>
        <d v="2007-03-17T00:00:00"/>
        <d v="2007-03-18T00:00:00"/>
        <d v="2007-03-19T00:00:00"/>
        <d v="2007-03-20T00:00:00"/>
        <d v="2007-03-21T00:00:00"/>
        <d v="2007-03-24T00:00:00"/>
        <d v="2007-03-25T00:00:00"/>
        <d v="2007-03-26T00:00:00"/>
        <d v="2007-03-27T00:00:00"/>
        <d v="2007-03-28T00:00:00"/>
        <d v="2007-03-31T00:00:00"/>
        <d v="2007-04-01T00:00:00"/>
        <d v="2007-04-02T00:00:00"/>
        <d v="2007-04-03T00:00:00"/>
        <d v="2007-04-04T00:00:00"/>
        <d v="2007-04-07T00:00:00"/>
        <d v="2007-04-08T00:00:00"/>
        <d v="2007-04-09T00:00:00"/>
        <d v="2007-04-10T00:00:00"/>
        <d v="2007-04-11T00:00:00"/>
        <d v="2007-04-14T00:00:00"/>
        <d v="2007-04-15T00:00:00"/>
        <d v="2007-04-16T00:00:00"/>
        <d v="2007-04-17T00:00:00"/>
        <d v="2007-04-18T00:00:00"/>
        <d v="2007-04-21T00:00:00"/>
        <d v="2007-04-22T00:00:00"/>
        <d v="2007-04-23T00:00:00"/>
        <d v="2007-04-24T00:00:00"/>
        <d v="2007-04-25T00:00:00"/>
        <d v="2007-04-28T00:00:00"/>
        <d v="2007-04-29T00:00:00"/>
        <d v="2007-04-30T00:00:00"/>
        <d v="2007-05-01T00:00:00"/>
        <d v="2007-05-02T00:00:00"/>
        <d v="2007-05-05T00:00:00"/>
        <d v="2007-05-06T00:00:00"/>
        <d v="2007-05-07T00:00:00"/>
        <d v="2007-05-08T00:00:00"/>
        <d v="2007-05-09T00:00:00"/>
        <d v="2007-05-12T00:00:00"/>
        <d v="2007-05-13T00:00:00"/>
        <d v="2007-05-14T00:00:00"/>
        <d v="2007-05-15T00:00:00"/>
        <d v="2007-05-16T00:00:00"/>
        <d v="2007-05-19T00:00:00"/>
        <d v="2007-05-20T00:00:00"/>
        <d v="2007-05-21T00:00:00"/>
        <d v="2007-05-22T00:00:00"/>
        <d v="2007-05-23T00:00:00"/>
        <d v="2007-05-26T00:00:00"/>
        <d v="2007-05-27T00:00:00"/>
        <d v="2007-05-28T00:00:00"/>
        <d v="2007-05-29T00:00:00"/>
        <d v="2007-05-30T00:00:00"/>
        <d v="2007-06-02T00:00:00"/>
        <d v="2007-06-03T00:00:00"/>
        <d v="2007-06-04T00:00:00"/>
        <d v="2007-06-05T00:00:00"/>
        <d v="2007-06-06T00:00:00"/>
        <d v="2007-06-09T00:00:00"/>
        <d v="2007-06-10T00:00:00"/>
        <d v="2007-06-11T00:00:00"/>
        <d v="2007-06-12T00:00:00"/>
        <d v="2007-06-13T00:00:00"/>
        <d v="2007-06-16T00:00:00"/>
        <d v="2007-06-17T00:00:00"/>
        <d v="2007-06-18T00:00:00"/>
        <d v="2007-06-19T00:00:00"/>
        <d v="2007-06-20T00:00:00"/>
        <d v="2007-06-23T00:00:00"/>
        <d v="2007-06-24T00:00:00"/>
        <d v="2007-06-25T00:00:00"/>
        <d v="2007-06-26T00:00:00"/>
        <d v="2007-06-27T00:00:00"/>
        <d v="2007-06-30T00:00:00"/>
        <d v="2007-07-01T00:00:00"/>
        <d v="2007-07-02T00:00:00"/>
        <d v="2007-07-03T00:00:00"/>
        <d v="2007-07-04T00:00:00"/>
        <d v="2007-07-07T00:00:00"/>
        <d v="2007-07-08T00:00:00"/>
        <d v="2007-07-09T00:00:00"/>
        <d v="2007-07-10T00:00:00"/>
        <d v="2007-07-11T00:00:00"/>
        <d v="2007-07-14T00:00:00"/>
        <d v="2007-07-15T00:00:00"/>
        <d v="2007-07-16T00:00:00"/>
        <d v="2007-07-17T00:00:00"/>
        <d v="2007-07-18T00:00:00"/>
        <d v="2007-07-21T00:00:00"/>
        <d v="2007-07-22T00:00:00"/>
        <d v="2007-07-23T00:00:00"/>
        <d v="2007-07-24T00:00:00"/>
        <d v="2007-07-25T00:00:00"/>
        <d v="2007-07-28T00:00:00"/>
        <d v="2007-07-29T00:00:00"/>
        <d v="2007-07-30T00:00:00"/>
        <d v="2007-07-31T00:00:00"/>
        <d v="2007-08-01T00:00:00"/>
        <d v="2007-08-04T00:00:00"/>
        <d v="2007-08-05T00:00:00"/>
        <d v="2007-08-06T00:00:00"/>
        <d v="2007-08-07T00:00:00"/>
        <d v="2007-08-08T00:00:00"/>
        <d v="2007-08-11T00:00:00"/>
        <d v="2007-08-12T00:00:00"/>
        <d v="2007-08-13T00:00:00"/>
        <d v="2007-08-14T00:00:00"/>
        <d v="2007-08-15T00:00:00"/>
        <d v="2007-08-18T00:00:00"/>
        <d v="2007-08-19T00:00:00"/>
        <d v="2007-08-20T00:00:00"/>
        <d v="2007-08-21T00:00:00"/>
        <d v="2007-08-22T00:00:00"/>
        <d v="2007-08-25T00:00:00"/>
        <d v="2007-08-26T00:00:00"/>
        <d v="2007-08-27T00:00:00"/>
        <d v="2007-08-28T00:00:00"/>
        <d v="2007-08-29T00:00:00"/>
        <d v="2007-09-01T00:00:00"/>
        <d v="2007-09-02T00:00:00"/>
        <d v="2007-09-03T00:00:00"/>
        <d v="2007-09-04T00:00:00"/>
        <d v="2007-09-05T00:00:00"/>
        <d v="2007-09-08T00:00:00"/>
        <d v="2007-09-09T00:00:00"/>
        <d v="2007-09-10T00:00:00"/>
        <d v="2007-09-11T00:00:00"/>
        <d v="2007-09-12T00:00:00"/>
        <d v="2007-09-15T00:00:00"/>
        <d v="2007-09-16T00:00:00"/>
        <d v="2007-09-17T00:00:00"/>
        <d v="2007-09-18T00:00:00"/>
        <d v="2007-09-19T00:00:00"/>
        <d v="2007-09-22T00:00:00"/>
        <d v="2007-09-23T00:00:00"/>
        <d v="2007-09-24T00:00:00"/>
        <d v="2007-09-25T00:00:00"/>
        <d v="2007-09-26T00:00:00"/>
        <d v="2007-09-29T00:00:00"/>
        <d v="2007-09-30T00:00:00"/>
        <d v="2007-10-01T00:00:00"/>
        <d v="2007-10-02T00:00:00"/>
        <d v="2007-10-03T00:00:00"/>
        <d v="2007-10-06T00:00:00"/>
        <d v="2007-10-07T00:00:00"/>
        <d v="2007-10-08T00:00:00"/>
        <d v="2007-10-09T00:00:00"/>
        <d v="2007-10-10T00:00:00"/>
        <d v="2007-10-13T00:00:00"/>
        <d v="2007-10-14T00:00:00"/>
        <d v="2007-10-15T00:00:00"/>
        <d v="2007-10-16T00:00:00"/>
        <d v="2007-10-17T00:00:00"/>
        <d v="2007-10-20T00:00:00"/>
        <d v="2007-10-21T00:00:00"/>
        <d v="2007-10-22T00:00:00"/>
        <d v="2007-10-23T00:00:00"/>
        <d v="2007-10-24T00:00:00"/>
        <d v="2007-10-27T00:00:00"/>
        <d v="2007-10-28T00:00:00"/>
        <d v="2007-10-29T00:00:00"/>
        <d v="2007-10-30T00:00:00"/>
        <d v="2007-10-31T00:00:00"/>
        <d v="2007-11-03T00:00:00"/>
        <d v="2007-11-04T00:00:00"/>
        <d v="2007-11-05T00:00:00"/>
        <d v="2007-11-06T00:00:00"/>
        <d v="2007-11-07T00:00:00"/>
        <d v="2007-11-10T00:00:00"/>
        <d v="2007-11-11T00:00:00"/>
        <d v="2007-11-12T00:00:00"/>
        <d v="2007-11-13T00:00:00"/>
        <d v="2007-11-14T00:00:00"/>
        <d v="2007-11-17T00:00:00"/>
        <d v="2007-11-18T00:00:00"/>
        <d v="2007-11-19T00:00:00"/>
        <d v="2007-11-20T00:00:00"/>
        <d v="2007-11-21T00:00:00"/>
        <d v="2007-11-24T00:00:00"/>
        <d v="2007-11-25T00:00:00"/>
        <d v="2007-11-26T00:00:00"/>
        <d v="2007-11-27T00:00:00"/>
        <d v="2007-11-28T00:00:00"/>
        <d v="2007-12-01T00:00:00"/>
        <d v="2007-12-02T00:00:00"/>
        <d v="2007-12-03T00:00:00"/>
        <d v="2007-12-04T00:00:00"/>
        <d v="2007-12-05T00:00:00"/>
        <d v="2007-12-08T00:00:00"/>
        <d v="2007-12-09T00:00:00"/>
        <d v="2007-12-10T00:00:00"/>
        <d v="2007-12-11T00:00:00"/>
        <d v="2007-12-12T00:00:00"/>
        <d v="2007-12-15T00:00:00"/>
        <d v="2007-12-16T00:00:00"/>
        <d v="2007-12-17T00:00:00"/>
        <d v="2007-12-18T00:00:00"/>
        <d v="2007-12-19T00:00:00"/>
        <d v="2007-12-22T00:00:00"/>
        <d v="2007-12-23T00:00:00"/>
        <d v="2007-12-24T00:00:00"/>
        <d v="2007-12-25T00:00:00"/>
        <d v="2007-12-26T00:00:00"/>
        <d v="2007-12-29T00:00:00"/>
        <d v="2007-12-30T00:00:00"/>
        <d v="2007-12-31T00:00:00"/>
        <d v="2008-01-01T00:00:00"/>
        <d v="2008-01-02T00:00:00"/>
        <d v="2008-01-05T00:00:00"/>
        <d v="2008-01-06T00:00:00"/>
        <d v="2008-01-07T00:00:00"/>
        <d v="2008-01-08T00:00:00"/>
        <d v="2008-01-09T00:00:00"/>
        <d v="2008-01-12T00:00:00"/>
        <d v="2008-01-13T00:00:00"/>
        <d v="2008-01-14T00:00:00"/>
        <d v="2008-01-15T00:00:00"/>
        <d v="2008-01-16T00:00:00"/>
        <d v="2008-01-19T00:00:00"/>
        <d v="2008-01-20T00:00:00"/>
        <d v="2008-01-21T00:00:00"/>
        <d v="2008-01-22T00:00:00"/>
        <d v="2008-01-23T00:00:00"/>
        <d v="2008-01-26T00:00:00"/>
        <d v="2008-01-27T00:00:00"/>
        <d v="2008-01-28T00:00:00"/>
        <d v="2008-01-29T00:00:00"/>
        <d v="2008-01-30T00:00:00"/>
        <d v="2008-02-02T00:00:00"/>
        <d v="2008-02-03T00:00:00"/>
        <d v="2008-02-04T00:00:00"/>
        <d v="2008-02-05T00:00:00"/>
        <d v="2008-02-06T00:00:00"/>
        <d v="2008-02-09T00:00:00"/>
        <d v="2008-02-10T00:00:00"/>
        <d v="2008-02-11T00:00:00"/>
        <d v="2008-02-12T00:00:00"/>
        <d v="2008-02-13T00:00:00"/>
        <d v="2008-02-16T00:00:00"/>
        <d v="2008-02-17T00:00:00"/>
        <d v="2008-02-18T00:00:00"/>
        <d v="2008-02-19T00:00:00"/>
        <d v="2008-02-20T00:00:00"/>
        <d v="2008-02-23T00:00:00"/>
        <d v="2008-02-24T00:00:00"/>
        <d v="2008-02-25T00:00:00"/>
        <d v="2008-02-26T00:00:00"/>
        <d v="2008-02-27T00:00:00"/>
        <d v="2008-03-02T00:00:00"/>
        <d v="2008-03-03T00:00:00"/>
        <d v="2008-03-04T00:00:00"/>
        <d v="2008-03-05T00:00:00"/>
        <d v="2008-03-06T00:00:00"/>
        <d v="2008-03-09T00:00:00"/>
        <d v="2008-03-10T00:00:00"/>
        <d v="2008-03-11T00:00:00"/>
        <d v="2008-03-12T00:00:00"/>
        <d v="2008-03-13T00:00:00"/>
        <d v="2008-03-16T00:00:00"/>
        <d v="2008-03-17T00:00:00"/>
        <d v="2008-03-18T00:00:00"/>
        <d v="2008-03-19T00:00:00"/>
        <d v="2008-03-20T00:00:00"/>
        <d v="2008-03-23T00:00:00"/>
        <d v="2008-03-24T00:00:00"/>
        <d v="2008-03-25T00:00:00"/>
        <d v="2008-03-26T00:00:00"/>
        <d v="2008-03-27T00:00:00"/>
        <d v="2008-03-30T00:00:00"/>
        <d v="2008-03-31T00:00:00"/>
        <d v="2008-04-01T00:00:00"/>
        <d v="2008-04-02T00:00:00"/>
        <d v="2008-04-03T00:00:00"/>
        <d v="2008-04-06T00:00:00"/>
        <d v="2008-04-07T00:00:00"/>
        <d v="2008-04-08T00:00:00"/>
        <d v="2008-04-09T00:00:00"/>
        <d v="2008-04-10T00:00:00"/>
        <d v="2008-04-13T00:00:00"/>
        <d v="2008-04-14T00:00:00"/>
        <d v="2008-04-15T00:00:00"/>
        <d v="2008-04-16T00:00:00"/>
        <d v="2008-04-17T00:00:00"/>
        <d v="2008-04-20T00:00:00"/>
        <d v="2008-04-21T00:00:00"/>
        <d v="2008-04-22T00:00:00"/>
        <d v="2008-04-23T00:00:00"/>
        <d v="2008-04-24T00:00:00"/>
        <d v="2008-04-27T00:00:00"/>
        <d v="2008-04-28T00:00:00"/>
        <d v="2008-04-29T00:00:00"/>
        <d v="2008-04-30T00:00:00"/>
        <d v="2008-05-01T00:00:00"/>
        <d v="2008-05-04T00:00:00"/>
        <d v="2008-05-05T00:00:00"/>
        <d v="2008-05-06T00:00:00"/>
      </sharedItems>
      <fieldGroup par="20" base="11">
        <rangePr groupBy="months" startDate="2006-07-08T00:00:00" endDate="2008-05-07T00:00:00"/>
        <groupItems count="14">
          <s v="(blank)"/>
          <s v="Jan"/>
          <s v="Feb"/>
          <s v="Mar"/>
          <s v="Apr"/>
          <s v="May"/>
          <s v="Jun"/>
          <s v="Jul"/>
          <s v="Aug"/>
          <s v="Sep"/>
          <s v="Oct"/>
          <s v="Nov"/>
          <s v="Dec"/>
          <s v="&gt;5/7/2008"/>
        </groupItems>
      </fieldGroup>
    </cacheField>
    <cacheField name="shippeddate" numFmtId="14">
      <sharedItems containsDate="1" containsMixedTypes="1" minDate="1899-12-30T00:00:00" maxDate="2008-05-07T00:00:00"/>
    </cacheField>
    <cacheField name="Shipping Company" numFmtId="0">
      <sharedItems count="6">
        <s v="Not Specified"/>
        <s v="Shipper ETYNR"/>
        <s v="Shipper GVSUA"/>
        <s v="Shipper ZHISN"/>
        <s v="" u="1"/>
        <e v="#N/A" u="1"/>
      </sharedItems>
    </cacheField>
    <cacheField name="shipname" numFmtId="0">
      <sharedItems/>
    </cacheField>
    <cacheField name="shipcountry" numFmtId="0">
      <sharedItems count="24">
        <s v="Not Specified"/>
        <s v="Brazil"/>
        <s v="France"/>
        <s v="Belgium"/>
        <s v="Switzerland"/>
        <s v="Venezuela"/>
        <s v="Austria"/>
        <s v="Mexico"/>
        <s v="Germany"/>
        <s v="USA"/>
        <s v="Sweden"/>
        <s v="Finland"/>
        <s v="Italy"/>
        <s v="Spain"/>
        <s v="UK"/>
        <s v="Ireland"/>
        <s v="Portugal"/>
        <s v="Canada"/>
        <s v="Denmark"/>
        <s v="Poland"/>
        <s v="Norway"/>
        <s v="Argentina"/>
        <s v="" u="1"/>
        <e v="#N/A" u="1"/>
      </sharedItems>
    </cacheField>
    <cacheField name="Supplying Company" numFmtId="0">
      <sharedItems/>
    </cacheField>
    <cacheField name="Supplier Country" numFmtId="0">
      <sharedItems/>
    </cacheField>
    <cacheField name="Freight Category" numFmtId="0">
      <sharedItems count="5">
        <s v="Not Specified"/>
        <s v="Low Freight"/>
        <s v="High Freight"/>
        <s v="" u="1"/>
        <e v="#N/A" u="1"/>
      </sharedItems>
    </cacheField>
    <cacheField name="Revenue " numFmtId="0">
      <sharedItems containsSemiMixedTypes="0" containsString="0" containsNumber="1" minValue="4.8" maxValue="15810"/>
    </cacheField>
    <cacheField name="Years" numFmtId="0" databaseField="0">
      <fieldGroup base="11">
        <rangePr groupBy="years" startDate="2006-07-08T00:00:00" endDate="2008-05-07T00:00:00"/>
        <groupItems count="5">
          <s v="&lt;7/8/2006"/>
          <s v="2006"/>
          <s v="2007"/>
          <s v="2008"/>
          <s v="&gt;5/7/200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n v="10248"/>
    <n v="11"/>
    <n v="14"/>
    <n v="12"/>
    <n v="0"/>
    <s v="Not Specified"/>
    <s v="Not Specified"/>
    <x v="0"/>
    <s v="Not Specified"/>
    <s v="Product QMVUN"/>
    <x v="0"/>
    <x v="0"/>
    <s v=""/>
    <x v="0"/>
    <s v="Not Specified"/>
    <x v="0"/>
    <s v="Supplier EQPNC"/>
    <s v="Spain"/>
    <x v="0"/>
    <n v="168"/>
  </r>
  <r>
    <n v="10248"/>
    <n v="42"/>
    <n v="9.8000000000000007"/>
    <n v="10"/>
    <n v="0"/>
    <s v="Not Specified"/>
    <s v="Not Specified"/>
    <x v="0"/>
    <s v="Not Specified"/>
    <s v="Product RJVNM"/>
    <x v="1"/>
    <x v="0"/>
    <s v=""/>
    <x v="0"/>
    <s v="Not Specified"/>
    <x v="0"/>
    <s v="Supplier CIYNM"/>
    <s v="Singapore"/>
    <x v="0"/>
    <n v="98"/>
  </r>
  <r>
    <n v="10248"/>
    <n v="72"/>
    <n v="34.799999999999997"/>
    <n v="5"/>
    <n v="0"/>
    <s v="Not Specified"/>
    <s v="Not Specified"/>
    <x v="0"/>
    <s v="Not Specified"/>
    <s v="Product GEEOO"/>
    <x v="0"/>
    <x v="0"/>
    <s v=""/>
    <x v="0"/>
    <s v="Not Specified"/>
    <x v="0"/>
    <s v="Supplier KEREV"/>
    <s v="Italy"/>
    <x v="0"/>
    <n v="174"/>
  </r>
  <r>
    <n v="10249"/>
    <n v="14"/>
    <n v="18.600000000000001"/>
    <n v="9"/>
    <n v="0"/>
    <s v="Not Specified"/>
    <s v="Not Specified"/>
    <x v="0"/>
    <s v="Not Specified"/>
    <s v="Product PWCJB"/>
    <x v="2"/>
    <x v="0"/>
    <s v=""/>
    <x v="0"/>
    <s v="Not Specified"/>
    <x v="0"/>
    <s v="Supplier QWUSF"/>
    <s v="Japan"/>
    <x v="0"/>
    <n v="167.4"/>
  </r>
  <r>
    <n v="10249"/>
    <n v="51"/>
    <n v="42.4"/>
    <n v="40"/>
    <n v="0"/>
    <s v="Not Specified"/>
    <s v="Not Specified"/>
    <x v="0"/>
    <s v="Not Specified"/>
    <s v="Product APITJ"/>
    <x v="2"/>
    <x v="0"/>
    <s v=""/>
    <x v="0"/>
    <s v="Not Specified"/>
    <x v="0"/>
    <s v="Supplier JNNES"/>
    <s v="Australia"/>
    <x v="0"/>
    <n v="1696"/>
  </r>
  <r>
    <n v="10250"/>
    <n v="41"/>
    <n v="7.7"/>
    <n v="10"/>
    <n v="0"/>
    <s v="Cohen, Shy"/>
    <s v="Cohen Shy"/>
    <x v="1"/>
    <s v="WA"/>
    <s v="Product TTEEX"/>
    <x v="3"/>
    <x v="1"/>
    <d v="2006-07-12T00:00:00"/>
    <x v="1"/>
    <s v="Destination SCQXA"/>
    <x v="1"/>
    <s v="Supplier JDNUG"/>
    <s v="USA"/>
    <x v="1"/>
    <n v="77"/>
  </r>
  <r>
    <n v="10250"/>
    <n v="51"/>
    <n v="42.4"/>
    <n v="35"/>
    <n v="0.15"/>
    <s v="Cohen, Shy"/>
    <s v="Cohen Shy"/>
    <x v="1"/>
    <s v="WA"/>
    <s v="Product APITJ"/>
    <x v="2"/>
    <x v="1"/>
    <d v="2006-07-12T00:00:00"/>
    <x v="1"/>
    <s v="Destination SCQXA"/>
    <x v="1"/>
    <s v="Supplier JNNES"/>
    <s v="Australia"/>
    <x v="1"/>
    <n v="1261.3999999999999"/>
  </r>
  <r>
    <n v="10250"/>
    <n v="65"/>
    <n v="16.8"/>
    <n v="15"/>
    <n v="0.15"/>
    <s v="Cohen, Shy"/>
    <s v="Cohen Shy"/>
    <x v="1"/>
    <s v="WA"/>
    <s v="Product XYWBZ"/>
    <x v="4"/>
    <x v="1"/>
    <d v="2006-07-12T00:00:00"/>
    <x v="1"/>
    <s v="Destination SCQXA"/>
    <x v="1"/>
    <s v="Supplier VHQZD"/>
    <s v="USA"/>
    <x v="1"/>
    <n v="214.2"/>
  </r>
  <r>
    <n v="10251"/>
    <n v="22"/>
    <n v="16.8"/>
    <n v="6"/>
    <n v="0.05"/>
    <s v="Tuntisangaroon, Sittichai"/>
    <s v="Tuntisangaroon Sittichai"/>
    <x v="2"/>
    <s v="WA"/>
    <s v="Product CPHFY"/>
    <x v="1"/>
    <x v="1"/>
    <d v="2006-07-15T00:00:00"/>
    <x v="2"/>
    <s v="Ship to 84-A"/>
    <x v="2"/>
    <s v="Supplier QQYEU"/>
    <s v="Sweden"/>
    <x v="1"/>
    <n v="95.76"/>
  </r>
  <r>
    <n v="10251"/>
    <n v="57"/>
    <n v="15.6"/>
    <n v="15"/>
    <n v="0.05"/>
    <s v="Tuntisangaroon, Sittichai"/>
    <s v="Tuntisangaroon Sittichai"/>
    <x v="2"/>
    <s v="WA"/>
    <s v="Product OVLQI"/>
    <x v="1"/>
    <x v="1"/>
    <d v="2006-07-15T00:00:00"/>
    <x v="2"/>
    <s v="Ship to 84-A"/>
    <x v="2"/>
    <s v="Supplier ZWZDM"/>
    <s v="Italy"/>
    <x v="1"/>
    <n v="222.29999999999998"/>
  </r>
  <r>
    <n v="10251"/>
    <n v="65"/>
    <n v="16.8"/>
    <n v="20"/>
    <n v="0"/>
    <s v="Tuntisangaroon, Sittichai"/>
    <s v="Tuntisangaroon Sittichai"/>
    <x v="2"/>
    <s v="WA"/>
    <s v="Product XYWBZ"/>
    <x v="4"/>
    <x v="1"/>
    <d v="2006-07-15T00:00:00"/>
    <x v="2"/>
    <s v="Ship to 84-A"/>
    <x v="2"/>
    <s v="Supplier VHQZD"/>
    <s v="USA"/>
    <x v="1"/>
    <n v="336"/>
  </r>
  <r>
    <n v="10252"/>
    <n v="20"/>
    <n v="64.8"/>
    <n v="40"/>
    <n v="0.05"/>
    <s v="Gulbis, Katrin"/>
    <s v="Gulbis Katrin"/>
    <x v="1"/>
    <s v="WA"/>
    <s v="Product QHFFP"/>
    <x v="5"/>
    <x v="2"/>
    <d v="2006-07-11T00:00:00"/>
    <x v="1"/>
    <s v="Ship to 76-B"/>
    <x v="3"/>
    <s v="Supplier BWGYE"/>
    <s v="UK"/>
    <x v="1"/>
    <n v="2462.4"/>
  </r>
  <r>
    <n v="10252"/>
    <n v="33"/>
    <n v="2"/>
    <n v="25"/>
    <n v="0.05"/>
    <s v="Gulbis, Katrin"/>
    <s v="Gulbis Katrin"/>
    <x v="1"/>
    <s v="WA"/>
    <s v="Product ASTMN"/>
    <x v="0"/>
    <x v="2"/>
    <d v="2006-07-11T00:00:00"/>
    <x v="1"/>
    <s v="Ship to 76-B"/>
    <x v="3"/>
    <s v="Supplier NZLIF"/>
    <s v="Norway"/>
    <x v="1"/>
    <n v="47.5"/>
  </r>
  <r>
    <n v="10252"/>
    <n v="60"/>
    <n v="27.2"/>
    <n v="40"/>
    <n v="0"/>
    <s v="Gulbis, Katrin"/>
    <s v="Gulbis Katrin"/>
    <x v="1"/>
    <s v="WA"/>
    <s v="Product WHBYK"/>
    <x v="0"/>
    <x v="2"/>
    <d v="2006-07-11T00:00:00"/>
    <x v="1"/>
    <s v="Ship to 76-B"/>
    <x v="3"/>
    <s v="Supplier OAVQT"/>
    <s v="France"/>
    <x v="1"/>
    <n v="1088"/>
  </r>
  <r>
    <n v="10253"/>
    <n v="31"/>
    <n v="10"/>
    <n v="20"/>
    <n v="0"/>
    <s v="Cohen, Shy"/>
    <s v="Cohen Shy"/>
    <x v="2"/>
    <s v="WA"/>
    <s v="Product XWOXC"/>
    <x v="0"/>
    <x v="3"/>
    <d v="2006-07-16T00:00:00"/>
    <x v="1"/>
    <s v="Destination JPAIY"/>
    <x v="1"/>
    <s v="Supplier KEREV"/>
    <s v="Italy"/>
    <x v="1"/>
    <n v="200"/>
  </r>
  <r>
    <n v="10253"/>
    <n v="39"/>
    <n v="14.4"/>
    <n v="42"/>
    <n v="0"/>
    <s v="Cohen, Shy"/>
    <s v="Cohen Shy"/>
    <x v="2"/>
    <s v="WA"/>
    <s v="Product LSOFL"/>
    <x v="6"/>
    <x v="3"/>
    <d v="2006-07-16T00:00:00"/>
    <x v="1"/>
    <s v="Destination JPAIY"/>
    <x v="1"/>
    <s v="Supplier LVJUA"/>
    <s v="France"/>
    <x v="1"/>
    <n v="604.80000000000007"/>
  </r>
  <r>
    <n v="10253"/>
    <n v="49"/>
    <n v="16"/>
    <n v="40"/>
    <n v="0"/>
    <s v="Cohen, Shy"/>
    <s v="Cohen Shy"/>
    <x v="2"/>
    <s v="WA"/>
    <s v="Product FPYPN"/>
    <x v="5"/>
    <x v="3"/>
    <d v="2006-07-16T00:00:00"/>
    <x v="1"/>
    <s v="Destination JPAIY"/>
    <x v="1"/>
    <s v="Supplier ELCRN"/>
    <s v="Finland"/>
    <x v="1"/>
    <n v="640"/>
  </r>
  <r>
    <n v="10254"/>
    <n v="24"/>
    <n v="3.6"/>
    <n v="15"/>
    <n v="0.15"/>
    <s v="Jelitto, Jacek"/>
    <s v="Jelitto Jacek"/>
    <x v="3"/>
    <n v="0"/>
    <s v="Product QOGNU"/>
    <x v="6"/>
    <x v="4"/>
    <d v="2006-07-23T00:00:00"/>
    <x v="1"/>
    <s v="Destination YUJRD"/>
    <x v="4"/>
    <s v="Supplier UNAHG"/>
    <s v="Brazil"/>
    <x v="1"/>
    <n v="45.9"/>
  </r>
  <r>
    <n v="10254"/>
    <n v="55"/>
    <n v="19.2"/>
    <n v="21"/>
    <n v="0.15"/>
    <s v="Jelitto, Jacek"/>
    <s v="Jelitto Jacek"/>
    <x v="3"/>
    <n v="0"/>
    <s v="Product YYWRT"/>
    <x v="7"/>
    <x v="4"/>
    <d v="2006-07-23T00:00:00"/>
    <x v="1"/>
    <s v="Destination YUJRD"/>
    <x v="4"/>
    <s v="Supplier ERVYZ"/>
    <s v="Canada"/>
    <x v="1"/>
    <n v="342.71999999999997"/>
  </r>
  <r>
    <n v="10254"/>
    <n v="74"/>
    <n v="8"/>
    <n v="21"/>
    <n v="0"/>
    <s v="Jelitto, Jacek"/>
    <s v="Jelitto Jacek"/>
    <x v="3"/>
    <n v="0"/>
    <s v="Product BKAZJ"/>
    <x v="2"/>
    <x v="4"/>
    <d v="2006-07-23T00:00:00"/>
    <x v="1"/>
    <s v="Destination YUJRD"/>
    <x v="4"/>
    <s v="Supplier QOVFD"/>
    <s v="Japan"/>
    <x v="1"/>
    <n v="168"/>
  </r>
  <r>
    <n v="10255"/>
    <n v="2"/>
    <n v="15.2"/>
    <n v="20"/>
    <n v="0"/>
    <s v="Myrcha, Jacek"/>
    <s v="Myrcha Jacek"/>
    <x v="4"/>
    <n v="0"/>
    <s v="Product RECZE"/>
    <x v="6"/>
    <x v="5"/>
    <d v="2006-07-15T00:00:00"/>
    <x v="3"/>
    <s v="Ship to 68-A"/>
    <x v="4"/>
    <s v="Supplier SWRXU"/>
    <s v="UK"/>
    <x v="2"/>
    <n v="304"/>
  </r>
  <r>
    <n v="10255"/>
    <n v="16"/>
    <n v="13.9"/>
    <n v="35"/>
    <n v="0"/>
    <s v="Myrcha, Jacek"/>
    <s v="Myrcha Jacek"/>
    <x v="4"/>
    <n v="0"/>
    <s v="Product PAFRH"/>
    <x v="5"/>
    <x v="5"/>
    <d v="2006-07-15T00:00:00"/>
    <x v="3"/>
    <s v="Ship to 68-A"/>
    <x v="4"/>
    <s v="Supplier GQRCV"/>
    <s v="Australia"/>
    <x v="2"/>
    <n v="486.5"/>
  </r>
  <r>
    <n v="10255"/>
    <n v="36"/>
    <n v="15.2"/>
    <n v="25"/>
    <n v="0"/>
    <s v="Myrcha, Jacek"/>
    <s v="Myrcha Jacek"/>
    <x v="4"/>
    <n v="0"/>
    <s v="Product GMKIJ"/>
    <x v="3"/>
    <x v="5"/>
    <d v="2006-07-15T00:00:00"/>
    <x v="3"/>
    <s v="Ship to 68-A"/>
    <x v="4"/>
    <s v="Supplier QZGUF"/>
    <s v="Sweden"/>
    <x v="2"/>
    <n v="380"/>
  </r>
  <r>
    <n v="10255"/>
    <n v="59"/>
    <n v="44"/>
    <n v="30"/>
    <n v="0"/>
    <s v="Myrcha, Jacek"/>
    <s v="Myrcha Jacek"/>
    <x v="4"/>
    <n v="0"/>
    <s v="Product UKXRI"/>
    <x v="0"/>
    <x v="5"/>
    <d v="2006-07-15T00:00:00"/>
    <x v="3"/>
    <s v="Ship to 68-A"/>
    <x v="4"/>
    <s v="Supplier OAVQT"/>
    <s v="France"/>
    <x v="2"/>
    <n v="1320"/>
  </r>
  <r>
    <n v="10256"/>
    <n v="53"/>
    <n v="26.2"/>
    <n v="15"/>
    <n v="0"/>
    <s v="Li, Yan"/>
    <s v="Li Yan"/>
    <x v="2"/>
    <s v="WA"/>
    <s v="Product BKGEA"/>
    <x v="7"/>
    <x v="6"/>
    <d v="2006-07-17T00:00:00"/>
    <x v="1"/>
    <s v="Ship to 88-B"/>
    <x v="1"/>
    <s v="Supplier JNNES"/>
    <s v="Australia"/>
    <x v="1"/>
    <n v="393"/>
  </r>
  <r>
    <n v="10256"/>
    <n v="77"/>
    <n v="10.4"/>
    <n v="12"/>
    <n v="0"/>
    <s v="Li, Yan"/>
    <s v="Li Yan"/>
    <x v="2"/>
    <s v="WA"/>
    <s v="Product LUNZZ"/>
    <x v="4"/>
    <x v="6"/>
    <d v="2006-07-17T00:00:00"/>
    <x v="1"/>
    <s v="Ship to 88-B"/>
    <x v="1"/>
    <s v="Supplier SVIYA"/>
    <s v="Germany"/>
    <x v="1"/>
    <n v="124.80000000000001"/>
  </r>
  <r>
    <n v="10257"/>
    <n v="27"/>
    <n v="35.1"/>
    <n v="25"/>
    <n v="0"/>
    <s v="Langohr, Kris"/>
    <s v="Langohr Kris"/>
    <x v="1"/>
    <s v="WA"/>
    <s v="Product SMIOH"/>
    <x v="5"/>
    <x v="7"/>
    <d v="2006-07-22T00:00:00"/>
    <x v="3"/>
    <s v="Destination JYDLM"/>
    <x v="5"/>
    <s v="Supplier ZPYVS"/>
    <s v="Germany"/>
    <x v="1"/>
    <n v="877.5"/>
  </r>
  <r>
    <n v="10257"/>
    <n v="39"/>
    <n v="14.4"/>
    <n v="6"/>
    <n v="0"/>
    <s v="Langohr, Kris"/>
    <s v="Langohr Kris"/>
    <x v="1"/>
    <s v="WA"/>
    <s v="Product LSOFL"/>
    <x v="6"/>
    <x v="7"/>
    <d v="2006-07-22T00:00:00"/>
    <x v="3"/>
    <s v="Destination JYDLM"/>
    <x v="5"/>
    <s v="Supplier LVJUA"/>
    <s v="France"/>
    <x v="1"/>
    <n v="86.4"/>
  </r>
  <r>
    <n v="10257"/>
    <n v="77"/>
    <n v="10.4"/>
    <n v="15"/>
    <n v="0"/>
    <s v="Langohr, Kris"/>
    <s v="Langohr Kris"/>
    <x v="1"/>
    <s v="WA"/>
    <s v="Product LUNZZ"/>
    <x v="4"/>
    <x v="7"/>
    <d v="2006-07-22T00:00:00"/>
    <x v="3"/>
    <s v="Destination JYDLM"/>
    <x v="5"/>
    <s v="Supplier SVIYA"/>
    <s v="Germany"/>
    <x v="1"/>
    <n v="156"/>
  </r>
  <r>
    <n v="10258"/>
    <n v="2"/>
    <n v="15.2"/>
    <n v="50"/>
    <n v="0.2"/>
    <s v="Kane, John"/>
    <s v="Kane John"/>
    <x v="5"/>
    <s v="WA"/>
    <s v="Product RECZE"/>
    <x v="6"/>
    <x v="8"/>
    <d v="2006-07-23T00:00:00"/>
    <x v="2"/>
    <s v="Destination RVDMF"/>
    <x v="6"/>
    <s v="Supplier SWRXU"/>
    <s v="UK"/>
    <x v="2"/>
    <n v="608"/>
  </r>
  <r>
    <n v="10258"/>
    <n v="5"/>
    <n v="17"/>
    <n v="65"/>
    <n v="0.2"/>
    <s v="Kane, John"/>
    <s v="Kane John"/>
    <x v="5"/>
    <s v="WA"/>
    <s v="Product EPEIM"/>
    <x v="4"/>
    <x v="8"/>
    <d v="2006-07-23T00:00:00"/>
    <x v="2"/>
    <s v="Destination RVDMF"/>
    <x v="6"/>
    <s v="Supplier VHQZD"/>
    <s v="USA"/>
    <x v="2"/>
    <n v="884"/>
  </r>
  <r>
    <n v="10258"/>
    <n v="32"/>
    <n v="25.6"/>
    <n v="6"/>
    <n v="0.2"/>
    <s v="Kane, John"/>
    <s v="Kane John"/>
    <x v="5"/>
    <s v="WA"/>
    <s v="Product NUNAW"/>
    <x v="0"/>
    <x v="8"/>
    <d v="2006-07-23T00:00:00"/>
    <x v="2"/>
    <s v="Destination RVDMF"/>
    <x v="6"/>
    <s v="Supplier KEREV"/>
    <s v="Italy"/>
    <x v="2"/>
    <n v="122.88000000000002"/>
  </r>
  <r>
    <n v="10259"/>
    <n v="21"/>
    <n v="8"/>
    <n v="10"/>
    <n v="0"/>
    <s v="Benito, Almudena"/>
    <s v="Benito Almudena"/>
    <x v="1"/>
    <s v="WA"/>
    <s v="Product VJZZH"/>
    <x v="5"/>
    <x v="9"/>
    <d v="2006-07-25T00:00:00"/>
    <x v="3"/>
    <s v="Destination LGGCH"/>
    <x v="7"/>
    <s v="Supplier BWGYE"/>
    <s v="UK"/>
    <x v="1"/>
    <n v="80"/>
  </r>
  <r>
    <n v="10259"/>
    <n v="37"/>
    <n v="20.8"/>
    <n v="1"/>
    <n v="0"/>
    <s v="Benito, Almudena"/>
    <s v="Benito Almudena"/>
    <x v="1"/>
    <s v="WA"/>
    <s v="Product EVFFA"/>
    <x v="3"/>
    <x v="9"/>
    <d v="2006-07-25T00:00:00"/>
    <x v="3"/>
    <s v="Destination LGGCH"/>
    <x v="7"/>
    <s v="Supplier QZGUF"/>
    <s v="Sweden"/>
    <x v="1"/>
    <n v="20.8"/>
  </r>
  <r>
    <n v="10260"/>
    <n v="41"/>
    <n v="7.7"/>
    <n v="16"/>
    <n v="0.25"/>
    <s v="Marinova, Nadejda"/>
    <s v="Marinova Nadejda"/>
    <x v="1"/>
    <s v="WA"/>
    <s v="Product TTEEX"/>
    <x v="3"/>
    <x v="10"/>
    <d v="2006-07-29T00:00:00"/>
    <x v="2"/>
    <s v="Ship to 56-A"/>
    <x v="8"/>
    <s v="Supplier JDNUG"/>
    <s v="USA"/>
    <x v="1"/>
    <n v="92.4"/>
  </r>
  <r>
    <n v="10260"/>
    <n v="57"/>
    <n v="15.6"/>
    <n v="50"/>
    <n v="0"/>
    <s v="Marinova, Nadejda"/>
    <s v="Marinova Nadejda"/>
    <x v="1"/>
    <s v="WA"/>
    <s v="Product OVLQI"/>
    <x v="1"/>
    <x v="10"/>
    <d v="2006-07-29T00:00:00"/>
    <x v="2"/>
    <s v="Ship to 56-A"/>
    <x v="8"/>
    <s v="Supplier ZWZDM"/>
    <s v="Italy"/>
    <x v="1"/>
    <n v="780"/>
  </r>
  <r>
    <n v="10260"/>
    <n v="62"/>
    <n v="39.4"/>
    <n v="15"/>
    <n v="0.25"/>
    <s v="Marinova, Nadejda"/>
    <s v="Marinova Nadejda"/>
    <x v="1"/>
    <s v="WA"/>
    <s v="Product WUXYK"/>
    <x v="5"/>
    <x v="10"/>
    <d v="2006-07-29T00:00:00"/>
    <x v="2"/>
    <s v="Ship to 56-A"/>
    <x v="8"/>
    <s v="Supplier OGLRK"/>
    <s v="Canada"/>
    <x v="1"/>
    <n v="443.25"/>
  </r>
  <r>
    <n v="10260"/>
    <n v="70"/>
    <n v="12"/>
    <n v="21"/>
    <n v="0.25"/>
    <s v="Marinova, Nadejda"/>
    <s v="Marinova Nadejda"/>
    <x v="1"/>
    <s v="WA"/>
    <s v="Product TOONT"/>
    <x v="6"/>
    <x v="10"/>
    <d v="2006-07-29T00:00:00"/>
    <x v="2"/>
    <s v="Ship to 56-A"/>
    <x v="8"/>
    <s v="Supplier GQRCV"/>
    <s v="Australia"/>
    <x v="1"/>
    <n v="189"/>
  </r>
  <r>
    <n v="10261"/>
    <n v="21"/>
    <n v="8"/>
    <n v="20"/>
    <n v="0"/>
    <s v="Florczyk, Krzysztof"/>
    <s v="Florczyk Krzysztof"/>
    <x v="1"/>
    <s v="WA"/>
    <s v="Product VJZZH"/>
    <x v="5"/>
    <x v="10"/>
    <d v="2006-07-30T00:00:00"/>
    <x v="1"/>
    <s v="Ship to 61-B"/>
    <x v="1"/>
    <s v="Supplier BWGYE"/>
    <s v="UK"/>
    <x v="1"/>
    <n v="160"/>
  </r>
  <r>
    <n v="10261"/>
    <n v="35"/>
    <n v="14.4"/>
    <n v="20"/>
    <n v="0"/>
    <s v="Florczyk, Krzysztof"/>
    <s v="Florczyk Krzysztof"/>
    <x v="1"/>
    <s v="WA"/>
    <s v="Product NEVTJ"/>
    <x v="6"/>
    <x v="10"/>
    <d v="2006-07-30T00:00:00"/>
    <x v="1"/>
    <s v="Ship to 61-B"/>
    <x v="1"/>
    <s v="Supplier UHZRG"/>
    <s v="USA"/>
    <x v="1"/>
    <n v="288"/>
  </r>
  <r>
    <n v="10262"/>
    <n v="5"/>
    <n v="17"/>
    <n v="12"/>
    <n v="0.2"/>
    <s v="Moore, Michael"/>
    <s v="Moore Michael"/>
    <x v="6"/>
    <s v="WA"/>
    <s v="Product EPEIM"/>
    <x v="4"/>
    <x v="11"/>
    <d v="2006-07-25T00:00:00"/>
    <x v="3"/>
    <s v="Ship to 65-B"/>
    <x v="9"/>
    <s v="Supplier VHQZD"/>
    <s v="USA"/>
    <x v="1"/>
    <n v="163.20000000000002"/>
  </r>
  <r>
    <n v="10262"/>
    <n v="7"/>
    <n v="24"/>
    <n v="15"/>
    <n v="0"/>
    <s v="Moore, Michael"/>
    <s v="Moore Michael"/>
    <x v="6"/>
    <s v="WA"/>
    <s v="Product HMLNI"/>
    <x v="2"/>
    <x v="11"/>
    <d v="2006-07-25T00:00:00"/>
    <x v="3"/>
    <s v="Ship to 65-B"/>
    <x v="9"/>
    <s v="Supplier STUAZ"/>
    <s v="USA"/>
    <x v="1"/>
    <n v="360"/>
  </r>
  <r>
    <n v="10262"/>
    <n v="56"/>
    <n v="30.4"/>
    <n v="2"/>
    <n v="0"/>
    <s v="Moore, Michael"/>
    <s v="Moore Michael"/>
    <x v="6"/>
    <s v="WA"/>
    <s v="Product VKCMF"/>
    <x v="1"/>
    <x v="11"/>
    <d v="2006-07-25T00:00:00"/>
    <x v="3"/>
    <s v="Ship to 65-B"/>
    <x v="9"/>
    <s v="Supplier ZWZDM"/>
    <s v="Italy"/>
    <x v="1"/>
    <n v="60.8"/>
  </r>
  <r>
    <n v="10263"/>
    <n v="16"/>
    <n v="13.9"/>
    <n v="60"/>
    <n v="0.25"/>
    <s v="Kane, John"/>
    <s v="Kane John"/>
    <x v="4"/>
    <n v="0"/>
    <s v="Product PAFRH"/>
    <x v="5"/>
    <x v="12"/>
    <d v="2006-07-31T00:00:00"/>
    <x v="3"/>
    <s v="Destination FFXKT"/>
    <x v="6"/>
    <s v="Supplier GQRCV"/>
    <s v="Australia"/>
    <x v="2"/>
    <n v="625.5"/>
  </r>
  <r>
    <n v="10263"/>
    <n v="24"/>
    <n v="3.6"/>
    <n v="28"/>
    <n v="0"/>
    <s v="Kane, John"/>
    <s v="Kane John"/>
    <x v="4"/>
    <n v="0"/>
    <s v="Product QOGNU"/>
    <x v="6"/>
    <x v="12"/>
    <d v="2006-07-31T00:00:00"/>
    <x v="3"/>
    <s v="Destination FFXKT"/>
    <x v="6"/>
    <s v="Supplier UNAHG"/>
    <s v="Brazil"/>
    <x v="2"/>
    <n v="100.8"/>
  </r>
  <r>
    <n v="10263"/>
    <n v="30"/>
    <n v="20.7"/>
    <n v="60"/>
    <n v="0.25"/>
    <s v="Kane, John"/>
    <s v="Kane John"/>
    <x v="4"/>
    <n v="0"/>
    <s v="Product LYERX"/>
    <x v="3"/>
    <x v="12"/>
    <d v="2006-07-31T00:00:00"/>
    <x v="3"/>
    <s v="Destination FFXKT"/>
    <x v="6"/>
    <s v="Supplier TEGSC"/>
    <s v="Germany"/>
    <x v="2"/>
    <n v="931.5"/>
  </r>
  <r>
    <n v="10263"/>
    <n v="74"/>
    <n v="8"/>
    <n v="36"/>
    <n v="0.25"/>
    <s v="Kane, John"/>
    <s v="Kane John"/>
    <x v="4"/>
    <n v="0"/>
    <s v="Product BKAZJ"/>
    <x v="2"/>
    <x v="12"/>
    <d v="2006-07-31T00:00:00"/>
    <x v="3"/>
    <s v="Destination FFXKT"/>
    <x v="6"/>
    <s v="Supplier QOVFD"/>
    <s v="Japan"/>
    <x v="2"/>
    <n v="216"/>
  </r>
  <r>
    <n v="10264"/>
    <n v="2"/>
    <n v="15.2"/>
    <n v="35"/>
    <n v="0"/>
    <s v="San Juan, Patricia"/>
    <s v="San Juan Patricia"/>
    <x v="7"/>
    <n v="0"/>
    <s v="Product RECZE"/>
    <x v="6"/>
    <x v="13"/>
    <d v="2006-08-23T00:00:00"/>
    <x v="3"/>
    <s v="Destination KBSBN"/>
    <x v="10"/>
    <s v="Supplier SWRXU"/>
    <s v="UK"/>
    <x v="1"/>
    <n v="532"/>
  </r>
  <r>
    <n v="10264"/>
    <n v="41"/>
    <n v="7.7"/>
    <n v="25"/>
    <n v="0.15"/>
    <s v="San Juan, Patricia"/>
    <s v="San Juan Patricia"/>
    <x v="7"/>
    <n v="0"/>
    <s v="Product TTEEX"/>
    <x v="3"/>
    <x v="13"/>
    <d v="2006-08-23T00:00:00"/>
    <x v="3"/>
    <s v="Destination KBSBN"/>
    <x v="10"/>
    <s v="Supplier JDNUG"/>
    <s v="USA"/>
    <x v="1"/>
    <n v="163.625"/>
  </r>
  <r>
    <n v="10265"/>
    <n v="17"/>
    <n v="31.2"/>
    <n v="30"/>
    <n v="0"/>
    <s v="Bansal, Dushyant"/>
    <s v="Bansal Dushyant"/>
    <x v="8"/>
    <s v="WA"/>
    <s v="Product BLCAX"/>
    <x v="7"/>
    <x v="14"/>
    <d v="2006-08-12T00:00:00"/>
    <x v="2"/>
    <s v="Ship to 7-A"/>
    <x v="2"/>
    <s v="Supplier GQRCV"/>
    <s v="Australia"/>
    <x v="1"/>
    <n v="936"/>
  </r>
  <r>
    <n v="10265"/>
    <n v="70"/>
    <n v="12"/>
    <n v="20"/>
    <n v="0"/>
    <s v="Bansal, Dushyant"/>
    <s v="Bansal Dushyant"/>
    <x v="8"/>
    <s v="WA"/>
    <s v="Product TOONT"/>
    <x v="6"/>
    <x v="14"/>
    <d v="2006-08-12T00:00:00"/>
    <x v="2"/>
    <s v="Ship to 7-A"/>
    <x v="2"/>
    <s v="Supplier GQRCV"/>
    <s v="Australia"/>
    <x v="1"/>
    <n v="240"/>
  </r>
  <r>
    <n v="10266"/>
    <n v="12"/>
    <n v="30.4"/>
    <n v="12"/>
    <n v="0.05"/>
    <s v="Ludwig, Michael"/>
    <s v="Ludwig Michael"/>
    <x v="2"/>
    <s v="WA"/>
    <s v="Product OSFNS"/>
    <x v="0"/>
    <x v="15"/>
    <d v="2006-07-31T00:00:00"/>
    <x v="3"/>
    <s v="Ship to 87-B"/>
    <x v="11"/>
    <s v="Supplier EQPNC"/>
    <s v="Spain"/>
    <x v="1"/>
    <n v="346.55999999999995"/>
  </r>
  <r>
    <n v="10267"/>
    <n v="40"/>
    <n v="14.7"/>
    <n v="50"/>
    <n v="0"/>
    <s v="Carlson, Jason"/>
    <s v="Carlson Jason"/>
    <x v="1"/>
    <s v="WA"/>
    <s v="Product YZIXQ"/>
    <x v="3"/>
    <x v="16"/>
    <d v="2006-08-06T00:00:00"/>
    <x v="2"/>
    <s v="Destination VAPXU"/>
    <x v="8"/>
    <s v="Supplier JDNUG"/>
    <s v="USA"/>
    <x v="2"/>
    <n v="735"/>
  </r>
  <r>
    <n v="10267"/>
    <n v="59"/>
    <n v="44"/>
    <n v="70"/>
    <n v="0.15"/>
    <s v="Carlson, Jason"/>
    <s v="Carlson Jason"/>
    <x v="1"/>
    <s v="WA"/>
    <s v="Product UKXRI"/>
    <x v="0"/>
    <x v="16"/>
    <d v="2006-08-06T00:00:00"/>
    <x v="2"/>
    <s v="Destination VAPXU"/>
    <x v="8"/>
    <s v="Supplier OAVQT"/>
    <s v="France"/>
    <x v="2"/>
    <n v="2618"/>
  </r>
  <r>
    <n v="10267"/>
    <n v="76"/>
    <n v="14.4"/>
    <n v="15"/>
    <n v="0.15"/>
    <s v="Carlson, Jason"/>
    <s v="Carlson Jason"/>
    <x v="1"/>
    <s v="WA"/>
    <s v="Product JYGFE"/>
    <x v="6"/>
    <x v="16"/>
    <d v="2006-08-06T00:00:00"/>
    <x v="2"/>
    <s v="Destination VAPXU"/>
    <x v="8"/>
    <s v="Supplier ELCRN"/>
    <s v="Finland"/>
    <x v="2"/>
    <n v="183.6"/>
  </r>
  <r>
    <n v="10268"/>
    <n v="29"/>
    <n v="99"/>
    <n v="10"/>
    <n v="0"/>
    <s v="Sigurdarson, Hallur"/>
    <s v="Sigurdarson Hallur"/>
    <x v="6"/>
    <s v="WA"/>
    <s v="Product VJXYN"/>
    <x v="7"/>
    <x v="17"/>
    <d v="2006-08-02T00:00:00"/>
    <x v="3"/>
    <s v="Destination QJVQH"/>
    <x v="5"/>
    <s v="Supplier SVIYA"/>
    <s v="Germany"/>
    <x v="1"/>
    <n v="990"/>
  </r>
  <r>
    <n v="10268"/>
    <n v="72"/>
    <n v="27.8"/>
    <n v="4"/>
    <n v="0"/>
    <s v="Sigurdarson, Hallur"/>
    <s v="Sigurdarson Hallur"/>
    <x v="6"/>
    <s v="WA"/>
    <s v="Product GEEOO"/>
    <x v="0"/>
    <x v="17"/>
    <d v="2006-08-02T00:00:00"/>
    <x v="3"/>
    <s v="Destination QJVQH"/>
    <x v="5"/>
    <s v="Supplier KEREV"/>
    <s v="Italy"/>
    <x v="1"/>
    <n v="111.2"/>
  </r>
  <r>
    <n v="10269"/>
    <n v="33"/>
    <n v="2"/>
    <n v="60"/>
    <n v="0.05"/>
    <s v="Smith Jr., Ronaldo"/>
    <s v="Smith Jr. Ronaldo"/>
    <x v="3"/>
    <n v="0"/>
    <s v="Product ASTMN"/>
    <x v="0"/>
    <x v="18"/>
    <d v="2006-08-09T00:00:00"/>
    <x v="2"/>
    <s v="Ship to 89-B"/>
    <x v="9"/>
    <s v="Supplier NZLIF"/>
    <s v="Norway"/>
    <x v="1"/>
    <n v="114"/>
  </r>
  <r>
    <n v="10269"/>
    <n v="72"/>
    <n v="27.8"/>
    <n v="20"/>
    <n v="0.05"/>
    <s v="Smith Jr., Ronaldo"/>
    <s v="Smith Jr. Ronaldo"/>
    <x v="3"/>
    <n v="0"/>
    <s v="Product GEEOO"/>
    <x v="0"/>
    <x v="18"/>
    <d v="2006-08-09T00:00:00"/>
    <x v="2"/>
    <s v="Ship to 89-B"/>
    <x v="9"/>
    <s v="Supplier KEREV"/>
    <s v="Italy"/>
    <x v="1"/>
    <n v="528.19999999999993"/>
  </r>
  <r>
    <n v="10270"/>
    <n v="36"/>
    <n v="15.2"/>
    <n v="30"/>
    <n v="0"/>
    <s v="Ludwig, Michael"/>
    <s v="Ludwig Michael"/>
    <x v="5"/>
    <s v="WA"/>
    <s v="Product GMKIJ"/>
    <x v="3"/>
    <x v="19"/>
    <d v="2006-08-02T00:00:00"/>
    <x v="2"/>
    <s v="Ship to 87-B"/>
    <x v="11"/>
    <s v="Supplier QZGUF"/>
    <s v="Sweden"/>
    <x v="2"/>
    <n v="456"/>
  </r>
  <r>
    <n v="10270"/>
    <n v="43"/>
    <n v="36.799999999999997"/>
    <n v="25"/>
    <n v="0"/>
    <s v="Ludwig, Michael"/>
    <s v="Ludwig Michael"/>
    <x v="5"/>
    <s v="WA"/>
    <s v="Product ZZZHR"/>
    <x v="6"/>
    <x v="19"/>
    <d v="2006-08-02T00:00:00"/>
    <x v="2"/>
    <s v="Ship to 87-B"/>
    <x v="11"/>
    <s v="Supplier CIYNM"/>
    <s v="Singapore"/>
    <x v="2"/>
    <n v="919.99999999999989"/>
  </r>
  <r>
    <n v="10271"/>
    <n v="33"/>
    <n v="2"/>
    <n v="24"/>
    <n v="0"/>
    <s v="Wojciechowska, Agnieszka"/>
    <s v="Wojciechowska Agnieszka"/>
    <x v="7"/>
    <n v="0"/>
    <s v="Product ASTMN"/>
    <x v="0"/>
    <x v="19"/>
    <d v="2006-08-30T00:00:00"/>
    <x v="1"/>
    <s v="Ship to 75-C"/>
    <x v="9"/>
    <s v="Supplier NZLIF"/>
    <s v="Norway"/>
    <x v="1"/>
    <n v="48"/>
  </r>
  <r>
    <n v="10272"/>
    <n v="20"/>
    <n v="64.8"/>
    <n v="6"/>
    <n v="0"/>
    <s v="Moore, Michael"/>
    <s v="Moore Michael"/>
    <x v="7"/>
    <n v="0"/>
    <s v="Product QHFFP"/>
    <x v="5"/>
    <x v="20"/>
    <d v="2006-08-06T00:00:00"/>
    <x v="1"/>
    <s v="Ship to 65-A"/>
    <x v="9"/>
    <s v="Supplier BWGYE"/>
    <s v="UK"/>
    <x v="1"/>
    <n v="388.79999999999995"/>
  </r>
  <r>
    <n v="10272"/>
    <n v="31"/>
    <n v="10"/>
    <n v="40"/>
    <n v="0"/>
    <s v="Moore, Michael"/>
    <s v="Moore Michael"/>
    <x v="7"/>
    <n v="0"/>
    <s v="Product XWOXC"/>
    <x v="0"/>
    <x v="20"/>
    <d v="2006-08-06T00:00:00"/>
    <x v="1"/>
    <s v="Ship to 65-A"/>
    <x v="9"/>
    <s v="Supplier KEREV"/>
    <s v="Italy"/>
    <x v="1"/>
    <n v="400"/>
  </r>
  <r>
    <n v="10272"/>
    <n v="72"/>
    <n v="27.8"/>
    <n v="24"/>
    <n v="0"/>
    <s v="Moore, Michael"/>
    <s v="Moore Michael"/>
    <x v="7"/>
    <n v="0"/>
    <s v="Product GEEOO"/>
    <x v="0"/>
    <x v="20"/>
    <d v="2006-08-06T00:00:00"/>
    <x v="1"/>
    <s v="Ship to 65-A"/>
    <x v="9"/>
    <s v="Supplier KEREV"/>
    <s v="Italy"/>
    <x v="1"/>
    <n v="667.2"/>
  </r>
  <r>
    <n v="10273"/>
    <n v="10"/>
    <n v="24.8"/>
    <n v="24"/>
    <n v="0.05"/>
    <s v="Veronesi, Giorgio"/>
    <s v="Veronesi Giorgio"/>
    <x v="2"/>
    <s v="WA"/>
    <s v="Product YHXGE"/>
    <x v="3"/>
    <x v="21"/>
    <d v="2006-08-12T00:00:00"/>
    <x v="3"/>
    <s v="Ship to 63-A"/>
    <x v="8"/>
    <s v="Supplier QOVFD"/>
    <s v="Japan"/>
    <x v="1"/>
    <n v="565.44000000000005"/>
  </r>
  <r>
    <n v="10273"/>
    <n v="31"/>
    <n v="10"/>
    <n v="15"/>
    <n v="0.05"/>
    <s v="Veronesi, Giorgio"/>
    <s v="Veronesi Giorgio"/>
    <x v="2"/>
    <s v="WA"/>
    <s v="Product XWOXC"/>
    <x v="0"/>
    <x v="21"/>
    <d v="2006-08-12T00:00:00"/>
    <x v="3"/>
    <s v="Ship to 63-A"/>
    <x v="8"/>
    <s v="Supplier KEREV"/>
    <s v="Italy"/>
    <x v="1"/>
    <n v="142.5"/>
  </r>
  <r>
    <n v="10273"/>
    <n v="33"/>
    <n v="2"/>
    <n v="20"/>
    <n v="0"/>
    <s v="Veronesi, Giorgio"/>
    <s v="Veronesi Giorgio"/>
    <x v="2"/>
    <s v="WA"/>
    <s v="Product ASTMN"/>
    <x v="0"/>
    <x v="21"/>
    <d v="2006-08-12T00:00:00"/>
    <x v="3"/>
    <s v="Ship to 63-A"/>
    <x v="8"/>
    <s v="Supplier NZLIF"/>
    <s v="Norway"/>
    <x v="1"/>
    <n v="40"/>
  </r>
  <r>
    <n v="10273"/>
    <n v="40"/>
    <n v="14.7"/>
    <n v="60"/>
    <n v="0.05"/>
    <s v="Veronesi, Giorgio"/>
    <s v="Veronesi Giorgio"/>
    <x v="2"/>
    <s v="WA"/>
    <s v="Product YZIXQ"/>
    <x v="3"/>
    <x v="21"/>
    <d v="2006-08-12T00:00:00"/>
    <x v="3"/>
    <s v="Ship to 63-A"/>
    <x v="8"/>
    <s v="Supplier JDNUG"/>
    <s v="USA"/>
    <x v="1"/>
    <n v="837.9"/>
  </r>
  <r>
    <n v="10273"/>
    <n v="76"/>
    <n v="14.4"/>
    <n v="33"/>
    <n v="0.05"/>
    <s v="Veronesi, Giorgio"/>
    <s v="Veronesi Giorgio"/>
    <x v="2"/>
    <s v="WA"/>
    <s v="Product JYGFE"/>
    <x v="6"/>
    <x v="21"/>
    <d v="2006-08-12T00:00:00"/>
    <x v="3"/>
    <s v="Ship to 63-A"/>
    <x v="8"/>
    <s v="Supplier ELCRN"/>
    <s v="Finland"/>
    <x v="1"/>
    <n v="451.43999999999994"/>
  </r>
  <r>
    <n v="10274"/>
    <n v="71"/>
    <n v="17.2"/>
    <n v="20"/>
    <n v="0"/>
    <s v="McLin, Nkenge"/>
    <s v="McLin Nkenge"/>
    <x v="7"/>
    <n v="0"/>
    <s v="Product MYMOI"/>
    <x v="0"/>
    <x v="22"/>
    <d v="2006-08-16T00:00:00"/>
    <x v="2"/>
    <s v="Ship to 85-B"/>
    <x v="2"/>
    <s v="Supplier NZLIF"/>
    <s v="Norway"/>
    <x v="1"/>
    <n v="344"/>
  </r>
  <r>
    <n v="10274"/>
    <n v="72"/>
    <n v="27.8"/>
    <n v="7"/>
    <n v="0"/>
    <s v="McLin, Nkenge"/>
    <s v="McLin Nkenge"/>
    <x v="7"/>
    <n v="0"/>
    <s v="Product GEEOO"/>
    <x v="0"/>
    <x v="22"/>
    <d v="2006-08-16T00:00:00"/>
    <x v="2"/>
    <s v="Ship to 85-B"/>
    <x v="2"/>
    <s v="Supplier KEREV"/>
    <s v="Italy"/>
    <x v="1"/>
    <n v="194.6"/>
  </r>
  <r>
    <n v="10275"/>
    <n v="24"/>
    <n v="3.6"/>
    <n v="12"/>
    <n v="0.05"/>
    <s v="Duerr, Bernard"/>
    <s v="Duerr Bernard"/>
    <x v="5"/>
    <s v="WA"/>
    <s v="Product QOGNU"/>
    <x v="6"/>
    <x v="23"/>
    <d v="2006-08-09T00:00:00"/>
    <x v="2"/>
    <s v="Ship to 49-A"/>
    <x v="12"/>
    <s v="Supplier UNAHG"/>
    <s v="Brazil"/>
    <x v="1"/>
    <n v="41.04"/>
  </r>
  <r>
    <n v="10275"/>
    <n v="59"/>
    <n v="44"/>
    <n v="6"/>
    <n v="0.05"/>
    <s v="Duerr, Bernard"/>
    <s v="Duerr Bernard"/>
    <x v="5"/>
    <s v="WA"/>
    <s v="Product UKXRI"/>
    <x v="0"/>
    <x v="23"/>
    <d v="2006-08-09T00:00:00"/>
    <x v="2"/>
    <s v="Ship to 49-A"/>
    <x v="12"/>
    <s v="Supplier OAVQT"/>
    <s v="France"/>
    <x v="1"/>
    <n v="250.79999999999998"/>
  </r>
  <r>
    <n v="10276"/>
    <n v="10"/>
    <n v="24.8"/>
    <n v="15"/>
    <n v="0"/>
    <s v="Geschwandtner, Jens"/>
    <s v="Geschwandtner Jens"/>
    <x v="6"/>
    <s v="WA"/>
    <s v="Product YHXGE"/>
    <x v="3"/>
    <x v="24"/>
    <d v="2006-08-14T00:00:00"/>
    <x v="3"/>
    <s v="Ship to 80-C"/>
    <x v="7"/>
    <s v="Supplier QOVFD"/>
    <s v="Japan"/>
    <x v="1"/>
    <n v="372"/>
  </r>
  <r>
    <n v="10276"/>
    <n v="13"/>
    <n v="4.8"/>
    <n v="10"/>
    <n v="0"/>
    <s v="Geschwandtner, Jens"/>
    <s v="Geschwandtner Jens"/>
    <x v="6"/>
    <s v="WA"/>
    <s v="Product POXFU"/>
    <x v="3"/>
    <x v="24"/>
    <d v="2006-08-14T00:00:00"/>
    <x v="3"/>
    <s v="Ship to 80-C"/>
    <x v="7"/>
    <s v="Supplier QWUSF"/>
    <s v="Japan"/>
    <x v="1"/>
    <n v="48"/>
  </r>
  <r>
    <n v="10277"/>
    <n v="28"/>
    <n v="36.4"/>
    <n v="20"/>
    <n v="0"/>
    <s v="Dupont-Roc, Patrice"/>
    <s v="Dupont-Roc Patrice"/>
    <x v="8"/>
    <s v="WA"/>
    <s v="Product OFBNT"/>
    <x v="2"/>
    <x v="25"/>
    <d v="2006-08-13T00:00:00"/>
    <x v="3"/>
    <s v="Ship to 52-A"/>
    <x v="8"/>
    <s v="Supplier SVIYA"/>
    <s v="Germany"/>
    <x v="2"/>
    <n v="728"/>
  </r>
  <r>
    <n v="10277"/>
    <n v="62"/>
    <n v="39.4"/>
    <n v="12"/>
    <n v="0"/>
    <s v="Dupont-Roc, Patrice"/>
    <s v="Dupont-Roc Patrice"/>
    <x v="8"/>
    <s v="WA"/>
    <s v="Product WUXYK"/>
    <x v="5"/>
    <x v="25"/>
    <d v="2006-08-13T00:00:00"/>
    <x v="3"/>
    <s v="Ship to 52-A"/>
    <x v="8"/>
    <s v="Supplier OGLRK"/>
    <s v="Canada"/>
    <x v="2"/>
    <n v="472.79999999999995"/>
  </r>
  <r>
    <n v="10278"/>
    <n v="44"/>
    <n v="15.5"/>
    <n v="16"/>
    <n v="0"/>
    <s v="Higginbotham, Tom"/>
    <s v="Higginbotham Tom"/>
    <x v="6"/>
    <s v="WA"/>
    <s v="Product VJIEO"/>
    <x v="4"/>
    <x v="26"/>
    <d v="2006-08-16T00:00:00"/>
    <x v="1"/>
    <s v="Ship to 5-C"/>
    <x v="10"/>
    <s v="Supplier CIYNM"/>
    <s v="Singapore"/>
    <x v="1"/>
    <n v="248"/>
  </r>
  <r>
    <n v="10278"/>
    <n v="59"/>
    <n v="44"/>
    <n v="15"/>
    <n v="0"/>
    <s v="Higginbotham, Tom"/>
    <s v="Higginbotham Tom"/>
    <x v="6"/>
    <s v="WA"/>
    <s v="Product UKXRI"/>
    <x v="0"/>
    <x v="26"/>
    <d v="2006-08-16T00:00:00"/>
    <x v="1"/>
    <s v="Ship to 5-C"/>
    <x v="10"/>
    <s v="Supplier OAVQT"/>
    <s v="France"/>
    <x v="1"/>
    <n v="660"/>
  </r>
  <r>
    <n v="10278"/>
    <n v="63"/>
    <n v="35.1"/>
    <n v="8"/>
    <n v="0"/>
    <s v="Higginbotham, Tom"/>
    <s v="Higginbotham Tom"/>
    <x v="6"/>
    <s v="WA"/>
    <s v="Product ICKNK"/>
    <x v="4"/>
    <x v="26"/>
    <d v="2006-08-16T00:00:00"/>
    <x v="1"/>
    <s v="Ship to 5-C"/>
    <x v="10"/>
    <s v="Supplier GQRCV"/>
    <s v="Australia"/>
    <x v="1"/>
    <n v="280.8"/>
  </r>
  <r>
    <n v="10278"/>
    <n v="73"/>
    <n v="12"/>
    <n v="25"/>
    <n v="0"/>
    <s v="Higginbotham, Tom"/>
    <s v="Higginbotham Tom"/>
    <x v="6"/>
    <s v="WA"/>
    <s v="Product WEUJZ"/>
    <x v="3"/>
    <x v="26"/>
    <d v="2006-08-16T00:00:00"/>
    <x v="1"/>
    <s v="Ship to 5-C"/>
    <x v="10"/>
    <s v="Supplier QZGUF"/>
    <s v="Sweden"/>
    <x v="1"/>
    <n v="300"/>
  </r>
  <r>
    <n v="10279"/>
    <n v="17"/>
    <n v="31.2"/>
    <n v="15"/>
    <n v="0.25"/>
    <s v="Louverdis, George"/>
    <s v="Louverdis George"/>
    <x v="6"/>
    <s v="WA"/>
    <s v="Product BLCAX"/>
    <x v="7"/>
    <x v="27"/>
    <d v="2006-08-16T00:00:00"/>
    <x v="1"/>
    <s v="Ship to 44-A"/>
    <x v="8"/>
    <s v="Supplier GQRCV"/>
    <s v="Australia"/>
    <x v="1"/>
    <n v="351"/>
  </r>
  <r>
    <n v="10280"/>
    <n v="24"/>
    <n v="3.6"/>
    <n v="12"/>
    <n v="0"/>
    <s v="Higginbotham, Tom"/>
    <s v="Higginbotham Tom"/>
    <x v="8"/>
    <s v="WA"/>
    <s v="Product QOGNU"/>
    <x v="6"/>
    <x v="28"/>
    <d v="2006-09-12T00:00:00"/>
    <x v="2"/>
    <s v="Ship to 5-B"/>
    <x v="10"/>
    <s v="Supplier UNAHG"/>
    <s v="Brazil"/>
    <x v="1"/>
    <n v="43.2"/>
  </r>
  <r>
    <n v="10280"/>
    <n v="55"/>
    <n v="19.2"/>
    <n v="20"/>
    <n v="0"/>
    <s v="Higginbotham, Tom"/>
    <s v="Higginbotham Tom"/>
    <x v="8"/>
    <s v="WA"/>
    <s v="Product YYWRT"/>
    <x v="7"/>
    <x v="28"/>
    <d v="2006-09-12T00:00:00"/>
    <x v="2"/>
    <s v="Ship to 5-B"/>
    <x v="10"/>
    <s v="Supplier ERVYZ"/>
    <s v="Canada"/>
    <x v="1"/>
    <n v="384"/>
  </r>
  <r>
    <n v="10280"/>
    <n v="75"/>
    <n v="6.2"/>
    <n v="30"/>
    <n v="0"/>
    <s v="Higginbotham, Tom"/>
    <s v="Higginbotham Tom"/>
    <x v="8"/>
    <s v="WA"/>
    <s v="Product BWRLG"/>
    <x v="6"/>
    <x v="28"/>
    <d v="2006-09-12T00:00:00"/>
    <x v="2"/>
    <s v="Ship to 5-B"/>
    <x v="10"/>
    <s v="Supplier SVIYA"/>
    <s v="Germany"/>
    <x v="1"/>
    <n v="186"/>
  </r>
  <r>
    <n v="10281"/>
    <n v="19"/>
    <n v="7.3"/>
    <n v="1"/>
    <n v="0"/>
    <s v="Watters, Jason M."/>
    <s v="Watters Jason M."/>
    <x v="1"/>
    <s v="WA"/>
    <s v="Product XKXDO"/>
    <x v="5"/>
    <x v="28"/>
    <d v="2006-08-21T00:00:00"/>
    <x v="2"/>
    <s v="Ship to 69-A"/>
    <x v="13"/>
    <s v="Supplier BWGYE"/>
    <s v="UK"/>
    <x v="1"/>
    <n v="7.3"/>
  </r>
  <r>
    <n v="10281"/>
    <n v="24"/>
    <n v="3.6"/>
    <n v="6"/>
    <n v="0"/>
    <s v="Watters, Jason M."/>
    <s v="Watters Jason M."/>
    <x v="1"/>
    <s v="WA"/>
    <s v="Product QOGNU"/>
    <x v="6"/>
    <x v="28"/>
    <d v="2006-08-21T00:00:00"/>
    <x v="2"/>
    <s v="Ship to 69-A"/>
    <x v="13"/>
    <s v="Supplier UNAHG"/>
    <s v="Brazil"/>
    <x v="1"/>
    <n v="21.6"/>
  </r>
  <r>
    <n v="10281"/>
    <n v="35"/>
    <n v="14.4"/>
    <n v="4"/>
    <n v="0"/>
    <s v="Watters, Jason M."/>
    <s v="Watters Jason M."/>
    <x v="1"/>
    <s v="WA"/>
    <s v="Product NEVTJ"/>
    <x v="6"/>
    <x v="28"/>
    <d v="2006-08-21T00:00:00"/>
    <x v="2"/>
    <s v="Ship to 69-A"/>
    <x v="13"/>
    <s v="Supplier UHZRG"/>
    <s v="USA"/>
    <x v="1"/>
    <n v="57.6"/>
  </r>
  <r>
    <n v="10282"/>
    <n v="30"/>
    <n v="20.7"/>
    <n v="6"/>
    <n v="0"/>
    <s v="Watters, Jason M."/>
    <s v="Watters Jason M."/>
    <x v="1"/>
    <s v="WA"/>
    <s v="Product LYERX"/>
    <x v="3"/>
    <x v="29"/>
    <d v="2006-08-21T00:00:00"/>
    <x v="2"/>
    <s v="Ship to 69-B"/>
    <x v="13"/>
    <s v="Supplier TEGSC"/>
    <s v="Germany"/>
    <x v="1"/>
    <n v="124.19999999999999"/>
  </r>
  <r>
    <n v="10282"/>
    <n v="57"/>
    <n v="15.6"/>
    <n v="2"/>
    <n v="0"/>
    <s v="Watters, Jason M."/>
    <s v="Watters Jason M."/>
    <x v="1"/>
    <s v="WA"/>
    <s v="Product OVLQI"/>
    <x v="1"/>
    <x v="29"/>
    <d v="2006-08-21T00:00:00"/>
    <x v="2"/>
    <s v="Ship to 69-B"/>
    <x v="13"/>
    <s v="Supplier ZWZDM"/>
    <s v="Italy"/>
    <x v="1"/>
    <n v="31.2"/>
  </r>
  <r>
    <n v="10283"/>
    <n v="15"/>
    <n v="12.4"/>
    <n v="20"/>
    <n v="0"/>
    <s v="Dressler, Marlies"/>
    <s v="Dressler Marlies"/>
    <x v="2"/>
    <s v="WA"/>
    <s v="Product KSZOI"/>
    <x v="4"/>
    <x v="30"/>
    <d v="2006-08-23T00:00:00"/>
    <x v="3"/>
    <s v="Ship to 46-A"/>
    <x v="5"/>
    <s v="Supplier QWUSF"/>
    <s v="Japan"/>
    <x v="1"/>
    <n v="248"/>
  </r>
  <r>
    <n v="10283"/>
    <n v="19"/>
    <n v="7.3"/>
    <n v="18"/>
    <n v="0"/>
    <s v="Dressler, Marlies"/>
    <s v="Dressler Marlies"/>
    <x v="2"/>
    <s v="WA"/>
    <s v="Product XKXDO"/>
    <x v="5"/>
    <x v="30"/>
    <d v="2006-08-23T00:00:00"/>
    <x v="3"/>
    <s v="Ship to 46-A"/>
    <x v="5"/>
    <s v="Supplier BWGYE"/>
    <s v="UK"/>
    <x v="1"/>
    <n v="131.4"/>
  </r>
  <r>
    <n v="10283"/>
    <n v="60"/>
    <n v="27.2"/>
    <n v="35"/>
    <n v="0"/>
    <s v="Dressler, Marlies"/>
    <s v="Dressler Marlies"/>
    <x v="2"/>
    <s v="WA"/>
    <s v="Product WHBYK"/>
    <x v="0"/>
    <x v="30"/>
    <d v="2006-08-23T00:00:00"/>
    <x v="3"/>
    <s v="Ship to 46-A"/>
    <x v="5"/>
    <s v="Supplier OAVQT"/>
    <s v="France"/>
    <x v="1"/>
    <n v="952"/>
  </r>
  <r>
    <n v="10283"/>
    <n v="72"/>
    <n v="27.8"/>
    <n v="3"/>
    <n v="0"/>
    <s v="Dressler, Marlies"/>
    <s v="Dressler Marlies"/>
    <x v="2"/>
    <s v="WA"/>
    <s v="Product GEEOO"/>
    <x v="0"/>
    <x v="30"/>
    <d v="2006-08-23T00:00:00"/>
    <x v="3"/>
    <s v="Ship to 46-A"/>
    <x v="5"/>
    <s v="Supplier KEREV"/>
    <s v="Italy"/>
    <x v="1"/>
    <n v="83.4"/>
  </r>
  <r>
    <n v="10284"/>
    <n v="27"/>
    <n v="35.1"/>
    <n v="15"/>
    <n v="0.25"/>
    <s v="Louverdis, George"/>
    <s v="Louverdis George"/>
    <x v="1"/>
    <s v="WA"/>
    <s v="Product SMIOH"/>
    <x v="5"/>
    <x v="31"/>
    <d v="2006-08-27T00:00:00"/>
    <x v="2"/>
    <s v="Ship to 44-A"/>
    <x v="8"/>
    <s v="Supplier ZPYVS"/>
    <s v="Germany"/>
    <x v="1"/>
    <n v="394.875"/>
  </r>
  <r>
    <n v="10284"/>
    <n v="44"/>
    <n v="15.5"/>
    <n v="21"/>
    <n v="0"/>
    <s v="Louverdis, George"/>
    <s v="Louverdis George"/>
    <x v="1"/>
    <s v="WA"/>
    <s v="Product VJIEO"/>
    <x v="4"/>
    <x v="31"/>
    <d v="2006-08-27T00:00:00"/>
    <x v="2"/>
    <s v="Ship to 44-A"/>
    <x v="8"/>
    <s v="Supplier CIYNM"/>
    <s v="Singapore"/>
    <x v="1"/>
    <n v="325.5"/>
  </r>
  <r>
    <n v="10284"/>
    <n v="60"/>
    <n v="27.2"/>
    <n v="20"/>
    <n v="0.25"/>
    <s v="Louverdis, George"/>
    <s v="Louverdis George"/>
    <x v="1"/>
    <s v="WA"/>
    <s v="Product WHBYK"/>
    <x v="0"/>
    <x v="31"/>
    <d v="2006-08-27T00:00:00"/>
    <x v="2"/>
    <s v="Ship to 44-A"/>
    <x v="8"/>
    <s v="Supplier OAVQT"/>
    <s v="France"/>
    <x v="1"/>
    <n v="408"/>
  </r>
  <r>
    <n v="10284"/>
    <n v="67"/>
    <n v="11.2"/>
    <n v="5"/>
    <n v="0.25"/>
    <s v="Louverdis, George"/>
    <s v="Louverdis George"/>
    <x v="1"/>
    <s v="WA"/>
    <s v="Product XLXQF"/>
    <x v="6"/>
    <x v="31"/>
    <d v="2006-08-27T00:00:00"/>
    <x v="2"/>
    <s v="Ship to 44-A"/>
    <x v="8"/>
    <s v="Supplier UHZRG"/>
    <s v="USA"/>
    <x v="1"/>
    <n v="42"/>
  </r>
  <r>
    <n v="10285"/>
    <n v="1"/>
    <n v="14.4"/>
    <n v="45"/>
    <n v="0.2"/>
    <s v="Veronesi, Giorgio"/>
    <s v="Veronesi Giorgio"/>
    <x v="5"/>
    <s v="WA"/>
    <s v="Product HHYDP"/>
    <x v="6"/>
    <x v="32"/>
    <d v="2006-08-26T00:00:00"/>
    <x v="1"/>
    <s v="Ship to 63-B"/>
    <x v="8"/>
    <s v="Supplier SWRXU"/>
    <s v="UK"/>
    <x v="1"/>
    <n v="518.4"/>
  </r>
  <r>
    <n v="10285"/>
    <n v="40"/>
    <n v="14.7"/>
    <n v="40"/>
    <n v="0.2"/>
    <s v="Veronesi, Giorgio"/>
    <s v="Veronesi Giorgio"/>
    <x v="5"/>
    <s v="WA"/>
    <s v="Product YZIXQ"/>
    <x v="3"/>
    <x v="32"/>
    <d v="2006-08-26T00:00:00"/>
    <x v="1"/>
    <s v="Ship to 63-B"/>
    <x v="8"/>
    <s v="Supplier JDNUG"/>
    <s v="USA"/>
    <x v="1"/>
    <n v="470.40000000000003"/>
  </r>
  <r>
    <n v="10285"/>
    <n v="53"/>
    <n v="26.2"/>
    <n v="36"/>
    <n v="0.2"/>
    <s v="Veronesi, Giorgio"/>
    <s v="Veronesi Giorgio"/>
    <x v="5"/>
    <s v="WA"/>
    <s v="Product BKGEA"/>
    <x v="7"/>
    <x v="32"/>
    <d v="2006-08-26T00:00:00"/>
    <x v="1"/>
    <s v="Ship to 63-B"/>
    <x v="8"/>
    <s v="Supplier JNNES"/>
    <s v="Australia"/>
    <x v="1"/>
    <n v="754.56"/>
  </r>
  <r>
    <n v="10286"/>
    <n v="35"/>
    <n v="14.4"/>
    <n v="100"/>
    <n v="0"/>
    <s v="Veronesi, Giorgio"/>
    <s v="Veronesi Giorgio"/>
    <x v="6"/>
    <s v="WA"/>
    <s v="Product NEVTJ"/>
    <x v="6"/>
    <x v="33"/>
    <d v="2006-08-30T00:00:00"/>
    <x v="3"/>
    <s v="Ship to 63-B"/>
    <x v="8"/>
    <s v="Supplier UHZRG"/>
    <s v="USA"/>
    <x v="2"/>
    <n v="1440"/>
  </r>
  <r>
    <n v="10286"/>
    <n v="62"/>
    <n v="39.4"/>
    <n v="40"/>
    <n v="0"/>
    <s v="Veronesi, Giorgio"/>
    <s v="Veronesi Giorgio"/>
    <x v="6"/>
    <s v="WA"/>
    <s v="Product WUXYK"/>
    <x v="5"/>
    <x v="33"/>
    <d v="2006-08-30T00:00:00"/>
    <x v="3"/>
    <s v="Ship to 63-B"/>
    <x v="8"/>
    <s v="Supplier OGLRK"/>
    <s v="Canada"/>
    <x v="2"/>
    <n v="1576"/>
  </r>
  <r>
    <n v="10287"/>
    <n v="16"/>
    <n v="13.9"/>
    <n v="40"/>
    <n v="0.15"/>
    <s v="Garden, Euan"/>
    <s v="Garden Euan"/>
    <x v="6"/>
    <s v="WA"/>
    <s v="Product PAFRH"/>
    <x v="5"/>
    <x v="34"/>
    <d v="2006-08-28T00:00:00"/>
    <x v="3"/>
    <s v="Ship to 67-A"/>
    <x v="1"/>
    <s v="Supplier GQRCV"/>
    <s v="Australia"/>
    <x v="1"/>
    <n v="472.59999999999997"/>
  </r>
  <r>
    <n v="10287"/>
    <n v="34"/>
    <n v="11.2"/>
    <n v="20"/>
    <n v="0"/>
    <s v="Garden, Euan"/>
    <s v="Garden Euan"/>
    <x v="6"/>
    <s v="WA"/>
    <s v="Product SWNJY"/>
    <x v="6"/>
    <x v="34"/>
    <d v="2006-08-28T00:00:00"/>
    <x v="3"/>
    <s v="Ship to 67-A"/>
    <x v="1"/>
    <s v="Supplier UHZRG"/>
    <s v="USA"/>
    <x v="1"/>
    <n v="224"/>
  </r>
  <r>
    <n v="10287"/>
    <n v="46"/>
    <n v="9.6"/>
    <n v="15"/>
    <n v="0.15"/>
    <s v="Garden, Euan"/>
    <s v="Garden Euan"/>
    <x v="6"/>
    <s v="WA"/>
    <s v="Product CBRRL"/>
    <x v="3"/>
    <x v="34"/>
    <d v="2006-08-28T00:00:00"/>
    <x v="3"/>
    <s v="Ship to 67-A"/>
    <x v="1"/>
    <s v="Supplier XOXZA"/>
    <s v="Denmark"/>
    <x v="1"/>
    <n v="122.39999999999999"/>
  </r>
  <r>
    <n v="10288"/>
    <n v="54"/>
    <n v="5.9"/>
    <n v="10"/>
    <n v="0.1"/>
    <s v="Voss, Florian"/>
    <s v="Voss Florian"/>
    <x v="1"/>
    <s v="WA"/>
    <s v="Product QAQRL"/>
    <x v="7"/>
    <x v="35"/>
    <d v="2006-09-03T00:00:00"/>
    <x v="2"/>
    <s v="Ship to 66-C"/>
    <x v="12"/>
    <s v="Supplier ERVYZ"/>
    <s v="Canada"/>
    <x v="1"/>
    <n v="53.1"/>
  </r>
  <r>
    <n v="10288"/>
    <n v="68"/>
    <n v="10"/>
    <n v="3"/>
    <n v="0.1"/>
    <s v="Voss, Florian"/>
    <s v="Voss Florian"/>
    <x v="1"/>
    <s v="WA"/>
    <s v="Product TBTBL"/>
    <x v="5"/>
    <x v="35"/>
    <d v="2006-09-03T00:00:00"/>
    <x v="2"/>
    <s v="Ship to 66-C"/>
    <x v="12"/>
    <s v="Supplier BWGYE"/>
    <s v="UK"/>
    <x v="1"/>
    <n v="27"/>
  </r>
  <r>
    <n v="10289"/>
    <n v="3"/>
    <n v="8"/>
    <n v="30"/>
    <n v="0"/>
    <s v="Jaffe, David"/>
    <s v="Jaffe David"/>
    <x v="9"/>
    <n v="0"/>
    <s v="Product IMEHJ"/>
    <x v="4"/>
    <x v="36"/>
    <d v="2006-08-28T00:00:00"/>
    <x v="3"/>
    <s v="Destination DLEUN"/>
    <x v="14"/>
    <s v="Supplier SWRXU"/>
    <s v="UK"/>
    <x v="1"/>
    <n v="240"/>
  </r>
  <r>
    <n v="10289"/>
    <n v="64"/>
    <n v="26.6"/>
    <n v="9"/>
    <n v="0"/>
    <s v="Jaffe, David"/>
    <s v="Jaffe David"/>
    <x v="9"/>
    <n v="0"/>
    <s v="Product HCQDE"/>
    <x v="1"/>
    <x v="36"/>
    <d v="2006-08-28T00:00:00"/>
    <x v="3"/>
    <s v="Destination DLEUN"/>
    <x v="14"/>
    <s v="Supplier SVIYA"/>
    <s v="Germany"/>
    <x v="1"/>
    <n v="239.4"/>
  </r>
  <r>
    <n v="10290"/>
    <n v="5"/>
    <n v="17"/>
    <n v="20"/>
    <n v="0"/>
    <s v="Richardson, Shawn"/>
    <s v="Richardson Shawn"/>
    <x v="6"/>
    <s v="WA"/>
    <s v="Product EPEIM"/>
    <x v="4"/>
    <x v="37"/>
    <d v="2006-09-03T00:00:00"/>
    <x v="2"/>
    <s v="Destination HQZHO"/>
    <x v="1"/>
    <s v="Supplier VHQZD"/>
    <s v="USA"/>
    <x v="1"/>
    <n v="340"/>
  </r>
  <r>
    <n v="10290"/>
    <n v="29"/>
    <n v="99"/>
    <n v="15"/>
    <n v="0"/>
    <s v="Richardson, Shawn"/>
    <s v="Richardson Shawn"/>
    <x v="6"/>
    <s v="WA"/>
    <s v="Product VJXYN"/>
    <x v="7"/>
    <x v="37"/>
    <d v="2006-09-03T00:00:00"/>
    <x v="2"/>
    <s v="Destination HQZHO"/>
    <x v="1"/>
    <s v="Supplier SVIYA"/>
    <s v="Germany"/>
    <x v="1"/>
    <n v="1485"/>
  </r>
  <r>
    <n v="10290"/>
    <n v="49"/>
    <n v="16"/>
    <n v="15"/>
    <n v="0"/>
    <s v="Richardson, Shawn"/>
    <s v="Richardson Shawn"/>
    <x v="6"/>
    <s v="WA"/>
    <s v="Product FPYPN"/>
    <x v="5"/>
    <x v="37"/>
    <d v="2006-09-03T00:00:00"/>
    <x v="2"/>
    <s v="Destination HQZHO"/>
    <x v="1"/>
    <s v="Supplier ELCRN"/>
    <s v="Finland"/>
    <x v="1"/>
    <n v="240"/>
  </r>
  <r>
    <n v="10290"/>
    <n v="77"/>
    <n v="10.4"/>
    <n v="10"/>
    <n v="0"/>
    <s v="Richardson, Shawn"/>
    <s v="Richardson Shawn"/>
    <x v="6"/>
    <s v="WA"/>
    <s v="Product LUNZZ"/>
    <x v="4"/>
    <x v="37"/>
    <d v="2006-09-03T00:00:00"/>
    <x v="2"/>
    <s v="Destination HQZHO"/>
    <x v="1"/>
    <s v="Supplier SVIYA"/>
    <s v="Germany"/>
    <x v="1"/>
    <n v="104"/>
  </r>
  <r>
    <n v="10291"/>
    <n v="13"/>
    <n v="4.8"/>
    <n v="20"/>
    <n v="0.1"/>
    <s v="Florczyk, Krzysztof"/>
    <s v="Florczyk Krzysztof"/>
    <x v="7"/>
    <n v="0"/>
    <s v="Product POXFU"/>
    <x v="3"/>
    <x v="37"/>
    <d v="2006-09-04T00:00:00"/>
    <x v="1"/>
    <s v="Ship to 61-A"/>
    <x v="1"/>
    <s v="Supplier QWUSF"/>
    <s v="Japan"/>
    <x v="1"/>
    <n v="86.4"/>
  </r>
  <r>
    <n v="10291"/>
    <n v="44"/>
    <n v="15.5"/>
    <n v="24"/>
    <n v="0.1"/>
    <s v="Florczyk, Krzysztof"/>
    <s v="Florczyk Krzysztof"/>
    <x v="7"/>
    <n v="0"/>
    <s v="Product VJIEO"/>
    <x v="4"/>
    <x v="37"/>
    <d v="2006-09-04T00:00:00"/>
    <x v="1"/>
    <s v="Ship to 61-A"/>
    <x v="1"/>
    <s v="Supplier CIYNM"/>
    <s v="Singapore"/>
    <x v="1"/>
    <n v="334.8"/>
  </r>
  <r>
    <n v="10291"/>
    <n v="51"/>
    <n v="42.4"/>
    <n v="2"/>
    <n v="0.1"/>
    <s v="Florczyk, Krzysztof"/>
    <s v="Florczyk Krzysztof"/>
    <x v="7"/>
    <n v="0"/>
    <s v="Product APITJ"/>
    <x v="2"/>
    <x v="37"/>
    <d v="2006-09-04T00:00:00"/>
    <x v="1"/>
    <s v="Ship to 61-A"/>
    <x v="1"/>
    <s v="Supplier JNNES"/>
    <s v="Australia"/>
    <x v="1"/>
    <n v="76.319999999999993"/>
  </r>
  <r>
    <n v="10292"/>
    <n v="20"/>
    <n v="64.8"/>
    <n v="20"/>
    <n v="0"/>
    <s v="Nagel, Jean-Philippe"/>
    <s v="Nagel Jean-Philippe"/>
    <x v="5"/>
    <s v="WA"/>
    <s v="Product QHFFP"/>
    <x v="5"/>
    <x v="38"/>
    <d v="2006-09-02T00:00:00"/>
    <x v="1"/>
    <s v="Ship to 81-A"/>
    <x v="1"/>
    <s v="Supplier BWGYE"/>
    <s v="UK"/>
    <x v="1"/>
    <n v="1296"/>
  </r>
  <r>
    <n v="10293"/>
    <n v="18"/>
    <n v="50"/>
    <n v="12"/>
    <n v="0"/>
    <s v="Geschwandtner, Jens"/>
    <s v="Geschwandtner Jens"/>
    <x v="5"/>
    <s v="WA"/>
    <s v="Product CKEDC"/>
    <x v="3"/>
    <x v="39"/>
    <d v="2006-09-11T00:00:00"/>
    <x v="3"/>
    <s v="Ship to 80-B"/>
    <x v="7"/>
    <s v="Supplier GQRCV"/>
    <s v="Australia"/>
    <x v="1"/>
    <n v="600"/>
  </r>
  <r>
    <n v="10293"/>
    <n v="24"/>
    <n v="3.6"/>
    <n v="10"/>
    <n v="0"/>
    <s v="Geschwandtner, Jens"/>
    <s v="Geschwandtner Jens"/>
    <x v="5"/>
    <s v="WA"/>
    <s v="Product QOGNU"/>
    <x v="6"/>
    <x v="39"/>
    <d v="2006-09-11T00:00:00"/>
    <x v="3"/>
    <s v="Ship to 80-B"/>
    <x v="7"/>
    <s v="Supplier UNAHG"/>
    <s v="Brazil"/>
    <x v="1"/>
    <n v="36"/>
  </r>
  <r>
    <n v="10293"/>
    <n v="63"/>
    <n v="35.1"/>
    <n v="5"/>
    <n v="0"/>
    <s v="Geschwandtner, Jens"/>
    <s v="Geschwandtner Jens"/>
    <x v="5"/>
    <s v="WA"/>
    <s v="Product ICKNK"/>
    <x v="4"/>
    <x v="39"/>
    <d v="2006-09-11T00:00:00"/>
    <x v="3"/>
    <s v="Ship to 80-B"/>
    <x v="7"/>
    <s v="Supplier GQRCV"/>
    <s v="Australia"/>
    <x v="1"/>
    <n v="175.5"/>
  </r>
  <r>
    <n v="10293"/>
    <n v="75"/>
    <n v="6.2"/>
    <n v="6"/>
    <n v="0"/>
    <s v="Geschwandtner, Jens"/>
    <s v="Geschwandtner Jens"/>
    <x v="5"/>
    <s v="WA"/>
    <s v="Product BWRLG"/>
    <x v="6"/>
    <x v="39"/>
    <d v="2006-09-11T00:00:00"/>
    <x v="3"/>
    <s v="Ship to 80-B"/>
    <x v="7"/>
    <s v="Supplier SVIYA"/>
    <s v="Germany"/>
    <x v="1"/>
    <n v="37.200000000000003"/>
  </r>
  <r>
    <n v="10294"/>
    <n v="1"/>
    <n v="14.4"/>
    <n v="18"/>
    <n v="0"/>
    <s v="Moore, Michael"/>
    <s v="Moore Michael"/>
    <x v="1"/>
    <s v="WA"/>
    <s v="Product HHYDP"/>
    <x v="6"/>
    <x v="40"/>
    <d v="2006-09-05T00:00:00"/>
    <x v="1"/>
    <s v="Ship to 65-A"/>
    <x v="9"/>
    <s v="Supplier SWRXU"/>
    <s v="UK"/>
    <x v="2"/>
    <n v="259.2"/>
  </r>
  <r>
    <n v="10294"/>
    <n v="17"/>
    <n v="31.2"/>
    <n v="15"/>
    <n v="0"/>
    <s v="Moore, Michael"/>
    <s v="Moore Michael"/>
    <x v="1"/>
    <s v="WA"/>
    <s v="Product BLCAX"/>
    <x v="7"/>
    <x v="40"/>
    <d v="2006-09-05T00:00:00"/>
    <x v="1"/>
    <s v="Ship to 65-A"/>
    <x v="9"/>
    <s v="Supplier GQRCV"/>
    <s v="Australia"/>
    <x v="2"/>
    <n v="468"/>
  </r>
  <r>
    <n v="10294"/>
    <n v="43"/>
    <n v="36.799999999999997"/>
    <n v="15"/>
    <n v="0"/>
    <s v="Moore, Michael"/>
    <s v="Moore Michael"/>
    <x v="1"/>
    <s v="WA"/>
    <s v="Product ZZZHR"/>
    <x v="6"/>
    <x v="40"/>
    <d v="2006-09-05T00:00:00"/>
    <x v="1"/>
    <s v="Ship to 65-A"/>
    <x v="9"/>
    <s v="Supplier CIYNM"/>
    <s v="Singapore"/>
    <x v="2"/>
    <n v="552"/>
  </r>
  <r>
    <n v="10294"/>
    <n v="60"/>
    <n v="27.2"/>
    <n v="21"/>
    <n v="0"/>
    <s v="Moore, Michael"/>
    <s v="Moore Michael"/>
    <x v="1"/>
    <s v="WA"/>
    <s v="Product WHBYK"/>
    <x v="0"/>
    <x v="40"/>
    <d v="2006-09-05T00:00:00"/>
    <x v="1"/>
    <s v="Ship to 65-A"/>
    <x v="9"/>
    <s v="Supplier OAVQT"/>
    <s v="France"/>
    <x v="2"/>
    <n v="571.19999999999993"/>
  </r>
  <r>
    <n v="10294"/>
    <n v="75"/>
    <n v="6.2"/>
    <n v="6"/>
    <n v="0"/>
    <s v="Moore, Michael"/>
    <s v="Moore Michael"/>
    <x v="1"/>
    <s v="WA"/>
    <s v="Product BWRLG"/>
    <x v="6"/>
    <x v="40"/>
    <d v="2006-09-05T00:00:00"/>
    <x v="1"/>
    <s v="Ship to 65-A"/>
    <x v="9"/>
    <s v="Supplier SVIYA"/>
    <s v="Germany"/>
    <x v="2"/>
    <n v="37.200000000000003"/>
  </r>
  <r>
    <n v="10295"/>
    <n v="56"/>
    <n v="30.4"/>
    <n v="4"/>
    <n v="0"/>
    <s v="McLin, Nkenge"/>
    <s v="McLin Nkenge"/>
    <x v="8"/>
    <s v="WA"/>
    <s v="Product VKCMF"/>
    <x v="1"/>
    <x v="41"/>
    <d v="2006-09-10T00:00:00"/>
    <x v="1"/>
    <s v="Ship to 85-C"/>
    <x v="2"/>
    <s v="Supplier ZWZDM"/>
    <s v="Italy"/>
    <x v="1"/>
    <n v="121.6"/>
  </r>
  <r>
    <n v="10296"/>
    <n v="11"/>
    <n v="16.8"/>
    <n v="12"/>
    <n v="0"/>
    <s v="Dressler, Marlies"/>
    <s v="Dressler Marlies"/>
    <x v="7"/>
    <n v="0"/>
    <s v="Product QMVUN"/>
    <x v="0"/>
    <x v="42"/>
    <d v="2006-09-11T00:00:00"/>
    <x v="2"/>
    <s v="Ship to 46-C"/>
    <x v="5"/>
    <s v="Supplier EQPNC"/>
    <s v="Spain"/>
    <x v="1"/>
    <n v="201.60000000000002"/>
  </r>
  <r>
    <n v="10296"/>
    <n v="16"/>
    <n v="13.9"/>
    <n v="30"/>
    <n v="0"/>
    <s v="Dressler, Marlies"/>
    <s v="Dressler Marlies"/>
    <x v="7"/>
    <n v="0"/>
    <s v="Product PAFRH"/>
    <x v="5"/>
    <x v="42"/>
    <d v="2006-09-11T00:00:00"/>
    <x v="2"/>
    <s v="Ship to 46-C"/>
    <x v="5"/>
    <s v="Supplier GQRCV"/>
    <s v="Australia"/>
    <x v="1"/>
    <n v="417"/>
  </r>
  <r>
    <n v="10296"/>
    <n v="69"/>
    <n v="28.8"/>
    <n v="15"/>
    <n v="0"/>
    <s v="Dressler, Marlies"/>
    <s v="Dressler Marlies"/>
    <x v="7"/>
    <n v="0"/>
    <s v="Product COAXA"/>
    <x v="0"/>
    <x v="42"/>
    <d v="2006-09-11T00:00:00"/>
    <x v="2"/>
    <s v="Ship to 46-C"/>
    <x v="5"/>
    <s v="Supplier NZLIF"/>
    <s v="Norway"/>
    <x v="1"/>
    <n v="432"/>
  </r>
  <r>
    <n v="10297"/>
    <n v="39"/>
    <n v="14.4"/>
    <n v="60"/>
    <n v="0"/>
    <s v="Bansal, Dushyant"/>
    <s v="Bansal Dushyant"/>
    <x v="3"/>
    <n v="0"/>
    <s v="Product LSOFL"/>
    <x v="6"/>
    <x v="43"/>
    <d v="2006-09-10T00:00:00"/>
    <x v="1"/>
    <s v="Ship to 7-C"/>
    <x v="2"/>
    <s v="Supplier LVJUA"/>
    <s v="France"/>
    <x v="1"/>
    <n v="864"/>
  </r>
  <r>
    <n v="10297"/>
    <n v="72"/>
    <n v="27.8"/>
    <n v="20"/>
    <n v="0"/>
    <s v="Bansal, Dushyant"/>
    <s v="Bansal Dushyant"/>
    <x v="3"/>
    <n v="0"/>
    <s v="Product GEEOO"/>
    <x v="0"/>
    <x v="43"/>
    <d v="2006-09-10T00:00:00"/>
    <x v="1"/>
    <s v="Ship to 7-C"/>
    <x v="2"/>
    <s v="Supplier KEREV"/>
    <s v="Italy"/>
    <x v="1"/>
    <n v="556"/>
  </r>
  <r>
    <n v="10298"/>
    <n v="2"/>
    <n v="15.2"/>
    <n v="40"/>
    <n v="0"/>
    <s v="Crăciun, Ovidiu V."/>
    <s v="Crăciun Ovidiu V."/>
    <x v="7"/>
    <n v="0"/>
    <s v="Product RECZE"/>
    <x v="6"/>
    <x v="44"/>
    <d v="2006-09-11T00:00:00"/>
    <x v="1"/>
    <s v="Destination ATSOA"/>
    <x v="15"/>
    <s v="Supplier SWRXU"/>
    <s v="UK"/>
    <x v="2"/>
    <n v="608"/>
  </r>
  <r>
    <n v="10298"/>
    <n v="36"/>
    <n v="15.2"/>
    <n v="40"/>
    <n v="0.25"/>
    <s v="Crăciun, Ovidiu V."/>
    <s v="Crăciun Ovidiu V."/>
    <x v="7"/>
    <n v="0"/>
    <s v="Product GMKIJ"/>
    <x v="3"/>
    <x v="44"/>
    <d v="2006-09-11T00:00:00"/>
    <x v="1"/>
    <s v="Destination ATSOA"/>
    <x v="15"/>
    <s v="Supplier QZGUF"/>
    <s v="Sweden"/>
    <x v="2"/>
    <n v="456"/>
  </r>
  <r>
    <n v="10298"/>
    <n v="59"/>
    <n v="44"/>
    <n v="30"/>
    <n v="0.25"/>
    <s v="Crăciun, Ovidiu V."/>
    <s v="Crăciun Ovidiu V."/>
    <x v="7"/>
    <n v="0"/>
    <s v="Product UKXRI"/>
    <x v="0"/>
    <x v="44"/>
    <d v="2006-09-11T00:00:00"/>
    <x v="1"/>
    <s v="Destination ATSOA"/>
    <x v="15"/>
    <s v="Supplier OAVQT"/>
    <s v="France"/>
    <x v="2"/>
    <n v="990"/>
  </r>
  <r>
    <n v="10298"/>
    <n v="62"/>
    <n v="39.4"/>
    <n v="15"/>
    <n v="0"/>
    <s v="Crăciun, Ovidiu V."/>
    <s v="Crăciun Ovidiu V."/>
    <x v="7"/>
    <n v="0"/>
    <s v="Product WUXYK"/>
    <x v="5"/>
    <x v="44"/>
    <d v="2006-09-11T00:00:00"/>
    <x v="1"/>
    <s v="Destination ATSOA"/>
    <x v="15"/>
    <s v="Supplier OGLRK"/>
    <s v="Canada"/>
    <x v="2"/>
    <n v="591"/>
  </r>
  <r>
    <n v="10299"/>
    <n v="19"/>
    <n v="7.3"/>
    <n v="15"/>
    <n v="0"/>
    <s v="Garden, Euan"/>
    <s v="Garden Euan"/>
    <x v="1"/>
    <s v="WA"/>
    <s v="Product XKXDO"/>
    <x v="5"/>
    <x v="45"/>
    <d v="2006-09-13T00:00:00"/>
    <x v="1"/>
    <s v="Ship to 67-A"/>
    <x v="1"/>
    <s v="Supplier BWGYE"/>
    <s v="UK"/>
    <x v="1"/>
    <n v="109.5"/>
  </r>
  <r>
    <n v="10299"/>
    <n v="70"/>
    <n v="12"/>
    <n v="20"/>
    <n v="0"/>
    <s v="Garden, Euan"/>
    <s v="Garden Euan"/>
    <x v="1"/>
    <s v="WA"/>
    <s v="Product TOONT"/>
    <x v="6"/>
    <x v="45"/>
    <d v="2006-09-13T00:00:00"/>
    <x v="1"/>
    <s v="Ship to 67-A"/>
    <x v="1"/>
    <s v="Supplier GQRCV"/>
    <s v="Australia"/>
    <x v="1"/>
    <n v="240"/>
  </r>
  <r>
    <n v="10300"/>
    <n v="66"/>
    <n v="13.6"/>
    <n v="30"/>
    <n v="0"/>
    <s v="Duerr, Bernard"/>
    <s v="Duerr Bernard"/>
    <x v="8"/>
    <s v="WA"/>
    <s v="Product LQMGN"/>
    <x v="4"/>
    <x v="46"/>
    <d v="2006-09-18T00:00:00"/>
    <x v="1"/>
    <s v="Ship to 49-A"/>
    <x v="12"/>
    <s v="Supplier VHQZD"/>
    <s v="USA"/>
    <x v="1"/>
    <n v="408"/>
  </r>
  <r>
    <n v="10300"/>
    <n v="68"/>
    <n v="10"/>
    <n v="20"/>
    <n v="0"/>
    <s v="Duerr, Bernard"/>
    <s v="Duerr Bernard"/>
    <x v="8"/>
    <s v="WA"/>
    <s v="Product TBTBL"/>
    <x v="5"/>
    <x v="46"/>
    <d v="2006-09-18T00:00:00"/>
    <x v="1"/>
    <s v="Ship to 49-A"/>
    <x v="12"/>
    <s v="Supplier BWGYE"/>
    <s v="UK"/>
    <x v="1"/>
    <n v="200"/>
  </r>
  <r>
    <n v="10301"/>
    <n v="40"/>
    <n v="14.7"/>
    <n v="10"/>
    <n v="0"/>
    <s v="Syamala, Manoj"/>
    <s v="Syamala Manoj"/>
    <x v="6"/>
    <s v="WA"/>
    <s v="Product YZIXQ"/>
    <x v="3"/>
    <x v="46"/>
    <d v="2006-09-17T00:00:00"/>
    <x v="1"/>
    <s v="Ship to 86-A"/>
    <x v="8"/>
    <s v="Supplier JDNUG"/>
    <s v="USA"/>
    <x v="1"/>
    <n v="147"/>
  </r>
  <r>
    <n v="10301"/>
    <n v="56"/>
    <n v="30.4"/>
    <n v="20"/>
    <n v="0"/>
    <s v="Syamala, Manoj"/>
    <s v="Syamala Manoj"/>
    <x v="6"/>
    <s v="WA"/>
    <s v="Product VKCMF"/>
    <x v="1"/>
    <x v="46"/>
    <d v="2006-09-17T00:00:00"/>
    <x v="1"/>
    <s v="Ship to 86-A"/>
    <x v="8"/>
    <s v="Supplier ZWZDM"/>
    <s v="Italy"/>
    <x v="1"/>
    <n v="608"/>
  </r>
  <r>
    <n v="10302"/>
    <n v="17"/>
    <n v="31.2"/>
    <n v="40"/>
    <n v="0"/>
    <s v="Gulbis, Katrin"/>
    <s v="Gulbis Katrin"/>
    <x v="1"/>
    <s v="WA"/>
    <s v="Product BLCAX"/>
    <x v="7"/>
    <x v="47"/>
    <d v="2006-10-09T00:00:00"/>
    <x v="1"/>
    <s v="Ship to 76-B"/>
    <x v="3"/>
    <s v="Supplier GQRCV"/>
    <s v="Australia"/>
    <x v="1"/>
    <n v="1248"/>
  </r>
  <r>
    <n v="10302"/>
    <n v="28"/>
    <n v="36.4"/>
    <n v="28"/>
    <n v="0"/>
    <s v="Gulbis, Katrin"/>
    <s v="Gulbis Katrin"/>
    <x v="1"/>
    <s v="WA"/>
    <s v="Product OFBNT"/>
    <x v="2"/>
    <x v="47"/>
    <d v="2006-10-09T00:00:00"/>
    <x v="1"/>
    <s v="Ship to 76-B"/>
    <x v="3"/>
    <s v="Supplier SVIYA"/>
    <s v="Germany"/>
    <x v="1"/>
    <n v="1019.1999999999999"/>
  </r>
  <r>
    <n v="10302"/>
    <n v="43"/>
    <n v="36.799999999999997"/>
    <n v="12"/>
    <n v="0"/>
    <s v="Gulbis, Katrin"/>
    <s v="Gulbis Katrin"/>
    <x v="1"/>
    <s v="WA"/>
    <s v="Product ZZZHR"/>
    <x v="6"/>
    <x v="47"/>
    <d v="2006-10-09T00:00:00"/>
    <x v="1"/>
    <s v="Ship to 76-B"/>
    <x v="3"/>
    <s v="Supplier CIYNM"/>
    <s v="Singapore"/>
    <x v="1"/>
    <n v="441.59999999999997"/>
  </r>
  <r>
    <n v="10303"/>
    <n v="40"/>
    <n v="14.7"/>
    <n v="40"/>
    <n v="0.1"/>
    <s v="Shabalin, Rostislav"/>
    <s v="Shabalin Rostislav"/>
    <x v="9"/>
    <n v="0"/>
    <s v="Product YZIXQ"/>
    <x v="3"/>
    <x v="48"/>
    <d v="2006-09-18T00:00:00"/>
    <x v="1"/>
    <s v="Destination IIYDD"/>
    <x v="13"/>
    <s v="Supplier JDNUG"/>
    <s v="USA"/>
    <x v="2"/>
    <n v="529.20000000000005"/>
  </r>
  <r>
    <n v="10303"/>
    <n v="65"/>
    <n v="16.8"/>
    <n v="30"/>
    <n v="0.1"/>
    <s v="Shabalin, Rostislav"/>
    <s v="Shabalin Rostislav"/>
    <x v="9"/>
    <n v="0"/>
    <s v="Product XYWBZ"/>
    <x v="4"/>
    <x v="48"/>
    <d v="2006-09-18T00:00:00"/>
    <x v="1"/>
    <s v="Destination IIYDD"/>
    <x v="13"/>
    <s v="Supplier VHQZD"/>
    <s v="USA"/>
    <x v="2"/>
    <n v="453.6"/>
  </r>
  <r>
    <n v="10303"/>
    <n v="68"/>
    <n v="10"/>
    <n v="15"/>
    <n v="0.1"/>
    <s v="Shabalin, Rostislav"/>
    <s v="Shabalin Rostislav"/>
    <x v="9"/>
    <n v="0"/>
    <s v="Product TBTBL"/>
    <x v="5"/>
    <x v="48"/>
    <d v="2006-09-18T00:00:00"/>
    <x v="1"/>
    <s v="Destination IIYDD"/>
    <x v="13"/>
    <s v="Supplier BWGYE"/>
    <s v="UK"/>
    <x v="2"/>
    <n v="135"/>
  </r>
  <r>
    <n v="10304"/>
    <n v="49"/>
    <n v="16"/>
    <n v="30"/>
    <n v="0"/>
    <s v="Geschwandtner, Jens"/>
    <s v="Geschwandtner Jens"/>
    <x v="5"/>
    <s v="WA"/>
    <s v="Product FPYPN"/>
    <x v="5"/>
    <x v="49"/>
    <d v="2006-09-17T00:00:00"/>
    <x v="1"/>
    <s v="Ship to 80-C"/>
    <x v="7"/>
    <s v="Supplier ELCRN"/>
    <s v="Finland"/>
    <x v="1"/>
    <n v="480"/>
  </r>
  <r>
    <n v="10304"/>
    <n v="59"/>
    <n v="44"/>
    <n v="10"/>
    <n v="0"/>
    <s v="Geschwandtner, Jens"/>
    <s v="Geschwandtner Jens"/>
    <x v="5"/>
    <s v="WA"/>
    <s v="Product UKXRI"/>
    <x v="0"/>
    <x v="49"/>
    <d v="2006-09-17T00:00:00"/>
    <x v="1"/>
    <s v="Ship to 80-C"/>
    <x v="7"/>
    <s v="Supplier OAVQT"/>
    <s v="France"/>
    <x v="1"/>
    <n v="440"/>
  </r>
  <r>
    <n v="10304"/>
    <n v="71"/>
    <n v="17.2"/>
    <n v="2"/>
    <n v="0"/>
    <s v="Geschwandtner, Jens"/>
    <s v="Geschwandtner Jens"/>
    <x v="5"/>
    <s v="WA"/>
    <s v="Product MYMOI"/>
    <x v="0"/>
    <x v="49"/>
    <d v="2006-09-17T00:00:00"/>
    <x v="1"/>
    <s v="Ship to 80-C"/>
    <x v="7"/>
    <s v="Supplier NZLIF"/>
    <s v="Norway"/>
    <x v="1"/>
    <n v="34.4"/>
  </r>
  <r>
    <n v="10305"/>
    <n v="18"/>
    <n v="50"/>
    <n v="25"/>
    <n v="0.1"/>
    <s v="Egelund-Muller, Anja"/>
    <s v="Egelund-Muller Anja"/>
    <x v="6"/>
    <s v="WA"/>
    <s v="Product CKEDC"/>
    <x v="3"/>
    <x v="50"/>
    <d v="2006-10-09T00:00:00"/>
    <x v="3"/>
    <s v="Ship to 55-B"/>
    <x v="9"/>
    <s v="Supplier GQRCV"/>
    <s v="Australia"/>
    <x v="2"/>
    <n v="1125"/>
  </r>
  <r>
    <n v="10305"/>
    <n v="29"/>
    <n v="99"/>
    <n v="25"/>
    <n v="0.1"/>
    <s v="Egelund-Muller, Anja"/>
    <s v="Egelund-Muller Anja"/>
    <x v="6"/>
    <s v="WA"/>
    <s v="Product VJXYN"/>
    <x v="7"/>
    <x v="50"/>
    <d v="2006-10-09T00:00:00"/>
    <x v="3"/>
    <s v="Ship to 55-B"/>
    <x v="9"/>
    <s v="Supplier SVIYA"/>
    <s v="Germany"/>
    <x v="2"/>
    <n v="2227.5"/>
  </r>
  <r>
    <n v="10305"/>
    <n v="39"/>
    <n v="14.4"/>
    <n v="30"/>
    <n v="0.1"/>
    <s v="Egelund-Muller, Anja"/>
    <s v="Egelund-Muller Anja"/>
    <x v="6"/>
    <s v="WA"/>
    <s v="Product LSOFL"/>
    <x v="6"/>
    <x v="50"/>
    <d v="2006-10-09T00:00:00"/>
    <x v="3"/>
    <s v="Ship to 55-B"/>
    <x v="9"/>
    <s v="Supplier LVJUA"/>
    <s v="France"/>
    <x v="2"/>
    <n v="388.8"/>
  </r>
  <r>
    <n v="10306"/>
    <n v="30"/>
    <n v="20.7"/>
    <n v="10"/>
    <n v="0"/>
    <s v="Watters, Jason M."/>
    <s v="Watters Jason M."/>
    <x v="5"/>
    <s v="WA"/>
    <s v="Product LYERX"/>
    <x v="3"/>
    <x v="51"/>
    <d v="2006-09-23T00:00:00"/>
    <x v="3"/>
    <s v="Ship to 69-B"/>
    <x v="13"/>
    <s v="Supplier TEGSC"/>
    <s v="Germany"/>
    <x v="1"/>
    <n v="207"/>
  </r>
  <r>
    <n v="10306"/>
    <n v="53"/>
    <n v="26.2"/>
    <n v="10"/>
    <n v="0"/>
    <s v="Watters, Jason M."/>
    <s v="Watters Jason M."/>
    <x v="5"/>
    <s v="WA"/>
    <s v="Product BKGEA"/>
    <x v="7"/>
    <x v="51"/>
    <d v="2006-09-23T00:00:00"/>
    <x v="3"/>
    <s v="Ship to 69-B"/>
    <x v="13"/>
    <s v="Supplier JNNES"/>
    <s v="Australia"/>
    <x v="1"/>
    <n v="262"/>
  </r>
  <r>
    <n v="10306"/>
    <n v="54"/>
    <n v="5.9"/>
    <n v="5"/>
    <n v="0"/>
    <s v="Watters, Jason M."/>
    <s v="Watters Jason M."/>
    <x v="5"/>
    <s v="WA"/>
    <s v="Product QAQRL"/>
    <x v="7"/>
    <x v="51"/>
    <d v="2006-09-23T00:00:00"/>
    <x v="3"/>
    <s v="Ship to 69-B"/>
    <x v="13"/>
    <s v="Supplier ERVYZ"/>
    <s v="Canada"/>
    <x v="1"/>
    <n v="29.5"/>
  </r>
  <r>
    <n v="10307"/>
    <n v="62"/>
    <n v="39.4"/>
    <n v="10"/>
    <n v="0"/>
    <s v="Szymczak, Radosław"/>
    <s v="Szymczak Radosław"/>
    <x v="8"/>
    <s v="WA"/>
    <s v="Product WUXYK"/>
    <x v="5"/>
    <x v="52"/>
    <d v="2006-09-25T00:00:00"/>
    <x v="1"/>
    <s v="Ship to 48-B"/>
    <x v="9"/>
    <s v="Supplier OGLRK"/>
    <s v="Canada"/>
    <x v="1"/>
    <n v="394"/>
  </r>
  <r>
    <n v="10307"/>
    <n v="68"/>
    <n v="10"/>
    <n v="3"/>
    <n v="0"/>
    <s v="Szymczak, Radosław"/>
    <s v="Szymczak Radosław"/>
    <x v="8"/>
    <s v="WA"/>
    <s v="Product TBTBL"/>
    <x v="5"/>
    <x v="52"/>
    <d v="2006-09-25T00:00:00"/>
    <x v="1"/>
    <s v="Ship to 48-B"/>
    <x v="9"/>
    <s v="Supplier BWGYE"/>
    <s v="UK"/>
    <x v="1"/>
    <n v="30"/>
  </r>
  <r>
    <n v="10308"/>
    <n v="69"/>
    <n v="28.8"/>
    <n v="1"/>
    <n v="0"/>
    <s v="Hassall, Mark"/>
    <s v="Hassall Mark"/>
    <x v="9"/>
    <n v="0"/>
    <s v="Product COAXA"/>
    <x v="0"/>
    <x v="53"/>
    <d v="2006-09-24T00:00:00"/>
    <x v="3"/>
    <s v="Destination QMVCI"/>
    <x v="7"/>
    <s v="Supplier NZLIF"/>
    <s v="Norway"/>
    <x v="1"/>
    <n v="28.8"/>
  </r>
  <r>
    <n v="10308"/>
    <n v="70"/>
    <n v="12"/>
    <n v="5"/>
    <n v="0"/>
    <s v="Hassall, Mark"/>
    <s v="Hassall Mark"/>
    <x v="9"/>
    <n v="0"/>
    <s v="Product TOONT"/>
    <x v="6"/>
    <x v="53"/>
    <d v="2006-09-24T00:00:00"/>
    <x v="3"/>
    <s v="Destination QMVCI"/>
    <x v="7"/>
    <s v="Supplier GQRCV"/>
    <s v="Australia"/>
    <x v="1"/>
    <n v="60"/>
  </r>
  <r>
    <n v="10309"/>
    <n v="4"/>
    <n v="17.600000000000001"/>
    <n v="20"/>
    <n v="0"/>
    <s v="Crăciun, Ovidiu V."/>
    <s v="Crăciun Ovidiu V."/>
    <x v="2"/>
    <s v="WA"/>
    <s v="Product KSBRM"/>
    <x v="4"/>
    <x v="54"/>
    <d v="2006-10-23T00:00:00"/>
    <x v="2"/>
    <s v="Destination ATSOA"/>
    <x v="15"/>
    <s v="Supplier VHQZD"/>
    <s v="USA"/>
    <x v="1"/>
    <n v="352"/>
  </r>
  <r>
    <n v="10309"/>
    <n v="6"/>
    <n v="20"/>
    <n v="30"/>
    <n v="0"/>
    <s v="Crăciun, Ovidiu V."/>
    <s v="Crăciun Ovidiu V."/>
    <x v="2"/>
    <s v="WA"/>
    <s v="Product VAIIV"/>
    <x v="4"/>
    <x v="54"/>
    <d v="2006-10-23T00:00:00"/>
    <x v="2"/>
    <s v="Destination ATSOA"/>
    <x v="15"/>
    <s v="Supplier STUAZ"/>
    <s v="USA"/>
    <x v="1"/>
    <n v="600"/>
  </r>
  <r>
    <n v="10309"/>
    <n v="42"/>
    <n v="11.2"/>
    <n v="2"/>
    <n v="0"/>
    <s v="Crăciun, Ovidiu V."/>
    <s v="Crăciun Ovidiu V."/>
    <x v="2"/>
    <s v="WA"/>
    <s v="Product RJVNM"/>
    <x v="1"/>
    <x v="54"/>
    <d v="2006-10-23T00:00:00"/>
    <x v="2"/>
    <s v="Destination ATSOA"/>
    <x v="15"/>
    <s v="Supplier CIYNM"/>
    <s v="Singapore"/>
    <x v="1"/>
    <n v="22.4"/>
  </r>
  <r>
    <n v="10309"/>
    <n v="43"/>
    <n v="36.799999999999997"/>
    <n v="20"/>
    <n v="0"/>
    <s v="Crăciun, Ovidiu V."/>
    <s v="Crăciun Ovidiu V."/>
    <x v="2"/>
    <s v="WA"/>
    <s v="Product ZZZHR"/>
    <x v="6"/>
    <x v="54"/>
    <d v="2006-10-23T00:00:00"/>
    <x v="2"/>
    <s v="Destination ATSOA"/>
    <x v="15"/>
    <s v="Supplier CIYNM"/>
    <s v="Singapore"/>
    <x v="1"/>
    <n v="736"/>
  </r>
  <r>
    <n v="10309"/>
    <n v="71"/>
    <n v="17.2"/>
    <n v="3"/>
    <n v="0"/>
    <s v="Crăciun, Ovidiu V."/>
    <s v="Crăciun Ovidiu V."/>
    <x v="2"/>
    <s v="WA"/>
    <s v="Product MYMOI"/>
    <x v="0"/>
    <x v="54"/>
    <d v="2006-10-23T00:00:00"/>
    <x v="2"/>
    <s v="Destination ATSOA"/>
    <x v="15"/>
    <s v="Supplier NZLIF"/>
    <s v="Norway"/>
    <x v="1"/>
    <n v="51.599999999999994"/>
  </r>
  <r>
    <n v="10310"/>
    <n v="16"/>
    <n v="13.9"/>
    <n v="10"/>
    <n v="0"/>
    <s v="Osorio, Cristian"/>
    <s v="Osorio Cristian"/>
    <x v="6"/>
    <s v="WA"/>
    <s v="Product PAFRH"/>
    <x v="5"/>
    <x v="55"/>
    <d v="2006-09-27T00:00:00"/>
    <x v="1"/>
    <s v="Ship to 77-B"/>
    <x v="9"/>
    <s v="Supplier GQRCV"/>
    <s v="Australia"/>
    <x v="1"/>
    <n v="139"/>
  </r>
  <r>
    <n v="10310"/>
    <n v="62"/>
    <n v="39.4"/>
    <n v="5"/>
    <n v="0"/>
    <s v="Osorio, Cristian"/>
    <s v="Osorio Cristian"/>
    <x v="6"/>
    <s v="WA"/>
    <s v="Product WUXYK"/>
    <x v="5"/>
    <x v="55"/>
    <d v="2006-09-27T00:00:00"/>
    <x v="1"/>
    <s v="Ship to 77-B"/>
    <x v="9"/>
    <s v="Supplier OGLRK"/>
    <s v="Canada"/>
    <x v="1"/>
    <n v="197"/>
  </r>
  <r>
    <n v="10311"/>
    <n v="42"/>
    <n v="11.2"/>
    <n v="6"/>
    <n v="0"/>
    <s v="Rizaldy, Arif"/>
    <s v="Rizaldy Arif"/>
    <x v="5"/>
    <s v="WA"/>
    <s v="Product RJVNM"/>
    <x v="1"/>
    <x v="55"/>
    <d v="2006-09-26T00:00:00"/>
    <x v="3"/>
    <s v="Destination SNPXM"/>
    <x v="2"/>
    <s v="Supplier CIYNM"/>
    <s v="Singapore"/>
    <x v="1"/>
    <n v="67.199999999999989"/>
  </r>
  <r>
    <n v="10311"/>
    <n v="69"/>
    <n v="28.8"/>
    <n v="7"/>
    <n v="0"/>
    <s v="Rizaldy, Arif"/>
    <s v="Rizaldy Arif"/>
    <x v="5"/>
    <s v="WA"/>
    <s v="Product COAXA"/>
    <x v="0"/>
    <x v="55"/>
    <d v="2006-09-26T00:00:00"/>
    <x v="3"/>
    <s v="Destination SNPXM"/>
    <x v="2"/>
    <s v="Supplier NZLIF"/>
    <s v="Norway"/>
    <x v="1"/>
    <n v="201.6"/>
  </r>
  <r>
    <n v="10312"/>
    <n v="28"/>
    <n v="36.4"/>
    <n v="4"/>
    <n v="0"/>
    <s v="Syamala, Manoj"/>
    <s v="Syamala Manoj"/>
    <x v="8"/>
    <s v="WA"/>
    <s v="Product OFBNT"/>
    <x v="2"/>
    <x v="56"/>
    <d v="2006-10-03T00:00:00"/>
    <x v="1"/>
    <s v="Ship to 86-B"/>
    <x v="8"/>
    <s v="Supplier SVIYA"/>
    <s v="Germany"/>
    <x v="1"/>
    <n v="145.6"/>
  </r>
  <r>
    <n v="10312"/>
    <n v="43"/>
    <n v="36.799999999999997"/>
    <n v="24"/>
    <n v="0"/>
    <s v="Syamala, Manoj"/>
    <s v="Syamala Manoj"/>
    <x v="8"/>
    <s v="WA"/>
    <s v="Product ZZZHR"/>
    <x v="6"/>
    <x v="56"/>
    <d v="2006-10-03T00:00:00"/>
    <x v="1"/>
    <s v="Ship to 86-B"/>
    <x v="8"/>
    <s v="Supplier CIYNM"/>
    <s v="Singapore"/>
    <x v="1"/>
    <n v="883.19999999999993"/>
  </r>
  <r>
    <n v="10312"/>
    <n v="53"/>
    <n v="26.2"/>
    <n v="20"/>
    <n v="0"/>
    <s v="Syamala, Manoj"/>
    <s v="Syamala Manoj"/>
    <x v="8"/>
    <s v="WA"/>
    <s v="Product BKGEA"/>
    <x v="7"/>
    <x v="56"/>
    <d v="2006-10-03T00:00:00"/>
    <x v="1"/>
    <s v="Ship to 86-B"/>
    <x v="8"/>
    <s v="Supplier JNNES"/>
    <s v="Australia"/>
    <x v="1"/>
    <n v="524"/>
  </r>
  <r>
    <n v="10312"/>
    <n v="75"/>
    <n v="6.2"/>
    <n v="10"/>
    <n v="0"/>
    <s v="Syamala, Manoj"/>
    <s v="Syamala Manoj"/>
    <x v="8"/>
    <s v="WA"/>
    <s v="Product BWRLG"/>
    <x v="6"/>
    <x v="56"/>
    <d v="2006-10-03T00:00:00"/>
    <x v="1"/>
    <s v="Ship to 86-B"/>
    <x v="8"/>
    <s v="Supplier SVIYA"/>
    <s v="Germany"/>
    <x v="1"/>
    <n v="62"/>
  </r>
  <r>
    <n v="10313"/>
    <n v="36"/>
    <n v="15.2"/>
    <n v="12"/>
    <n v="0"/>
    <s v="Veronesi, Giorgio"/>
    <s v="Veronesi Giorgio"/>
    <x v="8"/>
    <s v="WA"/>
    <s v="Product GMKIJ"/>
    <x v="3"/>
    <x v="57"/>
    <d v="2006-10-04T00:00:00"/>
    <x v="1"/>
    <s v="Ship to 63-A"/>
    <x v="8"/>
    <s v="Supplier QZGUF"/>
    <s v="Sweden"/>
    <x v="1"/>
    <n v="182.39999999999998"/>
  </r>
  <r>
    <n v="10314"/>
    <n v="32"/>
    <n v="25.6"/>
    <n v="40"/>
    <n v="0.1"/>
    <s v="Moore, Michael"/>
    <s v="Moore Michael"/>
    <x v="5"/>
    <s v="WA"/>
    <s v="Product NUNAW"/>
    <x v="0"/>
    <x v="58"/>
    <d v="2006-10-04T00:00:00"/>
    <x v="1"/>
    <s v="Ship to 65-A"/>
    <x v="9"/>
    <s v="Supplier KEREV"/>
    <s v="Italy"/>
    <x v="1"/>
    <n v="921.6"/>
  </r>
  <r>
    <n v="10314"/>
    <n v="58"/>
    <n v="10.6"/>
    <n v="30"/>
    <n v="0.1"/>
    <s v="Moore, Michael"/>
    <s v="Moore Michael"/>
    <x v="5"/>
    <s v="WA"/>
    <s v="Product ACRVI"/>
    <x v="3"/>
    <x v="58"/>
    <d v="2006-10-04T00:00:00"/>
    <x v="1"/>
    <s v="Ship to 65-A"/>
    <x v="9"/>
    <s v="Supplier ZRYDZ"/>
    <s v="France"/>
    <x v="1"/>
    <n v="286.2"/>
  </r>
  <r>
    <n v="10314"/>
    <n v="62"/>
    <n v="39.4"/>
    <n v="25"/>
    <n v="0.1"/>
    <s v="Moore, Michael"/>
    <s v="Moore Michael"/>
    <x v="5"/>
    <s v="WA"/>
    <s v="Product WUXYK"/>
    <x v="5"/>
    <x v="58"/>
    <d v="2006-10-04T00:00:00"/>
    <x v="1"/>
    <s v="Ship to 65-A"/>
    <x v="9"/>
    <s v="Supplier OGLRK"/>
    <s v="Canada"/>
    <x v="1"/>
    <n v="886.5"/>
  </r>
  <r>
    <n v="10315"/>
    <n v="34"/>
    <n v="11.2"/>
    <n v="14"/>
    <n v="0"/>
    <s v="Lee, Frank"/>
    <s v="Lee Frank"/>
    <x v="1"/>
    <s v="WA"/>
    <s v="Product SWNJY"/>
    <x v="6"/>
    <x v="59"/>
    <d v="2006-10-03T00:00:00"/>
    <x v="1"/>
    <s v="Destination AXVHD"/>
    <x v="14"/>
    <s v="Supplier UHZRG"/>
    <s v="USA"/>
    <x v="1"/>
    <n v="156.79999999999998"/>
  </r>
  <r>
    <n v="10315"/>
    <n v="70"/>
    <n v="12"/>
    <n v="30"/>
    <n v="0"/>
    <s v="Lee, Frank"/>
    <s v="Lee Frank"/>
    <x v="1"/>
    <s v="WA"/>
    <s v="Product TOONT"/>
    <x v="6"/>
    <x v="59"/>
    <d v="2006-10-03T00:00:00"/>
    <x v="1"/>
    <s v="Destination AXVHD"/>
    <x v="14"/>
    <s v="Supplier GQRCV"/>
    <s v="Australia"/>
    <x v="1"/>
    <n v="360"/>
  </r>
  <r>
    <n v="10316"/>
    <n v="41"/>
    <n v="7.7"/>
    <n v="10"/>
    <n v="0"/>
    <s v="Moore, Michael"/>
    <s v="Moore Michael"/>
    <x v="5"/>
    <s v="WA"/>
    <s v="Product TTEEX"/>
    <x v="3"/>
    <x v="60"/>
    <d v="2006-10-08T00:00:00"/>
    <x v="3"/>
    <s v="Ship to 65-B"/>
    <x v="9"/>
    <s v="Supplier JDNUG"/>
    <s v="USA"/>
    <x v="2"/>
    <n v="77"/>
  </r>
  <r>
    <n v="10316"/>
    <n v="62"/>
    <n v="39.4"/>
    <n v="70"/>
    <n v="0"/>
    <s v="Moore, Michael"/>
    <s v="Moore Michael"/>
    <x v="5"/>
    <s v="WA"/>
    <s v="Product WUXYK"/>
    <x v="5"/>
    <x v="60"/>
    <d v="2006-10-08T00:00:00"/>
    <x v="3"/>
    <s v="Ship to 65-B"/>
    <x v="9"/>
    <s v="Supplier OGLRK"/>
    <s v="Canada"/>
    <x v="2"/>
    <n v="2758"/>
  </r>
  <r>
    <n v="10317"/>
    <n v="1"/>
    <n v="14.4"/>
    <n v="20"/>
    <n v="0"/>
    <s v="Szymczak, Radosław"/>
    <s v="Szymczak Radosław"/>
    <x v="7"/>
    <n v="0"/>
    <s v="Product HHYDP"/>
    <x v="6"/>
    <x v="61"/>
    <d v="2006-10-10T00:00:00"/>
    <x v="2"/>
    <s v="Ship to 48-B"/>
    <x v="9"/>
    <s v="Supplier SWRXU"/>
    <s v="UK"/>
    <x v="1"/>
    <n v="288"/>
  </r>
  <r>
    <n v="10318"/>
    <n v="41"/>
    <n v="7.7"/>
    <n v="20"/>
    <n v="0"/>
    <s v="Lee, Frank"/>
    <s v="Lee Frank"/>
    <x v="6"/>
    <s v="WA"/>
    <s v="Product TTEEX"/>
    <x v="3"/>
    <x v="62"/>
    <d v="2006-10-04T00:00:00"/>
    <x v="1"/>
    <s v="Destination AXVHD"/>
    <x v="14"/>
    <s v="Supplier JDNUG"/>
    <s v="USA"/>
    <x v="1"/>
    <n v="154"/>
  </r>
  <r>
    <n v="10318"/>
    <n v="76"/>
    <n v="14.4"/>
    <n v="6"/>
    <n v="0"/>
    <s v="Lee, Frank"/>
    <s v="Lee Frank"/>
    <x v="6"/>
    <s v="WA"/>
    <s v="Product JYGFE"/>
    <x v="6"/>
    <x v="62"/>
    <d v="2006-10-04T00:00:00"/>
    <x v="1"/>
    <s v="Destination AXVHD"/>
    <x v="14"/>
    <s v="Supplier ELCRN"/>
    <s v="Finland"/>
    <x v="1"/>
    <n v="86.4"/>
  </r>
  <r>
    <n v="10319"/>
    <n v="17"/>
    <n v="31.2"/>
    <n v="8"/>
    <n v="0"/>
    <s v="Geschwandtner, Jens"/>
    <s v="Geschwandtner Jens"/>
    <x v="9"/>
    <n v="0"/>
    <s v="Product BLCAX"/>
    <x v="7"/>
    <x v="63"/>
    <d v="2006-10-11T00:00:00"/>
    <x v="3"/>
    <s v="Ship to 80-B"/>
    <x v="7"/>
    <s v="Supplier GQRCV"/>
    <s v="Australia"/>
    <x v="1"/>
    <n v="249.6"/>
  </r>
  <r>
    <n v="10319"/>
    <n v="28"/>
    <n v="36.4"/>
    <n v="14"/>
    <n v="0"/>
    <s v="Geschwandtner, Jens"/>
    <s v="Geschwandtner Jens"/>
    <x v="9"/>
    <n v="0"/>
    <s v="Product OFBNT"/>
    <x v="2"/>
    <x v="63"/>
    <d v="2006-10-11T00:00:00"/>
    <x v="3"/>
    <s v="Ship to 80-B"/>
    <x v="7"/>
    <s v="Supplier SVIYA"/>
    <s v="Germany"/>
    <x v="1"/>
    <n v="509.59999999999997"/>
  </r>
  <r>
    <n v="10319"/>
    <n v="76"/>
    <n v="14.4"/>
    <n v="30"/>
    <n v="0"/>
    <s v="Geschwandtner, Jens"/>
    <s v="Geschwandtner Jens"/>
    <x v="9"/>
    <n v="0"/>
    <s v="Product JYGFE"/>
    <x v="6"/>
    <x v="63"/>
    <d v="2006-10-11T00:00:00"/>
    <x v="3"/>
    <s v="Ship to 80-B"/>
    <x v="7"/>
    <s v="Supplier ELCRN"/>
    <s v="Finland"/>
    <x v="1"/>
    <n v="432"/>
  </r>
  <r>
    <n v="10320"/>
    <n v="71"/>
    <n v="17.2"/>
    <n v="30"/>
    <n v="0"/>
    <s v="Ludwig, Michael"/>
    <s v="Ludwig Michael"/>
    <x v="3"/>
    <n v="0"/>
    <s v="Product MYMOI"/>
    <x v="0"/>
    <x v="64"/>
    <d v="2006-10-18T00:00:00"/>
    <x v="3"/>
    <s v="Ship to 87-A"/>
    <x v="11"/>
    <s v="Supplier NZLIF"/>
    <s v="Norway"/>
    <x v="1"/>
    <n v="516"/>
  </r>
  <r>
    <n v="10321"/>
    <n v="35"/>
    <n v="14.4"/>
    <n v="10"/>
    <n v="0"/>
    <s v="Lee, Frank"/>
    <s v="Lee Frank"/>
    <x v="2"/>
    <s v="WA"/>
    <s v="Product NEVTJ"/>
    <x v="6"/>
    <x v="64"/>
    <d v="2006-10-11T00:00:00"/>
    <x v="1"/>
    <s v="Destination LMVGS"/>
    <x v="14"/>
    <s v="Supplier UHZRG"/>
    <s v="USA"/>
    <x v="1"/>
    <n v="144"/>
  </r>
  <r>
    <n v="10322"/>
    <n v="52"/>
    <n v="5.6"/>
    <n v="20"/>
    <n v="0"/>
    <s v="Fakhouri, Fadi"/>
    <s v="Fakhouri Fadi"/>
    <x v="9"/>
    <n v="0"/>
    <s v="Product QSRXF"/>
    <x v="1"/>
    <x v="65"/>
    <d v="2006-10-23T00:00:00"/>
    <x v="3"/>
    <s v="Ship to 58-A"/>
    <x v="7"/>
    <s v="Supplier JNNES"/>
    <s v="Australia"/>
    <x v="1"/>
    <n v="112"/>
  </r>
  <r>
    <n v="10323"/>
    <n v="15"/>
    <n v="12.4"/>
    <n v="5"/>
    <n v="0"/>
    <s v="Song, Lolan"/>
    <s v="Song Lolan"/>
    <x v="1"/>
    <s v="WA"/>
    <s v="Product KSZOI"/>
    <x v="4"/>
    <x v="66"/>
    <d v="2006-10-14T00:00:00"/>
    <x v="2"/>
    <s v="Destination RMBHM"/>
    <x v="8"/>
    <s v="Supplier QWUSF"/>
    <s v="Japan"/>
    <x v="1"/>
    <n v="62"/>
  </r>
  <r>
    <n v="10323"/>
    <n v="25"/>
    <n v="11.2"/>
    <n v="4"/>
    <n v="0"/>
    <s v="Song, Lolan"/>
    <s v="Song Lolan"/>
    <x v="1"/>
    <s v="WA"/>
    <s v="Product LYLNI"/>
    <x v="5"/>
    <x v="66"/>
    <d v="2006-10-14T00:00:00"/>
    <x v="2"/>
    <s v="Destination RMBHM"/>
    <x v="8"/>
    <s v="Supplier ZPYVS"/>
    <s v="Germany"/>
    <x v="1"/>
    <n v="44.8"/>
  </r>
  <r>
    <n v="10323"/>
    <n v="39"/>
    <n v="14.4"/>
    <n v="4"/>
    <n v="0"/>
    <s v="Song, Lolan"/>
    <s v="Song Lolan"/>
    <x v="1"/>
    <s v="WA"/>
    <s v="Product LSOFL"/>
    <x v="6"/>
    <x v="66"/>
    <d v="2006-10-14T00:00:00"/>
    <x v="2"/>
    <s v="Destination RMBHM"/>
    <x v="8"/>
    <s v="Supplier LVJUA"/>
    <s v="France"/>
    <x v="1"/>
    <n v="57.6"/>
  </r>
  <r>
    <n v="10324"/>
    <n v="16"/>
    <n v="13.9"/>
    <n v="21"/>
    <n v="0.15"/>
    <s v="Navarro, Tomás"/>
    <s v="Navarro Tomás"/>
    <x v="4"/>
    <n v="0"/>
    <s v="Product PAFRH"/>
    <x v="5"/>
    <x v="67"/>
    <d v="2006-10-10T00:00:00"/>
    <x v="2"/>
    <s v="Ship to 71-C"/>
    <x v="9"/>
    <s v="Supplier GQRCV"/>
    <s v="Australia"/>
    <x v="2"/>
    <n v="248.11500000000001"/>
  </r>
  <r>
    <n v="10324"/>
    <n v="35"/>
    <n v="14.4"/>
    <n v="70"/>
    <n v="0.15"/>
    <s v="Navarro, Tomás"/>
    <s v="Navarro Tomás"/>
    <x v="4"/>
    <n v="0"/>
    <s v="Product NEVTJ"/>
    <x v="6"/>
    <x v="67"/>
    <d v="2006-10-10T00:00:00"/>
    <x v="2"/>
    <s v="Ship to 71-C"/>
    <x v="9"/>
    <s v="Supplier UHZRG"/>
    <s v="USA"/>
    <x v="2"/>
    <n v="856.8"/>
  </r>
  <r>
    <n v="10324"/>
    <n v="46"/>
    <n v="9.6"/>
    <n v="30"/>
    <n v="0"/>
    <s v="Navarro, Tomás"/>
    <s v="Navarro Tomás"/>
    <x v="4"/>
    <n v="0"/>
    <s v="Product CBRRL"/>
    <x v="3"/>
    <x v="67"/>
    <d v="2006-10-10T00:00:00"/>
    <x v="2"/>
    <s v="Ship to 71-C"/>
    <x v="9"/>
    <s v="Supplier XOXZA"/>
    <s v="Denmark"/>
    <x v="2"/>
    <n v="288"/>
  </r>
  <r>
    <n v="10324"/>
    <n v="59"/>
    <n v="44"/>
    <n v="40"/>
    <n v="0.15"/>
    <s v="Navarro, Tomás"/>
    <s v="Navarro Tomás"/>
    <x v="4"/>
    <n v="0"/>
    <s v="Product UKXRI"/>
    <x v="0"/>
    <x v="67"/>
    <d v="2006-10-10T00:00:00"/>
    <x v="2"/>
    <s v="Ship to 71-C"/>
    <x v="9"/>
    <s v="Supplier OAVQT"/>
    <s v="France"/>
    <x v="2"/>
    <n v="1496"/>
  </r>
  <r>
    <n v="10324"/>
    <n v="63"/>
    <n v="35.1"/>
    <n v="80"/>
    <n v="0.15"/>
    <s v="Navarro, Tomás"/>
    <s v="Navarro Tomás"/>
    <x v="4"/>
    <n v="0"/>
    <s v="Product ICKNK"/>
    <x v="4"/>
    <x v="67"/>
    <d v="2006-10-10T00:00:00"/>
    <x v="2"/>
    <s v="Ship to 71-C"/>
    <x v="9"/>
    <s v="Supplier GQRCV"/>
    <s v="Australia"/>
    <x v="2"/>
    <n v="2386.7999999999997"/>
  </r>
  <r>
    <n v="10325"/>
    <n v="6"/>
    <n v="20"/>
    <n v="6"/>
    <n v="0"/>
    <s v="Song, Lolan"/>
    <s v="Song Lolan"/>
    <x v="5"/>
    <s v="WA"/>
    <s v="Product VAIIV"/>
    <x v="4"/>
    <x v="68"/>
    <d v="2006-10-14T00:00:00"/>
    <x v="3"/>
    <s v="Destination RMBHM"/>
    <x v="8"/>
    <s v="Supplier STUAZ"/>
    <s v="USA"/>
    <x v="1"/>
    <n v="120"/>
  </r>
  <r>
    <n v="10325"/>
    <n v="13"/>
    <n v="4.8"/>
    <n v="12"/>
    <n v="0"/>
    <s v="Song, Lolan"/>
    <s v="Song Lolan"/>
    <x v="5"/>
    <s v="WA"/>
    <s v="Product POXFU"/>
    <x v="3"/>
    <x v="68"/>
    <d v="2006-10-14T00:00:00"/>
    <x v="3"/>
    <s v="Destination RMBHM"/>
    <x v="8"/>
    <s v="Supplier QWUSF"/>
    <s v="Japan"/>
    <x v="1"/>
    <n v="57.599999999999994"/>
  </r>
  <r>
    <n v="10325"/>
    <n v="14"/>
    <n v="18.600000000000001"/>
    <n v="9"/>
    <n v="0"/>
    <s v="Song, Lolan"/>
    <s v="Song Lolan"/>
    <x v="5"/>
    <s v="WA"/>
    <s v="Product PWCJB"/>
    <x v="2"/>
    <x v="68"/>
    <d v="2006-10-14T00:00:00"/>
    <x v="3"/>
    <s v="Destination RMBHM"/>
    <x v="8"/>
    <s v="Supplier QWUSF"/>
    <s v="Japan"/>
    <x v="1"/>
    <n v="167.4"/>
  </r>
  <r>
    <n v="10325"/>
    <n v="31"/>
    <n v="10"/>
    <n v="4"/>
    <n v="0"/>
    <s v="Song, Lolan"/>
    <s v="Song Lolan"/>
    <x v="5"/>
    <s v="WA"/>
    <s v="Product XWOXC"/>
    <x v="0"/>
    <x v="68"/>
    <d v="2006-10-14T00:00:00"/>
    <x v="3"/>
    <s v="Destination RMBHM"/>
    <x v="8"/>
    <s v="Supplier KEREV"/>
    <s v="Italy"/>
    <x v="1"/>
    <n v="40"/>
  </r>
  <r>
    <n v="10325"/>
    <n v="72"/>
    <n v="27.8"/>
    <n v="40"/>
    <n v="0"/>
    <s v="Song, Lolan"/>
    <s v="Song Lolan"/>
    <x v="5"/>
    <s v="WA"/>
    <s v="Product GEEOO"/>
    <x v="0"/>
    <x v="68"/>
    <d v="2006-10-14T00:00:00"/>
    <x v="3"/>
    <s v="Destination RMBHM"/>
    <x v="8"/>
    <s v="Supplier KEREV"/>
    <s v="Italy"/>
    <x v="1"/>
    <n v="1112"/>
  </r>
  <r>
    <n v="10326"/>
    <n v="4"/>
    <n v="17.600000000000001"/>
    <n v="24"/>
    <n v="0"/>
    <s v="Ilyina, Julia"/>
    <s v="Ilyina Julia"/>
    <x v="1"/>
    <s v="WA"/>
    <s v="Product KSBRM"/>
    <x v="4"/>
    <x v="69"/>
    <d v="2006-10-14T00:00:00"/>
    <x v="1"/>
    <s v="Ship to 8-A"/>
    <x v="13"/>
    <s v="Supplier VHQZD"/>
    <s v="USA"/>
    <x v="1"/>
    <n v="422.40000000000003"/>
  </r>
  <r>
    <n v="10326"/>
    <n v="57"/>
    <n v="15.6"/>
    <n v="16"/>
    <n v="0"/>
    <s v="Ilyina, Julia"/>
    <s v="Ilyina Julia"/>
    <x v="1"/>
    <s v="WA"/>
    <s v="Product OVLQI"/>
    <x v="1"/>
    <x v="69"/>
    <d v="2006-10-14T00:00:00"/>
    <x v="1"/>
    <s v="Ship to 8-A"/>
    <x v="13"/>
    <s v="Supplier ZWZDM"/>
    <s v="Italy"/>
    <x v="1"/>
    <n v="249.6"/>
  </r>
  <r>
    <n v="10326"/>
    <n v="75"/>
    <n v="6.2"/>
    <n v="50"/>
    <n v="0"/>
    <s v="Ilyina, Julia"/>
    <s v="Ilyina Julia"/>
    <x v="1"/>
    <s v="WA"/>
    <s v="Product BWRLG"/>
    <x v="6"/>
    <x v="69"/>
    <d v="2006-10-14T00:00:00"/>
    <x v="1"/>
    <s v="Ship to 8-A"/>
    <x v="13"/>
    <s v="Supplier SVIYA"/>
    <s v="Germany"/>
    <x v="1"/>
    <n v="310"/>
  </r>
  <r>
    <n v="10327"/>
    <n v="2"/>
    <n v="15.2"/>
    <n v="25"/>
    <n v="0.2"/>
    <s v="San Juan, Patricia"/>
    <s v="San Juan Patricia"/>
    <x v="8"/>
    <s v="WA"/>
    <s v="Product RECZE"/>
    <x v="6"/>
    <x v="70"/>
    <d v="2006-10-14T00:00:00"/>
    <x v="2"/>
    <s v="Destination NCKKO"/>
    <x v="10"/>
    <s v="Supplier SWRXU"/>
    <s v="UK"/>
    <x v="1"/>
    <n v="304"/>
  </r>
  <r>
    <n v="10327"/>
    <n v="11"/>
    <n v="16.8"/>
    <n v="50"/>
    <n v="0.2"/>
    <s v="San Juan, Patricia"/>
    <s v="San Juan Patricia"/>
    <x v="8"/>
    <s v="WA"/>
    <s v="Product QMVUN"/>
    <x v="0"/>
    <x v="70"/>
    <d v="2006-10-14T00:00:00"/>
    <x v="2"/>
    <s v="Destination NCKKO"/>
    <x v="10"/>
    <s v="Supplier EQPNC"/>
    <s v="Spain"/>
    <x v="1"/>
    <n v="672"/>
  </r>
  <r>
    <n v="10327"/>
    <n v="30"/>
    <n v="20.7"/>
    <n v="35"/>
    <n v="0.2"/>
    <s v="San Juan, Patricia"/>
    <s v="San Juan Patricia"/>
    <x v="8"/>
    <s v="WA"/>
    <s v="Product LYERX"/>
    <x v="3"/>
    <x v="70"/>
    <d v="2006-10-14T00:00:00"/>
    <x v="2"/>
    <s v="Destination NCKKO"/>
    <x v="10"/>
    <s v="Supplier TEGSC"/>
    <s v="Germany"/>
    <x v="1"/>
    <n v="579.6"/>
  </r>
  <r>
    <n v="10327"/>
    <n v="58"/>
    <n v="10.6"/>
    <n v="30"/>
    <n v="0.2"/>
    <s v="San Juan, Patricia"/>
    <s v="San Juan Patricia"/>
    <x v="8"/>
    <s v="WA"/>
    <s v="Product ACRVI"/>
    <x v="3"/>
    <x v="70"/>
    <d v="2006-10-14T00:00:00"/>
    <x v="2"/>
    <s v="Destination NCKKO"/>
    <x v="10"/>
    <s v="Supplier ZRYDZ"/>
    <s v="France"/>
    <x v="1"/>
    <n v="254.4"/>
  </r>
  <r>
    <n v="10328"/>
    <n v="59"/>
    <n v="44"/>
    <n v="9"/>
    <n v="0"/>
    <s v="Cavaglieri, Giorgio"/>
    <s v="Cavaglieri Giorgio"/>
    <x v="1"/>
    <s v="WA"/>
    <s v="Product UKXRI"/>
    <x v="0"/>
    <x v="71"/>
    <d v="2006-10-17T00:00:00"/>
    <x v="3"/>
    <s v="Destination CIRQO"/>
    <x v="16"/>
    <s v="Supplier OAVQT"/>
    <s v="France"/>
    <x v="1"/>
    <n v="396"/>
  </r>
  <r>
    <n v="10328"/>
    <n v="65"/>
    <n v="16.8"/>
    <n v="40"/>
    <n v="0"/>
    <s v="Cavaglieri, Giorgio"/>
    <s v="Cavaglieri Giorgio"/>
    <x v="1"/>
    <s v="WA"/>
    <s v="Product XYWBZ"/>
    <x v="4"/>
    <x v="71"/>
    <d v="2006-10-17T00:00:00"/>
    <x v="3"/>
    <s v="Destination CIRQO"/>
    <x v="16"/>
    <s v="Supplier VHQZD"/>
    <s v="USA"/>
    <x v="1"/>
    <n v="672"/>
  </r>
  <r>
    <n v="10328"/>
    <n v="68"/>
    <n v="10"/>
    <n v="10"/>
    <n v="0"/>
    <s v="Cavaglieri, Giorgio"/>
    <s v="Cavaglieri Giorgio"/>
    <x v="1"/>
    <s v="WA"/>
    <s v="Product TBTBL"/>
    <x v="5"/>
    <x v="71"/>
    <d v="2006-10-17T00:00:00"/>
    <x v="3"/>
    <s v="Destination CIRQO"/>
    <x v="16"/>
    <s v="Supplier BWGYE"/>
    <s v="UK"/>
    <x v="1"/>
    <n v="100"/>
  </r>
  <r>
    <n v="10329"/>
    <n v="19"/>
    <n v="7.3"/>
    <n v="10"/>
    <n v="0.05"/>
    <s v="Wojciechowska, Agnieszka"/>
    <s v="Wojciechowska Agnieszka"/>
    <x v="1"/>
    <s v="WA"/>
    <s v="Product XKXDO"/>
    <x v="5"/>
    <x v="72"/>
    <d v="2006-10-23T00:00:00"/>
    <x v="1"/>
    <s v="Ship to 75-C"/>
    <x v="9"/>
    <s v="Supplier BWGYE"/>
    <s v="UK"/>
    <x v="2"/>
    <n v="69.349999999999994"/>
  </r>
  <r>
    <n v="10329"/>
    <n v="30"/>
    <n v="20.7"/>
    <n v="8"/>
    <n v="0.05"/>
    <s v="Wojciechowska, Agnieszka"/>
    <s v="Wojciechowska Agnieszka"/>
    <x v="1"/>
    <s v="WA"/>
    <s v="Product LYERX"/>
    <x v="3"/>
    <x v="72"/>
    <d v="2006-10-23T00:00:00"/>
    <x v="1"/>
    <s v="Ship to 75-C"/>
    <x v="9"/>
    <s v="Supplier TEGSC"/>
    <s v="Germany"/>
    <x v="2"/>
    <n v="157.32"/>
  </r>
  <r>
    <n v="10329"/>
    <n v="38"/>
    <n v="210.8"/>
    <n v="20"/>
    <n v="0.05"/>
    <s v="Wojciechowska, Agnieszka"/>
    <s v="Wojciechowska Agnieszka"/>
    <x v="1"/>
    <s v="WA"/>
    <s v="Product QDOMO"/>
    <x v="6"/>
    <x v="72"/>
    <d v="2006-10-23T00:00:00"/>
    <x v="1"/>
    <s v="Ship to 75-C"/>
    <x v="9"/>
    <s v="Supplier LVJUA"/>
    <s v="France"/>
    <x v="2"/>
    <n v="4005.2"/>
  </r>
  <r>
    <n v="10329"/>
    <n v="56"/>
    <n v="30.4"/>
    <n v="12"/>
    <n v="0.05"/>
    <s v="Wojciechowska, Agnieszka"/>
    <s v="Wojciechowska Agnieszka"/>
    <x v="1"/>
    <s v="WA"/>
    <s v="Product VKCMF"/>
    <x v="1"/>
    <x v="72"/>
    <d v="2006-10-23T00:00:00"/>
    <x v="1"/>
    <s v="Ship to 75-C"/>
    <x v="9"/>
    <s v="Supplier ZWZDM"/>
    <s v="Italy"/>
    <x v="2"/>
    <n v="346.55999999999995"/>
  </r>
  <r>
    <n v="10330"/>
    <n v="26"/>
    <n v="24.9"/>
    <n v="50"/>
    <n v="0.15"/>
    <s v="Dressler, Marlies"/>
    <s v="Dressler Marlies"/>
    <x v="2"/>
    <s v="WA"/>
    <s v="Product HLGZA"/>
    <x v="5"/>
    <x v="73"/>
    <d v="2006-10-28T00:00:00"/>
    <x v="2"/>
    <s v="Ship to 46-A"/>
    <x v="5"/>
    <s v="Supplier ZPYVS"/>
    <s v="Germany"/>
    <x v="1"/>
    <n v="1058.25"/>
  </r>
  <r>
    <n v="10330"/>
    <n v="72"/>
    <n v="27.8"/>
    <n v="25"/>
    <n v="0.15"/>
    <s v="Dressler, Marlies"/>
    <s v="Dressler Marlies"/>
    <x v="2"/>
    <s v="WA"/>
    <s v="Product GEEOO"/>
    <x v="0"/>
    <x v="73"/>
    <d v="2006-10-28T00:00:00"/>
    <x v="2"/>
    <s v="Ship to 46-A"/>
    <x v="5"/>
    <s v="Supplier KEREV"/>
    <s v="Italy"/>
    <x v="1"/>
    <n v="590.75"/>
  </r>
  <r>
    <n v="10331"/>
    <n v="54"/>
    <n v="5.9"/>
    <n v="15"/>
    <n v="0"/>
    <s v="Raghav, Amritansh"/>
    <s v="Raghav Amritansh"/>
    <x v="4"/>
    <n v="0"/>
    <s v="Product QAQRL"/>
    <x v="7"/>
    <x v="73"/>
    <d v="2006-10-21T00:00:00"/>
    <x v="2"/>
    <s v="Ship to 9-C"/>
    <x v="2"/>
    <s v="Supplier ERVYZ"/>
    <s v="Canada"/>
    <x v="1"/>
    <n v="88.5"/>
  </r>
  <r>
    <n v="10332"/>
    <n v="18"/>
    <n v="50"/>
    <n v="40"/>
    <n v="0.2"/>
    <s v="Taylor, Maurice"/>
    <s v="Taylor Maurice"/>
    <x v="2"/>
    <s v="WA"/>
    <s v="Product CKEDC"/>
    <x v="3"/>
    <x v="74"/>
    <d v="2006-10-21T00:00:00"/>
    <x v="1"/>
    <s v="Ship to 51-B"/>
    <x v="17"/>
    <s v="Supplier GQRCV"/>
    <s v="Australia"/>
    <x v="1"/>
    <n v="1600"/>
  </r>
  <r>
    <n v="10332"/>
    <n v="42"/>
    <n v="11.2"/>
    <n v="10"/>
    <n v="0.2"/>
    <s v="Taylor, Maurice"/>
    <s v="Taylor Maurice"/>
    <x v="2"/>
    <s v="WA"/>
    <s v="Product RJVNM"/>
    <x v="1"/>
    <x v="74"/>
    <d v="2006-10-21T00:00:00"/>
    <x v="1"/>
    <s v="Ship to 51-B"/>
    <x v="17"/>
    <s v="Supplier CIYNM"/>
    <s v="Singapore"/>
    <x v="1"/>
    <n v="89.600000000000009"/>
  </r>
  <r>
    <n v="10332"/>
    <n v="47"/>
    <n v="7.6"/>
    <n v="16"/>
    <n v="0.2"/>
    <s v="Taylor, Maurice"/>
    <s v="Taylor Maurice"/>
    <x v="2"/>
    <s v="WA"/>
    <s v="Product EZZPR"/>
    <x v="5"/>
    <x v="74"/>
    <d v="2006-10-21T00:00:00"/>
    <x v="1"/>
    <s v="Ship to 51-B"/>
    <x v="17"/>
    <s v="Supplier FNUXM"/>
    <s v="Netherlands"/>
    <x v="1"/>
    <n v="97.28"/>
  </r>
  <r>
    <n v="10333"/>
    <n v="14"/>
    <n v="18.600000000000001"/>
    <n v="10"/>
    <n v="0"/>
    <s v="Ludwig, Michael"/>
    <s v="Ludwig Michael"/>
    <x v="3"/>
    <n v="0"/>
    <s v="Product PWCJB"/>
    <x v="2"/>
    <x v="75"/>
    <d v="2006-10-25T00:00:00"/>
    <x v="3"/>
    <s v="Ship to 87-C"/>
    <x v="11"/>
    <s v="Supplier QWUSF"/>
    <s v="Japan"/>
    <x v="1"/>
    <n v="186"/>
  </r>
  <r>
    <n v="10333"/>
    <n v="21"/>
    <n v="8"/>
    <n v="10"/>
    <n v="0.1"/>
    <s v="Ludwig, Michael"/>
    <s v="Ludwig Michael"/>
    <x v="3"/>
    <n v="0"/>
    <s v="Product VJZZH"/>
    <x v="5"/>
    <x v="75"/>
    <d v="2006-10-25T00:00:00"/>
    <x v="3"/>
    <s v="Ship to 87-C"/>
    <x v="11"/>
    <s v="Supplier BWGYE"/>
    <s v="UK"/>
    <x v="1"/>
    <n v="72"/>
  </r>
  <r>
    <n v="10333"/>
    <n v="71"/>
    <n v="17.2"/>
    <n v="40"/>
    <n v="0.1"/>
    <s v="Ludwig, Michael"/>
    <s v="Ludwig Michael"/>
    <x v="3"/>
    <n v="0"/>
    <s v="Product MYMOI"/>
    <x v="0"/>
    <x v="75"/>
    <d v="2006-10-25T00:00:00"/>
    <x v="3"/>
    <s v="Ship to 87-C"/>
    <x v="11"/>
    <s v="Supplier NZLIF"/>
    <s v="Norway"/>
    <x v="1"/>
    <n v="619.20000000000005"/>
  </r>
  <r>
    <n v="10334"/>
    <n v="52"/>
    <n v="5.6"/>
    <n v="8"/>
    <n v="0"/>
    <s v="Tuntisangaroon, Sittichai"/>
    <s v="Tuntisangaroon Sittichai"/>
    <x v="6"/>
    <s v="WA"/>
    <s v="Product QSRXF"/>
    <x v="1"/>
    <x v="76"/>
    <d v="2006-10-28T00:00:00"/>
    <x v="1"/>
    <s v="Ship to 84-B"/>
    <x v="2"/>
    <s v="Supplier JNNES"/>
    <s v="Australia"/>
    <x v="1"/>
    <n v="44.8"/>
  </r>
  <r>
    <n v="10334"/>
    <n v="68"/>
    <n v="10"/>
    <n v="10"/>
    <n v="0"/>
    <s v="Tuntisangaroon, Sittichai"/>
    <s v="Tuntisangaroon Sittichai"/>
    <x v="6"/>
    <s v="WA"/>
    <s v="Product TBTBL"/>
    <x v="5"/>
    <x v="76"/>
    <d v="2006-10-28T00:00:00"/>
    <x v="1"/>
    <s v="Ship to 84-B"/>
    <x v="2"/>
    <s v="Supplier BWGYE"/>
    <s v="UK"/>
    <x v="1"/>
    <n v="100"/>
  </r>
  <r>
    <n v="10335"/>
    <n v="2"/>
    <n v="15.2"/>
    <n v="7"/>
    <n v="0.2"/>
    <s v="Crăciun, Ovidiu V."/>
    <s v="Crăciun Ovidiu V."/>
    <x v="9"/>
    <n v="0"/>
    <s v="Product RECZE"/>
    <x v="6"/>
    <x v="77"/>
    <d v="2006-10-24T00:00:00"/>
    <x v="1"/>
    <s v="Destination ATSOA"/>
    <x v="15"/>
    <s v="Supplier SWRXU"/>
    <s v="UK"/>
    <x v="1"/>
    <n v="85.12"/>
  </r>
  <r>
    <n v="10335"/>
    <n v="31"/>
    <n v="10"/>
    <n v="25"/>
    <n v="0.2"/>
    <s v="Crăciun, Ovidiu V."/>
    <s v="Crăciun Ovidiu V."/>
    <x v="9"/>
    <n v="0"/>
    <s v="Product XWOXC"/>
    <x v="0"/>
    <x v="77"/>
    <d v="2006-10-24T00:00:00"/>
    <x v="1"/>
    <s v="Destination ATSOA"/>
    <x v="15"/>
    <s v="Supplier KEREV"/>
    <s v="Italy"/>
    <x v="1"/>
    <n v="200"/>
  </r>
  <r>
    <n v="10335"/>
    <n v="32"/>
    <n v="25.6"/>
    <n v="6"/>
    <n v="0.2"/>
    <s v="Crăciun, Ovidiu V."/>
    <s v="Crăciun Ovidiu V."/>
    <x v="9"/>
    <n v="0"/>
    <s v="Product NUNAW"/>
    <x v="0"/>
    <x v="77"/>
    <d v="2006-10-24T00:00:00"/>
    <x v="1"/>
    <s v="Destination ATSOA"/>
    <x v="15"/>
    <s v="Supplier KEREV"/>
    <s v="Italy"/>
    <x v="1"/>
    <n v="122.88000000000002"/>
  </r>
  <r>
    <n v="10335"/>
    <n v="51"/>
    <n v="42.4"/>
    <n v="48"/>
    <n v="0.2"/>
    <s v="Crăciun, Ovidiu V."/>
    <s v="Crăciun Ovidiu V."/>
    <x v="9"/>
    <n v="0"/>
    <s v="Product APITJ"/>
    <x v="2"/>
    <x v="77"/>
    <d v="2006-10-24T00:00:00"/>
    <x v="1"/>
    <s v="Destination ATSOA"/>
    <x v="15"/>
    <s v="Supplier JNNES"/>
    <s v="Australia"/>
    <x v="1"/>
    <n v="1628.1599999999999"/>
  </r>
  <r>
    <n v="10336"/>
    <n v="4"/>
    <n v="17.600000000000001"/>
    <n v="18"/>
    <n v="0.1"/>
    <s v="Uppal, Sunil"/>
    <s v="Uppal Sunil"/>
    <x v="9"/>
    <n v="0"/>
    <s v="Product KSBRM"/>
    <x v="4"/>
    <x v="78"/>
    <d v="2006-10-25T00:00:00"/>
    <x v="1"/>
    <s v="Ship to 60-B"/>
    <x v="16"/>
    <s v="Supplier VHQZD"/>
    <s v="USA"/>
    <x v="1"/>
    <n v="285.12"/>
  </r>
  <r>
    <n v="10337"/>
    <n v="23"/>
    <n v="7.2"/>
    <n v="40"/>
    <n v="0"/>
    <s v="Carlson, Jason"/>
    <s v="Carlson Jason"/>
    <x v="1"/>
    <s v="WA"/>
    <s v="Product JLUDZ"/>
    <x v="1"/>
    <x v="79"/>
    <d v="2006-10-29T00:00:00"/>
    <x v="3"/>
    <s v="Destination QOCBL"/>
    <x v="8"/>
    <s v="Supplier QQYEU"/>
    <s v="Sweden"/>
    <x v="2"/>
    <n v="288"/>
  </r>
  <r>
    <n v="10337"/>
    <n v="26"/>
    <n v="24.9"/>
    <n v="24"/>
    <n v="0"/>
    <s v="Carlson, Jason"/>
    <s v="Carlson Jason"/>
    <x v="1"/>
    <s v="WA"/>
    <s v="Product HLGZA"/>
    <x v="5"/>
    <x v="79"/>
    <d v="2006-10-29T00:00:00"/>
    <x v="3"/>
    <s v="Destination QOCBL"/>
    <x v="8"/>
    <s v="Supplier ZPYVS"/>
    <s v="Germany"/>
    <x v="2"/>
    <n v="597.59999999999991"/>
  </r>
  <r>
    <n v="10337"/>
    <n v="36"/>
    <n v="15.2"/>
    <n v="20"/>
    <n v="0"/>
    <s v="Carlson, Jason"/>
    <s v="Carlson Jason"/>
    <x v="1"/>
    <s v="WA"/>
    <s v="Product GMKIJ"/>
    <x v="3"/>
    <x v="79"/>
    <d v="2006-10-29T00:00:00"/>
    <x v="3"/>
    <s v="Destination QOCBL"/>
    <x v="8"/>
    <s v="Supplier QZGUF"/>
    <s v="Sweden"/>
    <x v="2"/>
    <n v="304"/>
  </r>
  <r>
    <n v="10337"/>
    <n v="37"/>
    <n v="20.8"/>
    <n v="28"/>
    <n v="0"/>
    <s v="Carlson, Jason"/>
    <s v="Carlson Jason"/>
    <x v="1"/>
    <s v="WA"/>
    <s v="Product EVFFA"/>
    <x v="3"/>
    <x v="79"/>
    <d v="2006-10-29T00:00:00"/>
    <x v="3"/>
    <s v="Destination QOCBL"/>
    <x v="8"/>
    <s v="Supplier QZGUF"/>
    <s v="Sweden"/>
    <x v="2"/>
    <n v="582.4"/>
  </r>
  <r>
    <n v="10337"/>
    <n v="72"/>
    <n v="27.8"/>
    <n v="25"/>
    <n v="0"/>
    <s v="Carlson, Jason"/>
    <s v="Carlson Jason"/>
    <x v="1"/>
    <s v="WA"/>
    <s v="Product GEEOO"/>
    <x v="0"/>
    <x v="79"/>
    <d v="2006-10-29T00:00:00"/>
    <x v="3"/>
    <s v="Destination QOCBL"/>
    <x v="8"/>
    <s v="Supplier KEREV"/>
    <s v="Italy"/>
    <x v="2"/>
    <n v="695"/>
  </r>
  <r>
    <n v="10338"/>
    <n v="17"/>
    <n v="31.2"/>
    <n v="20"/>
    <n v="0"/>
    <s v="Egelund-Muller, Anja"/>
    <s v="Egelund-Muller Anja"/>
    <x v="1"/>
    <s v="WA"/>
    <s v="Product BLCAX"/>
    <x v="7"/>
    <x v="80"/>
    <d v="2006-10-29T00:00:00"/>
    <x v="3"/>
    <s v="Ship to 55-C"/>
    <x v="9"/>
    <s v="Supplier GQRCV"/>
    <s v="Australia"/>
    <x v="1"/>
    <n v="624"/>
  </r>
  <r>
    <n v="10338"/>
    <n v="30"/>
    <n v="20.7"/>
    <n v="15"/>
    <n v="0"/>
    <s v="Egelund-Muller, Anja"/>
    <s v="Egelund-Muller Anja"/>
    <x v="1"/>
    <s v="WA"/>
    <s v="Product LYERX"/>
    <x v="3"/>
    <x v="80"/>
    <d v="2006-10-29T00:00:00"/>
    <x v="3"/>
    <s v="Ship to 55-C"/>
    <x v="9"/>
    <s v="Supplier TEGSC"/>
    <s v="Germany"/>
    <x v="1"/>
    <n v="310.5"/>
  </r>
  <r>
    <n v="10339"/>
    <n v="4"/>
    <n v="17.600000000000001"/>
    <n v="10"/>
    <n v="0"/>
    <s v="Taylor, Maurice"/>
    <s v="Taylor Maurice"/>
    <x v="8"/>
    <s v="WA"/>
    <s v="Product KSBRM"/>
    <x v="4"/>
    <x v="81"/>
    <d v="2006-11-04T00:00:00"/>
    <x v="1"/>
    <s v="Ship to 51-C"/>
    <x v="17"/>
    <s v="Supplier VHQZD"/>
    <s v="USA"/>
    <x v="1"/>
    <n v="176"/>
  </r>
  <r>
    <n v="10339"/>
    <n v="17"/>
    <n v="31.2"/>
    <n v="70"/>
    <n v="0.05"/>
    <s v="Taylor, Maurice"/>
    <s v="Taylor Maurice"/>
    <x v="8"/>
    <s v="WA"/>
    <s v="Product BLCAX"/>
    <x v="7"/>
    <x v="81"/>
    <d v="2006-11-04T00:00:00"/>
    <x v="1"/>
    <s v="Ship to 51-C"/>
    <x v="17"/>
    <s v="Supplier GQRCV"/>
    <s v="Australia"/>
    <x v="1"/>
    <n v="2074.7999999999997"/>
  </r>
  <r>
    <n v="10339"/>
    <n v="62"/>
    <n v="39.4"/>
    <n v="28"/>
    <n v="0"/>
    <s v="Taylor, Maurice"/>
    <s v="Taylor Maurice"/>
    <x v="8"/>
    <s v="WA"/>
    <s v="Product WUXYK"/>
    <x v="5"/>
    <x v="81"/>
    <d v="2006-11-04T00:00:00"/>
    <x v="1"/>
    <s v="Ship to 51-C"/>
    <x v="17"/>
    <s v="Supplier OGLRK"/>
    <s v="Canada"/>
    <x v="1"/>
    <n v="1103.2"/>
  </r>
  <r>
    <n v="10340"/>
    <n v="18"/>
    <n v="50"/>
    <n v="20"/>
    <n v="0.05"/>
    <s v="Raghav, Amritansh"/>
    <s v="Raghav Amritansh"/>
    <x v="5"/>
    <s v="WA"/>
    <s v="Product CKEDC"/>
    <x v="3"/>
    <x v="82"/>
    <d v="2006-11-08T00:00:00"/>
    <x v="3"/>
    <s v="Ship to 9-A"/>
    <x v="2"/>
    <s v="Supplier GQRCV"/>
    <s v="Australia"/>
    <x v="2"/>
    <n v="950"/>
  </r>
  <r>
    <n v="10340"/>
    <n v="41"/>
    <n v="7.7"/>
    <n v="12"/>
    <n v="0.05"/>
    <s v="Raghav, Amritansh"/>
    <s v="Raghav Amritansh"/>
    <x v="5"/>
    <s v="WA"/>
    <s v="Product TTEEX"/>
    <x v="3"/>
    <x v="82"/>
    <d v="2006-11-08T00:00:00"/>
    <x v="3"/>
    <s v="Ship to 9-A"/>
    <x v="2"/>
    <s v="Supplier JDNUG"/>
    <s v="USA"/>
    <x v="2"/>
    <n v="87.78"/>
  </r>
  <r>
    <n v="10340"/>
    <n v="43"/>
    <n v="36.799999999999997"/>
    <n v="40"/>
    <n v="0.05"/>
    <s v="Raghav, Amritansh"/>
    <s v="Raghav Amritansh"/>
    <x v="5"/>
    <s v="WA"/>
    <s v="Product ZZZHR"/>
    <x v="6"/>
    <x v="82"/>
    <d v="2006-11-08T00:00:00"/>
    <x v="3"/>
    <s v="Ship to 9-A"/>
    <x v="2"/>
    <s v="Supplier CIYNM"/>
    <s v="Singapore"/>
    <x v="2"/>
    <n v="1398.3999999999999"/>
  </r>
  <r>
    <n v="10341"/>
    <n v="33"/>
    <n v="2"/>
    <n v="8"/>
    <n v="0"/>
    <s v="Gonzalez, Nuria"/>
    <s v="Gonzalez Nuria"/>
    <x v="9"/>
    <n v="0"/>
    <s v="Product ASTMN"/>
    <x v="0"/>
    <x v="82"/>
    <d v="2006-11-05T00:00:00"/>
    <x v="3"/>
    <s v="Ship to 73-A"/>
    <x v="18"/>
    <s v="Supplier NZLIF"/>
    <s v="Norway"/>
    <x v="1"/>
    <n v="16"/>
  </r>
  <r>
    <n v="10341"/>
    <n v="59"/>
    <n v="44"/>
    <n v="9"/>
    <n v="0.15"/>
    <s v="Gonzalez, Nuria"/>
    <s v="Gonzalez Nuria"/>
    <x v="9"/>
    <n v="0"/>
    <s v="Product UKXRI"/>
    <x v="0"/>
    <x v="82"/>
    <d v="2006-11-05T00:00:00"/>
    <x v="3"/>
    <s v="Ship to 73-A"/>
    <x v="18"/>
    <s v="Supplier OAVQT"/>
    <s v="France"/>
    <x v="1"/>
    <n v="336.59999999999997"/>
  </r>
  <r>
    <n v="10342"/>
    <n v="2"/>
    <n v="15.2"/>
    <n v="24"/>
    <n v="0.2"/>
    <s v="Carlson, Jason"/>
    <s v="Carlson Jason"/>
    <x v="1"/>
    <s v="WA"/>
    <s v="Product RECZE"/>
    <x v="6"/>
    <x v="83"/>
    <d v="2006-11-04T00:00:00"/>
    <x v="1"/>
    <s v="Destination VAPXU"/>
    <x v="8"/>
    <s v="Supplier SWRXU"/>
    <s v="UK"/>
    <x v="1"/>
    <n v="291.83999999999997"/>
  </r>
  <r>
    <n v="10342"/>
    <n v="31"/>
    <n v="10"/>
    <n v="56"/>
    <n v="0.2"/>
    <s v="Carlson, Jason"/>
    <s v="Carlson Jason"/>
    <x v="1"/>
    <s v="WA"/>
    <s v="Product XWOXC"/>
    <x v="0"/>
    <x v="83"/>
    <d v="2006-11-04T00:00:00"/>
    <x v="1"/>
    <s v="Destination VAPXU"/>
    <x v="8"/>
    <s v="Supplier KEREV"/>
    <s v="Italy"/>
    <x v="1"/>
    <n v="448"/>
  </r>
  <r>
    <n v="10342"/>
    <n v="36"/>
    <n v="15.2"/>
    <n v="40"/>
    <n v="0.2"/>
    <s v="Carlson, Jason"/>
    <s v="Carlson Jason"/>
    <x v="1"/>
    <s v="WA"/>
    <s v="Product GMKIJ"/>
    <x v="3"/>
    <x v="83"/>
    <d v="2006-11-04T00:00:00"/>
    <x v="1"/>
    <s v="Destination VAPXU"/>
    <x v="8"/>
    <s v="Supplier QZGUF"/>
    <s v="Sweden"/>
    <x v="1"/>
    <n v="486.40000000000003"/>
  </r>
  <r>
    <n v="10342"/>
    <n v="55"/>
    <n v="19.2"/>
    <n v="40"/>
    <n v="0.2"/>
    <s v="Carlson, Jason"/>
    <s v="Carlson Jason"/>
    <x v="1"/>
    <s v="WA"/>
    <s v="Product YYWRT"/>
    <x v="7"/>
    <x v="83"/>
    <d v="2006-11-04T00:00:00"/>
    <x v="1"/>
    <s v="Destination VAPXU"/>
    <x v="8"/>
    <s v="Supplier ERVYZ"/>
    <s v="Canada"/>
    <x v="1"/>
    <n v="614.40000000000009"/>
  </r>
  <r>
    <n v="10343"/>
    <n v="64"/>
    <n v="26.6"/>
    <n v="50"/>
    <n v="0"/>
    <s v="Louverdis, George"/>
    <s v="Louverdis George"/>
    <x v="1"/>
    <s v="WA"/>
    <s v="Product HCQDE"/>
    <x v="1"/>
    <x v="84"/>
    <d v="2006-11-06T00:00:00"/>
    <x v="2"/>
    <s v="Ship to 44-A"/>
    <x v="8"/>
    <s v="Supplier SVIYA"/>
    <s v="Germany"/>
    <x v="2"/>
    <n v="1330"/>
  </r>
  <r>
    <n v="10343"/>
    <n v="68"/>
    <n v="10"/>
    <n v="4"/>
    <n v="0.05"/>
    <s v="Louverdis, George"/>
    <s v="Louverdis George"/>
    <x v="1"/>
    <s v="WA"/>
    <s v="Product TBTBL"/>
    <x v="5"/>
    <x v="84"/>
    <d v="2006-11-06T00:00:00"/>
    <x v="2"/>
    <s v="Ship to 44-A"/>
    <x v="8"/>
    <s v="Supplier BWGYE"/>
    <s v="UK"/>
    <x v="2"/>
    <n v="38"/>
  </r>
  <r>
    <n v="10343"/>
    <n v="76"/>
    <n v="14.4"/>
    <n v="15"/>
    <n v="0"/>
    <s v="Louverdis, George"/>
    <s v="Louverdis George"/>
    <x v="1"/>
    <s v="WA"/>
    <s v="Product JYGFE"/>
    <x v="6"/>
    <x v="84"/>
    <d v="2006-11-06T00:00:00"/>
    <x v="2"/>
    <s v="Ship to 44-A"/>
    <x v="8"/>
    <s v="Supplier ELCRN"/>
    <s v="Finland"/>
    <x v="2"/>
    <n v="216"/>
  </r>
  <r>
    <n v="10344"/>
    <n v="4"/>
    <n v="17.600000000000001"/>
    <n v="35"/>
    <n v="0"/>
    <s v="Smith Jr., Ronaldo"/>
    <s v="Smith Jr. Ronaldo"/>
    <x v="1"/>
    <s v="WA"/>
    <s v="Product KSBRM"/>
    <x v="4"/>
    <x v="85"/>
    <d v="2006-11-05T00:00:00"/>
    <x v="1"/>
    <s v="Ship to 89-A"/>
    <x v="9"/>
    <s v="Supplier VHQZD"/>
    <s v="USA"/>
    <x v="1"/>
    <n v="616"/>
  </r>
  <r>
    <n v="10344"/>
    <n v="8"/>
    <n v="32"/>
    <n v="70"/>
    <n v="0.25"/>
    <s v="Smith Jr., Ronaldo"/>
    <s v="Smith Jr. Ronaldo"/>
    <x v="1"/>
    <s v="WA"/>
    <s v="Product WVJFP"/>
    <x v="4"/>
    <x v="85"/>
    <d v="2006-11-05T00:00:00"/>
    <x v="1"/>
    <s v="Ship to 89-A"/>
    <x v="9"/>
    <s v="Supplier STUAZ"/>
    <s v="USA"/>
    <x v="1"/>
    <n v="1680"/>
  </r>
  <r>
    <n v="10345"/>
    <n v="8"/>
    <n v="32"/>
    <n v="70"/>
    <n v="0"/>
    <s v="Veronesi, Giorgio"/>
    <s v="Veronesi Giorgio"/>
    <x v="8"/>
    <s v="WA"/>
    <s v="Product WVJFP"/>
    <x v="4"/>
    <x v="86"/>
    <d v="2006-11-11T00:00:00"/>
    <x v="1"/>
    <s v="Ship to 63-B"/>
    <x v="8"/>
    <s v="Supplier STUAZ"/>
    <s v="USA"/>
    <x v="2"/>
    <n v="2240"/>
  </r>
  <r>
    <n v="10345"/>
    <n v="19"/>
    <n v="7.3"/>
    <n v="80"/>
    <n v="0"/>
    <s v="Veronesi, Giorgio"/>
    <s v="Veronesi Giorgio"/>
    <x v="8"/>
    <s v="WA"/>
    <s v="Product XKXDO"/>
    <x v="5"/>
    <x v="86"/>
    <d v="2006-11-11T00:00:00"/>
    <x v="1"/>
    <s v="Ship to 63-B"/>
    <x v="8"/>
    <s v="Supplier BWGYE"/>
    <s v="UK"/>
    <x v="2"/>
    <n v="584"/>
  </r>
  <r>
    <n v="10345"/>
    <n v="42"/>
    <n v="11.2"/>
    <n v="9"/>
    <n v="0"/>
    <s v="Veronesi, Giorgio"/>
    <s v="Veronesi Giorgio"/>
    <x v="8"/>
    <s v="WA"/>
    <s v="Product RJVNM"/>
    <x v="1"/>
    <x v="86"/>
    <d v="2006-11-11T00:00:00"/>
    <x v="1"/>
    <s v="Ship to 63-B"/>
    <x v="8"/>
    <s v="Supplier CIYNM"/>
    <s v="Singapore"/>
    <x v="2"/>
    <n v="100.8"/>
  </r>
  <r>
    <n v="10346"/>
    <n v="17"/>
    <n v="31.2"/>
    <n v="36"/>
    <n v="0.1"/>
    <s v="Moore, Michael"/>
    <s v="Moore Michael"/>
    <x v="2"/>
    <s v="WA"/>
    <s v="Product BLCAX"/>
    <x v="7"/>
    <x v="87"/>
    <d v="2006-11-08T00:00:00"/>
    <x v="3"/>
    <s v="Ship to 65-A"/>
    <x v="9"/>
    <s v="Supplier GQRCV"/>
    <s v="Australia"/>
    <x v="2"/>
    <n v="1010.8800000000001"/>
  </r>
  <r>
    <n v="10346"/>
    <n v="56"/>
    <n v="30.4"/>
    <n v="20"/>
    <n v="0"/>
    <s v="Moore, Michael"/>
    <s v="Moore Michael"/>
    <x v="2"/>
    <s v="WA"/>
    <s v="Product VKCMF"/>
    <x v="1"/>
    <x v="87"/>
    <d v="2006-11-08T00:00:00"/>
    <x v="3"/>
    <s v="Ship to 65-A"/>
    <x v="9"/>
    <s v="Supplier ZWZDM"/>
    <s v="Italy"/>
    <x v="2"/>
    <n v="608"/>
  </r>
  <r>
    <n v="10347"/>
    <n v="25"/>
    <n v="11.2"/>
    <n v="10"/>
    <n v="0"/>
    <s v="Russo, Giuseppe"/>
    <s v="Russo Giuseppe"/>
    <x v="1"/>
    <s v="WA"/>
    <s v="Product LYLNI"/>
    <x v="5"/>
    <x v="88"/>
    <d v="2006-11-08T00:00:00"/>
    <x v="3"/>
    <s v="Destination KKELL"/>
    <x v="1"/>
    <s v="Supplier ZPYVS"/>
    <s v="Germany"/>
    <x v="1"/>
    <n v="112"/>
  </r>
  <r>
    <n v="10347"/>
    <n v="39"/>
    <n v="14.4"/>
    <n v="50"/>
    <n v="0.15"/>
    <s v="Russo, Giuseppe"/>
    <s v="Russo Giuseppe"/>
    <x v="1"/>
    <s v="WA"/>
    <s v="Product LSOFL"/>
    <x v="6"/>
    <x v="88"/>
    <d v="2006-11-08T00:00:00"/>
    <x v="3"/>
    <s v="Destination KKELL"/>
    <x v="1"/>
    <s v="Supplier LVJUA"/>
    <s v="France"/>
    <x v="1"/>
    <n v="612"/>
  </r>
  <r>
    <n v="10347"/>
    <n v="40"/>
    <n v="14.7"/>
    <n v="4"/>
    <n v="0"/>
    <s v="Russo, Giuseppe"/>
    <s v="Russo Giuseppe"/>
    <x v="1"/>
    <s v="WA"/>
    <s v="Product YZIXQ"/>
    <x v="3"/>
    <x v="88"/>
    <d v="2006-11-08T00:00:00"/>
    <x v="3"/>
    <s v="Destination KKELL"/>
    <x v="1"/>
    <s v="Supplier JDNUG"/>
    <s v="USA"/>
    <x v="1"/>
    <n v="58.8"/>
  </r>
  <r>
    <n v="10347"/>
    <n v="75"/>
    <n v="6.2"/>
    <n v="6"/>
    <n v="0.15"/>
    <s v="Russo, Giuseppe"/>
    <s v="Russo Giuseppe"/>
    <x v="1"/>
    <s v="WA"/>
    <s v="Product BWRLG"/>
    <x v="6"/>
    <x v="88"/>
    <d v="2006-11-08T00:00:00"/>
    <x v="3"/>
    <s v="Destination KKELL"/>
    <x v="1"/>
    <s v="Supplier SVIYA"/>
    <s v="Germany"/>
    <x v="1"/>
    <n v="31.62"/>
  </r>
  <r>
    <n v="10348"/>
    <n v="1"/>
    <n v="14.4"/>
    <n v="15"/>
    <n v="0.15"/>
    <s v="Syamala, Manoj"/>
    <s v="Syamala Manoj"/>
    <x v="1"/>
    <s v="WA"/>
    <s v="Product HHYDP"/>
    <x v="6"/>
    <x v="89"/>
    <d v="2006-11-15T00:00:00"/>
    <x v="1"/>
    <s v="Ship to 86-B"/>
    <x v="8"/>
    <s v="Supplier SWRXU"/>
    <s v="UK"/>
    <x v="1"/>
    <n v="183.6"/>
  </r>
  <r>
    <n v="10348"/>
    <n v="23"/>
    <n v="7.2"/>
    <n v="25"/>
    <n v="0"/>
    <s v="Syamala, Manoj"/>
    <s v="Syamala Manoj"/>
    <x v="1"/>
    <s v="WA"/>
    <s v="Product JLUDZ"/>
    <x v="1"/>
    <x v="89"/>
    <d v="2006-11-15T00:00:00"/>
    <x v="1"/>
    <s v="Ship to 86-B"/>
    <x v="8"/>
    <s v="Supplier QQYEU"/>
    <s v="Sweden"/>
    <x v="1"/>
    <n v="180"/>
  </r>
  <r>
    <n v="10349"/>
    <n v="54"/>
    <n v="5.9"/>
    <n v="24"/>
    <n v="0"/>
    <s v="Wojciechowska, Agnieszka"/>
    <s v="Wojciechowska Agnieszka"/>
    <x v="9"/>
    <n v="0"/>
    <s v="Product QAQRL"/>
    <x v="7"/>
    <x v="90"/>
    <d v="2006-11-15T00:00:00"/>
    <x v="2"/>
    <s v="Ship to 75-C"/>
    <x v="9"/>
    <s v="Supplier ERVYZ"/>
    <s v="Canada"/>
    <x v="1"/>
    <n v="141.60000000000002"/>
  </r>
  <r>
    <n v="10350"/>
    <n v="50"/>
    <n v="13"/>
    <n v="15"/>
    <n v="0.1"/>
    <s v="Litton, Tim"/>
    <s v="Litton Tim"/>
    <x v="7"/>
    <n v="0"/>
    <s v="Product BIUDV"/>
    <x v="5"/>
    <x v="91"/>
    <d v="2006-12-03T00:00:00"/>
    <x v="1"/>
    <s v="Destination DWJIO"/>
    <x v="2"/>
    <s v="Supplier ELCRN"/>
    <s v="Finland"/>
    <x v="1"/>
    <n v="175.5"/>
  </r>
  <r>
    <n v="10350"/>
    <n v="69"/>
    <n v="28.8"/>
    <n v="18"/>
    <n v="0.1"/>
    <s v="Litton, Tim"/>
    <s v="Litton Tim"/>
    <x v="7"/>
    <n v="0"/>
    <s v="Product COAXA"/>
    <x v="0"/>
    <x v="91"/>
    <d v="2006-12-03T00:00:00"/>
    <x v="1"/>
    <s v="Destination DWJIO"/>
    <x v="2"/>
    <s v="Supplier NZLIF"/>
    <s v="Norway"/>
    <x v="1"/>
    <n v="466.56"/>
  </r>
  <r>
    <n v="10351"/>
    <n v="38"/>
    <n v="210.8"/>
    <n v="20"/>
    <n v="0.05"/>
    <s v="Kane, John"/>
    <s v="Kane John"/>
    <x v="5"/>
    <s v="WA"/>
    <s v="Product QDOMO"/>
    <x v="6"/>
    <x v="91"/>
    <d v="2006-11-20T00:00:00"/>
    <x v="2"/>
    <s v="Destination RVDMF"/>
    <x v="6"/>
    <s v="Supplier LVJUA"/>
    <s v="France"/>
    <x v="2"/>
    <n v="4005.2"/>
  </r>
  <r>
    <n v="10351"/>
    <n v="41"/>
    <n v="7.7"/>
    <n v="13"/>
    <n v="0"/>
    <s v="Kane, John"/>
    <s v="Kane John"/>
    <x v="5"/>
    <s v="WA"/>
    <s v="Product TTEEX"/>
    <x v="3"/>
    <x v="91"/>
    <d v="2006-11-20T00:00:00"/>
    <x v="2"/>
    <s v="Destination RVDMF"/>
    <x v="6"/>
    <s v="Supplier JDNUG"/>
    <s v="USA"/>
    <x v="2"/>
    <n v="100.10000000000001"/>
  </r>
  <r>
    <n v="10351"/>
    <n v="44"/>
    <n v="15.5"/>
    <n v="77"/>
    <n v="0.05"/>
    <s v="Kane, John"/>
    <s v="Kane John"/>
    <x v="5"/>
    <s v="WA"/>
    <s v="Product VJIEO"/>
    <x v="4"/>
    <x v="91"/>
    <d v="2006-11-20T00:00:00"/>
    <x v="2"/>
    <s v="Destination RVDMF"/>
    <x v="6"/>
    <s v="Supplier CIYNM"/>
    <s v="Singapore"/>
    <x v="2"/>
    <n v="1133.825"/>
  </r>
  <r>
    <n v="10351"/>
    <n v="65"/>
    <n v="16.8"/>
    <n v="10"/>
    <n v="0.05"/>
    <s v="Kane, John"/>
    <s v="Kane John"/>
    <x v="5"/>
    <s v="WA"/>
    <s v="Product XYWBZ"/>
    <x v="4"/>
    <x v="91"/>
    <d v="2006-11-20T00:00:00"/>
    <x v="2"/>
    <s v="Destination RVDMF"/>
    <x v="6"/>
    <s v="Supplier VHQZD"/>
    <s v="USA"/>
    <x v="2"/>
    <n v="159.6"/>
  </r>
  <r>
    <n v="10352"/>
    <n v="24"/>
    <n v="3.6"/>
    <n v="10"/>
    <n v="0"/>
    <s v="Cavaglieri, Giorgio"/>
    <s v="Cavaglieri Giorgio"/>
    <x v="2"/>
    <s v="WA"/>
    <s v="Product QOGNU"/>
    <x v="6"/>
    <x v="92"/>
    <d v="2006-11-18T00:00:00"/>
    <x v="3"/>
    <s v="Destination OTSWR"/>
    <x v="16"/>
    <s v="Supplier UNAHG"/>
    <s v="Brazil"/>
    <x v="1"/>
    <n v="36"/>
  </r>
  <r>
    <n v="10352"/>
    <n v="54"/>
    <n v="5.9"/>
    <n v="20"/>
    <n v="0.15"/>
    <s v="Cavaglieri, Giorgio"/>
    <s v="Cavaglieri Giorgio"/>
    <x v="2"/>
    <s v="WA"/>
    <s v="Product QAQRL"/>
    <x v="7"/>
    <x v="92"/>
    <d v="2006-11-18T00:00:00"/>
    <x v="3"/>
    <s v="Destination OTSWR"/>
    <x v="16"/>
    <s v="Supplier ERVYZ"/>
    <s v="Canada"/>
    <x v="1"/>
    <n v="100.3"/>
  </r>
  <r>
    <n v="10353"/>
    <n v="11"/>
    <n v="16.8"/>
    <n v="12"/>
    <n v="0.2"/>
    <s v="Meston, Tosh"/>
    <s v="Meston Tosh"/>
    <x v="9"/>
    <n v="0"/>
    <s v="Product QMVUN"/>
    <x v="0"/>
    <x v="93"/>
    <d v="2006-11-25T00:00:00"/>
    <x v="3"/>
    <s v="Ship to 59-B"/>
    <x v="6"/>
    <s v="Supplier EQPNC"/>
    <s v="Spain"/>
    <x v="2"/>
    <n v="161.28000000000003"/>
  </r>
  <r>
    <n v="10353"/>
    <n v="38"/>
    <n v="210.8"/>
    <n v="50"/>
    <n v="0.2"/>
    <s v="Meston, Tosh"/>
    <s v="Meston Tosh"/>
    <x v="9"/>
    <n v="0"/>
    <s v="Product QDOMO"/>
    <x v="6"/>
    <x v="93"/>
    <d v="2006-11-25T00:00:00"/>
    <x v="3"/>
    <s v="Ship to 59-B"/>
    <x v="6"/>
    <s v="Supplier LVJUA"/>
    <s v="France"/>
    <x v="2"/>
    <n v="8432"/>
  </r>
  <r>
    <n v="10354"/>
    <n v="1"/>
    <n v="14.4"/>
    <n v="12"/>
    <n v="0"/>
    <s v="Fakhouri, Fadi"/>
    <s v="Fakhouri Fadi"/>
    <x v="6"/>
    <s v="WA"/>
    <s v="Product HHYDP"/>
    <x v="6"/>
    <x v="94"/>
    <d v="2006-11-20T00:00:00"/>
    <x v="3"/>
    <s v="Ship to 58-C"/>
    <x v="7"/>
    <s v="Supplier SWRXU"/>
    <s v="UK"/>
    <x v="1"/>
    <n v="172.8"/>
  </r>
  <r>
    <n v="10354"/>
    <n v="29"/>
    <n v="99"/>
    <n v="4"/>
    <n v="0"/>
    <s v="Fakhouri, Fadi"/>
    <s v="Fakhouri Fadi"/>
    <x v="6"/>
    <s v="WA"/>
    <s v="Product VJXYN"/>
    <x v="7"/>
    <x v="94"/>
    <d v="2006-11-20T00:00:00"/>
    <x v="3"/>
    <s v="Ship to 58-C"/>
    <x v="7"/>
    <s v="Supplier SVIYA"/>
    <s v="Germany"/>
    <x v="1"/>
    <n v="396"/>
  </r>
  <r>
    <n v="10355"/>
    <n v="24"/>
    <n v="3.6"/>
    <n v="25"/>
    <n v="0"/>
    <s v="Arndt, Torsten"/>
    <s v="Arndt Torsten"/>
    <x v="7"/>
    <n v="0"/>
    <s v="Product QOGNU"/>
    <x v="6"/>
    <x v="95"/>
    <d v="2006-11-20T00:00:00"/>
    <x v="2"/>
    <s v="Ship to 4-A"/>
    <x v="14"/>
    <s v="Supplier UNAHG"/>
    <s v="Brazil"/>
    <x v="1"/>
    <n v="90"/>
  </r>
  <r>
    <n v="10355"/>
    <n v="57"/>
    <n v="15.6"/>
    <n v="25"/>
    <n v="0"/>
    <s v="Arndt, Torsten"/>
    <s v="Arndt Torsten"/>
    <x v="7"/>
    <n v="0"/>
    <s v="Product OVLQI"/>
    <x v="1"/>
    <x v="95"/>
    <d v="2006-11-20T00:00:00"/>
    <x v="2"/>
    <s v="Ship to 4-A"/>
    <x v="14"/>
    <s v="Supplier ZWZDM"/>
    <s v="Italy"/>
    <x v="1"/>
    <n v="390"/>
  </r>
  <r>
    <n v="10356"/>
    <n v="31"/>
    <n v="10"/>
    <n v="30"/>
    <n v="0"/>
    <s v="Syamala, Manoj"/>
    <s v="Syamala Manoj"/>
    <x v="7"/>
    <n v="0"/>
    <s v="Product XWOXC"/>
    <x v="0"/>
    <x v="96"/>
    <d v="2006-11-27T00:00:00"/>
    <x v="1"/>
    <s v="Ship to 86-A"/>
    <x v="8"/>
    <s v="Supplier KEREV"/>
    <s v="Italy"/>
    <x v="1"/>
    <n v="300"/>
  </r>
  <r>
    <n v="10356"/>
    <n v="55"/>
    <n v="19.2"/>
    <n v="12"/>
    <n v="0"/>
    <s v="Syamala, Manoj"/>
    <s v="Syamala Manoj"/>
    <x v="7"/>
    <n v="0"/>
    <s v="Product YYWRT"/>
    <x v="7"/>
    <x v="96"/>
    <d v="2006-11-27T00:00:00"/>
    <x v="1"/>
    <s v="Ship to 86-A"/>
    <x v="8"/>
    <s v="Supplier ERVYZ"/>
    <s v="Canada"/>
    <x v="1"/>
    <n v="230.39999999999998"/>
  </r>
  <r>
    <n v="10356"/>
    <n v="69"/>
    <n v="28.8"/>
    <n v="20"/>
    <n v="0"/>
    <s v="Syamala, Manoj"/>
    <s v="Syamala Manoj"/>
    <x v="7"/>
    <n v="0"/>
    <s v="Product COAXA"/>
    <x v="0"/>
    <x v="96"/>
    <d v="2006-11-27T00:00:00"/>
    <x v="1"/>
    <s v="Ship to 86-A"/>
    <x v="8"/>
    <s v="Supplier NZLIF"/>
    <s v="Norway"/>
    <x v="1"/>
    <n v="576"/>
  </r>
  <r>
    <n v="10357"/>
    <n v="10"/>
    <n v="24.8"/>
    <n v="30"/>
    <n v="0.2"/>
    <s v="Dressler, Marlies"/>
    <s v="Dressler Marlies"/>
    <x v="5"/>
    <s v="WA"/>
    <s v="Product YHXGE"/>
    <x v="3"/>
    <x v="97"/>
    <d v="2006-12-02T00:00:00"/>
    <x v="3"/>
    <s v="Ship to 46-B"/>
    <x v="5"/>
    <s v="Supplier QOVFD"/>
    <s v="Japan"/>
    <x v="1"/>
    <n v="595.20000000000005"/>
  </r>
  <r>
    <n v="10357"/>
    <n v="26"/>
    <n v="24.9"/>
    <n v="16"/>
    <n v="0"/>
    <s v="Dressler, Marlies"/>
    <s v="Dressler Marlies"/>
    <x v="5"/>
    <s v="WA"/>
    <s v="Product HLGZA"/>
    <x v="5"/>
    <x v="97"/>
    <d v="2006-12-02T00:00:00"/>
    <x v="3"/>
    <s v="Ship to 46-B"/>
    <x v="5"/>
    <s v="Supplier ZPYVS"/>
    <s v="Germany"/>
    <x v="1"/>
    <n v="398.4"/>
  </r>
  <r>
    <n v="10357"/>
    <n v="60"/>
    <n v="27.2"/>
    <n v="8"/>
    <n v="0.2"/>
    <s v="Dressler, Marlies"/>
    <s v="Dressler Marlies"/>
    <x v="5"/>
    <s v="WA"/>
    <s v="Product WHBYK"/>
    <x v="0"/>
    <x v="97"/>
    <d v="2006-12-02T00:00:00"/>
    <x v="3"/>
    <s v="Ship to 46-B"/>
    <x v="5"/>
    <s v="Supplier OAVQT"/>
    <s v="France"/>
    <x v="1"/>
    <n v="174.08"/>
  </r>
  <r>
    <n v="10358"/>
    <n v="24"/>
    <n v="3.6"/>
    <n v="10"/>
    <n v="0.05"/>
    <s v="Litton, Tim"/>
    <s v="Litton Tim"/>
    <x v="3"/>
    <n v="0"/>
    <s v="Product QOGNU"/>
    <x v="6"/>
    <x v="98"/>
    <d v="2006-11-27T00:00:00"/>
    <x v="2"/>
    <s v="Ship to 41-C"/>
    <x v="2"/>
    <s v="Supplier UNAHG"/>
    <s v="Brazil"/>
    <x v="1"/>
    <n v="34.199999999999996"/>
  </r>
  <r>
    <n v="10358"/>
    <n v="34"/>
    <n v="11.2"/>
    <n v="10"/>
    <n v="0.05"/>
    <s v="Litton, Tim"/>
    <s v="Litton Tim"/>
    <x v="3"/>
    <n v="0"/>
    <s v="Product SWNJY"/>
    <x v="6"/>
    <x v="98"/>
    <d v="2006-11-27T00:00:00"/>
    <x v="2"/>
    <s v="Ship to 41-C"/>
    <x v="2"/>
    <s v="Supplier UHZRG"/>
    <s v="USA"/>
    <x v="1"/>
    <n v="106.39999999999999"/>
  </r>
  <r>
    <n v="10358"/>
    <n v="36"/>
    <n v="15.2"/>
    <n v="20"/>
    <n v="0.05"/>
    <s v="Litton, Tim"/>
    <s v="Litton Tim"/>
    <x v="3"/>
    <n v="0"/>
    <s v="Product GMKIJ"/>
    <x v="3"/>
    <x v="98"/>
    <d v="2006-11-27T00:00:00"/>
    <x v="2"/>
    <s v="Ship to 41-C"/>
    <x v="2"/>
    <s v="Supplier QZGUF"/>
    <s v="Sweden"/>
    <x v="1"/>
    <n v="288.8"/>
  </r>
  <r>
    <n v="10359"/>
    <n v="16"/>
    <n v="13.9"/>
    <n v="56"/>
    <n v="0.05"/>
    <s v="Welcker, Brian"/>
    <s v="Welcker Brian"/>
    <x v="3"/>
    <n v="0"/>
    <s v="Product PAFRH"/>
    <x v="5"/>
    <x v="99"/>
    <d v="2006-11-26T00:00:00"/>
    <x v="3"/>
    <s v="Ship to 72-C"/>
    <x v="14"/>
    <s v="Supplier GQRCV"/>
    <s v="Australia"/>
    <x v="2"/>
    <n v="739.4799999999999"/>
  </r>
  <r>
    <n v="10359"/>
    <n v="31"/>
    <n v="10"/>
    <n v="70"/>
    <n v="0.05"/>
    <s v="Welcker, Brian"/>
    <s v="Welcker Brian"/>
    <x v="3"/>
    <n v="0"/>
    <s v="Product XWOXC"/>
    <x v="0"/>
    <x v="99"/>
    <d v="2006-11-26T00:00:00"/>
    <x v="3"/>
    <s v="Ship to 72-C"/>
    <x v="14"/>
    <s v="Supplier KEREV"/>
    <s v="Italy"/>
    <x v="2"/>
    <n v="665"/>
  </r>
  <r>
    <n v="10359"/>
    <n v="60"/>
    <n v="27.2"/>
    <n v="80"/>
    <n v="0.05"/>
    <s v="Welcker, Brian"/>
    <s v="Welcker Brian"/>
    <x v="3"/>
    <n v="0"/>
    <s v="Product WHBYK"/>
    <x v="0"/>
    <x v="99"/>
    <d v="2006-11-26T00:00:00"/>
    <x v="3"/>
    <s v="Ship to 72-C"/>
    <x v="14"/>
    <s v="Supplier OAVQT"/>
    <s v="France"/>
    <x v="2"/>
    <n v="2067.1999999999998"/>
  </r>
  <r>
    <n v="10360"/>
    <n v="28"/>
    <n v="36.4"/>
    <n v="30"/>
    <n v="0"/>
    <s v="Bansal, Dushyant"/>
    <s v="Bansal Dushyant"/>
    <x v="1"/>
    <s v="WA"/>
    <s v="Product OFBNT"/>
    <x v="2"/>
    <x v="100"/>
    <d v="2006-12-02T00:00:00"/>
    <x v="3"/>
    <s v="Ship to 7-C"/>
    <x v="2"/>
    <s v="Supplier SVIYA"/>
    <s v="Germany"/>
    <x v="2"/>
    <n v="1092"/>
  </r>
  <r>
    <n v="10360"/>
    <n v="29"/>
    <n v="99"/>
    <n v="35"/>
    <n v="0"/>
    <s v="Bansal, Dushyant"/>
    <s v="Bansal Dushyant"/>
    <x v="1"/>
    <s v="WA"/>
    <s v="Product VJXYN"/>
    <x v="7"/>
    <x v="100"/>
    <d v="2006-12-02T00:00:00"/>
    <x v="3"/>
    <s v="Ship to 7-C"/>
    <x v="2"/>
    <s v="Supplier SVIYA"/>
    <s v="Germany"/>
    <x v="2"/>
    <n v="3465"/>
  </r>
  <r>
    <n v="10360"/>
    <n v="38"/>
    <n v="210.8"/>
    <n v="10"/>
    <n v="0"/>
    <s v="Bansal, Dushyant"/>
    <s v="Bansal Dushyant"/>
    <x v="1"/>
    <s v="WA"/>
    <s v="Product QDOMO"/>
    <x v="6"/>
    <x v="100"/>
    <d v="2006-12-02T00:00:00"/>
    <x v="3"/>
    <s v="Ship to 7-C"/>
    <x v="2"/>
    <s v="Supplier LVJUA"/>
    <s v="France"/>
    <x v="2"/>
    <n v="2108"/>
  </r>
  <r>
    <n v="10360"/>
    <n v="49"/>
    <n v="16"/>
    <n v="35"/>
    <n v="0"/>
    <s v="Bansal, Dushyant"/>
    <s v="Bansal Dushyant"/>
    <x v="1"/>
    <s v="WA"/>
    <s v="Product FPYPN"/>
    <x v="5"/>
    <x v="100"/>
    <d v="2006-12-02T00:00:00"/>
    <x v="3"/>
    <s v="Ship to 7-C"/>
    <x v="2"/>
    <s v="Supplier ELCRN"/>
    <s v="Finland"/>
    <x v="2"/>
    <n v="560"/>
  </r>
  <r>
    <n v="10360"/>
    <n v="54"/>
    <n v="5.9"/>
    <n v="28"/>
    <n v="0"/>
    <s v="Bansal, Dushyant"/>
    <s v="Bansal Dushyant"/>
    <x v="1"/>
    <s v="WA"/>
    <s v="Product QAQRL"/>
    <x v="7"/>
    <x v="100"/>
    <d v="2006-12-02T00:00:00"/>
    <x v="3"/>
    <s v="Ship to 7-C"/>
    <x v="2"/>
    <s v="Supplier ERVYZ"/>
    <s v="Canada"/>
    <x v="2"/>
    <n v="165.20000000000002"/>
  </r>
  <r>
    <n v="10361"/>
    <n v="39"/>
    <n v="14.4"/>
    <n v="54"/>
    <n v="0.1"/>
    <s v="Veronesi, Giorgio"/>
    <s v="Veronesi Giorgio"/>
    <x v="5"/>
    <s v="WA"/>
    <s v="Product LSOFL"/>
    <x v="6"/>
    <x v="100"/>
    <d v="2006-12-03T00:00:00"/>
    <x v="1"/>
    <s v="Ship to 63-C"/>
    <x v="8"/>
    <s v="Supplier LVJUA"/>
    <s v="France"/>
    <x v="2"/>
    <n v="699.84"/>
  </r>
  <r>
    <n v="10361"/>
    <n v="60"/>
    <n v="27.2"/>
    <n v="55"/>
    <n v="0.1"/>
    <s v="Veronesi, Giorgio"/>
    <s v="Veronesi Giorgio"/>
    <x v="5"/>
    <s v="WA"/>
    <s v="Product WHBYK"/>
    <x v="0"/>
    <x v="100"/>
    <d v="2006-12-03T00:00:00"/>
    <x v="1"/>
    <s v="Ship to 63-C"/>
    <x v="8"/>
    <s v="Supplier OAVQT"/>
    <s v="France"/>
    <x v="2"/>
    <n v="1346.4"/>
  </r>
  <r>
    <n v="10362"/>
    <n v="25"/>
    <n v="11.2"/>
    <n v="50"/>
    <n v="0"/>
    <s v="Raghav, Amritansh"/>
    <s v="Raghav Amritansh"/>
    <x v="2"/>
    <s v="WA"/>
    <s v="Product LYLNI"/>
    <x v="5"/>
    <x v="101"/>
    <d v="2006-11-28T00:00:00"/>
    <x v="2"/>
    <s v="Ship to 9-B"/>
    <x v="2"/>
    <s v="Supplier ZPYVS"/>
    <s v="Germany"/>
    <x v="1"/>
    <n v="560"/>
  </r>
  <r>
    <n v="10362"/>
    <n v="51"/>
    <n v="42.4"/>
    <n v="20"/>
    <n v="0"/>
    <s v="Raghav, Amritansh"/>
    <s v="Raghav Amritansh"/>
    <x v="2"/>
    <s v="WA"/>
    <s v="Product APITJ"/>
    <x v="2"/>
    <x v="101"/>
    <d v="2006-11-28T00:00:00"/>
    <x v="2"/>
    <s v="Ship to 9-B"/>
    <x v="2"/>
    <s v="Supplier JNNES"/>
    <s v="Australia"/>
    <x v="1"/>
    <n v="848"/>
  </r>
  <r>
    <n v="10362"/>
    <n v="54"/>
    <n v="5.9"/>
    <n v="24"/>
    <n v="0"/>
    <s v="Raghav, Amritansh"/>
    <s v="Raghav Amritansh"/>
    <x v="2"/>
    <s v="WA"/>
    <s v="Product QAQRL"/>
    <x v="7"/>
    <x v="101"/>
    <d v="2006-11-28T00:00:00"/>
    <x v="2"/>
    <s v="Ship to 9-B"/>
    <x v="2"/>
    <s v="Supplier ERVYZ"/>
    <s v="Canada"/>
    <x v="1"/>
    <n v="141.60000000000002"/>
  </r>
  <r>
    <n v="10363"/>
    <n v="31"/>
    <n v="10"/>
    <n v="20"/>
    <n v="0"/>
    <s v="Jones, TiAnna"/>
    <s v="Jones TiAnna"/>
    <x v="1"/>
    <s v="WA"/>
    <s v="Product XWOXC"/>
    <x v="0"/>
    <x v="102"/>
    <d v="2006-12-04T00:00:00"/>
    <x v="3"/>
    <s v="Destination BJCXA"/>
    <x v="8"/>
    <s v="Supplier KEREV"/>
    <s v="Italy"/>
    <x v="1"/>
    <n v="200"/>
  </r>
  <r>
    <n v="10363"/>
    <n v="75"/>
    <n v="6.2"/>
    <n v="12"/>
    <n v="0"/>
    <s v="Jones, TiAnna"/>
    <s v="Jones TiAnna"/>
    <x v="1"/>
    <s v="WA"/>
    <s v="Product BWRLG"/>
    <x v="6"/>
    <x v="102"/>
    <d v="2006-12-04T00:00:00"/>
    <x v="3"/>
    <s v="Destination BJCXA"/>
    <x v="8"/>
    <s v="Supplier SVIYA"/>
    <s v="Germany"/>
    <x v="1"/>
    <n v="74.400000000000006"/>
  </r>
  <r>
    <n v="10363"/>
    <n v="76"/>
    <n v="14.4"/>
    <n v="12"/>
    <n v="0"/>
    <s v="Jones, TiAnna"/>
    <s v="Jones TiAnna"/>
    <x v="1"/>
    <s v="WA"/>
    <s v="Product JYGFE"/>
    <x v="6"/>
    <x v="102"/>
    <d v="2006-12-04T00:00:00"/>
    <x v="3"/>
    <s v="Destination BJCXA"/>
    <x v="8"/>
    <s v="Supplier ELCRN"/>
    <s v="Finland"/>
    <x v="1"/>
    <n v="172.8"/>
  </r>
  <r>
    <n v="10364"/>
    <n v="69"/>
    <n v="28.8"/>
    <n v="30"/>
    <n v="0"/>
    <s v="Boseman, Randall"/>
    <s v="Boseman Randall"/>
    <x v="5"/>
    <s v="WA"/>
    <s v="Product COAXA"/>
    <x v="0"/>
    <x v="102"/>
    <d v="2006-12-04T00:00:00"/>
    <x v="2"/>
    <s v="Destination QTKCU"/>
    <x v="14"/>
    <s v="Supplier NZLIF"/>
    <s v="Norway"/>
    <x v="1"/>
    <n v="864"/>
  </r>
  <r>
    <n v="10364"/>
    <n v="71"/>
    <n v="17.2"/>
    <n v="5"/>
    <n v="0"/>
    <s v="Boseman, Randall"/>
    <s v="Boseman Randall"/>
    <x v="5"/>
    <s v="WA"/>
    <s v="Product MYMOI"/>
    <x v="0"/>
    <x v="102"/>
    <d v="2006-12-04T00:00:00"/>
    <x v="2"/>
    <s v="Destination QTKCU"/>
    <x v="14"/>
    <s v="Supplier NZLIF"/>
    <s v="Norway"/>
    <x v="1"/>
    <n v="86"/>
  </r>
  <r>
    <n v="10365"/>
    <n v="11"/>
    <n v="16.8"/>
    <n v="24"/>
    <n v="0"/>
    <s v="Peoples, John"/>
    <s v="Peoples John"/>
    <x v="2"/>
    <s v="WA"/>
    <s v="Product QMVUN"/>
    <x v="0"/>
    <x v="103"/>
    <d v="2006-12-02T00:00:00"/>
    <x v="1"/>
    <s v="Destination FQFLS"/>
    <x v="7"/>
    <s v="Supplier EQPNC"/>
    <s v="Spain"/>
    <x v="1"/>
    <n v="403.20000000000005"/>
  </r>
  <r>
    <n v="10366"/>
    <n v="65"/>
    <n v="16.8"/>
    <n v="5"/>
    <n v="0"/>
    <s v="Kolesnikova, Katerina"/>
    <s v="Kolesnikova Katerina"/>
    <x v="6"/>
    <s v="WA"/>
    <s v="Product XYWBZ"/>
    <x v="4"/>
    <x v="104"/>
    <d v="2006-12-30T00:00:00"/>
    <x v="1"/>
    <s v="Destination VPNNG"/>
    <x v="13"/>
    <s v="Supplier VHQZD"/>
    <s v="USA"/>
    <x v="1"/>
    <n v="84"/>
  </r>
  <r>
    <n v="10366"/>
    <n v="77"/>
    <n v="10.4"/>
    <n v="5"/>
    <n v="0"/>
    <s v="Kolesnikova, Katerina"/>
    <s v="Kolesnikova Katerina"/>
    <x v="6"/>
    <s v="WA"/>
    <s v="Product LUNZZ"/>
    <x v="4"/>
    <x v="104"/>
    <d v="2006-12-30T00:00:00"/>
    <x v="1"/>
    <s v="Destination VPNNG"/>
    <x v="13"/>
    <s v="Supplier SVIYA"/>
    <s v="Germany"/>
    <x v="1"/>
    <n v="52"/>
  </r>
  <r>
    <n v="10367"/>
    <n v="34"/>
    <n v="11.2"/>
    <n v="36"/>
    <n v="0"/>
    <s v="Fonteneau, Karl"/>
    <s v="Fonteneau Karl"/>
    <x v="9"/>
    <n v="0"/>
    <s v="Product SWNJY"/>
    <x v="6"/>
    <x v="104"/>
    <d v="2006-12-02T00:00:00"/>
    <x v="3"/>
    <s v="Ship to 83-B"/>
    <x v="18"/>
    <s v="Supplier UHZRG"/>
    <s v="USA"/>
    <x v="1"/>
    <n v="403.2"/>
  </r>
  <r>
    <n v="10367"/>
    <n v="54"/>
    <n v="5.9"/>
    <n v="18"/>
    <n v="0"/>
    <s v="Fonteneau, Karl"/>
    <s v="Fonteneau Karl"/>
    <x v="9"/>
    <n v="0"/>
    <s v="Product QAQRL"/>
    <x v="7"/>
    <x v="104"/>
    <d v="2006-12-02T00:00:00"/>
    <x v="3"/>
    <s v="Ship to 83-B"/>
    <x v="18"/>
    <s v="Supplier ERVYZ"/>
    <s v="Canada"/>
    <x v="1"/>
    <n v="106.2"/>
  </r>
  <r>
    <n v="10367"/>
    <n v="65"/>
    <n v="16.8"/>
    <n v="15"/>
    <n v="0"/>
    <s v="Fonteneau, Karl"/>
    <s v="Fonteneau Karl"/>
    <x v="9"/>
    <n v="0"/>
    <s v="Product XYWBZ"/>
    <x v="4"/>
    <x v="104"/>
    <d v="2006-12-02T00:00:00"/>
    <x v="3"/>
    <s v="Ship to 83-B"/>
    <x v="18"/>
    <s v="Supplier VHQZD"/>
    <s v="USA"/>
    <x v="1"/>
    <n v="252"/>
  </r>
  <r>
    <n v="10367"/>
    <n v="77"/>
    <n v="10.4"/>
    <n v="7"/>
    <n v="0"/>
    <s v="Fonteneau, Karl"/>
    <s v="Fonteneau Karl"/>
    <x v="9"/>
    <n v="0"/>
    <s v="Product LUNZZ"/>
    <x v="4"/>
    <x v="104"/>
    <d v="2006-12-02T00:00:00"/>
    <x v="3"/>
    <s v="Ship to 83-B"/>
    <x v="18"/>
    <s v="Supplier SVIYA"/>
    <s v="Germany"/>
    <x v="1"/>
    <n v="72.8"/>
  </r>
  <r>
    <n v="10368"/>
    <n v="21"/>
    <n v="8"/>
    <n v="5"/>
    <n v="0.1"/>
    <s v="Kane, John"/>
    <s v="Kane John"/>
    <x v="8"/>
    <s v="WA"/>
    <s v="Product VJZZH"/>
    <x v="5"/>
    <x v="105"/>
    <d v="2006-12-02T00:00:00"/>
    <x v="1"/>
    <s v="Destination RVDMF"/>
    <x v="6"/>
    <s v="Supplier BWGYE"/>
    <s v="UK"/>
    <x v="2"/>
    <n v="36"/>
  </r>
  <r>
    <n v="10368"/>
    <n v="28"/>
    <n v="36.4"/>
    <n v="13"/>
    <n v="0.1"/>
    <s v="Kane, John"/>
    <s v="Kane John"/>
    <x v="8"/>
    <s v="WA"/>
    <s v="Product OFBNT"/>
    <x v="2"/>
    <x v="105"/>
    <d v="2006-12-02T00:00:00"/>
    <x v="1"/>
    <s v="Destination RVDMF"/>
    <x v="6"/>
    <s v="Supplier SVIYA"/>
    <s v="Germany"/>
    <x v="2"/>
    <n v="425.88"/>
  </r>
  <r>
    <n v="10368"/>
    <n v="57"/>
    <n v="15.6"/>
    <n v="25"/>
    <n v="0"/>
    <s v="Kane, John"/>
    <s v="Kane John"/>
    <x v="8"/>
    <s v="WA"/>
    <s v="Product OVLQI"/>
    <x v="1"/>
    <x v="105"/>
    <d v="2006-12-02T00:00:00"/>
    <x v="1"/>
    <s v="Destination RVDMF"/>
    <x v="6"/>
    <s v="Supplier ZWZDM"/>
    <s v="Italy"/>
    <x v="2"/>
    <n v="390"/>
  </r>
  <r>
    <n v="10368"/>
    <n v="64"/>
    <n v="26.6"/>
    <n v="35"/>
    <n v="0.1"/>
    <s v="Kane, John"/>
    <s v="Kane John"/>
    <x v="8"/>
    <s v="WA"/>
    <s v="Product HCQDE"/>
    <x v="1"/>
    <x v="105"/>
    <d v="2006-12-02T00:00:00"/>
    <x v="1"/>
    <s v="Destination RVDMF"/>
    <x v="6"/>
    <s v="Supplier SVIYA"/>
    <s v="Germany"/>
    <x v="2"/>
    <n v="837.9"/>
  </r>
  <r>
    <n v="10369"/>
    <n v="29"/>
    <n v="99"/>
    <n v="20"/>
    <n v="0"/>
    <s v="Wojciechowska, Agnieszka"/>
    <s v="Wojciechowska Agnieszka"/>
    <x v="6"/>
    <s v="WA"/>
    <s v="Product VJXYN"/>
    <x v="7"/>
    <x v="106"/>
    <d v="2006-12-09T00:00:00"/>
    <x v="1"/>
    <s v="Ship to 75-C"/>
    <x v="9"/>
    <s v="Supplier SVIYA"/>
    <s v="Germany"/>
    <x v="2"/>
    <n v="1980"/>
  </r>
  <r>
    <n v="10369"/>
    <n v="56"/>
    <n v="30.4"/>
    <n v="18"/>
    <n v="0.25"/>
    <s v="Wojciechowska, Agnieszka"/>
    <s v="Wojciechowska Agnieszka"/>
    <x v="6"/>
    <s v="WA"/>
    <s v="Product VKCMF"/>
    <x v="1"/>
    <x v="106"/>
    <d v="2006-12-09T00:00:00"/>
    <x v="1"/>
    <s v="Ship to 75-C"/>
    <x v="9"/>
    <s v="Supplier ZWZDM"/>
    <s v="Italy"/>
    <x v="2"/>
    <n v="410.4"/>
  </r>
  <r>
    <n v="10370"/>
    <n v="1"/>
    <n v="14.4"/>
    <n v="15"/>
    <n v="0.15"/>
    <s v="Jelitto, Jacek"/>
    <s v="Jelitto Jacek"/>
    <x v="7"/>
    <n v="0"/>
    <s v="Product HHYDP"/>
    <x v="6"/>
    <x v="107"/>
    <d v="2006-12-27T00:00:00"/>
    <x v="1"/>
    <s v="Destination YUJRD"/>
    <x v="4"/>
    <s v="Supplier SWRXU"/>
    <s v="UK"/>
    <x v="1"/>
    <n v="183.6"/>
  </r>
  <r>
    <n v="10370"/>
    <n v="64"/>
    <n v="26.6"/>
    <n v="30"/>
    <n v="0"/>
    <s v="Jelitto, Jacek"/>
    <s v="Jelitto Jacek"/>
    <x v="7"/>
    <n v="0"/>
    <s v="Product HCQDE"/>
    <x v="1"/>
    <x v="107"/>
    <d v="2006-12-27T00:00:00"/>
    <x v="1"/>
    <s v="Destination YUJRD"/>
    <x v="4"/>
    <s v="Supplier SVIYA"/>
    <s v="Germany"/>
    <x v="1"/>
    <n v="798"/>
  </r>
  <r>
    <n v="10370"/>
    <n v="74"/>
    <n v="8"/>
    <n v="20"/>
    <n v="0.15"/>
    <s v="Jelitto, Jacek"/>
    <s v="Jelitto Jacek"/>
    <x v="7"/>
    <n v="0"/>
    <s v="Product BKAZJ"/>
    <x v="2"/>
    <x v="107"/>
    <d v="2006-12-27T00:00:00"/>
    <x v="1"/>
    <s v="Destination YUJRD"/>
    <x v="4"/>
    <s v="Supplier QOVFD"/>
    <s v="Japan"/>
    <x v="1"/>
    <n v="136"/>
  </r>
  <r>
    <n v="10371"/>
    <n v="36"/>
    <n v="15.2"/>
    <n v="6"/>
    <n v="0.2"/>
    <s v="Litton, Tim"/>
    <s v="Litton Tim"/>
    <x v="5"/>
    <s v="WA"/>
    <s v="Product GMKIJ"/>
    <x v="3"/>
    <x v="107"/>
    <d v="2006-12-24T00:00:00"/>
    <x v="2"/>
    <s v="Ship to 41-C"/>
    <x v="2"/>
    <s v="Supplier QZGUF"/>
    <s v="Sweden"/>
    <x v="1"/>
    <n v="72.959999999999994"/>
  </r>
  <r>
    <n v="10372"/>
    <n v="20"/>
    <n v="64.8"/>
    <n v="12"/>
    <n v="0.25"/>
    <s v="Misiec, Anna"/>
    <s v="Misiec Anna"/>
    <x v="3"/>
    <n v="0"/>
    <s v="Product QHFFP"/>
    <x v="5"/>
    <x v="108"/>
    <d v="2006-12-09T00:00:00"/>
    <x v="1"/>
    <s v="Ship to 62-A"/>
    <x v="1"/>
    <s v="Supplier BWGYE"/>
    <s v="UK"/>
    <x v="2"/>
    <n v="583.19999999999993"/>
  </r>
  <r>
    <n v="10372"/>
    <n v="38"/>
    <n v="210.8"/>
    <n v="40"/>
    <n v="0.25"/>
    <s v="Misiec, Anna"/>
    <s v="Misiec Anna"/>
    <x v="3"/>
    <n v="0"/>
    <s v="Product QDOMO"/>
    <x v="6"/>
    <x v="108"/>
    <d v="2006-12-09T00:00:00"/>
    <x v="1"/>
    <s v="Ship to 62-A"/>
    <x v="1"/>
    <s v="Supplier LVJUA"/>
    <s v="France"/>
    <x v="2"/>
    <n v="6324"/>
  </r>
  <r>
    <n v="10372"/>
    <n v="60"/>
    <n v="27.2"/>
    <n v="70"/>
    <n v="0.25"/>
    <s v="Misiec, Anna"/>
    <s v="Misiec Anna"/>
    <x v="3"/>
    <n v="0"/>
    <s v="Product WHBYK"/>
    <x v="0"/>
    <x v="108"/>
    <d v="2006-12-09T00:00:00"/>
    <x v="1"/>
    <s v="Ship to 62-A"/>
    <x v="1"/>
    <s v="Supplier OAVQT"/>
    <s v="France"/>
    <x v="2"/>
    <n v="1428"/>
  </r>
  <r>
    <n v="10372"/>
    <n v="72"/>
    <n v="27.8"/>
    <n v="42"/>
    <n v="0.25"/>
    <s v="Misiec, Anna"/>
    <s v="Misiec Anna"/>
    <x v="3"/>
    <n v="0"/>
    <s v="Product GEEOO"/>
    <x v="0"/>
    <x v="108"/>
    <d v="2006-12-09T00:00:00"/>
    <x v="1"/>
    <s v="Ship to 62-A"/>
    <x v="1"/>
    <s v="Supplier KEREV"/>
    <s v="Italy"/>
    <x v="2"/>
    <n v="875.7"/>
  </r>
  <r>
    <n v="10373"/>
    <n v="58"/>
    <n v="10.6"/>
    <n v="80"/>
    <n v="0.2"/>
    <s v="Crăciun, Ovidiu V."/>
    <s v="Crăciun Ovidiu V."/>
    <x v="1"/>
    <s v="WA"/>
    <s v="Product ACRVI"/>
    <x v="3"/>
    <x v="109"/>
    <d v="2006-12-11T00:00:00"/>
    <x v="3"/>
    <s v="Destination KPVYJ"/>
    <x v="15"/>
    <s v="Supplier ZRYDZ"/>
    <s v="France"/>
    <x v="2"/>
    <n v="678.40000000000009"/>
  </r>
  <r>
    <n v="10373"/>
    <n v="71"/>
    <n v="17.2"/>
    <n v="50"/>
    <n v="0.2"/>
    <s v="Crăciun, Ovidiu V."/>
    <s v="Crăciun Ovidiu V."/>
    <x v="1"/>
    <s v="WA"/>
    <s v="Product MYMOI"/>
    <x v="0"/>
    <x v="109"/>
    <d v="2006-12-11T00:00:00"/>
    <x v="3"/>
    <s v="Destination KPVYJ"/>
    <x v="15"/>
    <s v="Supplier NZLIF"/>
    <s v="Norway"/>
    <x v="2"/>
    <n v="688"/>
  </r>
  <r>
    <n v="10374"/>
    <n v="31"/>
    <n v="10"/>
    <n v="30"/>
    <n v="0"/>
    <s v="Conn, Steve"/>
    <s v="Conn Steve"/>
    <x v="5"/>
    <s v="WA"/>
    <s v="Product XWOXC"/>
    <x v="0"/>
    <x v="109"/>
    <d v="2006-12-09T00:00:00"/>
    <x v="3"/>
    <s v="Ship to 91-A"/>
    <x v="19"/>
    <s v="Supplier KEREV"/>
    <s v="Italy"/>
    <x v="1"/>
    <n v="300"/>
  </r>
  <r>
    <n v="10374"/>
    <n v="58"/>
    <n v="10.6"/>
    <n v="15"/>
    <n v="0"/>
    <s v="Conn, Steve"/>
    <s v="Conn Steve"/>
    <x v="5"/>
    <s v="WA"/>
    <s v="Product ACRVI"/>
    <x v="3"/>
    <x v="109"/>
    <d v="2006-12-09T00:00:00"/>
    <x v="3"/>
    <s v="Ship to 91-A"/>
    <x v="19"/>
    <s v="Supplier ZRYDZ"/>
    <s v="France"/>
    <x v="1"/>
    <n v="159"/>
  </r>
  <r>
    <n v="10375"/>
    <n v="14"/>
    <n v="18.600000000000001"/>
    <n v="15"/>
    <n v="0"/>
    <s v="Smith, Denise"/>
    <s v="Smith Denise"/>
    <x v="2"/>
    <s v="WA"/>
    <s v="Product PWCJB"/>
    <x v="2"/>
    <x v="110"/>
    <d v="2006-12-09T00:00:00"/>
    <x v="1"/>
    <s v="Destination HOHCR"/>
    <x v="9"/>
    <s v="Supplier QWUSF"/>
    <s v="Japan"/>
    <x v="1"/>
    <n v="279"/>
  </r>
  <r>
    <n v="10375"/>
    <n v="54"/>
    <n v="5.9"/>
    <n v="10"/>
    <n v="0"/>
    <s v="Smith, Denise"/>
    <s v="Smith Denise"/>
    <x v="2"/>
    <s v="WA"/>
    <s v="Product QAQRL"/>
    <x v="7"/>
    <x v="110"/>
    <d v="2006-12-09T00:00:00"/>
    <x v="1"/>
    <s v="Destination HOHCR"/>
    <x v="9"/>
    <s v="Supplier ERVYZ"/>
    <s v="Canada"/>
    <x v="1"/>
    <n v="59"/>
  </r>
  <r>
    <n v="10376"/>
    <n v="31"/>
    <n v="10"/>
    <n v="42"/>
    <n v="0.05"/>
    <s v="Taylor, Maurice"/>
    <s v="Taylor Maurice"/>
    <x v="5"/>
    <s v="WA"/>
    <s v="Product XWOXC"/>
    <x v="0"/>
    <x v="111"/>
    <d v="2006-12-13T00:00:00"/>
    <x v="1"/>
    <s v="Ship to 51-B"/>
    <x v="17"/>
    <s v="Supplier KEREV"/>
    <s v="Italy"/>
    <x v="1"/>
    <n v="399"/>
  </r>
  <r>
    <n v="10377"/>
    <n v="28"/>
    <n v="36.4"/>
    <n v="20"/>
    <n v="0.15"/>
    <s v="Welcker, Brian"/>
    <s v="Welcker Brian"/>
    <x v="5"/>
    <s v="WA"/>
    <s v="Product OFBNT"/>
    <x v="2"/>
    <x v="111"/>
    <d v="2006-12-13T00:00:00"/>
    <x v="3"/>
    <s v="Ship to 72-C"/>
    <x v="14"/>
    <s v="Supplier SVIYA"/>
    <s v="Germany"/>
    <x v="1"/>
    <n v="618.79999999999995"/>
  </r>
  <r>
    <n v="10377"/>
    <n v="39"/>
    <n v="14.4"/>
    <n v="20"/>
    <n v="0.15"/>
    <s v="Welcker, Brian"/>
    <s v="Welcker Brian"/>
    <x v="5"/>
    <s v="WA"/>
    <s v="Product LSOFL"/>
    <x v="6"/>
    <x v="111"/>
    <d v="2006-12-13T00:00:00"/>
    <x v="3"/>
    <s v="Ship to 72-C"/>
    <x v="14"/>
    <s v="Supplier LVJUA"/>
    <s v="France"/>
    <x v="1"/>
    <n v="244.79999999999998"/>
  </r>
  <r>
    <n v="10378"/>
    <n v="71"/>
    <n v="17.2"/>
    <n v="6"/>
    <n v="0"/>
    <s v="San Juan, Patricia"/>
    <s v="San Juan Patricia"/>
    <x v="3"/>
    <n v="0"/>
    <s v="Product MYMOI"/>
    <x v="0"/>
    <x v="112"/>
    <d v="2006-12-19T00:00:00"/>
    <x v="3"/>
    <s v="Destination KBSBN"/>
    <x v="10"/>
    <s v="Supplier NZLIF"/>
    <s v="Norway"/>
    <x v="1"/>
    <n v="103.19999999999999"/>
  </r>
  <r>
    <n v="10379"/>
    <n v="41"/>
    <n v="7.7"/>
    <n v="8"/>
    <n v="0.1"/>
    <s v="Florczyk, Krzysztof"/>
    <s v="Florczyk Krzysztof"/>
    <x v="8"/>
    <s v="WA"/>
    <s v="Product TTEEX"/>
    <x v="3"/>
    <x v="113"/>
    <d v="2006-12-13T00:00:00"/>
    <x v="2"/>
    <s v="Ship to 61-B"/>
    <x v="1"/>
    <s v="Supplier JDNUG"/>
    <s v="USA"/>
    <x v="1"/>
    <n v="55.440000000000005"/>
  </r>
  <r>
    <n v="10379"/>
    <n v="63"/>
    <n v="35.1"/>
    <n v="16"/>
    <n v="0.1"/>
    <s v="Florczyk, Krzysztof"/>
    <s v="Florczyk Krzysztof"/>
    <x v="8"/>
    <s v="WA"/>
    <s v="Product ICKNK"/>
    <x v="4"/>
    <x v="113"/>
    <d v="2006-12-13T00:00:00"/>
    <x v="2"/>
    <s v="Ship to 61-B"/>
    <x v="1"/>
    <s v="Supplier GQRCV"/>
    <s v="Australia"/>
    <x v="1"/>
    <n v="505.44000000000005"/>
  </r>
  <r>
    <n v="10379"/>
    <n v="65"/>
    <n v="16.8"/>
    <n v="20"/>
    <n v="0.1"/>
    <s v="Florczyk, Krzysztof"/>
    <s v="Florczyk Krzysztof"/>
    <x v="8"/>
    <s v="WA"/>
    <s v="Product XYWBZ"/>
    <x v="4"/>
    <x v="113"/>
    <d v="2006-12-13T00:00:00"/>
    <x v="2"/>
    <s v="Ship to 61-B"/>
    <x v="1"/>
    <s v="Supplier VHQZD"/>
    <s v="USA"/>
    <x v="1"/>
    <n v="302.40000000000003"/>
  </r>
  <r>
    <n v="10380"/>
    <n v="30"/>
    <n v="20.7"/>
    <n v="18"/>
    <n v="0.1"/>
    <s v="Crăciun, Ovidiu V."/>
    <s v="Crăciun Ovidiu V."/>
    <x v="6"/>
    <s v="WA"/>
    <s v="Product LYERX"/>
    <x v="3"/>
    <x v="114"/>
    <d v="2007-01-16T00:00:00"/>
    <x v="3"/>
    <s v="Destination KPVYJ"/>
    <x v="15"/>
    <s v="Supplier TEGSC"/>
    <s v="Germany"/>
    <x v="1"/>
    <n v="335.34"/>
  </r>
  <r>
    <n v="10380"/>
    <n v="53"/>
    <n v="26.2"/>
    <n v="20"/>
    <n v="0.1"/>
    <s v="Crăciun, Ovidiu V."/>
    <s v="Crăciun Ovidiu V."/>
    <x v="6"/>
    <s v="WA"/>
    <s v="Product BKGEA"/>
    <x v="7"/>
    <x v="114"/>
    <d v="2007-01-16T00:00:00"/>
    <x v="3"/>
    <s v="Destination KPVYJ"/>
    <x v="15"/>
    <s v="Supplier JNNES"/>
    <s v="Australia"/>
    <x v="1"/>
    <n v="471.6"/>
  </r>
  <r>
    <n v="10380"/>
    <n v="60"/>
    <n v="27.2"/>
    <n v="6"/>
    <n v="0.1"/>
    <s v="Crăciun, Ovidiu V."/>
    <s v="Crăciun Ovidiu V."/>
    <x v="6"/>
    <s v="WA"/>
    <s v="Product WHBYK"/>
    <x v="0"/>
    <x v="114"/>
    <d v="2007-01-16T00:00:00"/>
    <x v="3"/>
    <s v="Destination KPVYJ"/>
    <x v="15"/>
    <s v="Supplier OAVQT"/>
    <s v="France"/>
    <x v="1"/>
    <n v="146.88"/>
  </r>
  <r>
    <n v="10380"/>
    <n v="70"/>
    <n v="12"/>
    <n v="30"/>
    <n v="0"/>
    <s v="Crăciun, Ovidiu V."/>
    <s v="Crăciun Ovidiu V."/>
    <x v="6"/>
    <s v="WA"/>
    <s v="Product TOONT"/>
    <x v="6"/>
    <x v="114"/>
    <d v="2007-01-16T00:00:00"/>
    <x v="3"/>
    <s v="Destination KPVYJ"/>
    <x v="15"/>
    <s v="Supplier GQRCV"/>
    <s v="Australia"/>
    <x v="1"/>
    <n v="360"/>
  </r>
  <r>
    <n v="10381"/>
    <n v="74"/>
    <n v="8"/>
    <n v="14"/>
    <n v="0"/>
    <s v="Dressler, Marlies"/>
    <s v="Dressler Marlies"/>
    <x v="2"/>
    <s v="WA"/>
    <s v="Product BKAZJ"/>
    <x v="2"/>
    <x v="114"/>
    <d v="2006-12-13T00:00:00"/>
    <x v="3"/>
    <s v="Ship to 46-C"/>
    <x v="5"/>
    <s v="Supplier QOVFD"/>
    <s v="Japan"/>
    <x v="1"/>
    <n v="112"/>
  </r>
  <r>
    <n v="10382"/>
    <n v="5"/>
    <n v="17"/>
    <n v="32"/>
    <n v="0"/>
    <s v="Kane, John"/>
    <s v="Kane John"/>
    <x v="1"/>
    <s v="WA"/>
    <s v="Product EPEIM"/>
    <x v="4"/>
    <x v="115"/>
    <d v="2006-12-16T00:00:00"/>
    <x v="2"/>
    <s v="Destination FFXKT"/>
    <x v="6"/>
    <s v="Supplier VHQZD"/>
    <s v="USA"/>
    <x v="1"/>
    <n v="544"/>
  </r>
  <r>
    <n v="10382"/>
    <n v="18"/>
    <n v="50"/>
    <n v="9"/>
    <n v="0"/>
    <s v="Kane, John"/>
    <s v="Kane John"/>
    <x v="1"/>
    <s v="WA"/>
    <s v="Product CKEDC"/>
    <x v="3"/>
    <x v="115"/>
    <d v="2006-12-16T00:00:00"/>
    <x v="2"/>
    <s v="Destination FFXKT"/>
    <x v="6"/>
    <s v="Supplier GQRCV"/>
    <s v="Australia"/>
    <x v="1"/>
    <n v="450"/>
  </r>
  <r>
    <n v="10382"/>
    <n v="29"/>
    <n v="99"/>
    <n v="14"/>
    <n v="0"/>
    <s v="Kane, John"/>
    <s v="Kane John"/>
    <x v="1"/>
    <s v="WA"/>
    <s v="Product VJXYN"/>
    <x v="7"/>
    <x v="115"/>
    <d v="2006-12-16T00:00:00"/>
    <x v="2"/>
    <s v="Destination FFXKT"/>
    <x v="6"/>
    <s v="Supplier SVIYA"/>
    <s v="Germany"/>
    <x v="1"/>
    <n v="1386"/>
  </r>
  <r>
    <n v="10382"/>
    <n v="33"/>
    <n v="2"/>
    <n v="60"/>
    <n v="0"/>
    <s v="Kane, John"/>
    <s v="Kane John"/>
    <x v="1"/>
    <s v="WA"/>
    <s v="Product ASTMN"/>
    <x v="0"/>
    <x v="115"/>
    <d v="2006-12-16T00:00:00"/>
    <x v="2"/>
    <s v="Destination FFXKT"/>
    <x v="6"/>
    <s v="Supplier NZLIF"/>
    <s v="Norway"/>
    <x v="1"/>
    <n v="120"/>
  </r>
  <r>
    <n v="10382"/>
    <n v="74"/>
    <n v="8"/>
    <n v="50"/>
    <n v="0"/>
    <s v="Kane, John"/>
    <s v="Kane John"/>
    <x v="1"/>
    <s v="WA"/>
    <s v="Product BKAZJ"/>
    <x v="2"/>
    <x v="115"/>
    <d v="2006-12-16T00:00:00"/>
    <x v="2"/>
    <s v="Destination FFXKT"/>
    <x v="6"/>
    <s v="Supplier QOVFD"/>
    <s v="Japan"/>
    <x v="1"/>
    <n v="400"/>
  </r>
  <r>
    <n v="10383"/>
    <n v="13"/>
    <n v="4.8"/>
    <n v="20"/>
    <n v="0"/>
    <s v="Arndt, Torsten"/>
    <s v="Arndt Torsten"/>
    <x v="6"/>
    <s v="WA"/>
    <s v="Product POXFU"/>
    <x v="3"/>
    <x v="116"/>
    <d v="2006-12-18T00:00:00"/>
    <x v="3"/>
    <s v="Ship to 4-B"/>
    <x v="14"/>
    <s v="Supplier QWUSF"/>
    <s v="Japan"/>
    <x v="1"/>
    <n v="96"/>
  </r>
  <r>
    <n v="10383"/>
    <n v="50"/>
    <n v="13"/>
    <n v="15"/>
    <n v="0"/>
    <s v="Arndt, Torsten"/>
    <s v="Arndt Torsten"/>
    <x v="6"/>
    <s v="WA"/>
    <s v="Product BIUDV"/>
    <x v="5"/>
    <x v="116"/>
    <d v="2006-12-18T00:00:00"/>
    <x v="3"/>
    <s v="Ship to 4-B"/>
    <x v="14"/>
    <s v="Supplier ELCRN"/>
    <s v="Finland"/>
    <x v="1"/>
    <n v="195"/>
  </r>
  <r>
    <n v="10383"/>
    <n v="56"/>
    <n v="30.4"/>
    <n v="20"/>
    <n v="0"/>
    <s v="Arndt, Torsten"/>
    <s v="Arndt Torsten"/>
    <x v="6"/>
    <s v="WA"/>
    <s v="Product VKCMF"/>
    <x v="1"/>
    <x v="116"/>
    <d v="2006-12-18T00:00:00"/>
    <x v="3"/>
    <s v="Ship to 4-B"/>
    <x v="14"/>
    <s v="Supplier ZWZDM"/>
    <s v="Italy"/>
    <x v="1"/>
    <n v="608"/>
  </r>
  <r>
    <n v="10384"/>
    <n v="20"/>
    <n v="64.8"/>
    <n v="28"/>
    <n v="0"/>
    <s v="Higginbotham, Tom"/>
    <s v="Higginbotham Tom"/>
    <x v="2"/>
    <s v="WA"/>
    <s v="Product QHFFP"/>
    <x v="5"/>
    <x v="116"/>
    <d v="2006-12-20T00:00:00"/>
    <x v="3"/>
    <s v="Ship to 5-C"/>
    <x v="10"/>
    <s v="Supplier BWGYE"/>
    <s v="UK"/>
    <x v="2"/>
    <n v="1814.3999999999999"/>
  </r>
  <r>
    <n v="10384"/>
    <n v="60"/>
    <n v="27.2"/>
    <n v="15"/>
    <n v="0"/>
    <s v="Higginbotham, Tom"/>
    <s v="Higginbotham Tom"/>
    <x v="2"/>
    <s v="WA"/>
    <s v="Product WHBYK"/>
    <x v="0"/>
    <x v="116"/>
    <d v="2006-12-20T00:00:00"/>
    <x v="3"/>
    <s v="Ship to 5-C"/>
    <x v="10"/>
    <s v="Supplier OAVQT"/>
    <s v="France"/>
    <x v="2"/>
    <n v="408"/>
  </r>
  <r>
    <n v="10385"/>
    <n v="7"/>
    <n v="24"/>
    <n v="10"/>
    <n v="0.2"/>
    <s v="Wojciechowska, Agnieszka"/>
    <s v="Wojciechowska Agnieszka"/>
    <x v="5"/>
    <s v="WA"/>
    <s v="Product HMLNI"/>
    <x v="2"/>
    <x v="117"/>
    <d v="2006-12-23T00:00:00"/>
    <x v="1"/>
    <s v="Ship to 75-B"/>
    <x v="9"/>
    <s v="Supplier STUAZ"/>
    <s v="USA"/>
    <x v="1"/>
    <n v="192"/>
  </r>
  <r>
    <n v="10385"/>
    <n v="60"/>
    <n v="27.2"/>
    <n v="20"/>
    <n v="0.2"/>
    <s v="Wojciechowska, Agnieszka"/>
    <s v="Wojciechowska Agnieszka"/>
    <x v="5"/>
    <s v="WA"/>
    <s v="Product WHBYK"/>
    <x v="0"/>
    <x v="117"/>
    <d v="2006-12-23T00:00:00"/>
    <x v="1"/>
    <s v="Ship to 75-B"/>
    <x v="9"/>
    <s v="Supplier OAVQT"/>
    <s v="France"/>
    <x v="1"/>
    <n v="435.20000000000005"/>
  </r>
  <r>
    <n v="10385"/>
    <n v="68"/>
    <n v="10"/>
    <n v="8"/>
    <n v="0.2"/>
    <s v="Wojciechowska, Agnieszka"/>
    <s v="Wojciechowska Agnieszka"/>
    <x v="5"/>
    <s v="WA"/>
    <s v="Product TBTBL"/>
    <x v="5"/>
    <x v="117"/>
    <d v="2006-12-23T00:00:00"/>
    <x v="1"/>
    <s v="Ship to 75-B"/>
    <x v="9"/>
    <s v="Supplier BWGYE"/>
    <s v="UK"/>
    <x v="1"/>
    <n v="64"/>
  </r>
  <r>
    <n v="10386"/>
    <n v="24"/>
    <n v="3.6"/>
    <n v="15"/>
    <n v="0"/>
    <s v="Russo, Giuseppe"/>
    <s v="Russo Giuseppe"/>
    <x v="4"/>
    <n v="0"/>
    <s v="Product QOGNU"/>
    <x v="6"/>
    <x v="118"/>
    <d v="2006-12-25T00:00:00"/>
    <x v="3"/>
    <s v="Destination RNSMS"/>
    <x v="1"/>
    <s v="Supplier UNAHG"/>
    <s v="Brazil"/>
    <x v="1"/>
    <n v="54"/>
  </r>
  <r>
    <n v="10386"/>
    <n v="34"/>
    <n v="11.2"/>
    <n v="10"/>
    <n v="0"/>
    <s v="Russo, Giuseppe"/>
    <s v="Russo Giuseppe"/>
    <x v="4"/>
    <n v="0"/>
    <s v="Product SWNJY"/>
    <x v="6"/>
    <x v="118"/>
    <d v="2006-12-25T00:00:00"/>
    <x v="3"/>
    <s v="Destination RNSMS"/>
    <x v="1"/>
    <s v="Supplier UHZRG"/>
    <s v="USA"/>
    <x v="1"/>
    <n v="112"/>
  </r>
  <r>
    <n v="10387"/>
    <n v="24"/>
    <n v="3.6"/>
    <n v="15"/>
    <n v="0"/>
    <s v="Ginters, Kaspars"/>
    <s v="Ginters Kaspars"/>
    <x v="5"/>
    <s v="WA"/>
    <s v="Product QOGNU"/>
    <x v="6"/>
    <x v="118"/>
    <d v="2006-12-20T00:00:00"/>
    <x v="1"/>
    <s v="Ship to 70-B"/>
    <x v="20"/>
    <s v="Supplier UNAHG"/>
    <s v="Brazil"/>
    <x v="1"/>
    <n v="54"/>
  </r>
  <r>
    <n v="10387"/>
    <n v="28"/>
    <n v="36.4"/>
    <n v="6"/>
    <n v="0"/>
    <s v="Ginters, Kaspars"/>
    <s v="Ginters Kaspars"/>
    <x v="5"/>
    <s v="WA"/>
    <s v="Product OFBNT"/>
    <x v="2"/>
    <x v="118"/>
    <d v="2006-12-20T00:00:00"/>
    <x v="1"/>
    <s v="Ship to 70-B"/>
    <x v="20"/>
    <s v="Supplier SVIYA"/>
    <s v="Germany"/>
    <x v="1"/>
    <n v="218.39999999999998"/>
  </r>
  <r>
    <n v="10387"/>
    <n v="59"/>
    <n v="44"/>
    <n v="12"/>
    <n v="0"/>
    <s v="Ginters, Kaspars"/>
    <s v="Ginters Kaspars"/>
    <x v="5"/>
    <s v="WA"/>
    <s v="Product UKXRI"/>
    <x v="0"/>
    <x v="118"/>
    <d v="2006-12-20T00:00:00"/>
    <x v="1"/>
    <s v="Ship to 70-B"/>
    <x v="20"/>
    <s v="Supplier OAVQT"/>
    <s v="France"/>
    <x v="1"/>
    <n v="528"/>
  </r>
  <r>
    <n v="10387"/>
    <n v="71"/>
    <n v="17.2"/>
    <n v="15"/>
    <n v="0"/>
    <s v="Ginters, Kaspars"/>
    <s v="Ginters Kaspars"/>
    <x v="5"/>
    <s v="WA"/>
    <s v="Product MYMOI"/>
    <x v="0"/>
    <x v="118"/>
    <d v="2006-12-20T00:00:00"/>
    <x v="1"/>
    <s v="Ship to 70-B"/>
    <x v="20"/>
    <s v="Supplier NZLIF"/>
    <s v="Norway"/>
    <x v="1"/>
    <n v="258"/>
  </r>
  <r>
    <n v="10388"/>
    <n v="45"/>
    <n v="7.6"/>
    <n v="15"/>
    <n v="0.2"/>
    <s v="Welcker, Brian"/>
    <s v="Welcker Brian"/>
    <x v="8"/>
    <s v="WA"/>
    <s v="Product AQOKR"/>
    <x v="3"/>
    <x v="119"/>
    <d v="2006-12-20T00:00:00"/>
    <x v="2"/>
    <s v="Ship to 72-C"/>
    <x v="14"/>
    <s v="Supplier XOXZA"/>
    <s v="Denmark"/>
    <x v="1"/>
    <n v="91.2"/>
  </r>
  <r>
    <n v="10388"/>
    <n v="52"/>
    <n v="5.6"/>
    <n v="20"/>
    <n v="0.2"/>
    <s v="Welcker, Brian"/>
    <s v="Welcker Brian"/>
    <x v="8"/>
    <s v="WA"/>
    <s v="Product QSRXF"/>
    <x v="1"/>
    <x v="119"/>
    <d v="2006-12-20T00:00:00"/>
    <x v="2"/>
    <s v="Ship to 72-C"/>
    <x v="14"/>
    <s v="Supplier JNNES"/>
    <s v="Australia"/>
    <x v="1"/>
    <n v="89.600000000000009"/>
  </r>
  <r>
    <n v="10388"/>
    <n v="53"/>
    <n v="26.2"/>
    <n v="40"/>
    <n v="0"/>
    <s v="Welcker, Brian"/>
    <s v="Welcker Brian"/>
    <x v="8"/>
    <s v="WA"/>
    <s v="Product BKGEA"/>
    <x v="7"/>
    <x v="119"/>
    <d v="2006-12-20T00:00:00"/>
    <x v="2"/>
    <s v="Ship to 72-C"/>
    <x v="14"/>
    <s v="Supplier JNNES"/>
    <s v="Australia"/>
    <x v="1"/>
    <n v="1048"/>
  </r>
  <r>
    <n v="10389"/>
    <n v="10"/>
    <n v="24.8"/>
    <n v="16"/>
    <n v="0"/>
    <s v="Bassols, Pilar Colome"/>
    <s v="Bassols Pilar Colome"/>
    <x v="1"/>
    <s v="WA"/>
    <s v="Product YHXGE"/>
    <x v="3"/>
    <x v="120"/>
    <d v="2006-12-24T00:00:00"/>
    <x v="1"/>
    <s v="Destination OLSSJ"/>
    <x v="17"/>
    <s v="Supplier QOVFD"/>
    <s v="Japan"/>
    <x v="1"/>
    <n v="396.8"/>
  </r>
  <r>
    <n v="10389"/>
    <n v="55"/>
    <n v="19.2"/>
    <n v="15"/>
    <n v="0"/>
    <s v="Bassols, Pilar Colome"/>
    <s v="Bassols Pilar Colome"/>
    <x v="1"/>
    <s v="WA"/>
    <s v="Product YYWRT"/>
    <x v="7"/>
    <x v="120"/>
    <d v="2006-12-24T00:00:00"/>
    <x v="1"/>
    <s v="Destination OLSSJ"/>
    <x v="17"/>
    <s v="Supplier ERVYZ"/>
    <s v="Canada"/>
    <x v="1"/>
    <n v="288"/>
  </r>
  <r>
    <n v="10389"/>
    <n v="62"/>
    <n v="39.4"/>
    <n v="20"/>
    <n v="0"/>
    <s v="Bassols, Pilar Colome"/>
    <s v="Bassols Pilar Colome"/>
    <x v="1"/>
    <s v="WA"/>
    <s v="Product WUXYK"/>
    <x v="5"/>
    <x v="120"/>
    <d v="2006-12-24T00:00:00"/>
    <x v="1"/>
    <s v="Destination OLSSJ"/>
    <x v="17"/>
    <s v="Supplier OGLRK"/>
    <s v="Canada"/>
    <x v="1"/>
    <n v="788"/>
  </r>
  <r>
    <n v="10389"/>
    <n v="70"/>
    <n v="12"/>
    <n v="30"/>
    <n v="0"/>
    <s v="Bassols, Pilar Colome"/>
    <s v="Bassols Pilar Colome"/>
    <x v="1"/>
    <s v="WA"/>
    <s v="Product TOONT"/>
    <x v="6"/>
    <x v="120"/>
    <d v="2006-12-24T00:00:00"/>
    <x v="1"/>
    <s v="Destination OLSSJ"/>
    <x v="17"/>
    <s v="Supplier GQRCV"/>
    <s v="Australia"/>
    <x v="1"/>
    <n v="360"/>
  </r>
  <r>
    <n v="10390"/>
    <n v="31"/>
    <n v="10"/>
    <n v="60"/>
    <n v="0.1"/>
    <s v="Kane, John"/>
    <s v="Kane John"/>
    <x v="7"/>
    <n v="0"/>
    <s v="Product XWOXC"/>
    <x v="0"/>
    <x v="121"/>
    <d v="2006-12-26T00:00:00"/>
    <x v="2"/>
    <s v="Destination RVDMF"/>
    <x v="6"/>
    <s v="Supplier KEREV"/>
    <s v="Italy"/>
    <x v="2"/>
    <n v="540"/>
  </r>
  <r>
    <n v="10390"/>
    <n v="35"/>
    <n v="14.4"/>
    <n v="40"/>
    <n v="0.1"/>
    <s v="Kane, John"/>
    <s v="Kane John"/>
    <x v="7"/>
    <n v="0"/>
    <s v="Product NEVTJ"/>
    <x v="6"/>
    <x v="121"/>
    <d v="2006-12-26T00:00:00"/>
    <x v="2"/>
    <s v="Destination RVDMF"/>
    <x v="6"/>
    <s v="Supplier UHZRG"/>
    <s v="USA"/>
    <x v="2"/>
    <n v="518.4"/>
  </r>
  <r>
    <n v="10390"/>
    <n v="46"/>
    <n v="9.6"/>
    <n v="45"/>
    <n v="0"/>
    <s v="Kane, John"/>
    <s v="Kane John"/>
    <x v="7"/>
    <n v="0"/>
    <s v="Product CBRRL"/>
    <x v="3"/>
    <x v="121"/>
    <d v="2006-12-26T00:00:00"/>
    <x v="2"/>
    <s v="Destination RVDMF"/>
    <x v="6"/>
    <s v="Supplier XOXZA"/>
    <s v="Denmark"/>
    <x v="2"/>
    <n v="432"/>
  </r>
  <r>
    <n v="10390"/>
    <n v="72"/>
    <n v="27.8"/>
    <n v="24"/>
    <n v="0.1"/>
    <s v="Kane, John"/>
    <s v="Kane John"/>
    <x v="7"/>
    <n v="0"/>
    <s v="Product GEEOO"/>
    <x v="0"/>
    <x v="121"/>
    <d v="2006-12-26T00:00:00"/>
    <x v="2"/>
    <s v="Destination RVDMF"/>
    <x v="6"/>
    <s v="Supplier KEREV"/>
    <s v="Italy"/>
    <x v="2"/>
    <n v="600.48"/>
  </r>
  <r>
    <n v="10391"/>
    <n v="13"/>
    <n v="4.8"/>
    <n v="18"/>
    <n v="0"/>
    <s v="Jones, TiAnna"/>
    <s v="Jones TiAnna"/>
    <x v="2"/>
    <s v="WA"/>
    <s v="Product POXFU"/>
    <x v="3"/>
    <x v="121"/>
    <d v="2006-12-31T00:00:00"/>
    <x v="3"/>
    <s v="Destination AJTHX"/>
    <x v="8"/>
    <s v="Supplier QWUSF"/>
    <s v="Japan"/>
    <x v="1"/>
    <n v="86.399999999999991"/>
  </r>
  <r>
    <n v="10392"/>
    <n v="69"/>
    <n v="28.8"/>
    <n v="50"/>
    <n v="0"/>
    <s v="Meston, Tosh"/>
    <s v="Meston Tosh"/>
    <x v="8"/>
    <s v="WA"/>
    <s v="Product COAXA"/>
    <x v="0"/>
    <x v="122"/>
    <d v="2007-01-01T00:00:00"/>
    <x v="3"/>
    <s v="Ship to 59-A"/>
    <x v="6"/>
    <s v="Supplier NZLIF"/>
    <s v="Norway"/>
    <x v="2"/>
    <n v="1440"/>
  </r>
  <r>
    <n v="10393"/>
    <n v="2"/>
    <n v="15.2"/>
    <n v="25"/>
    <n v="0.25"/>
    <s v="Navarro, Tomás"/>
    <s v="Navarro Tomás"/>
    <x v="5"/>
    <s v="WA"/>
    <s v="Product RECZE"/>
    <x v="6"/>
    <x v="123"/>
    <d v="2007-01-03T00:00:00"/>
    <x v="3"/>
    <s v="Ship to 71-B"/>
    <x v="9"/>
    <s v="Supplier SWRXU"/>
    <s v="UK"/>
    <x v="2"/>
    <n v="285"/>
  </r>
  <r>
    <n v="10393"/>
    <n v="14"/>
    <n v="18.600000000000001"/>
    <n v="42"/>
    <n v="0.25"/>
    <s v="Navarro, Tomás"/>
    <s v="Navarro Tomás"/>
    <x v="5"/>
    <s v="WA"/>
    <s v="Product PWCJB"/>
    <x v="2"/>
    <x v="123"/>
    <d v="2007-01-03T00:00:00"/>
    <x v="3"/>
    <s v="Ship to 71-B"/>
    <x v="9"/>
    <s v="Supplier QWUSF"/>
    <s v="Japan"/>
    <x v="2"/>
    <n v="585.90000000000009"/>
  </r>
  <r>
    <n v="10393"/>
    <n v="25"/>
    <n v="11.2"/>
    <n v="7"/>
    <n v="0.25"/>
    <s v="Navarro, Tomás"/>
    <s v="Navarro Tomás"/>
    <x v="5"/>
    <s v="WA"/>
    <s v="Product LYLNI"/>
    <x v="5"/>
    <x v="123"/>
    <d v="2007-01-03T00:00:00"/>
    <x v="3"/>
    <s v="Ship to 71-B"/>
    <x v="9"/>
    <s v="Supplier ZPYVS"/>
    <s v="Germany"/>
    <x v="2"/>
    <n v="58.8"/>
  </r>
  <r>
    <n v="10393"/>
    <n v="26"/>
    <n v="24.9"/>
    <n v="70"/>
    <n v="0.25"/>
    <s v="Navarro, Tomás"/>
    <s v="Navarro Tomás"/>
    <x v="5"/>
    <s v="WA"/>
    <s v="Product HLGZA"/>
    <x v="5"/>
    <x v="123"/>
    <d v="2007-01-03T00:00:00"/>
    <x v="3"/>
    <s v="Ship to 71-B"/>
    <x v="9"/>
    <s v="Supplier ZPYVS"/>
    <s v="Germany"/>
    <x v="2"/>
    <n v="1307.25"/>
  </r>
  <r>
    <n v="10393"/>
    <n v="31"/>
    <n v="10"/>
    <n v="32"/>
    <n v="0"/>
    <s v="Navarro, Tomás"/>
    <s v="Navarro Tomás"/>
    <x v="5"/>
    <s v="WA"/>
    <s v="Product XWOXC"/>
    <x v="0"/>
    <x v="123"/>
    <d v="2007-01-03T00:00:00"/>
    <x v="3"/>
    <s v="Ship to 71-B"/>
    <x v="9"/>
    <s v="Supplier KEREV"/>
    <s v="Italy"/>
    <x v="2"/>
    <n v="320"/>
  </r>
  <r>
    <n v="10394"/>
    <n v="13"/>
    <n v="4.8"/>
    <n v="10"/>
    <n v="0"/>
    <s v="Smith, Denise"/>
    <s v="Smith Denise"/>
    <x v="5"/>
    <s v="WA"/>
    <s v="Product POXFU"/>
    <x v="3"/>
    <x v="123"/>
    <d v="2007-01-03T00:00:00"/>
    <x v="3"/>
    <s v="Destination AWPJG"/>
    <x v="9"/>
    <s v="Supplier QWUSF"/>
    <s v="Japan"/>
    <x v="1"/>
    <n v="48"/>
  </r>
  <r>
    <n v="10394"/>
    <n v="62"/>
    <n v="39.4"/>
    <n v="10"/>
    <n v="0"/>
    <s v="Smith, Denise"/>
    <s v="Smith Denise"/>
    <x v="5"/>
    <s v="WA"/>
    <s v="Product WUXYK"/>
    <x v="5"/>
    <x v="123"/>
    <d v="2007-01-03T00:00:00"/>
    <x v="3"/>
    <s v="Destination AWPJG"/>
    <x v="9"/>
    <s v="Supplier OGLRK"/>
    <s v="Canada"/>
    <x v="1"/>
    <n v="394"/>
  </r>
  <r>
    <n v="10395"/>
    <n v="46"/>
    <n v="9.6"/>
    <n v="28"/>
    <n v="0.1"/>
    <s v="Langohr, Kris"/>
    <s v="Langohr Kris"/>
    <x v="7"/>
    <n v="0"/>
    <s v="Product CBRRL"/>
    <x v="3"/>
    <x v="124"/>
    <d v="2007-01-03T00:00:00"/>
    <x v="2"/>
    <s v="Destination JYDLM"/>
    <x v="5"/>
    <s v="Supplier XOXZA"/>
    <s v="Denmark"/>
    <x v="2"/>
    <n v="241.92000000000002"/>
  </r>
  <r>
    <n v="10395"/>
    <n v="53"/>
    <n v="26.2"/>
    <n v="70"/>
    <n v="0.1"/>
    <s v="Langohr, Kris"/>
    <s v="Langohr Kris"/>
    <x v="7"/>
    <n v="0"/>
    <s v="Product BKGEA"/>
    <x v="7"/>
    <x v="124"/>
    <d v="2007-01-03T00:00:00"/>
    <x v="2"/>
    <s v="Destination JYDLM"/>
    <x v="5"/>
    <s v="Supplier JNNES"/>
    <s v="Australia"/>
    <x v="2"/>
    <n v="1650.6000000000001"/>
  </r>
  <r>
    <n v="10395"/>
    <n v="69"/>
    <n v="28.8"/>
    <n v="8"/>
    <n v="0"/>
    <s v="Langohr, Kris"/>
    <s v="Langohr Kris"/>
    <x v="7"/>
    <n v="0"/>
    <s v="Product COAXA"/>
    <x v="0"/>
    <x v="124"/>
    <d v="2007-01-03T00:00:00"/>
    <x v="2"/>
    <s v="Destination JYDLM"/>
    <x v="5"/>
    <s v="Supplier NZLIF"/>
    <s v="Norway"/>
    <x v="2"/>
    <n v="230.4"/>
  </r>
  <r>
    <n v="10396"/>
    <n v="23"/>
    <n v="7.2"/>
    <n v="40"/>
    <n v="0"/>
    <s v="Carlson, Jason"/>
    <s v="Carlson Jason"/>
    <x v="5"/>
    <s v="WA"/>
    <s v="Product JLUDZ"/>
    <x v="1"/>
    <x v="125"/>
    <d v="2007-01-06T00:00:00"/>
    <x v="3"/>
    <s v="Destination VAPXU"/>
    <x v="8"/>
    <s v="Supplier QQYEU"/>
    <s v="Sweden"/>
    <x v="2"/>
    <n v="288"/>
  </r>
  <r>
    <n v="10396"/>
    <n v="71"/>
    <n v="17.2"/>
    <n v="60"/>
    <n v="0"/>
    <s v="Carlson, Jason"/>
    <s v="Carlson Jason"/>
    <x v="5"/>
    <s v="WA"/>
    <s v="Product MYMOI"/>
    <x v="0"/>
    <x v="125"/>
    <d v="2007-01-06T00:00:00"/>
    <x v="3"/>
    <s v="Destination VAPXU"/>
    <x v="8"/>
    <s v="Supplier NZLIF"/>
    <s v="Norway"/>
    <x v="2"/>
    <n v="1032"/>
  </r>
  <r>
    <n v="10396"/>
    <n v="72"/>
    <n v="27.8"/>
    <n v="21"/>
    <n v="0"/>
    <s v="Carlson, Jason"/>
    <s v="Carlson Jason"/>
    <x v="5"/>
    <s v="WA"/>
    <s v="Product GEEOO"/>
    <x v="0"/>
    <x v="125"/>
    <d v="2007-01-06T00:00:00"/>
    <x v="3"/>
    <s v="Destination VAPXU"/>
    <x v="8"/>
    <s v="Supplier KEREV"/>
    <s v="Italy"/>
    <x v="2"/>
    <n v="583.80000000000007"/>
  </r>
  <r>
    <n v="10397"/>
    <n v="21"/>
    <n v="8"/>
    <n v="10"/>
    <n v="0.15"/>
    <s v="Uppal, Sunil"/>
    <s v="Uppal Sunil"/>
    <x v="3"/>
    <n v="0"/>
    <s v="Product VJZZH"/>
    <x v="5"/>
    <x v="125"/>
    <d v="2007-01-02T00:00:00"/>
    <x v="2"/>
    <s v="Ship to 60-A"/>
    <x v="16"/>
    <s v="Supplier BWGYE"/>
    <s v="UK"/>
    <x v="1"/>
    <n v="68"/>
  </r>
  <r>
    <n v="10397"/>
    <n v="51"/>
    <n v="42.4"/>
    <n v="18"/>
    <n v="0.15"/>
    <s v="Uppal, Sunil"/>
    <s v="Uppal Sunil"/>
    <x v="3"/>
    <n v="0"/>
    <s v="Product APITJ"/>
    <x v="2"/>
    <x v="125"/>
    <d v="2007-01-02T00:00:00"/>
    <x v="2"/>
    <s v="Ship to 60-A"/>
    <x v="16"/>
    <s v="Supplier JNNES"/>
    <s v="Australia"/>
    <x v="1"/>
    <n v="648.71999999999991"/>
  </r>
  <r>
    <n v="10398"/>
    <n v="35"/>
    <n v="14.4"/>
    <n v="30"/>
    <n v="0"/>
    <s v="Navarro, Tomás"/>
    <s v="Navarro Tomás"/>
    <x v="8"/>
    <s v="WA"/>
    <s v="Product NEVTJ"/>
    <x v="6"/>
    <x v="126"/>
    <d v="2007-01-09T00:00:00"/>
    <x v="3"/>
    <s v="Ship to 71-C"/>
    <x v="9"/>
    <s v="Supplier UHZRG"/>
    <s v="USA"/>
    <x v="1"/>
    <n v="432"/>
  </r>
  <r>
    <n v="10398"/>
    <n v="55"/>
    <n v="19.2"/>
    <n v="120"/>
    <n v="0.1"/>
    <s v="Navarro, Tomás"/>
    <s v="Navarro Tomás"/>
    <x v="8"/>
    <s v="WA"/>
    <s v="Product YYWRT"/>
    <x v="7"/>
    <x v="126"/>
    <d v="2007-01-09T00:00:00"/>
    <x v="3"/>
    <s v="Ship to 71-C"/>
    <x v="9"/>
    <s v="Supplier ERVYZ"/>
    <s v="Canada"/>
    <x v="1"/>
    <n v="2073.6"/>
  </r>
  <r>
    <n v="10399"/>
    <n v="68"/>
    <n v="10"/>
    <n v="60"/>
    <n v="0"/>
    <s v="Fonteneau, Karl"/>
    <s v="Fonteneau Karl"/>
    <x v="6"/>
    <s v="WA"/>
    <s v="Product TBTBL"/>
    <x v="5"/>
    <x v="127"/>
    <d v="2007-01-08T00:00:00"/>
    <x v="3"/>
    <s v="Ship to 83-C"/>
    <x v="18"/>
    <s v="Supplier BWGYE"/>
    <s v="UK"/>
    <x v="1"/>
    <n v="600"/>
  </r>
  <r>
    <n v="10399"/>
    <n v="71"/>
    <n v="17.2"/>
    <n v="30"/>
    <n v="0"/>
    <s v="Fonteneau, Karl"/>
    <s v="Fonteneau Karl"/>
    <x v="6"/>
    <s v="WA"/>
    <s v="Product MYMOI"/>
    <x v="0"/>
    <x v="127"/>
    <d v="2007-01-08T00:00:00"/>
    <x v="3"/>
    <s v="Ship to 83-C"/>
    <x v="18"/>
    <s v="Supplier NZLIF"/>
    <s v="Norway"/>
    <x v="1"/>
    <n v="516"/>
  </r>
  <r>
    <n v="10399"/>
    <n v="76"/>
    <n v="14.4"/>
    <n v="35"/>
    <n v="0"/>
    <s v="Fonteneau, Karl"/>
    <s v="Fonteneau Karl"/>
    <x v="6"/>
    <s v="WA"/>
    <s v="Product JYGFE"/>
    <x v="6"/>
    <x v="127"/>
    <d v="2007-01-08T00:00:00"/>
    <x v="3"/>
    <s v="Ship to 83-C"/>
    <x v="18"/>
    <s v="Supplier ELCRN"/>
    <s v="Finland"/>
    <x v="1"/>
    <n v="504"/>
  </r>
  <r>
    <n v="10399"/>
    <n v="77"/>
    <n v="10.4"/>
    <n v="14"/>
    <n v="0"/>
    <s v="Fonteneau, Karl"/>
    <s v="Fonteneau Karl"/>
    <x v="6"/>
    <s v="WA"/>
    <s v="Product LUNZZ"/>
    <x v="4"/>
    <x v="127"/>
    <d v="2007-01-08T00:00:00"/>
    <x v="3"/>
    <s v="Ship to 83-C"/>
    <x v="18"/>
    <s v="Supplier SVIYA"/>
    <s v="Germany"/>
    <x v="1"/>
    <n v="145.6"/>
  </r>
  <r>
    <n v="10400"/>
    <n v="29"/>
    <n v="99"/>
    <n v="21"/>
    <n v="0"/>
    <s v="Boseman, Randall"/>
    <s v="Boseman Randall"/>
    <x v="5"/>
    <s v="WA"/>
    <s v="Product VJXYN"/>
    <x v="7"/>
    <x v="128"/>
    <d v="2007-01-16T00:00:00"/>
    <x v="3"/>
    <s v="Destination BBMRT"/>
    <x v="14"/>
    <s v="Supplier SVIYA"/>
    <s v="Germany"/>
    <x v="1"/>
    <n v="2079"/>
  </r>
  <r>
    <n v="10400"/>
    <n v="35"/>
    <n v="14.4"/>
    <n v="35"/>
    <n v="0"/>
    <s v="Boseman, Randall"/>
    <s v="Boseman Randall"/>
    <x v="5"/>
    <s v="WA"/>
    <s v="Product NEVTJ"/>
    <x v="6"/>
    <x v="128"/>
    <d v="2007-01-16T00:00:00"/>
    <x v="3"/>
    <s v="Destination BBMRT"/>
    <x v="14"/>
    <s v="Supplier UHZRG"/>
    <s v="USA"/>
    <x v="1"/>
    <n v="504"/>
  </r>
  <r>
    <n v="10400"/>
    <n v="49"/>
    <n v="16"/>
    <n v="30"/>
    <n v="0"/>
    <s v="Boseman, Randall"/>
    <s v="Boseman Randall"/>
    <x v="5"/>
    <s v="WA"/>
    <s v="Product FPYPN"/>
    <x v="5"/>
    <x v="128"/>
    <d v="2007-01-16T00:00:00"/>
    <x v="3"/>
    <s v="Destination BBMRT"/>
    <x v="14"/>
    <s v="Supplier ELCRN"/>
    <s v="Finland"/>
    <x v="1"/>
    <n v="480"/>
  </r>
  <r>
    <n v="10401"/>
    <n v="30"/>
    <n v="20.7"/>
    <n v="18"/>
    <n v="0"/>
    <s v="Moore, Michael"/>
    <s v="Moore Michael"/>
    <x v="5"/>
    <s v="WA"/>
    <s v="Product LYERX"/>
    <x v="3"/>
    <x v="128"/>
    <d v="2007-01-10T00:00:00"/>
    <x v="2"/>
    <s v="Ship to 65-A"/>
    <x v="9"/>
    <s v="Supplier TEGSC"/>
    <s v="Germany"/>
    <x v="1"/>
    <n v="372.59999999999997"/>
  </r>
  <r>
    <n v="10401"/>
    <n v="56"/>
    <n v="30.4"/>
    <n v="70"/>
    <n v="0"/>
    <s v="Moore, Michael"/>
    <s v="Moore Michael"/>
    <x v="5"/>
    <s v="WA"/>
    <s v="Product VKCMF"/>
    <x v="1"/>
    <x v="128"/>
    <d v="2007-01-10T00:00:00"/>
    <x v="2"/>
    <s v="Ship to 65-A"/>
    <x v="9"/>
    <s v="Supplier ZWZDM"/>
    <s v="Italy"/>
    <x v="1"/>
    <n v="2128"/>
  </r>
  <r>
    <n v="10401"/>
    <n v="65"/>
    <n v="16.8"/>
    <n v="20"/>
    <n v="0"/>
    <s v="Moore, Michael"/>
    <s v="Moore Michael"/>
    <x v="5"/>
    <s v="WA"/>
    <s v="Product XYWBZ"/>
    <x v="4"/>
    <x v="128"/>
    <d v="2007-01-10T00:00:00"/>
    <x v="2"/>
    <s v="Ship to 65-A"/>
    <x v="9"/>
    <s v="Supplier VHQZD"/>
    <s v="USA"/>
    <x v="1"/>
    <n v="336"/>
  </r>
  <r>
    <n v="10401"/>
    <n v="71"/>
    <n v="17.2"/>
    <n v="60"/>
    <n v="0"/>
    <s v="Moore, Michael"/>
    <s v="Moore Michael"/>
    <x v="5"/>
    <s v="WA"/>
    <s v="Product MYMOI"/>
    <x v="0"/>
    <x v="128"/>
    <d v="2007-01-10T00:00:00"/>
    <x v="2"/>
    <s v="Ship to 65-A"/>
    <x v="9"/>
    <s v="Supplier NZLIF"/>
    <s v="Norway"/>
    <x v="1"/>
    <n v="1032"/>
  </r>
  <r>
    <n v="10402"/>
    <n v="23"/>
    <n v="7.2"/>
    <n v="60"/>
    <n v="0"/>
    <s v="Kane, John"/>
    <s v="Kane John"/>
    <x v="6"/>
    <s v="WA"/>
    <s v="Product JLUDZ"/>
    <x v="1"/>
    <x v="129"/>
    <d v="2007-01-10T00:00:00"/>
    <x v="1"/>
    <s v="Destination FFXKT"/>
    <x v="6"/>
    <s v="Supplier QQYEU"/>
    <s v="Sweden"/>
    <x v="1"/>
    <n v="432"/>
  </r>
  <r>
    <n v="10402"/>
    <n v="63"/>
    <n v="35.1"/>
    <n v="65"/>
    <n v="0"/>
    <s v="Kane, John"/>
    <s v="Kane John"/>
    <x v="6"/>
    <s v="WA"/>
    <s v="Product ICKNK"/>
    <x v="4"/>
    <x v="129"/>
    <d v="2007-01-10T00:00:00"/>
    <x v="1"/>
    <s v="Destination FFXKT"/>
    <x v="6"/>
    <s v="Supplier GQRCV"/>
    <s v="Australia"/>
    <x v="1"/>
    <n v="2281.5"/>
  </r>
  <r>
    <n v="10403"/>
    <n v="16"/>
    <n v="13.9"/>
    <n v="21"/>
    <n v="0.15"/>
    <s v="Kane, John"/>
    <s v="Kane John"/>
    <x v="1"/>
    <s v="WA"/>
    <s v="Product PAFRH"/>
    <x v="5"/>
    <x v="130"/>
    <d v="2007-01-09T00:00:00"/>
    <x v="3"/>
    <s v="Destination RVDMF"/>
    <x v="6"/>
    <s v="Supplier GQRCV"/>
    <s v="Australia"/>
    <x v="1"/>
    <n v="248.11500000000001"/>
  </r>
  <r>
    <n v="10403"/>
    <n v="48"/>
    <n v="10.199999999999999"/>
    <n v="70"/>
    <n v="0.15"/>
    <s v="Kane, John"/>
    <s v="Kane John"/>
    <x v="1"/>
    <s v="WA"/>
    <s v="Product MYNXN"/>
    <x v="5"/>
    <x v="130"/>
    <d v="2007-01-09T00:00:00"/>
    <x v="3"/>
    <s v="Destination RVDMF"/>
    <x v="6"/>
    <s v="Supplier FNUXM"/>
    <s v="Netherlands"/>
    <x v="1"/>
    <n v="606.9"/>
  </r>
  <r>
    <n v="10404"/>
    <n v="26"/>
    <n v="24.9"/>
    <n v="30"/>
    <n v="0.05"/>
    <s v="Duerr, Bernard"/>
    <s v="Duerr Bernard"/>
    <x v="8"/>
    <s v="WA"/>
    <s v="Product HLGZA"/>
    <x v="5"/>
    <x v="130"/>
    <d v="2007-01-08T00:00:00"/>
    <x v="2"/>
    <s v="Ship to 49-B"/>
    <x v="12"/>
    <s v="Supplier ZPYVS"/>
    <s v="Germany"/>
    <x v="2"/>
    <n v="709.65"/>
  </r>
  <r>
    <n v="10404"/>
    <n v="42"/>
    <n v="11.2"/>
    <n v="40"/>
    <n v="0.05"/>
    <s v="Duerr, Bernard"/>
    <s v="Duerr Bernard"/>
    <x v="8"/>
    <s v="WA"/>
    <s v="Product RJVNM"/>
    <x v="1"/>
    <x v="130"/>
    <d v="2007-01-08T00:00:00"/>
    <x v="2"/>
    <s v="Ship to 49-B"/>
    <x v="12"/>
    <s v="Supplier CIYNM"/>
    <s v="Singapore"/>
    <x v="2"/>
    <n v="425.59999999999997"/>
  </r>
  <r>
    <n v="10404"/>
    <n v="49"/>
    <n v="16"/>
    <n v="30"/>
    <n v="0.05"/>
    <s v="Duerr, Bernard"/>
    <s v="Duerr Bernard"/>
    <x v="8"/>
    <s v="WA"/>
    <s v="Product FPYPN"/>
    <x v="5"/>
    <x v="130"/>
    <d v="2007-01-08T00:00:00"/>
    <x v="2"/>
    <s v="Ship to 49-B"/>
    <x v="12"/>
    <s v="Supplier ELCRN"/>
    <s v="Finland"/>
    <x v="2"/>
    <n v="456"/>
  </r>
  <r>
    <n v="10405"/>
    <n v="3"/>
    <n v="8"/>
    <n v="50"/>
    <n v="0"/>
    <s v="Lupu, Cornel"/>
    <s v="Lupu Cornel"/>
    <x v="5"/>
    <s v="WA"/>
    <s v="Product IMEHJ"/>
    <x v="4"/>
    <x v="131"/>
    <d v="2007-01-22T00:00:00"/>
    <x v="2"/>
    <s v="Ship to 47-B"/>
    <x v="5"/>
    <s v="Supplier SWRXU"/>
    <s v="UK"/>
    <x v="1"/>
    <n v="400"/>
  </r>
  <r>
    <n v="10406"/>
    <n v="1"/>
    <n v="14.4"/>
    <n v="10"/>
    <n v="0"/>
    <s v="Misiec, Anna"/>
    <s v="Misiec Anna"/>
    <x v="9"/>
    <n v="0"/>
    <s v="Product HHYDP"/>
    <x v="6"/>
    <x v="132"/>
    <d v="2007-01-13T00:00:00"/>
    <x v="2"/>
    <s v="Ship to 62-A"/>
    <x v="1"/>
    <s v="Supplier SWRXU"/>
    <s v="UK"/>
    <x v="2"/>
    <n v="144"/>
  </r>
  <r>
    <n v="10406"/>
    <n v="21"/>
    <n v="8"/>
    <n v="30"/>
    <n v="0.1"/>
    <s v="Misiec, Anna"/>
    <s v="Misiec Anna"/>
    <x v="9"/>
    <n v="0"/>
    <s v="Product VJZZH"/>
    <x v="5"/>
    <x v="132"/>
    <d v="2007-01-13T00:00:00"/>
    <x v="2"/>
    <s v="Ship to 62-A"/>
    <x v="1"/>
    <s v="Supplier BWGYE"/>
    <s v="UK"/>
    <x v="2"/>
    <n v="216"/>
  </r>
  <r>
    <n v="10406"/>
    <n v="28"/>
    <n v="36.4"/>
    <n v="42"/>
    <n v="0.1"/>
    <s v="Misiec, Anna"/>
    <s v="Misiec Anna"/>
    <x v="9"/>
    <n v="0"/>
    <s v="Product OFBNT"/>
    <x v="2"/>
    <x v="132"/>
    <d v="2007-01-13T00:00:00"/>
    <x v="2"/>
    <s v="Ship to 62-A"/>
    <x v="1"/>
    <s v="Supplier SVIYA"/>
    <s v="Germany"/>
    <x v="2"/>
    <n v="1375.92"/>
  </r>
  <r>
    <n v="10406"/>
    <n v="36"/>
    <n v="15.2"/>
    <n v="5"/>
    <n v="0.1"/>
    <s v="Misiec, Anna"/>
    <s v="Misiec Anna"/>
    <x v="9"/>
    <n v="0"/>
    <s v="Product GMKIJ"/>
    <x v="3"/>
    <x v="132"/>
    <d v="2007-01-13T00:00:00"/>
    <x v="2"/>
    <s v="Ship to 62-A"/>
    <x v="1"/>
    <s v="Supplier QZGUF"/>
    <s v="Sweden"/>
    <x v="2"/>
    <n v="68.400000000000006"/>
  </r>
  <r>
    <n v="10406"/>
    <n v="40"/>
    <n v="14.7"/>
    <n v="2"/>
    <n v="0.1"/>
    <s v="Misiec, Anna"/>
    <s v="Misiec Anna"/>
    <x v="9"/>
    <n v="0"/>
    <s v="Product YZIXQ"/>
    <x v="3"/>
    <x v="132"/>
    <d v="2007-01-13T00:00:00"/>
    <x v="2"/>
    <s v="Ship to 62-A"/>
    <x v="1"/>
    <s v="Supplier JDNUG"/>
    <s v="USA"/>
    <x v="2"/>
    <n v="26.46"/>
  </r>
  <r>
    <n v="10407"/>
    <n v="11"/>
    <n v="16.8"/>
    <n v="30"/>
    <n v="0"/>
    <s v="Marinova, Nadejda"/>
    <s v="Marinova Nadejda"/>
    <x v="8"/>
    <s v="WA"/>
    <s v="Product QMVUN"/>
    <x v="0"/>
    <x v="132"/>
    <d v="2007-01-30T00:00:00"/>
    <x v="1"/>
    <s v="Ship to 56-B"/>
    <x v="8"/>
    <s v="Supplier EQPNC"/>
    <s v="Spain"/>
    <x v="1"/>
    <n v="504"/>
  </r>
  <r>
    <n v="10407"/>
    <n v="69"/>
    <n v="28.8"/>
    <n v="15"/>
    <n v="0"/>
    <s v="Marinova, Nadejda"/>
    <s v="Marinova Nadejda"/>
    <x v="8"/>
    <s v="WA"/>
    <s v="Product COAXA"/>
    <x v="0"/>
    <x v="132"/>
    <d v="2007-01-30T00:00:00"/>
    <x v="1"/>
    <s v="Ship to 56-B"/>
    <x v="8"/>
    <s v="Supplier NZLIF"/>
    <s v="Norway"/>
    <x v="1"/>
    <n v="432"/>
  </r>
  <r>
    <n v="10407"/>
    <n v="71"/>
    <n v="17.2"/>
    <n v="15"/>
    <n v="0"/>
    <s v="Marinova, Nadejda"/>
    <s v="Marinova Nadejda"/>
    <x v="8"/>
    <s v="WA"/>
    <s v="Product MYMOI"/>
    <x v="0"/>
    <x v="132"/>
    <d v="2007-01-30T00:00:00"/>
    <x v="1"/>
    <s v="Ship to 56-B"/>
    <x v="8"/>
    <s v="Supplier NZLIF"/>
    <s v="Norway"/>
    <x v="1"/>
    <n v="258"/>
  </r>
  <r>
    <n v="10408"/>
    <n v="37"/>
    <n v="20.8"/>
    <n v="10"/>
    <n v="0"/>
    <s v="Khanna, Karan"/>
    <s v="Khanna Karan"/>
    <x v="6"/>
    <s v="WA"/>
    <s v="Product EVFFA"/>
    <x v="3"/>
    <x v="133"/>
    <d v="2007-01-14T00:00:00"/>
    <x v="2"/>
    <s v="Destination PXQRR"/>
    <x v="2"/>
    <s v="Supplier QZGUF"/>
    <s v="Sweden"/>
    <x v="1"/>
    <n v="208"/>
  </r>
  <r>
    <n v="10408"/>
    <n v="54"/>
    <n v="5.9"/>
    <n v="6"/>
    <n v="0"/>
    <s v="Khanna, Karan"/>
    <s v="Khanna Karan"/>
    <x v="6"/>
    <s v="WA"/>
    <s v="Product QAQRL"/>
    <x v="7"/>
    <x v="133"/>
    <d v="2007-01-14T00:00:00"/>
    <x v="2"/>
    <s v="Destination PXQRR"/>
    <x v="2"/>
    <s v="Supplier ERVYZ"/>
    <s v="Canada"/>
    <x v="1"/>
    <n v="35.400000000000006"/>
  </r>
  <r>
    <n v="10408"/>
    <n v="62"/>
    <n v="39.4"/>
    <n v="35"/>
    <n v="0"/>
    <s v="Khanna, Karan"/>
    <s v="Khanna Karan"/>
    <x v="6"/>
    <s v="WA"/>
    <s v="Product WUXYK"/>
    <x v="5"/>
    <x v="133"/>
    <d v="2007-01-14T00:00:00"/>
    <x v="2"/>
    <s v="Destination PXQRR"/>
    <x v="2"/>
    <s v="Supplier OGLRK"/>
    <s v="Canada"/>
    <x v="1"/>
    <n v="1379"/>
  </r>
  <r>
    <n v="10409"/>
    <n v="14"/>
    <n v="18.600000000000001"/>
    <n v="12"/>
    <n v="0"/>
    <s v="Tiano, Mike"/>
    <s v="Tiano Mike"/>
    <x v="2"/>
    <s v="WA"/>
    <s v="Product PWCJB"/>
    <x v="2"/>
    <x v="134"/>
    <d v="2007-01-14T00:00:00"/>
    <x v="2"/>
    <s v="Ship to 54-C"/>
    <x v="21"/>
    <s v="Supplier QWUSF"/>
    <s v="Japan"/>
    <x v="1"/>
    <n v="223.20000000000002"/>
  </r>
  <r>
    <n v="10409"/>
    <n v="21"/>
    <n v="8"/>
    <n v="12"/>
    <n v="0"/>
    <s v="Tiano, Mike"/>
    <s v="Tiano Mike"/>
    <x v="2"/>
    <s v="WA"/>
    <s v="Product VJZZH"/>
    <x v="5"/>
    <x v="134"/>
    <d v="2007-01-14T00:00:00"/>
    <x v="2"/>
    <s v="Ship to 54-C"/>
    <x v="21"/>
    <s v="Supplier BWGYE"/>
    <s v="UK"/>
    <x v="1"/>
    <n v="96"/>
  </r>
  <r>
    <n v="10410"/>
    <n v="33"/>
    <n v="2"/>
    <n v="49"/>
    <n v="0"/>
    <s v="Bassols, Pilar Colome"/>
    <s v="Bassols Pilar Colome"/>
    <x v="2"/>
    <s v="WA"/>
    <s v="Product ASTMN"/>
    <x v="0"/>
    <x v="135"/>
    <d v="2007-01-15T00:00:00"/>
    <x v="3"/>
    <s v="Destination OLSSJ"/>
    <x v="17"/>
    <s v="Supplier NZLIF"/>
    <s v="Norway"/>
    <x v="1"/>
    <n v="98"/>
  </r>
  <r>
    <n v="10410"/>
    <n v="59"/>
    <n v="44"/>
    <n v="16"/>
    <n v="0"/>
    <s v="Bassols, Pilar Colome"/>
    <s v="Bassols Pilar Colome"/>
    <x v="2"/>
    <s v="WA"/>
    <s v="Product UKXRI"/>
    <x v="0"/>
    <x v="135"/>
    <d v="2007-01-15T00:00:00"/>
    <x v="3"/>
    <s v="Destination OLSSJ"/>
    <x v="17"/>
    <s v="Supplier OAVQT"/>
    <s v="France"/>
    <x v="1"/>
    <n v="704"/>
  </r>
  <r>
    <n v="10411"/>
    <n v="41"/>
    <n v="7.7"/>
    <n v="25"/>
    <n v="0.2"/>
    <s v="Bassols, Pilar Colome"/>
    <s v="Bassols Pilar Colome"/>
    <x v="4"/>
    <n v="0"/>
    <s v="Product TTEEX"/>
    <x v="3"/>
    <x v="135"/>
    <d v="2007-01-21T00:00:00"/>
    <x v="3"/>
    <s v="Destination XJIBQ"/>
    <x v="17"/>
    <s v="Supplier JDNUG"/>
    <s v="USA"/>
    <x v="1"/>
    <n v="154"/>
  </r>
  <r>
    <n v="10411"/>
    <n v="44"/>
    <n v="15.5"/>
    <n v="40"/>
    <n v="0.2"/>
    <s v="Bassols, Pilar Colome"/>
    <s v="Bassols Pilar Colome"/>
    <x v="4"/>
    <n v="0"/>
    <s v="Product VJIEO"/>
    <x v="4"/>
    <x v="135"/>
    <d v="2007-01-21T00:00:00"/>
    <x v="3"/>
    <s v="Destination XJIBQ"/>
    <x v="17"/>
    <s v="Supplier CIYNM"/>
    <s v="Singapore"/>
    <x v="1"/>
    <n v="496"/>
  </r>
  <r>
    <n v="10411"/>
    <n v="59"/>
    <n v="44"/>
    <n v="9"/>
    <n v="0.2"/>
    <s v="Bassols, Pilar Colome"/>
    <s v="Bassols Pilar Colome"/>
    <x v="4"/>
    <n v="0"/>
    <s v="Product UKXRI"/>
    <x v="0"/>
    <x v="135"/>
    <d v="2007-01-21T00:00:00"/>
    <x v="3"/>
    <s v="Destination XJIBQ"/>
    <x v="17"/>
    <s v="Supplier OAVQT"/>
    <s v="France"/>
    <x v="1"/>
    <n v="316.8"/>
  </r>
  <r>
    <n v="10412"/>
    <n v="14"/>
    <n v="18.600000000000001"/>
    <n v="20"/>
    <n v="0.1"/>
    <s v="Ludwig, Michael"/>
    <s v="Ludwig Michael"/>
    <x v="6"/>
    <s v="WA"/>
    <s v="Product PWCJB"/>
    <x v="2"/>
    <x v="136"/>
    <d v="2007-01-15T00:00:00"/>
    <x v="1"/>
    <s v="Ship to 87-C"/>
    <x v="11"/>
    <s v="Supplier QWUSF"/>
    <s v="Japan"/>
    <x v="1"/>
    <n v="334.8"/>
  </r>
  <r>
    <n v="10413"/>
    <n v="1"/>
    <n v="14.4"/>
    <n v="24"/>
    <n v="0"/>
    <s v="Litton, Tim"/>
    <s v="Litton Tim"/>
    <x v="2"/>
    <s v="WA"/>
    <s v="Product HHYDP"/>
    <x v="6"/>
    <x v="137"/>
    <d v="2007-01-16T00:00:00"/>
    <x v="1"/>
    <s v="Destination DWJIO"/>
    <x v="2"/>
    <s v="Supplier SWRXU"/>
    <s v="UK"/>
    <x v="1"/>
    <n v="345.6"/>
  </r>
  <r>
    <n v="10413"/>
    <n v="62"/>
    <n v="39.4"/>
    <n v="40"/>
    <n v="0"/>
    <s v="Litton, Tim"/>
    <s v="Litton Tim"/>
    <x v="2"/>
    <s v="WA"/>
    <s v="Product WUXYK"/>
    <x v="5"/>
    <x v="137"/>
    <d v="2007-01-16T00:00:00"/>
    <x v="1"/>
    <s v="Destination DWJIO"/>
    <x v="2"/>
    <s v="Supplier OGLRK"/>
    <s v="Canada"/>
    <x v="1"/>
    <n v="1576"/>
  </r>
  <r>
    <n v="10413"/>
    <n v="76"/>
    <n v="14.4"/>
    <n v="14"/>
    <n v="0"/>
    <s v="Litton, Tim"/>
    <s v="Litton Tim"/>
    <x v="2"/>
    <s v="WA"/>
    <s v="Product JYGFE"/>
    <x v="6"/>
    <x v="137"/>
    <d v="2007-01-16T00:00:00"/>
    <x v="1"/>
    <s v="Destination DWJIO"/>
    <x v="2"/>
    <s v="Supplier ELCRN"/>
    <s v="Finland"/>
    <x v="1"/>
    <n v="201.6"/>
  </r>
  <r>
    <n v="10414"/>
    <n v="19"/>
    <n v="7.3"/>
    <n v="18"/>
    <n v="0.05"/>
    <s v="Russo, Giuseppe"/>
    <s v="Russo Giuseppe"/>
    <x v="8"/>
    <s v="WA"/>
    <s v="Product XKXDO"/>
    <x v="5"/>
    <x v="137"/>
    <d v="2007-01-17T00:00:00"/>
    <x v="3"/>
    <s v="Destination SSYXZ"/>
    <x v="1"/>
    <s v="Supplier BWGYE"/>
    <s v="UK"/>
    <x v="1"/>
    <n v="124.83"/>
  </r>
  <r>
    <n v="10414"/>
    <n v="33"/>
    <n v="2"/>
    <n v="50"/>
    <n v="0"/>
    <s v="Russo, Giuseppe"/>
    <s v="Russo Giuseppe"/>
    <x v="8"/>
    <s v="WA"/>
    <s v="Product ASTMN"/>
    <x v="0"/>
    <x v="137"/>
    <d v="2007-01-17T00:00:00"/>
    <x v="3"/>
    <s v="Destination SSYXZ"/>
    <x v="1"/>
    <s v="Supplier NZLIF"/>
    <s v="Norway"/>
    <x v="1"/>
    <n v="100"/>
  </r>
  <r>
    <n v="10415"/>
    <n v="17"/>
    <n v="31.2"/>
    <n v="2"/>
    <n v="0"/>
    <s v="Smith, Denise"/>
    <s v="Smith Denise"/>
    <x v="2"/>
    <s v="WA"/>
    <s v="Product BLCAX"/>
    <x v="7"/>
    <x v="138"/>
    <d v="2007-01-24T00:00:00"/>
    <x v="2"/>
    <s v="Destination AWPJG"/>
    <x v="9"/>
    <s v="Supplier GQRCV"/>
    <s v="Australia"/>
    <x v="1"/>
    <n v="62.4"/>
  </r>
  <r>
    <n v="10415"/>
    <n v="33"/>
    <n v="2"/>
    <n v="20"/>
    <n v="0"/>
    <s v="Smith, Denise"/>
    <s v="Smith Denise"/>
    <x v="2"/>
    <s v="WA"/>
    <s v="Product ASTMN"/>
    <x v="0"/>
    <x v="138"/>
    <d v="2007-01-24T00:00:00"/>
    <x v="2"/>
    <s v="Destination AWPJG"/>
    <x v="9"/>
    <s v="Supplier NZLIF"/>
    <s v="Norway"/>
    <x v="1"/>
    <n v="40"/>
  </r>
  <r>
    <n v="10416"/>
    <n v="19"/>
    <n v="7.3"/>
    <n v="20"/>
    <n v="0"/>
    <s v="Ludwig, Michael"/>
    <s v="Ludwig Michael"/>
    <x v="6"/>
    <s v="WA"/>
    <s v="Product XKXDO"/>
    <x v="5"/>
    <x v="139"/>
    <d v="2007-01-27T00:00:00"/>
    <x v="3"/>
    <s v="Ship to 87-A"/>
    <x v="11"/>
    <s v="Supplier BWGYE"/>
    <s v="UK"/>
    <x v="1"/>
    <n v="146"/>
  </r>
  <r>
    <n v="10416"/>
    <n v="53"/>
    <n v="26.2"/>
    <n v="10"/>
    <n v="0"/>
    <s v="Ludwig, Michael"/>
    <s v="Ludwig Michael"/>
    <x v="6"/>
    <s v="WA"/>
    <s v="Product BKGEA"/>
    <x v="7"/>
    <x v="139"/>
    <d v="2007-01-27T00:00:00"/>
    <x v="3"/>
    <s v="Ship to 87-A"/>
    <x v="11"/>
    <s v="Supplier JNNES"/>
    <s v="Australia"/>
    <x v="1"/>
    <n v="262"/>
  </r>
  <r>
    <n v="10416"/>
    <n v="57"/>
    <n v="15.6"/>
    <n v="20"/>
    <n v="0"/>
    <s v="Ludwig, Michael"/>
    <s v="Ludwig Michael"/>
    <x v="6"/>
    <s v="WA"/>
    <s v="Product OVLQI"/>
    <x v="1"/>
    <x v="139"/>
    <d v="2007-01-27T00:00:00"/>
    <x v="3"/>
    <s v="Ship to 87-A"/>
    <x v="11"/>
    <s v="Supplier ZWZDM"/>
    <s v="Italy"/>
    <x v="1"/>
    <n v="312"/>
  </r>
  <r>
    <n v="10417"/>
    <n v="38"/>
    <n v="210.8"/>
    <n v="50"/>
    <n v="0"/>
    <s v="Gonzalez, Nuria"/>
    <s v="Gonzalez Nuria"/>
    <x v="1"/>
    <s v="WA"/>
    <s v="Product QDOMO"/>
    <x v="6"/>
    <x v="139"/>
    <d v="2007-01-28T00:00:00"/>
    <x v="3"/>
    <s v="Ship to 73-C"/>
    <x v="18"/>
    <s v="Supplier LVJUA"/>
    <s v="France"/>
    <x v="1"/>
    <n v="10540"/>
  </r>
  <r>
    <n v="10417"/>
    <n v="46"/>
    <n v="9.6"/>
    <n v="2"/>
    <n v="0.25"/>
    <s v="Gonzalez, Nuria"/>
    <s v="Gonzalez Nuria"/>
    <x v="1"/>
    <s v="WA"/>
    <s v="Product CBRRL"/>
    <x v="3"/>
    <x v="139"/>
    <d v="2007-01-28T00:00:00"/>
    <x v="3"/>
    <s v="Ship to 73-C"/>
    <x v="18"/>
    <s v="Supplier XOXZA"/>
    <s v="Denmark"/>
    <x v="1"/>
    <n v="14.399999999999999"/>
  </r>
  <r>
    <n v="10417"/>
    <n v="68"/>
    <n v="10"/>
    <n v="36"/>
    <n v="0.25"/>
    <s v="Gonzalez, Nuria"/>
    <s v="Gonzalez Nuria"/>
    <x v="1"/>
    <s v="WA"/>
    <s v="Product TBTBL"/>
    <x v="5"/>
    <x v="139"/>
    <d v="2007-01-28T00:00:00"/>
    <x v="3"/>
    <s v="Ship to 73-C"/>
    <x v="18"/>
    <s v="Supplier BWGYE"/>
    <s v="UK"/>
    <x v="1"/>
    <n v="270"/>
  </r>
  <r>
    <n v="10417"/>
    <n v="77"/>
    <n v="10.4"/>
    <n v="35"/>
    <n v="0"/>
    <s v="Gonzalez, Nuria"/>
    <s v="Gonzalez Nuria"/>
    <x v="1"/>
    <s v="WA"/>
    <s v="Product LUNZZ"/>
    <x v="4"/>
    <x v="139"/>
    <d v="2007-01-28T00:00:00"/>
    <x v="3"/>
    <s v="Ship to 73-C"/>
    <x v="18"/>
    <s v="Supplier SVIYA"/>
    <s v="Germany"/>
    <x v="1"/>
    <n v="364"/>
  </r>
  <r>
    <n v="10418"/>
    <n v="2"/>
    <n v="15.2"/>
    <n v="60"/>
    <n v="0"/>
    <s v="Veronesi, Giorgio"/>
    <s v="Veronesi Giorgio"/>
    <x v="1"/>
    <s v="WA"/>
    <s v="Product RECZE"/>
    <x v="6"/>
    <x v="140"/>
    <d v="2007-01-24T00:00:00"/>
    <x v="2"/>
    <s v="Ship to 63-B"/>
    <x v="8"/>
    <s v="Supplier SWRXU"/>
    <s v="UK"/>
    <x v="1"/>
    <n v="912"/>
  </r>
  <r>
    <n v="10418"/>
    <n v="47"/>
    <n v="7.6"/>
    <n v="55"/>
    <n v="0"/>
    <s v="Veronesi, Giorgio"/>
    <s v="Veronesi Giorgio"/>
    <x v="1"/>
    <s v="WA"/>
    <s v="Product EZZPR"/>
    <x v="5"/>
    <x v="140"/>
    <d v="2007-01-24T00:00:00"/>
    <x v="2"/>
    <s v="Ship to 63-B"/>
    <x v="8"/>
    <s v="Supplier FNUXM"/>
    <s v="Netherlands"/>
    <x v="1"/>
    <n v="418"/>
  </r>
  <r>
    <n v="10418"/>
    <n v="61"/>
    <n v="22.8"/>
    <n v="16"/>
    <n v="0"/>
    <s v="Veronesi, Giorgio"/>
    <s v="Veronesi Giorgio"/>
    <x v="1"/>
    <s v="WA"/>
    <s v="Product XYZPE"/>
    <x v="4"/>
    <x v="140"/>
    <d v="2007-01-24T00:00:00"/>
    <x v="2"/>
    <s v="Ship to 63-B"/>
    <x v="8"/>
    <s v="Supplier OGLRK"/>
    <s v="Canada"/>
    <x v="1"/>
    <n v="364.8"/>
  </r>
  <r>
    <n v="10418"/>
    <n v="74"/>
    <n v="8"/>
    <n v="15"/>
    <n v="0"/>
    <s v="Veronesi, Giorgio"/>
    <s v="Veronesi Giorgio"/>
    <x v="1"/>
    <s v="WA"/>
    <s v="Product BKAZJ"/>
    <x v="2"/>
    <x v="140"/>
    <d v="2007-01-24T00:00:00"/>
    <x v="2"/>
    <s v="Ship to 63-B"/>
    <x v="8"/>
    <s v="Supplier QOVFD"/>
    <s v="Japan"/>
    <x v="1"/>
    <n v="120"/>
  </r>
  <r>
    <n v="10419"/>
    <n v="60"/>
    <n v="27.2"/>
    <n v="60"/>
    <n v="0.05"/>
    <s v="Myrcha, Jacek"/>
    <s v="Myrcha Jacek"/>
    <x v="1"/>
    <s v="WA"/>
    <s v="Product WHBYK"/>
    <x v="0"/>
    <x v="141"/>
    <d v="2007-01-30T00:00:00"/>
    <x v="1"/>
    <s v="Ship to 68-A"/>
    <x v="4"/>
    <s v="Supplier OAVQT"/>
    <s v="France"/>
    <x v="2"/>
    <n v="1550.3999999999999"/>
  </r>
  <r>
    <n v="10419"/>
    <n v="69"/>
    <n v="28.8"/>
    <n v="20"/>
    <n v="0.05"/>
    <s v="Myrcha, Jacek"/>
    <s v="Myrcha Jacek"/>
    <x v="1"/>
    <s v="WA"/>
    <s v="Product COAXA"/>
    <x v="0"/>
    <x v="141"/>
    <d v="2007-01-30T00:00:00"/>
    <x v="1"/>
    <s v="Ship to 68-A"/>
    <x v="4"/>
    <s v="Supplier NZLIF"/>
    <s v="Norway"/>
    <x v="2"/>
    <n v="547.19999999999993"/>
  </r>
  <r>
    <n v="10420"/>
    <n v="9"/>
    <n v="77.599999999999994"/>
    <n v="20"/>
    <n v="0.1"/>
    <s v="Li, Yan"/>
    <s v="Li Yan"/>
    <x v="2"/>
    <s v="WA"/>
    <s v="Product AOZBW"/>
    <x v="7"/>
    <x v="142"/>
    <d v="2007-01-27T00:00:00"/>
    <x v="2"/>
    <s v="Ship to 88-C"/>
    <x v="1"/>
    <s v="Supplier QOVFD"/>
    <s v="Japan"/>
    <x v="1"/>
    <n v="1396.8"/>
  </r>
  <r>
    <n v="10420"/>
    <n v="13"/>
    <n v="4.8"/>
    <n v="2"/>
    <n v="0.1"/>
    <s v="Li, Yan"/>
    <s v="Li Yan"/>
    <x v="2"/>
    <s v="WA"/>
    <s v="Product POXFU"/>
    <x v="3"/>
    <x v="142"/>
    <d v="2007-01-27T00:00:00"/>
    <x v="2"/>
    <s v="Ship to 88-C"/>
    <x v="1"/>
    <s v="Supplier QWUSF"/>
    <s v="Japan"/>
    <x v="1"/>
    <n v="8.64"/>
  </r>
  <r>
    <n v="10420"/>
    <n v="70"/>
    <n v="12"/>
    <n v="8"/>
    <n v="0.1"/>
    <s v="Li, Yan"/>
    <s v="Li Yan"/>
    <x v="2"/>
    <s v="WA"/>
    <s v="Product TOONT"/>
    <x v="6"/>
    <x v="142"/>
    <d v="2007-01-27T00:00:00"/>
    <x v="2"/>
    <s v="Ship to 88-C"/>
    <x v="1"/>
    <s v="Supplier GQRCV"/>
    <s v="Australia"/>
    <x v="1"/>
    <n v="86.4"/>
  </r>
  <r>
    <n v="10420"/>
    <n v="73"/>
    <n v="12"/>
    <n v="20"/>
    <n v="0.1"/>
    <s v="Li, Yan"/>
    <s v="Li Yan"/>
    <x v="2"/>
    <s v="WA"/>
    <s v="Product WEUJZ"/>
    <x v="3"/>
    <x v="142"/>
    <d v="2007-01-27T00:00:00"/>
    <x v="2"/>
    <s v="Ship to 88-C"/>
    <x v="1"/>
    <s v="Supplier QZGUF"/>
    <s v="Sweden"/>
    <x v="1"/>
    <n v="216"/>
  </r>
  <r>
    <n v="10421"/>
    <n v="19"/>
    <n v="7.3"/>
    <n v="4"/>
    <n v="0.15"/>
    <s v="Florczyk, Krzysztof"/>
    <s v="Florczyk Krzysztof"/>
    <x v="6"/>
    <s v="WA"/>
    <s v="Product XKXDO"/>
    <x v="5"/>
    <x v="142"/>
    <d v="2007-01-27T00:00:00"/>
    <x v="2"/>
    <s v="Ship to 61-C"/>
    <x v="1"/>
    <s v="Supplier BWGYE"/>
    <s v="UK"/>
    <x v="1"/>
    <n v="24.82"/>
  </r>
  <r>
    <n v="10421"/>
    <n v="26"/>
    <n v="24.9"/>
    <n v="30"/>
    <n v="0"/>
    <s v="Florczyk, Krzysztof"/>
    <s v="Florczyk Krzysztof"/>
    <x v="6"/>
    <s v="WA"/>
    <s v="Product HLGZA"/>
    <x v="5"/>
    <x v="142"/>
    <d v="2007-01-27T00:00:00"/>
    <x v="2"/>
    <s v="Ship to 61-C"/>
    <x v="1"/>
    <s v="Supplier ZPYVS"/>
    <s v="Germany"/>
    <x v="1"/>
    <n v="747"/>
  </r>
  <r>
    <n v="10421"/>
    <n v="53"/>
    <n v="26.2"/>
    <n v="15"/>
    <n v="0.15"/>
    <s v="Florczyk, Krzysztof"/>
    <s v="Florczyk Krzysztof"/>
    <x v="6"/>
    <s v="WA"/>
    <s v="Product BKGEA"/>
    <x v="7"/>
    <x v="142"/>
    <d v="2007-01-27T00:00:00"/>
    <x v="2"/>
    <s v="Ship to 61-C"/>
    <x v="1"/>
    <s v="Supplier JNNES"/>
    <s v="Australia"/>
    <x v="1"/>
    <n v="334.05"/>
  </r>
  <r>
    <n v="10421"/>
    <n v="77"/>
    <n v="10.4"/>
    <n v="10"/>
    <n v="0.15"/>
    <s v="Florczyk, Krzysztof"/>
    <s v="Florczyk Krzysztof"/>
    <x v="6"/>
    <s v="WA"/>
    <s v="Product LUNZZ"/>
    <x v="4"/>
    <x v="142"/>
    <d v="2007-01-27T00:00:00"/>
    <x v="2"/>
    <s v="Ship to 61-C"/>
    <x v="1"/>
    <s v="Supplier SVIYA"/>
    <s v="Germany"/>
    <x v="1"/>
    <n v="88.399999999999991"/>
  </r>
  <r>
    <n v="10422"/>
    <n v="26"/>
    <n v="24.9"/>
    <n v="2"/>
    <n v="0"/>
    <s v="Schmöllerl, Martin"/>
    <s v="Schmöllerl Martin"/>
    <x v="8"/>
    <s v="WA"/>
    <s v="Product HLGZA"/>
    <x v="5"/>
    <x v="143"/>
    <d v="2007-01-31T00:00:00"/>
    <x v="2"/>
    <s v="Destination FFLQT"/>
    <x v="12"/>
    <s v="Supplier ZPYVS"/>
    <s v="Germany"/>
    <x v="1"/>
    <n v="49.8"/>
  </r>
  <r>
    <n v="10423"/>
    <n v="31"/>
    <n v="10"/>
    <n v="14"/>
    <n v="0"/>
    <s v="Cheng, Yao-Qiang"/>
    <s v="Cheng Yao-Qiang"/>
    <x v="7"/>
    <n v="0"/>
    <s v="Product XWOXC"/>
    <x v="0"/>
    <x v="144"/>
    <d v="2007-02-24T00:00:00"/>
    <x v="3"/>
    <s v="Destination VNIAG"/>
    <x v="1"/>
    <s v="Supplier KEREV"/>
    <s v="Italy"/>
    <x v="1"/>
    <n v="140"/>
  </r>
  <r>
    <n v="10423"/>
    <n v="59"/>
    <n v="44"/>
    <n v="20"/>
    <n v="0"/>
    <s v="Cheng, Yao-Qiang"/>
    <s v="Cheng Yao-Qiang"/>
    <x v="7"/>
    <n v="0"/>
    <s v="Product UKXRI"/>
    <x v="0"/>
    <x v="144"/>
    <d v="2007-02-24T00:00:00"/>
    <x v="3"/>
    <s v="Destination VNIAG"/>
    <x v="1"/>
    <s v="Supplier OAVQT"/>
    <s v="France"/>
    <x v="1"/>
    <n v="880"/>
  </r>
  <r>
    <n v="10424"/>
    <n v="35"/>
    <n v="14.4"/>
    <n v="60"/>
    <n v="0.2"/>
    <s v="Taylor, Maurice"/>
    <s v="Taylor Maurice"/>
    <x v="9"/>
    <n v="0"/>
    <s v="Product NEVTJ"/>
    <x v="6"/>
    <x v="144"/>
    <d v="2007-01-27T00:00:00"/>
    <x v="1"/>
    <s v="Ship to 51-C"/>
    <x v="17"/>
    <s v="Supplier UHZRG"/>
    <s v="USA"/>
    <x v="2"/>
    <n v="691.2"/>
  </r>
  <r>
    <n v="10424"/>
    <n v="38"/>
    <n v="210.8"/>
    <n v="49"/>
    <n v="0.2"/>
    <s v="Taylor, Maurice"/>
    <s v="Taylor Maurice"/>
    <x v="9"/>
    <n v="0"/>
    <s v="Product QDOMO"/>
    <x v="6"/>
    <x v="144"/>
    <d v="2007-01-27T00:00:00"/>
    <x v="1"/>
    <s v="Ship to 51-C"/>
    <x v="17"/>
    <s v="Supplier LVJUA"/>
    <s v="France"/>
    <x v="2"/>
    <n v="8263.36"/>
  </r>
  <r>
    <n v="10424"/>
    <n v="68"/>
    <n v="10"/>
    <n v="30"/>
    <n v="0.2"/>
    <s v="Taylor, Maurice"/>
    <s v="Taylor Maurice"/>
    <x v="9"/>
    <n v="0"/>
    <s v="Product TBTBL"/>
    <x v="5"/>
    <x v="144"/>
    <d v="2007-01-27T00:00:00"/>
    <x v="1"/>
    <s v="Ship to 51-C"/>
    <x v="17"/>
    <s v="Supplier BWGYE"/>
    <s v="UK"/>
    <x v="2"/>
    <n v="240"/>
  </r>
  <r>
    <n v="10425"/>
    <n v="55"/>
    <n v="19.2"/>
    <n v="10"/>
    <n v="0.25"/>
    <s v="Litton, Tim"/>
    <s v="Litton Tim"/>
    <x v="7"/>
    <n v="0"/>
    <s v="Product YYWRT"/>
    <x v="7"/>
    <x v="145"/>
    <d v="2007-02-14T00:00:00"/>
    <x v="1"/>
    <s v="Destination DWJIO"/>
    <x v="2"/>
    <s v="Supplier ERVYZ"/>
    <s v="Canada"/>
    <x v="1"/>
    <n v="144"/>
  </r>
  <r>
    <n v="10425"/>
    <n v="76"/>
    <n v="14.4"/>
    <n v="20"/>
    <n v="0.25"/>
    <s v="Litton, Tim"/>
    <s v="Litton Tim"/>
    <x v="7"/>
    <n v="0"/>
    <s v="Product JYGFE"/>
    <x v="6"/>
    <x v="145"/>
    <d v="2007-02-14T00:00:00"/>
    <x v="1"/>
    <s v="Destination DWJIO"/>
    <x v="2"/>
    <s v="Supplier ELCRN"/>
    <s v="Finland"/>
    <x v="1"/>
    <n v="216"/>
  </r>
  <r>
    <n v="10426"/>
    <n v="56"/>
    <n v="30.4"/>
    <n v="5"/>
    <n v="0"/>
    <s v="Kolesnikova, Katerina"/>
    <s v="Kolesnikova Katerina"/>
    <x v="1"/>
    <s v="WA"/>
    <s v="Product VKCMF"/>
    <x v="1"/>
    <x v="146"/>
    <d v="2007-02-06T00:00:00"/>
    <x v="2"/>
    <s v="Destination WOFLH"/>
    <x v="13"/>
    <s v="Supplier ZWZDM"/>
    <s v="Italy"/>
    <x v="1"/>
    <n v="152"/>
  </r>
  <r>
    <n v="10426"/>
    <n v="64"/>
    <n v="26.6"/>
    <n v="7"/>
    <n v="0"/>
    <s v="Kolesnikova, Katerina"/>
    <s v="Kolesnikova Katerina"/>
    <x v="1"/>
    <s v="WA"/>
    <s v="Product HCQDE"/>
    <x v="1"/>
    <x v="146"/>
    <d v="2007-02-06T00:00:00"/>
    <x v="2"/>
    <s v="Destination WOFLH"/>
    <x v="13"/>
    <s v="Supplier SVIYA"/>
    <s v="Germany"/>
    <x v="1"/>
    <n v="186.20000000000002"/>
  </r>
  <r>
    <n v="10427"/>
    <n v="14"/>
    <n v="18.600000000000001"/>
    <n v="35"/>
    <n v="0"/>
    <s v="Meston, Tosh"/>
    <s v="Meston Tosh"/>
    <x v="1"/>
    <s v="WA"/>
    <s v="Product PWCJB"/>
    <x v="2"/>
    <x v="146"/>
    <d v="2007-03-03T00:00:00"/>
    <x v="1"/>
    <s v="Ship to 59-C"/>
    <x v="6"/>
    <s v="Supplier QWUSF"/>
    <s v="Japan"/>
    <x v="1"/>
    <n v="651"/>
  </r>
  <r>
    <n v="10428"/>
    <n v="46"/>
    <n v="9.6"/>
    <n v="20"/>
    <n v="0"/>
    <s v="Voss, Florian"/>
    <s v="Voss Florian"/>
    <x v="9"/>
    <n v="0"/>
    <s v="Product CBRRL"/>
    <x v="3"/>
    <x v="147"/>
    <d v="2007-02-04T00:00:00"/>
    <x v="2"/>
    <s v="Ship to 66-C"/>
    <x v="12"/>
    <s v="Supplier XOXZA"/>
    <s v="Denmark"/>
    <x v="1"/>
    <n v="192"/>
  </r>
  <r>
    <n v="10429"/>
    <n v="50"/>
    <n v="13"/>
    <n v="40"/>
    <n v="0"/>
    <s v="Crăciun, Ovidiu V."/>
    <s v="Crăciun Ovidiu V."/>
    <x v="2"/>
    <s v="WA"/>
    <s v="Product BIUDV"/>
    <x v="5"/>
    <x v="148"/>
    <d v="2007-02-07T00:00:00"/>
    <x v="1"/>
    <s v="Destination DGKOU"/>
    <x v="15"/>
    <s v="Supplier ELCRN"/>
    <s v="Finland"/>
    <x v="1"/>
    <n v="520"/>
  </r>
  <r>
    <n v="10429"/>
    <n v="63"/>
    <n v="35.1"/>
    <n v="35"/>
    <n v="0.25"/>
    <s v="Crăciun, Ovidiu V."/>
    <s v="Crăciun Ovidiu V."/>
    <x v="2"/>
    <s v="WA"/>
    <s v="Product ICKNK"/>
    <x v="4"/>
    <x v="148"/>
    <d v="2007-02-07T00:00:00"/>
    <x v="1"/>
    <s v="Destination DGKOU"/>
    <x v="15"/>
    <s v="Supplier GQRCV"/>
    <s v="Australia"/>
    <x v="1"/>
    <n v="921.375"/>
  </r>
  <r>
    <n v="10430"/>
    <n v="17"/>
    <n v="31.2"/>
    <n v="45"/>
    <n v="0.2"/>
    <s v="Kane, John"/>
    <s v="Kane John"/>
    <x v="1"/>
    <s v="WA"/>
    <s v="Product BLCAX"/>
    <x v="7"/>
    <x v="149"/>
    <d v="2007-02-03T00:00:00"/>
    <x v="2"/>
    <s v="Destination CUVPF"/>
    <x v="6"/>
    <s v="Supplier GQRCV"/>
    <s v="Australia"/>
    <x v="2"/>
    <n v="1123.2"/>
  </r>
  <r>
    <n v="10430"/>
    <n v="21"/>
    <n v="8"/>
    <n v="50"/>
    <n v="0"/>
    <s v="Kane, John"/>
    <s v="Kane John"/>
    <x v="1"/>
    <s v="WA"/>
    <s v="Product VJZZH"/>
    <x v="5"/>
    <x v="149"/>
    <d v="2007-02-03T00:00:00"/>
    <x v="2"/>
    <s v="Destination CUVPF"/>
    <x v="6"/>
    <s v="Supplier BWGYE"/>
    <s v="UK"/>
    <x v="2"/>
    <n v="400"/>
  </r>
  <r>
    <n v="10430"/>
    <n v="56"/>
    <n v="30.4"/>
    <n v="30"/>
    <n v="0"/>
    <s v="Kane, John"/>
    <s v="Kane John"/>
    <x v="1"/>
    <s v="WA"/>
    <s v="Product VKCMF"/>
    <x v="1"/>
    <x v="149"/>
    <d v="2007-02-03T00:00:00"/>
    <x v="2"/>
    <s v="Destination CUVPF"/>
    <x v="6"/>
    <s v="Supplier ZWZDM"/>
    <s v="Italy"/>
    <x v="2"/>
    <n v="912"/>
  </r>
  <r>
    <n v="10430"/>
    <n v="59"/>
    <n v="44"/>
    <n v="70"/>
    <n v="0.2"/>
    <s v="Kane, John"/>
    <s v="Kane John"/>
    <x v="1"/>
    <s v="WA"/>
    <s v="Product UKXRI"/>
    <x v="0"/>
    <x v="149"/>
    <d v="2007-02-03T00:00:00"/>
    <x v="2"/>
    <s v="Destination CUVPF"/>
    <x v="6"/>
    <s v="Supplier OAVQT"/>
    <s v="France"/>
    <x v="2"/>
    <n v="2464"/>
  </r>
  <r>
    <n v="10431"/>
    <n v="17"/>
    <n v="31.2"/>
    <n v="50"/>
    <n v="0.25"/>
    <s v="Bassols, Pilar Colome"/>
    <s v="Bassols Pilar Colome"/>
    <x v="1"/>
    <s v="WA"/>
    <s v="Product BLCAX"/>
    <x v="7"/>
    <x v="149"/>
    <d v="2007-02-07T00:00:00"/>
    <x v="1"/>
    <s v="Destination OLSSJ"/>
    <x v="17"/>
    <s v="Supplier GQRCV"/>
    <s v="Australia"/>
    <x v="1"/>
    <n v="1170"/>
  </r>
  <r>
    <n v="10431"/>
    <n v="40"/>
    <n v="14.7"/>
    <n v="50"/>
    <n v="0.25"/>
    <s v="Bassols, Pilar Colome"/>
    <s v="Bassols Pilar Colome"/>
    <x v="1"/>
    <s v="WA"/>
    <s v="Product YZIXQ"/>
    <x v="3"/>
    <x v="149"/>
    <d v="2007-02-07T00:00:00"/>
    <x v="1"/>
    <s v="Destination OLSSJ"/>
    <x v="17"/>
    <s v="Supplier JDNUG"/>
    <s v="USA"/>
    <x v="1"/>
    <n v="551.25"/>
  </r>
  <r>
    <n v="10431"/>
    <n v="47"/>
    <n v="7.6"/>
    <n v="30"/>
    <n v="0.25"/>
    <s v="Bassols, Pilar Colome"/>
    <s v="Bassols Pilar Colome"/>
    <x v="1"/>
    <s v="WA"/>
    <s v="Product EZZPR"/>
    <x v="5"/>
    <x v="149"/>
    <d v="2007-02-07T00:00:00"/>
    <x v="1"/>
    <s v="Destination OLSSJ"/>
    <x v="17"/>
    <s v="Supplier FNUXM"/>
    <s v="Netherlands"/>
    <x v="1"/>
    <n v="171"/>
  </r>
  <r>
    <n v="10432"/>
    <n v="26"/>
    <n v="24.9"/>
    <n v="10"/>
    <n v="0"/>
    <s v="Wojciechowska, Agnieszka"/>
    <s v="Wojciechowska Agnieszka"/>
    <x v="2"/>
    <s v="WA"/>
    <s v="Product HLGZA"/>
    <x v="5"/>
    <x v="150"/>
    <d v="2007-02-07T00:00:00"/>
    <x v="1"/>
    <s v="Ship to 75-A"/>
    <x v="9"/>
    <s v="Supplier ZPYVS"/>
    <s v="Germany"/>
    <x v="1"/>
    <n v="249"/>
  </r>
  <r>
    <n v="10432"/>
    <n v="54"/>
    <n v="5.9"/>
    <n v="40"/>
    <n v="0"/>
    <s v="Wojciechowska, Agnieszka"/>
    <s v="Wojciechowska Agnieszka"/>
    <x v="2"/>
    <s v="WA"/>
    <s v="Product QAQRL"/>
    <x v="7"/>
    <x v="150"/>
    <d v="2007-02-07T00:00:00"/>
    <x v="1"/>
    <s v="Ship to 75-A"/>
    <x v="9"/>
    <s v="Supplier ERVYZ"/>
    <s v="Canada"/>
    <x v="1"/>
    <n v="236"/>
  </r>
  <r>
    <n v="10433"/>
    <n v="56"/>
    <n v="30.4"/>
    <n v="28"/>
    <n v="0"/>
    <s v="Uppal, Sunil"/>
    <s v="Uppal Sunil"/>
    <x v="2"/>
    <s v="WA"/>
    <s v="Product VKCMF"/>
    <x v="1"/>
    <x v="151"/>
    <d v="2007-03-04T00:00:00"/>
    <x v="3"/>
    <s v="Ship to 60-A"/>
    <x v="16"/>
    <s v="Supplier ZWZDM"/>
    <s v="Italy"/>
    <x v="1"/>
    <n v="851.19999999999993"/>
  </r>
  <r>
    <n v="10434"/>
    <n v="11"/>
    <n v="16.8"/>
    <n v="6"/>
    <n v="0"/>
    <s v="San Juan, Patricia"/>
    <s v="San Juan Patricia"/>
    <x v="2"/>
    <s v="WA"/>
    <s v="Product QMVUN"/>
    <x v="0"/>
    <x v="151"/>
    <d v="2007-02-13T00:00:00"/>
    <x v="1"/>
    <s v="Destination NCKKO"/>
    <x v="10"/>
    <s v="Supplier EQPNC"/>
    <s v="Spain"/>
    <x v="1"/>
    <n v="100.80000000000001"/>
  </r>
  <r>
    <n v="10434"/>
    <n v="76"/>
    <n v="14.4"/>
    <n v="18"/>
    <n v="0.15"/>
    <s v="San Juan, Patricia"/>
    <s v="San Juan Patricia"/>
    <x v="2"/>
    <s v="WA"/>
    <s v="Product JYGFE"/>
    <x v="6"/>
    <x v="151"/>
    <d v="2007-02-13T00:00:00"/>
    <x v="1"/>
    <s v="Destination NCKKO"/>
    <x v="10"/>
    <s v="Supplier ELCRN"/>
    <s v="Finland"/>
    <x v="1"/>
    <n v="220.32"/>
  </r>
  <r>
    <n v="10435"/>
    <n v="2"/>
    <n v="15.2"/>
    <n v="10"/>
    <n v="0"/>
    <s v="Birkby, Dana"/>
    <s v="Birkby Dana"/>
    <x v="6"/>
    <s v="WA"/>
    <s v="Product RECZE"/>
    <x v="6"/>
    <x v="152"/>
    <d v="2007-02-07T00:00:00"/>
    <x v="1"/>
    <s v="Destination QKQNB"/>
    <x v="14"/>
    <s v="Supplier SWRXU"/>
    <s v="UK"/>
    <x v="1"/>
    <n v="152"/>
  </r>
  <r>
    <n v="10435"/>
    <n v="22"/>
    <n v="16.8"/>
    <n v="12"/>
    <n v="0"/>
    <s v="Birkby, Dana"/>
    <s v="Birkby Dana"/>
    <x v="6"/>
    <s v="WA"/>
    <s v="Product CPHFY"/>
    <x v="1"/>
    <x v="152"/>
    <d v="2007-02-07T00:00:00"/>
    <x v="1"/>
    <s v="Destination QKQNB"/>
    <x v="14"/>
    <s v="Supplier QQYEU"/>
    <s v="Sweden"/>
    <x v="1"/>
    <n v="201.60000000000002"/>
  </r>
  <r>
    <n v="10435"/>
    <n v="72"/>
    <n v="27.8"/>
    <n v="10"/>
    <n v="0"/>
    <s v="Birkby, Dana"/>
    <s v="Birkby Dana"/>
    <x v="6"/>
    <s v="WA"/>
    <s v="Product GEEOO"/>
    <x v="0"/>
    <x v="152"/>
    <d v="2007-02-07T00:00:00"/>
    <x v="1"/>
    <s v="Destination QKQNB"/>
    <x v="14"/>
    <s v="Supplier KEREV"/>
    <s v="Italy"/>
    <x v="1"/>
    <n v="278"/>
  </r>
  <r>
    <n v="10436"/>
    <n v="46"/>
    <n v="9.6"/>
    <n v="5"/>
    <n v="0"/>
    <s v="Bansal, Dushyant"/>
    <s v="Bansal Dushyant"/>
    <x v="2"/>
    <s v="WA"/>
    <s v="Product CBRRL"/>
    <x v="3"/>
    <x v="153"/>
    <d v="2007-02-11T00:00:00"/>
    <x v="1"/>
    <s v="Ship to 7-C"/>
    <x v="2"/>
    <s v="Supplier XOXZA"/>
    <s v="Denmark"/>
    <x v="2"/>
    <n v="48"/>
  </r>
  <r>
    <n v="10436"/>
    <n v="56"/>
    <n v="30.4"/>
    <n v="40"/>
    <n v="0.1"/>
    <s v="Bansal, Dushyant"/>
    <s v="Bansal Dushyant"/>
    <x v="2"/>
    <s v="WA"/>
    <s v="Product VKCMF"/>
    <x v="1"/>
    <x v="153"/>
    <d v="2007-02-11T00:00:00"/>
    <x v="1"/>
    <s v="Ship to 7-C"/>
    <x v="2"/>
    <s v="Supplier ZWZDM"/>
    <s v="Italy"/>
    <x v="2"/>
    <n v="1094.4000000000001"/>
  </r>
  <r>
    <n v="10436"/>
    <n v="64"/>
    <n v="26.6"/>
    <n v="30"/>
    <n v="0.1"/>
    <s v="Bansal, Dushyant"/>
    <s v="Bansal Dushyant"/>
    <x v="2"/>
    <s v="WA"/>
    <s v="Product HCQDE"/>
    <x v="1"/>
    <x v="153"/>
    <d v="2007-02-11T00:00:00"/>
    <x v="1"/>
    <s v="Ship to 7-C"/>
    <x v="2"/>
    <s v="Supplier SVIYA"/>
    <s v="Germany"/>
    <x v="2"/>
    <n v="718.2"/>
  </r>
  <r>
    <n v="10436"/>
    <n v="75"/>
    <n v="6.2"/>
    <n v="24"/>
    <n v="0.1"/>
    <s v="Bansal, Dushyant"/>
    <s v="Bansal Dushyant"/>
    <x v="2"/>
    <s v="WA"/>
    <s v="Product BWRLG"/>
    <x v="6"/>
    <x v="153"/>
    <d v="2007-02-11T00:00:00"/>
    <x v="1"/>
    <s v="Ship to 7-C"/>
    <x v="2"/>
    <s v="Supplier SVIYA"/>
    <s v="Germany"/>
    <x v="2"/>
    <n v="133.92000000000002"/>
  </r>
  <r>
    <n v="10437"/>
    <n v="53"/>
    <n v="26.2"/>
    <n v="15"/>
    <n v="0"/>
    <s v="Ludwig, Michael"/>
    <s v="Ludwig Michael"/>
    <x v="6"/>
    <s v="WA"/>
    <s v="Product BKGEA"/>
    <x v="7"/>
    <x v="153"/>
    <d v="2007-02-12T00:00:00"/>
    <x v="2"/>
    <s v="Ship to 87-A"/>
    <x v="11"/>
    <s v="Supplier JNNES"/>
    <s v="Australia"/>
    <x v="1"/>
    <n v="393"/>
  </r>
  <r>
    <n v="10438"/>
    <n v="19"/>
    <n v="7.3"/>
    <n v="15"/>
    <n v="0.2"/>
    <s v="Wickham, Jim"/>
    <s v="Wickham Jim"/>
    <x v="2"/>
    <s v="WA"/>
    <s v="Product XKXDO"/>
    <x v="5"/>
    <x v="154"/>
    <d v="2007-02-14T00:00:00"/>
    <x v="1"/>
    <s v="Ship to 79-A"/>
    <x v="8"/>
    <s v="Supplier BWGYE"/>
    <s v="UK"/>
    <x v="1"/>
    <n v="87.600000000000009"/>
  </r>
  <r>
    <n v="10438"/>
    <n v="34"/>
    <n v="11.2"/>
    <n v="20"/>
    <n v="0.2"/>
    <s v="Wickham, Jim"/>
    <s v="Wickham Jim"/>
    <x v="2"/>
    <s v="WA"/>
    <s v="Product SWNJY"/>
    <x v="6"/>
    <x v="154"/>
    <d v="2007-02-14T00:00:00"/>
    <x v="1"/>
    <s v="Ship to 79-A"/>
    <x v="8"/>
    <s v="Supplier UHZRG"/>
    <s v="USA"/>
    <x v="1"/>
    <n v="179.20000000000002"/>
  </r>
  <r>
    <n v="10438"/>
    <n v="57"/>
    <n v="15.6"/>
    <n v="15"/>
    <n v="0.2"/>
    <s v="Wickham, Jim"/>
    <s v="Wickham Jim"/>
    <x v="2"/>
    <s v="WA"/>
    <s v="Product OVLQI"/>
    <x v="1"/>
    <x v="154"/>
    <d v="2007-02-14T00:00:00"/>
    <x v="1"/>
    <s v="Ship to 79-A"/>
    <x v="8"/>
    <s v="Supplier ZWZDM"/>
    <s v="Italy"/>
    <x v="1"/>
    <n v="187.20000000000002"/>
  </r>
  <r>
    <n v="10439"/>
    <n v="12"/>
    <n v="30.4"/>
    <n v="15"/>
    <n v="0"/>
    <s v="Taylor, Maurice"/>
    <s v="Taylor Maurice"/>
    <x v="7"/>
    <n v="0"/>
    <s v="Product OSFNS"/>
    <x v="0"/>
    <x v="155"/>
    <d v="2007-02-10T00:00:00"/>
    <x v="3"/>
    <s v="Ship to 51-C"/>
    <x v="17"/>
    <s v="Supplier EQPNC"/>
    <s v="Spain"/>
    <x v="1"/>
    <n v="456"/>
  </r>
  <r>
    <n v="10439"/>
    <n v="16"/>
    <n v="13.9"/>
    <n v="16"/>
    <n v="0"/>
    <s v="Taylor, Maurice"/>
    <s v="Taylor Maurice"/>
    <x v="7"/>
    <n v="0"/>
    <s v="Product PAFRH"/>
    <x v="5"/>
    <x v="155"/>
    <d v="2007-02-10T00:00:00"/>
    <x v="3"/>
    <s v="Ship to 51-C"/>
    <x v="17"/>
    <s v="Supplier GQRCV"/>
    <s v="Australia"/>
    <x v="1"/>
    <n v="222.4"/>
  </r>
  <r>
    <n v="10439"/>
    <n v="64"/>
    <n v="26.6"/>
    <n v="6"/>
    <n v="0"/>
    <s v="Taylor, Maurice"/>
    <s v="Taylor Maurice"/>
    <x v="7"/>
    <n v="0"/>
    <s v="Product HCQDE"/>
    <x v="1"/>
    <x v="155"/>
    <d v="2007-02-10T00:00:00"/>
    <x v="3"/>
    <s v="Ship to 51-C"/>
    <x v="17"/>
    <s v="Supplier SVIYA"/>
    <s v="Germany"/>
    <x v="1"/>
    <n v="159.60000000000002"/>
  </r>
  <r>
    <n v="10439"/>
    <n v="74"/>
    <n v="8"/>
    <n v="30"/>
    <n v="0"/>
    <s v="Taylor, Maurice"/>
    <s v="Taylor Maurice"/>
    <x v="7"/>
    <n v="0"/>
    <s v="Product BKAZJ"/>
    <x v="2"/>
    <x v="155"/>
    <d v="2007-02-10T00:00:00"/>
    <x v="3"/>
    <s v="Ship to 51-C"/>
    <x v="17"/>
    <s v="Supplier QOVFD"/>
    <s v="Japan"/>
    <x v="1"/>
    <n v="240"/>
  </r>
  <r>
    <n v="10440"/>
    <n v="2"/>
    <n v="15.2"/>
    <n v="45"/>
    <n v="0.15"/>
    <s v="Navarro, Tomás"/>
    <s v="Navarro Tomás"/>
    <x v="1"/>
    <s v="WA"/>
    <s v="Product RECZE"/>
    <x v="6"/>
    <x v="156"/>
    <d v="2007-02-28T00:00:00"/>
    <x v="1"/>
    <s v="Ship to 71-B"/>
    <x v="9"/>
    <s v="Supplier SWRXU"/>
    <s v="UK"/>
    <x v="1"/>
    <n v="581.4"/>
  </r>
  <r>
    <n v="10440"/>
    <n v="16"/>
    <n v="13.9"/>
    <n v="49"/>
    <n v="0.15"/>
    <s v="Navarro, Tomás"/>
    <s v="Navarro Tomás"/>
    <x v="1"/>
    <s v="WA"/>
    <s v="Product PAFRH"/>
    <x v="5"/>
    <x v="156"/>
    <d v="2007-02-28T00:00:00"/>
    <x v="1"/>
    <s v="Ship to 71-B"/>
    <x v="9"/>
    <s v="Supplier GQRCV"/>
    <s v="Australia"/>
    <x v="1"/>
    <n v="578.93500000000006"/>
  </r>
  <r>
    <n v="10440"/>
    <n v="29"/>
    <n v="99"/>
    <n v="24"/>
    <n v="0.15"/>
    <s v="Navarro, Tomás"/>
    <s v="Navarro Tomás"/>
    <x v="1"/>
    <s v="WA"/>
    <s v="Product VJXYN"/>
    <x v="7"/>
    <x v="156"/>
    <d v="2007-02-28T00:00:00"/>
    <x v="1"/>
    <s v="Ship to 71-B"/>
    <x v="9"/>
    <s v="Supplier SVIYA"/>
    <s v="Germany"/>
    <x v="1"/>
    <n v="2019.6"/>
  </r>
  <r>
    <n v="10440"/>
    <n v="61"/>
    <n v="22.8"/>
    <n v="90"/>
    <n v="0.15"/>
    <s v="Navarro, Tomás"/>
    <s v="Navarro Tomás"/>
    <x v="1"/>
    <s v="WA"/>
    <s v="Product XYZPE"/>
    <x v="4"/>
    <x v="156"/>
    <d v="2007-02-28T00:00:00"/>
    <x v="1"/>
    <s v="Ship to 71-B"/>
    <x v="9"/>
    <s v="Supplier OGLRK"/>
    <s v="Canada"/>
    <x v="1"/>
    <n v="1744.2"/>
  </r>
  <r>
    <n v="10441"/>
    <n v="27"/>
    <n v="35.1"/>
    <n v="50"/>
    <n v="0"/>
    <s v="Egelund-Muller, Anja"/>
    <s v="Egelund-Muller Anja"/>
    <x v="2"/>
    <s v="WA"/>
    <s v="Product SMIOH"/>
    <x v="5"/>
    <x v="156"/>
    <d v="2007-03-14T00:00:00"/>
    <x v="1"/>
    <s v="Ship to 55-C"/>
    <x v="9"/>
    <s v="Supplier ZPYVS"/>
    <s v="Germany"/>
    <x v="1"/>
    <n v="1755"/>
  </r>
  <r>
    <n v="10442"/>
    <n v="11"/>
    <n v="16.8"/>
    <n v="30"/>
    <n v="0"/>
    <s v="Kane, John"/>
    <s v="Kane John"/>
    <x v="2"/>
    <s v="WA"/>
    <s v="Product QMVUN"/>
    <x v="0"/>
    <x v="157"/>
    <d v="2007-02-18T00:00:00"/>
    <x v="1"/>
    <s v="Destination RVDMF"/>
    <x v="6"/>
    <s v="Supplier EQPNC"/>
    <s v="Spain"/>
    <x v="1"/>
    <n v="504"/>
  </r>
  <r>
    <n v="10442"/>
    <n v="54"/>
    <n v="5.9"/>
    <n v="80"/>
    <n v="0"/>
    <s v="Kane, John"/>
    <s v="Kane John"/>
    <x v="2"/>
    <s v="WA"/>
    <s v="Product QAQRL"/>
    <x v="7"/>
    <x v="157"/>
    <d v="2007-02-18T00:00:00"/>
    <x v="1"/>
    <s v="Destination RVDMF"/>
    <x v="6"/>
    <s v="Supplier ERVYZ"/>
    <s v="Canada"/>
    <x v="1"/>
    <n v="472"/>
  </r>
  <r>
    <n v="10442"/>
    <n v="66"/>
    <n v="13.6"/>
    <n v="60"/>
    <n v="0"/>
    <s v="Kane, John"/>
    <s v="Kane John"/>
    <x v="2"/>
    <s v="WA"/>
    <s v="Product LQMGN"/>
    <x v="4"/>
    <x v="157"/>
    <d v="2007-02-18T00:00:00"/>
    <x v="1"/>
    <s v="Destination RVDMF"/>
    <x v="6"/>
    <s v="Supplier VHQZD"/>
    <s v="USA"/>
    <x v="1"/>
    <n v="816"/>
  </r>
  <r>
    <n v="10443"/>
    <n v="11"/>
    <n v="16.8"/>
    <n v="6"/>
    <n v="0.2"/>
    <s v="Voss, Florian"/>
    <s v="Voss Florian"/>
    <x v="6"/>
    <s v="WA"/>
    <s v="Product QMVUN"/>
    <x v="0"/>
    <x v="158"/>
    <d v="2007-02-14T00:00:00"/>
    <x v="2"/>
    <s v="Ship to 66-C"/>
    <x v="12"/>
    <s v="Supplier EQPNC"/>
    <s v="Spain"/>
    <x v="1"/>
    <n v="80.640000000000015"/>
  </r>
  <r>
    <n v="10443"/>
    <n v="28"/>
    <n v="36.4"/>
    <n v="12"/>
    <n v="0"/>
    <s v="Voss, Florian"/>
    <s v="Voss Florian"/>
    <x v="6"/>
    <s v="WA"/>
    <s v="Product OFBNT"/>
    <x v="2"/>
    <x v="158"/>
    <d v="2007-02-14T00:00:00"/>
    <x v="2"/>
    <s v="Ship to 66-C"/>
    <x v="12"/>
    <s v="Supplier SVIYA"/>
    <s v="Germany"/>
    <x v="1"/>
    <n v="436.79999999999995"/>
  </r>
  <r>
    <n v="10444"/>
    <n v="17"/>
    <n v="31.2"/>
    <n v="10"/>
    <n v="0"/>
    <s v="Higginbotham, Tom"/>
    <s v="Higginbotham Tom"/>
    <x v="2"/>
    <s v="WA"/>
    <s v="Product BLCAX"/>
    <x v="7"/>
    <x v="158"/>
    <d v="2007-02-21T00:00:00"/>
    <x v="3"/>
    <s v="Ship to 5-B"/>
    <x v="10"/>
    <s v="Supplier GQRCV"/>
    <s v="Australia"/>
    <x v="1"/>
    <n v="312"/>
  </r>
  <r>
    <n v="10444"/>
    <n v="26"/>
    <n v="24.9"/>
    <n v="15"/>
    <n v="0"/>
    <s v="Higginbotham, Tom"/>
    <s v="Higginbotham Tom"/>
    <x v="2"/>
    <s v="WA"/>
    <s v="Product HLGZA"/>
    <x v="5"/>
    <x v="158"/>
    <d v="2007-02-21T00:00:00"/>
    <x v="3"/>
    <s v="Ship to 5-B"/>
    <x v="10"/>
    <s v="Supplier ZPYVS"/>
    <s v="Germany"/>
    <x v="1"/>
    <n v="373.5"/>
  </r>
  <r>
    <n v="10444"/>
    <n v="35"/>
    <n v="14.4"/>
    <n v="8"/>
    <n v="0"/>
    <s v="Higginbotham, Tom"/>
    <s v="Higginbotham Tom"/>
    <x v="2"/>
    <s v="WA"/>
    <s v="Product NEVTJ"/>
    <x v="6"/>
    <x v="158"/>
    <d v="2007-02-21T00:00:00"/>
    <x v="3"/>
    <s v="Ship to 5-B"/>
    <x v="10"/>
    <s v="Supplier UHZRG"/>
    <s v="USA"/>
    <x v="1"/>
    <n v="115.2"/>
  </r>
  <r>
    <n v="10444"/>
    <n v="41"/>
    <n v="7.7"/>
    <n v="30"/>
    <n v="0"/>
    <s v="Higginbotham, Tom"/>
    <s v="Higginbotham Tom"/>
    <x v="2"/>
    <s v="WA"/>
    <s v="Product TTEEX"/>
    <x v="3"/>
    <x v="158"/>
    <d v="2007-02-21T00:00:00"/>
    <x v="3"/>
    <s v="Ship to 5-B"/>
    <x v="10"/>
    <s v="Supplier JDNUG"/>
    <s v="USA"/>
    <x v="1"/>
    <n v="231"/>
  </r>
  <r>
    <n v="10445"/>
    <n v="39"/>
    <n v="14.4"/>
    <n v="6"/>
    <n v="0"/>
    <s v="Higginbotham, Tom"/>
    <s v="Higginbotham Tom"/>
    <x v="2"/>
    <s v="WA"/>
    <s v="Product LSOFL"/>
    <x v="6"/>
    <x v="159"/>
    <d v="2007-02-20T00:00:00"/>
    <x v="2"/>
    <s v="Ship to 5-A"/>
    <x v="10"/>
    <s v="Supplier LVJUA"/>
    <s v="France"/>
    <x v="1"/>
    <n v="86.4"/>
  </r>
  <r>
    <n v="10445"/>
    <n v="54"/>
    <n v="5.9"/>
    <n v="15"/>
    <n v="0"/>
    <s v="Higginbotham, Tom"/>
    <s v="Higginbotham Tom"/>
    <x v="2"/>
    <s v="WA"/>
    <s v="Product QAQRL"/>
    <x v="7"/>
    <x v="159"/>
    <d v="2007-02-20T00:00:00"/>
    <x v="2"/>
    <s v="Ship to 5-A"/>
    <x v="10"/>
    <s v="Supplier ERVYZ"/>
    <s v="Canada"/>
    <x v="1"/>
    <n v="88.5"/>
  </r>
  <r>
    <n v="10446"/>
    <n v="19"/>
    <n v="7.3"/>
    <n v="12"/>
    <n v="0.1"/>
    <s v="Wickham, Jim"/>
    <s v="Wickham Jim"/>
    <x v="7"/>
    <n v="0"/>
    <s v="Product XKXDO"/>
    <x v="5"/>
    <x v="160"/>
    <d v="2007-02-19T00:00:00"/>
    <x v="2"/>
    <s v="Ship to 79-C"/>
    <x v="8"/>
    <s v="Supplier BWGYE"/>
    <s v="UK"/>
    <x v="1"/>
    <n v="78.84"/>
  </r>
  <r>
    <n v="10446"/>
    <n v="24"/>
    <n v="3.6"/>
    <n v="20"/>
    <n v="0.1"/>
    <s v="Wickham, Jim"/>
    <s v="Wickham Jim"/>
    <x v="7"/>
    <n v="0"/>
    <s v="Product QOGNU"/>
    <x v="6"/>
    <x v="160"/>
    <d v="2007-02-19T00:00:00"/>
    <x v="2"/>
    <s v="Ship to 79-C"/>
    <x v="8"/>
    <s v="Supplier UNAHG"/>
    <s v="Brazil"/>
    <x v="1"/>
    <n v="64.8"/>
  </r>
  <r>
    <n v="10446"/>
    <n v="31"/>
    <n v="10"/>
    <n v="3"/>
    <n v="0.1"/>
    <s v="Wickham, Jim"/>
    <s v="Wickham Jim"/>
    <x v="7"/>
    <n v="0"/>
    <s v="Product XWOXC"/>
    <x v="0"/>
    <x v="160"/>
    <d v="2007-02-19T00:00:00"/>
    <x v="2"/>
    <s v="Ship to 79-C"/>
    <x v="8"/>
    <s v="Supplier KEREV"/>
    <s v="Italy"/>
    <x v="1"/>
    <n v="27"/>
  </r>
  <r>
    <n v="10446"/>
    <n v="52"/>
    <n v="5.6"/>
    <n v="15"/>
    <n v="0.1"/>
    <s v="Wickham, Jim"/>
    <s v="Wickham Jim"/>
    <x v="7"/>
    <n v="0"/>
    <s v="Product QSRXF"/>
    <x v="1"/>
    <x v="160"/>
    <d v="2007-02-19T00:00:00"/>
    <x v="2"/>
    <s v="Ship to 79-C"/>
    <x v="8"/>
    <s v="Supplier JNNES"/>
    <s v="Australia"/>
    <x v="1"/>
    <n v="75.600000000000009"/>
  </r>
  <r>
    <n v="10447"/>
    <n v="19"/>
    <n v="7.3"/>
    <n v="40"/>
    <n v="0"/>
    <s v="Garden, Euan"/>
    <s v="Garden Euan"/>
    <x v="1"/>
    <s v="WA"/>
    <s v="Product XKXDO"/>
    <x v="5"/>
    <x v="160"/>
    <d v="2007-03-07T00:00:00"/>
    <x v="1"/>
    <s v="Ship to 67-C"/>
    <x v="1"/>
    <s v="Supplier BWGYE"/>
    <s v="UK"/>
    <x v="1"/>
    <n v="292"/>
  </r>
  <r>
    <n v="10447"/>
    <n v="65"/>
    <n v="16.8"/>
    <n v="35"/>
    <n v="0"/>
    <s v="Garden, Euan"/>
    <s v="Garden Euan"/>
    <x v="1"/>
    <s v="WA"/>
    <s v="Product XYWBZ"/>
    <x v="4"/>
    <x v="160"/>
    <d v="2007-03-07T00:00:00"/>
    <x v="1"/>
    <s v="Ship to 67-C"/>
    <x v="1"/>
    <s v="Supplier VHQZD"/>
    <s v="USA"/>
    <x v="1"/>
    <n v="588"/>
  </r>
  <r>
    <n v="10447"/>
    <n v="71"/>
    <n v="17.2"/>
    <n v="2"/>
    <n v="0"/>
    <s v="Garden, Euan"/>
    <s v="Garden Euan"/>
    <x v="1"/>
    <s v="WA"/>
    <s v="Product MYMOI"/>
    <x v="0"/>
    <x v="160"/>
    <d v="2007-03-07T00:00:00"/>
    <x v="1"/>
    <s v="Ship to 67-C"/>
    <x v="1"/>
    <s v="Supplier NZLIF"/>
    <s v="Norway"/>
    <x v="1"/>
    <n v="34.4"/>
  </r>
  <r>
    <n v="10448"/>
    <n v="26"/>
    <n v="24.9"/>
    <n v="6"/>
    <n v="0"/>
    <s v="Gaffney, Lawrie"/>
    <s v="Gaffney Lawrie"/>
    <x v="1"/>
    <s v="WA"/>
    <s v="Product HLGZA"/>
    <x v="5"/>
    <x v="161"/>
    <d v="2007-02-24T00:00:00"/>
    <x v="1"/>
    <s v="Ship to 64-A"/>
    <x v="21"/>
    <s v="Supplier ZPYVS"/>
    <s v="Germany"/>
    <x v="1"/>
    <n v="149.39999999999998"/>
  </r>
  <r>
    <n v="10448"/>
    <n v="40"/>
    <n v="14.7"/>
    <n v="20"/>
    <n v="0"/>
    <s v="Gaffney, Lawrie"/>
    <s v="Gaffney Lawrie"/>
    <x v="1"/>
    <s v="WA"/>
    <s v="Product YZIXQ"/>
    <x v="3"/>
    <x v="161"/>
    <d v="2007-02-24T00:00:00"/>
    <x v="1"/>
    <s v="Ship to 64-A"/>
    <x v="21"/>
    <s v="Supplier JDNUG"/>
    <s v="USA"/>
    <x v="1"/>
    <n v="294"/>
  </r>
  <r>
    <n v="10449"/>
    <n v="10"/>
    <n v="24.8"/>
    <n v="14"/>
    <n v="0"/>
    <s v="Bansal, Dushyant"/>
    <s v="Bansal Dushyant"/>
    <x v="2"/>
    <s v="WA"/>
    <s v="Product YHXGE"/>
    <x v="3"/>
    <x v="162"/>
    <d v="2007-02-27T00:00:00"/>
    <x v="1"/>
    <s v="Ship to 7-C"/>
    <x v="2"/>
    <s v="Supplier QOVFD"/>
    <s v="Japan"/>
    <x v="1"/>
    <n v="347.2"/>
  </r>
  <r>
    <n v="10449"/>
    <n v="52"/>
    <n v="5.6"/>
    <n v="20"/>
    <n v="0"/>
    <s v="Bansal, Dushyant"/>
    <s v="Bansal Dushyant"/>
    <x v="2"/>
    <s v="WA"/>
    <s v="Product QSRXF"/>
    <x v="1"/>
    <x v="162"/>
    <d v="2007-02-27T00:00:00"/>
    <x v="1"/>
    <s v="Ship to 7-C"/>
    <x v="2"/>
    <s v="Supplier JNNES"/>
    <s v="Australia"/>
    <x v="1"/>
    <n v="112"/>
  </r>
  <r>
    <n v="10449"/>
    <n v="62"/>
    <n v="39.4"/>
    <n v="35"/>
    <n v="0"/>
    <s v="Bansal, Dushyant"/>
    <s v="Bansal Dushyant"/>
    <x v="2"/>
    <s v="WA"/>
    <s v="Product WUXYK"/>
    <x v="5"/>
    <x v="162"/>
    <d v="2007-02-27T00:00:00"/>
    <x v="1"/>
    <s v="Ship to 7-C"/>
    <x v="2"/>
    <s v="Supplier OGLRK"/>
    <s v="Canada"/>
    <x v="1"/>
    <n v="1379"/>
  </r>
  <r>
    <n v="10450"/>
    <n v="10"/>
    <n v="24.8"/>
    <n v="20"/>
    <n v="0.2"/>
    <s v="Tuntisangaroon, Sittichai"/>
    <s v="Tuntisangaroon Sittichai"/>
    <x v="6"/>
    <s v="WA"/>
    <s v="Product YHXGE"/>
    <x v="3"/>
    <x v="163"/>
    <d v="2007-03-11T00:00:00"/>
    <x v="1"/>
    <s v="Ship to 84-C"/>
    <x v="2"/>
    <s v="Supplier QOVFD"/>
    <s v="Japan"/>
    <x v="1"/>
    <n v="396.8"/>
  </r>
  <r>
    <n v="10450"/>
    <n v="54"/>
    <n v="5.9"/>
    <n v="6"/>
    <n v="0.2"/>
    <s v="Tuntisangaroon, Sittichai"/>
    <s v="Tuntisangaroon Sittichai"/>
    <x v="6"/>
    <s v="WA"/>
    <s v="Product QAQRL"/>
    <x v="7"/>
    <x v="163"/>
    <d v="2007-03-11T00:00:00"/>
    <x v="1"/>
    <s v="Ship to 84-C"/>
    <x v="2"/>
    <s v="Supplier ERVYZ"/>
    <s v="Canada"/>
    <x v="1"/>
    <n v="28.320000000000007"/>
  </r>
  <r>
    <n v="10451"/>
    <n v="55"/>
    <n v="19.2"/>
    <n v="120"/>
    <n v="0.1"/>
    <s v="Veronesi, Giorgio"/>
    <s v="Veronesi Giorgio"/>
    <x v="1"/>
    <s v="WA"/>
    <s v="Product YYWRT"/>
    <x v="7"/>
    <x v="163"/>
    <d v="2007-03-12T00:00:00"/>
    <x v="3"/>
    <s v="Ship to 63-C"/>
    <x v="8"/>
    <s v="Supplier ERVYZ"/>
    <s v="Canada"/>
    <x v="2"/>
    <n v="2073.6"/>
  </r>
  <r>
    <n v="10451"/>
    <n v="64"/>
    <n v="26.6"/>
    <n v="35"/>
    <n v="0.1"/>
    <s v="Veronesi, Giorgio"/>
    <s v="Veronesi Giorgio"/>
    <x v="1"/>
    <s v="WA"/>
    <s v="Product HCQDE"/>
    <x v="1"/>
    <x v="163"/>
    <d v="2007-03-12T00:00:00"/>
    <x v="3"/>
    <s v="Ship to 63-C"/>
    <x v="8"/>
    <s v="Supplier SVIYA"/>
    <s v="Germany"/>
    <x v="2"/>
    <n v="837.9"/>
  </r>
  <r>
    <n v="10451"/>
    <n v="65"/>
    <n v="16.8"/>
    <n v="28"/>
    <n v="0.1"/>
    <s v="Veronesi, Giorgio"/>
    <s v="Veronesi Giorgio"/>
    <x v="1"/>
    <s v="WA"/>
    <s v="Product XYWBZ"/>
    <x v="4"/>
    <x v="163"/>
    <d v="2007-03-12T00:00:00"/>
    <x v="3"/>
    <s v="Ship to 63-C"/>
    <x v="8"/>
    <s v="Supplier VHQZD"/>
    <s v="USA"/>
    <x v="2"/>
    <n v="423.36"/>
  </r>
  <r>
    <n v="10451"/>
    <n v="77"/>
    <n v="10.4"/>
    <n v="55"/>
    <n v="0.1"/>
    <s v="Veronesi, Giorgio"/>
    <s v="Veronesi Giorgio"/>
    <x v="1"/>
    <s v="WA"/>
    <s v="Product LUNZZ"/>
    <x v="4"/>
    <x v="163"/>
    <d v="2007-03-12T00:00:00"/>
    <x v="3"/>
    <s v="Ship to 63-C"/>
    <x v="8"/>
    <s v="Supplier SVIYA"/>
    <s v="Germany"/>
    <x v="2"/>
    <n v="514.80000000000007"/>
  </r>
  <r>
    <n v="10452"/>
    <n v="28"/>
    <n v="36.4"/>
    <n v="15"/>
    <n v="0"/>
    <s v="Navarro, Tomás"/>
    <s v="Navarro Tomás"/>
    <x v="6"/>
    <s v="WA"/>
    <s v="Product OFBNT"/>
    <x v="2"/>
    <x v="164"/>
    <d v="2007-02-26T00:00:00"/>
    <x v="2"/>
    <s v="Ship to 71-B"/>
    <x v="9"/>
    <s v="Supplier SVIYA"/>
    <s v="Germany"/>
    <x v="2"/>
    <n v="546"/>
  </r>
  <r>
    <n v="10452"/>
    <n v="44"/>
    <n v="15.5"/>
    <n v="100"/>
    <n v="0.05"/>
    <s v="Navarro, Tomás"/>
    <s v="Navarro Tomás"/>
    <x v="6"/>
    <s v="WA"/>
    <s v="Product VJIEO"/>
    <x v="4"/>
    <x v="164"/>
    <d v="2007-02-26T00:00:00"/>
    <x v="2"/>
    <s v="Ship to 71-B"/>
    <x v="9"/>
    <s v="Supplier CIYNM"/>
    <s v="Singapore"/>
    <x v="2"/>
    <n v="1472.5"/>
  </r>
  <r>
    <n v="10453"/>
    <n v="48"/>
    <n v="10.199999999999999"/>
    <n v="15"/>
    <n v="0.1"/>
    <s v="Arndt, Torsten"/>
    <s v="Arndt Torsten"/>
    <x v="5"/>
    <s v="WA"/>
    <s v="Product MYNXN"/>
    <x v="5"/>
    <x v="165"/>
    <d v="2007-02-26T00:00:00"/>
    <x v="1"/>
    <s v="Ship to 4-C"/>
    <x v="14"/>
    <s v="Supplier FNUXM"/>
    <s v="Netherlands"/>
    <x v="1"/>
    <n v="137.70000000000002"/>
  </r>
  <r>
    <n v="10453"/>
    <n v="70"/>
    <n v="12"/>
    <n v="25"/>
    <n v="0.1"/>
    <s v="Arndt, Torsten"/>
    <s v="Arndt Torsten"/>
    <x v="5"/>
    <s v="WA"/>
    <s v="Product TOONT"/>
    <x v="6"/>
    <x v="165"/>
    <d v="2007-02-26T00:00:00"/>
    <x v="1"/>
    <s v="Ship to 4-C"/>
    <x v="14"/>
    <s v="Supplier GQRCV"/>
    <s v="Australia"/>
    <x v="1"/>
    <n v="270"/>
  </r>
  <r>
    <n v="10454"/>
    <n v="16"/>
    <n v="13.9"/>
    <n v="20"/>
    <n v="0.2"/>
    <s v="Litton, Tim"/>
    <s v="Litton Tim"/>
    <x v="1"/>
    <s v="WA"/>
    <s v="Product PAFRH"/>
    <x v="5"/>
    <x v="165"/>
    <d v="2007-02-25T00:00:00"/>
    <x v="3"/>
    <s v="Ship to 41-C"/>
    <x v="2"/>
    <s v="Supplier GQRCV"/>
    <s v="Australia"/>
    <x v="1"/>
    <n v="222.4"/>
  </r>
  <r>
    <n v="10454"/>
    <n v="33"/>
    <n v="2"/>
    <n v="20"/>
    <n v="0.2"/>
    <s v="Litton, Tim"/>
    <s v="Litton Tim"/>
    <x v="1"/>
    <s v="WA"/>
    <s v="Product ASTMN"/>
    <x v="0"/>
    <x v="165"/>
    <d v="2007-02-25T00:00:00"/>
    <x v="3"/>
    <s v="Ship to 41-C"/>
    <x v="2"/>
    <s v="Supplier NZLIF"/>
    <s v="Norway"/>
    <x v="1"/>
    <n v="32"/>
  </r>
  <r>
    <n v="10454"/>
    <n v="46"/>
    <n v="9.6"/>
    <n v="10"/>
    <n v="0.2"/>
    <s v="Litton, Tim"/>
    <s v="Litton Tim"/>
    <x v="1"/>
    <s v="WA"/>
    <s v="Product CBRRL"/>
    <x v="3"/>
    <x v="165"/>
    <d v="2007-02-25T00:00:00"/>
    <x v="3"/>
    <s v="Ship to 41-C"/>
    <x v="2"/>
    <s v="Supplier XOXZA"/>
    <s v="Denmark"/>
    <x v="1"/>
    <n v="76.800000000000011"/>
  </r>
  <r>
    <n v="10455"/>
    <n v="39"/>
    <n v="14.4"/>
    <n v="20"/>
    <n v="0"/>
    <s v="Ludwig, Michael"/>
    <s v="Ludwig Michael"/>
    <x v="6"/>
    <s v="WA"/>
    <s v="Product LSOFL"/>
    <x v="6"/>
    <x v="166"/>
    <d v="2007-03-03T00:00:00"/>
    <x v="1"/>
    <s v="Ship to 87-B"/>
    <x v="11"/>
    <s v="Supplier LVJUA"/>
    <s v="France"/>
    <x v="2"/>
    <n v="288"/>
  </r>
  <r>
    <n v="10455"/>
    <n v="53"/>
    <n v="26.2"/>
    <n v="50"/>
    <n v="0"/>
    <s v="Ludwig, Michael"/>
    <s v="Ludwig Michael"/>
    <x v="6"/>
    <s v="WA"/>
    <s v="Product BKGEA"/>
    <x v="7"/>
    <x v="166"/>
    <d v="2007-03-03T00:00:00"/>
    <x v="1"/>
    <s v="Ship to 87-B"/>
    <x v="11"/>
    <s v="Supplier JNNES"/>
    <s v="Australia"/>
    <x v="2"/>
    <n v="1310"/>
  </r>
  <r>
    <n v="10455"/>
    <n v="61"/>
    <n v="22.8"/>
    <n v="25"/>
    <n v="0"/>
    <s v="Ludwig, Michael"/>
    <s v="Ludwig Michael"/>
    <x v="6"/>
    <s v="WA"/>
    <s v="Product XYZPE"/>
    <x v="4"/>
    <x v="166"/>
    <d v="2007-03-03T00:00:00"/>
    <x v="1"/>
    <s v="Ship to 87-B"/>
    <x v="11"/>
    <s v="Supplier OGLRK"/>
    <s v="Canada"/>
    <x v="2"/>
    <n v="570"/>
  </r>
  <r>
    <n v="10455"/>
    <n v="71"/>
    <n v="17.2"/>
    <n v="30"/>
    <n v="0"/>
    <s v="Ludwig, Michael"/>
    <s v="Ludwig Michael"/>
    <x v="6"/>
    <s v="WA"/>
    <s v="Product MYMOI"/>
    <x v="0"/>
    <x v="166"/>
    <d v="2007-03-03T00:00:00"/>
    <x v="1"/>
    <s v="Ship to 87-B"/>
    <x v="11"/>
    <s v="Supplier NZLIF"/>
    <s v="Norway"/>
    <x v="2"/>
    <n v="516"/>
  </r>
  <r>
    <n v="10456"/>
    <n v="21"/>
    <n v="8"/>
    <n v="40"/>
    <n v="0.15"/>
    <s v="Song, Lolan"/>
    <s v="Song Lolan"/>
    <x v="6"/>
    <s v="WA"/>
    <s v="Product VJZZH"/>
    <x v="5"/>
    <x v="167"/>
    <d v="2007-02-28T00:00:00"/>
    <x v="1"/>
    <s v="Destination DKMQA"/>
    <x v="8"/>
    <s v="Supplier BWGYE"/>
    <s v="UK"/>
    <x v="1"/>
    <n v="272"/>
  </r>
  <r>
    <n v="10456"/>
    <n v="49"/>
    <n v="16"/>
    <n v="21"/>
    <n v="0.15"/>
    <s v="Song, Lolan"/>
    <s v="Song Lolan"/>
    <x v="6"/>
    <s v="WA"/>
    <s v="Product FPYPN"/>
    <x v="5"/>
    <x v="167"/>
    <d v="2007-02-28T00:00:00"/>
    <x v="1"/>
    <s v="Destination DKMQA"/>
    <x v="8"/>
    <s v="Supplier ELCRN"/>
    <s v="Finland"/>
    <x v="1"/>
    <n v="285.59999999999997"/>
  </r>
  <r>
    <n v="10457"/>
    <n v="59"/>
    <n v="44"/>
    <n v="36"/>
    <n v="0"/>
    <s v="Song, Lolan"/>
    <s v="Song Lolan"/>
    <x v="8"/>
    <s v="WA"/>
    <s v="Product UKXRI"/>
    <x v="0"/>
    <x v="167"/>
    <d v="2007-03-03T00:00:00"/>
    <x v="2"/>
    <s v="Destination RMBHM"/>
    <x v="8"/>
    <s v="Supplier OAVQT"/>
    <s v="France"/>
    <x v="1"/>
    <n v="1584"/>
  </r>
  <r>
    <n v="10458"/>
    <n v="26"/>
    <n v="24.9"/>
    <n v="30"/>
    <n v="0"/>
    <s v="Gulbis, Katrin"/>
    <s v="Gulbis Katrin"/>
    <x v="9"/>
    <n v="0"/>
    <s v="Product HLGZA"/>
    <x v="5"/>
    <x v="168"/>
    <d v="2007-03-04T00:00:00"/>
    <x v="3"/>
    <s v="Ship to 76-A"/>
    <x v="3"/>
    <s v="Supplier ZPYVS"/>
    <s v="Germany"/>
    <x v="2"/>
    <n v="747"/>
  </r>
  <r>
    <n v="10458"/>
    <n v="28"/>
    <n v="36.4"/>
    <n v="30"/>
    <n v="0"/>
    <s v="Gulbis, Katrin"/>
    <s v="Gulbis Katrin"/>
    <x v="9"/>
    <n v="0"/>
    <s v="Product OFBNT"/>
    <x v="2"/>
    <x v="168"/>
    <d v="2007-03-04T00:00:00"/>
    <x v="3"/>
    <s v="Ship to 76-A"/>
    <x v="3"/>
    <s v="Supplier SVIYA"/>
    <s v="Germany"/>
    <x v="2"/>
    <n v="1092"/>
  </r>
  <r>
    <n v="10458"/>
    <n v="43"/>
    <n v="36.799999999999997"/>
    <n v="20"/>
    <n v="0"/>
    <s v="Gulbis, Katrin"/>
    <s v="Gulbis Katrin"/>
    <x v="9"/>
    <n v="0"/>
    <s v="Product ZZZHR"/>
    <x v="6"/>
    <x v="168"/>
    <d v="2007-03-04T00:00:00"/>
    <x v="3"/>
    <s v="Ship to 76-A"/>
    <x v="3"/>
    <s v="Supplier CIYNM"/>
    <s v="Singapore"/>
    <x v="2"/>
    <n v="736"/>
  </r>
  <r>
    <n v="10458"/>
    <n v="56"/>
    <n v="30.4"/>
    <n v="15"/>
    <n v="0"/>
    <s v="Gulbis, Katrin"/>
    <s v="Gulbis Katrin"/>
    <x v="9"/>
    <n v="0"/>
    <s v="Product VKCMF"/>
    <x v="1"/>
    <x v="168"/>
    <d v="2007-03-04T00:00:00"/>
    <x v="3"/>
    <s v="Ship to 76-A"/>
    <x v="3"/>
    <s v="Supplier ZWZDM"/>
    <s v="Italy"/>
    <x v="2"/>
    <n v="456"/>
  </r>
  <r>
    <n v="10458"/>
    <n v="71"/>
    <n v="17.2"/>
    <n v="50"/>
    <n v="0"/>
    <s v="Gulbis, Katrin"/>
    <s v="Gulbis Katrin"/>
    <x v="9"/>
    <n v="0"/>
    <s v="Product MYMOI"/>
    <x v="0"/>
    <x v="168"/>
    <d v="2007-03-04T00:00:00"/>
    <x v="3"/>
    <s v="Ship to 76-A"/>
    <x v="3"/>
    <s v="Supplier NZLIF"/>
    <s v="Norway"/>
    <x v="2"/>
    <n v="860"/>
  </r>
  <r>
    <n v="10459"/>
    <n v="7"/>
    <n v="24"/>
    <n v="16"/>
    <n v="0.05"/>
    <s v="Tuntisangaroon, Sittichai"/>
    <s v="Tuntisangaroon Sittichai"/>
    <x v="1"/>
    <s v="WA"/>
    <s v="Product HMLNI"/>
    <x v="2"/>
    <x v="169"/>
    <d v="2007-02-28T00:00:00"/>
    <x v="1"/>
    <s v="Ship to 84-B"/>
    <x v="2"/>
    <s v="Supplier STUAZ"/>
    <s v="USA"/>
    <x v="1"/>
    <n v="364.79999999999995"/>
  </r>
  <r>
    <n v="10459"/>
    <n v="46"/>
    <n v="9.6"/>
    <n v="20"/>
    <n v="0.05"/>
    <s v="Tuntisangaroon, Sittichai"/>
    <s v="Tuntisangaroon Sittichai"/>
    <x v="1"/>
    <s v="WA"/>
    <s v="Product CBRRL"/>
    <x v="3"/>
    <x v="169"/>
    <d v="2007-02-28T00:00:00"/>
    <x v="1"/>
    <s v="Ship to 84-B"/>
    <x v="2"/>
    <s v="Supplier XOXZA"/>
    <s v="Denmark"/>
    <x v="1"/>
    <n v="182.39999999999998"/>
  </r>
  <r>
    <n v="10459"/>
    <n v="72"/>
    <n v="27.8"/>
    <n v="40"/>
    <n v="0"/>
    <s v="Tuntisangaroon, Sittichai"/>
    <s v="Tuntisangaroon Sittichai"/>
    <x v="1"/>
    <s v="WA"/>
    <s v="Product GEEOO"/>
    <x v="0"/>
    <x v="169"/>
    <d v="2007-02-28T00:00:00"/>
    <x v="1"/>
    <s v="Ship to 84-B"/>
    <x v="2"/>
    <s v="Supplier KEREV"/>
    <s v="Italy"/>
    <x v="1"/>
    <n v="1112"/>
  </r>
  <r>
    <n v="10460"/>
    <n v="68"/>
    <n v="10"/>
    <n v="21"/>
    <n v="0.25"/>
    <s v="San Juan, Patricia"/>
    <s v="San Juan Patricia"/>
    <x v="6"/>
    <s v="WA"/>
    <s v="Product TBTBL"/>
    <x v="5"/>
    <x v="170"/>
    <d v="2007-03-03T00:00:00"/>
    <x v="2"/>
    <s v="Destination YCMPK"/>
    <x v="10"/>
    <s v="Supplier BWGYE"/>
    <s v="UK"/>
    <x v="1"/>
    <n v="157.5"/>
  </r>
  <r>
    <n v="10460"/>
    <n v="75"/>
    <n v="6.2"/>
    <n v="4"/>
    <n v="0.25"/>
    <s v="San Juan, Patricia"/>
    <s v="San Juan Patricia"/>
    <x v="6"/>
    <s v="WA"/>
    <s v="Product BWRLG"/>
    <x v="6"/>
    <x v="170"/>
    <d v="2007-03-03T00:00:00"/>
    <x v="2"/>
    <s v="Destination YCMPK"/>
    <x v="10"/>
    <s v="Supplier SVIYA"/>
    <s v="Germany"/>
    <x v="1"/>
    <n v="18.600000000000001"/>
  </r>
  <r>
    <n v="10461"/>
    <n v="21"/>
    <n v="8"/>
    <n v="40"/>
    <n v="0.25"/>
    <s v="Dressler, Marlies"/>
    <s v="Dressler Marlies"/>
    <x v="5"/>
    <s v="WA"/>
    <s v="Product VJZZH"/>
    <x v="5"/>
    <x v="170"/>
    <d v="2007-03-05T00:00:00"/>
    <x v="3"/>
    <s v="Ship to 46-A"/>
    <x v="5"/>
    <s v="Supplier BWGYE"/>
    <s v="UK"/>
    <x v="2"/>
    <n v="240"/>
  </r>
  <r>
    <n v="10461"/>
    <n v="30"/>
    <n v="20.7"/>
    <n v="28"/>
    <n v="0.25"/>
    <s v="Dressler, Marlies"/>
    <s v="Dressler Marlies"/>
    <x v="5"/>
    <s v="WA"/>
    <s v="Product LYERX"/>
    <x v="3"/>
    <x v="170"/>
    <d v="2007-03-05T00:00:00"/>
    <x v="3"/>
    <s v="Ship to 46-A"/>
    <x v="5"/>
    <s v="Supplier TEGSC"/>
    <s v="Germany"/>
    <x v="2"/>
    <n v="434.70000000000005"/>
  </r>
  <r>
    <n v="10461"/>
    <n v="55"/>
    <n v="19.2"/>
    <n v="60"/>
    <n v="0.25"/>
    <s v="Dressler, Marlies"/>
    <s v="Dressler Marlies"/>
    <x v="5"/>
    <s v="WA"/>
    <s v="Product YYWRT"/>
    <x v="7"/>
    <x v="170"/>
    <d v="2007-03-05T00:00:00"/>
    <x v="3"/>
    <s v="Ship to 46-A"/>
    <x v="5"/>
    <s v="Supplier ERVYZ"/>
    <s v="Canada"/>
    <x v="2"/>
    <n v="864"/>
  </r>
  <r>
    <n v="10462"/>
    <n v="13"/>
    <n v="4.8"/>
    <n v="1"/>
    <n v="0"/>
    <s v="Birkby, Dana"/>
    <s v="Birkby Dana"/>
    <x v="8"/>
    <s v="WA"/>
    <s v="Product POXFU"/>
    <x v="3"/>
    <x v="171"/>
    <d v="2007-03-18T00:00:00"/>
    <x v="2"/>
    <s v="Destination ARRMM"/>
    <x v="14"/>
    <s v="Supplier QWUSF"/>
    <s v="Japan"/>
    <x v="1"/>
    <n v="4.8"/>
  </r>
  <r>
    <n v="10462"/>
    <n v="23"/>
    <n v="7.2"/>
    <n v="21"/>
    <n v="0"/>
    <s v="Birkby, Dana"/>
    <s v="Birkby Dana"/>
    <x v="8"/>
    <s v="WA"/>
    <s v="Product JLUDZ"/>
    <x v="1"/>
    <x v="171"/>
    <d v="2007-03-18T00:00:00"/>
    <x v="2"/>
    <s v="Destination ARRMM"/>
    <x v="14"/>
    <s v="Supplier QQYEU"/>
    <s v="Sweden"/>
    <x v="1"/>
    <n v="151.20000000000002"/>
  </r>
  <r>
    <n v="10463"/>
    <n v="19"/>
    <n v="7.3"/>
    <n v="21"/>
    <n v="0"/>
    <s v="Gulbis, Katrin"/>
    <s v="Gulbis Katrin"/>
    <x v="3"/>
    <n v="0"/>
    <s v="Product XKXDO"/>
    <x v="5"/>
    <x v="172"/>
    <d v="2007-03-06T00:00:00"/>
    <x v="3"/>
    <s v="Ship to 76-B"/>
    <x v="3"/>
    <s v="Supplier BWGYE"/>
    <s v="UK"/>
    <x v="1"/>
    <n v="153.29999999999998"/>
  </r>
  <r>
    <n v="10463"/>
    <n v="42"/>
    <n v="11.2"/>
    <n v="50"/>
    <n v="0"/>
    <s v="Gulbis, Katrin"/>
    <s v="Gulbis Katrin"/>
    <x v="3"/>
    <n v="0"/>
    <s v="Product RJVNM"/>
    <x v="1"/>
    <x v="172"/>
    <d v="2007-03-06T00:00:00"/>
    <x v="3"/>
    <s v="Ship to 76-B"/>
    <x v="3"/>
    <s v="Supplier CIYNM"/>
    <s v="Singapore"/>
    <x v="1"/>
    <n v="560"/>
  </r>
  <r>
    <n v="10464"/>
    <n v="4"/>
    <n v="17.600000000000001"/>
    <n v="16"/>
    <n v="0.2"/>
    <s v="Cavaglieri, Giorgio"/>
    <s v="Cavaglieri Giorgio"/>
    <x v="1"/>
    <s v="WA"/>
    <s v="Product KSBRM"/>
    <x v="4"/>
    <x v="172"/>
    <d v="2007-03-14T00:00:00"/>
    <x v="1"/>
    <s v="Destination OTSWR"/>
    <x v="16"/>
    <s v="Supplier VHQZD"/>
    <s v="USA"/>
    <x v="1"/>
    <n v="225.28000000000003"/>
  </r>
  <r>
    <n v="10464"/>
    <n v="43"/>
    <n v="36.799999999999997"/>
    <n v="3"/>
    <n v="0"/>
    <s v="Cavaglieri, Giorgio"/>
    <s v="Cavaglieri Giorgio"/>
    <x v="1"/>
    <s v="WA"/>
    <s v="Product ZZZHR"/>
    <x v="6"/>
    <x v="172"/>
    <d v="2007-03-14T00:00:00"/>
    <x v="1"/>
    <s v="Destination OTSWR"/>
    <x v="16"/>
    <s v="Supplier CIYNM"/>
    <s v="Singapore"/>
    <x v="1"/>
    <n v="110.39999999999999"/>
  </r>
  <r>
    <n v="10464"/>
    <n v="56"/>
    <n v="30.4"/>
    <n v="30"/>
    <n v="0.2"/>
    <s v="Cavaglieri, Giorgio"/>
    <s v="Cavaglieri Giorgio"/>
    <x v="1"/>
    <s v="WA"/>
    <s v="Product VKCMF"/>
    <x v="1"/>
    <x v="172"/>
    <d v="2007-03-14T00:00:00"/>
    <x v="1"/>
    <s v="Destination OTSWR"/>
    <x v="16"/>
    <s v="Supplier ZWZDM"/>
    <s v="Italy"/>
    <x v="1"/>
    <n v="729.6"/>
  </r>
  <r>
    <n v="10464"/>
    <n v="60"/>
    <n v="27.2"/>
    <n v="20"/>
    <n v="0"/>
    <s v="Cavaglieri, Giorgio"/>
    <s v="Cavaglieri Giorgio"/>
    <x v="1"/>
    <s v="WA"/>
    <s v="Product WHBYK"/>
    <x v="0"/>
    <x v="172"/>
    <d v="2007-03-14T00:00:00"/>
    <x v="1"/>
    <s v="Destination OTSWR"/>
    <x v="16"/>
    <s v="Supplier OAVQT"/>
    <s v="France"/>
    <x v="1"/>
    <n v="544"/>
  </r>
  <r>
    <n v="10465"/>
    <n v="24"/>
    <n v="3.6"/>
    <n v="25"/>
    <n v="0"/>
    <s v="Fonteneau, Karl"/>
    <s v="Fonteneau Karl"/>
    <x v="5"/>
    <s v="WA"/>
    <s v="Product QOGNU"/>
    <x v="6"/>
    <x v="173"/>
    <d v="2007-03-14T00:00:00"/>
    <x v="3"/>
    <s v="Ship to 83-A"/>
    <x v="18"/>
    <s v="Supplier UNAHG"/>
    <s v="Brazil"/>
    <x v="2"/>
    <n v="90"/>
  </r>
  <r>
    <n v="10465"/>
    <n v="29"/>
    <n v="99"/>
    <n v="18"/>
    <n v="0.1"/>
    <s v="Fonteneau, Karl"/>
    <s v="Fonteneau Karl"/>
    <x v="5"/>
    <s v="WA"/>
    <s v="Product VJXYN"/>
    <x v="7"/>
    <x v="173"/>
    <d v="2007-03-14T00:00:00"/>
    <x v="3"/>
    <s v="Ship to 83-A"/>
    <x v="18"/>
    <s v="Supplier SVIYA"/>
    <s v="Germany"/>
    <x v="2"/>
    <n v="1603.8"/>
  </r>
  <r>
    <n v="10465"/>
    <n v="40"/>
    <n v="14.7"/>
    <n v="20"/>
    <n v="0"/>
    <s v="Fonteneau, Karl"/>
    <s v="Fonteneau Karl"/>
    <x v="5"/>
    <s v="WA"/>
    <s v="Product YZIXQ"/>
    <x v="3"/>
    <x v="173"/>
    <d v="2007-03-14T00:00:00"/>
    <x v="3"/>
    <s v="Ship to 83-A"/>
    <x v="18"/>
    <s v="Supplier JDNUG"/>
    <s v="USA"/>
    <x v="2"/>
    <n v="294"/>
  </r>
  <r>
    <n v="10465"/>
    <n v="45"/>
    <n v="7.6"/>
    <n v="30"/>
    <n v="0.1"/>
    <s v="Fonteneau, Karl"/>
    <s v="Fonteneau Karl"/>
    <x v="5"/>
    <s v="WA"/>
    <s v="Product AQOKR"/>
    <x v="3"/>
    <x v="173"/>
    <d v="2007-03-14T00:00:00"/>
    <x v="3"/>
    <s v="Ship to 83-A"/>
    <x v="18"/>
    <s v="Supplier XOXZA"/>
    <s v="Denmark"/>
    <x v="2"/>
    <n v="205.20000000000002"/>
  </r>
  <r>
    <n v="10465"/>
    <n v="50"/>
    <n v="13"/>
    <n v="25"/>
    <n v="0"/>
    <s v="Fonteneau, Karl"/>
    <s v="Fonteneau Karl"/>
    <x v="5"/>
    <s v="WA"/>
    <s v="Product BIUDV"/>
    <x v="5"/>
    <x v="173"/>
    <d v="2007-03-14T00:00:00"/>
    <x v="3"/>
    <s v="Ship to 83-A"/>
    <x v="18"/>
    <s v="Supplier ELCRN"/>
    <s v="Finland"/>
    <x v="2"/>
    <n v="325"/>
  </r>
  <r>
    <n v="10466"/>
    <n v="11"/>
    <n v="16.8"/>
    <n v="10"/>
    <n v="0"/>
    <s v="Richardson, Shawn"/>
    <s v="Richardson Shawn"/>
    <x v="1"/>
    <s v="WA"/>
    <s v="Product QMVUN"/>
    <x v="0"/>
    <x v="174"/>
    <d v="2007-03-13T00:00:00"/>
    <x v="2"/>
    <s v="Destination GGSQD"/>
    <x v="1"/>
    <s v="Supplier EQPNC"/>
    <s v="Spain"/>
    <x v="1"/>
    <n v="168"/>
  </r>
  <r>
    <n v="10466"/>
    <n v="46"/>
    <n v="9.6"/>
    <n v="5"/>
    <n v="0"/>
    <s v="Richardson, Shawn"/>
    <s v="Richardson Shawn"/>
    <x v="1"/>
    <s v="WA"/>
    <s v="Product CBRRL"/>
    <x v="3"/>
    <x v="174"/>
    <d v="2007-03-13T00:00:00"/>
    <x v="2"/>
    <s v="Destination GGSQD"/>
    <x v="1"/>
    <s v="Supplier XOXZA"/>
    <s v="Denmark"/>
    <x v="1"/>
    <n v="48"/>
  </r>
  <r>
    <n v="10467"/>
    <n v="24"/>
    <n v="3.6"/>
    <n v="28"/>
    <n v="0"/>
    <s v="Duerr, Bernard"/>
    <s v="Duerr Bernard"/>
    <x v="6"/>
    <s v="WA"/>
    <s v="Product QOGNU"/>
    <x v="6"/>
    <x v="174"/>
    <d v="2007-03-11T00:00:00"/>
    <x v="1"/>
    <s v="Ship to 49-C"/>
    <x v="12"/>
    <s v="Supplier UNAHG"/>
    <s v="Brazil"/>
    <x v="1"/>
    <n v="100.8"/>
  </r>
  <r>
    <n v="10467"/>
    <n v="25"/>
    <n v="11.2"/>
    <n v="12"/>
    <n v="0"/>
    <s v="Duerr, Bernard"/>
    <s v="Duerr Bernard"/>
    <x v="6"/>
    <s v="WA"/>
    <s v="Product LYLNI"/>
    <x v="5"/>
    <x v="174"/>
    <d v="2007-03-11T00:00:00"/>
    <x v="1"/>
    <s v="Ship to 49-C"/>
    <x v="12"/>
    <s v="Supplier ZPYVS"/>
    <s v="Germany"/>
    <x v="1"/>
    <n v="134.39999999999998"/>
  </r>
  <r>
    <n v="10468"/>
    <n v="30"/>
    <n v="20.7"/>
    <n v="8"/>
    <n v="0"/>
    <s v="Song, Lolan"/>
    <s v="Song Lolan"/>
    <x v="2"/>
    <s v="WA"/>
    <s v="Product LYERX"/>
    <x v="3"/>
    <x v="175"/>
    <d v="2007-03-12T00:00:00"/>
    <x v="3"/>
    <s v="Destination RMBHM"/>
    <x v="8"/>
    <s v="Supplier TEGSC"/>
    <s v="Germany"/>
    <x v="1"/>
    <n v="165.6"/>
  </r>
  <r>
    <n v="10468"/>
    <n v="43"/>
    <n v="36.799999999999997"/>
    <n v="15"/>
    <n v="0"/>
    <s v="Song, Lolan"/>
    <s v="Song Lolan"/>
    <x v="2"/>
    <s v="WA"/>
    <s v="Product ZZZHR"/>
    <x v="6"/>
    <x v="175"/>
    <d v="2007-03-12T00:00:00"/>
    <x v="3"/>
    <s v="Destination RMBHM"/>
    <x v="8"/>
    <s v="Supplier CIYNM"/>
    <s v="Singapore"/>
    <x v="1"/>
    <n v="552"/>
  </r>
  <r>
    <n v="10469"/>
    <n v="2"/>
    <n v="15.2"/>
    <n v="40"/>
    <n v="0.15"/>
    <s v="Smith Jr., Ronaldo"/>
    <s v="Smith Jr. Ronaldo"/>
    <x v="5"/>
    <s v="WA"/>
    <s v="Product RECZE"/>
    <x v="6"/>
    <x v="176"/>
    <d v="2007-03-14T00:00:00"/>
    <x v="2"/>
    <s v="Ship to 89-C"/>
    <x v="9"/>
    <s v="Supplier SWRXU"/>
    <s v="UK"/>
    <x v="1"/>
    <n v="516.79999999999995"/>
  </r>
  <r>
    <n v="10469"/>
    <n v="16"/>
    <n v="13.9"/>
    <n v="35"/>
    <n v="0.15"/>
    <s v="Smith Jr., Ronaldo"/>
    <s v="Smith Jr. Ronaldo"/>
    <x v="5"/>
    <s v="WA"/>
    <s v="Product PAFRH"/>
    <x v="5"/>
    <x v="176"/>
    <d v="2007-03-14T00:00:00"/>
    <x v="2"/>
    <s v="Ship to 89-C"/>
    <x v="9"/>
    <s v="Supplier GQRCV"/>
    <s v="Australia"/>
    <x v="1"/>
    <n v="413.52499999999998"/>
  </r>
  <r>
    <n v="10469"/>
    <n v="44"/>
    <n v="15.5"/>
    <n v="2"/>
    <n v="0.15"/>
    <s v="Smith Jr., Ronaldo"/>
    <s v="Smith Jr. Ronaldo"/>
    <x v="5"/>
    <s v="WA"/>
    <s v="Product VJIEO"/>
    <x v="4"/>
    <x v="176"/>
    <d v="2007-03-14T00:00:00"/>
    <x v="2"/>
    <s v="Ship to 89-C"/>
    <x v="9"/>
    <s v="Supplier CIYNM"/>
    <s v="Singapore"/>
    <x v="1"/>
    <n v="26.349999999999998"/>
  </r>
  <r>
    <n v="10470"/>
    <n v="18"/>
    <n v="50"/>
    <n v="30"/>
    <n v="0"/>
    <s v="Raghav, Amritansh"/>
    <s v="Raghav Amritansh"/>
    <x v="1"/>
    <s v="WA"/>
    <s v="Product CKEDC"/>
    <x v="3"/>
    <x v="177"/>
    <d v="2007-03-14T00:00:00"/>
    <x v="1"/>
    <s v="Ship to 9-C"/>
    <x v="2"/>
    <s v="Supplier GQRCV"/>
    <s v="Australia"/>
    <x v="1"/>
    <n v="1500"/>
  </r>
  <r>
    <n v="10470"/>
    <n v="23"/>
    <n v="7.2"/>
    <n v="15"/>
    <n v="0"/>
    <s v="Raghav, Amritansh"/>
    <s v="Raghav Amritansh"/>
    <x v="1"/>
    <s v="WA"/>
    <s v="Product JLUDZ"/>
    <x v="1"/>
    <x v="177"/>
    <d v="2007-03-14T00:00:00"/>
    <x v="1"/>
    <s v="Ship to 9-C"/>
    <x v="2"/>
    <s v="Supplier QQYEU"/>
    <s v="Sweden"/>
    <x v="1"/>
    <n v="108"/>
  </r>
  <r>
    <n v="10470"/>
    <n v="64"/>
    <n v="26.6"/>
    <n v="8"/>
    <n v="0"/>
    <s v="Raghav, Amritansh"/>
    <s v="Raghav Amritansh"/>
    <x v="1"/>
    <s v="WA"/>
    <s v="Product HCQDE"/>
    <x v="1"/>
    <x v="177"/>
    <d v="2007-03-14T00:00:00"/>
    <x v="1"/>
    <s v="Ship to 9-C"/>
    <x v="2"/>
    <s v="Supplier SVIYA"/>
    <s v="Germany"/>
    <x v="1"/>
    <n v="212.8"/>
  </r>
  <r>
    <n v="10471"/>
    <n v="7"/>
    <n v="24"/>
    <n v="30"/>
    <n v="0"/>
    <s v="Jaffe, David"/>
    <s v="Jaffe David"/>
    <x v="8"/>
    <s v="WA"/>
    <s v="Product HMLNI"/>
    <x v="2"/>
    <x v="177"/>
    <d v="2007-03-18T00:00:00"/>
    <x v="3"/>
    <s v="Destination NZASL"/>
    <x v="14"/>
    <s v="Supplier STUAZ"/>
    <s v="USA"/>
    <x v="1"/>
    <n v="720"/>
  </r>
  <r>
    <n v="10471"/>
    <n v="56"/>
    <n v="30.4"/>
    <n v="20"/>
    <n v="0"/>
    <s v="Jaffe, David"/>
    <s v="Jaffe David"/>
    <x v="8"/>
    <s v="WA"/>
    <s v="Product VKCMF"/>
    <x v="1"/>
    <x v="177"/>
    <d v="2007-03-18T00:00:00"/>
    <x v="3"/>
    <s v="Destination NZASL"/>
    <x v="14"/>
    <s v="Supplier ZWZDM"/>
    <s v="Italy"/>
    <x v="1"/>
    <n v="608"/>
  </r>
  <r>
    <n v="10472"/>
    <n v="24"/>
    <n v="3.6"/>
    <n v="80"/>
    <n v="0.05"/>
    <s v="Welcker, Brian"/>
    <s v="Welcker Brian"/>
    <x v="6"/>
    <s v="WA"/>
    <s v="Product QOGNU"/>
    <x v="6"/>
    <x v="178"/>
    <d v="2007-03-19T00:00:00"/>
    <x v="2"/>
    <s v="Ship to 72-A"/>
    <x v="14"/>
    <s v="Supplier UNAHG"/>
    <s v="Brazil"/>
    <x v="1"/>
    <n v="273.59999999999997"/>
  </r>
  <r>
    <n v="10472"/>
    <n v="51"/>
    <n v="42.4"/>
    <n v="18"/>
    <n v="0"/>
    <s v="Welcker, Brian"/>
    <s v="Welcker Brian"/>
    <x v="6"/>
    <s v="WA"/>
    <s v="Product APITJ"/>
    <x v="2"/>
    <x v="178"/>
    <d v="2007-03-19T00:00:00"/>
    <x v="2"/>
    <s v="Ship to 72-A"/>
    <x v="14"/>
    <s v="Supplier JNNES"/>
    <s v="Australia"/>
    <x v="1"/>
    <n v="763.19999999999993"/>
  </r>
  <r>
    <n v="10473"/>
    <n v="33"/>
    <n v="2"/>
    <n v="12"/>
    <n v="0"/>
    <s v="Lee, Frank"/>
    <s v="Lee Frank"/>
    <x v="5"/>
    <s v="WA"/>
    <s v="Product ASTMN"/>
    <x v="0"/>
    <x v="179"/>
    <d v="2007-03-21T00:00:00"/>
    <x v="3"/>
    <s v="Destination AXVHD"/>
    <x v="14"/>
    <s v="Supplier NZLIF"/>
    <s v="Norway"/>
    <x v="1"/>
    <n v="24"/>
  </r>
  <r>
    <n v="10473"/>
    <n v="71"/>
    <n v="17.2"/>
    <n v="12"/>
    <n v="0"/>
    <s v="Lee, Frank"/>
    <s v="Lee Frank"/>
    <x v="5"/>
    <s v="WA"/>
    <s v="Product MYMOI"/>
    <x v="0"/>
    <x v="179"/>
    <d v="2007-03-21T00:00:00"/>
    <x v="3"/>
    <s v="Destination AXVHD"/>
    <x v="14"/>
    <s v="Supplier NZLIF"/>
    <s v="Norway"/>
    <x v="1"/>
    <n v="206.39999999999998"/>
  </r>
  <r>
    <n v="10474"/>
    <n v="14"/>
    <n v="18.600000000000001"/>
    <n v="12"/>
    <n v="0"/>
    <s v="Fakhouri, Fadi"/>
    <s v="Fakhouri Fadi"/>
    <x v="3"/>
    <n v="0"/>
    <s v="Product PWCJB"/>
    <x v="2"/>
    <x v="179"/>
    <d v="2007-03-21T00:00:00"/>
    <x v="1"/>
    <s v="Ship to 58-C"/>
    <x v="7"/>
    <s v="Supplier QWUSF"/>
    <s v="Japan"/>
    <x v="1"/>
    <n v="223.20000000000002"/>
  </r>
  <r>
    <n v="10474"/>
    <n v="28"/>
    <n v="36.4"/>
    <n v="18"/>
    <n v="0"/>
    <s v="Fakhouri, Fadi"/>
    <s v="Fakhouri Fadi"/>
    <x v="3"/>
    <n v="0"/>
    <s v="Product OFBNT"/>
    <x v="2"/>
    <x v="179"/>
    <d v="2007-03-21T00:00:00"/>
    <x v="1"/>
    <s v="Ship to 58-C"/>
    <x v="7"/>
    <s v="Supplier SVIYA"/>
    <s v="Germany"/>
    <x v="1"/>
    <n v="655.19999999999993"/>
  </r>
  <r>
    <n v="10474"/>
    <n v="40"/>
    <n v="14.7"/>
    <n v="21"/>
    <n v="0"/>
    <s v="Fakhouri, Fadi"/>
    <s v="Fakhouri Fadi"/>
    <x v="3"/>
    <n v="0"/>
    <s v="Product YZIXQ"/>
    <x v="3"/>
    <x v="179"/>
    <d v="2007-03-21T00:00:00"/>
    <x v="1"/>
    <s v="Ship to 58-C"/>
    <x v="7"/>
    <s v="Supplier JDNUG"/>
    <s v="USA"/>
    <x v="1"/>
    <n v="308.7"/>
  </r>
  <r>
    <n v="10474"/>
    <n v="75"/>
    <n v="6.2"/>
    <n v="10"/>
    <n v="0"/>
    <s v="Fakhouri, Fadi"/>
    <s v="Fakhouri Fadi"/>
    <x v="3"/>
    <n v="0"/>
    <s v="Product BWRLG"/>
    <x v="6"/>
    <x v="179"/>
    <d v="2007-03-21T00:00:00"/>
    <x v="1"/>
    <s v="Ship to 58-C"/>
    <x v="7"/>
    <s v="Supplier SVIYA"/>
    <s v="Germany"/>
    <x v="1"/>
    <n v="62"/>
  </r>
  <r>
    <n v="10475"/>
    <n v="31"/>
    <n v="10"/>
    <n v="35"/>
    <n v="0.15"/>
    <s v="Gulbis, Katrin"/>
    <s v="Gulbis Katrin"/>
    <x v="4"/>
    <n v="0"/>
    <s v="Product XWOXC"/>
    <x v="0"/>
    <x v="180"/>
    <d v="2007-04-04T00:00:00"/>
    <x v="2"/>
    <s v="Ship to 76-C"/>
    <x v="3"/>
    <s v="Supplier KEREV"/>
    <s v="Italy"/>
    <x v="1"/>
    <n v="297.5"/>
  </r>
  <r>
    <n v="10475"/>
    <n v="66"/>
    <n v="13.6"/>
    <n v="60"/>
    <n v="0.15"/>
    <s v="Gulbis, Katrin"/>
    <s v="Gulbis Katrin"/>
    <x v="4"/>
    <n v="0"/>
    <s v="Product LQMGN"/>
    <x v="4"/>
    <x v="180"/>
    <d v="2007-04-04T00:00:00"/>
    <x v="2"/>
    <s v="Ship to 76-C"/>
    <x v="3"/>
    <s v="Supplier VHQZD"/>
    <s v="USA"/>
    <x v="1"/>
    <n v="693.6"/>
  </r>
  <r>
    <n v="10475"/>
    <n v="76"/>
    <n v="14.4"/>
    <n v="42"/>
    <n v="0.15"/>
    <s v="Gulbis, Katrin"/>
    <s v="Gulbis Katrin"/>
    <x v="4"/>
    <n v="0"/>
    <s v="Product JYGFE"/>
    <x v="6"/>
    <x v="180"/>
    <d v="2007-04-04T00:00:00"/>
    <x v="2"/>
    <s v="Ship to 76-C"/>
    <x v="3"/>
    <s v="Supplier ELCRN"/>
    <s v="Finland"/>
    <x v="1"/>
    <n v="514.08000000000004"/>
  </r>
  <r>
    <n v="10476"/>
    <n v="55"/>
    <n v="19.2"/>
    <n v="2"/>
    <n v="0.05"/>
    <s v="Langohr, Kris"/>
    <s v="Langohr Kris"/>
    <x v="6"/>
    <s v="WA"/>
    <s v="Product YYWRT"/>
    <x v="7"/>
    <x v="181"/>
    <d v="2007-03-24T00:00:00"/>
    <x v="3"/>
    <s v="Destination SXYQX"/>
    <x v="5"/>
    <s v="Supplier ERVYZ"/>
    <s v="Canada"/>
    <x v="1"/>
    <n v="36.479999999999997"/>
  </r>
  <r>
    <n v="10476"/>
    <n v="70"/>
    <n v="12"/>
    <n v="12"/>
    <n v="0"/>
    <s v="Langohr, Kris"/>
    <s v="Langohr Kris"/>
    <x v="6"/>
    <s v="WA"/>
    <s v="Product TOONT"/>
    <x v="6"/>
    <x v="181"/>
    <d v="2007-03-24T00:00:00"/>
    <x v="3"/>
    <s v="Destination SXYQX"/>
    <x v="5"/>
    <s v="Supplier GQRCV"/>
    <s v="Australia"/>
    <x v="1"/>
    <n v="144"/>
  </r>
  <r>
    <n v="10477"/>
    <n v="1"/>
    <n v="14.4"/>
    <n v="15"/>
    <n v="0"/>
    <s v="Uppal, Sunil"/>
    <s v="Uppal Sunil"/>
    <x v="3"/>
    <n v="0"/>
    <s v="Product HHYDP"/>
    <x v="6"/>
    <x v="181"/>
    <d v="2007-03-25T00:00:00"/>
    <x v="1"/>
    <s v="Ship to 60-A"/>
    <x v="16"/>
    <s v="Supplier SWRXU"/>
    <s v="UK"/>
    <x v="1"/>
    <n v="216"/>
  </r>
  <r>
    <n v="10477"/>
    <n v="21"/>
    <n v="8"/>
    <n v="21"/>
    <n v="0.25"/>
    <s v="Uppal, Sunil"/>
    <s v="Uppal Sunil"/>
    <x v="3"/>
    <n v="0"/>
    <s v="Product VJZZH"/>
    <x v="5"/>
    <x v="181"/>
    <d v="2007-03-25T00:00:00"/>
    <x v="1"/>
    <s v="Ship to 60-A"/>
    <x v="16"/>
    <s v="Supplier BWGYE"/>
    <s v="UK"/>
    <x v="1"/>
    <n v="126"/>
  </r>
  <r>
    <n v="10477"/>
    <n v="39"/>
    <n v="14.4"/>
    <n v="20"/>
    <n v="0.25"/>
    <s v="Uppal, Sunil"/>
    <s v="Uppal Sunil"/>
    <x v="3"/>
    <n v="0"/>
    <s v="Product LSOFL"/>
    <x v="6"/>
    <x v="181"/>
    <d v="2007-03-25T00:00:00"/>
    <x v="1"/>
    <s v="Ship to 60-A"/>
    <x v="16"/>
    <s v="Supplier LVJUA"/>
    <s v="France"/>
    <x v="1"/>
    <n v="216"/>
  </r>
  <r>
    <n v="10478"/>
    <n v="10"/>
    <n v="24.8"/>
    <n v="20"/>
    <n v="0.05"/>
    <s v="Tuntisangaroon, Sittichai"/>
    <s v="Tuntisangaroon Sittichai"/>
    <x v="8"/>
    <s v="WA"/>
    <s v="Product YHXGE"/>
    <x v="3"/>
    <x v="182"/>
    <d v="2007-03-26T00:00:00"/>
    <x v="3"/>
    <s v="Ship to 84-C"/>
    <x v="2"/>
    <s v="Supplier QOVFD"/>
    <s v="Japan"/>
    <x v="1"/>
    <n v="471.2"/>
  </r>
  <r>
    <n v="10479"/>
    <n v="38"/>
    <n v="210.8"/>
    <n v="30"/>
    <n v="0"/>
    <s v="Moore, Michael"/>
    <s v="Moore Michael"/>
    <x v="2"/>
    <s v="WA"/>
    <s v="Product QDOMO"/>
    <x v="6"/>
    <x v="183"/>
    <d v="2007-03-21T00:00:00"/>
    <x v="3"/>
    <s v="Ship to 65-C"/>
    <x v="9"/>
    <s v="Supplier LVJUA"/>
    <s v="France"/>
    <x v="2"/>
    <n v="6324"/>
  </r>
  <r>
    <n v="10479"/>
    <n v="53"/>
    <n v="26.2"/>
    <n v="28"/>
    <n v="0"/>
    <s v="Moore, Michael"/>
    <s v="Moore Michael"/>
    <x v="2"/>
    <s v="WA"/>
    <s v="Product BKGEA"/>
    <x v="7"/>
    <x v="183"/>
    <d v="2007-03-21T00:00:00"/>
    <x v="3"/>
    <s v="Ship to 65-C"/>
    <x v="9"/>
    <s v="Supplier JNNES"/>
    <s v="Australia"/>
    <x v="2"/>
    <n v="733.6"/>
  </r>
  <r>
    <n v="10479"/>
    <n v="59"/>
    <n v="44"/>
    <n v="60"/>
    <n v="0"/>
    <s v="Moore, Michael"/>
    <s v="Moore Michael"/>
    <x v="2"/>
    <s v="WA"/>
    <s v="Product UKXRI"/>
    <x v="0"/>
    <x v="183"/>
    <d v="2007-03-21T00:00:00"/>
    <x v="3"/>
    <s v="Ship to 65-C"/>
    <x v="9"/>
    <s v="Supplier OAVQT"/>
    <s v="France"/>
    <x v="2"/>
    <n v="2640"/>
  </r>
  <r>
    <n v="10479"/>
    <n v="64"/>
    <n v="26.6"/>
    <n v="30"/>
    <n v="0"/>
    <s v="Moore, Michael"/>
    <s v="Moore Michael"/>
    <x v="2"/>
    <s v="WA"/>
    <s v="Product HCQDE"/>
    <x v="1"/>
    <x v="183"/>
    <d v="2007-03-21T00:00:00"/>
    <x v="3"/>
    <s v="Ship to 65-C"/>
    <x v="9"/>
    <s v="Supplier SVIYA"/>
    <s v="Germany"/>
    <x v="2"/>
    <n v="798"/>
  </r>
  <r>
    <n v="10480"/>
    <n v="47"/>
    <n v="7.6"/>
    <n v="30"/>
    <n v="0"/>
    <s v="Khanna, Karan"/>
    <s v="Khanna Karan"/>
    <x v="7"/>
    <n v="0"/>
    <s v="Product EZZPR"/>
    <x v="5"/>
    <x v="184"/>
    <d v="2007-03-24T00:00:00"/>
    <x v="1"/>
    <s v="Destination AGPCO"/>
    <x v="2"/>
    <s v="Supplier FNUXM"/>
    <s v="Netherlands"/>
    <x v="1"/>
    <n v="228"/>
  </r>
  <r>
    <n v="10480"/>
    <n v="59"/>
    <n v="44"/>
    <n v="12"/>
    <n v="0"/>
    <s v="Khanna, Karan"/>
    <s v="Khanna Karan"/>
    <x v="7"/>
    <n v="0"/>
    <s v="Product UKXRI"/>
    <x v="0"/>
    <x v="184"/>
    <d v="2007-03-24T00:00:00"/>
    <x v="1"/>
    <s v="Destination AGPCO"/>
    <x v="2"/>
    <s v="Supplier OAVQT"/>
    <s v="France"/>
    <x v="1"/>
    <n v="528"/>
  </r>
  <r>
    <n v="10481"/>
    <n v="49"/>
    <n v="16"/>
    <n v="24"/>
    <n v="0"/>
    <s v="Garden, Euan"/>
    <s v="Garden Euan"/>
    <x v="6"/>
    <s v="WA"/>
    <s v="Product FPYPN"/>
    <x v="5"/>
    <x v="184"/>
    <d v="2007-03-25T00:00:00"/>
    <x v="1"/>
    <s v="Ship to 67-A"/>
    <x v="1"/>
    <s v="Supplier ELCRN"/>
    <s v="Finland"/>
    <x v="1"/>
    <n v="384"/>
  </r>
  <r>
    <n v="10481"/>
    <n v="60"/>
    <n v="27.2"/>
    <n v="40"/>
    <n v="0"/>
    <s v="Garden, Euan"/>
    <s v="Garden Euan"/>
    <x v="6"/>
    <s v="WA"/>
    <s v="Product WHBYK"/>
    <x v="0"/>
    <x v="184"/>
    <d v="2007-03-25T00:00:00"/>
    <x v="1"/>
    <s v="Ship to 67-A"/>
    <x v="1"/>
    <s v="Supplier OAVQT"/>
    <s v="France"/>
    <x v="1"/>
    <n v="1088"/>
  </r>
  <r>
    <n v="10482"/>
    <n v="40"/>
    <n v="14.7"/>
    <n v="10"/>
    <n v="0"/>
    <s v="Deshpande, Anu"/>
    <s v="Deshpande Anu"/>
    <x v="5"/>
    <s v="WA"/>
    <s v="Product YZIXQ"/>
    <x v="3"/>
    <x v="185"/>
    <d v="2007-04-10T00:00:00"/>
    <x v="3"/>
    <s v="Ship to 43-B"/>
    <x v="9"/>
    <s v="Supplier JDNUG"/>
    <s v="USA"/>
    <x v="1"/>
    <n v="147"/>
  </r>
  <r>
    <n v="10483"/>
    <n v="34"/>
    <n v="11.2"/>
    <n v="35"/>
    <n v="0.05"/>
    <s v="Smith Jr., Ronaldo"/>
    <s v="Smith Jr. Ronaldo"/>
    <x v="9"/>
    <n v="0"/>
    <s v="Product SWNJY"/>
    <x v="6"/>
    <x v="186"/>
    <d v="2007-04-25T00:00:00"/>
    <x v="1"/>
    <s v="Ship to 89-A"/>
    <x v="9"/>
    <s v="Supplier UHZRG"/>
    <s v="USA"/>
    <x v="1"/>
    <n v="372.4"/>
  </r>
  <r>
    <n v="10483"/>
    <n v="77"/>
    <n v="10.4"/>
    <n v="30"/>
    <n v="0.05"/>
    <s v="Smith Jr., Ronaldo"/>
    <s v="Smith Jr. Ronaldo"/>
    <x v="9"/>
    <n v="0"/>
    <s v="Product LUNZZ"/>
    <x v="4"/>
    <x v="186"/>
    <d v="2007-04-25T00:00:00"/>
    <x v="1"/>
    <s v="Ship to 89-A"/>
    <x v="9"/>
    <s v="Supplier SVIYA"/>
    <s v="Germany"/>
    <x v="1"/>
    <n v="296.39999999999998"/>
  </r>
  <r>
    <n v="10484"/>
    <n v="21"/>
    <n v="8"/>
    <n v="14"/>
    <n v="0"/>
    <s v="Jaffe, David"/>
    <s v="Jaffe David"/>
    <x v="2"/>
    <s v="WA"/>
    <s v="Product VJZZH"/>
    <x v="5"/>
    <x v="186"/>
    <d v="2007-04-01T00:00:00"/>
    <x v="3"/>
    <s v="Destination DLEUN"/>
    <x v="14"/>
    <s v="Supplier BWGYE"/>
    <s v="UK"/>
    <x v="1"/>
    <n v="112"/>
  </r>
  <r>
    <n v="10484"/>
    <n v="40"/>
    <n v="14.7"/>
    <n v="10"/>
    <n v="0"/>
    <s v="Jaffe, David"/>
    <s v="Jaffe David"/>
    <x v="2"/>
    <s v="WA"/>
    <s v="Product YZIXQ"/>
    <x v="3"/>
    <x v="186"/>
    <d v="2007-04-01T00:00:00"/>
    <x v="3"/>
    <s v="Destination DLEUN"/>
    <x v="14"/>
    <s v="Supplier JDNUG"/>
    <s v="USA"/>
    <x v="1"/>
    <n v="147"/>
  </r>
  <r>
    <n v="10484"/>
    <n v="51"/>
    <n v="42.4"/>
    <n v="3"/>
    <n v="0"/>
    <s v="Jaffe, David"/>
    <s v="Jaffe David"/>
    <x v="2"/>
    <s v="WA"/>
    <s v="Product APITJ"/>
    <x v="2"/>
    <x v="186"/>
    <d v="2007-04-01T00:00:00"/>
    <x v="3"/>
    <s v="Destination DLEUN"/>
    <x v="14"/>
    <s v="Supplier JNNES"/>
    <s v="Australia"/>
    <x v="1"/>
    <n v="127.19999999999999"/>
  </r>
  <r>
    <n v="10485"/>
    <n v="2"/>
    <n v="15.2"/>
    <n v="20"/>
    <n v="0.1"/>
    <s v="Lupu, Cornel"/>
    <s v="Lupu Cornel"/>
    <x v="1"/>
    <s v="WA"/>
    <s v="Product RECZE"/>
    <x v="6"/>
    <x v="187"/>
    <d v="2007-03-31T00:00:00"/>
    <x v="1"/>
    <s v="Ship to 47-B"/>
    <x v="5"/>
    <s v="Supplier SWRXU"/>
    <s v="UK"/>
    <x v="1"/>
    <n v="273.60000000000002"/>
  </r>
  <r>
    <n v="10485"/>
    <n v="3"/>
    <n v="8"/>
    <n v="20"/>
    <n v="0.1"/>
    <s v="Lupu, Cornel"/>
    <s v="Lupu Cornel"/>
    <x v="1"/>
    <s v="WA"/>
    <s v="Product IMEHJ"/>
    <x v="4"/>
    <x v="187"/>
    <d v="2007-03-31T00:00:00"/>
    <x v="1"/>
    <s v="Ship to 47-B"/>
    <x v="5"/>
    <s v="Supplier SWRXU"/>
    <s v="UK"/>
    <x v="1"/>
    <n v="144"/>
  </r>
  <r>
    <n v="10485"/>
    <n v="55"/>
    <n v="19.2"/>
    <n v="30"/>
    <n v="0.1"/>
    <s v="Lupu, Cornel"/>
    <s v="Lupu Cornel"/>
    <x v="1"/>
    <s v="WA"/>
    <s v="Product YYWRT"/>
    <x v="7"/>
    <x v="187"/>
    <d v="2007-03-31T00:00:00"/>
    <x v="1"/>
    <s v="Ship to 47-B"/>
    <x v="5"/>
    <s v="Supplier ERVYZ"/>
    <s v="Canada"/>
    <x v="1"/>
    <n v="518.4"/>
  </r>
  <r>
    <n v="10485"/>
    <n v="70"/>
    <n v="12"/>
    <n v="60"/>
    <n v="0.1"/>
    <s v="Lupu, Cornel"/>
    <s v="Lupu Cornel"/>
    <x v="1"/>
    <s v="WA"/>
    <s v="Product TOONT"/>
    <x v="6"/>
    <x v="187"/>
    <d v="2007-03-31T00:00:00"/>
    <x v="1"/>
    <s v="Ship to 47-B"/>
    <x v="5"/>
    <s v="Supplier GQRCV"/>
    <s v="Australia"/>
    <x v="1"/>
    <n v="648"/>
  </r>
  <r>
    <n v="10486"/>
    <n v="11"/>
    <n v="16.8"/>
    <n v="5"/>
    <n v="0"/>
    <s v="Langohr, Kris"/>
    <s v="Langohr Kris"/>
    <x v="5"/>
    <s v="WA"/>
    <s v="Product QMVUN"/>
    <x v="0"/>
    <x v="188"/>
    <d v="2007-04-02T00:00:00"/>
    <x v="1"/>
    <s v="Destination UOUWK"/>
    <x v="5"/>
    <s v="Supplier EQPNC"/>
    <s v="Spain"/>
    <x v="1"/>
    <n v="84"/>
  </r>
  <r>
    <n v="10486"/>
    <n v="51"/>
    <n v="42.4"/>
    <n v="25"/>
    <n v="0"/>
    <s v="Langohr, Kris"/>
    <s v="Langohr Kris"/>
    <x v="5"/>
    <s v="WA"/>
    <s v="Product APITJ"/>
    <x v="2"/>
    <x v="188"/>
    <d v="2007-04-02T00:00:00"/>
    <x v="1"/>
    <s v="Destination UOUWK"/>
    <x v="5"/>
    <s v="Supplier JNNES"/>
    <s v="Australia"/>
    <x v="1"/>
    <n v="1060"/>
  </r>
  <r>
    <n v="10486"/>
    <n v="74"/>
    <n v="8"/>
    <n v="16"/>
    <n v="0"/>
    <s v="Langohr, Kris"/>
    <s v="Langohr Kris"/>
    <x v="5"/>
    <s v="WA"/>
    <s v="Product BKAZJ"/>
    <x v="2"/>
    <x v="188"/>
    <d v="2007-04-02T00:00:00"/>
    <x v="1"/>
    <s v="Destination UOUWK"/>
    <x v="5"/>
    <s v="Supplier QOVFD"/>
    <s v="Japan"/>
    <x v="1"/>
    <n v="128"/>
  </r>
  <r>
    <n v="10487"/>
    <n v="19"/>
    <n v="7.3"/>
    <n v="5"/>
    <n v="0"/>
    <s v="Misiec, Anna"/>
    <s v="Misiec Anna"/>
    <x v="8"/>
    <s v="WA"/>
    <s v="Product XKXDO"/>
    <x v="5"/>
    <x v="188"/>
    <d v="2007-03-28T00:00:00"/>
    <x v="1"/>
    <s v="Ship to 62-B"/>
    <x v="1"/>
    <s v="Supplier BWGYE"/>
    <s v="UK"/>
    <x v="1"/>
    <n v="36.5"/>
  </r>
  <r>
    <n v="10487"/>
    <n v="26"/>
    <n v="24.9"/>
    <n v="30"/>
    <n v="0"/>
    <s v="Misiec, Anna"/>
    <s v="Misiec Anna"/>
    <x v="8"/>
    <s v="WA"/>
    <s v="Product HLGZA"/>
    <x v="5"/>
    <x v="188"/>
    <d v="2007-03-28T00:00:00"/>
    <x v="1"/>
    <s v="Ship to 62-B"/>
    <x v="1"/>
    <s v="Supplier ZPYVS"/>
    <s v="Germany"/>
    <x v="1"/>
    <n v="747"/>
  </r>
  <r>
    <n v="10487"/>
    <n v="54"/>
    <n v="5.9"/>
    <n v="24"/>
    <n v="0.25"/>
    <s v="Misiec, Anna"/>
    <s v="Misiec Anna"/>
    <x v="8"/>
    <s v="WA"/>
    <s v="Product QAQRL"/>
    <x v="7"/>
    <x v="188"/>
    <d v="2007-03-28T00:00:00"/>
    <x v="1"/>
    <s v="Ship to 62-B"/>
    <x v="1"/>
    <s v="Supplier ERVYZ"/>
    <s v="Canada"/>
    <x v="1"/>
    <n v="106.20000000000002"/>
  </r>
  <r>
    <n v="10488"/>
    <n v="59"/>
    <n v="44"/>
    <n v="30"/>
    <n v="0"/>
    <s v="Carlson, Jason"/>
    <s v="Carlson Jason"/>
    <x v="6"/>
    <s v="WA"/>
    <s v="Product UKXRI"/>
    <x v="0"/>
    <x v="189"/>
    <d v="2007-04-02T00:00:00"/>
    <x v="1"/>
    <s v="Destination VAPXU"/>
    <x v="8"/>
    <s v="Supplier OAVQT"/>
    <s v="France"/>
    <x v="1"/>
    <n v="1320"/>
  </r>
  <r>
    <n v="10488"/>
    <n v="73"/>
    <n v="12"/>
    <n v="20"/>
    <n v="0.2"/>
    <s v="Carlson, Jason"/>
    <s v="Carlson Jason"/>
    <x v="6"/>
    <s v="WA"/>
    <s v="Product WEUJZ"/>
    <x v="3"/>
    <x v="189"/>
    <d v="2007-04-02T00:00:00"/>
    <x v="1"/>
    <s v="Destination VAPXU"/>
    <x v="8"/>
    <s v="Supplier QZGUF"/>
    <s v="Sweden"/>
    <x v="1"/>
    <n v="192"/>
  </r>
  <r>
    <n v="10489"/>
    <n v="11"/>
    <n v="16.8"/>
    <n v="15"/>
    <n v="0.25"/>
    <s v="Meston, Tosh"/>
    <s v="Meston Tosh"/>
    <x v="7"/>
    <n v="0"/>
    <s v="Product QMVUN"/>
    <x v="0"/>
    <x v="190"/>
    <d v="2007-04-09T00:00:00"/>
    <x v="1"/>
    <s v="Ship to 59-C"/>
    <x v="6"/>
    <s v="Supplier EQPNC"/>
    <s v="Spain"/>
    <x v="1"/>
    <n v="189"/>
  </r>
  <r>
    <n v="10489"/>
    <n v="16"/>
    <n v="13.9"/>
    <n v="18"/>
    <n v="0"/>
    <s v="Meston, Tosh"/>
    <s v="Meston Tosh"/>
    <x v="7"/>
    <n v="0"/>
    <s v="Product PAFRH"/>
    <x v="5"/>
    <x v="190"/>
    <d v="2007-04-09T00:00:00"/>
    <x v="1"/>
    <s v="Ship to 59-C"/>
    <x v="6"/>
    <s v="Supplier GQRCV"/>
    <s v="Australia"/>
    <x v="1"/>
    <n v="250.20000000000002"/>
  </r>
  <r>
    <n v="10490"/>
    <n v="59"/>
    <n v="44"/>
    <n v="60"/>
    <n v="0"/>
    <s v="Langohr, Kris"/>
    <s v="Langohr Kris"/>
    <x v="9"/>
    <n v="0"/>
    <s v="Product UKXRI"/>
    <x v="0"/>
    <x v="191"/>
    <d v="2007-04-03T00:00:00"/>
    <x v="1"/>
    <s v="Destination JYDLM"/>
    <x v="5"/>
    <s v="Supplier OAVQT"/>
    <s v="France"/>
    <x v="2"/>
    <n v="2640"/>
  </r>
  <r>
    <n v="10490"/>
    <n v="68"/>
    <n v="10"/>
    <n v="30"/>
    <n v="0"/>
    <s v="Langohr, Kris"/>
    <s v="Langohr Kris"/>
    <x v="9"/>
    <n v="0"/>
    <s v="Product TBTBL"/>
    <x v="5"/>
    <x v="191"/>
    <d v="2007-04-03T00:00:00"/>
    <x v="1"/>
    <s v="Destination JYDLM"/>
    <x v="5"/>
    <s v="Supplier BWGYE"/>
    <s v="UK"/>
    <x v="2"/>
    <n v="300"/>
  </r>
  <r>
    <n v="10490"/>
    <n v="75"/>
    <n v="6.2"/>
    <n v="36"/>
    <n v="0"/>
    <s v="Langohr, Kris"/>
    <s v="Langohr Kris"/>
    <x v="9"/>
    <n v="0"/>
    <s v="Product BWRLG"/>
    <x v="6"/>
    <x v="191"/>
    <d v="2007-04-03T00:00:00"/>
    <x v="1"/>
    <s v="Destination JYDLM"/>
    <x v="5"/>
    <s v="Supplier SVIYA"/>
    <s v="Germany"/>
    <x v="2"/>
    <n v="223.20000000000002"/>
  </r>
  <r>
    <n v="10491"/>
    <n v="44"/>
    <n v="15.5"/>
    <n v="15"/>
    <n v="0.15"/>
    <s v="Cavaglieri, Giorgio"/>
    <s v="Cavaglieri Giorgio"/>
    <x v="6"/>
    <s v="WA"/>
    <s v="Product VJIEO"/>
    <x v="4"/>
    <x v="191"/>
    <d v="2007-04-08T00:00:00"/>
    <x v="3"/>
    <s v="Destination OTSWR"/>
    <x v="16"/>
    <s v="Supplier CIYNM"/>
    <s v="Singapore"/>
    <x v="1"/>
    <n v="197.625"/>
  </r>
  <r>
    <n v="10491"/>
    <n v="77"/>
    <n v="10.4"/>
    <n v="7"/>
    <n v="0.15"/>
    <s v="Cavaglieri, Giorgio"/>
    <s v="Cavaglieri Giorgio"/>
    <x v="6"/>
    <s v="WA"/>
    <s v="Product LUNZZ"/>
    <x v="4"/>
    <x v="191"/>
    <d v="2007-04-08T00:00:00"/>
    <x v="3"/>
    <s v="Destination OTSWR"/>
    <x v="16"/>
    <s v="Supplier SVIYA"/>
    <s v="Germany"/>
    <x v="1"/>
    <n v="61.879999999999995"/>
  </r>
  <r>
    <n v="10492"/>
    <n v="25"/>
    <n v="11.2"/>
    <n v="60"/>
    <n v="0.05"/>
    <s v="Bassols, Pilar Colome"/>
    <s v="Bassols Pilar Colome"/>
    <x v="2"/>
    <s v="WA"/>
    <s v="Product LYLNI"/>
    <x v="5"/>
    <x v="192"/>
    <d v="2007-04-11T00:00:00"/>
    <x v="2"/>
    <s v="Destination XJIBQ"/>
    <x v="17"/>
    <s v="Supplier ZPYVS"/>
    <s v="Germany"/>
    <x v="1"/>
    <n v="638.4"/>
  </r>
  <r>
    <n v="10492"/>
    <n v="42"/>
    <n v="11.2"/>
    <n v="20"/>
    <n v="0.05"/>
    <s v="Bassols, Pilar Colome"/>
    <s v="Bassols Pilar Colome"/>
    <x v="2"/>
    <s v="WA"/>
    <s v="Product RJVNM"/>
    <x v="1"/>
    <x v="192"/>
    <d v="2007-04-11T00:00:00"/>
    <x v="2"/>
    <s v="Destination XJIBQ"/>
    <x v="17"/>
    <s v="Supplier CIYNM"/>
    <s v="Singapore"/>
    <x v="1"/>
    <n v="212.79999999999998"/>
  </r>
  <r>
    <n v="10493"/>
    <n v="65"/>
    <n v="16.8"/>
    <n v="15"/>
    <n v="0.1"/>
    <s v="Litton, Tim"/>
    <s v="Litton Tim"/>
    <x v="1"/>
    <s v="WA"/>
    <s v="Product XYWBZ"/>
    <x v="4"/>
    <x v="193"/>
    <d v="2007-04-10T00:00:00"/>
    <x v="3"/>
    <s v="Destination OLJND"/>
    <x v="2"/>
    <s v="Supplier VHQZD"/>
    <s v="USA"/>
    <x v="1"/>
    <n v="226.8"/>
  </r>
  <r>
    <n v="10493"/>
    <n v="66"/>
    <n v="13.6"/>
    <n v="10"/>
    <n v="0.1"/>
    <s v="Litton, Tim"/>
    <s v="Litton Tim"/>
    <x v="1"/>
    <s v="WA"/>
    <s v="Product LQMGN"/>
    <x v="4"/>
    <x v="193"/>
    <d v="2007-04-10T00:00:00"/>
    <x v="3"/>
    <s v="Destination OLJND"/>
    <x v="2"/>
    <s v="Supplier VHQZD"/>
    <s v="USA"/>
    <x v="1"/>
    <n v="122.4"/>
  </r>
  <r>
    <n v="10493"/>
    <n v="69"/>
    <n v="28.8"/>
    <n v="10"/>
    <n v="0.1"/>
    <s v="Litton, Tim"/>
    <s v="Litton Tim"/>
    <x v="1"/>
    <s v="WA"/>
    <s v="Product COAXA"/>
    <x v="0"/>
    <x v="193"/>
    <d v="2007-04-10T00:00:00"/>
    <x v="3"/>
    <s v="Destination OLJND"/>
    <x v="2"/>
    <s v="Supplier NZLIF"/>
    <s v="Norway"/>
    <x v="1"/>
    <n v="259.2"/>
  </r>
  <r>
    <n v="10494"/>
    <n v="56"/>
    <n v="30.4"/>
    <n v="30"/>
    <n v="0"/>
    <s v="Richardson, Shawn"/>
    <s v="Richardson Shawn"/>
    <x v="1"/>
    <s v="WA"/>
    <s v="Product VKCMF"/>
    <x v="1"/>
    <x v="193"/>
    <d v="2007-04-09T00:00:00"/>
    <x v="1"/>
    <s v="Destination EVHYA"/>
    <x v="1"/>
    <s v="Supplier ZWZDM"/>
    <s v="Italy"/>
    <x v="1"/>
    <n v="912"/>
  </r>
  <r>
    <n v="10495"/>
    <n v="23"/>
    <n v="7.2"/>
    <n v="10"/>
    <n v="0"/>
    <s v="Steiner, Dominik"/>
    <s v="Steiner Dominik"/>
    <x v="2"/>
    <s v="WA"/>
    <s v="Product JLUDZ"/>
    <x v="1"/>
    <x v="194"/>
    <d v="2007-04-11T00:00:00"/>
    <x v="3"/>
    <s v="Ship to 42-C"/>
    <x v="17"/>
    <s v="Supplier QQYEU"/>
    <s v="Sweden"/>
    <x v="1"/>
    <n v="72"/>
  </r>
  <r>
    <n v="10495"/>
    <n v="41"/>
    <n v="7.7"/>
    <n v="20"/>
    <n v="0"/>
    <s v="Steiner, Dominik"/>
    <s v="Steiner Dominik"/>
    <x v="2"/>
    <s v="WA"/>
    <s v="Product TTEEX"/>
    <x v="3"/>
    <x v="194"/>
    <d v="2007-04-11T00:00:00"/>
    <x v="3"/>
    <s v="Ship to 42-C"/>
    <x v="17"/>
    <s v="Supplier JDNUG"/>
    <s v="USA"/>
    <x v="1"/>
    <n v="154"/>
  </r>
  <r>
    <n v="10495"/>
    <n v="77"/>
    <n v="10.4"/>
    <n v="5"/>
    <n v="0"/>
    <s v="Steiner, Dominik"/>
    <s v="Steiner Dominik"/>
    <x v="2"/>
    <s v="WA"/>
    <s v="Product LUNZZ"/>
    <x v="4"/>
    <x v="194"/>
    <d v="2007-04-11T00:00:00"/>
    <x v="3"/>
    <s v="Ship to 42-C"/>
    <x v="17"/>
    <s v="Supplier SVIYA"/>
    <s v="Germany"/>
    <x v="1"/>
    <n v="52"/>
  </r>
  <r>
    <n v="10496"/>
    <n v="31"/>
    <n v="10"/>
    <n v="20"/>
    <n v="0.05"/>
    <s v="Nagel, Jean-Philippe"/>
    <s v="Nagel Jean-Philippe"/>
    <x v="9"/>
    <n v="0"/>
    <s v="Product XWOXC"/>
    <x v="0"/>
    <x v="195"/>
    <d v="2007-04-07T00:00:00"/>
    <x v="1"/>
    <s v="Ship to 81-C"/>
    <x v="1"/>
    <s v="Supplier KEREV"/>
    <s v="Italy"/>
    <x v="1"/>
    <n v="190"/>
  </r>
  <r>
    <n v="10497"/>
    <n v="56"/>
    <n v="30.4"/>
    <n v="14"/>
    <n v="0"/>
    <s v="Louverdis, George"/>
    <s v="Louverdis George"/>
    <x v="9"/>
    <n v="0"/>
    <s v="Product VKCMF"/>
    <x v="1"/>
    <x v="195"/>
    <d v="2007-04-07T00:00:00"/>
    <x v="2"/>
    <s v="Ship to 44-A"/>
    <x v="8"/>
    <s v="Supplier ZWZDM"/>
    <s v="Italy"/>
    <x v="1"/>
    <n v="425.59999999999997"/>
  </r>
  <r>
    <n v="10497"/>
    <n v="72"/>
    <n v="27.8"/>
    <n v="25"/>
    <n v="0"/>
    <s v="Louverdis, George"/>
    <s v="Louverdis George"/>
    <x v="9"/>
    <n v="0"/>
    <s v="Product GEEOO"/>
    <x v="0"/>
    <x v="195"/>
    <d v="2007-04-07T00:00:00"/>
    <x v="2"/>
    <s v="Ship to 44-A"/>
    <x v="8"/>
    <s v="Supplier KEREV"/>
    <s v="Italy"/>
    <x v="1"/>
    <n v="695"/>
  </r>
  <r>
    <n v="10497"/>
    <n v="77"/>
    <n v="10.4"/>
    <n v="25"/>
    <n v="0"/>
    <s v="Louverdis, George"/>
    <s v="Louverdis George"/>
    <x v="9"/>
    <n v="0"/>
    <s v="Product LUNZZ"/>
    <x v="4"/>
    <x v="195"/>
    <d v="2007-04-07T00:00:00"/>
    <x v="2"/>
    <s v="Ship to 44-A"/>
    <x v="8"/>
    <s v="Supplier SVIYA"/>
    <s v="Germany"/>
    <x v="1"/>
    <n v="260"/>
  </r>
  <r>
    <n v="10498"/>
    <n v="24"/>
    <n v="4.5"/>
    <n v="14"/>
    <n v="0"/>
    <s v="Langohr, Kris"/>
    <s v="Langohr Kris"/>
    <x v="6"/>
    <s v="WA"/>
    <s v="Product QOGNU"/>
    <x v="6"/>
    <x v="196"/>
    <d v="2007-04-11T00:00:00"/>
    <x v="1"/>
    <s v="Destination SXYQX"/>
    <x v="5"/>
    <s v="Supplier UNAHG"/>
    <s v="Brazil"/>
    <x v="1"/>
    <n v="63"/>
  </r>
  <r>
    <n v="10498"/>
    <n v="40"/>
    <n v="18.399999999999999"/>
    <n v="5"/>
    <n v="0"/>
    <s v="Langohr, Kris"/>
    <s v="Langohr Kris"/>
    <x v="6"/>
    <s v="WA"/>
    <s v="Product YZIXQ"/>
    <x v="3"/>
    <x v="196"/>
    <d v="2007-04-11T00:00:00"/>
    <x v="1"/>
    <s v="Destination SXYQX"/>
    <x v="5"/>
    <s v="Supplier JDNUG"/>
    <s v="USA"/>
    <x v="1"/>
    <n v="92"/>
  </r>
  <r>
    <n v="10498"/>
    <n v="42"/>
    <n v="14"/>
    <n v="30"/>
    <n v="0"/>
    <s v="Langohr, Kris"/>
    <s v="Langohr Kris"/>
    <x v="6"/>
    <s v="WA"/>
    <s v="Product RJVNM"/>
    <x v="1"/>
    <x v="196"/>
    <d v="2007-04-11T00:00:00"/>
    <x v="1"/>
    <s v="Destination SXYQX"/>
    <x v="5"/>
    <s v="Supplier CIYNM"/>
    <s v="Singapore"/>
    <x v="1"/>
    <n v="420"/>
  </r>
  <r>
    <n v="10499"/>
    <n v="28"/>
    <n v="45.6"/>
    <n v="20"/>
    <n v="0"/>
    <s v="Dressler, Marlies"/>
    <s v="Dressler Marlies"/>
    <x v="1"/>
    <s v="WA"/>
    <s v="Product OFBNT"/>
    <x v="2"/>
    <x v="197"/>
    <d v="2007-04-16T00:00:00"/>
    <x v="1"/>
    <s v="Ship to 46-C"/>
    <x v="5"/>
    <s v="Supplier SVIYA"/>
    <s v="Germany"/>
    <x v="2"/>
    <n v="912"/>
  </r>
  <r>
    <n v="10499"/>
    <n v="49"/>
    <n v="20"/>
    <n v="25"/>
    <n v="0"/>
    <s v="Dressler, Marlies"/>
    <s v="Dressler Marlies"/>
    <x v="1"/>
    <s v="WA"/>
    <s v="Product FPYPN"/>
    <x v="5"/>
    <x v="197"/>
    <d v="2007-04-16T00:00:00"/>
    <x v="1"/>
    <s v="Ship to 46-C"/>
    <x v="5"/>
    <s v="Supplier ELCRN"/>
    <s v="Finland"/>
    <x v="2"/>
    <n v="500"/>
  </r>
  <r>
    <n v="10500"/>
    <n v="15"/>
    <n v="15.5"/>
    <n v="12"/>
    <n v="0.05"/>
    <s v="Litton, Tim"/>
    <s v="Litton Tim"/>
    <x v="7"/>
    <n v="0"/>
    <s v="Product KSZOI"/>
    <x v="4"/>
    <x v="198"/>
    <d v="2007-04-17T00:00:00"/>
    <x v="2"/>
    <s v="Destination OLJND"/>
    <x v="2"/>
    <s v="Supplier QWUSF"/>
    <s v="Japan"/>
    <x v="1"/>
    <n v="176.7"/>
  </r>
  <r>
    <n v="10500"/>
    <n v="28"/>
    <n v="45.6"/>
    <n v="8"/>
    <n v="0.05"/>
    <s v="Litton, Tim"/>
    <s v="Litton Tim"/>
    <x v="7"/>
    <n v="0"/>
    <s v="Product OFBNT"/>
    <x v="2"/>
    <x v="198"/>
    <d v="2007-04-17T00:00:00"/>
    <x v="2"/>
    <s v="Destination OLJND"/>
    <x v="2"/>
    <s v="Supplier SVIYA"/>
    <s v="Germany"/>
    <x v="1"/>
    <n v="346.56"/>
  </r>
  <r>
    <n v="10501"/>
    <n v="54"/>
    <n v="7.45"/>
    <n v="20"/>
    <n v="0"/>
    <s v="Poland, Carole"/>
    <s v="Poland Carole"/>
    <x v="4"/>
    <n v="0"/>
    <s v="Product QAQRL"/>
    <x v="7"/>
    <x v="198"/>
    <d v="2007-04-16T00:00:00"/>
    <x v="3"/>
    <s v="Ship to 6-C"/>
    <x v="8"/>
    <s v="Supplier ERVYZ"/>
    <s v="Canada"/>
    <x v="1"/>
    <n v="149"/>
  </r>
  <r>
    <n v="10502"/>
    <n v="45"/>
    <n v="9.5"/>
    <n v="21"/>
    <n v="0"/>
    <s v="Fakhouri, Fadi"/>
    <s v="Fakhouri Fadi"/>
    <x v="8"/>
    <s v="WA"/>
    <s v="Product AQOKR"/>
    <x v="3"/>
    <x v="199"/>
    <d v="2007-04-29T00:00:00"/>
    <x v="2"/>
    <s v="Ship to 58-B"/>
    <x v="7"/>
    <s v="Supplier XOXZA"/>
    <s v="Denmark"/>
    <x v="1"/>
    <n v="199.5"/>
  </r>
  <r>
    <n v="10502"/>
    <n v="53"/>
    <n v="32.799999999999997"/>
    <n v="6"/>
    <n v="0"/>
    <s v="Fakhouri, Fadi"/>
    <s v="Fakhouri Fadi"/>
    <x v="8"/>
    <s v="WA"/>
    <s v="Product BKGEA"/>
    <x v="7"/>
    <x v="199"/>
    <d v="2007-04-29T00:00:00"/>
    <x v="2"/>
    <s v="Ship to 58-B"/>
    <x v="7"/>
    <s v="Supplier JNNES"/>
    <s v="Australia"/>
    <x v="1"/>
    <n v="196.79999999999998"/>
  </r>
  <r>
    <n v="10502"/>
    <n v="67"/>
    <n v="14"/>
    <n v="30"/>
    <n v="0"/>
    <s v="Fakhouri, Fadi"/>
    <s v="Fakhouri Fadi"/>
    <x v="8"/>
    <s v="WA"/>
    <s v="Product XLXQF"/>
    <x v="6"/>
    <x v="199"/>
    <d v="2007-04-29T00:00:00"/>
    <x v="2"/>
    <s v="Ship to 58-B"/>
    <x v="7"/>
    <s v="Supplier UHZRG"/>
    <s v="USA"/>
    <x v="1"/>
    <n v="420"/>
  </r>
  <r>
    <n v="10503"/>
    <n v="14"/>
    <n v="23.25"/>
    <n v="70"/>
    <n v="0"/>
    <s v="Crăciun, Ovidiu V."/>
    <s v="Crăciun Ovidiu V."/>
    <x v="7"/>
    <n v="0"/>
    <s v="Product PWCJB"/>
    <x v="2"/>
    <x v="200"/>
    <d v="2007-04-16T00:00:00"/>
    <x v="1"/>
    <s v="Destination ATSOA"/>
    <x v="15"/>
    <s v="Supplier QWUSF"/>
    <s v="Japan"/>
    <x v="1"/>
    <n v="1627.5"/>
  </r>
  <r>
    <n v="10503"/>
    <n v="65"/>
    <n v="21.05"/>
    <n v="20"/>
    <n v="0"/>
    <s v="Crăciun, Ovidiu V."/>
    <s v="Crăciun Ovidiu V."/>
    <x v="7"/>
    <n v="0"/>
    <s v="Product XYWBZ"/>
    <x v="4"/>
    <x v="200"/>
    <d v="2007-04-16T00:00:00"/>
    <x v="1"/>
    <s v="Destination ATSOA"/>
    <x v="15"/>
    <s v="Supplier VHQZD"/>
    <s v="USA"/>
    <x v="1"/>
    <n v="421"/>
  </r>
  <r>
    <n v="10504"/>
    <n v="2"/>
    <n v="19"/>
    <n v="12"/>
    <n v="0"/>
    <s v="Smith Jr., Ronaldo"/>
    <s v="Smith Jr. Ronaldo"/>
    <x v="1"/>
    <s v="WA"/>
    <s v="Product RECZE"/>
    <x v="6"/>
    <x v="200"/>
    <d v="2007-04-18T00:00:00"/>
    <x v="3"/>
    <s v="Ship to 89-B"/>
    <x v="9"/>
    <s v="Supplier SWRXU"/>
    <s v="UK"/>
    <x v="1"/>
    <n v="228"/>
  </r>
  <r>
    <n v="10504"/>
    <n v="21"/>
    <n v="10"/>
    <n v="12"/>
    <n v="0"/>
    <s v="Smith Jr., Ronaldo"/>
    <s v="Smith Jr. Ronaldo"/>
    <x v="1"/>
    <s v="WA"/>
    <s v="Product VJZZH"/>
    <x v="5"/>
    <x v="200"/>
    <d v="2007-04-18T00:00:00"/>
    <x v="3"/>
    <s v="Ship to 89-B"/>
    <x v="9"/>
    <s v="Supplier BWGYE"/>
    <s v="UK"/>
    <x v="1"/>
    <n v="120"/>
  </r>
  <r>
    <n v="10504"/>
    <n v="53"/>
    <n v="32.799999999999997"/>
    <n v="10"/>
    <n v="0"/>
    <s v="Smith Jr., Ronaldo"/>
    <s v="Smith Jr. Ronaldo"/>
    <x v="1"/>
    <s v="WA"/>
    <s v="Product BKGEA"/>
    <x v="7"/>
    <x v="200"/>
    <d v="2007-04-18T00:00:00"/>
    <x v="3"/>
    <s v="Ship to 89-B"/>
    <x v="9"/>
    <s v="Supplier JNNES"/>
    <s v="Australia"/>
    <x v="1"/>
    <n v="328"/>
  </r>
  <r>
    <n v="10504"/>
    <n v="61"/>
    <n v="28.5"/>
    <n v="25"/>
    <n v="0"/>
    <s v="Smith Jr., Ronaldo"/>
    <s v="Smith Jr. Ronaldo"/>
    <x v="1"/>
    <s v="WA"/>
    <s v="Product XYZPE"/>
    <x v="4"/>
    <x v="200"/>
    <d v="2007-04-18T00:00:00"/>
    <x v="3"/>
    <s v="Ship to 89-B"/>
    <x v="9"/>
    <s v="Supplier OGLRK"/>
    <s v="Canada"/>
    <x v="1"/>
    <n v="712.5"/>
  </r>
  <r>
    <n v="10505"/>
    <n v="62"/>
    <n v="49.3"/>
    <n v="3"/>
    <n v="0"/>
    <s v="Taylor, Maurice"/>
    <s v="Taylor Maurice"/>
    <x v="2"/>
    <s v="WA"/>
    <s v="Product WUXYK"/>
    <x v="5"/>
    <x v="201"/>
    <d v="2007-04-21T00:00:00"/>
    <x v="3"/>
    <s v="Ship to 51-B"/>
    <x v="17"/>
    <s v="Supplier OGLRK"/>
    <s v="Canada"/>
    <x v="1"/>
    <n v="147.89999999999998"/>
  </r>
  <r>
    <n v="10506"/>
    <n v="25"/>
    <n v="14"/>
    <n v="18"/>
    <n v="0.1"/>
    <s v="Song, Lolan"/>
    <s v="Song Lolan"/>
    <x v="4"/>
    <n v="0"/>
    <s v="Product LYLNI"/>
    <x v="5"/>
    <x v="202"/>
    <d v="2007-05-02T00:00:00"/>
    <x v="1"/>
    <s v="Destination DKMQA"/>
    <x v="8"/>
    <s v="Supplier ZPYVS"/>
    <s v="Germany"/>
    <x v="1"/>
    <n v="226.8"/>
  </r>
  <r>
    <n v="10506"/>
    <n v="70"/>
    <n v="15"/>
    <n v="14"/>
    <n v="0.1"/>
    <s v="Song, Lolan"/>
    <s v="Song Lolan"/>
    <x v="4"/>
    <n v="0"/>
    <s v="Product TOONT"/>
    <x v="6"/>
    <x v="202"/>
    <d v="2007-05-02T00:00:00"/>
    <x v="1"/>
    <s v="Destination DKMQA"/>
    <x v="8"/>
    <s v="Supplier GQRCV"/>
    <s v="Australia"/>
    <x v="1"/>
    <n v="189"/>
  </r>
  <r>
    <n v="10507"/>
    <n v="43"/>
    <n v="46"/>
    <n v="15"/>
    <n v="0.15"/>
    <s v="Peoples, John"/>
    <s v="Peoples John"/>
    <x v="9"/>
    <n v="0"/>
    <s v="Product ZZZHR"/>
    <x v="6"/>
    <x v="202"/>
    <d v="2007-04-22T00:00:00"/>
    <x v="2"/>
    <s v="Destination FQFLS"/>
    <x v="7"/>
    <s v="Supplier CIYNM"/>
    <s v="Singapore"/>
    <x v="1"/>
    <n v="586.5"/>
  </r>
  <r>
    <n v="10507"/>
    <n v="48"/>
    <n v="12.75"/>
    <n v="15"/>
    <n v="0.15"/>
    <s v="Peoples, John"/>
    <s v="Peoples John"/>
    <x v="9"/>
    <n v="0"/>
    <s v="Product MYNXN"/>
    <x v="5"/>
    <x v="202"/>
    <d v="2007-04-22T00:00:00"/>
    <x v="2"/>
    <s v="Destination FQFLS"/>
    <x v="7"/>
    <s v="Supplier FNUXM"/>
    <s v="Netherlands"/>
    <x v="1"/>
    <n v="162.5625"/>
  </r>
  <r>
    <n v="10508"/>
    <n v="13"/>
    <n v="6"/>
    <n v="10"/>
    <n v="0"/>
    <s v="Marinova, Nadejda"/>
    <s v="Marinova Nadejda"/>
    <x v="5"/>
    <s v="WA"/>
    <s v="Product POXFU"/>
    <x v="3"/>
    <x v="203"/>
    <d v="2007-05-13T00:00:00"/>
    <x v="1"/>
    <s v="Ship to 56-C"/>
    <x v="8"/>
    <s v="Supplier QWUSF"/>
    <s v="Japan"/>
    <x v="1"/>
    <n v="60"/>
  </r>
  <r>
    <n v="10508"/>
    <n v="39"/>
    <n v="18"/>
    <n v="10"/>
    <n v="0"/>
    <s v="Marinova, Nadejda"/>
    <s v="Marinova Nadejda"/>
    <x v="5"/>
    <s v="WA"/>
    <s v="Product LSOFL"/>
    <x v="6"/>
    <x v="203"/>
    <d v="2007-05-13T00:00:00"/>
    <x v="1"/>
    <s v="Ship to 56-C"/>
    <x v="8"/>
    <s v="Supplier LVJUA"/>
    <s v="France"/>
    <x v="1"/>
    <n v="180"/>
  </r>
  <r>
    <n v="10509"/>
    <n v="28"/>
    <n v="45.6"/>
    <n v="3"/>
    <n v="0"/>
    <s v="Poland, Carole"/>
    <s v="Poland Carole"/>
    <x v="1"/>
    <s v="WA"/>
    <s v="Product OFBNT"/>
    <x v="2"/>
    <x v="204"/>
    <d v="2007-04-29T00:00:00"/>
    <x v="2"/>
    <s v="Ship to 6-A"/>
    <x v="8"/>
    <s v="Supplier SVIYA"/>
    <s v="Germany"/>
    <x v="1"/>
    <n v="136.80000000000001"/>
  </r>
  <r>
    <n v="10510"/>
    <n v="29"/>
    <n v="123.79"/>
    <n v="36"/>
    <n v="0"/>
    <s v="Navarro, Tomás"/>
    <s v="Navarro Tomás"/>
    <x v="7"/>
    <n v="0"/>
    <s v="Product VJXYN"/>
    <x v="7"/>
    <x v="205"/>
    <d v="2007-04-28T00:00:00"/>
    <x v="3"/>
    <s v="Ship to 71-A"/>
    <x v="9"/>
    <s v="Supplier SVIYA"/>
    <s v="Germany"/>
    <x v="2"/>
    <n v="4456.4400000000005"/>
  </r>
  <r>
    <n v="10510"/>
    <n v="75"/>
    <n v="7.75"/>
    <n v="36"/>
    <n v="0.1"/>
    <s v="Navarro, Tomás"/>
    <s v="Navarro Tomás"/>
    <x v="7"/>
    <n v="0"/>
    <s v="Product BWRLG"/>
    <x v="6"/>
    <x v="205"/>
    <d v="2007-04-28T00:00:00"/>
    <x v="3"/>
    <s v="Ship to 71-A"/>
    <x v="9"/>
    <s v="Supplier SVIYA"/>
    <s v="Germany"/>
    <x v="2"/>
    <n v="251.1"/>
  </r>
  <r>
    <n v="10511"/>
    <n v="4"/>
    <n v="22"/>
    <n v="50"/>
    <n v="0.15"/>
    <s v="Raghav, Amritansh"/>
    <s v="Raghav Amritansh"/>
    <x v="1"/>
    <s v="WA"/>
    <s v="Product KSBRM"/>
    <x v="4"/>
    <x v="205"/>
    <d v="2007-04-21T00:00:00"/>
    <x v="3"/>
    <s v="Ship to 9-B"/>
    <x v="2"/>
    <s v="Supplier VHQZD"/>
    <s v="USA"/>
    <x v="2"/>
    <n v="935"/>
  </r>
  <r>
    <n v="10511"/>
    <n v="7"/>
    <n v="30"/>
    <n v="50"/>
    <n v="0.15"/>
    <s v="Raghav, Amritansh"/>
    <s v="Raghav Amritansh"/>
    <x v="1"/>
    <s v="WA"/>
    <s v="Product HMLNI"/>
    <x v="2"/>
    <x v="205"/>
    <d v="2007-04-21T00:00:00"/>
    <x v="3"/>
    <s v="Ship to 9-B"/>
    <x v="2"/>
    <s v="Supplier STUAZ"/>
    <s v="USA"/>
    <x v="2"/>
    <n v="1275"/>
  </r>
  <r>
    <n v="10511"/>
    <n v="8"/>
    <n v="40"/>
    <n v="10"/>
    <n v="0.15"/>
    <s v="Raghav, Amritansh"/>
    <s v="Raghav Amritansh"/>
    <x v="1"/>
    <s v="WA"/>
    <s v="Product WVJFP"/>
    <x v="4"/>
    <x v="205"/>
    <d v="2007-04-21T00:00:00"/>
    <x v="3"/>
    <s v="Ship to 9-B"/>
    <x v="2"/>
    <s v="Supplier STUAZ"/>
    <s v="USA"/>
    <x v="2"/>
    <n v="340"/>
  </r>
  <r>
    <n v="10512"/>
    <n v="24"/>
    <n v="4.5"/>
    <n v="10"/>
    <n v="0.15"/>
    <s v="Russo, Giuseppe"/>
    <s v="Russo Giuseppe"/>
    <x v="9"/>
    <n v="0"/>
    <s v="Product QOGNU"/>
    <x v="6"/>
    <x v="206"/>
    <d v="2007-04-24T00:00:00"/>
    <x v="1"/>
    <s v="Destination RNSMS"/>
    <x v="1"/>
    <s v="Supplier UNAHG"/>
    <s v="Brazil"/>
    <x v="1"/>
    <n v="38.25"/>
  </r>
  <r>
    <n v="10512"/>
    <n v="46"/>
    <n v="12"/>
    <n v="9"/>
    <n v="0.15"/>
    <s v="Russo, Giuseppe"/>
    <s v="Russo Giuseppe"/>
    <x v="9"/>
    <n v="0"/>
    <s v="Product CBRRL"/>
    <x v="3"/>
    <x v="206"/>
    <d v="2007-04-24T00:00:00"/>
    <x v="1"/>
    <s v="Destination RNSMS"/>
    <x v="1"/>
    <s v="Supplier XOXZA"/>
    <s v="Denmark"/>
    <x v="1"/>
    <n v="91.8"/>
  </r>
  <r>
    <n v="10512"/>
    <n v="47"/>
    <n v="9.5"/>
    <n v="6"/>
    <n v="0.15"/>
    <s v="Russo, Giuseppe"/>
    <s v="Russo Giuseppe"/>
    <x v="9"/>
    <n v="0"/>
    <s v="Product EZZPR"/>
    <x v="5"/>
    <x v="206"/>
    <d v="2007-04-24T00:00:00"/>
    <x v="1"/>
    <s v="Destination RNSMS"/>
    <x v="1"/>
    <s v="Supplier FNUXM"/>
    <s v="Netherlands"/>
    <x v="1"/>
    <n v="48.449999999999996"/>
  </r>
  <r>
    <n v="10512"/>
    <n v="60"/>
    <n v="34"/>
    <n v="12"/>
    <n v="0.15"/>
    <s v="Russo, Giuseppe"/>
    <s v="Russo Giuseppe"/>
    <x v="9"/>
    <n v="0"/>
    <s v="Product WHBYK"/>
    <x v="0"/>
    <x v="206"/>
    <d v="2007-04-24T00:00:00"/>
    <x v="1"/>
    <s v="Destination RNSMS"/>
    <x v="1"/>
    <s v="Supplier OAVQT"/>
    <s v="France"/>
    <x v="1"/>
    <n v="346.8"/>
  </r>
  <r>
    <n v="10513"/>
    <n v="21"/>
    <n v="10"/>
    <n v="40"/>
    <n v="0.2"/>
    <s v="Syamala, Manoj"/>
    <s v="Syamala Manoj"/>
    <x v="9"/>
    <n v="0"/>
    <s v="Product VJZZH"/>
    <x v="5"/>
    <x v="207"/>
    <d v="2007-04-28T00:00:00"/>
    <x v="2"/>
    <s v="Ship to 86-A"/>
    <x v="8"/>
    <s v="Supplier BWGYE"/>
    <s v="UK"/>
    <x v="2"/>
    <n v="320"/>
  </r>
  <r>
    <n v="10513"/>
    <n v="32"/>
    <n v="32"/>
    <n v="50"/>
    <n v="0.2"/>
    <s v="Syamala, Manoj"/>
    <s v="Syamala Manoj"/>
    <x v="9"/>
    <n v="0"/>
    <s v="Product NUNAW"/>
    <x v="0"/>
    <x v="207"/>
    <d v="2007-04-28T00:00:00"/>
    <x v="2"/>
    <s v="Ship to 86-A"/>
    <x v="8"/>
    <s v="Supplier KEREV"/>
    <s v="Italy"/>
    <x v="2"/>
    <n v="1280"/>
  </r>
  <r>
    <n v="10513"/>
    <n v="61"/>
    <n v="28.5"/>
    <n v="15"/>
    <n v="0.2"/>
    <s v="Syamala, Manoj"/>
    <s v="Syamala Manoj"/>
    <x v="9"/>
    <n v="0"/>
    <s v="Product XYZPE"/>
    <x v="4"/>
    <x v="207"/>
    <d v="2007-04-28T00:00:00"/>
    <x v="2"/>
    <s v="Ship to 86-A"/>
    <x v="8"/>
    <s v="Supplier OGLRK"/>
    <s v="Canada"/>
    <x v="2"/>
    <n v="342"/>
  </r>
  <r>
    <n v="10514"/>
    <n v="20"/>
    <n v="81"/>
    <n v="39"/>
    <n v="0"/>
    <s v="Kane, John"/>
    <s v="Kane John"/>
    <x v="2"/>
    <s v="WA"/>
    <s v="Product QHFFP"/>
    <x v="5"/>
    <x v="207"/>
    <d v="2007-05-16T00:00:00"/>
    <x v="1"/>
    <s v="Destination CUVPF"/>
    <x v="6"/>
    <s v="Supplier BWGYE"/>
    <s v="UK"/>
    <x v="2"/>
    <n v="3159"/>
  </r>
  <r>
    <n v="10514"/>
    <n v="28"/>
    <n v="45.6"/>
    <n v="35"/>
    <n v="0"/>
    <s v="Kane, John"/>
    <s v="Kane John"/>
    <x v="2"/>
    <s v="WA"/>
    <s v="Product OFBNT"/>
    <x v="2"/>
    <x v="207"/>
    <d v="2007-05-16T00:00:00"/>
    <x v="1"/>
    <s v="Destination CUVPF"/>
    <x v="6"/>
    <s v="Supplier SVIYA"/>
    <s v="Germany"/>
    <x v="2"/>
    <n v="1596"/>
  </r>
  <r>
    <n v="10514"/>
    <n v="56"/>
    <n v="38"/>
    <n v="70"/>
    <n v="0"/>
    <s v="Kane, John"/>
    <s v="Kane John"/>
    <x v="2"/>
    <s v="WA"/>
    <s v="Product VKCMF"/>
    <x v="1"/>
    <x v="207"/>
    <d v="2007-05-16T00:00:00"/>
    <x v="1"/>
    <s v="Destination CUVPF"/>
    <x v="6"/>
    <s v="Supplier ZWZDM"/>
    <s v="Italy"/>
    <x v="2"/>
    <n v="2660"/>
  </r>
  <r>
    <n v="10514"/>
    <n v="65"/>
    <n v="21.05"/>
    <n v="39"/>
    <n v="0"/>
    <s v="Kane, John"/>
    <s v="Kane John"/>
    <x v="2"/>
    <s v="WA"/>
    <s v="Product XYWBZ"/>
    <x v="4"/>
    <x v="207"/>
    <d v="2007-05-16T00:00:00"/>
    <x v="1"/>
    <s v="Destination CUVPF"/>
    <x v="6"/>
    <s v="Supplier VHQZD"/>
    <s v="USA"/>
    <x v="2"/>
    <n v="820.95"/>
  </r>
  <r>
    <n v="10514"/>
    <n v="75"/>
    <n v="7.75"/>
    <n v="50"/>
    <n v="0"/>
    <s v="Kane, John"/>
    <s v="Kane John"/>
    <x v="2"/>
    <s v="WA"/>
    <s v="Product BWRLG"/>
    <x v="6"/>
    <x v="207"/>
    <d v="2007-05-16T00:00:00"/>
    <x v="1"/>
    <s v="Destination CUVPF"/>
    <x v="6"/>
    <s v="Supplier SVIYA"/>
    <s v="Germany"/>
    <x v="2"/>
    <n v="387.5"/>
  </r>
  <r>
    <n v="10515"/>
    <n v="9"/>
    <n v="97"/>
    <n v="16"/>
    <n v="0.15"/>
    <s v="Veronesi, Giorgio"/>
    <s v="Veronesi Giorgio"/>
    <x v="8"/>
    <s v="WA"/>
    <s v="Product AOZBW"/>
    <x v="7"/>
    <x v="208"/>
    <d v="2007-05-23T00:00:00"/>
    <x v="2"/>
    <s v="Ship to 63-B"/>
    <x v="8"/>
    <s v="Supplier QOVFD"/>
    <s v="Japan"/>
    <x v="2"/>
    <n v="1319.2"/>
  </r>
  <r>
    <n v="10515"/>
    <n v="16"/>
    <n v="17.45"/>
    <n v="50"/>
    <n v="0"/>
    <s v="Veronesi, Giorgio"/>
    <s v="Veronesi Giorgio"/>
    <x v="8"/>
    <s v="WA"/>
    <s v="Product PAFRH"/>
    <x v="5"/>
    <x v="208"/>
    <d v="2007-05-23T00:00:00"/>
    <x v="2"/>
    <s v="Ship to 63-B"/>
    <x v="8"/>
    <s v="Supplier GQRCV"/>
    <s v="Australia"/>
    <x v="2"/>
    <n v="872.5"/>
  </r>
  <r>
    <n v="10515"/>
    <n v="27"/>
    <n v="43.9"/>
    <n v="120"/>
    <n v="0"/>
    <s v="Veronesi, Giorgio"/>
    <s v="Veronesi Giorgio"/>
    <x v="8"/>
    <s v="WA"/>
    <s v="Product SMIOH"/>
    <x v="5"/>
    <x v="208"/>
    <d v="2007-05-23T00:00:00"/>
    <x v="2"/>
    <s v="Ship to 63-B"/>
    <x v="8"/>
    <s v="Supplier ZPYVS"/>
    <s v="Germany"/>
    <x v="2"/>
    <n v="5268"/>
  </r>
  <r>
    <n v="10515"/>
    <n v="33"/>
    <n v="2.5"/>
    <n v="16"/>
    <n v="0.15"/>
    <s v="Veronesi, Giorgio"/>
    <s v="Veronesi Giorgio"/>
    <x v="8"/>
    <s v="WA"/>
    <s v="Product ASTMN"/>
    <x v="0"/>
    <x v="208"/>
    <d v="2007-05-23T00:00:00"/>
    <x v="2"/>
    <s v="Ship to 63-B"/>
    <x v="8"/>
    <s v="Supplier NZLIF"/>
    <s v="Norway"/>
    <x v="2"/>
    <n v="34"/>
  </r>
  <r>
    <n v="10515"/>
    <n v="60"/>
    <n v="34"/>
    <n v="84"/>
    <n v="0.15"/>
    <s v="Veronesi, Giorgio"/>
    <s v="Veronesi Giorgio"/>
    <x v="8"/>
    <s v="WA"/>
    <s v="Product WHBYK"/>
    <x v="0"/>
    <x v="208"/>
    <d v="2007-05-23T00:00:00"/>
    <x v="2"/>
    <s v="Ship to 63-B"/>
    <x v="8"/>
    <s v="Supplier OAVQT"/>
    <s v="France"/>
    <x v="2"/>
    <n v="2427.6"/>
  </r>
  <r>
    <n v="10516"/>
    <n v="18"/>
    <n v="62.5"/>
    <n v="25"/>
    <n v="0.1"/>
    <s v="Crăciun, Ovidiu V."/>
    <s v="Crăciun Ovidiu V."/>
    <x v="8"/>
    <s v="WA"/>
    <s v="Product CKEDC"/>
    <x v="3"/>
    <x v="209"/>
    <d v="2007-05-01T00:00:00"/>
    <x v="3"/>
    <s v="Destination DGKOU"/>
    <x v="15"/>
    <s v="Supplier GQRCV"/>
    <s v="Australia"/>
    <x v="1"/>
    <n v="1406.25"/>
  </r>
  <r>
    <n v="10516"/>
    <n v="41"/>
    <n v="9.65"/>
    <n v="80"/>
    <n v="0.1"/>
    <s v="Crăciun, Ovidiu V."/>
    <s v="Crăciun Ovidiu V."/>
    <x v="8"/>
    <s v="WA"/>
    <s v="Product TTEEX"/>
    <x v="3"/>
    <x v="209"/>
    <d v="2007-05-01T00:00:00"/>
    <x v="3"/>
    <s v="Destination DGKOU"/>
    <x v="15"/>
    <s v="Supplier JDNUG"/>
    <s v="USA"/>
    <x v="1"/>
    <n v="694.80000000000007"/>
  </r>
  <r>
    <n v="10516"/>
    <n v="42"/>
    <n v="14"/>
    <n v="20"/>
    <n v="0"/>
    <s v="Crăciun, Ovidiu V."/>
    <s v="Crăciun Ovidiu V."/>
    <x v="8"/>
    <s v="WA"/>
    <s v="Product RJVNM"/>
    <x v="1"/>
    <x v="209"/>
    <d v="2007-05-01T00:00:00"/>
    <x v="3"/>
    <s v="Destination DGKOU"/>
    <x v="15"/>
    <s v="Supplier CIYNM"/>
    <s v="Singapore"/>
    <x v="1"/>
    <n v="280"/>
  </r>
  <r>
    <n v="10517"/>
    <n v="52"/>
    <n v="7"/>
    <n v="6"/>
    <n v="0"/>
    <s v="Mallit, Ken"/>
    <s v="Mallit Ken"/>
    <x v="2"/>
    <s v="WA"/>
    <s v="Product QSRXF"/>
    <x v="1"/>
    <x v="209"/>
    <d v="2007-04-29T00:00:00"/>
    <x v="3"/>
    <s v="Ship to 53-A"/>
    <x v="14"/>
    <s v="Supplier JNNES"/>
    <s v="Australia"/>
    <x v="1"/>
    <n v="42"/>
  </r>
  <r>
    <n v="10517"/>
    <n v="59"/>
    <n v="55"/>
    <n v="4"/>
    <n v="0"/>
    <s v="Mallit, Ken"/>
    <s v="Mallit Ken"/>
    <x v="2"/>
    <s v="WA"/>
    <s v="Product UKXRI"/>
    <x v="0"/>
    <x v="209"/>
    <d v="2007-04-29T00:00:00"/>
    <x v="3"/>
    <s v="Ship to 53-A"/>
    <x v="14"/>
    <s v="Supplier OAVQT"/>
    <s v="France"/>
    <x v="1"/>
    <n v="220"/>
  </r>
  <r>
    <n v="10517"/>
    <n v="70"/>
    <n v="15"/>
    <n v="6"/>
    <n v="0"/>
    <s v="Mallit, Ken"/>
    <s v="Mallit Ken"/>
    <x v="2"/>
    <s v="WA"/>
    <s v="Product TOONT"/>
    <x v="6"/>
    <x v="209"/>
    <d v="2007-04-29T00:00:00"/>
    <x v="3"/>
    <s v="Ship to 53-A"/>
    <x v="14"/>
    <s v="Supplier GQRCV"/>
    <s v="Australia"/>
    <x v="1"/>
    <n v="90"/>
  </r>
  <r>
    <n v="10518"/>
    <n v="24"/>
    <n v="4.5"/>
    <n v="5"/>
    <n v="0"/>
    <s v="Geschwandtner, Jens"/>
    <s v="Geschwandtner Jens"/>
    <x v="1"/>
    <s v="WA"/>
    <s v="Product QOGNU"/>
    <x v="6"/>
    <x v="210"/>
    <d v="2007-05-05T00:00:00"/>
    <x v="1"/>
    <s v="Ship to 80-B"/>
    <x v="7"/>
    <s v="Supplier UNAHG"/>
    <s v="Brazil"/>
    <x v="2"/>
    <n v="22.5"/>
  </r>
  <r>
    <n v="10518"/>
    <n v="38"/>
    <n v="263.5"/>
    <n v="15"/>
    <n v="0"/>
    <s v="Geschwandtner, Jens"/>
    <s v="Geschwandtner Jens"/>
    <x v="1"/>
    <s v="WA"/>
    <s v="Product QDOMO"/>
    <x v="6"/>
    <x v="210"/>
    <d v="2007-05-05T00:00:00"/>
    <x v="1"/>
    <s v="Ship to 80-B"/>
    <x v="7"/>
    <s v="Supplier LVJUA"/>
    <s v="France"/>
    <x v="2"/>
    <n v="3952.5"/>
  </r>
  <r>
    <n v="10518"/>
    <n v="44"/>
    <n v="19.45"/>
    <n v="9"/>
    <n v="0"/>
    <s v="Geschwandtner, Jens"/>
    <s v="Geschwandtner Jens"/>
    <x v="1"/>
    <s v="WA"/>
    <s v="Product VJIEO"/>
    <x v="4"/>
    <x v="210"/>
    <d v="2007-05-05T00:00:00"/>
    <x v="1"/>
    <s v="Ship to 80-B"/>
    <x v="7"/>
    <s v="Supplier CIYNM"/>
    <s v="Singapore"/>
    <x v="2"/>
    <n v="175.04999999999998"/>
  </r>
  <r>
    <n v="10519"/>
    <n v="10"/>
    <n v="31"/>
    <n v="16"/>
    <n v="0.05"/>
    <s v="Jelitto, Jacek"/>
    <s v="Jelitto Jacek"/>
    <x v="7"/>
    <n v="0"/>
    <s v="Product YHXGE"/>
    <x v="3"/>
    <x v="211"/>
    <d v="2007-05-01T00:00:00"/>
    <x v="3"/>
    <s v="Destination NRTZZ"/>
    <x v="4"/>
    <s v="Supplier QOVFD"/>
    <s v="Japan"/>
    <x v="1"/>
    <n v="471.2"/>
  </r>
  <r>
    <n v="10519"/>
    <n v="56"/>
    <n v="38"/>
    <n v="40"/>
    <n v="0"/>
    <s v="Jelitto, Jacek"/>
    <s v="Jelitto Jacek"/>
    <x v="7"/>
    <n v="0"/>
    <s v="Product VKCMF"/>
    <x v="1"/>
    <x v="211"/>
    <d v="2007-05-01T00:00:00"/>
    <x v="3"/>
    <s v="Destination NRTZZ"/>
    <x v="4"/>
    <s v="Supplier ZWZDM"/>
    <s v="Italy"/>
    <x v="1"/>
    <n v="1520"/>
  </r>
  <r>
    <n v="10519"/>
    <n v="60"/>
    <n v="34"/>
    <n v="10"/>
    <n v="0.05"/>
    <s v="Jelitto, Jacek"/>
    <s v="Jelitto Jacek"/>
    <x v="7"/>
    <n v="0"/>
    <s v="Product WHBYK"/>
    <x v="0"/>
    <x v="211"/>
    <d v="2007-05-01T00:00:00"/>
    <x v="3"/>
    <s v="Destination NRTZZ"/>
    <x v="4"/>
    <s v="Supplier OAVQT"/>
    <s v="France"/>
    <x v="1"/>
    <n v="323"/>
  </r>
  <r>
    <n v="10520"/>
    <n v="24"/>
    <n v="4.5"/>
    <n v="8"/>
    <n v="0"/>
    <s v="Ginters, Kaspars"/>
    <s v="Ginters Kaspars"/>
    <x v="9"/>
    <n v="0"/>
    <s v="Product QOGNU"/>
    <x v="6"/>
    <x v="212"/>
    <d v="2007-05-01T00:00:00"/>
    <x v="2"/>
    <s v="Ship to 70-B"/>
    <x v="20"/>
    <s v="Supplier UNAHG"/>
    <s v="Brazil"/>
    <x v="1"/>
    <n v="36"/>
  </r>
  <r>
    <n v="10520"/>
    <n v="53"/>
    <n v="32.799999999999997"/>
    <n v="5"/>
    <n v="0"/>
    <s v="Ginters, Kaspars"/>
    <s v="Ginters Kaspars"/>
    <x v="9"/>
    <n v="0"/>
    <s v="Product BKGEA"/>
    <x v="7"/>
    <x v="212"/>
    <d v="2007-05-01T00:00:00"/>
    <x v="2"/>
    <s v="Ship to 70-B"/>
    <x v="20"/>
    <s v="Supplier JNNES"/>
    <s v="Australia"/>
    <x v="1"/>
    <n v="164"/>
  </r>
  <r>
    <n v="10521"/>
    <n v="35"/>
    <n v="18"/>
    <n v="3"/>
    <n v="0"/>
    <s v="Ray, Mike"/>
    <s v="Ray Mike"/>
    <x v="6"/>
    <s v="WA"/>
    <s v="Product NEVTJ"/>
    <x v="6"/>
    <x v="212"/>
    <d v="2007-05-02T00:00:00"/>
    <x v="1"/>
    <s v="Destination QTHBC"/>
    <x v="21"/>
    <s v="Supplier UHZRG"/>
    <s v="USA"/>
    <x v="1"/>
    <n v="54"/>
  </r>
  <r>
    <n v="10521"/>
    <n v="41"/>
    <n v="9.65"/>
    <n v="10"/>
    <n v="0"/>
    <s v="Ray, Mike"/>
    <s v="Ray Mike"/>
    <x v="6"/>
    <s v="WA"/>
    <s v="Product TTEEX"/>
    <x v="3"/>
    <x v="212"/>
    <d v="2007-05-02T00:00:00"/>
    <x v="1"/>
    <s v="Destination QTHBC"/>
    <x v="21"/>
    <s v="Supplier JDNUG"/>
    <s v="USA"/>
    <x v="1"/>
    <n v="96.5"/>
  </r>
  <r>
    <n v="10521"/>
    <n v="68"/>
    <n v="12.5"/>
    <n v="6"/>
    <n v="0"/>
    <s v="Ray, Mike"/>
    <s v="Ray Mike"/>
    <x v="6"/>
    <s v="WA"/>
    <s v="Product TBTBL"/>
    <x v="5"/>
    <x v="212"/>
    <d v="2007-05-02T00:00:00"/>
    <x v="1"/>
    <s v="Destination QTHBC"/>
    <x v="21"/>
    <s v="Supplier BWGYE"/>
    <s v="UK"/>
    <x v="1"/>
    <n v="75"/>
  </r>
  <r>
    <n v="10522"/>
    <n v="1"/>
    <n v="18"/>
    <n v="40"/>
    <n v="0.2"/>
    <s v="Louverdis, George"/>
    <s v="Louverdis George"/>
    <x v="1"/>
    <s v="WA"/>
    <s v="Product HHYDP"/>
    <x v="6"/>
    <x v="213"/>
    <d v="2007-05-06T00:00:00"/>
    <x v="2"/>
    <s v="Ship to 44-A"/>
    <x v="8"/>
    <s v="Supplier SWRXU"/>
    <s v="UK"/>
    <x v="1"/>
    <n v="576"/>
  </r>
  <r>
    <n v="10522"/>
    <n v="8"/>
    <n v="40"/>
    <n v="24"/>
    <n v="0"/>
    <s v="Louverdis, George"/>
    <s v="Louverdis George"/>
    <x v="1"/>
    <s v="WA"/>
    <s v="Product WVJFP"/>
    <x v="4"/>
    <x v="213"/>
    <d v="2007-05-06T00:00:00"/>
    <x v="2"/>
    <s v="Ship to 44-A"/>
    <x v="8"/>
    <s v="Supplier STUAZ"/>
    <s v="USA"/>
    <x v="1"/>
    <n v="960"/>
  </r>
  <r>
    <n v="10522"/>
    <n v="30"/>
    <n v="25.89"/>
    <n v="20"/>
    <n v="0.2"/>
    <s v="Louverdis, George"/>
    <s v="Louverdis George"/>
    <x v="1"/>
    <s v="WA"/>
    <s v="Product LYERX"/>
    <x v="3"/>
    <x v="213"/>
    <d v="2007-05-06T00:00:00"/>
    <x v="2"/>
    <s v="Ship to 44-A"/>
    <x v="8"/>
    <s v="Supplier TEGSC"/>
    <s v="Germany"/>
    <x v="1"/>
    <n v="414.24"/>
  </r>
  <r>
    <n v="10522"/>
    <n v="40"/>
    <n v="18.399999999999999"/>
    <n v="25"/>
    <n v="0.2"/>
    <s v="Louverdis, George"/>
    <s v="Louverdis George"/>
    <x v="1"/>
    <s v="WA"/>
    <s v="Product YZIXQ"/>
    <x v="3"/>
    <x v="213"/>
    <d v="2007-05-06T00:00:00"/>
    <x v="2"/>
    <s v="Ship to 44-A"/>
    <x v="8"/>
    <s v="Supplier JDNUG"/>
    <s v="USA"/>
    <x v="1"/>
    <n v="368"/>
  </r>
  <r>
    <n v="10523"/>
    <n v="17"/>
    <n v="39"/>
    <n v="25"/>
    <n v="0.1"/>
    <s v="Welcker, Brian"/>
    <s v="Welcker Brian"/>
    <x v="9"/>
    <n v="0"/>
    <s v="Product BLCAX"/>
    <x v="7"/>
    <x v="214"/>
    <d v="2007-05-30T00:00:00"/>
    <x v="1"/>
    <s v="Ship to 72-C"/>
    <x v="14"/>
    <s v="Supplier GQRCV"/>
    <s v="Australia"/>
    <x v="1"/>
    <n v="877.5"/>
  </r>
  <r>
    <n v="10523"/>
    <n v="20"/>
    <n v="81"/>
    <n v="15"/>
    <n v="0.1"/>
    <s v="Welcker, Brian"/>
    <s v="Welcker Brian"/>
    <x v="9"/>
    <n v="0"/>
    <s v="Product QHFFP"/>
    <x v="5"/>
    <x v="214"/>
    <d v="2007-05-30T00:00:00"/>
    <x v="1"/>
    <s v="Ship to 72-C"/>
    <x v="14"/>
    <s v="Supplier BWGYE"/>
    <s v="UK"/>
    <x v="1"/>
    <n v="1093.5"/>
  </r>
  <r>
    <n v="10523"/>
    <n v="37"/>
    <n v="26"/>
    <n v="18"/>
    <n v="0.1"/>
    <s v="Welcker, Brian"/>
    <s v="Welcker Brian"/>
    <x v="9"/>
    <n v="0"/>
    <s v="Product EVFFA"/>
    <x v="3"/>
    <x v="214"/>
    <d v="2007-05-30T00:00:00"/>
    <x v="1"/>
    <s v="Ship to 72-C"/>
    <x v="14"/>
    <s v="Supplier QZGUF"/>
    <s v="Sweden"/>
    <x v="1"/>
    <n v="421.2"/>
  </r>
  <r>
    <n v="10523"/>
    <n v="41"/>
    <n v="9.65"/>
    <n v="6"/>
    <n v="0.1"/>
    <s v="Welcker, Brian"/>
    <s v="Welcker Brian"/>
    <x v="9"/>
    <n v="0"/>
    <s v="Product TTEEX"/>
    <x v="3"/>
    <x v="214"/>
    <d v="2007-05-30T00:00:00"/>
    <x v="1"/>
    <s v="Ship to 72-C"/>
    <x v="14"/>
    <s v="Supplier JDNUG"/>
    <s v="USA"/>
    <x v="1"/>
    <n v="52.110000000000007"/>
  </r>
  <r>
    <n v="10524"/>
    <n v="10"/>
    <n v="31"/>
    <n v="2"/>
    <n v="0"/>
    <s v="Higginbotham, Tom"/>
    <s v="Higginbotham Tom"/>
    <x v="5"/>
    <s v="WA"/>
    <s v="Product YHXGE"/>
    <x v="3"/>
    <x v="214"/>
    <d v="2007-05-07T00:00:00"/>
    <x v="1"/>
    <s v="Ship to 5-A"/>
    <x v="10"/>
    <s v="Supplier QOVFD"/>
    <s v="Japan"/>
    <x v="2"/>
    <n v="62"/>
  </r>
  <r>
    <n v="10524"/>
    <n v="30"/>
    <n v="25.89"/>
    <n v="10"/>
    <n v="0"/>
    <s v="Higginbotham, Tom"/>
    <s v="Higginbotham Tom"/>
    <x v="5"/>
    <s v="WA"/>
    <s v="Product LYERX"/>
    <x v="3"/>
    <x v="214"/>
    <d v="2007-05-07T00:00:00"/>
    <x v="1"/>
    <s v="Ship to 5-A"/>
    <x v="10"/>
    <s v="Supplier TEGSC"/>
    <s v="Germany"/>
    <x v="2"/>
    <n v="258.89999999999998"/>
  </r>
  <r>
    <n v="10524"/>
    <n v="43"/>
    <n v="46"/>
    <n v="60"/>
    <n v="0"/>
    <s v="Higginbotham, Tom"/>
    <s v="Higginbotham Tom"/>
    <x v="5"/>
    <s v="WA"/>
    <s v="Product ZZZHR"/>
    <x v="6"/>
    <x v="214"/>
    <d v="2007-05-07T00:00:00"/>
    <x v="1"/>
    <s v="Ship to 5-A"/>
    <x v="10"/>
    <s v="Supplier CIYNM"/>
    <s v="Singapore"/>
    <x v="2"/>
    <n v="2760"/>
  </r>
  <r>
    <n v="10524"/>
    <n v="54"/>
    <n v="7.45"/>
    <n v="15"/>
    <n v="0"/>
    <s v="Higginbotham, Tom"/>
    <s v="Higginbotham Tom"/>
    <x v="5"/>
    <s v="WA"/>
    <s v="Product QAQRL"/>
    <x v="7"/>
    <x v="214"/>
    <d v="2007-05-07T00:00:00"/>
    <x v="1"/>
    <s v="Ship to 5-A"/>
    <x v="10"/>
    <s v="Supplier ERVYZ"/>
    <s v="Canada"/>
    <x v="2"/>
    <n v="111.75"/>
  </r>
  <r>
    <n v="10525"/>
    <n v="36"/>
    <n v="19"/>
    <n v="30"/>
    <n v="0"/>
    <s v="Raghav, Amritansh"/>
    <s v="Raghav Amritansh"/>
    <x v="5"/>
    <s v="WA"/>
    <s v="Product GMKIJ"/>
    <x v="3"/>
    <x v="215"/>
    <d v="2007-05-23T00:00:00"/>
    <x v="1"/>
    <s v="Ship to 9-B"/>
    <x v="2"/>
    <s v="Supplier QZGUF"/>
    <s v="Sweden"/>
    <x v="1"/>
    <n v="570"/>
  </r>
  <r>
    <n v="10525"/>
    <n v="40"/>
    <n v="18.399999999999999"/>
    <n v="15"/>
    <n v="0.1"/>
    <s v="Raghav, Amritansh"/>
    <s v="Raghav Amritansh"/>
    <x v="5"/>
    <s v="WA"/>
    <s v="Product YZIXQ"/>
    <x v="3"/>
    <x v="215"/>
    <d v="2007-05-23T00:00:00"/>
    <x v="1"/>
    <s v="Ship to 9-B"/>
    <x v="2"/>
    <s v="Supplier JDNUG"/>
    <s v="USA"/>
    <x v="1"/>
    <n v="248.4"/>
  </r>
  <r>
    <n v="10526"/>
    <n v="1"/>
    <n v="18"/>
    <n v="8"/>
    <n v="0.15"/>
    <s v="Ludwig, Michael"/>
    <s v="Ludwig Michael"/>
    <x v="1"/>
    <s v="WA"/>
    <s v="Product HHYDP"/>
    <x v="6"/>
    <x v="216"/>
    <d v="2007-05-15T00:00:00"/>
    <x v="1"/>
    <s v="Ship to 87-C"/>
    <x v="11"/>
    <s v="Supplier SWRXU"/>
    <s v="UK"/>
    <x v="1"/>
    <n v="122.39999999999999"/>
  </r>
  <r>
    <n v="10526"/>
    <n v="13"/>
    <n v="6"/>
    <n v="10"/>
    <n v="0"/>
    <s v="Ludwig, Michael"/>
    <s v="Ludwig Michael"/>
    <x v="1"/>
    <s v="WA"/>
    <s v="Product POXFU"/>
    <x v="3"/>
    <x v="216"/>
    <d v="2007-05-15T00:00:00"/>
    <x v="1"/>
    <s v="Ship to 87-C"/>
    <x v="11"/>
    <s v="Supplier QWUSF"/>
    <s v="Japan"/>
    <x v="1"/>
    <n v="60"/>
  </r>
  <r>
    <n v="10526"/>
    <n v="56"/>
    <n v="38"/>
    <n v="30"/>
    <n v="0.15"/>
    <s v="Ludwig, Michael"/>
    <s v="Ludwig Michael"/>
    <x v="1"/>
    <s v="WA"/>
    <s v="Product VKCMF"/>
    <x v="1"/>
    <x v="216"/>
    <d v="2007-05-15T00:00:00"/>
    <x v="1"/>
    <s v="Ship to 87-C"/>
    <x v="11"/>
    <s v="Supplier ZWZDM"/>
    <s v="Italy"/>
    <x v="1"/>
    <n v="969"/>
  </r>
  <r>
    <n v="10527"/>
    <n v="4"/>
    <n v="22"/>
    <n v="50"/>
    <n v="0.1"/>
    <s v="Veronesi, Giorgio"/>
    <s v="Veronesi Giorgio"/>
    <x v="9"/>
    <n v="0"/>
    <s v="Product KSBRM"/>
    <x v="4"/>
    <x v="216"/>
    <d v="2007-05-07T00:00:00"/>
    <x v="2"/>
    <s v="Ship to 63-B"/>
    <x v="8"/>
    <s v="Supplier VHQZD"/>
    <s v="USA"/>
    <x v="1"/>
    <n v="990"/>
  </r>
  <r>
    <n v="10527"/>
    <n v="36"/>
    <n v="19"/>
    <n v="30"/>
    <n v="0.1"/>
    <s v="Veronesi, Giorgio"/>
    <s v="Veronesi Giorgio"/>
    <x v="9"/>
    <n v="0"/>
    <s v="Product GMKIJ"/>
    <x v="3"/>
    <x v="216"/>
    <d v="2007-05-07T00:00:00"/>
    <x v="2"/>
    <s v="Ship to 63-B"/>
    <x v="8"/>
    <s v="Supplier QZGUF"/>
    <s v="Sweden"/>
    <x v="1"/>
    <n v="513"/>
  </r>
  <r>
    <n v="10528"/>
    <n v="11"/>
    <n v="21"/>
    <n v="3"/>
    <n v="0"/>
    <s v="Krishnan, Venky"/>
    <s v="Krishnan Venky"/>
    <x v="7"/>
    <n v="0"/>
    <s v="Product QMVUN"/>
    <x v="0"/>
    <x v="217"/>
    <d v="2007-05-09T00:00:00"/>
    <x v="1"/>
    <s v="Destination LLUXZ"/>
    <x v="9"/>
    <s v="Supplier EQPNC"/>
    <s v="Spain"/>
    <x v="1"/>
    <n v="63"/>
  </r>
  <r>
    <n v="10528"/>
    <n v="33"/>
    <n v="2.5"/>
    <n v="8"/>
    <n v="0.2"/>
    <s v="Krishnan, Venky"/>
    <s v="Krishnan Venky"/>
    <x v="7"/>
    <n v="0"/>
    <s v="Product ASTMN"/>
    <x v="0"/>
    <x v="217"/>
    <d v="2007-05-09T00:00:00"/>
    <x v="1"/>
    <s v="Destination LLUXZ"/>
    <x v="9"/>
    <s v="Supplier NZLIF"/>
    <s v="Norway"/>
    <x v="1"/>
    <n v="16"/>
  </r>
  <r>
    <n v="10528"/>
    <n v="72"/>
    <n v="34.799999999999997"/>
    <n v="9"/>
    <n v="0"/>
    <s v="Krishnan, Venky"/>
    <s v="Krishnan Venky"/>
    <x v="7"/>
    <n v="0"/>
    <s v="Product GEEOO"/>
    <x v="0"/>
    <x v="217"/>
    <d v="2007-05-09T00:00:00"/>
    <x v="1"/>
    <s v="Destination LLUXZ"/>
    <x v="9"/>
    <s v="Supplier KEREV"/>
    <s v="Italy"/>
    <x v="1"/>
    <n v="313.2"/>
  </r>
  <r>
    <n v="10529"/>
    <n v="55"/>
    <n v="24"/>
    <n v="14"/>
    <n v="0"/>
    <s v="Mace, Donald"/>
    <s v="Mace Donald"/>
    <x v="3"/>
    <n v="0"/>
    <s v="Product YYWRT"/>
    <x v="7"/>
    <x v="218"/>
    <d v="2007-05-09T00:00:00"/>
    <x v="1"/>
    <s v="Ship to 50-B"/>
    <x v="3"/>
    <s v="Supplier ERVYZ"/>
    <s v="Canada"/>
    <x v="1"/>
    <n v="336"/>
  </r>
  <r>
    <n v="10529"/>
    <n v="68"/>
    <n v="12.5"/>
    <n v="20"/>
    <n v="0"/>
    <s v="Mace, Donald"/>
    <s v="Mace Donald"/>
    <x v="3"/>
    <n v="0"/>
    <s v="Product TBTBL"/>
    <x v="5"/>
    <x v="218"/>
    <d v="2007-05-09T00:00:00"/>
    <x v="1"/>
    <s v="Ship to 50-B"/>
    <x v="3"/>
    <s v="Supplier BWGYE"/>
    <s v="UK"/>
    <x v="1"/>
    <n v="250"/>
  </r>
  <r>
    <n v="10529"/>
    <n v="69"/>
    <n v="36"/>
    <n v="10"/>
    <n v="0"/>
    <s v="Mace, Donald"/>
    <s v="Mace Donald"/>
    <x v="3"/>
    <n v="0"/>
    <s v="Product COAXA"/>
    <x v="0"/>
    <x v="218"/>
    <d v="2007-05-09T00:00:00"/>
    <x v="1"/>
    <s v="Ship to 50-B"/>
    <x v="3"/>
    <s v="Supplier NZLIF"/>
    <s v="Norway"/>
    <x v="1"/>
    <n v="360"/>
  </r>
  <r>
    <n v="10530"/>
    <n v="17"/>
    <n v="39"/>
    <n v="40"/>
    <n v="0"/>
    <s v="Meston, Tosh"/>
    <s v="Meston Tosh"/>
    <x v="2"/>
    <s v="WA"/>
    <s v="Product BLCAX"/>
    <x v="7"/>
    <x v="219"/>
    <d v="2007-05-12T00:00:00"/>
    <x v="1"/>
    <s v="Ship to 59-C"/>
    <x v="6"/>
    <s v="Supplier GQRCV"/>
    <s v="Australia"/>
    <x v="2"/>
    <n v="1560"/>
  </r>
  <r>
    <n v="10530"/>
    <n v="43"/>
    <n v="46"/>
    <n v="25"/>
    <n v="0"/>
    <s v="Meston, Tosh"/>
    <s v="Meston Tosh"/>
    <x v="2"/>
    <s v="WA"/>
    <s v="Product ZZZHR"/>
    <x v="6"/>
    <x v="219"/>
    <d v="2007-05-12T00:00:00"/>
    <x v="1"/>
    <s v="Ship to 59-C"/>
    <x v="6"/>
    <s v="Supplier CIYNM"/>
    <s v="Singapore"/>
    <x v="2"/>
    <n v="1150"/>
  </r>
  <r>
    <n v="10530"/>
    <n v="61"/>
    <n v="28.5"/>
    <n v="20"/>
    <n v="0"/>
    <s v="Meston, Tosh"/>
    <s v="Meston Tosh"/>
    <x v="2"/>
    <s v="WA"/>
    <s v="Product XYZPE"/>
    <x v="4"/>
    <x v="219"/>
    <d v="2007-05-12T00:00:00"/>
    <x v="1"/>
    <s v="Ship to 59-C"/>
    <x v="6"/>
    <s v="Supplier OGLRK"/>
    <s v="Canada"/>
    <x v="2"/>
    <n v="570"/>
  </r>
  <r>
    <n v="10530"/>
    <n v="76"/>
    <n v="18"/>
    <n v="50"/>
    <n v="0"/>
    <s v="Meston, Tosh"/>
    <s v="Meston Tosh"/>
    <x v="2"/>
    <s v="WA"/>
    <s v="Product JYGFE"/>
    <x v="6"/>
    <x v="219"/>
    <d v="2007-05-12T00:00:00"/>
    <x v="1"/>
    <s v="Ship to 59-C"/>
    <x v="6"/>
    <s v="Supplier ELCRN"/>
    <s v="Finland"/>
    <x v="2"/>
    <n v="900"/>
  </r>
  <r>
    <n v="10531"/>
    <n v="59"/>
    <n v="55"/>
    <n v="2"/>
    <n v="0"/>
    <s v="Tiano, Mike"/>
    <s v="Tiano Mike"/>
    <x v="9"/>
    <n v="0"/>
    <s v="Product UKXRI"/>
    <x v="0"/>
    <x v="219"/>
    <d v="2007-05-19T00:00:00"/>
    <x v="2"/>
    <s v="Ship to 54-A"/>
    <x v="21"/>
    <s v="Supplier OAVQT"/>
    <s v="France"/>
    <x v="1"/>
    <n v="110"/>
  </r>
  <r>
    <n v="10532"/>
    <n v="30"/>
    <n v="25.89"/>
    <n v="15"/>
    <n v="0"/>
    <s v="Boseman, Randall"/>
    <s v="Boseman Randall"/>
    <x v="9"/>
    <n v="0"/>
    <s v="Product LYERX"/>
    <x v="3"/>
    <x v="220"/>
    <d v="2007-05-12T00:00:00"/>
    <x v="3"/>
    <s v="Destination QTKCU"/>
    <x v="14"/>
    <s v="Supplier TEGSC"/>
    <s v="Germany"/>
    <x v="1"/>
    <n v="388.35"/>
  </r>
  <r>
    <n v="10532"/>
    <n v="66"/>
    <n v="17"/>
    <n v="24"/>
    <n v="0"/>
    <s v="Boseman, Randall"/>
    <s v="Boseman Randall"/>
    <x v="9"/>
    <n v="0"/>
    <s v="Product LQMGN"/>
    <x v="4"/>
    <x v="220"/>
    <d v="2007-05-12T00:00:00"/>
    <x v="3"/>
    <s v="Destination QTKCU"/>
    <x v="14"/>
    <s v="Supplier VHQZD"/>
    <s v="USA"/>
    <x v="1"/>
    <n v="408"/>
  </r>
  <r>
    <n v="10533"/>
    <n v="4"/>
    <n v="22"/>
    <n v="50"/>
    <n v="0.05"/>
    <s v="San Juan, Patricia"/>
    <s v="San Juan Patricia"/>
    <x v="6"/>
    <s v="WA"/>
    <s v="Product KSBRM"/>
    <x v="4"/>
    <x v="221"/>
    <d v="2007-05-22T00:00:00"/>
    <x v="2"/>
    <s v="Destination KBSBN"/>
    <x v="10"/>
    <s v="Supplier VHQZD"/>
    <s v="USA"/>
    <x v="2"/>
    <n v="1045"/>
  </r>
  <r>
    <n v="10533"/>
    <n v="72"/>
    <n v="34.799999999999997"/>
    <n v="24"/>
    <n v="0"/>
    <s v="San Juan, Patricia"/>
    <s v="San Juan Patricia"/>
    <x v="6"/>
    <s v="WA"/>
    <s v="Product GEEOO"/>
    <x v="0"/>
    <x v="221"/>
    <d v="2007-05-22T00:00:00"/>
    <x v="2"/>
    <s v="Destination KBSBN"/>
    <x v="10"/>
    <s v="Supplier KEREV"/>
    <s v="Italy"/>
    <x v="2"/>
    <n v="835.19999999999993"/>
  </r>
  <r>
    <n v="10533"/>
    <n v="73"/>
    <n v="15"/>
    <n v="24"/>
    <n v="0.05"/>
    <s v="San Juan, Patricia"/>
    <s v="San Juan Patricia"/>
    <x v="6"/>
    <s v="WA"/>
    <s v="Product WEUJZ"/>
    <x v="3"/>
    <x v="221"/>
    <d v="2007-05-22T00:00:00"/>
    <x v="2"/>
    <s v="Destination KBSBN"/>
    <x v="10"/>
    <s v="Supplier QZGUF"/>
    <s v="Sweden"/>
    <x v="2"/>
    <n v="342"/>
  </r>
  <r>
    <n v="10534"/>
    <n v="30"/>
    <n v="25.89"/>
    <n v="10"/>
    <n v="0"/>
    <s v="Louverdis, George"/>
    <s v="Louverdis George"/>
    <x v="6"/>
    <s v="WA"/>
    <s v="Product LYERX"/>
    <x v="3"/>
    <x v="221"/>
    <d v="2007-05-14T00:00:00"/>
    <x v="1"/>
    <s v="Ship to 44-A"/>
    <x v="8"/>
    <s v="Supplier TEGSC"/>
    <s v="Germany"/>
    <x v="1"/>
    <n v="258.89999999999998"/>
  </r>
  <r>
    <n v="10534"/>
    <n v="40"/>
    <n v="18.399999999999999"/>
    <n v="10"/>
    <n v="0.2"/>
    <s v="Louverdis, George"/>
    <s v="Louverdis George"/>
    <x v="6"/>
    <s v="WA"/>
    <s v="Product YZIXQ"/>
    <x v="3"/>
    <x v="221"/>
    <d v="2007-05-14T00:00:00"/>
    <x v="1"/>
    <s v="Ship to 44-A"/>
    <x v="8"/>
    <s v="Supplier JDNUG"/>
    <s v="USA"/>
    <x v="1"/>
    <n v="147.20000000000002"/>
  </r>
  <r>
    <n v="10534"/>
    <n v="54"/>
    <n v="7.45"/>
    <n v="10"/>
    <n v="0.2"/>
    <s v="Louverdis, George"/>
    <s v="Louverdis George"/>
    <x v="6"/>
    <s v="WA"/>
    <s v="Product QAQRL"/>
    <x v="7"/>
    <x v="221"/>
    <d v="2007-05-14T00:00:00"/>
    <x v="1"/>
    <s v="Ship to 44-A"/>
    <x v="8"/>
    <s v="Supplier ERVYZ"/>
    <s v="Canada"/>
    <x v="1"/>
    <n v="59.6"/>
  </r>
  <r>
    <n v="10535"/>
    <n v="11"/>
    <n v="21"/>
    <n v="50"/>
    <n v="0.1"/>
    <s v="Peoples, John"/>
    <s v="Peoples John"/>
    <x v="1"/>
    <s v="WA"/>
    <s v="Product QMVUN"/>
    <x v="0"/>
    <x v="222"/>
    <d v="2007-05-21T00:00:00"/>
    <x v="2"/>
    <s v="Destination FQFLS"/>
    <x v="7"/>
    <s v="Supplier EQPNC"/>
    <s v="Spain"/>
    <x v="1"/>
    <n v="945"/>
  </r>
  <r>
    <n v="10535"/>
    <n v="40"/>
    <n v="18.399999999999999"/>
    <n v="10"/>
    <n v="0.1"/>
    <s v="Peoples, John"/>
    <s v="Peoples John"/>
    <x v="1"/>
    <s v="WA"/>
    <s v="Product YZIXQ"/>
    <x v="3"/>
    <x v="222"/>
    <d v="2007-05-21T00:00:00"/>
    <x v="2"/>
    <s v="Destination FQFLS"/>
    <x v="7"/>
    <s v="Supplier JDNUG"/>
    <s v="USA"/>
    <x v="1"/>
    <n v="165.6"/>
  </r>
  <r>
    <n v="10535"/>
    <n v="57"/>
    <n v="19.5"/>
    <n v="5"/>
    <n v="0.1"/>
    <s v="Peoples, John"/>
    <s v="Peoples John"/>
    <x v="1"/>
    <s v="WA"/>
    <s v="Product OVLQI"/>
    <x v="1"/>
    <x v="222"/>
    <d v="2007-05-21T00:00:00"/>
    <x v="2"/>
    <s v="Destination FQFLS"/>
    <x v="7"/>
    <s v="Supplier ZWZDM"/>
    <s v="Italy"/>
    <x v="1"/>
    <n v="87.75"/>
  </r>
  <r>
    <n v="10535"/>
    <n v="59"/>
    <n v="55"/>
    <n v="15"/>
    <n v="0.1"/>
    <s v="Peoples, John"/>
    <s v="Peoples John"/>
    <x v="1"/>
    <s v="WA"/>
    <s v="Product UKXRI"/>
    <x v="0"/>
    <x v="222"/>
    <d v="2007-05-21T00:00:00"/>
    <x v="2"/>
    <s v="Destination FQFLS"/>
    <x v="7"/>
    <s v="Supplier OAVQT"/>
    <s v="France"/>
    <x v="1"/>
    <n v="742.5"/>
  </r>
  <r>
    <n v="10536"/>
    <n v="12"/>
    <n v="38"/>
    <n v="15"/>
    <n v="0.25"/>
    <s v="Louverdis, George"/>
    <s v="Louverdis George"/>
    <x v="2"/>
    <s v="WA"/>
    <s v="Product OSFNS"/>
    <x v="0"/>
    <x v="223"/>
    <d v="2007-06-06T00:00:00"/>
    <x v="1"/>
    <s v="Ship to 44-B"/>
    <x v="8"/>
    <s v="Supplier EQPNC"/>
    <s v="Spain"/>
    <x v="1"/>
    <n v="427.5"/>
  </r>
  <r>
    <n v="10536"/>
    <n v="31"/>
    <n v="12.5"/>
    <n v="20"/>
    <n v="0"/>
    <s v="Louverdis, George"/>
    <s v="Louverdis George"/>
    <x v="2"/>
    <s v="WA"/>
    <s v="Product XWOXC"/>
    <x v="0"/>
    <x v="223"/>
    <d v="2007-06-06T00:00:00"/>
    <x v="1"/>
    <s v="Ship to 44-B"/>
    <x v="8"/>
    <s v="Supplier KEREV"/>
    <s v="Italy"/>
    <x v="1"/>
    <n v="250"/>
  </r>
  <r>
    <n v="10536"/>
    <n v="33"/>
    <n v="2.5"/>
    <n v="30"/>
    <n v="0"/>
    <s v="Louverdis, George"/>
    <s v="Louverdis George"/>
    <x v="2"/>
    <s v="WA"/>
    <s v="Product ASTMN"/>
    <x v="0"/>
    <x v="223"/>
    <d v="2007-06-06T00:00:00"/>
    <x v="1"/>
    <s v="Ship to 44-B"/>
    <x v="8"/>
    <s v="Supplier NZLIF"/>
    <s v="Norway"/>
    <x v="1"/>
    <n v="75"/>
  </r>
  <r>
    <n v="10536"/>
    <n v="60"/>
    <n v="34"/>
    <n v="35"/>
    <n v="0.25"/>
    <s v="Louverdis, George"/>
    <s v="Louverdis George"/>
    <x v="2"/>
    <s v="WA"/>
    <s v="Product WHBYK"/>
    <x v="0"/>
    <x v="223"/>
    <d v="2007-06-06T00:00:00"/>
    <x v="1"/>
    <s v="Ship to 44-B"/>
    <x v="8"/>
    <s v="Supplier OAVQT"/>
    <s v="France"/>
    <x v="1"/>
    <n v="892.5"/>
  </r>
  <r>
    <n v="10537"/>
    <n v="31"/>
    <n v="12.5"/>
    <n v="30"/>
    <n v="0"/>
    <s v="Myrcha, Jacek"/>
    <s v="Myrcha Jacek"/>
    <x v="5"/>
    <s v="WA"/>
    <s v="Product XWOXC"/>
    <x v="0"/>
    <x v="223"/>
    <d v="2007-05-19T00:00:00"/>
    <x v="2"/>
    <s v="Ship to 68-B"/>
    <x v="4"/>
    <s v="Supplier KEREV"/>
    <s v="Italy"/>
    <x v="1"/>
    <n v="375"/>
  </r>
  <r>
    <n v="10537"/>
    <n v="51"/>
    <n v="53"/>
    <n v="6"/>
    <n v="0"/>
    <s v="Myrcha, Jacek"/>
    <s v="Myrcha Jacek"/>
    <x v="5"/>
    <s v="WA"/>
    <s v="Product APITJ"/>
    <x v="2"/>
    <x v="223"/>
    <d v="2007-05-19T00:00:00"/>
    <x v="2"/>
    <s v="Ship to 68-B"/>
    <x v="4"/>
    <s v="Supplier JNNES"/>
    <s v="Australia"/>
    <x v="1"/>
    <n v="318"/>
  </r>
  <r>
    <n v="10537"/>
    <n v="58"/>
    <n v="13.25"/>
    <n v="20"/>
    <n v="0"/>
    <s v="Myrcha, Jacek"/>
    <s v="Myrcha Jacek"/>
    <x v="5"/>
    <s v="WA"/>
    <s v="Product ACRVI"/>
    <x v="3"/>
    <x v="223"/>
    <d v="2007-05-19T00:00:00"/>
    <x v="2"/>
    <s v="Ship to 68-B"/>
    <x v="4"/>
    <s v="Supplier ZRYDZ"/>
    <s v="France"/>
    <x v="1"/>
    <n v="265"/>
  </r>
  <r>
    <n v="10537"/>
    <n v="72"/>
    <n v="34.799999999999997"/>
    <n v="21"/>
    <n v="0"/>
    <s v="Myrcha, Jacek"/>
    <s v="Myrcha Jacek"/>
    <x v="5"/>
    <s v="WA"/>
    <s v="Product GEEOO"/>
    <x v="0"/>
    <x v="223"/>
    <d v="2007-05-19T00:00:00"/>
    <x v="2"/>
    <s v="Ship to 68-B"/>
    <x v="4"/>
    <s v="Supplier KEREV"/>
    <s v="Italy"/>
    <x v="1"/>
    <n v="730.8"/>
  </r>
  <r>
    <n v="10537"/>
    <n v="73"/>
    <n v="15"/>
    <n v="9"/>
    <n v="0"/>
    <s v="Myrcha, Jacek"/>
    <s v="Myrcha Jacek"/>
    <x v="5"/>
    <s v="WA"/>
    <s v="Product WEUJZ"/>
    <x v="3"/>
    <x v="223"/>
    <d v="2007-05-19T00:00:00"/>
    <x v="2"/>
    <s v="Ship to 68-B"/>
    <x v="4"/>
    <s v="Supplier QZGUF"/>
    <s v="Sweden"/>
    <x v="1"/>
    <n v="135"/>
  </r>
  <r>
    <n v="10538"/>
    <n v="70"/>
    <n v="15"/>
    <n v="7"/>
    <n v="0"/>
    <s v="Jaffe, David"/>
    <s v="Jaffe David"/>
    <x v="4"/>
    <n v="0"/>
    <s v="Product TOONT"/>
    <x v="6"/>
    <x v="224"/>
    <d v="2007-05-16T00:00:00"/>
    <x v="3"/>
    <s v="Destination DLEUN"/>
    <x v="14"/>
    <s v="Supplier GQRCV"/>
    <s v="Australia"/>
    <x v="1"/>
    <n v="105"/>
  </r>
  <r>
    <n v="10538"/>
    <n v="72"/>
    <n v="34.799999999999997"/>
    <n v="1"/>
    <n v="0"/>
    <s v="Jaffe, David"/>
    <s v="Jaffe David"/>
    <x v="4"/>
    <n v="0"/>
    <s v="Product GEEOO"/>
    <x v="0"/>
    <x v="224"/>
    <d v="2007-05-16T00:00:00"/>
    <x v="3"/>
    <s v="Destination DLEUN"/>
    <x v="14"/>
    <s v="Supplier KEREV"/>
    <s v="Italy"/>
    <x v="1"/>
    <n v="34.799999999999997"/>
  </r>
  <r>
    <n v="10539"/>
    <n v="13"/>
    <n v="6"/>
    <n v="8"/>
    <n v="0"/>
    <s v="Jaffe, David"/>
    <s v="Jaffe David"/>
    <x v="7"/>
    <n v="0"/>
    <s v="Product POXFU"/>
    <x v="3"/>
    <x v="225"/>
    <d v="2007-05-23T00:00:00"/>
    <x v="3"/>
    <s v="Destination DLEUN"/>
    <x v="14"/>
    <s v="Supplier QWUSF"/>
    <s v="Japan"/>
    <x v="1"/>
    <n v="48"/>
  </r>
  <r>
    <n v="10539"/>
    <n v="21"/>
    <n v="10"/>
    <n v="15"/>
    <n v="0"/>
    <s v="Jaffe, David"/>
    <s v="Jaffe David"/>
    <x v="7"/>
    <n v="0"/>
    <s v="Product VJZZH"/>
    <x v="5"/>
    <x v="225"/>
    <d v="2007-05-23T00:00:00"/>
    <x v="3"/>
    <s v="Destination DLEUN"/>
    <x v="14"/>
    <s v="Supplier BWGYE"/>
    <s v="UK"/>
    <x v="1"/>
    <n v="150"/>
  </r>
  <r>
    <n v="10539"/>
    <n v="33"/>
    <n v="2.5"/>
    <n v="15"/>
    <n v="0"/>
    <s v="Jaffe, David"/>
    <s v="Jaffe David"/>
    <x v="7"/>
    <n v="0"/>
    <s v="Product ASTMN"/>
    <x v="0"/>
    <x v="225"/>
    <d v="2007-05-23T00:00:00"/>
    <x v="3"/>
    <s v="Destination DLEUN"/>
    <x v="14"/>
    <s v="Supplier NZLIF"/>
    <s v="Norway"/>
    <x v="1"/>
    <n v="37.5"/>
  </r>
  <r>
    <n v="10539"/>
    <n v="49"/>
    <n v="20"/>
    <n v="6"/>
    <n v="0"/>
    <s v="Jaffe, David"/>
    <s v="Jaffe David"/>
    <x v="7"/>
    <n v="0"/>
    <s v="Product FPYPN"/>
    <x v="5"/>
    <x v="225"/>
    <d v="2007-05-23T00:00:00"/>
    <x v="3"/>
    <s v="Destination DLEUN"/>
    <x v="14"/>
    <s v="Supplier ELCRN"/>
    <s v="Finland"/>
    <x v="1"/>
    <n v="120"/>
  </r>
  <r>
    <n v="10540"/>
    <n v="3"/>
    <n v="10"/>
    <n v="60"/>
    <n v="0"/>
    <s v="Veronesi, Giorgio"/>
    <s v="Veronesi Giorgio"/>
    <x v="2"/>
    <s v="WA"/>
    <s v="Product IMEHJ"/>
    <x v="4"/>
    <x v="226"/>
    <d v="2007-06-13T00:00:00"/>
    <x v="3"/>
    <s v="Ship to 63-C"/>
    <x v="8"/>
    <s v="Supplier SWRXU"/>
    <s v="UK"/>
    <x v="2"/>
    <n v="600"/>
  </r>
  <r>
    <n v="10540"/>
    <n v="26"/>
    <n v="31.23"/>
    <n v="40"/>
    <n v="0"/>
    <s v="Veronesi, Giorgio"/>
    <s v="Veronesi Giorgio"/>
    <x v="2"/>
    <s v="WA"/>
    <s v="Product HLGZA"/>
    <x v="5"/>
    <x v="226"/>
    <d v="2007-06-13T00:00:00"/>
    <x v="3"/>
    <s v="Ship to 63-C"/>
    <x v="8"/>
    <s v="Supplier ZPYVS"/>
    <s v="Germany"/>
    <x v="2"/>
    <n v="1249.2"/>
  </r>
  <r>
    <n v="10540"/>
    <n v="38"/>
    <n v="263.5"/>
    <n v="30"/>
    <n v="0"/>
    <s v="Veronesi, Giorgio"/>
    <s v="Veronesi Giorgio"/>
    <x v="2"/>
    <s v="WA"/>
    <s v="Product QDOMO"/>
    <x v="6"/>
    <x v="226"/>
    <d v="2007-06-13T00:00:00"/>
    <x v="3"/>
    <s v="Ship to 63-C"/>
    <x v="8"/>
    <s v="Supplier LVJUA"/>
    <s v="France"/>
    <x v="2"/>
    <n v="7905"/>
  </r>
  <r>
    <n v="10540"/>
    <n v="68"/>
    <n v="12.5"/>
    <n v="35"/>
    <n v="0"/>
    <s v="Veronesi, Giorgio"/>
    <s v="Veronesi Giorgio"/>
    <x v="2"/>
    <s v="WA"/>
    <s v="Product TBTBL"/>
    <x v="5"/>
    <x v="226"/>
    <d v="2007-06-13T00:00:00"/>
    <x v="3"/>
    <s v="Ship to 63-C"/>
    <x v="8"/>
    <s v="Supplier BWGYE"/>
    <s v="UK"/>
    <x v="2"/>
    <n v="437.5"/>
  </r>
  <r>
    <n v="10541"/>
    <n v="24"/>
    <n v="4.5"/>
    <n v="35"/>
    <n v="0.1"/>
    <s v="Cohen, Shy"/>
    <s v="Cohen Shy"/>
    <x v="8"/>
    <s v="WA"/>
    <s v="Product QOGNU"/>
    <x v="6"/>
    <x v="226"/>
    <d v="2007-05-29T00:00:00"/>
    <x v="2"/>
    <s v="Destination SCQXA"/>
    <x v="1"/>
    <s v="Supplier UNAHG"/>
    <s v="Brazil"/>
    <x v="1"/>
    <n v="141.75"/>
  </r>
  <r>
    <n v="10541"/>
    <n v="38"/>
    <n v="263.5"/>
    <n v="4"/>
    <n v="0.1"/>
    <s v="Cohen, Shy"/>
    <s v="Cohen Shy"/>
    <x v="8"/>
    <s v="WA"/>
    <s v="Product QDOMO"/>
    <x v="6"/>
    <x v="226"/>
    <d v="2007-05-29T00:00:00"/>
    <x v="2"/>
    <s v="Destination SCQXA"/>
    <x v="1"/>
    <s v="Supplier LVJUA"/>
    <s v="France"/>
    <x v="1"/>
    <n v="948.6"/>
  </r>
  <r>
    <n v="10541"/>
    <n v="65"/>
    <n v="21.05"/>
    <n v="36"/>
    <n v="0.1"/>
    <s v="Cohen, Shy"/>
    <s v="Cohen Shy"/>
    <x v="8"/>
    <s v="WA"/>
    <s v="Product XYWBZ"/>
    <x v="4"/>
    <x v="226"/>
    <d v="2007-05-29T00:00:00"/>
    <x v="2"/>
    <s v="Destination SCQXA"/>
    <x v="1"/>
    <s v="Supplier VHQZD"/>
    <s v="USA"/>
    <x v="1"/>
    <n v="682.0200000000001"/>
  </r>
  <r>
    <n v="10541"/>
    <n v="71"/>
    <n v="21.5"/>
    <n v="9"/>
    <n v="0.1"/>
    <s v="Cohen, Shy"/>
    <s v="Cohen Shy"/>
    <x v="8"/>
    <s v="WA"/>
    <s v="Product MYMOI"/>
    <x v="0"/>
    <x v="226"/>
    <d v="2007-05-29T00:00:00"/>
    <x v="2"/>
    <s v="Destination SCQXA"/>
    <x v="1"/>
    <s v="Supplier NZLIF"/>
    <s v="Norway"/>
    <x v="1"/>
    <n v="174.15"/>
  </r>
  <r>
    <n v="10542"/>
    <n v="11"/>
    <n v="21"/>
    <n v="15"/>
    <n v="0.05"/>
    <s v="Song, Lolan"/>
    <s v="Song Lolan"/>
    <x v="5"/>
    <s v="WA"/>
    <s v="Product QMVUN"/>
    <x v="0"/>
    <x v="227"/>
    <d v="2007-05-26T00:00:00"/>
    <x v="3"/>
    <s v="Destination DKMQA"/>
    <x v="8"/>
    <s v="Supplier EQPNC"/>
    <s v="Spain"/>
    <x v="1"/>
    <n v="299.25"/>
  </r>
  <r>
    <n v="10542"/>
    <n v="54"/>
    <n v="7.45"/>
    <n v="24"/>
    <n v="0.05"/>
    <s v="Song, Lolan"/>
    <s v="Song Lolan"/>
    <x v="5"/>
    <s v="WA"/>
    <s v="Product QAQRL"/>
    <x v="7"/>
    <x v="227"/>
    <d v="2007-05-26T00:00:00"/>
    <x v="3"/>
    <s v="Destination DKMQA"/>
    <x v="8"/>
    <s v="Supplier ERVYZ"/>
    <s v="Canada"/>
    <x v="1"/>
    <n v="169.86"/>
  </r>
  <r>
    <n v="10543"/>
    <n v="12"/>
    <n v="38"/>
    <n v="30"/>
    <n v="0.15"/>
    <s v="Dressler, Marlies"/>
    <s v="Dressler Marlies"/>
    <x v="6"/>
    <s v="WA"/>
    <s v="Product OSFNS"/>
    <x v="0"/>
    <x v="228"/>
    <d v="2007-05-23T00:00:00"/>
    <x v="1"/>
    <s v="Ship to 46-B"/>
    <x v="5"/>
    <s v="Supplier EQPNC"/>
    <s v="Spain"/>
    <x v="1"/>
    <n v="969"/>
  </r>
  <r>
    <n v="10543"/>
    <n v="23"/>
    <n v="9"/>
    <n v="70"/>
    <n v="0.15"/>
    <s v="Dressler, Marlies"/>
    <s v="Dressler Marlies"/>
    <x v="6"/>
    <s v="WA"/>
    <s v="Product JLUDZ"/>
    <x v="1"/>
    <x v="228"/>
    <d v="2007-05-23T00:00:00"/>
    <x v="1"/>
    <s v="Ship to 46-B"/>
    <x v="5"/>
    <s v="Supplier QQYEU"/>
    <s v="Sweden"/>
    <x v="1"/>
    <n v="535.5"/>
  </r>
  <r>
    <n v="10544"/>
    <n v="28"/>
    <n v="45.6"/>
    <n v="7"/>
    <n v="0"/>
    <s v="Szymczak, Radosław"/>
    <s v="Szymczak Radosław"/>
    <x v="1"/>
    <s v="WA"/>
    <s v="Product OFBNT"/>
    <x v="2"/>
    <x v="228"/>
    <d v="2007-05-30T00:00:00"/>
    <x v="2"/>
    <s v="Ship to 48-C"/>
    <x v="9"/>
    <s v="Supplier SVIYA"/>
    <s v="Germany"/>
    <x v="1"/>
    <n v="319.2"/>
  </r>
  <r>
    <n v="10544"/>
    <n v="67"/>
    <n v="14"/>
    <n v="7"/>
    <n v="0"/>
    <s v="Szymczak, Radosław"/>
    <s v="Szymczak Radosław"/>
    <x v="1"/>
    <s v="WA"/>
    <s v="Product XLXQF"/>
    <x v="6"/>
    <x v="228"/>
    <d v="2007-05-30T00:00:00"/>
    <x v="2"/>
    <s v="Ship to 48-C"/>
    <x v="9"/>
    <s v="Supplier UHZRG"/>
    <s v="USA"/>
    <x v="1"/>
    <n v="98"/>
  </r>
  <r>
    <n v="10545"/>
    <n v="11"/>
    <n v="21"/>
    <n v="10"/>
    <n v="0"/>
    <s v="Deshpande, Anu"/>
    <s v="Deshpande Anu"/>
    <x v="6"/>
    <s v="WA"/>
    <s v="Product QMVUN"/>
    <x v="0"/>
    <x v="229"/>
    <d v="2007-06-26T00:00:00"/>
    <x v="1"/>
    <s v="Ship to 43-B"/>
    <x v="9"/>
    <s v="Supplier EQPNC"/>
    <s v="Spain"/>
    <x v="1"/>
    <n v="210"/>
  </r>
  <r>
    <n v="10546"/>
    <n v="7"/>
    <n v="30"/>
    <n v="10"/>
    <n v="0"/>
    <s v="Tuntisangaroon, Sittichai"/>
    <s v="Tuntisangaroon Sittichai"/>
    <x v="5"/>
    <s v="WA"/>
    <s v="Product HMLNI"/>
    <x v="2"/>
    <x v="230"/>
    <d v="2007-05-27T00:00:00"/>
    <x v="3"/>
    <s v="Ship to 84-C"/>
    <x v="2"/>
    <s v="Supplier STUAZ"/>
    <s v="USA"/>
    <x v="2"/>
    <n v="300"/>
  </r>
  <r>
    <n v="10546"/>
    <n v="35"/>
    <n v="18"/>
    <n v="30"/>
    <n v="0"/>
    <s v="Tuntisangaroon, Sittichai"/>
    <s v="Tuntisangaroon Sittichai"/>
    <x v="5"/>
    <s v="WA"/>
    <s v="Product NEVTJ"/>
    <x v="6"/>
    <x v="230"/>
    <d v="2007-05-27T00:00:00"/>
    <x v="3"/>
    <s v="Ship to 84-C"/>
    <x v="2"/>
    <s v="Supplier UHZRG"/>
    <s v="USA"/>
    <x v="2"/>
    <n v="540"/>
  </r>
  <r>
    <n v="10546"/>
    <n v="62"/>
    <n v="49.3"/>
    <n v="40"/>
    <n v="0"/>
    <s v="Tuntisangaroon, Sittichai"/>
    <s v="Tuntisangaroon Sittichai"/>
    <x v="5"/>
    <s v="WA"/>
    <s v="Product WUXYK"/>
    <x v="5"/>
    <x v="230"/>
    <d v="2007-05-27T00:00:00"/>
    <x v="3"/>
    <s v="Ship to 84-C"/>
    <x v="2"/>
    <s v="Supplier OGLRK"/>
    <s v="Canada"/>
    <x v="2"/>
    <n v="1972"/>
  </r>
  <r>
    <n v="10547"/>
    <n v="32"/>
    <n v="32"/>
    <n v="24"/>
    <n v="0.15"/>
    <s v="Welcker, Brian"/>
    <s v="Welcker Brian"/>
    <x v="2"/>
    <s v="WA"/>
    <s v="Product NUNAW"/>
    <x v="0"/>
    <x v="230"/>
    <d v="2007-06-02T00:00:00"/>
    <x v="1"/>
    <s v="Ship to 72-C"/>
    <x v="14"/>
    <s v="Supplier KEREV"/>
    <s v="Italy"/>
    <x v="2"/>
    <n v="652.79999999999995"/>
  </r>
  <r>
    <n v="10547"/>
    <n v="36"/>
    <n v="19"/>
    <n v="60"/>
    <n v="0"/>
    <s v="Welcker, Brian"/>
    <s v="Welcker Brian"/>
    <x v="2"/>
    <s v="WA"/>
    <s v="Product GMKIJ"/>
    <x v="3"/>
    <x v="230"/>
    <d v="2007-06-02T00:00:00"/>
    <x v="1"/>
    <s v="Ship to 72-C"/>
    <x v="14"/>
    <s v="Supplier QZGUF"/>
    <s v="Sweden"/>
    <x v="2"/>
    <n v="1140"/>
  </r>
  <r>
    <n v="10548"/>
    <n v="34"/>
    <n v="14"/>
    <n v="10"/>
    <n v="0.25"/>
    <s v="Wickham, Jim"/>
    <s v="Wickham Jim"/>
    <x v="2"/>
    <s v="WA"/>
    <s v="Product SWNJY"/>
    <x v="6"/>
    <x v="231"/>
    <d v="2007-06-02T00:00:00"/>
    <x v="1"/>
    <s v="Ship to 79-A"/>
    <x v="8"/>
    <s v="Supplier UHZRG"/>
    <s v="USA"/>
    <x v="1"/>
    <n v="105"/>
  </r>
  <r>
    <n v="10548"/>
    <n v="41"/>
    <n v="9.65"/>
    <n v="14"/>
    <n v="0"/>
    <s v="Wickham, Jim"/>
    <s v="Wickham Jim"/>
    <x v="2"/>
    <s v="WA"/>
    <s v="Product TTEEX"/>
    <x v="3"/>
    <x v="231"/>
    <d v="2007-06-02T00:00:00"/>
    <x v="1"/>
    <s v="Ship to 79-A"/>
    <x v="8"/>
    <s v="Supplier JDNUG"/>
    <s v="USA"/>
    <x v="1"/>
    <n v="135.1"/>
  </r>
  <r>
    <n v="10549"/>
    <n v="31"/>
    <n v="12.5"/>
    <n v="55"/>
    <n v="0.15"/>
    <s v="Veronesi, Giorgio"/>
    <s v="Veronesi Giorgio"/>
    <x v="3"/>
    <n v="0"/>
    <s v="Product XWOXC"/>
    <x v="0"/>
    <x v="232"/>
    <d v="2007-05-30T00:00:00"/>
    <x v="2"/>
    <s v="Ship to 63-C"/>
    <x v="8"/>
    <s v="Supplier KEREV"/>
    <s v="Italy"/>
    <x v="2"/>
    <n v="584.375"/>
  </r>
  <r>
    <n v="10549"/>
    <n v="45"/>
    <n v="9.5"/>
    <n v="100"/>
    <n v="0.15"/>
    <s v="Veronesi, Giorgio"/>
    <s v="Veronesi Giorgio"/>
    <x v="3"/>
    <n v="0"/>
    <s v="Product AQOKR"/>
    <x v="3"/>
    <x v="232"/>
    <d v="2007-05-30T00:00:00"/>
    <x v="2"/>
    <s v="Ship to 63-C"/>
    <x v="8"/>
    <s v="Supplier XOXZA"/>
    <s v="Denmark"/>
    <x v="2"/>
    <n v="807.5"/>
  </r>
  <r>
    <n v="10549"/>
    <n v="51"/>
    <n v="53"/>
    <n v="48"/>
    <n v="0.15"/>
    <s v="Veronesi, Giorgio"/>
    <s v="Veronesi Giorgio"/>
    <x v="3"/>
    <n v="0"/>
    <s v="Product APITJ"/>
    <x v="2"/>
    <x v="232"/>
    <d v="2007-05-30T00:00:00"/>
    <x v="2"/>
    <s v="Ship to 63-C"/>
    <x v="8"/>
    <s v="Supplier JNNES"/>
    <s v="Australia"/>
    <x v="2"/>
    <n v="2162.4"/>
  </r>
  <r>
    <n v="10550"/>
    <n v="17"/>
    <n v="39"/>
    <n v="8"/>
    <n v="0.1"/>
    <s v="Shabalin, Rostislav"/>
    <s v="Shabalin Rostislav"/>
    <x v="9"/>
    <n v="0"/>
    <s v="Product BLCAX"/>
    <x v="7"/>
    <x v="233"/>
    <d v="2007-06-06T00:00:00"/>
    <x v="3"/>
    <s v="Destination GGQIR"/>
    <x v="13"/>
    <s v="Supplier GQRCV"/>
    <s v="Australia"/>
    <x v="1"/>
    <n v="280.8"/>
  </r>
  <r>
    <n v="10550"/>
    <n v="19"/>
    <n v="9.1999999999999993"/>
    <n v="10"/>
    <n v="0"/>
    <s v="Shabalin, Rostislav"/>
    <s v="Shabalin Rostislav"/>
    <x v="9"/>
    <n v="0"/>
    <s v="Product XKXDO"/>
    <x v="5"/>
    <x v="233"/>
    <d v="2007-06-06T00:00:00"/>
    <x v="3"/>
    <s v="Destination GGQIR"/>
    <x v="13"/>
    <s v="Supplier BWGYE"/>
    <s v="UK"/>
    <x v="1"/>
    <n v="92"/>
  </r>
  <r>
    <n v="10550"/>
    <n v="21"/>
    <n v="10"/>
    <n v="6"/>
    <n v="0.1"/>
    <s v="Shabalin, Rostislav"/>
    <s v="Shabalin Rostislav"/>
    <x v="9"/>
    <n v="0"/>
    <s v="Product VJZZH"/>
    <x v="5"/>
    <x v="233"/>
    <d v="2007-06-06T00:00:00"/>
    <x v="3"/>
    <s v="Destination GGQIR"/>
    <x v="13"/>
    <s v="Supplier BWGYE"/>
    <s v="UK"/>
    <x v="1"/>
    <n v="54"/>
  </r>
  <r>
    <n v="10550"/>
    <n v="61"/>
    <n v="28.5"/>
    <n v="10"/>
    <n v="0.1"/>
    <s v="Shabalin, Rostislav"/>
    <s v="Shabalin Rostislav"/>
    <x v="9"/>
    <n v="0"/>
    <s v="Product XYZPE"/>
    <x v="4"/>
    <x v="233"/>
    <d v="2007-06-06T00:00:00"/>
    <x v="3"/>
    <s v="Destination GGQIR"/>
    <x v="13"/>
    <s v="Supplier OGLRK"/>
    <s v="Canada"/>
    <x v="1"/>
    <n v="256.5"/>
  </r>
  <r>
    <n v="10551"/>
    <n v="16"/>
    <n v="17.45"/>
    <n v="40"/>
    <n v="0.15"/>
    <s v="Cavaglieri, Giorgio"/>
    <s v="Cavaglieri Giorgio"/>
    <x v="1"/>
    <s v="WA"/>
    <s v="Product PAFRH"/>
    <x v="5"/>
    <x v="233"/>
    <d v="2007-06-06T00:00:00"/>
    <x v="3"/>
    <s v="Destination OTSWR"/>
    <x v="16"/>
    <s v="Supplier GQRCV"/>
    <s v="Australia"/>
    <x v="1"/>
    <n v="593.29999999999995"/>
  </r>
  <r>
    <n v="10551"/>
    <n v="35"/>
    <n v="18"/>
    <n v="20"/>
    <n v="0.15"/>
    <s v="Cavaglieri, Giorgio"/>
    <s v="Cavaglieri Giorgio"/>
    <x v="1"/>
    <s v="WA"/>
    <s v="Product NEVTJ"/>
    <x v="6"/>
    <x v="233"/>
    <d v="2007-06-06T00:00:00"/>
    <x v="3"/>
    <s v="Destination OTSWR"/>
    <x v="16"/>
    <s v="Supplier UHZRG"/>
    <s v="USA"/>
    <x v="1"/>
    <n v="306"/>
  </r>
  <r>
    <n v="10551"/>
    <n v="44"/>
    <n v="19.45"/>
    <n v="40"/>
    <n v="0"/>
    <s v="Cavaglieri, Giorgio"/>
    <s v="Cavaglieri Giorgio"/>
    <x v="1"/>
    <s v="WA"/>
    <s v="Product VJIEO"/>
    <x v="4"/>
    <x v="233"/>
    <d v="2007-06-06T00:00:00"/>
    <x v="3"/>
    <s v="Destination OTSWR"/>
    <x v="16"/>
    <s v="Supplier CIYNM"/>
    <s v="Singapore"/>
    <x v="1"/>
    <n v="778"/>
  </r>
  <r>
    <n v="10552"/>
    <n v="69"/>
    <n v="36"/>
    <n v="18"/>
    <n v="0"/>
    <s v="Langohr, Kris"/>
    <s v="Langohr Kris"/>
    <x v="8"/>
    <s v="WA"/>
    <s v="Product COAXA"/>
    <x v="0"/>
    <x v="234"/>
    <d v="2007-06-05T00:00:00"/>
    <x v="2"/>
    <s v="Destination UOUWK"/>
    <x v="5"/>
    <s v="Supplier NZLIF"/>
    <s v="Norway"/>
    <x v="1"/>
    <n v="648"/>
  </r>
  <r>
    <n v="10552"/>
    <n v="75"/>
    <n v="7.75"/>
    <n v="30"/>
    <n v="0"/>
    <s v="Langohr, Kris"/>
    <s v="Langohr Kris"/>
    <x v="8"/>
    <s v="WA"/>
    <s v="Product BWRLG"/>
    <x v="6"/>
    <x v="234"/>
    <d v="2007-06-05T00:00:00"/>
    <x v="2"/>
    <s v="Destination UOUWK"/>
    <x v="5"/>
    <s v="Supplier SVIYA"/>
    <s v="Germany"/>
    <x v="1"/>
    <n v="232.5"/>
  </r>
  <r>
    <n v="10553"/>
    <n v="11"/>
    <n v="21"/>
    <n v="15"/>
    <n v="0"/>
    <s v="Ludwig, Michael"/>
    <s v="Ludwig Michael"/>
    <x v="8"/>
    <s v="WA"/>
    <s v="Product QMVUN"/>
    <x v="0"/>
    <x v="235"/>
    <d v="2007-06-03T00:00:00"/>
    <x v="1"/>
    <s v="Ship to 87-B"/>
    <x v="11"/>
    <s v="Supplier EQPNC"/>
    <s v="Spain"/>
    <x v="2"/>
    <n v="315"/>
  </r>
  <r>
    <n v="10553"/>
    <n v="16"/>
    <n v="17.45"/>
    <n v="14"/>
    <n v="0"/>
    <s v="Ludwig, Michael"/>
    <s v="Ludwig Michael"/>
    <x v="8"/>
    <s v="WA"/>
    <s v="Product PAFRH"/>
    <x v="5"/>
    <x v="235"/>
    <d v="2007-06-03T00:00:00"/>
    <x v="1"/>
    <s v="Ship to 87-B"/>
    <x v="11"/>
    <s v="Supplier GQRCV"/>
    <s v="Australia"/>
    <x v="2"/>
    <n v="244.29999999999998"/>
  </r>
  <r>
    <n v="10553"/>
    <n v="22"/>
    <n v="21"/>
    <n v="24"/>
    <n v="0"/>
    <s v="Ludwig, Michael"/>
    <s v="Ludwig Michael"/>
    <x v="8"/>
    <s v="WA"/>
    <s v="Product CPHFY"/>
    <x v="1"/>
    <x v="235"/>
    <d v="2007-06-03T00:00:00"/>
    <x v="1"/>
    <s v="Ship to 87-B"/>
    <x v="11"/>
    <s v="Supplier QQYEU"/>
    <s v="Sweden"/>
    <x v="2"/>
    <n v="504"/>
  </r>
  <r>
    <n v="10553"/>
    <n v="31"/>
    <n v="12.5"/>
    <n v="30"/>
    <n v="0"/>
    <s v="Ludwig, Michael"/>
    <s v="Ludwig Michael"/>
    <x v="8"/>
    <s v="WA"/>
    <s v="Product XWOXC"/>
    <x v="0"/>
    <x v="235"/>
    <d v="2007-06-03T00:00:00"/>
    <x v="1"/>
    <s v="Ship to 87-B"/>
    <x v="11"/>
    <s v="Supplier KEREV"/>
    <s v="Italy"/>
    <x v="2"/>
    <n v="375"/>
  </r>
  <r>
    <n v="10553"/>
    <n v="35"/>
    <n v="18"/>
    <n v="6"/>
    <n v="0"/>
    <s v="Ludwig, Michael"/>
    <s v="Ludwig Michael"/>
    <x v="8"/>
    <s v="WA"/>
    <s v="Product NEVTJ"/>
    <x v="6"/>
    <x v="235"/>
    <d v="2007-06-03T00:00:00"/>
    <x v="1"/>
    <s v="Ship to 87-B"/>
    <x v="11"/>
    <s v="Supplier UHZRG"/>
    <s v="USA"/>
    <x v="2"/>
    <n v="108"/>
  </r>
  <r>
    <n v="10554"/>
    <n v="16"/>
    <n v="17.45"/>
    <n v="30"/>
    <n v="0.05"/>
    <s v="Marinova, Nadejda"/>
    <s v="Marinova Nadejda"/>
    <x v="1"/>
    <s v="WA"/>
    <s v="Product PAFRH"/>
    <x v="5"/>
    <x v="235"/>
    <d v="2007-06-05T00:00:00"/>
    <x v="3"/>
    <s v="Ship to 56-C"/>
    <x v="8"/>
    <s v="Supplier GQRCV"/>
    <s v="Australia"/>
    <x v="2"/>
    <n v="497.32499999999999"/>
  </r>
  <r>
    <n v="10554"/>
    <n v="23"/>
    <n v="9"/>
    <n v="20"/>
    <n v="0.05"/>
    <s v="Marinova, Nadejda"/>
    <s v="Marinova Nadejda"/>
    <x v="1"/>
    <s v="WA"/>
    <s v="Product JLUDZ"/>
    <x v="1"/>
    <x v="235"/>
    <d v="2007-06-05T00:00:00"/>
    <x v="3"/>
    <s v="Ship to 56-C"/>
    <x v="8"/>
    <s v="Supplier QQYEU"/>
    <s v="Sweden"/>
    <x v="2"/>
    <n v="171"/>
  </r>
  <r>
    <n v="10554"/>
    <n v="62"/>
    <n v="49.3"/>
    <n v="20"/>
    <n v="0.05"/>
    <s v="Marinova, Nadejda"/>
    <s v="Marinova Nadejda"/>
    <x v="1"/>
    <s v="WA"/>
    <s v="Product WUXYK"/>
    <x v="5"/>
    <x v="235"/>
    <d v="2007-06-05T00:00:00"/>
    <x v="3"/>
    <s v="Ship to 56-C"/>
    <x v="8"/>
    <s v="Supplier OGLRK"/>
    <s v="Canada"/>
    <x v="2"/>
    <n v="936.69999999999993"/>
  </r>
  <r>
    <n v="10554"/>
    <n v="77"/>
    <n v="13"/>
    <n v="10"/>
    <n v="0.05"/>
    <s v="Marinova, Nadejda"/>
    <s v="Marinova Nadejda"/>
    <x v="1"/>
    <s v="WA"/>
    <s v="Product LUNZZ"/>
    <x v="4"/>
    <x v="235"/>
    <d v="2007-06-05T00:00:00"/>
    <x v="3"/>
    <s v="Ship to 56-C"/>
    <x v="8"/>
    <s v="Supplier SVIYA"/>
    <s v="Germany"/>
    <x v="2"/>
    <n v="123.5"/>
  </r>
  <r>
    <n v="10555"/>
    <n v="14"/>
    <n v="23.25"/>
    <n v="30"/>
    <n v="0.2"/>
    <s v="Navarro, Tomás"/>
    <s v="Navarro Tomás"/>
    <x v="7"/>
    <n v="0"/>
    <s v="Product PWCJB"/>
    <x v="2"/>
    <x v="236"/>
    <d v="2007-06-04T00:00:00"/>
    <x v="3"/>
    <s v="Ship to 71-B"/>
    <x v="9"/>
    <s v="Supplier QWUSF"/>
    <s v="Japan"/>
    <x v="2"/>
    <n v="558"/>
  </r>
  <r>
    <n v="10555"/>
    <n v="19"/>
    <n v="9.1999999999999993"/>
    <n v="35"/>
    <n v="0.2"/>
    <s v="Navarro, Tomás"/>
    <s v="Navarro Tomás"/>
    <x v="7"/>
    <n v="0"/>
    <s v="Product XKXDO"/>
    <x v="5"/>
    <x v="236"/>
    <d v="2007-06-04T00:00:00"/>
    <x v="3"/>
    <s v="Ship to 71-B"/>
    <x v="9"/>
    <s v="Supplier BWGYE"/>
    <s v="UK"/>
    <x v="2"/>
    <n v="257.60000000000002"/>
  </r>
  <r>
    <n v="10555"/>
    <n v="24"/>
    <n v="4.5"/>
    <n v="18"/>
    <n v="0.2"/>
    <s v="Navarro, Tomás"/>
    <s v="Navarro Tomás"/>
    <x v="7"/>
    <n v="0"/>
    <s v="Product QOGNU"/>
    <x v="6"/>
    <x v="236"/>
    <d v="2007-06-04T00:00:00"/>
    <x v="3"/>
    <s v="Ship to 71-B"/>
    <x v="9"/>
    <s v="Supplier UNAHG"/>
    <s v="Brazil"/>
    <x v="2"/>
    <n v="64.8"/>
  </r>
  <r>
    <n v="10555"/>
    <n v="51"/>
    <n v="53"/>
    <n v="20"/>
    <n v="0.2"/>
    <s v="Navarro, Tomás"/>
    <s v="Navarro Tomás"/>
    <x v="7"/>
    <n v="0"/>
    <s v="Product APITJ"/>
    <x v="2"/>
    <x v="236"/>
    <d v="2007-06-04T00:00:00"/>
    <x v="3"/>
    <s v="Ship to 71-B"/>
    <x v="9"/>
    <s v="Supplier JNNES"/>
    <s v="Australia"/>
    <x v="2"/>
    <n v="848"/>
  </r>
  <r>
    <n v="10555"/>
    <n v="56"/>
    <n v="38"/>
    <n v="40"/>
    <n v="0.2"/>
    <s v="Navarro, Tomás"/>
    <s v="Navarro Tomás"/>
    <x v="7"/>
    <n v="0"/>
    <s v="Product VKCMF"/>
    <x v="1"/>
    <x v="236"/>
    <d v="2007-06-04T00:00:00"/>
    <x v="3"/>
    <s v="Ship to 71-B"/>
    <x v="9"/>
    <s v="Supplier ZWZDM"/>
    <s v="Italy"/>
    <x v="2"/>
    <n v="1216"/>
  </r>
  <r>
    <n v="10556"/>
    <n v="72"/>
    <n v="34.799999999999997"/>
    <n v="24"/>
    <n v="0"/>
    <s v="Gonzalez, Nuria"/>
    <s v="Gonzalez Nuria"/>
    <x v="8"/>
    <s v="WA"/>
    <s v="Product GEEOO"/>
    <x v="0"/>
    <x v="237"/>
    <d v="2007-06-13T00:00:00"/>
    <x v="2"/>
    <s v="Ship to 73-A"/>
    <x v="18"/>
    <s v="Supplier KEREV"/>
    <s v="Italy"/>
    <x v="1"/>
    <n v="835.19999999999993"/>
  </r>
  <r>
    <n v="10557"/>
    <n v="64"/>
    <n v="33.25"/>
    <n v="30"/>
    <n v="0"/>
    <s v="Louverdis, George"/>
    <s v="Louverdis George"/>
    <x v="4"/>
    <n v="0"/>
    <s v="Product HCQDE"/>
    <x v="1"/>
    <x v="237"/>
    <d v="2007-06-06T00:00:00"/>
    <x v="1"/>
    <s v="Ship to 44-C"/>
    <x v="8"/>
    <s v="Supplier SVIYA"/>
    <s v="Germany"/>
    <x v="1"/>
    <n v="997.5"/>
  </r>
  <r>
    <n v="10557"/>
    <n v="75"/>
    <n v="7.75"/>
    <n v="20"/>
    <n v="0"/>
    <s v="Louverdis, George"/>
    <s v="Louverdis George"/>
    <x v="4"/>
    <n v="0"/>
    <s v="Product BWRLG"/>
    <x v="6"/>
    <x v="237"/>
    <d v="2007-06-06T00:00:00"/>
    <x v="1"/>
    <s v="Ship to 44-C"/>
    <x v="8"/>
    <s v="Supplier SVIYA"/>
    <s v="Germany"/>
    <x v="1"/>
    <n v="155"/>
  </r>
  <r>
    <n v="10558"/>
    <n v="47"/>
    <n v="9.5"/>
    <n v="25"/>
    <n v="0"/>
    <s v="Arndt, Torsten"/>
    <s v="Arndt Torsten"/>
    <x v="5"/>
    <s v="WA"/>
    <s v="Product EZZPR"/>
    <x v="5"/>
    <x v="238"/>
    <d v="2007-06-10T00:00:00"/>
    <x v="1"/>
    <s v="Ship to 4-B"/>
    <x v="14"/>
    <s v="Supplier FNUXM"/>
    <s v="Netherlands"/>
    <x v="1"/>
    <n v="237.5"/>
  </r>
  <r>
    <n v="10558"/>
    <n v="51"/>
    <n v="53"/>
    <n v="20"/>
    <n v="0"/>
    <s v="Arndt, Torsten"/>
    <s v="Arndt Torsten"/>
    <x v="5"/>
    <s v="WA"/>
    <s v="Product APITJ"/>
    <x v="2"/>
    <x v="238"/>
    <d v="2007-06-10T00:00:00"/>
    <x v="1"/>
    <s v="Ship to 4-B"/>
    <x v="14"/>
    <s v="Supplier JNNES"/>
    <s v="Australia"/>
    <x v="1"/>
    <n v="1060"/>
  </r>
  <r>
    <n v="10558"/>
    <n v="52"/>
    <n v="7"/>
    <n v="30"/>
    <n v="0"/>
    <s v="Arndt, Torsten"/>
    <s v="Arndt Torsten"/>
    <x v="5"/>
    <s v="WA"/>
    <s v="Product QSRXF"/>
    <x v="1"/>
    <x v="238"/>
    <d v="2007-06-10T00:00:00"/>
    <x v="1"/>
    <s v="Ship to 4-B"/>
    <x v="14"/>
    <s v="Supplier JNNES"/>
    <s v="Australia"/>
    <x v="1"/>
    <n v="210"/>
  </r>
  <r>
    <n v="10558"/>
    <n v="53"/>
    <n v="32.799999999999997"/>
    <n v="18"/>
    <n v="0"/>
    <s v="Arndt, Torsten"/>
    <s v="Arndt Torsten"/>
    <x v="5"/>
    <s v="WA"/>
    <s v="Product BKGEA"/>
    <x v="7"/>
    <x v="238"/>
    <d v="2007-06-10T00:00:00"/>
    <x v="1"/>
    <s v="Ship to 4-B"/>
    <x v="14"/>
    <s v="Supplier JNNES"/>
    <s v="Australia"/>
    <x v="1"/>
    <n v="590.4"/>
  </r>
  <r>
    <n v="10558"/>
    <n v="73"/>
    <n v="15"/>
    <n v="3"/>
    <n v="0"/>
    <s v="Arndt, Torsten"/>
    <s v="Arndt Torsten"/>
    <x v="5"/>
    <s v="WA"/>
    <s v="Product WEUJZ"/>
    <x v="3"/>
    <x v="238"/>
    <d v="2007-06-10T00:00:00"/>
    <x v="1"/>
    <s v="Ship to 4-B"/>
    <x v="14"/>
    <s v="Supplier QZGUF"/>
    <s v="Sweden"/>
    <x v="1"/>
    <n v="45"/>
  </r>
  <r>
    <n v="10559"/>
    <n v="41"/>
    <n v="9.65"/>
    <n v="12"/>
    <n v="0.05"/>
    <s v="Bansal, Dushyant"/>
    <s v="Bansal Dushyant"/>
    <x v="7"/>
    <n v="0"/>
    <s v="Product TTEEX"/>
    <x v="3"/>
    <x v="239"/>
    <d v="2007-06-13T00:00:00"/>
    <x v="2"/>
    <s v="Ship to 7-B"/>
    <x v="2"/>
    <s v="Supplier JDNUG"/>
    <s v="USA"/>
    <x v="1"/>
    <n v="110.01"/>
  </r>
  <r>
    <n v="10559"/>
    <n v="55"/>
    <n v="24"/>
    <n v="18"/>
    <n v="0.05"/>
    <s v="Bansal, Dushyant"/>
    <s v="Bansal Dushyant"/>
    <x v="7"/>
    <n v="0"/>
    <s v="Product YYWRT"/>
    <x v="7"/>
    <x v="239"/>
    <d v="2007-06-13T00:00:00"/>
    <x v="2"/>
    <s v="Ship to 7-B"/>
    <x v="2"/>
    <s v="Supplier ERVYZ"/>
    <s v="Canada"/>
    <x v="1"/>
    <n v="410.4"/>
  </r>
  <r>
    <n v="10560"/>
    <n v="30"/>
    <n v="25.89"/>
    <n v="20"/>
    <n v="0"/>
    <s v="Carlson, Jason"/>
    <s v="Carlson Jason"/>
    <x v="6"/>
    <s v="WA"/>
    <s v="Product LYERX"/>
    <x v="3"/>
    <x v="240"/>
    <d v="2007-06-09T00:00:00"/>
    <x v="2"/>
    <s v="Destination QOCBL"/>
    <x v="8"/>
    <s v="Supplier TEGSC"/>
    <s v="Germany"/>
    <x v="1"/>
    <n v="517.79999999999995"/>
  </r>
  <r>
    <n v="10560"/>
    <n v="62"/>
    <n v="49.3"/>
    <n v="15"/>
    <n v="0.25"/>
    <s v="Carlson, Jason"/>
    <s v="Carlson Jason"/>
    <x v="6"/>
    <s v="WA"/>
    <s v="Product WUXYK"/>
    <x v="5"/>
    <x v="240"/>
    <d v="2007-06-09T00:00:00"/>
    <x v="2"/>
    <s v="Destination QOCBL"/>
    <x v="8"/>
    <s v="Supplier OGLRK"/>
    <s v="Canada"/>
    <x v="1"/>
    <n v="554.625"/>
  </r>
  <r>
    <n v="10561"/>
    <n v="44"/>
    <n v="19.45"/>
    <n v="10"/>
    <n v="0"/>
    <s v="San Juan, Patricia"/>
    <s v="San Juan Patricia"/>
    <x v="8"/>
    <s v="WA"/>
    <s v="Product VJIEO"/>
    <x v="4"/>
    <x v="240"/>
    <d v="2007-06-09T00:00:00"/>
    <x v="1"/>
    <s v="Destination YCMPK"/>
    <x v="10"/>
    <s v="Supplier CIYNM"/>
    <s v="Singapore"/>
    <x v="2"/>
    <n v="194.5"/>
  </r>
  <r>
    <n v="10561"/>
    <n v="51"/>
    <n v="53"/>
    <n v="50"/>
    <n v="0"/>
    <s v="San Juan, Patricia"/>
    <s v="San Juan Patricia"/>
    <x v="8"/>
    <s v="WA"/>
    <s v="Product APITJ"/>
    <x v="2"/>
    <x v="240"/>
    <d v="2007-06-09T00:00:00"/>
    <x v="1"/>
    <s v="Destination YCMPK"/>
    <x v="10"/>
    <s v="Supplier JNNES"/>
    <s v="Australia"/>
    <x v="2"/>
    <n v="2650"/>
  </r>
  <r>
    <n v="10562"/>
    <n v="33"/>
    <n v="2.5"/>
    <n v="20"/>
    <n v="0.1"/>
    <s v="Voss, Florian"/>
    <s v="Voss Florian"/>
    <x v="5"/>
    <s v="WA"/>
    <s v="Product ASTMN"/>
    <x v="0"/>
    <x v="241"/>
    <d v="2007-06-12T00:00:00"/>
    <x v="2"/>
    <s v="Ship to 66-B"/>
    <x v="12"/>
    <s v="Supplier NZLIF"/>
    <s v="Norway"/>
    <x v="1"/>
    <n v="45"/>
  </r>
  <r>
    <n v="10562"/>
    <n v="62"/>
    <n v="49.3"/>
    <n v="10"/>
    <n v="0.1"/>
    <s v="Voss, Florian"/>
    <s v="Voss Florian"/>
    <x v="5"/>
    <s v="WA"/>
    <s v="Product WUXYK"/>
    <x v="5"/>
    <x v="241"/>
    <d v="2007-06-12T00:00:00"/>
    <x v="2"/>
    <s v="Ship to 66-B"/>
    <x v="12"/>
    <s v="Supplier OGLRK"/>
    <s v="Canada"/>
    <x v="1"/>
    <n v="443.7"/>
  </r>
  <r>
    <n v="10563"/>
    <n v="36"/>
    <n v="19"/>
    <n v="25"/>
    <n v="0"/>
    <s v="Garden, Euan"/>
    <s v="Garden Euan"/>
    <x v="8"/>
    <s v="WA"/>
    <s v="Product GMKIJ"/>
    <x v="3"/>
    <x v="242"/>
    <d v="2007-06-24T00:00:00"/>
    <x v="1"/>
    <s v="Ship to 67-B"/>
    <x v="1"/>
    <s v="Supplier QZGUF"/>
    <s v="Sweden"/>
    <x v="1"/>
    <n v="475"/>
  </r>
  <r>
    <n v="10563"/>
    <n v="52"/>
    <n v="7"/>
    <n v="70"/>
    <n v="0"/>
    <s v="Garden, Euan"/>
    <s v="Garden Euan"/>
    <x v="8"/>
    <s v="WA"/>
    <s v="Product QSRXF"/>
    <x v="1"/>
    <x v="242"/>
    <d v="2007-06-24T00:00:00"/>
    <x v="1"/>
    <s v="Ship to 67-B"/>
    <x v="1"/>
    <s v="Supplier JNNES"/>
    <s v="Australia"/>
    <x v="1"/>
    <n v="490"/>
  </r>
  <r>
    <n v="10564"/>
    <n v="17"/>
    <n v="39"/>
    <n v="16"/>
    <n v="0.05"/>
    <s v="Moore, Michael"/>
    <s v="Moore Michael"/>
    <x v="1"/>
    <s v="WA"/>
    <s v="Product BLCAX"/>
    <x v="7"/>
    <x v="242"/>
    <d v="2007-06-16T00:00:00"/>
    <x v="3"/>
    <s v="Ship to 65-B"/>
    <x v="9"/>
    <s v="Supplier GQRCV"/>
    <s v="Australia"/>
    <x v="1"/>
    <n v="592.79999999999995"/>
  </r>
  <r>
    <n v="10564"/>
    <n v="31"/>
    <n v="12.5"/>
    <n v="6"/>
    <n v="0.05"/>
    <s v="Moore, Michael"/>
    <s v="Moore Michael"/>
    <x v="1"/>
    <s v="WA"/>
    <s v="Product XWOXC"/>
    <x v="0"/>
    <x v="242"/>
    <d v="2007-06-16T00:00:00"/>
    <x v="3"/>
    <s v="Ship to 65-B"/>
    <x v="9"/>
    <s v="Supplier KEREV"/>
    <s v="Italy"/>
    <x v="1"/>
    <n v="71.25"/>
  </r>
  <r>
    <n v="10564"/>
    <n v="55"/>
    <n v="24"/>
    <n v="25"/>
    <n v="0.05"/>
    <s v="Moore, Michael"/>
    <s v="Moore Michael"/>
    <x v="1"/>
    <s v="WA"/>
    <s v="Product YYWRT"/>
    <x v="7"/>
    <x v="242"/>
    <d v="2007-06-16T00:00:00"/>
    <x v="3"/>
    <s v="Ship to 65-B"/>
    <x v="9"/>
    <s v="Supplier ERVYZ"/>
    <s v="Canada"/>
    <x v="1"/>
    <n v="570"/>
  </r>
  <r>
    <n v="10565"/>
    <n v="24"/>
    <n v="4.5"/>
    <n v="25"/>
    <n v="0.1"/>
    <s v="Taylor, Maurice"/>
    <s v="Taylor Maurice"/>
    <x v="6"/>
    <s v="WA"/>
    <s v="Product QOGNU"/>
    <x v="6"/>
    <x v="243"/>
    <d v="2007-06-18T00:00:00"/>
    <x v="1"/>
    <s v="Ship to 51-C"/>
    <x v="17"/>
    <s v="Supplier UNAHG"/>
    <s v="Brazil"/>
    <x v="1"/>
    <n v="101.25"/>
  </r>
  <r>
    <n v="10565"/>
    <n v="64"/>
    <n v="33.25"/>
    <n v="18"/>
    <n v="0.1"/>
    <s v="Taylor, Maurice"/>
    <s v="Taylor Maurice"/>
    <x v="6"/>
    <s v="WA"/>
    <s v="Product HCQDE"/>
    <x v="1"/>
    <x v="243"/>
    <d v="2007-06-18T00:00:00"/>
    <x v="1"/>
    <s v="Ship to 51-C"/>
    <x v="17"/>
    <s v="Supplier SVIYA"/>
    <s v="Germany"/>
    <x v="1"/>
    <n v="538.65"/>
  </r>
  <r>
    <n v="10566"/>
    <n v="11"/>
    <n v="21"/>
    <n v="35"/>
    <n v="0.15"/>
    <s v="Bansal, Dushyant"/>
    <s v="Bansal Dushyant"/>
    <x v="4"/>
    <n v="0"/>
    <s v="Product QMVUN"/>
    <x v="0"/>
    <x v="244"/>
    <d v="2007-06-18T00:00:00"/>
    <x v="2"/>
    <s v="Ship to 7-C"/>
    <x v="2"/>
    <s v="Supplier EQPNC"/>
    <s v="Spain"/>
    <x v="1"/>
    <n v="624.75"/>
  </r>
  <r>
    <n v="10566"/>
    <n v="18"/>
    <n v="62.5"/>
    <n v="18"/>
    <n v="0.15"/>
    <s v="Bansal, Dushyant"/>
    <s v="Bansal Dushyant"/>
    <x v="4"/>
    <n v="0"/>
    <s v="Product CKEDC"/>
    <x v="3"/>
    <x v="244"/>
    <d v="2007-06-18T00:00:00"/>
    <x v="2"/>
    <s v="Ship to 7-C"/>
    <x v="2"/>
    <s v="Supplier GQRCV"/>
    <s v="Australia"/>
    <x v="1"/>
    <n v="956.25"/>
  </r>
  <r>
    <n v="10566"/>
    <n v="76"/>
    <n v="18"/>
    <n v="10"/>
    <n v="0"/>
    <s v="Bansal, Dushyant"/>
    <s v="Bansal Dushyant"/>
    <x v="4"/>
    <n v="0"/>
    <s v="Product JYGFE"/>
    <x v="6"/>
    <x v="244"/>
    <d v="2007-06-18T00:00:00"/>
    <x v="2"/>
    <s v="Ship to 7-C"/>
    <x v="2"/>
    <s v="Supplier ELCRN"/>
    <s v="Finland"/>
    <x v="1"/>
    <n v="180"/>
  </r>
  <r>
    <n v="10567"/>
    <n v="31"/>
    <n v="12.5"/>
    <n v="60"/>
    <n v="0.2"/>
    <s v="Crăciun, Ovidiu V."/>
    <s v="Crăciun Ovidiu V."/>
    <x v="5"/>
    <s v="WA"/>
    <s v="Product XWOXC"/>
    <x v="0"/>
    <x v="244"/>
    <d v="2007-06-17T00:00:00"/>
    <x v="2"/>
    <s v="Destination DGKOU"/>
    <x v="15"/>
    <s v="Supplier KEREV"/>
    <s v="Italy"/>
    <x v="1"/>
    <n v="600"/>
  </r>
  <r>
    <n v="10567"/>
    <n v="51"/>
    <n v="53"/>
    <n v="3"/>
    <n v="0"/>
    <s v="Crăciun, Ovidiu V."/>
    <s v="Crăciun Ovidiu V."/>
    <x v="5"/>
    <s v="WA"/>
    <s v="Product APITJ"/>
    <x v="2"/>
    <x v="244"/>
    <d v="2007-06-17T00:00:00"/>
    <x v="2"/>
    <s v="Destination DGKOU"/>
    <x v="15"/>
    <s v="Supplier JNNES"/>
    <s v="Australia"/>
    <x v="1"/>
    <n v="159"/>
  </r>
  <r>
    <n v="10567"/>
    <n v="59"/>
    <n v="55"/>
    <n v="40"/>
    <n v="0.2"/>
    <s v="Crăciun, Ovidiu V."/>
    <s v="Crăciun Ovidiu V."/>
    <x v="5"/>
    <s v="WA"/>
    <s v="Product UKXRI"/>
    <x v="0"/>
    <x v="244"/>
    <d v="2007-06-17T00:00:00"/>
    <x v="2"/>
    <s v="Destination DGKOU"/>
    <x v="15"/>
    <s v="Supplier OAVQT"/>
    <s v="France"/>
    <x v="1"/>
    <n v="1760"/>
  </r>
  <r>
    <n v="10568"/>
    <n v="10"/>
    <n v="31"/>
    <n v="5"/>
    <n v="0"/>
    <s v="Kolesnikova, Katerina"/>
    <s v="Kolesnikova Katerina"/>
    <x v="2"/>
    <s v="WA"/>
    <s v="Product YHXGE"/>
    <x v="3"/>
    <x v="245"/>
    <d v="2007-07-09T00:00:00"/>
    <x v="3"/>
    <s v="Destination VPNNG"/>
    <x v="13"/>
    <s v="Supplier QOVFD"/>
    <s v="Japan"/>
    <x v="1"/>
    <n v="155"/>
  </r>
  <r>
    <n v="10569"/>
    <n v="31"/>
    <n v="12.5"/>
    <n v="35"/>
    <n v="0.2"/>
    <s v="Moore, Michael"/>
    <s v="Moore Michael"/>
    <x v="3"/>
    <n v="0"/>
    <s v="Product XWOXC"/>
    <x v="0"/>
    <x v="246"/>
    <d v="2007-07-11T00:00:00"/>
    <x v="2"/>
    <s v="Ship to 65-B"/>
    <x v="9"/>
    <s v="Supplier KEREV"/>
    <s v="Italy"/>
    <x v="1"/>
    <n v="350"/>
  </r>
  <r>
    <n v="10569"/>
    <n v="76"/>
    <n v="18"/>
    <n v="30"/>
    <n v="0"/>
    <s v="Moore, Michael"/>
    <s v="Moore Michael"/>
    <x v="3"/>
    <n v="0"/>
    <s v="Product JYGFE"/>
    <x v="6"/>
    <x v="246"/>
    <d v="2007-07-11T00:00:00"/>
    <x v="2"/>
    <s v="Ship to 65-B"/>
    <x v="9"/>
    <s v="Supplier ELCRN"/>
    <s v="Finland"/>
    <x v="1"/>
    <n v="540"/>
  </r>
  <r>
    <n v="10570"/>
    <n v="11"/>
    <n v="21"/>
    <n v="15"/>
    <n v="0.05"/>
    <s v="Taylor, Maurice"/>
    <s v="Taylor Maurice"/>
    <x v="2"/>
    <s v="WA"/>
    <s v="Product QMVUN"/>
    <x v="0"/>
    <x v="247"/>
    <d v="2007-06-19T00:00:00"/>
    <x v="3"/>
    <s v="Ship to 51-C"/>
    <x v="17"/>
    <s v="Supplier EQPNC"/>
    <s v="Spain"/>
    <x v="2"/>
    <n v="299.25"/>
  </r>
  <r>
    <n v="10570"/>
    <n v="56"/>
    <n v="38"/>
    <n v="60"/>
    <n v="0.05"/>
    <s v="Taylor, Maurice"/>
    <s v="Taylor Maurice"/>
    <x v="2"/>
    <s v="WA"/>
    <s v="Product VKCMF"/>
    <x v="1"/>
    <x v="247"/>
    <d v="2007-06-19T00:00:00"/>
    <x v="3"/>
    <s v="Ship to 51-C"/>
    <x v="17"/>
    <s v="Supplier ZWZDM"/>
    <s v="Italy"/>
    <x v="2"/>
    <n v="2166"/>
  </r>
  <r>
    <n v="10571"/>
    <n v="14"/>
    <n v="23.25"/>
    <n v="11"/>
    <n v="0.15"/>
    <s v="Kane, John"/>
    <s v="Kane John"/>
    <x v="6"/>
    <s v="WA"/>
    <s v="Product PWCJB"/>
    <x v="2"/>
    <x v="247"/>
    <d v="2007-07-04T00:00:00"/>
    <x v="3"/>
    <s v="Destination RVDMF"/>
    <x v="6"/>
    <s v="Supplier QWUSF"/>
    <s v="Japan"/>
    <x v="1"/>
    <n v="217.38749999999999"/>
  </r>
  <r>
    <n v="10571"/>
    <n v="42"/>
    <n v="14"/>
    <n v="28"/>
    <n v="0.15"/>
    <s v="Kane, John"/>
    <s v="Kane John"/>
    <x v="6"/>
    <s v="WA"/>
    <s v="Product RJVNM"/>
    <x v="1"/>
    <x v="247"/>
    <d v="2007-07-04T00:00:00"/>
    <x v="3"/>
    <s v="Destination RVDMF"/>
    <x v="6"/>
    <s v="Supplier CIYNM"/>
    <s v="Singapore"/>
    <x v="1"/>
    <n v="333.2"/>
  </r>
  <r>
    <n v="10572"/>
    <n v="16"/>
    <n v="17.45"/>
    <n v="12"/>
    <n v="0.1"/>
    <s v="Higginbotham, Tom"/>
    <s v="Higginbotham Tom"/>
    <x v="2"/>
    <s v="WA"/>
    <s v="Product PAFRH"/>
    <x v="5"/>
    <x v="248"/>
    <d v="2007-06-25T00:00:00"/>
    <x v="1"/>
    <s v="Ship to 5-B"/>
    <x v="10"/>
    <s v="Supplier GQRCV"/>
    <s v="Australia"/>
    <x v="2"/>
    <n v="188.45999999999998"/>
  </r>
  <r>
    <n v="10572"/>
    <n v="32"/>
    <n v="32"/>
    <n v="10"/>
    <n v="0.1"/>
    <s v="Higginbotham, Tom"/>
    <s v="Higginbotham Tom"/>
    <x v="2"/>
    <s v="WA"/>
    <s v="Product NUNAW"/>
    <x v="0"/>
    <x v="248"/>
    <d v="2007-06-25T00:00:00"/>
    <x v="1"/>
    <s v="Ship to 5-B"/>
    <x v="10"/>
    <s v="Supplier KEREV"/>
    <s v="Italy"/>
    <x v="2"/>
    <n v="288"/>
  </r>
  <r>
    <n v="10572"/>
    <n v="40"/>
    <n v="18.399999999999999"/>
    <n v="50"/>
    <n v="0"/>
    <s v="Higginbotham, Tom"/>
    <s v="Higginbotham Tom"/>
    <x v="2"/>
    <s v="WA"/>
    <s v="Product YZIXQ"/>
    <x v="3"/>
    <x v="248"/>
    <d v="2007-06-25T00:00:00"/>
    <x v="1"/>
    <s v="Ship to 5-B"/>
    <x v="10"/>
    <s v="Supplier JDNUG"/>
    <s v="USA"/>
    <x v="2"/>
    <n v="919.99999999999989"/>
  </r>
  <r>
    <n v="10572"/>
    <n v="75"/>
    <n v="7.75"/>
    <n v="15"/>
    <n v="0.1"/>
    <s v="Higginbotham, Tom"/>
    <s v="Higginbotham Tom"/>
    <x v="2"/>
    <s v="WA"/>
    <s v="Product BWRLG"/>
    <x v="6"/>
    <x v="248"/>
    <d v="2007-06-25T00:00:00"/>
    <x v="1"/>
    <s v="Ship to 5-B"/>
    <x v="10"/>
    <s v="Supplier SVIYA"/>
    <s v="Germany"/>
    <x v="2"/>
    <n v="104.625"/>
  </r>
  <r>
    <n v="10573"/>
    <n v="17"/>
    <n v="39"/>
    <n v="18"/>
    <n v="0"/>
    <s v="Peoples, John"/>
    <s v="Peoples John"/>
    <x v="9"/>
    <n v="0"/>
    <s v="Product BLCAX"/>
    <x v="7"/>
    <x v="249"/>
    <d v="2007-06-20T00:00:00"/>
    <x v="3"/>
    <s v="Destination LANNN"/>
    <x v="7"/>
    <s v="Supplier GQRCV"/>
    <s v="Australia"/>
    <x v="1"/>
    <n v="702"/>
  </r>
  <r>
    <n v="10573"/>
    <n v="34"/>
    <n v="14"/>
    <n v="40"/>
    <n v="0"/>
    <s v="Peoples, John"/>
    <s v="Peoples John"/>
    <x v="9"/>
    <n v="0"/>
    <s v="Product SWNJY"/>
    <x v="6"/>
    <x v="249"/>
    <d v="2007-06-20T00:00:00"/>
    <x v="3"/>
    <s v="Destination LANNN"/>
    <x v="7"/>
    <s v="Supplier UHZRG"/>
    <s v="USA"/>
    <x v="1"/>
    <n v="560"/>
  </r>
  <r>
    <n v="10573"/>
    <n v="53"/>
    <n v="32.799999999999997"/>
    <n v="25"/>
    <n v="0"/>
    <s v="Peoples, John"/>
    <s v="Peoples John"/>
    <x v="9"/>
    <n v="0"/>
    <s v="Product BKGEA"/>
    <x v="7"/>
    <x v="249"/>
    <d v="2007-06-20T00:00:00"/>
    <x v="3"/>
    <s v="Destination LANNN"/>
    <x v="7"/>
    <s v="Supplier JNNES"/>
    <s v="Australia"/>
    <x v="1"/>
    <n v="819.99999999999989"/>
  </r>
  <r>
    <n v="10574"/>
    <n v="33"/>
    <n v="2.5"/>
    <n v="14"/>
    <n v="0"/>
    <s v="Veninga, Tjeerd"/>
    <s v="Veninga Tjeerd"/>
    <x v="1"/>
    <s v="WA"/>
    <s v="Product ASTMN"/>
    <x v="0"/>
    <x v="249"/>
    <d v="2007-06-30T00:00:00"/>
    <x v="1"/>
    <s v="Ship to 82-A"/>
    <x v="9"/>
    <s v="Supplier NZLIF"/>
    <s v="Norway"/>
    <x v="1"/>
    <n v="35"/>
  </r>
  <r>
    <n v="10574"/>
    <n v="40"/>
    <n v="18.399999999999999"/>
    <n v="2"/>
    <n v="0"/>
    <s v="Veninga, Tjeerd"/>
    <s v="Veninga Tjeerd"/>
    <x v="1"/>
    <s v="WA"/>
    <s v="Product YZIXQ"/>
    <x v="3"/>
    <x v="249"/>
    <d v="2007-06-30T00:00:00"/>
    <x v="1"/>
    <s v="Ship to 82-A"/>
    <x v="9"/>
    <s v="Supplier JDNUG"/>
    <s v="USA"/>
    <x v="1"/>
    <n v="36.799999999999997"/>
  </r>
  <r>
    <n v="10574"/>
    <n v="62"/>
    <n v="49.3"/>
    <n v="10"/>
    <n v="0"/>
    <s v="Veninga, Tjeerd"/>
    <s v="Veninga Tjeerd"/>
    <x v="1"/>
    <s v="WA"/>
    <s v="Product WUXYK"/>
    <x v="5"/>
    <x v="249"/>
    <d v="2007-06-30T00:00:00"/>
    <x v="1"/>
    <s v="Ship to 82-A"/>
    <x v="9"/>
    <s v="Supplier OGLRK"/>
    <s v="Canada"/>
    <x v="1"/>
    <n v="493"/>
  </r>
  <r>
    <n v="10574"/>
    <n v="64"/>
    <n v="33.25"/>
    <n v="6"/>
    <n v="0"/>
    <s v="Veninga, Tjeerd"/>
    <s v="Veninga Tjeerd"/>
    <x v="1"/>
    <s v="WA"/>
    <s v="Product HCQDE"/>
    <x v="1"/>
    <x v="249"/>
    <d v="2007-06-30T00:00:00"/>
    <x v="1"/>
    <s v="Ship to 82-A"/>
    <x v="9"/>
    <s v="Supplier SVIYA"/>
    <s v="Germany"/>
    <x v="1"/>
    <n v="199.5"/>
  </r>
  <r>
    <n v="10575"/>
    <n v="59"/>
    <n v="55"/>
    <n v="12"/>
    <n v="0"/>
    <s v="Dupont-Roc, Patrice"/>
    <s v="Dupont-Roc Patrice"/>
    <x v="3"/>
    <n v="0"/>
    <s v="Product UKXRI"/>
    <x v="0"/>
    <x v="250"/>
    <d v="2007-06-30T00:00:00"/>
    <x v="2"/>
    <s v="Ship to 52-C"/>
    <x v="8"/>
    <s v="Supplier OAVQT"/>
    <s v="France"/>
    <x v="2"/>
    <n v="660"/>
  </r>
  <r>
    <n v="10575"/>
    <n v="63"/>
    <n v="43.9"/>
    <n v="6"/>
    <n v="0"/>
    <s v="Dupont-Roc, Patrice"/>
    <s v="Dupont-Roc Patrice"/>
    <x v="3"/>
    <n v="0"/>
    <s v="Product ICKNK"/>
    <x v="4"/>
    <x v="250"/>
    <d v="2007-06-30T00:00:00"/>
    <x v="2"/>
    <s v="Ship to 52-C"/>
    <x v="8"/>
    <s v="Supplier GQRCV"/>
    <s v="Australia"/>
    <x v="2"/>
    <n v="263.39999999999998"/>
  </r>
  <r>
    <n v="10575"/>
    <n v="72"/>
    <n v="34.799999999999997"/>
    <n v="30"/>
    <n v="0"/>
    <s v="Dupont-Roc, Patrice"/>
    <s v="Dupont-Roc Patrice"/>
    <x v="3"/>
    <n v="0"/>
    <s v="Product GEEOO"/>
    <x v="0"/>
    <x v="250"/>
    <d v="2007-06-30T00:00:00"/>
    <x v="2"/>
    <s v="Ship to 52-C"/>
    <x v="8"/>
    <s v="Supplier KEREV"/>
    <s v="Italy"/>
    <x v="2"/>
    <n v="1044"/>
  </r>
  <r>
    <n v="10575"/>
    <n v="76"/>
    <n v="18"/>
    <n v="10"/>
    <n v="0"/>
    <s v="Dupont-Roc, Patrice"/>
    <s v="Dupont-Roc Patrice"/>
    <x v="3"/>
    <n v="0"/>
    <s v="Product JYGFE"/>
    <x v="6"/>
    <x v="250"/>
    <d v="2007-06-30T00:00:00"/>
    <x v="2"/>
    <s v="Ship to 52-C"/>
    <x v="8"/>
    <s v="Supplier ELCRN"/>
    <s v="Finland"/>
    <x v="2"/>
    <n v="180"/>
  </r>
  <r>
    <n v="10576"/>
    <n v="1"/>
    <n v="18"/>
    <n v="10"/>
    <n v="0"/>
    <s v="Geschwandtner, Jens"/>
    <s v="Geschwandtner Jens"/>
    <x v="2"/>
    <s v="WA"/>
    <s v="Product HHYDP"/>
    <x v="6"/>
    <x v="251"/>
    <d v="2007-06-30T00:00:00"/>
    <x v="3"/>
    <s v="Ship to 80-C"/>
    <x v="7"/>
    <s v="Supplier SWRXU"/>
    <s v="UK"/>
    <x v="1"/>
    <n v="180"/>
  </r>
  <r>
    <n v="10576"/>
    <n v="31"/>
    <n v="12.5"/>
    <n v="20"/>
    <n v="0"/>
    <s v="Geschwandtner, Jens"/>
    <s v="Geschwandtner Jens"/>
    <x v="2"/>
    <s v="WA"/>
    <s v="Product XWOXC"/>
    <x v="0"/>
    <x v="251"/>
    <d v="2007-06-30T00:00:00"/>
    <x v="3"/>
    <s v="Ship to 80-C"/>
    <x v="7"/>
    <s v="Supplier KEREV"/>
    <s v="Italy"/>
    <x v="1"/>
    <n v="250"/>
  </r>
  <r>
    <n v="10576"/>
    <n v="44"/>
    <n v="19.45"/>
    <n v="21"/>
    <n v="0"/>
    <s v="Geschwandtner, Jens"/>
    <s v="Geschwandtner Jens"/>
    <x v="2"/>
    <s v="WA"/>
    <s v="Product VJIEO"/>
    <x v="4"/>
    <x v="251"/>
    <d v="2007-06-30T00:00:00"/>
    <x v="3"/>
    <s v="Ship to 80-C"/>
    <x v="7"/>
    <s v="Supplier CIYNM"/>
    <s v="Singapore"/>
    <x v="1"/>
    <n v="408.45"/>
  </r>
  <r>
    <n v="10577"/>
    <n v="39"/>
    <n v="18"/>
    <n v="10"/>
    <n v="0"/>
    <s v="Veninga, Tjeerd"/>
    <s v="Veninga Tjeerd"/>
    <x v="4"/>
    <n v="0"/>
    <s v="Product LSOFL"/>
    <x v="6"/>
    <x v="251"/>
    <d v="2007-06-30T00:00:00"/>
    <x v="1"/>
    <s v="Ship to 82-B"/>
    <x v="9"/>
    <s v="Supplier LVJUA"/>
    <s v="France"/>
    <x v="1"/>
    <n v="180"/>
  </r>
  <r>
    <n v="10577"/>
    <n v="75"/>
    <n v="7.75"/>
    <n v="20"/>
    <n v="0"/>
    <s v="Veninga, Tjeerd"/>
    <s v="Veninga Tjeerd"/>
    <x v="4"/>
    <n v="0"/>
    <s v="Product BWRLG"/>
    <x v="6"/>
    <x v="251"/>
    <d v="2007-06-30T00:00:00"/>
    <x v="1"/>
    <s v="Ship to 82-B"/>
    <x v="9"/>
    <s v="Supplier SVIYA"/>
    <s v="Germany"/>
    <x v="1"/>
    <n v="155"/>
  </r>
  <r>
    <n v="10577"/>
    <n v="77"/>
    <n v="13"/>
    <n v="18"/>
    <n v="0"/>
    <s v="Veninga, Tjeerd"/>
    <s v="Veninga Tjeerd"/>
    <x v="4"/>
    <n v="0"/>
    <s v="Product LUNZZ"/>
    <x v="4"/>
    <x v="251"/>
    <d v="2007-06-30T00:00:00"/>
    <x v="1"/>
    <s v="Ship to 82-B"/>
    <x v="9"/>
    <s v="Supplier SVIYA"/>
    <s v="Germany"/>
    <x v="1"/>
    <n v="234"/>
  </r>
  <r>
    <n v="10578"/>
    <n v="35"/>
    <n v="18"/>
    <n v="20"/>
    <n v="0"/>
    <s v="Jaffe, David"/>
    <s v="Jaffe David"/>
    <x v="1"/>
    <s v="WA"/>
    <s v="Product NEVTJ"/>
    <x v="6"/>
    <x v="252"/>
    <d v="2007-07-25T00:00:00"/>
    <x v="3"/>
    <s v="Destination NZASL"/>
    <x v="14"/>
    <s v="Supplier UHZRG"/>
    <s v="USA"/>
    <x v="1"/>
    <n v="360"/>
  </r>
  <r>
    <n v="10578"/>
    <n v="57"/>
    <n v="19.5"/>
    <n v="6"/>
    <n v="0"/>
    <s v="Jaffe, David"/>
    <s v="Jaffe David"/>
    <x v="1"/>
    <s v="WA"/>
    <s v="Product OVLQI"/>
    <x v="1"/>
    <x v="252"/>
    <d v="2007-07-25T00:00:00"/>
    <x v="3"/>
    <s v="Destination NZASL"/>
    <x v="14"/>
    <s v="Supplier ZWZDM"/>
    <s v="Italy"/>
    <x v="1"/>
    <n v="117"/>
  </r>
  <r>
    <n v="10579"/>
    <n v="15"/>
    <n v="15.5"/>
    <n v="10"/>
    <n v="0"/>
    <s v="Sunkammurali, Krishna"/>
    <s v="Sunkammurali Krishna"/>
    <x v="5"/>
    <s v="WA"/>
    <s v="Product KSZOI"/>
    <x v="4"/>
    <x v="253"/>
    <d v="2007-07-04T00:00:00"/>
    <x v="1"/>
    <s v="Ship to 45-C"/>
    <x v="9"/>
    <s v="Supplier QWUSF"/>
    <s v="Japan"/>
    <x v="1"/>
    <n v="155"/>
  </r>
  <r>
    <n v="10579"/>
    <n v="75"/>
    <n v="7.75"/>
    <n v="21"/>
    <n v="0"/>
    <s v="Sunkammurali, Krishna"/>
    <s v="Sunkammurali Krishna"/>
    <x v="5"/>
    <s v="WA"/>
    <s v="Product BWRLG"/>
    <x v="6"/>
    <x v="253"/>
    <d v="2007-07-04T00:00:00"/>
    <x v="1"/>
    <s v="Ship to 45-C"/>
    <x v="9"/>
    <s v="Supplier SVIYA"/>
    <s v="Germany"/>
    <x v="1"/>
    <n v="162.75"/>
  </r>
  <r>
    <n v="10580"/>
    <n v="14"/>
    <n v="23.25"/>
    <n v="15"/>
    <n v="0.05"/>
    <s v="Marinova, Nadejda"/>
    <s v="Marinova Nadejda"/>
    <x v="1"/>
    <s v="WA"/>
    <s v="Product PWCJB"/>
    <x v="2"/>
    <x v="254"/>
    <d v="2007-07-01T00:00:00"/>
    <x v="3"/>
    <s v="Ship to 56-C"/>
    <x v="8"/>
    <s v="Supplier QWUSF"/>
    <s v="Japan"/>
    <x v="1"/>
    <n v="331.3125"/>
  </r>
  <r>
    <n v="10580"/>
    <n v="41"/>
    <n v="9.65"/>
    <n v="9"/>
    <n v="0.05"/>
    <s v="Marinova, Nadejda"/>
    <s v="Marinova Nadejda"/>
    <x v="1"/>
    <s v="WA"/>
    <s v="Product TTEEX"/>
    <x v="3"/>
    <x v="254"/>
    <d v="2007-07-01T00:00:00"/>
    <x v="3"/>
    <s v="Ship to 56-C"/>
    <x v="8"/>
    <s v="Supplier JDNUG"/>
    <s v="USA"/>
    <x v="1"/>
    <n v="82.507500000000007"/>
  </r>
  <r>
    <n v="10580"/>
    <n v="65"/>
    <n v="21.05"/>
    <n v="30"/>
    <n v="0.05"/>
    <s v="Marinova, Nadejda"/>
    <s v="Marinova Nadejda"/>
    <x v="1"/>
    <s v="WA"/>
    <s v="Product XYWBZ"/>
    <x v="4"/>
    <x v="254"/>
    <d v="2007-07-01T00:00:00"/>
    <x v="3"/>
    <s v="Ship to 56-C"/>
    <x v="8"/>
    <s v="Supplier VHQZD"/>
    <s v="USA"/>
    <x v="1"/>
    <n v="599.92499999999995"/>
  </r>
  <r>
    <n v="10581"/>
    <n v="75"/>
    <n v="7.75"/>
    <n v="50"/>
    <n v="0.2"/>
    <s v="Russo, Giuseppe"/>
    <s v="Russo Giuseppe"/>
    <x v="2"/>
    <s v="WA"/>
    <s v="Product BWRLG"/>
    <x v="6"/>
    <x v="254"/>
    <d v="2007-07-02T00:00:00"/>
    <x v="2"/>
    <s v="Destination SSYXZ"/>
    <x v="1"/>
    <s v="Supplier SVIYA"/>
    <s v="Germany"/>
    <x v="1"/>
    <n v="310"/>
  </r>
  <r>
    <n v="10582"/>
    <n v="57"/>
    <n v="19.5"/>
    <n v="4"/>
    <n v="0"/>
    <s v="Poland, Carole"/>
    <s v="Poland Carole"/>
    <x v="2"/>
    <s v="WA"/>
    <s v="Product OVLQI"/>
    <x v="1"/>
    <x v="255"/>
    <d v="2007-07-14T00:00:00"/>
    <x v="1"/>
    <s v="Ship to 6-A"/>
    <x v="8"/>
    <s v="Supplier ZWZDM"/>
    <s v="Italy"/>
    <x v="1"/>
    <n v="78"/>
  </r>
  <r>
    <n v="10582"/>
    <n v="76"/>
    <n v="18"/>
    <n v="14"/>
    <n v="0"/>
    <s v="Poland, Carole"/>
    <s v="Poland Carole"/>
    <x v="2"/>
    <s v="WA"/>
    <s v="Product JYGFE"/>
    <x v="6"/>
    <x v="255"/>
    <d v="2007-07-14T00:00:00"/>
    <x v="1"/>
    <s v="Ship to 6-A"/>
    <x v="8"/>
    <s v="Supplier ELCRN"/>
    <s v="Finland"/>
    <x v="1"/>
    <n v="252"/>
  </r>
  <r>
    <n v="10583"/>
    <n v="29"/>
    <n v="123.79"/>
    <n v="10"/>
    <n v="0"/>
    <s v="Ludwig, Michael"/>
    <s v="Ludwig Michael"/>
    <x v="8"/>
    <s v="WA"/>
    <s v="Product VJXYN"/>
    <x v="7"/>
    <x v="256"/>
    <d v="2007-07-04T00:00:00"/>
    <x v="1"/>
    <s v="Ship to 87-C"/>
    <x v="11"/>
    <s v="Supplier SVIYA"/>
    <s v="Germany"/>
    <x v="1"/>
    <n v="1237.9000000000001"/>
  </r>
  <r>
    <n v="10583"/>
    <n v="60"/>
    <n v="34"/>
    <n v="24"/>
    <n v="0.15"/>
    <s v="Ludwig, Michael"/>
    <s v="Ludwig Michael"/>
    <x v="8"/>
    <s v="WA"/>
    <s v="Product WHBYK"/>
    <x v="0"/>
    <x v="256"/>
    <d v="2007-07-04T00:00:00"/>
    <x v="1"/>
    <s v="Ship to 87-C"/>
    <x v="11"/>
    <s v="Supplier OAVQT"/>
    <s v="France"/>
    <x v="1"/>
    <n v="693.6"/>
  </r>
  <r>
    <n v="10583"/>
    <n v="69"/>
    <n v="36"/>
    <n v="10"/>
    <n v="0.15"/>
    <s v="Ludwig, Michael"/>
    <s v="Ludwig Michael"/>
    <x v="8"/>
    <s v="WA"/>
    <s v="Product COAXA"/>
    <x v="0"/>
    <x v="256"/>
    <d v="2007-07-04T00:00:00"/>
    <x v="1"/>
    <s v="Ship to 87-C"/>
    <x v="11"/>
    <s v="Supplier NZLIF"/>
    <s v="Norway"/>
    <x v="1"/>
    <n v="306"/>
  </r>
  <r>
    <n v="10584"/>
    <n v="31"/>
    <n v="12.5"/>
    <n v="50"/>
    <n v="0.05"/>
    <s v="Bansal, Dushyant"/>
    <s v="Bansal Dushyant"/>
    <x v="1"/>
    <s v="WA"/>
    <s v="Product XWOXC"/>
    <x v="0"/>
    <x v="256"/>
    <d v="2007-07-04T00:00:00"/>
    <x v="2"/>
    <s v="Ship to 7-B"/>
    <x v="2"/>
    <s v="Supplier KEREV"/>
    <s v="Italy"/>
    <x v="1"/>
    <n v="593.75"/>
  </r>
  <r>
    <n v="10585"/>
    <n v="47"/>
    <n v="9.5"/>
    <n v="15"/>
    <n v="0"/>
    <s v="Li, Yan"/>
    <s v="Li Yan"/>
    <x v="9"/>
    <n v="0"/>
    <s v="Product EZZPR"/>
    <x v="5"/>
    <x v="257"/>
    <d v="2007-07-10T00:00:00"/>
    <x v="2"/>
    <s v="Ship to 88-A"/>
    <x v="1"/>
    <s v="Supplier FNUXM"/>
    <s v="Netherlands"/>
    <x v="1"/>
    <n v="142.5"/>
  </r>
  <r>
    <n v="10586"/>
    <n v="52"/>
    <n v="7"/>
    <n v="4"/>
    <n v="0.15"/>
    <s v="Voss, Florian"/>
    <s v="Voss Florian"/>
    <x v="4"/>
    <n v="0"/>
    <s v="Product QSRXF"/>
    <x v="1"/>
    <x v="258"/>
    <d v="2007-07-09T00:00:00"/>
    <x v="2"/>
    <s v="Ship to 66-B"/>
    <x v="12"/>
    <s v="Supplier JNNES"/>
    <s v="Australia"/>
    <x v="1"/>
    <n v="23.8"/>
  </r>
  <r>
    <n v="10587"/>
    <n v="26"/>
    <n v="31.23"/>
    <n v="6"/>
    <n v="0"/>
    <s v="Florczyk, Krzysztof"/>
    <s v="Florczyk Krzysztof"/>
    <x v="5"/>
    <s v="WA"/>
    <s v="Product HLGZA"/>
    <x v="5"/>
    <x v="258"/>
    <d v="2007-07-09T00:00:00"/>
    <x v="2"/>
    <s v="Ship to 61-C"/>
    <x v="1"/>
    <s v="Supplier ZPYVS"/>
    <s v="Germany"/>
    <x v="1"/>
    <n v="187.38"/>
  </r>
  <r>
    <n v="10587"/>
    <n v="35"/>
    <n v="18"/>
    <n v="20"/>
    <n v="0"/>
    <s v="Florczyk, Krzysztof"/>
    <s v="Florczyk Krzysztof"/>
    <x v="5"/>
    <s v="WA"/>
    <s v="Product NEVTJ"/>
    <x v="6"/>
    <x v="258"/>
    <d v="2007-07-09T00:00:00"/>
    <x v="2"/>
    <s v="Ship to 61-C"/>
    <x v="1"/>
    <s v="Supplier UHZRG"/>
    <s v="USA"/>
    <x v="1"/>
    <n v="360"/>
  </r>
  <r>
    <n v="10587"/>
    <n v="77"/>
    <n v="13"/>
    <n v="20"/>
    <n v="0"/>
    <s v="Florczyk, Krzysztof"/>
    <s v="Florczyk Krzysztof"/>
    <x v="5"/>
    <s v="WA"/>
    <s v="Product LUNZZ"/>
    <x v="4"/>
    <x v="258"/>
    <d v="2007-07-09T00:00:00"/>
    <x v="2"/>
    <s v="Ship to 61-C"/>
    <x v="1"/>
    <s v="Supplier SVIYA"/>
    <s v="Germany"/>
    <x v="1"/>
    <n v="260"/>
  </r>
  <r>
    <n v="10588"/>
    <n v="18"/>
    <n v="62.5"/>
    <n v="40"/>
    <n v="0.2"/>
    <s v="Veronesi, Giorgio"/>
    <s v="Veronesi Giorgio"/>
    <x v="8"/>
    <s v="WA"/>
    <s v="Product CKEDC"/>
    <x v="3"/>
    <x v="259"/>
    <d v="2007-07-10T00:00:00"/>
    <x v="3"/>
    <s v="Ship to 63-A"/>
    <x v="8"/>
    <s v="Supplier GQRCV"/>
    <s v="Australia"/>
    <x v="2"/>
    <n v="2000"/>
  </r>
  <r>
    <n v="10588"/>
    <n v="42"/>
    <n v="14"/>
    <n v="100"/>
    <n v="0.2"/>
    <s v="Veronesi, Giorgio"/>
    <s v="Veronesi Giorgio"/>
    <x v="8"/>
    <s v="WA"/>
    <s v="Product RJVNM"/>
    <x v="1"/>
    <x v="259"/>
    <d v="2007-07-10T00:00:00"/>
    <x v="3"/>
    <s v="Ship to 63-A"/>
    <x v="8"/>
    <s v="Supplier CIYNM"/>
    <s v="Singapore"/>
    <x v="2"/>
    <n v="1120"/>
  </r>
  <r>
    <n v="10589"/>
    <n v="35"/>
    <n v="18"/>
    <n v="4"/>
    <n v="0"/>
    <s v="Krishnan, Venky"/>
    <s v="Krishnan Venky"/>
    <x v="6"/>
    <s v="WA"/>
    <s v="Product NEVTJ"/>
    <x v="6"/>
    <x v="260"/>
    <d v="2007-07-14T00:00:00"/>
    <x v="1"/>
    <s v="Destination AVQUS"/>
    <x v="9"/>
    <s v="Supplier UHZRG"/>
    <s v="USA"/>
    <x v="1"/>
    <n v="72"/>
  </r>
  <r>
    <n v="10590"/>
    <n v="1"/>
    <n v="18"/>
    <n v="20"/>
    <n v="0"/>
    <s v="Taylor, Maurice"/>
    <s v="Taylor Maurice"/>
    <x v="1"/>
    <s v="WA"/>
    <s v="Product HHYDP"/>
    <x v="6"/>
    <x v="261"/>
    <d v="2007-07-14T00:00:00"/>
    <x v="3"/>
    <s v="Ship to 51-B"/>
    <x v="17"/>
    <s v="Supplier SWRXU"/>
    <s v="UK"/>
    <x v="1"/>
    <n v="360"/>
  </r>
  <r>
    <n v="10590"/>
    <n v="77"/>
    <n v="13"/>
    <n v="60"/>
    <n v="0.05"/>
    <s v="Taylor, Maurice"/>
    <s v="Taylor Maurice"/>
    <x v="1"/>
    <s v="WA"/>
    <s v="Product LUNZZ"/>
    <x v="4"/>
    <x v="261"/>
    <d v="2007-07-14T00:00:00"/>
    <x v="3"/>
    <s v="Ship to 51-B"/>
    <x v="17"/>
    <s v="Supplier SVIYA"/>
    <s v="Germany"/>
    <x v="1"/>
    <n v="741"/>
  </r>
  <r>
    <n v="10591"/>
    <n v="3"/>
    <n v="10"/>
    <n v="14"/>
    <n v="0"/>
    <s v="Fonteneau, Karl"/>
    <s v="Fonteneau Karl"/>
    <x v="5"/>
    <s v="WA"/>
    <s v="Product IMEHJ"/>
    <x v="4"/>
    <x v="261"/>
    <d v="2007-07-16T00:00:00"/>
    <x v="2"/>
    <s v="Ship to 83-A"/>
    <x v="18"/>
    <s v="Supplier SWRXU"/>
    <s v="UK"/>
    <x v="1"/>
    <n v="140"/>
  </r>
  <r>
    <n v="10591"/>
    <n v="7"/>
    <n v="30"/>
    <n v="10"/>
    <n v="0"/>
    <s v="Fonteneau, Karl"/>
    <s v="Fonteneau Karl"/>
    <x v="5"/>
    <s v="WA"/>
    <s v="Product HMLNI"/>
    <x v="2"/>
    <x v="261"/>
    <d v="2007-07-16T00:00:00"/>
    <x v="2"/>
    <s v="Ship to 83-A"/>
    <x v="18"/>
    <s v="Supplier STUAZ"/>
    <s v="USA"/>
    <x v="1"/>
    <n v="300"/>
  </r>
  <r>
    <n v="10591"/>
    <n v="54"/>
    <n v="7.45"/>
    <n v="50"/>
    <n v="0"/>
    <s v="Fonteneau, Karl"/>
    <s v="Fonteneau Karl"/>
    <x v="5"/>
    <s v="WA"/>
    <s v="Product QAQRL"/>
    <x v="7"/>
    <x v="261"/>
    <d v="2007-07-16T00:00:00"/>
    <x v="2"/>
    <s v="Ship to 83-A"/>
    <x v="18"/>
    <s v="Supplier ERVYZ"/>
    <s v="Canada"/>
    <x v="1"/>
    <n v="372.5"/>
  </r>
  <r>
    <n v="10592"/>
    <n v="15"/>
    <n v="15.5"/>
    <n v="25"/>
    <n v="0.05"/>
    <s v="Louverdis, George"/>
    <s v="Louverdis George"/>
    <x v="2"/>
    <s v="WA"/>
    <s v="Product KSZOI"/>
    <x v="4"/>
    <x v="262"/>
    <d v="2007-07-16T00:00:00"/>
    <x v="2"/>
    <s v="Ship to 44-B"/>
    <x v="8"/>
    <s v="Supplier QWUSF"/>
    <s v="Japan"/>
    <x v="1"/>
    <n v="368.125"/>
  </r>
  <r>
    <n v="10592"/>
    <n v="26"/>
    <n v="31.23"/>
    <n v="5"/>
    <n v="0.05"/>
    <s v="Louverdis, George"/>
    <s v="Louverdis George"/>
    <x v="2"/>
    <s v="WA"/>
    <s v="Product HLGZA"/>
    <x v="5"/>
    <x v="262"/>
    <d v="2007-07-16T00:00:00"/>
    <x v="2"/>
    <s v="Ship to 44-B"/>
    <x v="8"/>
    <s v="Supplier ZPYVS"/>
    <s v="Germany"/>
    <x v="1"/>
    <n v="148.3425"/>
  </r>
  <r>
    <n v="10593"/>
    <n v="20"/>
    <n v="81"/>
    <n v="21"/>
    <n v="0.2"/>
    <s v="Louverdis, George"/>
    <s v="Louverdis George"/>
    <x v="9"/>
    <n v="0"/>
    <s v="Product QHFFP"/>
    <x v="5"/>
    <x v="263"/>
    <d v="2007-08-13T00:00:00"/>
    <x v="1"/>
    <s v="Ship to 44-C"/>
    <x v="8"/>
    <s v="Supplier BWGYE"/>
    <s v="UK"/>
    <x v="2"/>
    <n v="1360.8000000000002"/>
  </r>
  <r>
    <n v="10593"/>
    <n v="69"/>
    <n v="36"/>
    <n v="20"/>
    <n v="0.2"/>
    <s v="Louverdis, George"/>
    <s v="Louverdis George"/>
    <x v="9"/>
    <n v="0"/>
    <s v="Product COAXA"/>
    <x v="0"/>
    <x v="263"/>
    <d v="2007-08-13T00:00:00"/>
    <x v="1"/>
    <s v="Ship to 44-C"/>
    <x v="8"/>
    <s v="Supplier NZLIF"/>
    <s v="Norway"/>
    <x v="2"/>
    <n v="576"/>
  </r>
  <r>
    <n v="10593"/>
    <n v="76"/>
    <n v="18"/>
    <n v="4"/>
    <n v="0.2"/>
    <s v="Louverdis, George"/>
    <s v="Louverdis George"/>
    <x v="9"/>
    <n v="0"/>
    <s v="Product JYGFE"/>
    <x v="6"/>
    <x v="263"/>
    <d v="2007-08-13T00:00:00"/>
    <x v="1"/>
    <s v="Ship to 44-C"/>
    <x v="8"/>
    <s v="Supplier ELCRN"/>
    <s v="Finland"/>
    <x v="2"/>
    <n v="57.6"/>
  </r>
  <r>
    <n v="10594"/>
    <n v="52"/>
    <n v="7"/>
    <n v="24"/>
    <n v="0"/>
    <s v="Egelund-Muller, Anja"/>
    <s v="Egelund-Muller Anja"/>
    <x v="2"/>
    <s v="WA"/>
    <s v="Product QSRXF"/>
    <x v="1"/>
    <x v="263"/>
    <d v="2007-07-16T00:00:00"/>
    <x v="1"/>
    <s v="Ship to 55-B"/>
    <x v="9"/>
    <s v="Supplier JNNES"/>
    <s v="Australia"/>
    <x v="1"/>
    <n v="168"/>
  </r>
  <r>
    <n v="10594"/>
    <n v="58"/>
    <n v="13.25"/>
    <n v="30"/>
    <n v="0"/>
    <s v="Egelund-Muller, Anja"/>
    <s v="Egelund-Muller Anja"/>
    <x v="2"/>
    <s v="WA"/>
    <s v="Product ACRVI"/>
    <x v="3"/>
    <x v="263"/>
    <d v="2007-07-16T00:00:00"/>
    <x v="1"/>
    <s v="Ship to 55-B"/>
    <x v="9"/>
    <s v="Supplier ZRYDZ"/>
    <s v="France"/>
    <x v="1"/>
    <n v="397.5"/>
  </r>
  <r>
    <n v="10595"/>
    <n v="35"/>
    <n v="18"/>
    <n v="30"/>
    <n v="0.25"/>
    <s v="Kane, John"/>
    <s v="Kane John"/>
    <x v="8"/>
    <s v="WA"/>
    <s v="Product NEVTJ"/>
    <x v="6"/>
    <x v="264"/>
    <d v="2007-07-14T00:00:00"/>
    <x v="2"/>
    <s v="Destination CUVPF"/>
    <x v="6"/>
    <s v="Supplier UHZRG"/>
    <s v="USA"/>
    <x v="1"/>
    <n v="405"/>
  </r>
  <r>
    <n v="10595"/>
    <n v="61"/>
    <n v="28.5"/>
    <n v="120"/>
    <n v="0.25"/>
    <s v="Kane, John"/>
    <s v="Kane John"/>
    <x v="8"/>
    <s v="WA"/>
    <s v="Product XYZPE"/>
    <x v="4"/>
    <x v="264"/>
    <d v="2007-07-14T00:00:00"/>
    <x v="2"/>
    <s v="Destination CUVPF"/>
    <x v="6"/>
    <s v="Supplier OGLRK"/>
    <s v="Canada"/>
    <x v="1"/>
    <n v="2565"/>
  </r>
  <r>
    <n v="10595"/>
    <n v="69"/>
    <n v="36"/>
    <n v="65"/>
    <n v="0.25"/>
    <s v="Kane, John"/>
    <s v="Kane John"/>
    <x v="8"/>
    <s v="WA"/>
    <s v="Product COAXA"/>
    <x v="0"/>
    <x v="264"/>
    <d v="2007-07-14T00:00:00"/>
    <x v="2"/>
    <s v="Destination CUVPF"/>
    <x v="6"/>
    <s v="Supplier NZLIF"/>
    <s v="Norway"/>
    <x v="1"/>
    <n v="1755"/>
  </r>
  <r>
    <n v="10596"/>
    <n v="56"/>
    <n v="38"/>
    <n v="5"/>
    <n v="0.2"/>
    <s v="Smith Jr., Ronaldo"/>
    <s v="Smith Jr. Ronaldo"/>
    <x v="6"/>
    <s v="WA"/>
    <s v="Product VKCMF"/>
    <x v="1"/>
    <x v="265"/>
    <d v="2007-08-12T00:00:00"/>
    <x v="2"/>
    <s v="Ship to 89-C"/>
    <x v="9"/>
    <s v="Supplier ZWZDM"/>
    <s v="Italy"/>
    <x v="1"/>
    <n v="152"/>
  </r>
  <r>
    <n v="10596"/>
    <n v="63"/>
    <n v="43.9"/>
    <n v="24"/>
    <n v="0.2"/>
    <s v="Smith Jr., Ronaldo"/>
    <s v="Smith Jr. Ronaldo"/>
    <x v="6"/>
    <s v="WA"/>
    <s v="Product ICKNK"/>
    <x v="4"/>
    <x v="265"/>
    <d v="2007-08-12T00:00:00"/>
    <x v="2"/>
    <s v="Ship to 89-C"/>
    <x v="9"/>
    <s v="Supplier GQRCV"/>
    <s v="Australia"/>
    <x v="1"/>
    <n v="842.88"/>
  </r>
  <r>
    <n v="10596"/>
    <n v="75"/>
    <n v="7.75"/>
    <n v="30"/>
    <n v="0.2"/>
    <s v="Smith Jr., Ronaldo"/>
    <s v="Smith Jr. Ronaldo"/>
    <x v="6"/>
    <s v="WA"/>
    <s v="Product BWRLG"/>
    <x v="6"/>
    <x v="265"/>
    <d v="2007-08-12T00:00:00"/>
    <x v="2"/>
    <s v="Ship to 89-C"/>
    <x v="9"/>
    <s v="Supplier SVIYA"/>
    <s v="Germany"/>
    <x v="1"/>
    <n v="186"/>
  </r>
  <r>
    <n v="10597"/>
    <n v="24"/>
    <n v="4.5"/>
    <n v="35"/>
    <n v="0.2"/>
    <s v="Meston, Tosh"/>
    <s v="Meston Tosh"/>
    <x v="9"/>
    <n v="0"/>
    <s v="Product QOGNU"/>
    <x v="6"/>
    <x v="265"/>
    <d v="2007-07-18T00:00:00"/>
    <x v="3"/>
    <s v="Ship to 59-B"/>
    <x v="6"/>
    <s v="Supplier UNAHG"/>
    <s v="Brazil"/>
    <x v="1"/>
    <n v="126"/>
  </r>
  <r>
    <n v="10597"/>
    <n v="57"/>
    <n v="19.5"/>
    <n v="20"/>
    <n v="0"/>
    <s v="Meston, Tosh"/>
    <s v="Meston Tosh"/>
    <x v="9"/>
    <n v="0"/>
    <s v="Product OVLQI"/>
    <x v="1"/>
    <x v="265"/>
    <d v="2007-07-18T00:00:00"/>
    <x v="3"/>
    <s v="Ship to 59-B"/>
    <x v="6"/>
    <s v="Supplier ZWZDM"/>
    <s v="Italy"/>
    <x v="1"/>
    <n v="390"/>
  </r>
  <r>
    <n v="10597"/>
    <n v="65"/>
    <n v="21.05"/>
    <n v="12"/>
    <n v="0.2"/>
    <s v="Meston, Tosh"/>
    <s v="Meston Tosh"/>
    <x v="9"/>
    <n v="0"/>
    <s v="Product XYWBZ"/>
    <x v="4"/>
    <x v="265"/>
    <d v="2007-07-18T00:00:00"/>
    <x v="3"/>
    <s v="Ship to 59-B"/>
    <x v="6"/>
    <s v="Supplier VHQZD"/>
    <s v="USA"/>
    <x v="1"/>
    <n v="202.08000000000004"/>
  </r>
  <r>
    <n v="10598"/>
    <n v="27"/>
    <n v="43.9"/>
    <n v="50"/>
    <n v="0"/>
    <s v="Moore, Michael"/>
    <s v="Moore Michael"/>
    <x v="5"/>
    <s v="WA"/>
    <s v="Product SMIOH"/>
    <x v="5"/>
    <x v="266"/>
    <d v="2007-07-18T00:00:00"/>
    <x v="3"/>
    <s v="Ship to 65-C"/>
    <x v="9"/>
    <s v="Supplier ZPYVS"/>
    <s v="Germany"/>
    <x v="1"/>
    <n v="2195"/>
  </r>
  <r>
    <n v="10598"/>
    <n v="71"/>
    <n v="21.5"/>
    <n v="9"/>
    <n v="0"/>
    <s v="Moore, Michael"/>
    <s v="Moore Michael"/>
    <x v="5"/>
    <s v="WA"/>
    <s v="Product MYMOI"/>
    <x v="0"/>
    <x v="266"/>
    <d v="2007-07-18T00:00:00"/>
    <x v="3"/>
    <s v="Ship to 65-C"/>
    <x v="9"/>
    <s v="Supplier NZLIF"/>
    <s v="Norway"/>
    <x v="1"/>
    <n v="193.5"/>
  </r>
  <r>
    <n v="10599"/>
    <n v="62"/>
    <n v="49.3"/>
    <n v="10"/>
    <n v="0"/>
    <s v="Jaffe, David"/>
    <s v="Jaffe David"/>
    <x v="7"/>
    <n v="0"/>
    <s v="Product WUXYK"/>
    <x v="5"/>
    <x v="267"/>
    <d v="2007-07-21T00:00:00"/>
    <x v="3"/>
    <s v="Destination DLEUN"/>
    <x v="14"/>
    <s v="Supplier OGLRK"/>
    <s v="Canada"/>
    <x v="1"/>
    <n v="493"/>
  </r>
  <r>
    <n v="10600"/>
    <n v="54"/>
    <n v="7.45"/>
    <n v="4"/>
    <n v="0"/>
    <s v="Smith, Denise"/>
    <s v="Smith Denise"/>
    <x v="1"/>
    <s v="WA"/>
    <s v="Product QAQRL"/>
    <x v="7"/>
    <x v="268"/>
    <d v="2007-07-21T00:00:00"/>
    <x v="2"/>
    <s v="Destination HOHCR"/>
    <x v="9"/>
    <s v="Supplier ERVYZ"/>
    <s v="Canada"/>
    <x v="1"/>
    <n v="29.8"/>
  </r>
  <r>
    <n v="10600"/>
    <n v="73"/>
    <n v="15"/>
    <n v="30"/>
    <n v="0"/>
    <s v="Smith, Denise"/>
    <s v="Smith Denise"/>
    <x v="1"/>
    <s v="WA"/>
    <s v="Product WEUJZ"/>
    <x v="3"/>
    <x v="268"/>
    <d v="2007-07-21T00:00:00"/>
    <x v="2"/>
    <s v="Destination HOHCR"/>
    <x v="9"/>
    <s v="Supplier QZGUF"/>
    <s v="Sweden"/>
    <x v="1"/>
    <n v="450"/>
  </r>
  <r>
    <n v="10601"/>
    <n v="13"/>
    <n v="6"/>
    <n v="60"/>
    <n v="0"/>
    <s v="Langohr, Kris"/>
    <s v="Langohr Kris"/>
    <x v="9"/>
    <n v="0"/>
    <s v="Product POXFU"/>
    <x v="3"/>
    <x v="268"/>
    <d v="2007-07-22T00:00:00"/>
    <x v="2"/>
    <s v="Destination UOUWK"/>
    <x v="5"/>
    <s v="Supplier QWUSF"/>
    <s v="Japan"/>
    <x v="1"/>
    <n v="360"/>
  </r>
  <r>
    <n v="10601"/>
    <n v="59"/>
    <n v="55"/>
    <n v="35"/>
    <n v="0"/>
    <s v="Langohr, Kris"/>
    <s v="Langohr Kris"/>
    <x v="9"/>
    <n v="0"/>
    <s v="Product UKXRI"/>
    <x v="0"/>
    <x v="268"/>
    <d v="2007-07-22T00:00:00"/>
    <x v="2"/>
    <s v="Destination UOUWK"/>
    <x v="5"/>
    <s v="Supplier OAVQT"/>
    <s v="France"/>
    <x v="1"/>
    <n v="1925"/>
  </r>
  <r>
    <n v="10602"/>
    <n v="77"/>
    <n v="13"/>
    <n v="5"/>
    <n v="0.25"/>
    <s v="Fonteneau, Karl"/>
    <s v="Fonteneau Karl"/>
    <x v="6"/>
    <s v="WA"/>
    <s v="Product LUNZZ"/>
    <x v="4"/>
    <x v="269"/>
    <d v="2007-07-22T00:00:00"/>
    <x v="1"/>
    <s v="Ship to 83-A"/>
    <x v="18"/>
    <s v="Supplier SVIYA"/>
    <s v="Germany"/>
    <x v="1"/>
    <n v="48.75"/>
  </r>
  <r>
    <n v="10603"/>
    <n v="22"/>
    <n v="21"/>
    <n v="48"/>
    <n v="0"/>
    <s v="Navarro, Tomás"/>
    <s v="Navarro Tomás"/>
    <x v="6"/>
    <s v="WA"/>
    <s v="Product CPHFY"/>
    <x v="1"/>
    <x v="270"/>
    <d v="2007-08-08T00:00:00"/>
    <x v="1"/>
    <s v="Ship to 71-C"/>
    <x v="9"/>
    <s v="Supplier QQYEU"/>
    <s v="Sweden"/>
    <x v="1"/>
    <n v="1008"/>
  </r>
  <r>
    <n v="10603"/>
    <n v="49"/>
    <n v="20"/>
    <n v="25"/>
    <n v="0.05"/>
    <s v="Navarro, Tomás"/>
    <s v="Navarro Tomás"/>
    <x v="6"/>
    <s v="WA"/>
    <s v="Product FPYPN"/>
    <x v="5"/>
    <x v="270"/>
    <d v="2007-08-08T00:00:00"/>
    <x v="1"/>
    <s v="Ship to 71-C"/>
    <x v="9"/>
    <s v="Supplier ELCRN"/>
    <s v="Finland"/>
    <x v="1"/>
    <n v="475"/>
  </r>
  <r>
    <n v="10604"/>
    <n v="48"/>
    <n v="12.75"/>
    <n v="6"/>
    <n v="0.1"/>
    <s v="Cavaglieri, Giorgio"/>
    <s v="Cavaglieri Giorgio"/>
    <x v="5"/>
    <s v="WA"/>
    <s v="Product MYNXN"/>
    <x v="5"/>
    <x v="270"/>
    <d v="2007-07-29T00:00:00"/>
    <x v="2"/>
    <s v="Destination CIRQO"/>
    <x v="16"/>
    <s v="Supplier FNUXM"/>
    <s v="Netherlands"/>
    <x v="1"/>
    <n v="68.850000000000009"/>
  </r>
  <r>
    <n v="10604"/>
    <n v="76"/>
    <n v="18"/>
    <n v="10"/>
    <n v="0.1"/>
    <s v="Cavaglieri, Giorgio"/>
    <s v="Cavaglieri Giorgio"/>
    <x v="5"/>
    <s v="WA"/>
    <s v="Product JYGFE"/>
    <x v="6"/>
    <x v="270"/>
    <d v="2007-07-29T00:00:00"/>
    <x v="2"/>
    <s v="Destination CIRQO"/>
    <x v="16"/>
    <s v="Supplier ELCRN"/>
    <s v="Finland"/>
    <x v="1"/>
    <n v="162"/>
  </r>
  <r>
    <n v="10605"/>
    <n v="16"/>
    <n v="17.45"/>
    <n v="30"/>
    <n v="0.05"/>
    <s v="Taylor, Maurice"/>
    <s v="Taylor Maurice"/>
    <x v="5"/>
    <s v="WA"/>
    <s v="Product PAFRH"/>
    <x v="5"/>
    <x v="271"/>
    <d v="2007-07-29T00:00:00"/>
    <x v="1"/>
    <s v="Ship to 51-B"/>
    <x v="17"/>
    <s v="Supplier GQRCV"/>
    <s v="Australia"/>
    <x v="2"/>
    <n v="497.32499999999999"/>
  </r>
  <r>
    <n v="10605"/>
    <n v="59"/>
    <n v="55"/>
    <n v="20"/>
    <n v="0.05"/>
    <s v="Taylor, Maurice"/>
    <s v="Taylor Maurice"/>
    <x v="5"/>
    <s v="WA"/>
    <s v="Product UKXRI"/>
    <x v="0"/>
    <x v="271"/>
    <d v="2007-07-29T00:00:00"/>
    <x v="1"/>
    <s v="Ship to 51-B"/>
    <x v="17"/>
    <s v="Supplier OAVQT"/>
    <s v="France"/>
    <x v="2"/>
    <n v="1045"/>
  </r>
  <r>
    <n v="10605"/>
    <n v="60"/>
    <n v="34"/>
    <n v="70"/>
    <n v="0.05"/>
    <s v="Taylor, Maurice"/>
    <s v="Taylor Maurice"/>
    <x v="5"/>
    <s v="WA"/>
    <s v="Product WHBYK"/>
    <x v="0"/>
    <x v="271"/>
    <d v="2007-07-29T00:00:00"/>
    <x v="1"/>
    <s v="Ship to 51-B"/>
    <x v="17"/>
    <s v="Supplier OAVQT"/>
    <s v="France"/>
    <x v="2"/>
    <n v="2261"/>
  </r>
  <r>
    <n v="10605"/>
    <n v="71"/>
    <n v="21.5"/>
    <n v="15"/>
    <n v="0.05"/>
    <s v="Taylor, Maurice"/>
    <s v="Taylor Maurice"/>
    <x v="5"/>
    <s v="WA"/>
    <s v="Product MYMOI"/>
    <x v="0"/>
    <x v="271"/>
    <d v="2007-07-29T00:00:00"/>
    <x v="1"/>
    <s v="Ship to 51-B"/>
    <x v="17"/>
    <s v="Supplier NZLIF"/>
    <s v="Norway"/>
    <x v="2"/>
    <n v="306.375"/>
  </r>
  <r>
    <n v="10606"/>
    <n v="4"/>
    <n v="22"/>
    <n v="20"/>
    <n v="0.2"/>
    <s v="Nagel, Jean-Philippe"/>
    <s v="Nagel Jean-Philippe"/>
    <x v="1"/>
    <s v="WA"/>
    <s v="Product KSBRM"/>
    <x v="4"/>
    <x v="272"/>
    <d v="2007-07-31T00:00:00"/>
    <x v="3"/>
    <s v="Ship to 81-C"/>
    <x v="1"/>
    <s v="Supplier VHQZD"/>
    <s v="USA"/>
    <x v="1"/>
    <n v="352"/>
  </r>
  <r>
    <n v="10606"/>
    <n v="55"/>
    <n v="24"/>
    <n v="20"/>
    <n v="0.2"/>
    <s v="Nagel, Jean-Philippe"/>
    <s v="Nagel Jean-Philippe"/>
    <x v="1"/>
    <s v="WA"/>
    <s v="Product YYWRT"/>
    <x v="7"/>
    <x v="272"/>
    <d v="2007-07-31T00:00:00"/>
    <x v="3"/>
    <s v="Ship to 81-C"/>
    <x v="1"/>
    <s v="Supplier ERVYZ"/>
    <s v="Canada"/>
    <x v="1"/>
    <n v="384"/>
  </r>
  <r>
    <n v="10606"/>
    <n v="62"/>
    <n v="49.3"/>
    <n v="10"/>
    <n v="0.2"/>
    <s v="Nagel, Jean-Philippe"/>
    <s v="Nagel Jean-Philippe"/>
    <x v="1"/>
    <s v="WA"/>
    <s v="Product WUXYK"/>
    <x v="5"/>
    <x v="272"/>
    <d v="2007-07-31T00:00:00"/>
    <x v="3"/>
    <s v="Ship to 81-C"/>
    <x v="1"/>
    <s v="Supplier OGLRK"/>
    <s v="Canada"/>
    <x v="1"/>
    <n v="394.40000000000003"/>
  </r>
  <r>
    <n v="10607"/>
    <n v="7"/>
    <n v="30"/>
    <n v="45"/>
    <n v="0"/>
    <s v="Navarro, Tomás"/>
    <s v="Navarro Tomás"/>
    <x v="3"/>
    <n v="0"/>
    <s v="Product HMLNI"/>
    <x v="2"/>
    <x v="272"/>
    <d v="2007-07-25T00:00:00"/>
    <x v="2"/>
    <s v="Ship to 71-C"/>
    <x v="9"/>
    <s v="Supplier STUAZ"/>
    <s v="USA"/>
    <x v="2"/>
    <n v="1350"/>
  </r>
  <r>
    <n v="10607"/>
    <n v="17"/>
    <n v="39"/>
    <n v="100"/>
    <n v="0"/>
    <s v="Navarro, Tomás"/>
    <s v="Navarro Tomás"/>
    <x v="3"/>
    <n v="0"/>
    <s v="Product BLCAX"/>
    <x v="7"/>
    <x v="272"/>
    <d v="2007-07-25T00:00:00"/>
    <x v="2"/>
    <s v="Ship to 71-C"/>
    <x v="9"/>
    <s v="Supplier GQRCV"/>
    <s v="Australia"/>
    <x v="2"/>
    <n v="3900"/>
  </r>
  <r>
    <n v="10607"/>
    <n v="33"/>
    <n v="2.5"/>
    <n v="14"/>
    <n v="0"/>
    <s v="Navarro, Tomás"/>
    <s v="Navarro Tomás"/>
    <x v="3"/>
    <n v="0"/>
    <s v="Product ASTMN"/>
    <x v="0"/>
    <x v="272"/>
    <d v="2007-07-25T00:00:00"/>
    <x v="2"/>
    <s v="Ship to 71-C"/>
    <x v="9"/>
    <s v="Supplier NZLIF"/>
    <s v="Norway"/>
    <x v="2"/>
    <n v="35"/>
  </r>
  <r>
    <n v="10607"/>
    <n v="40"/>
    <n v="18.399999999999999"/>
    <n v="42"/>
    <n v="0"/>
    <s v="Navarro, Tomás"/>
    <s v="Navarro Tomás"/>
    <x v="3"/>
    <n v="0"/>
    <s v="Product YZIXQ"/>
    <x v="3"/>
    <x v="272"/>
    <d v="2007-07-25T00:00:00"/>
    <x v="2"/>
    <s v="Ship to 71-C"/>
    <x v="9"/>
    <s v="Supplier JDNUG"/>
    <s v="USA"/>
    <x v="2"/>
    <n v="772.8"/>
  </r>
  <r>
    <n v="10607"/>
    <n v="72"/>
    <n v="34.799999999999997"/>
    <n v="12"/>
    <n v="0"/>
    <s v="Navarro, Tomás"/>
    <s v="Navarro Tomás"/>
    <x v="3"/>
    <n v="0"/>
    <s v="Product GEEOO"/>
    <x v="0"/>
    <x v="272"/>
    <d v="2007-07-25T00:00:00"/>
    <x v="2"/>
    <s v="Ship to 71-C"/>
    <x v="9"/>
    <s v="Supplier KEREV"/>
    <s v="Italy"/>
    <x v="2"/>
    <n v="417.59999999999997"/>
  </r>
  <r>
    <n v="10608"/>
    <n v="56"/>
    <n v="38"/>
    <n v="28"/>
    <n v="0"/>
    <s v="Wickham, Jim"/>
    <s v="Wickham Jim"/>
    <x v="1"/>
    <s v="WA"/>
    <s v="Product VKCMF"/>
    <x v="1"/>
    <x v="273"/>
    <d v="2007-08-01T00:00:00"/>
    <x v="1"/>
    <s v="Ship to 79-C"/>
    <x v="8"/>
    <s v="Supplier ZWZDM"/>
    <s v="Italy"/>
    <x v="1"/>
    <n v="1064"/>
  </r>
  <r>
    <n v="10609"/>
    <n v="1"/>
    <n v="18"/>
    <n v="3"/>
    <n v="0"/>
    <s v="Rizaldy, Arif"/>
    <s v="Rizaldy Arif"/>
    <x v="9"/>
    <n v="0"/>
    <s v="Product HHYDP"/>
    <x v="6"/>
    <x v="274"/>
    <d v="2007-07-30T00:00:00"/>
    <x v="1"/>
    <s v="Destination SNPXM"/>
    <x v="2"/>
    <s v="Supplier SWRXU"/>
    <s v="UK"/>
    <x v="1"/>
    <n v="54"/>
  </r>
  <r>
    <n v="10609"/>
    <n v="10"/>
    <n v="31"/>
    <n v="10"/>
    <n v="0"/>
    <s v="Rizaldy, Arif"/>
    <s v="Rizaldy Arif"/>
    <x v="9"/>
    <n v="0"/>
    <s v="Product YHXGE"/>
    <x v="3"/>
    <x v="274"/>
    <d v="2007-07-30T00:00:00"/>
    <x v="1"/>
    <s v="Destination SNPXM"/>
    <x v="2"/>
    <s v="Supplier QOVFD"/>
    <s v="Japan"/>
    <x v="1"/>
    <n v="310"/>
  </r>
  <r>
    <n v="10609"/>
    <n v="21"/>
    <n v="10"/>
    <n v="6"/>
    <n v="0"/>
    <s v="Rizaldy, Arif"/>
    <s v="Rizaldy Arif"/>
    <x v="9"/>
    <n v="0"/>
    <s v="Product VJZZH"/>
    <x v="5"/>
    <x v="274"/>
    <d v="2007-07-30T00:00:00"/>
    <x v="1"/>
    <s v="Destination SNPXM"/>
    <x v="2"/>
    <s v="Supplier BWGYE"/>
    <s v="UK"/>
    <x v="1"/>
    <n v="60"/>
  </r>
  <r>
    <n v="10610"/>
    <n v="36"/>
    <n v="19"/>
    <n v="21"/>
    <n v="0.25"/>
    <s v="Litton, Tim"/>
    <s v="Litton Tim"/>
    <x v="6"/>
    <s v="WA"/>
    <s v="Product GMKIJ"/>
    <x v="3"/>
    <x v="275"/>
    <d v="2007-08-06T00:00:00"/>
    <x v="2"/>
    <s v="Ship to 41-C"/>
    <x v="2"/>
    <s v="Supplier QZGUF"/>
    <s v="Sweden"/>
    <x v="1"/>
    <n v="299.25"/>
  </r>
  <r>
    <n v="10611"/>
    <n v="1"/>
    <n v="18"/>
    <n v="6"/>
    <n v="0"/>
    <s v="Conn, Steve"/>
    <s v="Conn Steve"/>
    <x v="7"/>
    <n v="0"/>
    <s v="Product HHYDP"/>
    <x v="6"/>
    <x v="275"/>
    <d v="2007-08-01T00:00:00"/>
    <x v="1"/>
    <s v="Ship to 91-B"/>
    <x v="19"/>
    <s v="Supplier SWRXU"/>
    <s v="UK"/>
    <x v="1"/>
    <n v="108"/>
  </r>
  <r>
    <n v="10611"/>
    <n v="2"/>
    <n v="19"/>
    <n v="10"/>
    <n v="0"/>
    <s v="Conn, Steve"/>
    <s v="Conn Steve"/>
    <x v="7"/>
    <n v="0"/>
    <s v="Product RECZE"/>
    <x v="6"/>
    <x v="275"/>
    <d v="2007-08-01T00:00:00"/>
    <x v="1"/>
    <s v="Ship to 91-B"/>
    <x v="19"/>
    <s v="Supplier SWRXU"/>
    <s v="UK"/>
    <x v="1"/>
    <n v="190"/>
  </r>
  <r>
    <n v="10611"/>
    <n v="60"/>
    <n v="34"/>
    <n v="15"/>
    <n v="0"/>
    <s v="Conn, Steve"/>
    <s v="Conn Steve"/>
    <x v="7"/>
    <n v="0"/>
    <s v="Product WHBYK"/>
    <x v="0"/>
    <x v="275"/>
    <d v="2007-08-01T00:00:00"/>
    <x v="1"/>
    <s v="Ship to 91-B"/>
    <x v="19"/>
    <s v="Supplier OAVQT"/>
    <s v="France"/>
    <x v="1"/>
    <n v="510"/>
  </r>
  <r>
    <n v="10612"/>
    <n v="10"/>
    <n v="31"/>
    <n v="70"/>
    <n v="0"/>
    <s v="Navarro, Tomás"/>
    <s v="Navarro Tomás"/>
    <x v="5"/>
    <s v="WA"/>
    <s v="Product YHXGE"/>
    <x v="3"/>
    <x v="276"/>
    <d v="2007-08-01T00:00:00"/>
    <x v="1"/>
    <s v="Ship to 71-A"/>
    <x v="9"/>
    <s v="Supplier QOVFD"/>
    <s v="Japan"/>
    <x v="2"/>
    <n v="2170"/>
  </r>
  <r>
    <n v="10612"/>
    <n v="36"/>
    <n v="19"/>
    <n v="55"/>
    <n v="0"/>
    <s v="Navarro, Tomás"/>
    <s v="Navarro Tomás"/>
    <x v="5"/>
    <s v="WA"/>
    <s v="Product GMKIJ"/>
    <x v="3"/>
    <x v="276"/>
    <d v="2007-08-01T00:00:00"/>
    <x v="1"/>
    <s v="Ship to 71-A"/>
    <x v="9"/>
    <s v="Supplier QZGUF"/>
    <s v="Sweden"/>
    <x v="2"/>
    <n v="1045"/>
  </r>
  <r>
    <n v="10612"/>
    <n v="49"/>
    <n v="20"/>
    <n v="18"/>
    <n v="0"/>
    <s v="Navarro, Tomás"/>
    <s v="Navarro Tomás"/>
    <x v="5"/>
    <s v="WA"/>
    <s v="Product FPYPN"/>
    <x v="5"/>
    <x v="276"/>
    <d v="2007-08-01T00:00:00"/>
    <x v="1"/>
    <s v="Ship to 71-A"/>
    <x v="9"/>
    <s v="Supplier ELCRN"/>
    <s v="Finland"/>
    <x v="2"/>
    <n v="360"/>
  </r>
  <r>
    <n v="10612"/>
    <n v="60"/>
    <n v="34"/>
    <n v="40"/>
    <n v="0"/>
    <s v="Navarro, Tomás"/>
    <s v="Navarro Tomás"/>
    <x v="5"/>
    <s v="WA"/>
    <s v="Product WHBYK"/>
    <x v="0"/>
    <x v="276"/>
    <d v="2007-08-01T00:00:00"/>
    <x v="1"/>
    <s v="Ship to 71-A"/>
    <x v="9"/>
    <s v="Supplier OAVQT"/>
    <s v="France"/>
    <x v="2"/>
    <n v="1360"/>
  </r>
  <r>
    <n v="10612"/>
    <n v="76"/>
    <n v="18"/>
    <n v="80"/>
    <n v="0"/>
    <s v="Navarro, Tomás"/>
    <s v="Navarro Tomás"/>
    <x v="5"/>
    <s v="WA"/>
    <s v="Product JYGFE"/>
    <x v="6"/>
    <x v="276"/>
    <d v="2007-08-01T00:00:00"/>
    <x v="1"/>
    <s v="Ship to 71-A"/>
    <x v="9"/>
    <s v="Supplier ELCRN"/>
    <s v="Finland"/>
    <x v="2"/>
    <n v="1440"/>
  </r>
  <r>
    <n v="10613"/>
    <n v="13"/>
    <n v="6"/>
    <n v="8"/>
    <n v="0.1"/>
    <s v="Langohr, Kris"/>
    <s v="Langohr Kris"/>
    <x v="1"/>
    <s v="WA"/>
    <s v="Product POXFU"/>
    <x v="3"/>
    <x v="277"/>
    <d v="2007-08-01T00:00:00"/>
    <x v="1"/>
    <s v="Destination JYDLM"/>
    <x v="5"/>
    <s v="Supplier QWUSF"/>
    <s v="Japan"/>
    <x v="1"/>
    <n v="43.2"/>
  </r>
  <r>
    <n v="10613"/>
    <n v="75"/>
    <n v="7.75"/>
    <n v="40"/>
    <n v="0"/>
    <s v="Langohr, Kris"/>
    <s v="Langohr Kris"/>
    <x v="1"/>
    <s v="WA"/>
    <s v="Product BWRLG"/>
    <x v="6"/>
    <x v="277"/>
    <d v="2007-08-01T00:00:00"/>
    <x v="1"/>
    <s v="Destination JYDLM"/>
    <x v="5"/>
    <s v="Supplier SVIYA"/>
    <s v="Germany"/>
    <x v="1"/>
    <n v="310"/>
  </r>
  <r>
    <n v="10614"/>
    <n v="11"/>
    <n v="21"/>
    <n v="14"/>
    <n v="0"/>
    <s v="Poland, Carole"/>
    <s v="Poland Carole"/>
    <x v="6"/>
    <s v="WA"/>
    <s v="Product QMVUN"/>
    <x v="0"/>
    <x v="277"/>
    <d v="2007-08-01T00:00:00"/>
    <x v="3"/>
    <s v="Ship to 6-A"/>
    <x v="8"/>
    <s v="Supplier EQPNC"/>
    <s v="Spain"/>
    <x v="1"/>
    <n v="294"/>
  </r>
  <r>
    <n v="10614"/>
    <n v="21"/>
    <n v="10"/>
    <n v="8"/>
    <n v="0"/>
    <s v="Poland, Carole"/>
    <s v="Poland Carole"/>
    <x v="6"/>
    <s v="WA"/>
    <s v="Product VJZZH"/>
    <x v="5"/>
    <x v="277"/>
    <d v="2007-08-01T00:00:00"/>
    <x v="3"/>
    <s v="Ship to 6-A"/>
    <x v="8"/>
    <s v="Supplier BWGYE"/>
    <s v="UK"/>
    <x v="1"/>
    <n v="80"/>
  </r>
  <r>
    <n v="10614"/>
    <n v="39"/>
    <n v="18"/>
    <n v="5"/>
    <n v="0"/>
    <s v="Poland, Carole"/>
    <s v="Poland Carole"/>
    <x v="6"/>
    <s v="WA"/>
    <s v="Product LSOFL"/>
    <x v="6"/>
    <x v="277"/>
    <d v="2007-08-01T00:00:00"/>
    <x v="3"/>
    <s v="Ship to 6-A"/>
    <x v="8"/>
    <s v="Supplier LVJUA"/>
    <s v="France"/>
    <x v="1"/>
    <n v="90"/>
  </r>
  <r>
    <n v="10615"/>
    <n v="55"/>
    <n v="24"/>
    <n v="5"/>
    <n v="0"/>
    <s v="Larsson, Katarina"/>
    <s v="Larsson Katarina"/>
    <x v="8"/>
    <s v="WA"/>
    <s v="Product YYWRT"/>
    <x v="7"/>
    <x v="278"/>
    <d v="2007-08-06T00:00:00"/>
    <x v="3"/>
    <s v="Ship to 90-B"/>
    <x v="11"/>
    <s v="Supplier ERVYZ"/>
    <s v="Canada"/>
    <x v="1"/>
    <n v="120"/>
  </r>
  <r>
    <n v="10616"/>
    <n v="38"/>
    <n v="263.5"/>
    <n v="15"/>
    <n v="0.05"/>
    <s v="Krishnan, Venky"/>
    <s v="Krishnan Venky"/>
    <x v="5"/>
    <s v="WA"/>
    <s v="Product QDOMO"/>
    <x v="6"/>
    <x v="279"/>
    <d v="2007-08-05T00:00:00"/>
    <x v="1"/>
    <s v="Destination LLUXZ"/>
    <x v="9"/>
    <s v="Supplier LVJUA"/>
    <s v="France"/>
    <x v="2"/>
    <n v="3754.875"/>
  </r>
  <r>
    <n v="10616"/>
    <n v="56"/>
    <n v="38"/>
    <n v="14"/>
    <n v="0"/>
    <s v="Krishnan, Venky"/>
    <s v="Krishnan Venky"/>
    <x v="5"/>
    <s v="WA"/>
    <s v="Product VKCMF"/>
    <x v="1"/>
    <x v="279"/>
    <d v="2007-08-05T00:00:00"/>
    <x v="1"/>
    <s v="Destination LLUXZ"/>
    <x v="9"/>
    <s v="Supplier ZWZDM"/>
    <s v="Italy"/>
    <x v="2"/>
    <n v="532"/>
  </r>
  <r>
    <n v="10616"/>
    <n v="70"/>
    <n v="15"/>
    <n v="15"/>
    <n v="0.05"/>
    <s v="Krishnan, Venky"/>
    <s v="Krishnan Venky"/>
    <x v="5"/>
    <s v="WA"/>
    <s v="Product TOONT"/>
    <x v="6"/>
    <x v="279"/>
    <d v="2007-08-05T00:00:00"/>
    <x v="1"/>
    <s v="Destination LLUXZ"/>
    <x v="9"/>
    <s v="Supplier GQRCV"/>
    <s v="Australia"/>
    <x v="2"/>
    <n v="213.75"/>
  </r>
  <r>
    <n v="10616"/>
    <n v="71"/>
    <n v="21.5"/>
    <n v="15"/>
    <n v="0.05"/>
    <s v="Krishnan, Venky"/>
    <s v="Krishnan Venky"/>
    <x v="5"/>
    <s v="WA"/>
    <s v="Product MYMOI"/>
    <x v="0"/>
    <x v="279"/>
    <d v="2007-08-05T00:00:00"/>
    <x v="1"/>
    <s v="Destination LLUXZ"/>
    <x v="9"/>
    <s v="Supplier NZLIF"/>
    <s v="Norway"/>
    <x v="2"/>
    <n v="306.375"/>
  </r>
  <r>
    <n v="10617"/>
    <n v="59"/>
    <n v="55"/>
    <n v="30"/>
    <n v="0.15"/>
    <s v="Krishnan, Venky"/>
    <s v="Krishnan Venky"/>
    <x v="1"/>
    <s v="WA"/>
    <s v="Product UKXRI"/>
    <x v="0"/>
    <x v="279"/>
    <d v="2007-08-04T00:00:00"/>
    <x v="1"/>
    <s v="Destination AVQUS"/>
    <x v="9"/>
    <s v="Supplier OAVQT"/>
    <s v="France"/>
    <x v="1"/>
    <n v="1402.5"/>
  </r>
  <r>
    <n v="10618"/>
    <n v="6"/>
    <n v="25"/>
    <n v="70"/>
    <n v="0"/>
    <s v="Taylor, Maurice"/>
    <s v="Taylor Maurice"/>
    <x v="5"/>
    <s v="WA"/>
    <s v="Product VAIIV"/>
    <x v="4"/>
    <x v="280"/>
    <d v="2007-08-08T00:00:00"/>
    <x v="2"/>
    <s v="Ship to 51-C"/>
    <x v="17"/>
    <s v="Supplier STUAZ"/>
    <s v="USA"/>
    <x v="2"/>
    <n v="1750"/>
  </r>
  <r>
    <n v="10618"/>
    <n v="56"/>
    <n v="38"/>
    <n v="20"/>
    <n v="0"/>
    <s v="Taylor, Maurice"/>
    <s v="Taylor Maurice"/>
    <x v="5"/>
    <s v="WA"/>
    <s v="Product VKCMF"/>
    <x v="1"/>
    <x v="280"/>
    <d v="2007-08-08T00:00:00"/>
    <x v="2"/>
    <s v="Ship to 51-C"/>
    <x v="17"/>
    <s v="Supplier ZWZDM"/>
    <s v="Italy"/>
    <x v="2"/>
    <n v="760"/>
  </r>
  <r>
    <n v="10618"/>
    <n v="68"/>
    <n v="12.5"/>
    <n v="15"/>
    <n v="0"/>
    <s v="Taylor, Maurice"/>
    <s v="Taylor Maurice"/>
    <x v="5"/>
    <s v="WA"/>
    <s v="Product TBTBL"/>
    <x v="5"/>
    <x v="280"/>
    <d v="2007-08-08T00:00:00"/>
    <x v="2"/>
    <s v="Ship to 51-C"/>
    <x v="17"/>
    <s v="Supplier BWGYE"/>
    <s v="UK"/>
    <x v="2"/>
    <n v="187.5"/>
  </r>
  <r>
    <n v="10619"/>
    <n v="21"/>
    <n v="10"/>
    <n v="42"/>
    <n v="0"/>
    <s v="Taylor, Maurice"/>
    <s v="Taylor Maurice"/>
    <x v="2"/>
    <s v="WA"/>
    <s v="Product VJZZH"/>
    <x v="5"/>
    <x v="281"/>
    <d v="2007-08-07T00:00:00"/>
    <x v="3"/>
    <s v="Ship to 51-B"/>
    <x v="17"/>
    <s v="Supplier BWGYE"/>
    <s v="UK"/>
    <x v="1"/>
    <n v="420"/>
  </r>
  <r>
    <n v="10619"/>
    <n v="22"/>
    <n v="21"/>
    <n v="40"/>
    <n v="0"/>
    <s v="Taylor, Maurice"/>
    <s v="Taylor Maurice"/>
    <x v="2"/>
    <s v="WA"/>
    <s v="Product CPHFY"/>
    <x v="1"/>
    <x v="281"/>
    <d v="2007-08-07T00:00:00"/>
    <x v="3"/>
    <s v="Ship to 51-B"/>
    <x v="17"/>
    <s v="Supplier QQYEU"/>
    <s v="Sweden"/>
    <x v="1"/>
    <n v="840"/>
  </r>
  <r>
    <n v="10620"/>
    <n v="24"/>
    <n v="4.5"/>
    <n v="5"/>
    <n v="0"/>
    <s v="Steiner, Dominik"/>
    <s v="Steiner Dominik"/>
    <x v="8"/>
    <s v="WA"/>
    <s v="Product QOGNU"/>
    <x v="6"/>
    <x v="282"/>
    <d v="2007-08-14T00:00:00"/>
    <x v="3"/>
    <s v="Ship to 42-A"/>
    <x v="17"/>
    <s v="Supplier UNAHG"/>
    <s v="Brazil"/>
    <x v="1"/>
    <n v="22.5"/>
  </r>
  <r>
    <n v="10620"/>
    <n v="52"/>
    <n v="7"/>
    <n v="5"/>
    <n v="0"/>
    <s v="Steiner, Dominik"/>
    <s v="Steiner Dominik"/>
    <x v="8"/>
    <s v="WA"/>
    <s v="Product QSRXF"/>
    <x v="1"/>
    <x v="282"/>
    <d v="2007-08-14T00:00:00"/>
    <x v="3"/>
    <s v="Ship to 42-A"/>
    <x v="17"/>
    <s v="Supplier JNNES"/>
    <s v="Australia"/>
    <x v="1"/>
    <n v="35"/>
  </r>
  <r>
    <n v="10621"/>
    <n v="19"/>
    <n v="9.1999999999999993"/>
    <n v="5"/>
    <n v="0"/>
    <s v="Lee, Frank"/>
    <s v="Lee Frank"/>
    <x v="1"/>
    <s v="WA"/>
    <s v="Product XKXDO"/>
    <x v="5"/>
    <x v="282"/>
    <d v="2007-08-11T00:00:00"/>
    <x v="1"/>
    <s v="Destination LMVGS"/>
    <x v="14"/>
    <s v="Supplier BWGYE"/>
    <s v="UK"/>
    <x v="1"/>
    <n v="46"/>
  </r>
  <r>
    <n v="10621"/>
    <n v="23"/>
    <n v="9"/>
    <n v="10"/>
    <n v="0"/>
    <s v="Lee, Frank"/>
    <s v="Lee Frank"/>
    <x v="1"/>
    <s v="WA"/>
    <s v="Product JLUDZ"/>
    <x v="1"/>
    <x v="282"/>
    <d v="2007-08-11T00:00:00"/>
    <x v="1"/>
    <s v="Destination LMVGS"/>
    <x v="14"/>
    <s v="Supplier QQYEU"/>
    <s v="Sweden"/>
    <x v="1"/>
    <n v="90"/>
  </r>
  <r>
    <n v="10621"/>
    <n v="70"/>
    <n v="15"/>
    <n v="20"/>
    <n v="0"/>
    <s v="Lee, Frank"/>
    <s v="Lee Frank"/>
    <x v="1"/>
    <s v="WA"/>
    <s v="Product TOONT"/>
    <x v="6"/>
    <x v="282"/>
    <d v="2007-08-11T00:00:00"/>
    <x v="1"/>
    <s v="Destination LMVGS"/>
    <x v="14"/>
    <s v="Supplier GQRCV"/>
    <s v="Australia"/>
    <x v="1"/>
    <n v="300"/>
  </r>
  <r>
    <n v="10621"/>
    <n v="71"/>
    <n v="21.5"/>
    <n v="15"/>
    <n v="0"/>
    <s v="Lee, Frank"/>
    <s v="Lee Frank"/>
    <x v="1"/>
    <s v="WA"/>
    <s v="Product MYMOI"/>
    <x v="0"/>
    <x v="282"/>
    <d v="2007-08-11T00:00:00"/>
    <x v="1"/>
    <s v="Destination LMVGS"/>
    <x v="14"/>
    <s v="Supplier NZLIF"/>
    <s v="Norway"/>
    <x v="1"/>
    <n v="322.5"/>
  </r>
  <r>
    <n v="10622"/>
    <n v="2"/>
    <n v="19"/>
    <n v="20"/>
    <n v="0"/>
    <s v="Garden, Euan"/>
    <s v="Garden Euan"/>
    <x v="1"/>
    <s v="WA"/>
    <s v="Product RECZE"/>
    <x v="6"/>
    <x v="283"/>
    <d v="2007-08-11T00:00:00"/>
    <x v="3"/>
    <s v="Ship to 67-A"/>
    <x v="1"/>
    <s v="Supplier SWRXU"/>
    <s v="UK"/>
    <x v="1"/>
    <n v="380"/>
  </r>
  <r>
    <n v="10622"/>
    <n v="68"/>
    <n v="12.5"/>
    <n v="18"/>
    <n v="0.2"/>
    <s v="Garden, Euan"/>
    <s v="Garden Euan"/>
    <x v="1"/>
    <s v="WA"/>
    <s v="Product TBTBL"/>
    <x v="5"/>
    <x v="283"/>
    <d v="2007-08-11T00:00:00"/>
    <x v="3"/>
    <s v="Ship to 67-A"/>
    <x v="1"/>
    <s v="Supplier BWGYE"/>
    <s v="UK"/>
    <x v="1"/>
    <n v="180"/>
  </r>
  <r>
    <n v="10623"/>
    <n v="14"/>
    <n v="23.25"/>
    <n v="21"/>
    <n v="0"/>
    <s v="Carlson, Jason"/>
    <s v="Carlson Jason"/>
    <x v="6"/>
    <s v="WA"/>
    <s v="Product PWCJB"/>
    <x v="2"/>
    <x v="284"/>
    <d v="2007-08-12T00:00:00"/>
    <x v="1"/>
    <s v="Destination VAPXU"/>
    <x v="8"/>
    <s v="Supplier QWUSF"/>
    <s v="Japan"/>
    <x v="1"/>
    <n v="488.25"/>
  </r>
  <r>
    <n v="10623"/>
    <n v="19"/>
    <n v="9.1999999999999993"/>
    <n v="15"/>
    <n v="0.1"/>
    <s v="Carlson, Jason"/>
    <s v="Carlson Jason"/>
    <x v="6"/>
    <s v="WA"/>
    <s v="Product XKXDO"/>
    <x v="5"/>
    <x v="284"/>
    <d v="2007-08-12T00:00:00"/>
    <x v="1"/>
    <s v="Destination VAPXU"/>
    <x v="8"/>
    <s v="Supplier BWGYE"/>
    <s v="UK"/>
    <x v="1"/>
    <n v="124.2"/>
  </r>
  <r>
    <n v="10623"/>
    <n v="21"/>
    <n v="10"/>
    <n v="25"/>
    <n v="0.1"/>
    <s v="Carlson, Jason"/>
    <s v="Carlson Jason"/>
    <x v="6"/>
    <s v="WA"/>
    <s v="Product VJZZH"/>
    <x v="5"/>
    <x v="284"/>
    <d v="2007-08-12T00:00:00"/>
    <x v="1"/>
    <s v="Destination VAPXU"/>
    <x v="8"/>
    <s v="Supplier BWGYE"/>
    <s v="UK"/>
    <x v="1"/>
    <n v="225"/>
  </r>
  <r>
    <n v="10623"/>
    <n v="24"/>
    <n v="4.5"/>
    <n v="3"/>
    <n v="0"/>
    <s v="Carlson, Jason"/>
    <s v="Carlson Jason"/>
    <x v="6"/>
    <s v="WA"/>
    <s v="Product QOGNU"/>
    <x v="6"/>
    <x v="284"/>
    <d v="2007-08-12T00:00:00"/>
    <x v="1"/>
    <s v="Destination VAPXU"/>
    <x v="8"/>
    <s v="Supplier UNAHG"/>
    <s v="Brazil"/>
    <x v="1"/>
    <n v="13.5"/>
  </r>
  <r>
    <n v="10623"/>
    <n v="35"/>
    <n v="18"/>
    <n v="30"/>
    <n v="0.1"/>
    <s v="Carlson, Jason"/>
    <s v="Carlson Jason"/>
    <x v="6"/>
    <s v="WA"/>
    <s v="Product NEVTJ"/>
    <x v="6"/>
    <x v="284"/>
    <d v="2007-08-12T00:00:00"/>
    <x v="1"/>
    <s v="Destination VAPXU"/>
    <x v="8"/>
    <s v="Supplier UHZRG"/>
    <s v="USA"/>
    <x v="1"/>
    <n v="486"/>
  </r>
  <r>
    <n v="10624"/>
    <n v="28"/>
    <n v="45.6"/>
    <n v="10"/>
    <n v="0"/>
    <s v="Young, Robin"/>
    <s v="Young Robin"/>
    <x v="1"/>
    <s v="WA"/>
    <s v="Product OFBNT"/>
    <x v="2"/>
    <x v="284"/>
    <d v="2007-08-19T00:00:00"/>
    <x v="1"/>
    <s v="Ship to 78-C"/>
    <x v="9"/>
    <s v="Supplier SVIYA"/>
    <s v="Germany"/>
    <x v="1"/>
    <n v="456"/>
  </r>
  <r>
    <n v="10624"/>
    <n v="29"/>
    <n v="123.79"/>
    <n v="6"/>
    <n v="0"/>
    <s v="Young, Robin"/>
    <s v="Young Robin"/>
    <x v="1"/>
    <s v="WA"/>
    <s v="Product VJXYN"/>
    <x v="7"/>
    <x v="284"/>
    <d v="2007-08-19T00:00:00"/>
    <x v="1"/>
    <s v="Ship to 78-C"/>
    <x v="9"/>
    <s v="Supplier SVIYA"/>
    <s v="Germany"/>
    <x v="1"/>
    <n v="742.74"/>
  </r>
  <r>
    <n v="10624"/>
    <n v="44"/>
    <n v="19.45"/>
    <n v="10"/>
    <n v="0"/>
    <s v="Young, Robin"/>
    <s v="Young Robin"/>
    <x v="1"/>
    <s v="WA"/>
    <s v="Product VJIEO"/>
    <x v="4"/>
    <x v="284"/>
    <d v="2007-08-19T00:00:00"/>
    <x v="1"/>
    <s v="Ship to 78-C"/>
    <x v="9"/>
    <s v="Supplier CIYNM"/>
    <s v="Singapore"/>
    <x v="1"/>
    <n v="194.5"/>
  </r>
  <r>
    <n v="10625"/>
    <n v="14"/>
    <n v="23.25"/>
    <n v="3"/>
    <n v="0"/>
    <s v="Hassall, Mark"/>
    <s v="Hassall Mark"/>
    <x v="2"/>
    <s v="WA"/>
    <s v="Product PWCJB"/>
    <x v="2"/>
    <x v="285"/>
    <d v="2007-08-14T00:00:00"/>
    <x v="2"/>
    <s v="Destination QOTQA"/>
    <x v="7"/>
    <s v="Supplier QWUSF"/>
    <s v="Japan"/>
    <x v="1"/>
    <n v="69.75"/>
  </r>
  <r>
    <n v="10625"/>
    <n v="42"/>
    <n v="14"/>
    <n v="5"/>
    <n v="0"/>
    <s v="Hassall, Mark"/>
    <s v="Hassall Mark"/>
    <x v="2"/>
    <s v="WA"/>
    <s v="Product RJVNM"/>
    <x v="1"/>
    <x v="285"/>
    <d v="2007-08-14T00:00:00"/>
    <x v="2"/>
    <s v="Destination QOTQA"/>
    <x v="7"/>
    <s v="Supplier CIYNM"/>
    <s v="Singapore"/>
    <x v="1"/>
    <n v="70"/>
  </r>
  <r>
    <n v="10625"/>
    <n v="60"/>
    <n v="34"/>
    <n v="10"/>
    <n v="0"/>
    <s v="Hassall, Mark"/>
    <s v="Hassall Mark"/>
    <x v="2"/>
    <s v="WA"/>
    <s v="Product WHBYK"/>
    <x v="0"/>
    <x v="285"/>
    <d v="2007-08-14T00:00:00"/>
    <x v="2"/>
    <s v="Destination QOTQA"/>
    <x v="7"/>
    <s v="Supplier OAVQT"/>
    <s v="France"/>
    <x v="1"/>
    <n v="340"/>
  </r>
  <r>
    <n v="10626"/>
    <n v="53"/>
    <n v="32.799999999999997"/>
    <n v="12"/>
    <n v="0"/>
    <s v="Higginbotham, Tom"/>
    <s v="Higginbotham Tom"/>
    <x v="5"/>
    <s v="WA"/>
    <s v="Product BKGEA"/>
    <x v="7"/>
    <x v="286"/>
    <d v="2007-08-20T00:00:00"/>
    <x v="1"/>
    <s v="Ship to 5-A"/>
    <x v="10"/>
    <s v="Supplier JNNES"/>
    <s v="Australia"/>
    <x v="2"/>
    <n v="393.59999999999997"/>
  </r>
  <r>
    <n v="10626"/>
    <n v="60"/>
    <n v="34"/>
    <n v="20"/>
    <n v="0"/>
    <s v="Higginbotham, Tom"/>
    <s v="Higginbotham Tom"/>
    <x v="5"/>
    <s v="WA"/>
    <s v="Product WHBYK"/>
    <x v="0"/>
    <x v="286"/>
    <d v="2007-08-20T00:00:00"/>
    <x v="1"/>
    <s v="Ship to 5-A"/>
    <x v="10"/>
    <s v="Supplier OAVQT"/>
    <s v="France"/>
    <x v="2"/>
    <n v="680"/>
  </r>
  <r>
    <n v="10626"/>
    <n v="71"/>
    <n v="21.5"/>
    <n v="20"/>
    <n v="0"/>
    <s v="Higginbotham, Tom"/>
    <s v="Higginbotham Tom"/>
    <x v="5"/>
    <s v="WA"/>
    <s v="Product MYMOI"/>
    <x v="0"/>
    <x v="286"/>
    <d v="2007-08-20T00:00:00"/>
    <x v="1"/>
    <s v="Ship to 5-A"/>
    <x v="10"/>
    <s v="Supplier NZLIF"/>
    <s v="Norway"/>
    <x v="2"/>
    <n v="430"/>
  </r>
  <r>
    <n v="10627"/>
    <n v="62"/>
    <n v="49.3"/>
    <n v="15"/>
    <n v="0"/>
    <s v="Navarro, Tomás"/>
    <s v="Navarro Tomás"/>
    <x v="6"/>
    <s v="WA"/>
    <s v="Product WUXYK"/>
    <x v="5"/>
    <x v="286"/>
    <d v="2007-08-21T00:00:00"/>
    <x v="3"/>
    <s v="Ship to 71-B"/>
    <x v="9"/>
    <s v="Supplier OGLRK"/>
    <s v="Canada"/>
    <x v="2"/>
    <n v="739.5"/>
  </r>
  <r>
    <n v="10627"/>
    <n v="73"/>
    <n v="15"/>
    <n v="35"/>
    <n v="0.15"/>
    <s v="Navarro, Tomás"/>
    <s v="Navarro Tomás"/>
    <x v="6"/>
    <s v="WA"/>
    <s v="Product WEUJZ"/>
    <x v="3"/>
    <x v="286"/>
    <d v="2007-08-21T00:00:00"/>
    <x v="3"/>
    <s v="Ship to 71-B"/>
    <x v="9"/>
    <s v="Supplier QZGUF"/>
    <s v="Sweden"/>
    <x v="2"/>
    <n v="446.25"/>
  </r>
  <r>
    <n v="10628"/>
    <n v="1"/>
    <n v="18"/>
    <n v="25"/>
    <n v="0"/>
    <s v="Bansal, Dushyant"/>
    <s v="Bansal Dushyant"/>
    <x v="1"/>
    <s v="WA"/>
    <s v="Product HHYDP"/>
    <x v="6"/>
    <x v="287"/>
    <d v="2007-08-20T00:00:00"/>
    <x v="3"/>
    <s v="Ship to 7-B"/>
    <x v="2"/>
    <s v="Supplier SWRXU"/>
    <s v="UK"/>
    <x v="1"/>
    <n v="450"/>
  </r>
  <r>
    <n v="10629"/>
    <n v="29"/>
    <n v="123.79"/>
    <n v="20"/>
    <n v="0"/>
    <s v="Shabalin, Rostislav"/>
    <s v="Shabalin Rostislav"/>
    <x v="1"/>
    <s v="WA"/>
    <s v="Product VJXYN"/>
    <x v="7"/>
    <x v="287"/>
    <d v="2007-08-20T00:00:00"/>
    <x v="3"/>
    <s v="Destination IIYDD"/>
    <x v="13"/>
    <s v="Supplier SVIYA"/>
    <s v="Germany"/>
    <x v="1"/>
    <n v="2475.8000000000002"/>
  </r>
  <r>
    <n v="10629"/>
    <n v="64"/>
    <n v="33.25"/>
    <n v="9"/>
    <n v="0"/>
    <s v="Shabalin, Rostislav"/>
    <s v="Shabalin Rostislav"/>
    <x v="1"/>
    <s v="WA"/>
    <s v="Product HCQDE"/>
    <x v="1"/>
    <x v="287"/>
    <d v="2007-08-20T00:00:00"/>
    <x v="3"/>
    <s v="Destination IIYDD"/>
    <x v="13"/>
    <s v="Supplier SVIYA"/>
    <s v="Germany"/>
    <x v="1"/>
    <n v="299.25"/>
  </r>
  <r>
    <n v="10630"/>
    <n v="55"/>
    <n v="24"/>
    <n v="12"/>
    <n v="0.05"/>
    <s v="Song, Lolan"/>
    <s v="Song Lolan"/>
    <x v="5"/>
    <s v="WA"/>
    <s v="Product YYWRT"/>
    <x v="7"/>
    <x v="288"/>
    <d v="2007-08-19T00:00:00"/>
    <x v="1"/>
    <s v="Destination RMBHM"/>
    <x v="8"/>
    <s v="Supplier ERVYZ"/>
    <s v="Canada"/>
    <x v="1"/>
    <n v="273.59999999999997"/>
  </r>
  <r>
    <n v="10630"/>
    <n v="76"/>
    <n v="18"/>
    <n v="35"/>
    <n v="0"/>
    <s v="Song, Lolan"/>
    <s v="Song Lolan"/>
    <x v="5"/>
    <s v="WA"/>
    <s v="Product JYGFE"/>
    <x v="6"/>
    <x v="288"/>
    <d v="2007-08-19T00:00:00"/>
    <x v="1"/>
    <s v="Destination RMBHM"/>
    <x v="8"/>
    <s v="Supplier ELCRN"/>
    <s v="Finland"/>
    <x v="1"/>
    <n v="630"/>
  </r>
  <r>
    <n v="10631"/>
    <n v="75"/>
    <n v="7.75"/>
    <n v="8"/>
    <n v="0.1"/>
    <s v="Litton, Tim"/>
    <s v="Litton Tim"/>
    <x v="6"/>
    <s v="WA"/>
    <s v="Product BWRLG"/>
    <x v="6"/>
    <x v="289"/>
    <d v="2007-08-15T00:00:00"/>
    <x v="2"/>
    <s v="Destination OLJND"/>
    <x v="2"/>
    <s v="Supplier SVIYA"/>
    <s v="Germany"/>
    <x v="1"/>
    <n v="55.800000000000004"/>
  </r>
  <r>
    <n v="10632"/>
    <n v="2"/>
    <n v="19"/>
    <n v="30"/>
    <n v="0.05"/>
    <s v="Syamala, Manoj"/>
    <s v="Syamala Manoj"/>
    <x v="6"/>
    <s v="WA"/>
    <s v="Product RECZE"/>
    <x v="6"/>
    <x v="289"/>
    <d v="2007-08-19T00:00:00"/>
    <x v="2"/>
    <s v="Ship to 86-C"/>
    <x v="8"/>
    <s v="Supplier SWRXU"/>
    <s v="UK"/>
    <x v="1"/>
    <n v="541.5"/>
  </r>
  <r>
    <n v="10632"/>
    <n v="33"/>
    <n v="2.5"/>
    <n v="20"/>
    <n v="0.05"/>
    <s v="Syamala, Manoj"/>
    <s v="Syamala Manoj"/>
    <x v="6"/>
    <s v="WA"/>
    <s v="Product ASTMN"/>
    <x v="0"/>
    <x v="289"/>
    <d v="2007-08-19T00:00:00"/>
    <x v="2"/>
    <s v="Ship to 86-C"/>
    <x v="8"/>
    <s v="Supplier NZLIF"/>
    <s v="Norway"/>
    <x v="1"/>
    <n v="47.5"/>
  </r>
  <r>
    <n v="10633"/>
    <n v="12"/>
    <n v="38"/>
    <n v="36"/>
    <n v="0.15"/>
    <s v="Kane, John"/>
    <s v="Kane John"/>
    <x v="9"/>
    <n v="0"/>
    <s v="Product OSFNS"/>
    <x v="0"/>
    <x v="290"/>
    <d v="2007-08-18T00:00:00"/>
    <x v="3"/>
    <s v="Destination FFXKT"/>
    <x v="6"/>
    <s v="Supplier EQPNC"/>
    <s v="Spain"/>
    <x v="2"/>
    <n v="1162.8"/>
  </r>
  <r>
    <n v="10633"/>
    <n v="13"/>
    <n v="6"/>
    <n v="13"/>
    <n v="0.15"/>
    <s v="Kane, John"/>
    <s v="Kane John"/>
    <x v="9"/>
    <n v="0"/>
    <s v="Product POXFU"/>
    <x v="3"/>
    <x v="290"/>
    <d v="2007-08-18T00:00:00"/>
    <x v="3"/>
    <s v="Destination FFXKT"/>
    <x v="6"/>
    <s v="Supplier QWUSF"/>
    <s v="Japan"/>
    <x v="2"/>
    <n v="66.3"/>
  </r>
  <r>
    <n v="10633"/>
    <n v="26"/>
    <n v="31.23"/>
    <n v="35"/>
    <n v="0.15"/>
    <s v="Kane, John"/>
    <s v="Kane John"/>
    <x v="9"/>
    <n v="0"/>
    <s v="Product HLGZA"/>
    <x v="5"/>
    <x v="290"/>
    <d v="2007-08-18T00:00:00"/>
    <x v="3"/>
    <s v="Destination FFXKT"/>
    <x v="6"/>
    <s v="Supplier ZPYVS"/>
    <s v="Germany"/>
    <x v="2"/>
    <n v="929.09249999999997"/>
  </r>
  <r>
    <n v="10633"/>
    <n v="62"/>
    <n v="49.3"/>
    <n v="80"/>
    <n v="0.15"/>
    <s v="Kane, John"/>
    <s v="Kane John"/>
    <x v="9"/>
    <n v="0"/>
    <s v="Product WUXYK"/>
    <x v="5"/>
    <x v="290"/>
    <d v="2007-08-18T00:00:00"/>
    <x v="3"/>
    <s v="Destination FFXKT"/>
    <x v="6"/>
    <s v="Supplier OGLRK"/>
    <s v="Canada"/>
    <x v="2"/>
    <n v="3352.4"/>
  </r>
  <r>
    <n v="10634"/>
    <n v="7"/>
    <n v="30"/>
    <n v="35"/>
    <n v="0"/>
    <s v="Khanna, Karan"/>
    <s v="Khanna Karan"/>
    <x v="1"/>
    <s v="WA"/>
    <s v="Product HMLNI"/>
    <x v="2"/>
    <x v="290"/>
    <d v="2007-08-21T00:00:00"/>
    <x v="3"/>
    <s v="Destination AGPCO"/>
    <x v="2"/>
    <s v="Supplier STUAZ"/>
    <s v="USA"/>
    <x v="2"/>
    <n v="1050"/>
  </r>
  <r>
    <n v="10634"/>
    <n v="18"/>
    <n v="62.5"/>
    <n v="50"/>
    <n v="0"/>
    <s v="Khanna, Karan"/>
    <s v="Khanna Karan"/>
    <x v="1"/>
    <s v="WA"/>
    <s v="Product CKEDC"/>
    <x v="3"/>
    <x v="290"/>
    <d v="2007-08-21T00:00:00"/>
    <x v="3"/>
    <s v="Destination AGPCO"/>
    <x v="2"/>
    <s v="Supplier GQRCV"/>
    <s v="Australia"/>
    <x v="2"/>
    <n v="3125"/>
  </r>
  <r>
    <n v="10634"/>
    <n v="51"/>
    <n v="53"/>
    <n v="15"/>
    <n v="0"/>
    <s v="Khanna, Karan"/>
    <s v="Khanna Karan"/>
    <x v="1"/>
    <s v="WA"/>
    <s v="Product APITJ"/>
    <x v="2"/>
    <x v="290"/>
    <d v="2007-08-21T00:00:00"/>
    <x v="3"/>
    <s v="Destination AGPCO"/>
    <x v="2"/>
    <s v="Supplier JNNES"/>
    <s v="Australia"/>
    <x v="2"/>
    <n v="795"/>
  </r>
  <r>
    <n v="10634"/>
    <n v="75"/>
    <n v="7.75"/>
    <n v="2"/>
    <n v="0"/>
    <s v="Khanna, Karan"/>
    <s v="Khanna Karan"/>
    <x v="1"/>
    <s v="WA"/>
    <s v="Product BWRLG"/>
    <x v="6"/>
    <x v="290"/>
    <d v="2007-08-21T00:00:00"/>
    <x v="3"/>
    <s v="Destination AGPCO"/>
    <x v="2"/>
    <s v="Supplier SVIYA"/>
    <s v="Germany"/>
    <x v="2"/>
    <n v="15.5"/>
  </r>
  <r>
    <n v="10635"/>
    <n v="4"/>
    <n v="22"/>
    <n v="10"/>
    <n v="0.1"/>
    <s v="Duerr, Bernard"/>
    <s v="Duerr Bernard"/>
    <x v="6"/>
    <s v="WA"/>
    <s v="Product KSBRM"/>
    <x v="4"/>
    <x v="291"/>
    <d v="2007-08-21T00:00:00"/>
    <x v="3"/>
    <s v="Ship to 49-A"/>
    <x v="12"/>
    <s v="Supplier VHQZD"/>
    <s v="USA"/>
    <x v="1"/>
    <n v="198"/>
  </r>
  <r>
    <n v="10635"/>
    <n v="5"/>
    <n v="21.35"/>
    <n v="15"/>
    <n v="0.1"/>
    <s v="Duerr, Bernard"/>
    <s v="Duerr Bernard"/>
    <x v="6"/>
    <s v="WA"/>
    <s v="Product EPEIM"/>
    <x v="4"/>
    <x v="291"/>
    <d v="2007-08-21T00:00:00"/>
    <x v="3"/>
    <s v="Ship to 49-A"/>
    <x v="12"/>
    <s v="Supplier VHQZD"/>
    <s v="USA"/>
    <x v="1"/>
    <n v="288.22500000000002"/>
  </r>
  <r>
    <n v="10635"/>
    <n v="22"/>
    <n v="21"/>
    <n v="40"/>
    <n v="0"/>
    <s v="Duerr, Bernard"/>
    <s v="Duerr Bernard"/>
    <x v="6"/>
    <s v="WA"/>
    <s v="Product CPHFY"/>
    <x v="1"/>
    <x v="291"/>
    <d v="2007-08-21T00:00:00"/>
    <x v="3"/>
    <s v="Ship to 49-A"/>
    <x v="12"/>
    <s v="Supplier QQYEU"/>
    <s v="Sweden"/>
    <x v="1"/>
    <n v="840"/>
  </r>
  <r>
    <n v="10636"/>
    <n v="4"/>
    <n v="22"/>
    <n v="25"/>
    <n v="0"/>
    <s v="Ludwig, Michael"/>
    <s v="Ludwig Michael"/>
    <x v="1"/>
    <s v="WA"/>
    <s v="Product KSBRM"/>
    <x v="4"/>
    <x v="292"/>
    <d v="2007-08-26T00:00:00"/>
    <x v="2"/>
    <s v="Ship to 87-A"/>
    <x v="11"/>
    <s v="Supplier VHQZD"/>
    <s v="USA"/>
    <x v="1"/>
    <n v="550"/>
  </r>
  <r>
    <n v="10636"/>
    <n v="58"/>
    <n v="13.25"/>
    <n v="6"/>
    <n v="0"/>
    <s v="Ludwig, Michael"/>
    <s v="Ludwig Michael"/>
    <x v="1"/>
    <s v="WA"/>
    <s v="Product ACRVI"/>
    <x v="3"/>
    <x v="292"/>
    <d v="2007-08-26T00:00:00"/>
    <x v="2"/>
    <s v="Ship to 87-A"/>
    <x v="11"/>
    <s v="Supplier ZRYDZ"/>
    <s v="France"/>
    <x v="1"/>
    <n v="79.5"/>
  </r>
  <r>
    <n v="10637"/>
    <n v="11"/>
    <n v="21"/>
    <n v="10"/>
    <n v="0"/>
    <s v="Misiec, Anna"/>
    <s v="Misiec Anna"/>
    <x v="7"/>
    <n v="0"/>
    <s v="Product QMVUN"/>
    <x v="0"/>
    <x v="292"/>
    <d v="2007-08-26T00:00:00"/>
    <x v="2"/>
    <s v="Ship to 62-C"/>
    <x v="1"/>
    <s v="Supplier EQPNC"/>
    <s v="Spain"/>
    <x v="2"/>
    <n v="210"/>
  </r>
  <r>
    <n v="10637"/>
    <n v="50"/>
    <n v="16.25"/>
    <n v="25"/>
    <n v="0.05"/>
    <s v="Misiec, Anna"/>
    <s v="Misiec Anna"/>
    <x v="7"/>
    <n v="0"/>
    <s v="Product BIUDV"/>
    <x v="5"/>
    <x v="292"/>
    <d v="2007-08-26T00:00:00"/>
    <x v="2"/>
    <s v="Ship to 62-C"/>
    <x v="1"/>
    <s v="Supplier ELCRN"/>
    <s v="Finland"/>
    <x v="2"/>
    <n v="385.9375"/>
  </r>
  <r>
    <n v="10637"/>
    <n v="56"/>
    <n v="38"/>
    <n v="60"/>
    <n v="0.05"/>
    <s v="Misiec, Anna"/>
    <s v="Misiec Anna"/>
    <x v="7"/>
    <n v="0"/>
    <s v="Product VKCMF"/>
    <x v="1"/>
    <x v="292"/>
    <d v="2007-08-26T00:00:00"/>
    <x v="2"/>
    <s v="Ship to 62-C"/>
    <x v="1"/>
    <s v="Supplier ZWZDM"/>
    <s v="Italy"/>
    <x v="2"/>
    <n v="2166"/>
  </r>
  <r>
    <n v="10638"/>
    <n v="45"/>
    <n v="9.5"/>
    <n v="20"/>
    <n v="0"/>
    <s v="Lupu, Cornel"/>
    <s v="Lupu Cornel"/>
    <x v="2"/>
    <s v="WA"/>
    <s v="Product AQOKR"/>
    <x v="3"/>
    <x v="293"/>
    <d v="2007-09-01T00:00:00"/>
    <x v="2"/>
    <s v="Ship to 47-B"/>
    <x v="5"/>
    <s v="Supplier XOXZA"/>
    <s v="Denmark"/>
    <x v="2"/>
    <n v="190"/>
  </r>
  <r>
    <n v="10638"/>
    <n v="65"/>
    <n v="21.05"/>
    <n v="21"/>
    <n v="0"/>
    <s v="Lupu, Cornel"/>
    <s v="Lupu Cornel"/>
    <x v="2"/>
    <s v="WA"/>
    <s v="Product XYWBZ"/>
    <x v="4"/>
    <x v="293"/>
    <d v="2007-09-01T00:00:00"/>
    <x v="2"/>
    <s v="Ship to 47-B"/>
    <x v="5"/>
    <s v="Supplier VHQZD"/>
    <s v="USA"/>
    <x v="2"/>
    <n v="442.05"/>
  </r>
  <r>
    <n v="10638"/>
    <n v="72"/>
    <n v="34.799999999999997"/>
    <n v="60"/>
    <n v="0"/>
    <s v="Lupu, Cornel"/>
    <s v="Lupu Cornel"/>
    <x v="2"/>
    <s v="WA"/>
    <s v="Product GEEOO"/>
    <x v="0"/>
    <x v="293"/>
    <d v="2007-09-01T00:00:00"/>
    <x v="2"/>
    <s v="Ship to 47-B"/>
    <x v="5"/>
    <s v="Supplier KEREV"/>
    <s v="Italy"/>
    <x v="2"/>
    <n v="2088"/>
  </r>
  <r>
    <n v="10639"/>
    <n v="18"/>
    <n v="62.5"/>
    <n v="8"/>
    <n v="0"/>
    <s v="Ginters, Kaspars"/>
    <s v="Ginters Kaspars"/>
    <x v="9"/>
    <n v="0"/>
    <s v="Product CKEDC"/>
    <x v="3"/>
    <x v="293"/>
    <d v="2007-08-27T00:00:00"/>
    <x v="3"/>
    <s v="Ship to 70-B"/>
    <x v="20"/>
    <s v="Supplier GQRCV"/>
    <s v="Australia"/>
    <x v="1"/>
    <n v="500"/>
  </r>
  <r>
    <n v="10640"/>
    <n v="69"/>
    <n v="36"/>
    <n v="20"/>
    <n v="0.25"/>
    <s v="Syamala, Manoj"/>
    <s v="Syamala Manoj"/>
    <x v="1"/>
    <s v="WA"/>
    <s v="Product COAXA"/>
    <x v="0"/>
    <x v="294"/>
    <d v="2007-08-28T00:00:00"/>
    <x v="2"/>
    <s v="Ship to 86-A"/>
    <x v="8"/>
    <s v="Supplier NZLIF"/>
    <s v="Norway"/>
    <x v="1"/>
    <n v="540"/>
  </r>
  <r>
    <n v="10640"/>
    <n v="70"/>
    <n v="15"/>
    <n v="15"/>
    <n v="0.25"/>
    <s v="Syamala, Manoj"/>
    <s v="Syamala Manoj"/>
    <x v="1"/>
    <s v="WA"/>
    <s v="Product TOONT"/>
    <x v="6"/>
    <x v="294"/>
    <d v="2007-08-28T00:00:00"/>
    <x v="2"/>
    <s v="Ship to 86-A"/>
    <x v="8"/>
    <s v="Supplier GQRCV"/>
    <s v="Australia"/>
    <x v="1"/>
    <n v="168.75"/>
  </r>
  <r>
    <n v="10641"/>
    <n v="2"/>
    <n v="19"/>
    <n v="50"/>
    <n v="0"/>
    <s v="Langohr, Kris"/>
    <s v="Langohr Kris"/>
    <x v="1"/>
    <s v="WA"/>
    <s v="Product RECZE"/>
    <x v="6"/>
    <x v="295"/>
    <d v="2007-08-26T00:00:00"/>
    <x v="1"/>
    <s v="Destination JYDLM"/>
    <x v="5"/>
    <s v="Supplier SWRXU"/>
    <s v="UK"/>
    <x v="2"/>
    <n v="950"/>
  </r>
  <r>
    <n v="10641"/>
    <n v="40"/>
    <n v="18.399999999999999"/>
    <n v="60"/>
    <n v="0"/>
    <s v="Langohr, Kris"/>
    <s v="Langohr Kris"/>
    <x v="1"/>
    <s v="WA"/>
    <s v="Product YZIXQ"/>
    <x v="3"/>
    <x v="295"/>
    <d v="2007-08-26T00:00:00"/>
    <x v="1"/>
    <s v="Destination JYDLM"/>
    <x v="5"/>
    <s v="Supplier JDNUG"/>
    <s v="USA"/>
    <x v="2"/>
    <n v="1104"/>
  </r>
  <r>
    <n v="10642"/>
    <n v="21"/>
    <n v="10"/>
    <n v="30"/>
    <n v="0.2"/>
    <s v="Gonzalez, Nuria"/>
    <s v="Gonzalez Nuria"/>
    <x v="9"/>
    <n v="0"/>
    <s v="Product VJZZH"/>
    <x v="5"/>
    <x v="295"/>
    <d v="2007-09-05T00:00:00"/>
    <x v="3"/>
    <s v="Ship to 73-C"/>
    <x v="18"/>
    <s v="Supplier BWGYE"/>
    <s v="UK"/>
    <x v="1"/>
    <n v="240"/>
  </r>
  <r>
    <n v="10642"/>
    <n v="61"/>
    <n v="28.5"/>
    <n v="20"/>
    <n v="0.2"/>
    <s v="Gonzalez, Nuria"/>
    <s v="Gonzalez Nuria"/>
    <x v="9"/>
    <n v="0"/>
    <s v="Product XYZPE"/>
    <x v="4"/>
    <x v="295"/>
    <d v="2007-09-05T00:00:00"/>
    <x v="3"/>
    <s v="Ship to 73-C"/>
    <x v="18"/>
    <s v="Supplier OGLRK"/>
    <s v="Canada"/>
    <x v="1"/>
    <n v="456"/>
  </r>
  <r>
    <n v="10643"/>
    <n v="28"/>
    <n v="45.6"/>
    <n v="15"/>
    <n v="0.25"/>
    <s v="Allen, Michael"/>
    <s v="Allen Michael"/>
    <x v="7"/>
    <n v="0"/>
    <s v="Product OFBNT"/>
    <x v="2"/>
    <x v="296"/>
    <d v="2007-09-02T00:00:00"/>
    <x v="2"/>
    <s v="Destination LOUIE"/>
    <x v="8"/>
    <s v="Supplier SVIYA"/>
    <s v="Germany"/>
    <x v="1"/>
    <n v="513"/>
  </r>
  <r>
    <n v="10643"/>
    <n v="39"/>
    <n v="18"/>
    <n v="21"/>
    <n v="0.25"/>
    <s v="Allen, Michael"/>
    <s v="Allen Michael"/>
    <x v="7"/>
    <n v="0"/>
    <s v="Product LSOFL"/>
    <x v="6"/>
    <x v="296"/>
    <d v="2007-09-02T00:00:00"/>
    <x v="2"/>
    <s v="Destination LOUIE"/>
    <x v="8"/>
    <s v="Supplier LVJUA"/>
    <s v="France"/>
    <x v="1"/>
    <n v="283.5"/>
  </r>
  <r>
    <n v="10643"/>
    <n v="46"/>
    <n v="12"/>
    <n v="2"/>
    <n v="0.25"/>
    <s v="Allen, Michael"/>
    <s v="Allen Michael"/>
    <x v="7"/>
    <n v="0"/>
    <s v="Product CBRRL"/>
    <x v="3"/>
    <x v="296"/>
    <d v="2007-09-02T00:00:00"/>
    <x v="2"/>
    <s v="Destination LOUIE"/>
    <x v="8"/>
    <s v="Supplier XOXZA"/>
    <s v="Denmark"/>
    <x v="1"/>
    <n v="18"/>
  </r>
  <r>
    <n v="10644"/>
    <n v="18"/>
    <n v="62.5"/>
    <n v="4"/>
    <n v="0.1"/>
    <s v="Li, Yan"/>
    <s v="Li Yan"/>
    <x v="2"/>
    <s v="WA"/>
    <s v="Product CKEDC"/>
    <x v="3"/>
    <x v="296"/>
    <d v="2007-09-01T00:00:00"/>
    <x v="1"/>
    <s v="Ship to 88-A"/>
    <x v="1"/>
    <s v="Supplier GQRCV"/>
    <s v="Australia"/>
    <x v="1"/>
    <n v="225"/>
  </r>
  <r>
    <n v="10644"/>
    <n v="43"/>
    <n v="46"/>
    <n v="20"/>
    <n v="0"/>
    <s v="Li, Yan"/>
    <s v="Li Yan"/>
    <x v="2"/>
    <s v="WA"/>
    <s v="Product ZZZHR"/>
    <x v="6"/>
    <x v="296"/>
    <d v="2007-09-01T00:00:00"/>
    <x v="1"/>
    <s v="Ship to 88-A"/>
    <x v="1"/>
    <s v="Supplier CIYNM"/>
    <s v="Singapore"/>
    <x v="1"/>
    <n v="920"/>
  </r>
  <r>
    <n v="10644"/>
    <n v="46"/>
    <n v="12"/>
    <n v="21"/>
    <n v="0.1"/>
    <s v="Li, Yan"/>
    <s v="Li Yan"/>
    <x v="2"/>
    <s v="WA"/>
    <s v="Product CBRRL"/>
    <x v="3"/>
    <x v="296"/>
    <d v="2007-09-01T00:00:00"/>
    <x v="1"/>
    <s v="Ship to 88-A"/>
    <x v="1"/>
    <s v="Supplier XOXZA"/>
    <s v="Denmark"/>
    <x v="1"/>
    <n v="226.8"/>
  </r>
  <r>
    <n v="10645"/>
    <n v="18"/>
    <n v="62.5"/>
    <n v="20"/>
    <n v="0"/>
    <s v="Cohen, Shy"/>
    <s v="Cohen Shy"/>
    <x v="1"/>
    <s v="WA"/>
    <s v="Product CKEDC"/>
    <x v="3"/>
    <x v="297"/>
    <d v="2007-09-02T00:00:00"/>
    <x v="2"/>
    <s v="Destination DPCVR"/>
    <x v="1"/>
    <s v="Supplier GQRCV"/>
    <s v="Australia"/>
    <x v="1"/>
    <n v="1250"/>
  </r>
  <r>
    <n v="10645"/>
    <n v="36"/>
    <n v="19"/>
    <n v="15"/>
    <n v="0"/>
    <s v="Cohen, Shy"/>
    <s v="Cohen Shy"/>
    <x v="1"/>
    <s v="WA"/>
    <s v="Product GMKIJ"/>
    <x v="3"/>
    <x v="297"/>
    <d v="2007-09-02T00:00:00"/>
    <x v="2"/>
    <s v="Destination DPCVR"/>
    <x v="1"/>
    <s v="Supplier QZGUF"/>
    <s v="Sweden"/>
    <x v="1"/>
    <n v="285"/>
  </r>
  <r>
    <n v="10646"/>
    <n v="1"/>
    <n v="18"/>
    <n v="15"/>
    <n v="0.25"/>
    <s v="Crăciun, Ovidiu V."/>
    <s v="Crăciun Ovidiu V."/>
    <x v="4"/>
    <n v="0"/>
    <s v="Product HHYDP"/>
    <x v="6"/>
    <x v="298"/>
    <d v="2007-09-03T00:00:00"/>
    <x v="3"/>
    <s v="Destination ATSOA"/>
    <x v="15"/>
    <s v="Supplier SWRXU"/>
    <s v="UK"/>
    <x v="2"/>
    <n v="202.5"/>
  </r>
  <r>
    <n v="10646"/>
    <n v="10"/>
    <n v="31"/>
    <n v="18"/>
    <n v="0.25"/>
    <s v="Crăciun, Ovidiu V."/>
    <s v="Crăciun Ovidiu V."/>
    <x v="4"/>
    <n v="0"/>
    <s v="Product YHXGE"/>
    <x v="3"/>
    <x v="298"/>
    <d v="2007-09-03T00:00:00"/>
    <x v="3"/>
    <s v="Destination ATSOA"/>
    <x v="15"/>
    <s v="Supplier QOVFD"/>
    <s v="Japan"/>
    <x v="2"/>
    <n v="418.5"/>
  </r>
  <r>
    <n v="10646"/>
    <n v="71"/>
    <n v="21.5"/>
    <n v="30"/>
    <n v="0.25"/>
    <s v="Crăciun, Ovidiu V."/>
    <s v="Crăciun Ovidiu V."/>
    <x v="4"/>
    <n v="0"/>
    <s v="Product MYMOI"/>
    <x v="0"/>
    <x v="298"/>
    <d v="2007-09-03T00:00:00"/>
    <x v="3"/>
    <s v="Destination ATSOA"/>
    <x v="15"/>
    <s v="Supplier NZLIF"/>
    <s v="Norway"/>
    <x v="2"/>
    <n v="483.75"/>
  </r>
  <r>
    <n v="10646"/>
    <n v="77"/>
    <n v="13"/>
    <n v="35"/>
    <n v="0.25"/>
    <s v="Crăciun, Ovidiu V."/>
    <s v="Crăciun Ovidiu V."/>
    <x v="4"/>
    <n v="0"/>
    <s v="Product LUNZZ"/>
    <x v="4"/>
    <x v="298"/>
    <d v="2007-09-03T00:00:00"/>
    <x v="3"/>
    <s v="Destination ATSOA"/>
    <x v="15"/>
    <s v="Supplier SVIYA"/>
    <s v="Germany"/>
    <x v="2"/>
    <n v="341.25"/>
  </r>
  <r>
    <n v="10647"/>
    <n v="19"/>
    <n v="9.1999999999999993"/>
    <n v="30"/>
    <n v="0"/>
    <s v="Florczyk, Krzysztof"/>
    <s v="Florczyk Krzysztof"/>
    <x v="1"/>
    <s v="WA"/>
    <s v="Product XKXDO"/>
    <x v="5"/>
    <x v="298"/>
    <d v="2007-09-03T00:00:00"/>
    <x v="1"/>
    <s v="Ship to 61-B"/>
    <x v="1"/>
    <s v="Supplier BWGYE"/>
    <s v="UK"/>
    <x v="1"/>
    <n v="276"/>
  </r>
  <r>
    <n v="10647"/>
    <n v="39"/>
    <n v="18"/>
    <n v="20"/>
    <n v="0"/>
    <s v="Florczyk, Krzysztof"/>
    <s v="Florczyk Krzysztof"/>
    <x v="1"/>
    <s v="WA"/>
    <s v="Product LSOFL"/>
    <x v="6"/>
    <x v="298"/>
    <d v="2007-09-03T00:00:00"/>
    <x v="1"/>
    <s v="Ship to 61-B"/>
    <x v="1"/>
    <s v="Supplier LVJUA"/>
    <s v="France"/>
    <x v="1"/>
    <n v="360"/>
  </r>
  <r>
    <n v="10648"/>
    <n v="22"/>
    <n v="21"/>
    <n v="15"/>
    <n v="0"/>
    <s v="Garden, Euan"/>
    <s v="Garden Euan"/>
    <x v="3"/>
    <n v="0"/>
    <s v="Product CPHFY"/>
    <x v="1"/>
    <x v="299"/>
    <d v="2007-09-09T00:00:00"/>
    <x v="1"/>
    <s v="Ship to 67-C"/>
    <x v="1"/>
    <s v="Supplier QQYEU"/>
    <s v="Sweden"/>
    <x v="1"/>
    <n v="315"/>
  </r>
  <r>
    <n v="10648"/>
    <n v="24"/>
    <n v="4.5"/>
    <n v="15"/>
    <n v="0.15"/>
    <s v="Garden, Euan"/>
    <s v="Garden Euan"/>
    <x v="3"/>
    <n v="0"/>
    <s v="Product QOGNU"/>
    <x v="6"/>
    <x v="299"/>
    <d v="2007-09-09T00:00:00"/>
    <x v="1"/>
    <s v="Ship to 67-C"/>
    <x v="1"/>
    <s v="Supplier UNAHG"/>
    <s v="Brazil"/>
    <x v="1"/>
    <n v="57.375"/>
  </r>
  <r>
    <n v="10649"/>
    <n v="28"/>
    <n v="45.6"/>
    <n v="20"/>
    <n v="0"/>
    <s v="Mace, Donald"/>
    <s v="Mace Donald"/>
    <x v="3"/>
    <n v="0"/>
    <s v="Product OFBNT"/>
    <x v="2"/>
    <x v="299"/>
    <d v="2007-08-29T00:00:00"/>
    <x v="3"/>
    <s v="Ship to 50-B"/>
    <x v="3"/>
    <s v="Supplier SVIYA"/>
    <s v="Germany"/>
    <x v="1"/>
    <n v="912"/>
  </r>
  <r>
    <n v="10649"/>
    <n v="72"/>
    <n v="34.799999999999997"/>
    <n v="15"/>
    <n v="0"/>
    <s v="Mace, Donald"/>
    <s v="Mace Donald"/>
    <x v="3"/>
    <n v="0"/>
    <s v="Product GEEOO"/>
    <x v="0"/>
    <x v="299"/>
    <d v="2007-08-29T00:00:00"/>
    <x v="3"/>
    <s v="Ship to 50-B"/>
    <x v="3"/>
    <s v="Supplier KEREV"/>
    <s v="Italy"/>
    <x v="1"/>
    <n v="522"/>
  </r>
  <r>
    <n v="10650"/>
    <n v="30"/>
    <n v="25.89"/>
    <n v="30"/>
    <n v="0"/>
    <s v="Russo, Giuseppe"/>
    <s v="Russo Giuseppe"/>
    <x v="3"/>
    <n v="0"/>
    <s v="Product LYERX"/>
    <x v="3"/>
    <x v="300"/>
    <d v="2007-09-03T00:00:00"/>
    <x v="3"/>
    <s v="Destination SSYXZ"/>
    <x v="1"/>
    <s v="Supplier TEGSC"/>
    <s v="Germany"/>
    <x v="2"/>
    <n v="776.7"/>
  </r>
  <r>
    <n v="10650"/>
    <n v="53"/>
    <n v="32.799999999999997"/>
    <n v="25"/>
    <n v="0.05"/>
    <s v="Russo, Giuseppe"/>
    <s v="Russo Giuseppe"/>
    <x v="3"/>
    <n v="0"/>
    <s v="Product BKGEA"/>
    <x v="7"/>
    <x v="300"/>
    <d v="2007-09-03T00:00:00"/>
    <x v="3"/>
    <s v="Destination SSYXZ"/>
    <x v="1"/>
    <s v="Supplier JNNES"/>
    <s v="Australia"/>
    <x v="2"/>
    <n v="778.99999999999989"/>
  </r>
  <r>
    <n v="10650"/>
    <n v="54"/>
    <n v="7.45"/>
    <n v="30"/>
    <n v="0"/>
    <s v="Russo, Giuseppe"/>
    <s v="Russo Giuseppe"/>
    <x v="3"/>
    <n v="0"/>
    <s v="Product QAQRL"/>
    <x v="7"/>
    <x v="300"/>
    <d v="2007-09-03T00:00:00"/>
    <x v="3"/>
    <s v="Destination SSYXZ"/>
    <x v="1"/>
    <s v="Supplier ERVYZ"/>
    <s v="Canada"/>
    <x v="2"/>
    <n v="223.5"/>
  </r>
  <r>
    <n v="10651"/>
    <n v="19"/>
    <n v="9.1999999999999993"/>
    <n v="12"/>
    <n v="0.25"/>
    <s v="Syamala, Manoj"/>
    <s v="Syamala Manoj"/>
    <x v="6"/>
    <s v="WA"/>
    <s v="Product XKXDO"/>
    <x v="5"/>
    <x v="301"/>
    <d v="2007-09-11T00:00:00"/>
    <x v="1"/>
    <s v="Ship to 86-A"/>
    <x v="8"/>
    <s v="Supplier BWGYE"/>
    <s v="UK"/>
    <x v="1"/>
    <n v="82.8"/>
  </r>
  <r>
    <n v="10651"/>
    <n v="22"/>
    <n v="21"/>
    <n v="20"/>
    <n v="0.25"/>
    <s v="Syamala, Manoj"/>
    <s v="Syamala Manoj"/>
    <x v="6"/>
    <s v="WA"/>
    <s v="Product CPHFY"/>
    <x v="1"/>
    <x v="301"/>
    <d v="2007-09-11T00:00:00"/>
    <x v="1"/>
    <s v="Ship to 86-A"/>
    <x v="8"/>
    <s v="Supplier QQYEU"/>
    <s v="Sweden"/>
    <x v="1"/>
    <n v="315"/>
  </r>
  <r>
    <n v="10652"/>
    <n v="30"/>
    <n v="25.89"/>
    <n v="2"/>
    <n v="0.25"/>
    <s v="Cheng, Yao-Qiang"/>
    <s v="Cheng Yao-Qiang"/>
    <x v="1"/>
    <s v="WA"/>
    <s v="Product LYERX"/>
    <x v="3"/>
    <x v="301"/>
    <d v="2007-09-08T00:00:00"/>
    <x v="1"/>
    <s v="Destination VNIAG"/>
    <x v="1"/>
    <s v="Supplier TEGSC"/>
    <s v="Germany"/>
    <x v="1"/>
    <n v="38.835000000000001"/>
  </r>
  <r>
    <n v="10652"/>
    <n v="42"/>
    <n v="14"/>
    <n v="20"/>
    <n v="0"/>
    <s v="Cheng, Yao-Qiang"/>
    <s v="Cheng Yao-Qiang"/>
    <x v="1"/>
    <s v="WA"/>
    <s v="Product RJVNM"/>
    <x v="1"/>
    <x v="301"/>
    <d v="2007-09-08T00:00:00"/>
    <x v="1"/>
    <s v="Destination VNIAG"/>
    <x v="1"/>
    <s v="Supplier CIYNM"/>
    <s v="Singapore"/>
    <x v="1"/>
    <n v="280"/>
  </r>
  <r>
    <n v="10653"/>
    <n v="16"/>
    <n v="17.45"/>
    <n v="30"/>
    <n v="0.1"/>
    <s v="Carlson, Jason"/>
    <s v="Carlson Jason"/>
    <x v="5"/>
    <s v="WA"/>
    <s v="Product PAFRH"/>
    <x v="5"/>
    <x v="302"/>
    <d v="2007-09-19T00:00:00"/>
    <x v="2"/>
    <s v="Destination QOCBL"/>
    <x v="8"/>
    <s v="Supplier GQRCV"/>
    <s v="Australia"/>
    <x v="1"/>
    <n v="471.15000000000003"/>
  </r>
  <r>
    <n v="10653"/>
    <n v="60"/>
    <n v="34"/>
    <n v="20"/>
    <n v="0.1"/>
    <s v="Carlson, Jason"/>
    <s v="Carlson Jason"/>
    <x v="5"/>
    <s v="WA"/>
    <s v="Product WHBYK"/>
    <x v="0"/>
    <x v="302"/>
    <d v="2007-09-19T00:00:00"/>
    <x v="2"/>
    <s v="Destination QOCBL"/>
    <x v="8"/>
    <s v="Supplier OAVQT"/>
    <s v="France"/>
    <x v="1"/>
    <n v="612"/>
  </r>
  <r>
    <n v="10654"/>
    <n v="4"/>
    <n v="22"/>
    <n v="12"/>
    <n v="0.1"/>
    <s v="Higginbotham, Tom"/>
    <s v="Higginbotham Tom"/>
    <x v="3"/>
    <n v="0"/>
    <s v="Product KSBRM"/>
    <x v="4"/>
    <x v="302"/>
    <d v="2007-09-11T00:00:00"/>
    <x v="2"/>
    <s v="Ship to 5-C"/>
    <x v="10"/>
    <s v="Supplier VHQZD"/>
    <s v="USA"/>
    <x v="1"/>
    <n v="237.6"/>
  </r>
  <r>
    <n v="10654"/>
    <n v="39"/>
    <n v="18"/>
    <n v="20"/>
    <n v="0.1"/>
    <s v="Higginbotham, Tom"/>
    <s v="Higginbotham Tom"/>
    <x v="3"/>
    <n v="0"/>
    <s v="Product LSOFL"/>
    <x v="6"/>
    <x v="302"/>
    <d v="2007-09-11T00:00:00"/>
    <x v="2"/>
    <s v="Ship to 5-C"/>
    <x v="10"/>
    <s v="Supplier LVJUA"/>
    <s v="France"/>
    <x v="1"/>
    <n v="324"/>
  </r>
  <r>
    <n v="10654"/>
    <n v="54"/>
    <n v="7.45"/>
    <n v="6"/>
    <n v="0.1"/>
    <s v="Higginbotham, Tom"/>
    <s v="Higginbotham Tom"/>
    <x v="3"/>
    <n v="0"/>
    <s v="Product QAQRL"/>
    <x v="7"/>
    <x v="302"/>
    <d v="2007-09-11T00:00:00"/>
    <x v="2"/>
    <s v="Ship to 5-C"/>
    <x v="10"/>
    <s v="Supplier ERVYZ"/>
    <s v="Canada"/>
    <x v="1"/>
    <n v="40.230000000000004"/>
  </r>
  <r>
    <n v="10655"/>
    <n v="41"/>
    <n v="9.65"/>
    <n v="20"/>
    <n v="0.2"/>
    <s v="Voss, Florian"/>
    <s v="Voss Florian"/>
    <x v="5"/>
    <s v="WA"/>
    <s v="Product TTEEX"/>
    <x v="3"/>
    <x v="303"/>
    <d v="2007-09-11T00:00:00"/>
    <x v="1"/>
    <s v="Ship to 66-B"/>
    <x v="12"/>
    <s v="Supplier JDNUG"/>
    <s v="USA"/>
    <x v="1"/>
    <n v="154.4"/>
  </r>
  <r>
    <n v="10656"/>
    <n v="14"/>
    <n v="23.25"/>
    <n v="3"/>
    <n v="0.1"/>
    <s v="Krishnan, Venky"/>
    <s v="Krishnan Venky"/>
    <x v="7"/>
    <n v="0"/>
    <s v="Product PWCJB"/>
    <x v="2"/>
    <x v="304"/>
    <d v="2007-09-10T00:00:00"/>
    <x v="2"/>
    <s v="Destination AVQUS"/>
    <x v="9"/>
    <s v="Supplier QWUSF"/>
    <s v="Japan"/>
    <x v="1"/>
    <n v="62.774999999999999"/>
  </r>
  <r>
    <n v="10656"/>
    <n v="44"/>
    <n v="19.45"/>
    <n v="28"/>
    <n v="0.1"/>
    <s v="Krishnan, Venky"/>
    <s v="Krishnan Venky"/>
    <x v="7"/>
    <n v="0"/>
    <s v="Product VJIEO"/>
    <x v="4"/>
    <x v="304"/>
    <d v="2007-09-10T00:00:00"/>
    <x v="2"/>
    <s v="Destination AVQUS"/>
    <x v="9"/>
    <s v="Supplier CIYNM"/>
    <s v="Singapore"/>
    <x v="1"/>
    <n v="490.14000000000004"/>
  </r>
  <r>
    <n v="10656"/>
    <n v="47"/>
    <n v="9.5"/>
    <n v="6"/>
    <n v="0.1"/>
    <s v="Krishnan, Venky"/>
    <s v="Krishnan Venky"/>
    <x v="7"/>
    <n v="0"/>
    <s v="Product EZZPR"/>
    <x v="5"/>
    <x v="304"/>
    <d v="2007-09-10T00:00:00"/>
    <x v="2"/>
    <s v="Destination AVQUS"/>
    <x v="9"/>
    <s v="Supplier FNUXM"/>
    <s v="Netherlands"/>
    <x v="1"/>
    <n v="51.300000000000004"/>
  </r>
  <r>
    <n v="10657"/>
    <n v="15"/>
    <n v="15.5"/>
    <n v="50"/>
    <n v="0"/>
    <s v="Navarro, Tomás"/>
    <s v="Navarro Tomás"/>
    <x v="8"/>
    <s v="WA"/>
    <s v="Product KSZOI"/>
    <x v="4"/>
    <x v="304"/>
    <d v="2007-09-15T00:00:00"/>
    <x v="1"/>
    <s v="Ship to 71-A"/>
    <x v="9"/>
    <s v="Supplier QWUSF"/>
    <s v="Japan"/>
    <x v="2"/>
    <n v="775"/>
  </r>
  <r>
    <n v="10657"/>
    <n v="41"/>
    <n v="9.65"/>
    <n v="24"/>
    <n v="0"/>
    <s v="Navarro, Tomás"/>
    <s v="Navarro Tomás"/>
    <x v="8"/>
    <s v="WA"/>
    <s v="Product TTEEX"/>
    <x v="3"/>
    <x v="304"/>
    <d v="2007-09-15T00:00:00"/>
    <x v="1"/>
    <s v="Ship to 71-A"/>
    <x v="9"/>
    <s v="Supplier JDNUG"/>
    <s v="USA"/>
    <x v="2"/>
    <n v="231.60000000000002"/>
  </r>
  <r>
    <n v="10657"/>
    <n v="46"/>
    <n v="12"/>
    <n v="45"/>
    <n v="0"/>
    <s v="Navarro, Tomás"/>
    <s v="Navarro Tomás"/>
    <x v="8"/>
    <s v="WA"/>
    <s v="Product CBRRL"/>
    <x v="3"/>
    <x v="304"/>
    <d v="2007-09-15T00:00:00"/>
    <x v="1"/>
    <s v="Ship to 71-A"/>
    <x v="9"/>
    <s v="Supplier XOXZA"/>
    <s v="Denmark"/>
    <x v="2"/>
    <n v="540"/>
  </r>
  <r>
    <n v="10657"/>
    <n v="47"/>
    <n v="9.5"/>
    <n v="10"/>
    <n v="0"/>
    <s v="Navarro, Tomás"/>
    <s v="Navarro Tomás"/>
    <x v="8"/>
    <s v="WA"/>
    <s v="Product EZZPR"/>
    <x v="5"/>
    <x v="304"/>
    <d v="2007-09-15T00:00:00"/>
    <x v="1"/>
    <s v="Ship to 71-A"/>
    <x v="9"/>
    <s v="Supplier FNUXM"/>
    <s v="Netherlands"/>
    <x v="2"/>
    <n v="95"/>
  </r>
  <r>
    <n v="10657"/>
    <n v="56"/>
    <n v="38"/>
    <n v="45"/>
    <n v="0"/>
    <s v="Navarro, Tomás"/>
    <s v="Navarro Tomás"/>
    <x v="8"/>
    <s v="WA"/>
    <s v="Product VKCMF"/>
    <x v="1"/>
    <x v="304"/>
    <d v="2007-09-15T00:00:00"/>
    <x v="1"/>
    <s v="Ship to 71-A"/>
    <x v="9"/>
    <s v="Supplier ZWZDM"/>
    <s v="Italy"/>
    <x v="2"/>
    <n v="1710"/>
  </r>
  <r>
    <n v="10657"/>
    <n v="60"/>
    <n v="34"/>
    <n v="30"/>
    <n v="0"/>
    <s v="Navarro, Tomás"/>
    <s v="Navarro Tomás"/>
    <x v="8"/>
    <s v="WA"/>
    <s v="Product WHBYK"/>
    <x v="0"/>
    <x v="304"/>
    <d v="2007-09-15T00:00:00"/>
    <x v="1"/>
    <s v="Ship to 71-A"/>
    <x v="9"/>
    <s v="Supplier OAVQT"/>
    <s v="France"/>
    <x v="2"/>
    <n v="1020"/>
  </r>
  <r>
    <n v="10658"/>
    <n v="21"/>
    <n v="10"/>
    <n v="60"/>
    <n v="0"/>
    <s v="Veronesi, Giorgio"/>
    <s v="Veronesi Giorgio"/>
    <x v="1"/>
    <s v="WA"/>
    <s v="Product VJZZH"/>
    <x v="5"/>
    <x v="305"/>
    <d v="2007-09-08T00:00:00"/>
    <x v="2"/>
    <s v="Ship to 63-C"/>
    <x v="8"/>
    <s v="Supplier BWGYE"/>
    <s v="UK"/>
    <x v="2"/>
    <n v="600"/>
  </r>
  <r>
    <n v="10658"/>
    <n v="40"/>
    <n v="18.399999999999999"/>
    <n v="70"/>
    <n v="0.05"/>
    <s v="Veronesi, Giorgio"/>
    <s v="Veronesi Giorgio"/>
    <x v="1"/>
    <s v="WA"/>
    <s v="Product YZIXQ"/>
    <x v="3"/>
    <x v="305"/>
    <d v="2007-09-08T00:00:00"/>
    <x v="2"/>
    <s v="Ship to 63-C"/>
    <x v="8"/>
    <s v="Supplier JDNUG"/>
    <s v="USA"/>
    <x v="2"/>
    <n v="1223.5999999999999"/>
  </r>
  <r>
    <n v="10658"/>
    <n v="60"/>
    <n v="34"/>
    <n v="55"/>
    <n v="0.05"/>
    <s v="Veronesi, Giorgio"/>
    <s v="Veronesi Giorgio"/>
    <x v="1"/>
    <s v="WA"/>
    <s v="Product WHBYK"/>
    <x v="0"/>
    <x v="305"/>
    <d v="2007-09-08T00:00:00"/>
    <x v="2"/>
    <s v="Ship to 63-C"/>
    <x v="8"/>
    <s v="Supplier OAVQT"/>
    <s v="France"/>
    <x v="2"/>
    <n v="1776.5"/>
  </r>
  <r>
    <n v="10658"/>
    <n v="77"/>
    <n v="13"/>
    <n v="70"/>
    <n v="0.05"/>
    <s v="Veronesi, Giorgio"/>
    <s v="Veronesi Giorgio"/>
    <x v="1"/>
    <s v="WA"/>
    <s v="Product LUNZZ"/>
    <x v="4"/>
    <x v="305"/>
    <d v="2007-09-08T00:00:00"/>
    <x v="2"/>
    <s v="Ship to 63-C"/>
    <x v="8"/>
    <s v="Supplier SVIYA"/>
    <s v="Germany"/>
    <x v="2"/>
    <n v="864.5"/>
  </r>
  <r>
    <n v="10659"/>
    <n v="31"/>
    <n v="12.5"/>
    <n v="20"/>
    <n v="0.05"/>
    <s v="Misiec, Anna"/>
    <s v="Misiec Anna"/>
    <x v="9"/>
    <n v="0"/>
    <s v="Product XWOXC"/>
    <x v="0"/>
    <x v="305"/>
    <d v="2007-09-10T00:00:00"/>
    <x v="1"/>
    <s v="Ship to 62-B"/>
    <x v="1"/>
    <s v="Supplier KEREV"/>
    <s v="Italy"/>
    <x v="2"/>
    <n v="237.5"/>
  </r>
  <r>
    <n v="10659"/>
    <n v="40"/>
    <n v="18.399999999999999"/>
    <n v="24"/>
    <n v="0.05"/>
    <s v="Misiec, Anna"/>
    <s v="Misiec Anna"/>
    <x v="9"/>
    <n v="0"/>
    <s v="Product YZIXQ"/>
    <x v="3"/>
    <x v="305"/>
    <d v="2007-09-10T00:00:00"/>
    <x v="1"/>
    <s v="Ship to 62-B"/>
    <x v="1"/>
    <s v="Supplier JDNUG"/>
    <s v="USA"/>
    <x v="2"/>
    <n v="419.51999999999992"/>
  </r>
  <r>
    <n v="10659"/>
    <n v="70"/>
    <n v="15"/>
    <n v="40"/>
    <n v="0.05"/>
    <s v="Misiec, Anna"/>
    <s v="Misiec Anna"/>
    <x v="9"/>
    <n v="0"/>
    <s v="Product TOONT"/>
    <x v="6"/>
    <x v="305"/>
    <d v="2007-09-10T00:00:00"/>
    <x v="1"/>
    <s v="Ship to 62-B"/>
    <x v="1"/>
    <s v="Supplier GQRCV"/>
    <s v="Australia"/>
    <x v="2"/>
    <n v="570"/>
  </r>
  <r>
    <n v="10660"/>
    <n v="20"/>
    <n v="81"/>
    <n v="21"/>
    <n v="0"/>
    <s v="Smith, Denise"/>
    <s v="Smith Denise"/>
    <x v="6"/>
    <s v="WA"/>
    <s v="Product QHFFP"/>
    <x v="5"/>
    <x v="306"/>
    <d v="2007-10-15T00:00:00"/>
    <x v="2"/>
    <s v="Destination HOHCR"/>
    <x v="9"/>
    <s v="Supplier BWGYE"/>
    <s v="UK"/>
    <x v="2"/>
    <n v="1701"/>
  </r>
  <r>
    <n v="10661"/>
    <n v="39"/>
    <n v="18"/>
    <n v="3"/>
    <n v="0.2"/>
    <s v="Crăciun, Ovidiu V."/>
    <s v="Crăciun Ovidiu V."/>
    <x v="9"/>
    <n v="0"/>
    <s v="Product LSOFL"/>
    <x v="6"/>
    <x v="307"/>
    <d v="2007-09-15T00:00:00"/>
    <x v="3"/>
    <s v="Destination ATSOA"/>
    <x v="15"/>
    <s v="Supplier LVJUA"/>
    <s v="France"/>
    <x v="1"/>
    <n v="43.2"/>
  </r>
  <r>
    <n v="10661"/>
    <n v="58"/>
    <n v="13.25"/>
    <n v="49"/>
    <n v="0.2"/>
    <s v="Crăciun, Ovidiu V."/>
    <s v="Crăciun Ovidiu V."/>
    <x v="9"/>
    <n v="0"/>
    <s v="Product ACRVI"/>
    <x v="3"/>
    <x v="307"/>
    <d v="2007-09-15T00:00:00"/>
    <x v="3"/>
    <s v="Destination ATSOA"/>
    <x v="15"/>
    <s v="Supplier ZRYDZ"/>
    <s v="France"/>
    <x v="1"/>
    <n v="519.4"/>
  </r>
  <r>
    <n v="10662"/>
    <n v="68"/>
    <n v="12.5"/>
    <n v="10"/>
    <n v="0"/>
    <s v="Szymczak, Radosław"/>
    <s v="Szymczak Radosław"/>
    <x v="2"/>
    <s v="WA"/>
    <s v="Product TBTBL"/>
    <x v="5"/>
    <x v="307"/>
    <d v="2007-09-18T00:00:00"/>
    <x v="1"/>
    <s v="Ship to 48-C"/>
    <x v="9"/>
    <s v="Supplier BWGYE"/>
    <s v="UK"/>
    <x v="1"/>
    <n v="125"/>
  </r>
  <r>
    <n v="10663"/>
    <n v="40"/>
    <n v="18.399999999999999"/>
    <n v="30"/>
    <n v="0.05"/>
    <s v="Raghav, Amritansh"/>
    <s v="Raghav Amritansh"/>
    <x v="8"/>
    <s v="WA"/>
    <s v="Product YZIXQ"/>
    <x v="3"/>
    <x v="308"/>
    <d v="2007-10-03T00:00:00"/>
    <x v="1"/>
    <s v="Ship to 9-B"/>
    <x v="2"/>
    <s v="Supplier JDNUG"/>
    <s v="USA"/>
    <x v="2"/>
    <n v="524.4"/>
  </r>
  <r>
    <n v="10663"/>
    <n v="42"/>
    <n v="14"/>
    <n v="30"/>
    <n v="0.05"/>
    <s v="Raghav, Amritansh"/>
    <s v="Raghav Amritansh"/>
    <x v="8"/>
    <s v="WA"/>
    <s v="Product RJVNM"/>
    <x v="1"/>
    <x v="308"/>
    <d v="2007-10-03T00:00:00"/>
    <x v="1"/>
    <s v="Ship to 9-B"/>
    <x v="2"/>
    <s v="Supplier CIYNM"/>
    <s v="Singapore"/>
    <x v="2"/>
    <n v="399"/>
  </r>
  <r>
    <n v="10663"/>
    <n v="51"/>
    <n v="53"/>
    <n v="20"/>
    <n v="0.05"/>
    <s v="Raghav, Amritansh"/>
    <s v="Raghav Amritansh"/>
    <x v="8"/>
    <s v="WA"/>
    <s v="Product APITJ"/>
    <x v="2"/>
    <x v="308"/>
    <d v="2007-10-03T00:00:00"/>
    <x v="1"/>
    <s v="Ship to 9-B"/>
    <x v="2"/>
    <s v="Supplier JNNES"/>
    <s v="Australia"/>
    <x v="2"/>
    <n v="1007"/>
  </r>
  <r>
    <n v="10664"/>
    <n v="10"/>
    <n v="31"/>
    <n v="24"/>
    <n v="0.15"/>
    <s v="Cavaglieri, Giorgio"/>
    <s v="Cavaglieri Giorgio"/>
    <x v="5"/>
    <s v="WA"/>
    <s v="Product YHXGE"/>
    <x v="3"/>
    <x v="308"/>
    <d v="2007-09-19T00:00:00"/>
    <x v="3"/>
    <s v="Destination OTSWR"/>
    <x v="16"/>
    <s v="Supplier QOVFD"/>
    <s v="Japan"/>
    <x v="1"/>
    <n v="632.4"/>
  </r>
  <r>
    <n v="10664"/>
    <n v="56"/>
    <n v="38"/>
    <n v="12"/>
    <n v="0.15"/>
    <s v="Cavaglieri, Giorgio"/>
    <s v="Cavaglieri Giorgio"/>
    <x v="5"/>
    <s v="WA"/>
    <s v="Product VKCMF"/>
    <x v="1"/>
    <x v="308"/>
    <d v="2007-09-19T00:00:00"/>
    <x v="3"/>
    <s v="Destination OTSWR"/>
    <x v="16"/>
    <s v="Supplier ZWZDM"/>
    <s v="Italy"/>
    <x v="1"/>
    <n v="387.59999999999997"/>
  </r>
  <r>
    <n v="10664"/>
    <n v="65"/>
    <n v="21.05"/>
    <n v="15"/>
    <n v="0.15"/>
    <s v="Cavaglieri, Giorgio"/>
    <s v="Cavaglieri Giorgio"/>
    <x v="5"/>
    <s v="WA"/>
    <s v="Product XYWBZ"/>
    <x v="4"/>
    <x v="308"/>
    <d v="2007-09-19T00:00:00"/>
    <x v="3"/>
    <s v="Destination OTSWR"/>
    <x v="16"/>
    <s v="Supplier VHQZD"/>
    <s v="USA"/>
    <x v="1"/>
    <n v="268.38749999999999"/>
  </r>
  <r>
    <n v="10665"/>
    <n v="51"/>
    <n v="53"/>
    <n v="20"/>
    <n v="0"/>
    <s v="Szymczak, Radosław"/>
    <s v="Szymczak Radosław"/>
    <x v="5"/>
    <s v="WA"/>
    <s v="Product APITJ"/>
    <x v="2"/>
    <x v="309"/>
    <d v="2007-09-17T00:00:00"/>
    <x v="1"/>
    <s v="Ship to 48-B"/>
    <x v="9"/>
    <s v="Supplier JNNES"/>
    <s v="Australia"/>
    <x v="1"/>
    <n v="1060"/>
  </r>
  <r>
    <n v="10665"/>
    <n v="59"/>
    <n v="55"/>
    <n v="1"/>
    <n v="0"/>
    <s v="Szymczak, Radosław"/>
    <s v="Szymczak Radosław"/>
    <x v="5"/>
    <s v="WA"/>
    <s v="Product UKXRI"/>
    <x v="0"/>
    <x v="309"/>
    <d v="2007-09-17T00:00:00"/>
    <x v="1"/>
    <s v="Ship to 48-B"/>
    <x v="9"/>
    <s v="Supplier OAVQT"/>
    <s v="France"/>
    <x v="1"/>
    <n v="55"/>
  </r>
  <r>
    <n v="10665"/>
    <n v="76"/>
    <n v="18"/>
    <n v="10"/>
    <n v="0"/>
    <s v="Szymczak, Radosław"/>
    <s v="Szymczak Radosław"/>
    <x v="5"/>
    <s v="WA"/>
    <s v="Product JYGFE"/>
    <x v="6"/>
    <x v="309"/>
    <d v="2007-09-17T00:00:00"/>
    <x v="1"/>
    <s v="Ship to 48-B"/>
    <x v="9"/>
    <s v="Supplier ELCRN"/>
    <s v="Finland"/>
    <x v="1"/>
    <n v="180"/>
  </r>
  <r>
    <n v="10666"/>
    <n v="29"/>
    <n v="123.79"/>
    <n v="36"/>
    <n v="0"/>
    <s v="Myrcha, Jacek"/>
    <s v="Myrcha Jacek"/>
    <x v="9"/>
    <n v="0"/>
    <s v="Product VJXYN"/>
    <x v="7"/>
    <x v="310"/>
    <d v="2007-09-22T00:00:00"/>
    <x v="1"/>
    <s v="Ship to 68-A"/>
    <x v="4"/>
    <s v="Supplier SVIYA"/>
    <s v="Germany"/>
    <x v="2"/>
    <n v="4456.4400000000005"/>
  </r>
  <r>
    <n v="10666"/>
    <n v="65"/>
    <n v="21.05"/>
    <n v="10"/>
    <n v="0"/>
    <s v="Myrcha, Jacek"/>
    <s v="Myrcha Jacek"/>
    <x v="9"/>
    <n v="0"/>
    <s v="Product XYWBZ"/>
    <x v="4"/>
    <x v="310"/>
    <d v="2007-09-22T00:00:00"/>
    <x v="1"/>
    <s v="Ship to 68-A"/>
    <x v="4"/>
    <s v="Supplier VHQZD"/>
    <s v="USA"/>
    <x v="2"/>
    <n v="210.5"/>
  </r>
  <r>
    <n v="10667"/>
    <n v="69"/>
    <n v="36"/>
    <n v="45"/>
    <n v="0.2"/>
    <s v="Kane, John"/>
    <s v="Kane John"/>
    <x v="9"/>
    <n v="0"/>
    <s v="Product COAXA"/>
    <x v="0"/>
    <x v="310"/>
    <d v="2007-09-19T00:00:00"/>
    <x v="2"/>
    <s v="Destination CUVPF"/>
    <x v="6"/>
    <s v="Supplier NZLIF"/>
    <s v="Norway"/>
    <x v="1"/>
    <n v="1296"/>
  </r>
  <r>
    <n v="10667"/>
    <n v="71"/>
    <n v="21.5"/>
    <n v="14"/>
    <n v="0.2"/>
    <s v="Kane, John"/>
    <s v="Kane John"/>
    <x v="9"/>
    <n v="0"/>
    <s v="Product MYMOI"/>
    <x v="0"/>
    <x v="310"/>
    <d v="2007-09-19T00:00:00"/>
    <x v="2"/>
    <s v="Destination CUVPF"/>
    <x v="6"/>
    <s v="Supplier NZLIF"/>
    <s v="Norway"/>
    <x v="1"/>
    <n v="240.8"/>
  </r>
  <r>
    <n v="10668"/>
    <n v="31"/>
    <n v="12.5"/>
    <n v="8"/>
    <n v="0.1"/>
    <s v="Syamala, Manoj"/>
    <s v="Syamala Manoj"/>
    <x v="5"/>
    <s v="WA"/>
    <s v="Product XWOXC"/>
    <x v="0"/>
    <x v="311"/>
    <d v="2007-09-23T00:00:00"/>
    <x v="1"/>
    <s v="Ship to 86-C"/>
    <x v="8"/>
    <s v="Supplier KEREV"/>
    <s v="Italy"/>
    <x v="1"/>
    <n v="90"/>
  </r>
  <r>
    <n v="10668"/>
    <n v="55"/>
    <n v="24"/>
    <n v="4"/>
    <n v="0.1"/>
    <s v="Syamala, Manoj"/>
    <s v="Syamala Manoj"/>
    <x v="5"/>
    <s v="WA"/>
    <s v="Product YYWRT"/>
    <x v="7"/>
    <x v="311"/>
    <d v="2007-09-23T00:00:00"/>
    <x v="1"/>
    <s v="Ship to 86-C"/>
    <x v="8"/>
    <s v="Supplier ERVYZ"/>
    <s v="Canada"/>
    <x v="1"/>
    <n v="86.4"/>
  </r>
  <r>
    <n v="10668"/>
    <n v="64"/>
    <n v="33.25"/>
    <n v="15"/>
    <n v="0.1"/>
    <s v="Syamala, Manoj"/>
    <s v="Syamala Manoj"/>
    <x v="5"/>
    <s v="WA"/>
    <s v="Product HCQDE"/>
    <x v="1"/>
    <x v="311"/>
    <d v="2007-09-23T00:00:00"/>
    <x v="1"/>
    <s v="Ship to 86-C"/>
    <x v="8"/>
    <s v="Supplier SVIYA"/>
    <s v="Germany"/>
    <x v="1"/>
    <n v="448.875"/>
  </r>
  <r>
    <n v="10669"/>
    <n v="36"/>
    <n v="19"/>
    <n v="30"/>
    <n v="0"/>
    <s v="Gonzalez, Nuria"/>
    <s v="Gonzalez Nuria"/>
    <x v="8"/>
    <s v="WA"/>
    <s v="Product GMKIJ"/>
    <x v="3"/>
    <x v="311"/>
    <d v="2007-09-22T00:00:00"/>
    <x v="2"/>
    <s v="Ship to 73-A"/>
    <x v="18"/>
    <s v="Supplier QZGUF"/>
    <s v="Sweden"/>
    <x v="1"/>
    <n v="570"/>
  </r>
  <r>
    <n v="10670"/>
    <n v="23"/>
    <n v="9"/>
    <n v="32"/>
    <n v="0"/>
    <s v="Carlson, Jason"/>
    <s v="Carlson Jason"/>
    <x v="1"/>
    <s v="WA"/>
    <s v="Product JLUDZ"/>
    <x v="1"/>
    <x v="312"/>
    <d v="2007-09-18T00:00:00"/>
    <x v="2"/>
    <s v="Destination QOCBL"/>
    <x v="8"/>
    <s v="Supplier QQYEU"/>
    <s v="Sweden"/>
    <x v="2"/>
    <n v="288"/>
  </r>
  <r>
    <n v="10670"/>
    <n v="46"/>
    <n v="12"/>
    <n v="60"/>
    <n v="0"/>
    <s v="Carlson, Jason"/>
    <s v="Carlson Jason"/>
    <x v="1"/>
    <s v="WA"/>
    <s v="Product CBRRL"/>
    <x v="3"/>
    <x v="312"/>
    <d v="2007-09-18T00:00:00"/>
    <x v="2"/>
    <s v="Destination QOCBL"/>
    <x v="8"/>
    <s v="Supplier XOXZA"/>
    <s v="Denmark"/>
    <x v="2"/>
    <n v="720"/>
  </r>
  <r>
    <n v="10670"/>
    <n v="67"/>
    <n v="14"/>
    <n v="25"/>
    <n v="0"/>
    <s v="Carlson, Jason"/>
    <s v="Carlson Jason"/>
    <x v="1"/>
    <s v="WA"/>
    <s v="Product XLXQF"/>
    <x v="6"/>
    <x v="312"/>
    <d v="2007-09-18T00:00:00"/>
    <x v="2"/>
    <s v="Destination QOCBL"/>
    <x v="8"/>
    <s v="Supplier UHZRG"/>
    <s v="USA"/>
    <x v="2"/>
    <n v="350"/>
  </r>
  <r>
    <n v="10670"/>
    <n v="73"/>
    <n v="15"/>
    <n v="50"/>
    <n v="0"/>
    <s v="Carlson, Jason"/>
    <s v="Carlson Jason"/>
    <x v="1"/>
    <s v="WA"/>
    <s v="Product WEUJZ"/>
    <x v="3"/>
    <x v="312"/>
    <d v="2007-09-18T00:00:00"/>
    <x v="2"/>
    <s v="Destination QOCBL"/>
    <x v="8"/>
    <s v="Supplier QZGUF"/>
    <s v="Sweden"/>
    <x v="2"/>
    <n v="750"/>
  </r>
  <r>
    <n v="10670"/>
    <n v="75"/>
    <n v="7.75"/>
    <n v="25"/>
    <n v="0"/>
    <s v="Carlson, Jason"/>
    <s v="Carlson Jason"/>
    <x v="1"/>
    <s v="WA"/>
    <s v="Product BWRLG"/>
    <x v="6"/>
    <x v="312"/>
    <d v="2007-09-18T00:00:00"/>
    <x v="2"/>
    <s v="Destination QOCBL"/>
    <x v="8"/>
    <s v="Supplier SVIYA"/>
    <s v="Germany"/>
    <x v="2"/>
    <n v="193.75"/>
  </r>
  <r>
    <n v="10671"/>
    <n v="16"/>
    <n v="17.45"/>
    <n v="10"/>
    <n v="0"/>
    <s v="Koch, Paul"/>
    <s v="Koch Paul"/>
    <x v="5"/>
    <s v="WA"/>
    <s v="Product PAFRH"/>
    <x v="5"/>
    <x v="313"/>
    <d v="2007-09-24T00:00:00"/>
    <x v="2"/>
    <s v="Destination OPXJT"/>
    <x v="2"/>
    <s v="Supplier GQRCV"/>
    <s v="Australia"/>
    <x v="1"/>
    <n v="174.5"/>
  </r>
  <r>
    <n v="10671"/>
    <n v="62"/>
    <n v="49.3"/>
    <n v="10"/>
    <n v="0"/>
    <s v="Koch, Paul"/>
    <s v="Koch Paul"/>
    <x v="5"/>
    <s v="WA"/>
    <s v="Product WUXYK"/>
    <x v="5"/>
    <x v="313"/>
    <d v="2007-09-24T00:00:00"/>
    <x v="2"/>
    <s v="Destination OPXJT"/>
    <x v="2"/>
    <s v="Supplier OGLRK"/>
    <s v="Canada"/>
    <x v="1"/>
    <n v="493"/>
  </r>
  <r>
    <n v="10671"/>
    <n v="65"/>
    <n v="21.05"/>
    <n v="12"/>
    <n v="0"/>
    <s v="Koch, Paul"/>
    <s v="Koch Paul"/>
    <x v="5"/>
    <s v="WA"/>
    <s v="Product XYWBZ"/>
    <x v="4"/>
    <x v="313"/>
    <d v="2007-09-24T00:00:00"/>
    <x v="2"/>
    <s v="Destination OPXJT"/>
    <x v="2"/>
    <s v="Supplier VHQZD"/>
    <s v="USA"/>
    <x v="1"/>
    <n v="252.60000000000002"/>
  </r>
  <r>
    <n v="10672"/>
    <n v="38"/>
    <n v="263.5"/>
    <n v="15"/>
    <n v="0.1"/>
    <s v="Higginbotham, Tom"/>
    <s v="Higginbotham Tom"/>
    <x v="4"/>
    <n v="0"/>
    <s v="Product QDOMO"/>
    <x v="6"/>
    <x v="313"/>
    <d v="2007-09-26T00:00:00"/>
    <x v="1"/>
    <s v="Ship to 5-C"/>
    <x v="10"/>
    <s v="Supplier LVJUA"/>
    <s v="France"/>
    <x v="1"/>
    <n v="3557.25"/>
  </r>
  <r>
    <n v="10672"/>
    <n v="71"/>
    <n v="21.5"/>
    <n v="12"/>
    <n v="0"/>
    <s v="Higginbotham, Tom"/>
    <s v="Higginbotham Tom"/>
    <x v="4"/>
    <n v="0"/>
    <s v="Product MYMOI"/>
    <x v="0"/>
    <x v="313"/>
    <d v="2007-09-26T00:00:00"/>
    <x v="1"/>
    <s v="Ship to 5-C"/>
    <x v="10"/>
    <s v="Supplier NZLIF"/>
    <s v="Norway"/>
    <x v="1"/>
    <n v="258"/>
  </r>
  <r>
    <n v="10673"/>
    <n v="16"/>
    <n v="17.45"/>
    <n v="3"/>
    <n v="0"/>
    <s v="Larsson, Katarina"/>
    <s v="Larsson Katarina"/>
    <x v="8"/>
    <s v="WA"/>
    <s v="Product PAFRH"/>
    <x v="5"/>
    <x v="314"/>
    <d v="2007-09-19T00:00:00"/>
    <x v="2"/>
    <s v="Ship to 90-B"/>
    <x v="11"/>
    <s v="Supplier GQRCV"/>
    <s v="Australia"/>
    <x v="1"/>
    <n v="52.349999999999994"/>
  </r>
  <r>
    <n v="10673"/>
    <n v="42"/>
    <n v="14"/>
    <n v="6"/>
    <n v="0"/>
    <s v="Larsson, Katarina"/>
    <s v="Larsson Katarina"/>
    <x v="8"/>
    <s v="WA"/>
    <s v="Product RJVNM"/>
    <x v="1"/>
    <x v="314"/>
    <d v="2007-09-19T00:00:00"/>
    <x v="2"/>
    <s v="Ship to 90-B"/>
    <x v="11"/>
    <s v="Supplier CIYNM"/>
    <s v="Singapore"/>
    <x v="1"/>
    <n v="84"/>
  </r>
  <r>
    <n v="10673"/>
    <n v="43"/>
    <n v="46"/>
    <n v="6"/>
    <n v="0"/>
    <s v="Larsson, Katarina"/>
    <s v="Larsson Katarina"/>
    <x v="8"/>
    <s v="WA"/>
    <s v="Product ZZZHR"/>
    <x v="6"/>
    <x v="314"/>
    <d v="2007-09-19T00:00:00"/>
    <x v="2"/>
    <s v="Ship to 90-B"/>
    <x v="11"/>
    <s v="Supplier CIYNM"/>
    <s v="Singapore"/>
    <x v="1"/>
    <n v="276"/>
  </r>
  <r>
    <n v="10674"/>
    <n v="23"/>
    <n v="9"/>
    <n v="5"/>
    <n v="0"/>
    <s v="Lee, Frank"/>
    <s v="Lee Frank"/>
    <x v="1"/>
    <s v="WA"/>
    <s v="Product JLUDZ"/>
    <x v="1"/>
    <x v="314"/>
    <d v="2007-09-30T00:00:00"/>
    <x v="1"/>
    <s v="Destination QVTLW"/>
    <x v="14"/>
    <s v="Supplier QQYEU"/>
    <s v="Sweden"/>
    <x v="1"/>
    <n v="45"/>
  </r>
  <r>
    <n v="10675"/>
    <n v="14"/>
    <n v="23.25"/>
    <n v="30"/>
    <n v="0"/>
    <s v="Carlson, Jason"/>
    <s v="Carlson Jason"/>
    <x v="3"/>
    <n v="0"/>
    <s v="Product PWCJB"/>
    <x v="2"/>
    <x v="315"/>
    <d v="2007-09-23T00:00:00"/>
    <x v="1"/>
    <s v="Destination WEGWI"/>
    <x v="8"/>
    <s v="Supplier QWUSF"/>
    <s v="Japan"/>
    <x v="1"/>
    <n v="697.5"/>
  </r>
  <r>
    <n v="10675"/>
    <n v="53"/>
    <n v="32.799999999999997"/>
    <n v="10"/>
    <n v="0"/>
    <s v="Carlson, Jason"/>
    <s v="Carlson Jason"/>
    <x v="3"/>
    <n v="0"/>
    <s v="Product BKGEA"/>
    <x v="7"/>
    <x v="315"/>
    <d v="2007-09-23T00:00:00"/>
    <x v="1"/>
    <s v="Destination WEGWI"/>
    <x v="8"/>
    <s v="Supplier JNNES"/>
    <s v="Australia"/>
    <x v="1"/>
    <n v="328"/>
  </r>
  <r>
    <n v="10675"/>
    <n v="58"/>
    <n v="13.25"/>
    <n v="30"/>
    <n v="0"/>
    <s v="Carlson, Jason"/>
    <s v="Carlson Jason"/>
    <x v="3"/>
    <n v="0"/>
    <s v="Product ACRVI"/>
    <x v="3"/>
    <x v="315"/>
    <d v="2007-09-23T00:00:00"/>
    <x v="1"/>
    <s v="Destination WEGWI"/>
    <x v="8"/>
    <s v="Supplier ZRYDZ"/>
    <s v="France"/>
    <x v="1"/>
    <n v="397.5"/>
  </r>
  <r>
    <n v="10676"/>
    <n v="10"/>
    <n v="31"/>
    <n v="2"/>
    <n v="0"/>
    <s v="Geschwandtner, Jens"/>
    <s v="Geschwandtner Jens"/>
    <x v="8"/>
    <s v="WA"/>
    <s v="Product YHXGE"/>
    <x v="3"/>
    <x v="316"/>
    <d v="2007-09-29T00:00:00"/>
    <x v="1"/>
    <s v="Ship to 80-C"/>
    <x v="7"/>
    <s v="Supplier QOVFD"/>
    <s v="Japan"/>
    <x v="1"/>
    <n v="62"/>
  </r>
  <r>
    <n v="10676"/>
    <n v="19"/>
    <n v="9.1999999999999993"/>
    <n v="7"/>
    <n v="0"/>
    <s v="Geschwandtner, Jens"/>
    <s v="Geschwandtner Jens"/>
    <x v="8"/>
    <s v="WA"/>
    <s v="Product XKXDO"/>
    <x v="5"/>
    <x v="316"/>
    <d v="2007-09-29T00:00:00"/>
    <x v="1"/>
    <s v="Ship to 80-C"/>
    <x v="7"/>
    <s v="Supplier BWGYE"/>
    <s v="UK"/>
    <x v="1"/>
    <n v="64.399999999999991"/>
  </r>
  <r>
    <n v="10676"/>
    <n v="44"/>
    <n v="19.45"/>
    <n v="21"/>
    <n v="0"/>
    <s v="Geschwandtner, Jens"/>
    <s v="Geschwandtner Jens"/>
    <x v="8"/>
    <s v="WA"/>
    <s v="Product VJIEO"/>
    <x v="4"/>
    <x v="316"/>
    <d v="2007-09-29T00:00:00"/>
    <x v="1"/>
    <s v="Ship to 80-C"/>
    <x v="7"/>
    <s v="Supplier CIYNM"/>
    <s v="Singapore"/>
    <x v="1"/>
    <n v="408.45"/>
  </r>
  <r>
    <n v="10677"/>
    <n v="26"/>
    <n v="31.23"/>
    <n v="30"/>
    <n v="0.15"/>
    <s v="Peoples, John"/>
    <s v="Peoples John"/>
    <x v="5"/>
    <s v="WA"/>
    <s v="Product HLGZA"/>
    <x v="5"/>
    <x v="316"/>
    <d v="2007-09-26T00:00:00"/>
    <x v="3"/>
    <s v="Destination LANNN"/>
    <x v="7"/>
    <s v="Supplier ZPYVS"/>
    <s v="Germany"/>
    <x v="1"/>
    <n v="796.36500000000001"/>
  </r>
  <r>
    <n v="10677"/>
    <n v="33"/>
    <n v="2.5"/>
    <n v="8"/>
    <n v="0.15"/>
    <s v="Peoples, John"/>
    <s v="Peoples John"/>
    <x v="5"/>
    <s v="WA"/>
    <s v="Product ASTMN"/>
    <x v="0"/>
    <x v="316"/>
    <d v="2007-09-26T00:00:00"/>
    <x v="3"/>
    <s v="Destination LANNN"/>
    <x v="7"/>
    <s v="Supplier NZLIF"/>
    <s v="Norway"/>
    <x v="1"/>
    <n v="17"/>
  </r>
  <r>
    <n v="10678"/>
    <n v="12"/>
    <n v="38"/>
    <n v="100"/>
    <n v="0"/>
    <s v="Navarro, Tomás"/>
    <s v="Navarro Tomás"/>
    <x v="9"/>
    <n v="0"/>
    <s v="Product OSFNS"/>
    <x v="0"/>
    <x v="317"/>
    <d v="2007-10-16T00:00:00"/>
    <x v="3"/>
    <s v="Ship to 71-A"/>
    <x v="9"/>
    <s v="Supplier EQPNC"/>
    <s v="Spain"/>
    <x v="2"/>
    <n v="3800"/>
  </r>
  <r>
    <n v="10678"/>
    <n v="33"/>
    <n v="2.5"/>
    <n v="30"/>
    <n v="0"/>
    <s v="Navarro, Tomás"/>
    <s v="Navarro Tomás"/>
    <x v="9"/>
    <n v="0"/>
    <s v="Product ASTMN"/>
    <x v="0"/>
    <x v="317"/>
    <d v="2007-10-16T00:00:00"/>
    <x v="3"/>
    <s v="Ship to 71-A"/>
    <x v="9"/>
    <s v="Supplier NZLIF"/>
    <s v="Norway"/>
    <x v="2"/>
    <n v="75"/>
  </r>
  <r>
    <n v="10678"/>
    <n v="41"/>
    <n v="9.65"/>
    <n v="120"/>
    <n v="0"/>
    <s v="Navarro, Tomás"/>
    <s v="Navarro Tomás"/>
    <x v="9"/>
    <n v="0"/>
    <s v="Product TTEEX"/>
    <x v="3"/>
    <x v="317"/>
    <d v="2007-10-16T00:00:00"/>
    <x v="3"/>
    <s v="Ship to 71-A"/>
    <x v="9"/>
    <s v="Supplier JDNUG"/>
    <s v="USA"/>
    <x v="2"/>
    <n v="1158"/>
  </r>
  <r>
    <n v="10678"/>
    <n v="54"/>
    <n v="7.45"/>
    <n v="30"/>
    <n v="0"/>
    <s v="Navarro, Tomás"/>
    <s v="Navarro Tomás"/>
    <x v="9"/>
    <n v="0"/>
    <s v="Product QAQRL"/>
    <x v="7"/>
    <x v="317"/>
    <d v="2007-10-16T00:00:00"/>
    <x v="3"/>
    <s v="Ship to 71-A"/>
    <x v="9"/>
    <s v="Supplier ERVYZ"/>
    <s v="Canada"/>
    <x v="2"/>
    <n v="223.5"/>
  </r>
  <r>
    <n v="10679"/>
    <n v="59"/>
    <n v="55"/>
    <n v="12"/>
    <n v="0"/>
    <s v="Bansal, Dushyant"/>
    <s v="Bansal Dushyant"/>
    <x v="6"/>
    <s v="WA"/>
    <s v="Product UKXRI"/>
    <x v="0"/>
    <x v="317"/>
    <d v="2007-09-30T00:00:00"/>
    <x v="3"/>
    <s v="Ship to 7-A"/>
    <x v="2"/>
    <s v="Supplier OAVQT"/>
    <s v="France"/>
    <x v="1"/>
    <n v="660"/>
  </r>
  <r>
    <n v="10680"/>
    <n v="16"/>
    <n v="17.45"/>
    <n v="50"/>
    <n v="0.25"/>
    <s v="Egelund-Muller, Anja"/>
    <s v="Egelund-Muller Anja"/>
    <x v="5"/>
    <s v="WA"/>
    <s v="Product PAFRH"/>
    <x v="5"/>
    <x v="318"/>
    <d v="2007-09-26T00:00:00"/>
    <x v="2"/>
    <s v="Ship to 55-B"/>
    <x v="9"/>
    <s v="Supplier GQRCV"/>
    <s v="Australia"/>
    <x v="1"/>
    <n v="654.375"/>
  </r>
  <r>
    <n v="10680"/>
    <n v="31"/>
    <n v="12.5"/>
    <n v="20"/>
    <n v="0.25"/>
    <s v="Egelund-Muller, Anja"/>
    <s v="Egelund-Muller Anja"/>
    <x v="5"/>
    <s v="WA"/>
    <s v="Product XWOXC"/>
    <x v="0"/>
    <x v="318"/>
    <d v="2007-09-26T00:00:00"/>
    <x v="2"/>
    <s v="Ship to 55-B"/>
    <x v="9"/>
    <s v="Supplier KEREV"/>
    <s v="Italy"/>
    <x v="1"/>
    <n v="187.5"/>
  </r>
  <r>
    <n v="10680"/>
    <n v="42"/>
    <n v="14"/>
    <n v="40"/>
    <n v="0.25"/>
    <s v="Egelund-Muller, Anja"/>
    <s v="Egelund-Muller Anja"/>
    <x v="5"/>
    <s v="WA"/>
    <s v="Product RJVNM"/>
    <x v="1"/>
    <x v="318"/>
    <d v="2007-09-26T00:00:00"/>
    <x v="2"/>
    <s v="Ship to 55-B"/>
    <x v="9"/>
    <s v="Supplier CIYNM"/>
    <s v="Singapore"/>
    <x v="1"/>
    <n v="420"/>
  </r>
  <r>
    <n v="10681"/>
    <n v="19"/>
    <n v="9.1999999999999993"/>
    <n v="30"/>
    <n v="0.1"/>
    <s v="Krishnan, Venky"/>
    <s v="Krishnan Venky"/>
    <x v="2"/>
    <s v="WA"/>
    <s v="Product XKXDO"/>
    <x v="5"/>
    <x v="319"/>
    <d v="2007-09-30T00:00:00"/>
    <x v="3"/>
    <s v="Destination AVQUS"/>
    <x v="9"/>
    <s v="Supplier BWGYE"/>
    <s v="UK"/>
    <x v="1"/>
    <n v="248.4"/>
  </r>
  <r>
    <n v="10681"/>
    <n v="21"/>
    <n v="10"/>
    <n v="12"/>
    <n v="0.1"/>
    <s v="Krishnan, Venky"/>
    <s v="Krishnan Venky"/>
    <x v="2"/>
    <s v="WA"/>
    <s v="Product VJZZH"/>
    <x v="5"/>
    <x v="319"/>
    <d v="2007-09-30T00:00:00"/>
    <x v="3"/>
    <s v="Destination AVQUS"/>
    <x v="9"/>
    <s v="Supplier BWGYE"/>
    <s v="UK"/>
    <x v="1"/>
    <n v="108"/>
  </r>
  <r>
    <n v="10681"/>
    <n v="64"/>
    <n v="33.25"/>
    <n v="28"/>
    <n v="0"/>
    <s v="Krishnan, Venky"/>
    <s v="Krishnan Venky"/>
    <x v="2"/>
    <s v="WA"/>
    <s v="Product HCQDE"/>
    <x v="1"/>
    <x v="319"/>
    <d v="2007-09-30T00:00:00"/>
    <x v="3"/>
    <s v="Destination AVQUS"/>
    <x v="9"/>
    <s v="Supplier SVIYA"/>
    <s v="Germany"/>
    <x v="1"/>
    <n v="931"/>
  </r>
  <r>
    <n v="10682"/>
    <n v="33"/>
    <n v="2.5"/>
    <n v="30"/>
    <n v="0"/>
    <s v="Peoples, John"/>
    <s v="Peoples John"/>
    <x v="2"/>
    <s v="WA"/>
    <s v="Product ASTMN"/>
    <x v="0"/>
    <x v="319"/>
    <d v="2007-10-01T00:00:00"/>
    <x v="1"/>
    <s v="Destination RTGIS"/>
    <x v="7"/>
    <s v="Supplier NZLIF"/>
    <s v="Norway"/>
    <x v="1"/>
    <n v="75"/>
  </r>
  <r>
    <n v="10682"/>
    <n v="66"/>
    <n v="17"/>
    <n v="4"/>
    <n v="0"/>
    <s v="Peoples, John"/>
    <s v="Peoples John"/>
    <x v="2"/>
    <s v="WA"/>
    <s v="Product LQMGN"/>
    <x v="4"/>
    <x v="319"/>
    <d v="2007-10-01T00:00:00"/>
    <x v="1"/>
    <s v="Destination RTGIS"/>
    <x v="7"/>
    <s v="Supplier VHQZD"/>
    <s v="USA"/>
    <x v="1"/>
    <n v="68"/>
  </r>
  <r>
    <n v="10682"/>
    <n v="75"/>
    <n v="7.75"/>
    <n v="30"/>
    <n v="0"/>
    <s v="Peoples, John"/>
    <s v="Peoples John"/>
    <x v="2"/>
    <s v="WA"/>
    <s v="Product BWRLG"/>
    <x v="6"/>
    <x v="319"/>
    <d v="2007-10-01T00:00:00"/>
    <x v="1"/>
    <s v="Destination RTGIS"/>
    <x v="7"/>
    <s v="Supplier SVIYA"/>
    <s v="Germany"/>
    <x v="1"/>
    <n v="232.5"/>
  </r>
  <r>
    <n v="10683"/>
    <n v="52"/>
    <n v="7"/>
    <n v="9"/>
    <n v="0"/>
    <s v="Rizaldy, Arif"/>
    <s v="Rizaldy Arif"/>
    <x v="8"/>
    <s v="WA"/>
    <s v="Product QSRXF"/>
    <x v="1"/>
    <x v="320"/>
    <d v="2007-10-01T00:00:00"/>
    <x v="2"/>
    <s v="Destination FVRGC"/>
    <x v="2"/>
    <s v="Supplier JNNES"/>
    <s v="Australia"/>
    <x v="1"/>
    <n v="63"/>
  </r>
  <r>
    <n v="10684"/>
    <n v="40"/>
    <n v="18.399999999999999"/>
    <n v="20"/>
    <n v="0"/>
    <s v="Marinova, Nadejda"/>
    <s v="Marinova Nadejda"/>
    <x v="2"/>
    <s v="WA"/>
    <s v="Product YZIXQ"/>
    <x v="3"/>
    <x v="320"/>
    <d v="2007-09-30T00:00:00"/>
    <x v="2"/>
    <s v="Ship to 56-B"/>
    <x v="8"/>
    <s v="Supplier JDNUG"/>
    <s v="USA"/>
    <x v="2"/>
    <n v="368"/>
  </r>
  <r>
    <n v="10684"/>
    <n v="47"/>
    <n v="9.5"/>
    <n v="40"/>
    <n v="0"/>
    <s v="Marinova, Nadejda"/>
    <s v="Marinova Nadejda"/>
    <x v="2"/>
    <s v="WA"/>
    <s v="Product EZZPR"/>
    <x v="5"/>
    <x v="320"/>
    <d v="2007-09-30T00:00:00"/>
    <x v="2"/>
    <s v="Ship to 56-B"/>
    <x v="8"/>
    <s v="Supplier FNUXM"/>
    <s v="Netherlands"/>
    <x v="2"/>
    <n v="380"/>
  </r>
  <r>
    <n v="10684"/>
    <n v="60"/>
    <n v="34"/>
    <n v="30"/>
    <n v="0"/>
    <s v="Marinova, Nadejda"/>
    <s v="Marinova Nadejda"/>
    <x v="2"/>
    <s v="WA"/>
    <s v="Product WHBYK"/>
    <x v="0"/>
    <x v="320"/>
    <d v="2007-09-30T00:00:00"/>
    <x v="2"/>
    <s v="Ship to 56-B"/>
    <x v="8"/>
    <s v="Supplier OAVQT"/>
    <s v="France"/>
    <x v="2"/>
    <n v="1020"/>
  </r>
  <r>
    <n v="10685"/>
    <n v="10"/>
    <n v="31"/>
    <n v="20"/>
    <n v="0"/>
    <s v="Cheng, Yao-Qiang"/>
    <s v="Cheng Yao-Qiang"/>
    <x v="1"/>
    <s v="WA"/>
    <s v="Product YHXGE"/>
    <x v="3"/>
    <x v="321"/>
    <d v="2007-10-03T00:00:00"/>
    <x v="1"/>
    <s v="Destination VNIAG"/>
    <x v="1"/>
    <s v="Supplier QOVFD"/>
    <s v="Japan"/>
    <x v="1"/>
    <n v="620"/>
  </r>
  <r>
    <n v="10685"/>
    <n v="41"/>
    <n v="9.65"/>
    <n v="4"/>
    <n v="0"/>
    <s v="Cheng, Yao-Qiang"/>
    <s v="Cheng Yao-Qiang"/>
    <x v="1"/>
    <s v="WA"/>
    <s v="Product TTEEX"/>
    <x v="3"/>
    <x v="321"/>
    <d v="2007-10-03T00:00:00"/>
    <x v="1"/>
    <s v="Destination VNIAG"/>
    <x v="1"/>
    <s v="Supplier JDNUG"/>
    <s v="USA"/>
    <x v="1"/>
    <n v="38.6"/>
  </r>
  <r>
    <n v="10685"/>
    <n v="47"/>
    <n v="9.5"/>
    <n v="15"/>
    <n v="0"/>
    <s v="Cheng, Yao-Qiang"/>
    <s v="Cheng Yao-Qiang"/>
    <x v="1"/>
    <s v="WA"/>
    <s v="Product EZZPR"/>
    <x v="5"/>
    <x v="321"/>
    <d v="2007-10-03T00:00:00"/>
    <x v="1"/>
    <s v="Destination VNIAG"/>
    <x v="1"/>
    <s v="Supplier FNUXM"/>
    <s v="Netherlands"/>
    <x v="1"/>
    <n v="142.5"/>
  </r>
  <r>
    <n v="10686"/>
    <n v="17"/>
    <n v="39"/>
    <n v="30"/>
    <n v="0.2"/>
    <s v="Meston, Tosh"/>
    <s v="Meston Tosh"/>
    <x v="8"/>
    <s v="WA"/>
    <s v="Product BLCAX"/>
    <x v="7"/>
    <x v="322"/>
    <d v="2007-10-08T00:00:00"/>
    <x v="2"/>
    <s v="Ship to 59-B"/>
    <x v="6"/>
    <s v="Supplier GQRCV"/>
    <s v="Australia"/>
    <x v="1"/>
    <n v="936"/>
  </r>
  <r>
    <n v="10686"/>
    <n v="26"/>
    <n v="31.23"/>
    <n v="15"/>
    <n v="0"/>
    <s v="Meston, Tosh"/>
    <s v="Meston Tosh"/>
    <x v="8"/>
    <s v="WA"/>
    <s v="Product HLGZA"/>
    <x v="5"/>
    <x v="322"/>
    <d v="2007-10-08T00:00:00"/>
    <x v="2"/>
    <s v="Ship to 59-B"/>
    <x v="6"/>
    <s v="Supplier ZPYVS"/>
    <s v="Germany"/>
    <x v="1"/>
    <n v="468.45"/>
  </r>
  <r>
    <n v="10687"/>
    <n v="9"/>
    <n v="97"/>
    <n v="50"/>
    <n v="0.25"/>
    <s v="Crăciun, Ovidiu V."/>
    <s v="Crăciun Ovidiu V."/>
    <x v="4"/>
    <n v="0"/>
    <s v="Product AOZBW"/>
    <x v="7"/>
    <x v="322"/>
    <d v="2007-10-30T00:00:00"/>
    <x v="1"/>
    <s v="Destination KPVYJ"/>
    <x v="15"/>
    <s v="Supplier QOVFD"/>
    <s v="Japan"/>
    <x v="2"/>
    <n v="3637.5"/>
  </r>
  <r>
    <n v="10687"/>
    <n v="29"/>
    <n v="123.79"/>
    <n v="10"/>
    <n v="0"/>
    <s v="Crăciun, Ovidiu V."/>
    <s v="Crăciun Ovidiu V."/>
    <x v="4"/>
    <n v="0"/>
    <s v="Product VJXYN"/>
    <x v="7"/>
    <x v="322"/>
    <d v="2007-10-30T00:00:00"/>
    <x v="1"/>
    <s v="Destination KPVYJ"/>
    <x v="15"/>
    <s v="Supplier SVIYA"/>
    <s v="Germany"/>
    <x v="2"/>
    <n v="1237.9000000000001"/>
  </r>
  <r>
    <n v="10687"/>
    <n v="36"/>
    <n v="19"/>
    <n v="6"/>
    <n v="0.25"/>
    <s v="Crăciun, Ovidiu V."/>
    <s v="Crăciun Ovidiu V."/>
    <x v="4"/>
    <n v="0"/>
    <s v="Product GMKIJ"/>
    <x v="3"/>
    <x v="322"/>
    <d v="2007-10-30T00:00:00"/>
    <x v="1"/>
    <s v="Destination KPVYJ"/>
    <x v="15"/>
    <s v="Supplier QZGUF"/>
    <s v="Sweden"/>
    <x v="2"/>
    <n v="85.5"/>
  </r>
  <r>
    <n v="10688"/>
    <n v="10"/>
    <n v="31"/>
    <n v="18"/>
    <n v="0.1"/>
    <s v="Fonteneau, Karl"/>
    <s v="Fonteneau Karl"/>
    <x v="1"/>
    <s v="WA"/>
    <s v="Product YHXGE"/>
    <x v="3"/>
    <x v="323"/>
    <d v="2007-10-07T00:00:00"/>
    <x v="1"/>
    <s v="Ship to 83-A"/>
    <x v="18"/>
    <s v="Supplier QOVFD"/>
    <s v="Japan"/>
    <x v="2"/>
    <n v="502.2"/>
  </r>
  <r>
    <n v="10688"/>
    <n v="28"/>
    <n v="45.6"/>
    <n v="60"/>
    <n v="0.1"/>
    <s v="Fonteneau, Karl"/>
    <s v="Fonteneau Karl"/>
    <x v="1"/>
    <s v="WA"/>
    <s v="Product OFBNT"/>
    <x v="2"/>
    <x v="323"/>
    <d v="2007-10-07T00:00:00"/>
    <x v="1"/>
    <s v="Ship to 83-A"/>
    <x v="18"/>
    <s v="Supplier SVIYA"/>
    <s v="Germany"/>
    <x v="2"/>
    <n v="2462.4"/>
  </r>
  <r>
    <n v="10688"/>
    <n v="34"/>
    <n v="14"/>
    <n v="14"/>
    <n v="0"/>
    <s v="Fonteneau, Karl"/>
    <s v="Fonteneau Karl"/>
    <x v="1"/>
    <s v="WA"/>
    <s v="Product SWNJY"/>
    <x v="6"/>
    <x v="323"/>
    <d v="2007-10-07T00:00:00"/>
    <x v="1"/>
    <s v="Ship to 83-A"/>
    <x v="18"/>
    <s v="Supplier UHZRG"/>
    <s v="USA"/>
    <x v="2"/>
    <n v="196"/>
  </r>
  <r>
    <n v="10689"/>
    <n v="1"/>
    <n v="18"/>
    <n v="35"/>
    <n v="0.25"/>
    <s v="Higginbotham, Tom"/>
    <s v="Higginbotham Tom"/>
    <x v="5"/>
    <s v="WA"/>
    <s v="Product HHYDP"/>
    <x v="6"/>
    <x v="323"/>
    <d v="2007-10-07T00:00:00"/>
    <x v="1"/>
    <s v="Ship to 5-B"/>
    <x v="10"/>
    <s v="Supplier SWRXU"/>
    <s v="UK"/>
    <x v="1"/>
    <n v="472.5"/>
  </r>
  <r>
    <n v="10690"/>
    <n v="56"/>
    <n v="38"/>
    <n v="20"/>
    <n v="0.25"/>
    <s v="Cohen, Shy"/>
    <s v="Cohen Shy"/>
    <x v="5"/>
    <s v="WA"/>
    <s v="Product VKCMF"/>
    <x v="1"/>
    <x v="324"/>
    <d v="2007-10-03T00:00:00"/>
    <x v="2"/>
    <s v="Destination JPAIY"/>
    <x v="1"/>
    <s v="Supplier ZWZDM"/>
    <s v="Italy"/>
    <x v="1"/>
    <n v="570"/>
  </r>
  <r>
    <n v="10690"/>
    <n v="77"/>
    <n v="13"/>
    <n v="30"/>
    <n v="0.25"/>
    <s v="Cohen, Shy"/>
    <s v="Cohen Shy"/>
    <x v="5"/>
    <s v="WA"/>
    <s v="Product LUNZZ"/>
    <x v="4"/>
    <x v="324"/>
    <d v="2007-10-03T00:00:00"/>
    <x v="2"/>
    <s v="Destination JPAIY"/>
    <x v="1"/>
    <s v="Supplier SVIYA"/>
    <s v="Germany"/>
    <x v="1"/>
    <n v="292.5"/>
  </r>
  <r>
    <n v="10691"/>
    <n v="1"/>
    <n v="18"/>
    <n v="30"/>
    <n v="0"/>
    <s v="Veronesi, Giorgio"/>
    <s v="Veronesi Giorgio"/>
    <x v="8"/>
    <s v="WA"/>
    <s v="Product HHYDP"/>
    <x v="6"/>
    <x v="325"/>
    <d v="2007-10-22T00:00:00"/>
    <x v="1"/>
    <s v="Ship to 63-B"/>
    <x v="8"/>
    <s v="Supplier SWRXU"/>
    <s v="UK"/>
    <x v="2"/>
    <n v="540"/>
  </r>
  <r>
    <n v="10691"/>
    <n v="29"/>
    <n v="123.79"/>
    <n v="40"/>
    <n v="0"/>
    <s v="Veronesi, Giorgio"/>
    <s v="Veronesi Giorgio"/>
    <x v="8"/>
    <s v="WA"/>
    <s v="Product VJXYN"/>
    <x v="7"/>
    <x v="325"/>
    <d v="2007-10-22T00:00:00"/>
    <x v="1"/>
    <s v="Ship to 63-B"/>
    <x v="8"/>
    <s v="Supplier SVIYA"/>
    <s v="Germany"/>
    <x v="2"/>
    <n v="4951.6000000000004"/>
  </r>
  <r>
    <n v="10691"/>
    <n v="43"/>
    <n v="46"/>
    <n v="40"/>
    <n v="0"/>
    <s v="Veronesi, Giorgio"/>
    <s v="Veronesi Giorgio"/>
    <x v="8"/>
    <s v="WA"/>
    <s v="Product ZZZHR"/>
    <x v="6"/>
    <x v="325"/>
    <d v="2007-10-22T00:00:00"/>
    <x v="1"/>
    <s v="Ship to 63-B"/>
    <x v="8"/>
    <s v="Supplier CIYNM"/>
    <s v="Singapore"/>
    <x v="2"/>
    <n v="1840"/>
  </r>
  <r>
    <n v="10691"/>
    <n v="44"/>
    <n v="19.45"/>
    <n v="24"/>
    <n v="0"/>
    <s v="Veronesi, Giorgio"/>
    <s v="Veronesi Giorgio"/>
    <x v="8"/>
    <s v="WA"/>
    <s v="Product VJIEO"/>
    <x v="4"/>
    <x v="325"/>
    <d v="2007-10-22T00:00:00"/>
    <x v="1"/>
    <s v="Ship to 63-B"/>
    <x v="8"/>
    <s v="Supplier CIYNM"/>
    <s v="Singapore"/>
    <x v="2"/>
    <n v="466.79999999999995"/>
  </r>
  <r>
    <n v="10691"/>
    <n v="62"/>
    <n v="49.3"/>
    <n v="48"/>
    <n v="0"/>
    <s v="Veronesi, Giorgio"/>
    <s v="Veronesi Giorgio"/>
    <x v="8"/>
    <s v="WA"/>
    <s v="Product WUXYK"/>
    <x v="5"/>
    <x v="325"/>
    <d v="2007-10-22T00:00:00"/>
    <x v="1"/>
    <s v="Ship to 63-B"/>
    <x v="8"/>
    <s v="Supplier OGLRK"/>
    <s v="Canada"/>
    <x v="2"/>
    <n v="2366.3999999999996"/>
  </r>
  <r>
    <n v="10692"/>
    <n v="63"/>
    <n v="43.9"/>
    <n v="20"/>
    <n v="0"/>
    <s v="Allen, Michael"/>
    <s v="Allen Michael"/>
    <x v="1"/>
    <s v="WA"/>
    <s v="Product ICKNK"/>
    <x v="4"/>
    <x v="325"/>
    <d v="2007-10-13T00:00:00"/>
    <x v="1"/>
    <s v="Destination RSVRP"/>
    <x v="8"/>
    <s v="Supplier GQRCV"/>
    <s v="Australia"/>
    <x v="1"/>
    <n v="878"/>
  </r>
  <r>
    <n v="10693"/>
    <n v="9"/>
    <n v="97"/>
    <n v="6"/>
    <n v="0"/>
    <s v="Smith Jr., Ronaldo"/>
    <s v="Smith Jr. Ronaldo"/>
    <x v="2"/>
    <s v="WA"/>
    <s v="Product AOZBW"/>
    <x v="7"/>
    <x v="326"/>
    <d v="2007-10-10T00:00:00"/>
    <x v="3"/>
    <s v="Ship to 89-C"/>
    <x v="9"/>
    <s v="Supplier QOVFD"/>
    <s v="Japan"/>
    <x v="2"/>
    <n v="582"/>
  </r>
  <r>
    <n v="10693"/>
    <n v="54"/>
    <n v="7.45"/>
    <n v="60"/>
    <n v="0.15"/>
    <s v="Smith Jr., Ronaldo"/>
    <s v="Smith Jr. Ronaldo"/>
    <x v="2"/>
    <s v="WA"/>
    <s v="Product QAQRL"/>
    <x v="7"/>
    <x v="326"/>
    <d v="2007-10-10T00:00:00"/>
    <x v="3"/>
    <s v="Ship to 89-C"/>
    <x v="9"/>
    <s v="Supplier ERVYZ"/>
    <s v="Canada"/>
    <x v="2"/>
    <n v="379.95"/>
  </r>
  <r>
    <n v="10693"/>
    <n v="69"/>
    <n v="36"/>
    <n v="30"/>
    <n v="0.15"/>
    <s v="Smith Jr., Ronaldo"/>
    <s v="Smith Jr. Ronaldo"/>
    <x v="2"/>
    <s v="WA"/>
    <s v="Product COAXA"/>
    <x v="0"/>
    <x v="326"/>
    <d v="2007-10-10T00:00:00"/>
    <x v="3"/>
    <s v="Ship to 89-C"/>
    <x v="9"/>
    <s v="Supplier NZLIF"/>
    <s v="Norway"/>
    <x v="2"/>
    <n v="918"/>
  </r>
  <r>
    <n v="10693"/>
    <n v="73"/>
    <n v="15"/>
    <n v="15"/>
    <n v="0.15"/>
    <s v="Smith Jr., Ronaldo"/>
    <s v="Smith Jr. Ronaldo"/>
    <x v="2"/>
    <s v="WA"/>
    <s v="Product WEUJZ"/>
    <x v="3"/>
    <x v="326"/>
    <d v="2007-10-10T00:00:00"/>
    <x v="3"/>
    <s v="Ship to 89-C"/>
    <x v="9"/>
    <s v="Supplier QZGUF"/>
    <s v="Sweden"/>
    <x v="2"/>
    <n v="191.25"/>
  </r>
  <r>
    <n v="10694"/>
    <n v="7"/>
    <n v="30"/>
    <n v="90"/>
    <n v="0"/>
    <s v="Veronesi, Giorgio"/>
    <s v="Veronesi Giorgio"/>
    <x v="6"/>
    <s v="WA"/>
    <s v="Product HMLNI"/>
    <x v="2"/>
    <x v="326"/>
    <d v="2007-10-09T00:00:00"/>
    <x v="3"/>
    <s v="Ship to 63-A"/>
    <x v="8"/>
    <s v="Supplier STUAZ"/>
    <s v="USA"/>
    <x v="2"/>
    <n v="2700"/>
  </r>
  <r>
    <n v="10694"/>
    <n v="59"/>
    <n v="55"/>
    <n v="25"/>
    <n v="0"/>
    <s v="Veronesi, Giorgio"/>
    <s v="Veronesi Giorgio"/>
    <x v="6"/>
    <s v="WA"/>
    <s v="Product UKXRI"/>
    <x v="0"/>
    <x v="326"/>
    <d v="2007-10-09T00:00:00"/>
    <x v="3"/>
    <s v="Ship to 63-A"/>
    <x v="8"/>
    <s v="Supplier OAVQT"/>
    <s v="France"/>
    <x v="2"/>
    <n v="1375"/>
  </r>
  <r>
    <n v="10694"/>
    <n v="70"/>
    <n v="15"/>
    <n v="50"/>
    <n v="0"/>
    <s v="Veronesi, Giorgio"/>
    <s v="Veronesi Giorgio"/>
    <x v="6"/>
    <s v="WA"/>
    <s v="Product TOONT"/>
    <x v="6"/>
    <x v="326"/>
    <d v="2007-10-09T00:00:00"/>
    <x v="3"/>
    <s v="Ship to 63-A"/>
    <x v="8"/>
    <s v="Supplier GQRCV"/>
    <s v="Australia"/>
    <x v="2"/>
    <n v="750"/>
  </r>
  <r>
    <n v="10695"/>
    <n v="8"/>
    <n v="40"/>
    <n v="10"/>
    <n v="0"/>
    <s v="Larsson, Katarina"/>
    <s v="Larsson Katarina"/>
    <x v="9"/>
    <n v="0"/>
    <s v="Product WVJFP"/>
    <x v="4"/>
    <x v="327"/>
    <d v="2007-10-14T00:00:00"/>
    <x v="2"/>
    <s v="Ship to 90-C"/>
    <x v="11"/>
    <s v="Supplier STUAZ"/>
    <s v="USA"/>
    <x v="1"/>
    <n v="400"/>
  </r>
  <r>
    <n v="10695"/>
    <n v="12"/>
    <n v="38"/>
    <n v="4"/>
    <n v="0"/>
    <s v="Larsson, Katarina"/>
    <s v="Larsson Katarina"/>
    <x v="9"/>
    <n v="0"/>
    <s v="Product OSFNS"/>
    <x v="0"/>
    <x v="327"/>
    <d v="2007-10-14T00:00:00"/>
    <x v="2"/>
    <s v="Ship to 90-C"/>
    <x v="11"/>
    <s v="Supplier EQPNC"/>
    <s v="Spain"/>
    <x v="1"/>
    <n v="152"/>
  </r>
  <r>
    <n v="10695"/>
    <n v="24"/>
    <n v="4.5"/>
    <n v="20"/>
    <n v="0"/>
    <s v="Larsson, Katarina"/>
    <s v="Larsson Katarina"/>
    <x v="9"/>
    <n v="0"/>
    <s v="Product QOGNU"/>
    <x v="6"/>
    <x v="327"/>
    <d v="2007-10-14T00:00:00"/>
    <x v="2"/>
    <s v="Ship to 90-C"/>
    <x v="11"/>
    <s v="Supplier UNAHG"/>
    <s v="Brazil"/>
    <x v="1"/>
    <n v="90"/>
  </r>
  <r>
    <n v="10696"/>
    <n v="17"/>
    <n v="39"/>
    <n v="20"/>
    <n v="0"/>
    <s v="Smith Jr., Ronaldo"/>
    <s v="Smith Jr. Ronaldo"/>
    <x v="6"/>
    <s v="WA"/>
    <s v="Product BLCAX"/>
    <x v="7"/>
    <x v="328"/>
    <d v="2007-10-14T00:00:00"/>
    <x v="3"/>
    <s v="Ship to 89-A"/>
    <x v="9"/>
    <s v="Supplier GQRCV"/>
    <s v="Australia"/>
    <x v="2"/>
    <n v="780"/>
  </r>
  <r>
    <n v="10696"/>
    <n v="46"/>
    <n v="12"/>
    <n v="18"/>
    <n v="0"/>
    <s v="Smith Jr., Ronaldo"/>
    <s v="Smith Jr. Ronaldo"/>
    <x v="6"/>
    <s v="WA"/>
    <s v="Product CBRRL"/>
    <x v="3"/>
    <x v="328"/>
    <d v="2007-10-14T00:00:00"/>
    <x v="3"/>
    <s v="Ship to 89-A"/>
    <x v="9"/>
    <s v="Supplier XOXZA"/>
    <s v="Denmark"/>
    <x v="2"/>
    <n v="216"/>
  </r>
  <r>
    <n v="10697"/>
    <n v="19"/>
    <n v="9.1999999999999993"/>
    <n v="7"/>
    <n v="0.25"/>
    <s v="Lupu, Cornel"/>
    <s v="Lupu Cornel"/>
    <x v="2"/>
    <s v="WA"/>
    <s v="Product XKXDO"/>
    <x v="5"/>
    <x v="328"/>
    <d v="2007-10-14T00:00:00"/>
    <x v="2"/>
    <s v="Ship to 47-B"/>
    <x v="5"/>
    <s v="Supplier BWGYE"/>
    <s v="UK"/>
    <x v="1"/>
    <n v="48.3"/>
  </r>
  <r>
    <n v="10697"/>
    <n v="35"/>
    <n v="18"/>
    <n v="9"/>
    <n v="0.25"/>
    <s v="Lupu, Cornel"/>
    <s v="Lupu Cornel"/>
    <x v="2"/>
    <s v="WA"/>
    <s v="Product NEVTJ"/>
    <x v="6"/>
    <x v="328"/>
    <d v="2007-10-14T00:00:00"/>
    <x v="2"/>
    <s v="Ship to 47-B"/>
    <x v="5"/>
    <s v="Supplier UHZRG"/>
    <s v="USA"/>
    <x v="1"/>
    <n v="121.5"/>
  </r>
  <r>
    <n v="10697"/>
    <n v="58"/>
    <n v="13.25"/>
    <n v="30"/>
    <n v="0.25"/>
    <s v="Lupu, Cornel"/>
    <s v="Lupu Cornel"/>
    <x v="2"/>
    <s v="WA"/>
    <s v="Product ACRVI"/>
    <x v="3"/>
    <x v="328"/>
    <d v="2007-10-14T00:00:00"/>
    <x v="2"/>
    <s v="Ship to 47-B"/>
    <x v="5"/>
    <s v="Supplier ZRYDZ"/>
    <s v="France"/>
    <x v="1"/>
    <n v="298.125"/>
  </r>
  <r>
    <n v="10697"/>
    <n v="70"/>
    <n v="15"/>
    <n v="30"/>
    <n v="0.25"/>
    <s v="Lupu, Cornel"/>
    <s v="Lupu Cornel"/>
    <x v="2"/>
    <s v="WA"/>
    <s v="Product TOONT"/>
    <x v="6"/>
    <x v="328"/>
    <d v="2007-10-14T00:00:00"/>
    <x v="2"/>
    <s v="Ship to 47-B"/>
    <x v="5"/>
    <s v="Supplier GQRCV"/>
    <s v="Australia"/>
    <x v="1"/>
    <n v="337.5"/>
  </r>
  <r>
    <n v="10698"/>
    <n v="11"/>
    <n v="21"/>
    <n v="15"/>
    <n v="0"/>
    <s v="Kane, John"/>
    <s v="Kane John"/>
    <x v="1"/>
    <s v="WA"/>
    <s v="Product QMVUN"/>
    <x v="0"/>
    <x v="329"/>
    <d v="2007-10-17T00:00:00"/>
    <x v="2"/>
    <s v="Destination RVDMF"/>
    <x v="6"/>
    <s v="Supplier EQPNC"/>
    <s v="Spain"/>
    <x v="2"/>
    <n v="315"/>
  </r>
  <r>
    <n v="10698"/>
    <n v="17"/>
    <n v="39"/>
    <n v="8"/>
    <n v="0.05"/>
    <s v="Kane, John"/>
    <s v="Kane John"/>
    <x v="1"/>
    <s v="WA"/>
    <s v="Product BLCAX"/>
    <x v="7"/>
    <x v="329"/>
    <d v="2007-10-17T00:00:00"/>
    <x v="2"/>
    <s v="Destination RVDMF"/>
    <x v="6"/>
    <s v="Supplier GQRCV"/>
    <s v="Australia"/>
    <x v="2"/>
    <n v="296.39999999999998"/>
  </r>
  <r>
    <n v="10698"/>
    <n v="29"/>
    <n v="123.79"/>
    <n v="12"/>
    <n v="0.05"/>
    <s v="Kane, John"/>
    <s v="Kane John"/>
    <x v="1"/>
    <s v="WA"/>
    <s v="Product VJXYN"/>
    <x v="7"/>
    <x v="329"/>
    <d v="2007-10-17T00:00:00"/>
    <x v="2"/>
    <s v="Destination RVDMF"/>
    <x v="6"/>
    <s v="Supplier SVIYA"/>
    <s v="Germany"/>
    <x v="2"/>
    <n v="1411.2059999999999"/>
  </r>
  <r>
    <n v="10698"/>
    <n v="65"/>
    <n v="21.05"/>
    <n v="65"/>
    <n v="0.05"/>
    <s v="Kane, John"/>
    <s v="Kane John"/>
    <x v="1"/>
    <s v="WA"/>
    <s v="Product XYWBZ"/>
    <x v="4"/>
    <x v="329"/>
    <d v="2007-10-17T00:00:00"/>
    <x v="2"/>
    <s v="Destination RVDMF"/>
    <x v="6"/>
    <s v="Supplier VHQZD"/>
    <s v="USA"/>
    <x v="2"/>
    <n v="1299.8374999999999"/>
  </r>
  <r>
    <n v="10698"/>
    <n v="70"/>
    <n v="15"/>
    <n v="8"/>
    <n v="0.05"/>
    <s v="Kane, John"/>
    <s v="Kane John"/>
    <x v="1"/>
    <s v="WA"/>
    <s v="Product TOONT"/>
    <x v="6"/>
    <x v="329"/>
    <d v="2007-10-17T00:00:00"/>
    <x v="2"/>
    <s v="Destination RVDMF"/>
    <x v="6"/>
    <s v="Supplier GQRCV"/>
    <s v="Australia"/>
    <x v="2"/>
    <n v="114"/>
  </r>
  <r>
    <n v="10699"/>
    <n v="47"/>
    <n v="9.5"/>
    <n v="12"/>
    <n v="0"/>
    <s v="Dupont-Roc, Patrice"/>
    <s v="Dupont-Roc Patrice"/>
    <x v="2"/>
    <s v="WA"/>
    <s v="Product EZZPR"/>
    <x v="5"/>
    <x v="329"/>
    <d v="2007-10-13T00:00:00"/>
    <x v="3"/>
    <s v="Ship to 52-B"/>
    <x v="8"/>
    <s v="Supplier FNUXM"/>
    <s v="Netherlands"/>
    <x v="1"/>
    <n v="114"/>
  </r>
  <r>
    <n v="10700"/>
    <n v="1"/>
    <n v="18"/>
    <n v="5"/>
    <n v="0.2"/>
    <s v="Navarro, Tomás"/>
    <s v="Navarro Tomás"/>
    <x v="2"/>
    <s v="WA"/>
    <s v="Product HHYDP"/>
    <x v="6"/>
    <x v="330"/>
    <d v="2007-10-16T00:00:00"/>
    <x v="2"/>
    <s v="Ship to 71-C"/>
    <x v="9"/>
    <s v="Supplier SWRXU"/>
    <s v="UK"/>
    <x v="1"/>
    <n v="72"/>
  </r>
  <r>
    <n v="10700"/>
    <n v="34"/>
    <n v="14"/>
    <n v="12"/>
    <n v="0.2"/>
    <s v="Navarro, Tomás"/>
    <s v="Navarro Tomás"/>
    <x v="2"/>
    <s v="WA"/>
    <s v="Product SWNJY"/>
    <x v="6"/>
    <x v="330"/>
    <d v="2007-10-16T00:00:00"/>
    <x v="2"/>
    <s v="Ship to 71-C"/>
    <x v="9"/>
    <s v="Supplier UHZRG"/>
    <s v="USA"/>
    <x v="1"/>
    <n v="134.4"/>
  </r>
  <r>
    <n v="10700"/>
    <n v="68"/>
    <n v="12.5"/>
    <n v="40"/>
    <n v="0.2"/>
    <s v="Navarro, Tomás"/>
    <s v="Navarro Tomás"/>
    <x v="2"/>
    <s v="WA"/>
    <s v="Product TBTBL"/>
    <x v="5"/>
    <x v="330"/>
    <d v="2007-10-16T00:00:00"/>
    <x v="2"/>
    <s v="Ship to 71-C"/>
    <x v="9"/>
    <s v="Supplier BWGYE"/>
    <s v="UK"/>
    <x v="1"/>
    <n v="400"/>
  </r>
  <r>
    <n v="10700"/>
    <n v="71"/>
    <n v="21.5"/>
    <n v="60"/>
    <n v="0.2"/>
    <s v="Navarro, Tomás"/>
    <s v="Navarro Tomás"/>
    <x v="2"/>
    <s v="WA"/>
    <s v="Product MYMOI"/>
    <x v="0"/>
    <x v="330"/>
    <d v="2007-10-16T00:00:00"/>
    <x v="2"/>
    <s v="Ship to 71-C"/>
    <x v="9"/>
    <s v="Supplier NZLIF"/>
    <s v="Norway"/>
    <x v="1"/>
    <n v="1032"/>
  </r>
  <r>
    <n v="10701"/>
    <n v="59"/>
    <n v="55"/>
    <n v="42"/>
    <n v="0.15"/>
    <s v="Crăciun, Ovidiu V."/>
    <s v="Crăciun Ovidiu V."/>
    <x v="7"/>
    <n v="0"/>
    <s v="Product UKXRI"/>
    <x v="0"/>
    <x v="331"/>
    <d v="2007-10-15T00:00:00"/>
    <x v="3"/>
    <s v="Destination KPVYJ"/>
    <x v="15"/>
    <s v="Supplier OAVQT"/>
    <s v="France"/>
    <x v="2"/>
    <n v="1963.5"/>
  </r>
  <r>
    <n v="10701"/>
    <n v="71"/>
    <n v="21.5"/>
    <n v="20"/>
    <n v="0.15"/>
    <s v="Crăciun, Ovidiu V."/>
    <s v="Crăciun Ovidiu V."/>
    <x v="7"/>
    <n v="0"/>
    <s v="Product MYMOI"/>
    <x v="0"/>
    <x v="331"/>
    <d v="2007-10-15T00:00:00"/>
    <x v="3"/>
    <s v="Destination KPVYJ"/>
    <x v="15"/>
    <s v="Supplier NZLIF"/>
    <s v="Norway"/>
    <x v="2"/>
    <n v="365.5"/>
  </r>
  <r>
    <n v="10701"/>
    <n v="76"/>
    <n v="18"/>
    <n v="35"/>
    <n v="0.15"/>
    <s v="Crăciun, Ovidiu V."/>
    <s v="Crăciun Ovidiu V."/>
    <x v="7"/>
    <n v="0"/>
    <s v="Product JYGFE"/>
    <x v="6"/>
    <x v="331"/>
    <d v="2007-10-15T00:00:00"/>
    <x v="3"/>
    <s v="Destination KPVYJ"/>
    <x v="15"/>
    <s v="Supplier ELCRN"/>
    <s v="Finland"/>
    <x v="2"/>
    <n v="535.5"/>
  </r>
  <r>
    <n v="10702"/>
    <n v="3"/>
    <n v="10"/>
    <n v="6"/>
    <n v="0"/>
    <s v="Allen, Michael"/>
    <s v="Allen Michael"/>
    <x v="1"/>
    <s v="WA"/>
    <s v="Product IMEHJ"/>
    <x v="4"/>
    <x v="331"/>
    <d v="2007-10-21T00:00:00"/>
    <x v="2"/>
    <s v="Destination ZELZJ"/>
    <x v="8"/>
    <s v="Supplier SWRXU"/>
    <s v="UK"/>
    <x v="1"/>
    <n v="60"/>
  </r>
  <r>
    <n v="10702"/>
    <n v="76"/>
    <n v="18"/>
    <n v="15"/>
    <n v="0"/>
    <s v="Allen, Michael"/>
    <s v="Allen Michael"/>
    <x v="1"/>
    <s v="WA"/>
    <s v="Product JYGFE"/>
    <x v="6"/>
    <x v="331"/>
    <d v="2007-10-21T00:00:00"/>
    <x v="2"/>
    <s v="Destination ZELZJ"/>
    <x v="8"/>
    <s v="Supplier ELCRN"/>
    <s v="Finland"/>
    <x v="1"/>
    <n v="270"/>
  </r>
  <r>
    <n v="10703"/>
    <n v="2"/>
    <n v="19"/>
    <n v="5"/>
    <n v="0"/>
    <s v="San Juan, Patricia"/>
    <s v="San Juan Patricia"/>
    <x v="7"/>
    <n v="0"/>
    <s v="Product RECZE"/>
    <x v="6"/>
    <x v="332"/>
    <d v="2007-10-20T00:00:00"/>
    <x v="1"/>
    <s v="Destination KBSBN"/>
    <x v="10"/>
    <s v="Supplier SWRXU"/>
    <s v="UK"/>
    <x v="2"/>
    <n v="95"/>
  </r>
  <r>
    <n v="10703"/>
    <n v="59"/>
    <n v="55"/>
    <n v="35"/>
    <n v="0"/>
    <s v="San Juan, Patricia"/>
    <s v="San Juan Patricia"/>
    <x v="7"/>
    <n v="0"/>
    <s v="Product UKXRI"/>
    <x v="0"/>
    <x v="332"/>
    <d v="2007-10-20T00:00:00"/>
    <x v="1"/>
    <s v="Destination KBSBN"/>
    <x v="10"/>
    <s v="Supplier OAVQT"/>
    <s v="France"/>
    <x v="2"/>
    <n v="1925"/>
  </r>
  <r>
    <n v="10703"/>
    <n v="73"/>
    <n v="15"/>
    <n v="35"/>
    <n v="0"/>
    <s v="San Juan, Patricia"/>
    <s v="San Juan Patricia"/>
    <x v="7"/>
    <n v="0"/>
    <s v="Product WEUJZ"/>
    <x v="3"/>
    <x v="332"/>
    <d v="2007-10-20T00:00:00"/>
    <x v="1"/>
    <s v="Destination KBSBN"/>
    <x v="10"/>
    <s v="Supplier QZGUF"/>
    <s v="Sweden"/>
    <x v="2"/>
    <n v="525"/>
  </r>
  <r>
    <n v="10704"/>
    <n v="4"/>
    <n v="22"/>
    <n v="6"/>
    <n v="0"/>
    <s v="Misiec, Anna"/>
    <s v="Misiec Anna"/>
    <x v="7"/>
    <n v="0"/>
    <s v="Product KSBRM"/>
    <x v="4"/>
    <x v="332"/>
    <d v="2007-11-07T00:00:00"/>
    <x v="2"/>
    <s v="Ship to 62-C"/>
    <x v="1"/>
    <s v="Supplier VHQZD"/>
    <s v="USA"/>
    <x v="1"/>
    <n v="132"/>
  </r>
  <r>
    <n v="10704"/>
    <n v="24"/>
    <n v="4.5"/>
    <n v="35"/>
    <n v="0"/>
    <s v="Misiec, Anna"/>
    <s v="Misiec Anna"/>
    <x v="7"/>
    <n v="0"/>
    <s v="Product QOGNU"/>
    <x v="6"/>
    <x v="332"/>
    <d v="2007-11-07T00:00:00"/>
    <x v="2"/>
    <s v="Ship to 62-C"/>
    <x v="1"/>
    <s v="Supplier UNAHG"/>
    <s v="Brazil"/>
    <x v="1"/>
    <n v="157.5"/>
  </r>
  <r>
    <n v="10704"/>
    <n v="48"/>
    <n v="12.75"/>
    <n v="24"/>
    <n v="0"/>
    <s v="Misiec, Anna"/>
    <s v="Misiec Anna"/>
    <x v="7"/>
    <n v="0"/>
    <s v="Product MYNXN"/>
    <x v="5"/>
    <x v="332"/>
    <d v="2007-11-07T00:00:00"/>
    <x v="2"/>
    <s v="Ship to 62-C"/>
    <x v="1"/>
    <s v="Supplier FNUXM"/>
    <s v="Netherlands"/>
    <x v="1"/>
    <n v="306"/>
  </r>
  <r>
    <n v="10705"/>
    <n v="31"/>
    <n v="12.5"/>
    <n v="20"/>
    <n v="0"/>
    <s v="Langohr, Kris"/>
    <s v="Langohr Kris"/>
    <x v="4"/>
    <n v="0"/>
    <s v="Product XWOXC"/>
    <x v="0"/>
    <x v="333"/>
    <d v="2007-11-18T00:00:00"/>
    <x v="1"/>
    <s v="Destination JYDLM"/>
    <x v="5"/>
    <s v="Supplier KEREV"/>
    <s v="Italy"/>
    <x v="1"/>
    <n v="250"/>
  </r>
  <r>
    <n v="10705"/>
    <n v="32"/>
    <n v="32"/>
    <n v="4"/>
    <n v="0"/>
    <s v="Langohr, Kris"/>
    <s v="Langohr Kris"/>
    <x v="4"/>
    <n v="0"/>
    <s v="Product NUNAW"/>
    <x v="0"/>
    <x v="333"/>
    <d v="2007-11-18T00:00:00"/>
    <x v="1"/>
    <s v="Destination JYDLM"/>
    <x v="5"/>
    <s v="Supplier KEREV"/>
    <s v="Italy"/>
    <x v="1"/>
    <n v="128"/>
  </r>
  <r>
    <n v="10706"/>
    <n v="16"/>
    <n v="17.45"/>
    <n v="20"/>
    <n v="0"/>
    <s v="Egelund-Muller, Anja"/>
    <s v="Egelund-Muller Anja"/>
    <x v="6"/>
    <s v="WA"/>
    <s v="Product PAFRH"/>
    <x v="5"/>
    <x v="334"/>
    <d v="2007-10-21T00:00:00"/>
    <x v="3"/>
    <s v="Ship to 55-C"/>
    <x v="9"/>
    <s v="Supplier GQRCV"/>
    <s v="Australia"/>
    <x v="2"/>
    <n v="349"/>
  </r>
  <r>
    <n v="10706"/>
    <n v="43"/>
    <n v="46"/>
    <n v="24"/>
    <n v="0"/>
    <s v="Egelund-Muller, Anja"/>
    <s v="Egelund-Muller Anja"/>
    <x v="6"/>
    <s v="WA"/>
    <s v="Product ZZZHR"/>
    <x v="6"/>
    <x v="334"/>
    <d v="2007-10-21T00:00:00"/>
    <x v="3"/>
    <s v="Ship to 55-C"/>
    <x v="9"/>
    <s v="Supplier CIYNM"/>
    <s v="Singapore"/>
    <x v="2"/>
    <n v="1104"/>
  </r>
  <r>
    <n v="10706"/>
    <n v="59"/>
    <n v="55"/>
    <n v="8"/>
    <n v="0"/>
    <s v="Egelund-Muller, Anja"/>
    <s v="Egelund-Muller Anja"/>
    <x v="6"/>
    <s v="WA"/>
    <s v="Product UKXRI"/>
    <x v="0"/>
    <x v="334"/>
    <d v="2007-10-21T00:00:00"/>
    <x v="3"/>
    <s v="Ship to 55-C"/>
    <x v="9"/>
    <s v="Supplier OAVQT"/>
    <s v="France"/>
    <x v="2"/>
    <n v="440"/>
  </r>
  <r>
    <n v="10707"/>
    <n v="55"/>
    <n v="24"/>
    <n v="21"/>
    <n v="0"/>
    <s v="Arndt, Torsten"/>
    <s v="Arndt Torsten"/>
    <x v="1"/>
    <s v="WA"/>
    <s v="Product YYWRT"/>
    <x v="7"/>
    <x v="334"/>
    <d v="2007-10-23T00:00:00"/>
    <x v="3"/>
    <s v="Ship to 4-A"/>
    <x v="14"/>
    <s v="Supplier ERVYZ"/>
    <s v="Canada"/>
    <x v="1"/>
    <n v="504"/>
  </r>
  <r>
    <n v="10707"/>
    <n v="57"/>
    <n v="19.5"/>
    <n v="40"/>
    <n v="0"/>
    <s v="Arndt, Torsten"/>
    <s v="Arndt Torsten"/>
    <x v="1"/>
    <s v="WA"/>
    <s v="Product OVLQI"/>
    <x v="1"/>
    <x v="334"/>
    <d v="2007-10-23T00:00:00"/>
    <x v="3"/>
    <s v="Ship to 4-A"/>
    <x v="14"/>
    <s v="Supplier ZWZDM"/>
    <s v="Italy"/>
    <x v="1"/>
    <n v="780"/>
  </r>
  <r>
    <n v="10707"/>
    <n v="70"/>
    <n v="15"/>
    <n v="28"/>
    <n v="0.15"/>
    <s v="Arndt, Torsten"/>
    <s v="Arndt Torsten"/>
    <x v="1"/>
    <s v="WA"/>
    <s v="Product TOONT"/>
    <x v="6"/>
    <x v="334"/>
    <d v="2007-10-23T00:00:00"/>
    <x v="3"/>
    <s v="Ship to 4-A"/>
    <x v="14"/>
    <s v="Supplier GQRCV"/>
    <s v="Australia"/>
    <x v="1"/>
    <n v="357"/>
  </r>
  <r>
    <n v="10708"/>
    <n v="5"/>
    <n v="21.35"/>
    <n v="4"/>
    <n v="0"/>
    <s v="Osorio, Cristian"/>
    <s v="Osorio Cristian"/>
    <x v="7"/>
    <n v="0"/>
    <s v="Product EPEIM"/>
    <x v="4"/>
    <x v="335"/>
    <d v="2007-11-05T00:00:00"/>
    <x v="1"/>
    <s v="Ship to 77-C"/>
    <x v="9"/>
    <s v="Supplier VHQZD"/>
    <s v="USA"/>
    <x v="1"/>
    <n v="85.4"/>
  </r>
  <r>
    <n v="10708"/>
    <n v="36"/>
    <n v="19"/>
    <n v="5"/>
    <n v="0"/>
    <s v="Osorio, Cristian"/>
    <s v="Osorio Cristian"/>
    <x v="7"/>
    <n v="0"/>
    <s v="Product GMKIJ"/>
    <x v="3"/>
    <x v="335"/>
    <d v="2007-11-05T00:00:00"/>
    <x v="1"/>
    <s v="Ship to 77-C"/>
    <x v="9"/>
    <s v="Supplier QZGUF"/>
    <s v="Sweden"/>
    <x v="1"/>
    <n v="95"/>
  </r>
  <r>
    <n v="10709"/>
    <n v="8"/>
    <n v="40"/>
    <n v="40"/>
    <n v="0"/>
    <s v="Cheng, Yao-Qiang"/>
    <s v="Cheng Yao-Qiang"/>
    <x v="5"/>
    <s v="WA"/>
    <s v="Product WVJFP"/>
    <x v="4"/>
    <x v="335"/>
    <d v="2007-11-20T00:00:00"/>
    <x v="3"/>
    <s v="Destination GWPFK"/>
    <x v="1"/>
    <s v="Supplier STUAZ"/>
    <s v="USA"/>
    <x v="2"/>
    <n v="1600"/>
  </r>
  <r>
    <n v="10709"/>
    <n v="51"/>
    <n v="53"/>
    <n v="28"/>
    <n v="0"/>
    <s v="Cheng, Yao-Qiang"/>
    <s v="Cheng Yao-Qiang"/>
    <x v="5"/>
    <s v="WA"/>
    <s v="Product APITJ"/>
    <x v="2"/>
    <x v="335"/>
    <d v="2007-11-20T00:00:00"/>
    <x v="3"/>
    <s v="Destination GWPFK"/>
    <x v="1"/>
    <s v="Supplier JNNES"/>
    <s v="Australia"/>
    <x v="2"/>
    <n v="1484"/>
  </r>
  <r>
    <n v="10709"/>
    <n v="60"/>
    <n v="34"/>
    <n v="10"/>
    <n v="0"/>
    <s v="Cheng, Yao-Qiang"/>
    <s v="Cheng Yao-Qiang"/>
    <x v="5"/>
    <s v="WA"/>
    <s v="Product WHBYK"/>
    <x v="0"/>
    <x v="335"/>
    <d v="2007-11-20T00:00:00"/>
    <x v="3"/>
    <s v="Destination GWPFK"/>
    <x v="1"/>
    <s v="Supplier OAVQT"/>
    <s v="France"/>
    <x v="2"/>
    <n v="340"/>
  </r>
  <r>
    <n v="10710"/>
    <n v="19"/>
    <n v="9.1999999999999993"/>
    <n v="5"/>
    <n v="0"/>
    <s v="Schmöllerl, Martin"/>
    <s v="Schmöllerl Martin"/>
    <x v="5"/>
    <s v="WA"/>
    <s v="Product XKXDO"/>
    <x v="5"/>
    <x v="336"/>
    <d v="2007-10-23T00:00:00"/>
    <x v="2"/>
    <s v="Destination FFLQT"/>
    <x v="12"/>
    <s v="Supplier BWGYE"/>
    <s v="UK"/>
    <x v="1"/>
    <n v="46"/>
  </r>
  <r>
    <n v="10710"/>
    <n v="47"/>
    <n v="9.5"/>
    <n v="5"/>
    <n v="0"/>
    <s v="Schmöllerl, Martin"/>
    <s v="Schmöllerl Martin"/>
    <x v="5"/>
    <s v="WA"/>
    <s v="Product EZZPR"/>
    <x v="5"/>
    <x v="336"/>
    <d v="2007-10-23T00:00:00"/>
    <x v="2"/>
    <s v="Destination FFLQT"/>
    <x v="12"/>
    <s v="Supplier FNUXM"/>
    <s v="Netherlands"/>
    <x v="1"/>
    <n v="47.5"/>
  </r>
  <r>
    <n v="10711"/>
    <n v="19"/>
    <n v="9.1999999999999993"/>
    <n v="12"/>
    <n v="0"/>
    <s v="Navarro, Tomás"/>
    <s v="Navarro Tomás"/>
    <x v="3"/>
    <n v="0"/>
    <s v="Product XKXDO"/>
    <x v="5"/>
    <x v="337"/>
    <d v="2007-10-29T00:00:00"/>
    <x v="1"/>
    <s v="Ship to 71-A"/>
    <x v="9"/>
    <s v="Supplier BWGYE"/>
    <s v="UK"/>
    <x v="1"/>
    <n v="110.39999999999999"/>
  </r>
  <r>
    <n v="10711"/>
    <n v="41"/>
    <n v="9.65"/>
    <n v="42"/>
    <n v="0"/>
    <s v="Navarro, Tomás"/>
    <s v="Navarro Tomás"/>
    <x v="3"/>
    <n v="0"/>
    <s v="Product TTEEX"/>
    <x v="3"/>
    <x v="337"/>
    <d v="2007-10-29T00:00:00"/>
    <x v="1"/>
    <s v="Ship to 71-A"/>
    <x v="9"/>
    <s v="Supplier JDNUG"/>
    <s v="USA"/>
    <x v="1"/>
    <n v="405.3"/>
  </r>
  <r>
    <n v="10711"/>
    <n v="53"/>
    <n v="32.799999999999997"/>
    <n v="120"/>
    <n v="0"/>
    <s v="Navarro, Tomás"/>
    <s v="Navarro Tomás"/>
    <x v="3"/>
    <n v="0"/>
    <s v="Product BKGEA"/>
    <x v="7"/>
    <x v="337"/>
    <d v="2007-10-29T00:00:00"/>
    <x v="1"/>
    <s v="Ship to 71-A"/>
    <x v="9"/>
    <s v="Supplier JNNES"/>
    <s v="Australia"/>
    <x v="1"/>
    <n v="3935.9999999999995"/>
  </r>
  <r>
    <n v="10712"/>
    <n v="53"/>
    <n v="32.799999999999997"/>
    <n v="3"/>
    <n v="0.05"/>
    <s v="Crăciun, Ovidiu V."/>
    <s v="Crăciun Ovidiu V."/>
    <x v="2"/>
    <s v="WA"/>
    <s v="Product BKGEA"/>
    <x v="7"/>
    <x v="337"/>
    <d v="2007-10-31T00:00:00"/>
    <x v="2"/>
    <s v="Destination KPVYJ"/>
    <x v="15"/>
    <s v="Supplier JNNES"/>
    <s v="Australia"/>
    <x v="1"/>
    <n v="93.47999999999999"/>
  </r>
  <r>
    <n v="10712"/>
    <n v="56"/>
    <n v="38"/>
    <n v="30"/>
    <n v="0"/>
    <s v="Crăciun, Ovidiu V."/>
    <s v="Crăciun Ovidiu V."/>
    <x v="2"/>
    <s v="WA"/>
    <s v="Product VKCMF"/>
    <x v="1"/>
    <x v="337"/>
    <d v="2007-10-31T00:00:00"/>
    <x v="2"/>
    <s v="Destination KPVYJ"/>
    <x v="15"/>
    <s v="Supplier ZWZDM"/>
    <s v="Italy"/>
    <x v="1"/>
    <n v="1140"/>
  </r>
  <r>
    <n v="10713"/>
    <n v="10"/>
    <n v="31"/>
    <n v="18"/>
    <n v="0"/>
    <s v="Navarro, Tomás"/>
    <s v="Navarro Tomás"/>
    <x v="5"/>
    <s v="WA"/>
    <s v="Product YHXGE"/>
    <x v="3"/>
    <x v="338"/>
    <d v="2007-10-24T00:00:00"/>
    <x v="2"/>
    <s v="Ship to 71-C"/>
    <x v="9"/>
    <s v="Supplier QOVFD"/>
    <s v="Japan"/>
    <x v="2"/>
    <n v="558"/>
  </r>
  <r>
    <n v="10713"/>
    <n v="26"/>
    <n v="31.23"/>
    <n v="30"/>
    <n v="0"/>
    <s v="Navarro, Tomás"/>
    <s v="Navarro Tomás"/>
    <x v="5"/>
    <s v="WA"/>
    <s v="Product HLGZA"/>
    <x v="5"/>
    <x v="338"/>
    <d v="2007-10-24T00:00:00"/>
    <x v="2"/>
    <s v="Ship to 71-C"/>
    <x v="9"/>
    <s v="Supplier ZPYVS"/>
    <s v="Germany"/>
    <x v="2"/>
    <n v="936.9"/>
  </r>
  <r>
    <n v="10713"/>
    <n v="45"/>
    <n v="9.5"/>
    <n v="110"/>
    <n v="0"/>
    <s v="Navarro, Tomás"/>
    <s v="Navarro Tomás"/>
    <x v="5"/>
    <s v="WA"/>
    <s v="Product AQOKR"/>
    <x v="3"/>
    <x v="338"/>
    <d v="2007-10-24T00:00:00"/>
    <x v="2"/>
    <s v="Ship to 71-C"/>
    <x v="9"/>
    <s v="Supplier XOXZA"/>
    <s v="Denmark"/>
    <x v="2"/>
    <n v="1045"/>
  </r>
  <r>
    <n v="10713"/>
    <n v="46"/>
    <n v="12"/>
    <n v="24"/>
    <n v="0"/>
    <s v="Navarro, Tomás"/>
    <s v="Navarro Tomás"/>
    <x v="5"/>
    <s v="WA"/>
    <s v="Product CBRRL"/>
    <x v="3"/>
    <x v="338"/>
    <d v="2007-10-24T00:00:00"/>
    <x v="2"/>
    <s v="Ship to 71-C"/>
    <x v="9"/>
    <s v="Supplier XOXZA"/>
    <s v="Denmark"/>
    <x v="2"/>
    <n v="288"/>
  </r>
  <r>
    <n v="10714"/>
    <n v="2"/>
    <n v="19"/>
    <n v="30"/>
    <n v="0.25"/>
    <s v="Navarro, Tomás"/>
    <s v="Navarro Tomás"/>
    <x v="3"/>
    <n v="0"/>
    <s v="Product RECZE"/>
    <x v="6"/>
    <x v="338"/>
    <d v="2007-10-27T00:00:00"/>
    <x v="3"/>
    <s v="Ship to 71-A"/>
    <x v="9"/>
    <s v="Supplier SWRXU"/>
    <s v="UK"/>
    <x v="1"/>
    <n v="427.5"/>
  </r>
  <r>
    <n v="10714"/>
    <n v="17"/>
    <n v="39"/>
    <n v="27"/>
    <n v="0.25"/>
    <s v="Navarro, Tomás"/>
    <s v="Navarro Tomás"/>
    <x v="3"/>
    <n v="0"/>
    <s v="Product BLCAX"/>
    <x v="7"/>
    <x v="338"/>
    <d v="2007-10-27T00:00:00"/>
    <x v="3"/>
    <s v="Ship to 71-A"/>
    <x v="9"/>
    <s v="Supplier GQRCV"/>
    <s v="Australia"/>
    <x v="1"/>
    <n v="789.75"/>
  </r>
  <r>
    <n v="10714"/>
    <n v="47"/>
    <n v="9.5"/>
    <n v="50"/>
    <n v="0.25"/>
    <s v="Navarro, Tomás"/>
    <s v="Navarro Tomás"/>
    <x v="3"/>
    <n v="0"/>
    <s v="Product EZZPR"/>
    <x v="5"/>
    <x v="338"/>
    <d v="2007-10-27T00:00:00"/>
    <x v="3"/>
    <s v="Ship to 71-A"/>
    <x v="9"/>
    <s v="Supplier FNUXM"/>
    <s v="Netherlands"/>
    <x v="1"/>
    <n v="356.25"/>
  </r>
  <r>
    <n v="10714"/>
    <n v="56"/>
    <n v="38"/>
    <n v="18"/>
    <n v="0.25"/>
    <s v="Navarro, Tomás"/>
    <s v="Navarro Tomás"/>
    <x v="3"/>
    <n v="0"/>
    <s v="Product VKCMF"/>
    <x v="1"/>
    <x v="338"/>
    <d v="2007-10-27T00:00:00"/>
    <x v="3"/>
    <s v="Ship to 71-A"/>
    <x v="9"/>
    <s v="Supplier ZWZDM"/>
    <s v="Italy"/>
    <x v="1"/>
    <n v="513"/>
  </r>
  <r>
    <n v="10714"/>
    <n v="58"/>
    <n v="13.25"/>
    <n v="12"/>
    <n v="0.25"/>
    <s v="Navarro, Tomás"/>
    <s v="Navarro Tomás"/>
    <x v="3"/>
    <n v="0"/>
    <s v="Product ACRVI"/>
    <x v="3"/>
    <x v="338"/>
    <d v="2007-10-27T00:00:00"/>
    <x v="3"/>
    <s v="Ship to 71-A"/>
    <x v="9"/>
    <s v="Supplier ZRYDZ"/>
    <s v="France"/>
    <x v="1"/>
    <n v="119.25"/>
  </r>
  <r>
    <n v="10715"/>
    <n v="10"/>
    <n v="31"/>
    <n v="21"/>
    <n v="0"/>
    <s v="Raghav, Amritansh"/>
    <s v="Raghav Amritansh"/>
    <x v="2"/>
    <s v="WA"/>
    <s v="Product YHXGE"/>
    <x v="3"/>
    <x v="339"/>
    <d v="2007-10-29T00:00:00"/>
    <x v="2"/>
    <s v="Ship to 9-B"/>
    <x v="2"/>
    <s v="Supplier QOVFD"/>
    <s v="Japan"/>
    <x v="1"/>
    <n v="651"/>
  </r>
  <r>
    <n v="10715"/>
    <n v="71"/>
    <n v="21.5"/>
    <n v="30"/>
    <n v="0"/>
    <s v="Raghav, Amritansh"/>
    <s v="Raghav Amritansh"/>
    <x v="2"/>
    <s v="WA"/>
    <s v="Product MYMOI"/>
    <x v="0"/>
    <x v="339"/>
    <d v="2007-10-29T00:00:00"/>
    <x v="2"/>
    <s v="Ship to 9-B"/>
    <x v="2"/>
    <s v="Supplier NZLIF"/>
    <s v="Norway"/>
    <x v="1"/>
    <n v="645"/>
  </r>
  <r>
    <n v="10716"/>
    <n v="21"/>
    <n v="10"/>
    <n v="5"/>
    <n v="0"/>
    <s v="Gaffney, Lawrie"/>
    <s v="Gaffney Lawrie"/>
    <x v="1"/>
    <s v="WA"/>
    <s v="Product VJZZH"/>
    <x v="5"/>
    <x v="340"/>
    <d v="2007-10-27T00:00:00"/>
    <x v="1"/>
    <s v="Ship to 64-B"/>
    <x v="21"/>
    <s v="Supplier BWGYE"/>
    <s v="UK"/>
    <x v="1"/>
    <n v="50"/>
  </r>
  <r>
    <n v="10716"/>
    <n v="51"/>
    <n v="53"/>
    <n v="7"/>
    <n v="0"/>
    <s v="Gaffney, Lawrie"/>
    <s v="Gaffney Lawrie"/>
    <x v="1"/>
    <s v="WA"/>
    <s v="Product APITJ"/>
    <x v="2"/>
    <x v="340"/>
    <d v="2007-10-27T00:00:00"/>
    <x v="1"/>
    <s v="Ship to 64-B"/>
    <x v="21"/>
    <s v="Supplier JNNES"/>
    <s v="Australia"/>
    <x v="1"/>
    <n v="371"/>
  </r>
  <r>
    <n v="10716"/>
    <n v="61"/>
    <n v="28.5"/>
    <n v="10"/>
    <n v="0"/>
    <s v="Gaffney, Lawrie"/>
    <s v="Gaffney Lawrie"/>
    <x v="1"/>
    <s v="WA"/>
    <s v="Product XYZPE"/>
    <x v="4"/>
    <x v="340"/>
    <d v="2007-10-27T00:00:00"/>
    <x v="1"/>
    <s v="Ship to 64-B"/>
    <x v="21"/>
    <s v="Supplier OGLRK"/>
    <s v="Canada"/>
    <x v="1"/>
    <n v="285"/>
  </r>
  <r>
    <n v="10717"/>
    <n v="21"/>
    <n v="10"/>
    <n v="32"/>
    <n v="0.05"/>
    <s v="Carlson, Jason"/>
    <s v="Carlson Jason"/>
    <x v="5"/>
    <s v="WA"/>
    <s v="Product VJZZH"/>
    <x v="5"/>
    <x v="340"/>
    <d v="2007-10-29T00:00:00"/>
    <x v="1"/>
    <s v="Destination QOCBL"/>
    <x v="8"/>
    <s v="Supplier BWGYE"/>
    <s v="UK"/>
    <x v="1"/>
    <n v="304"/>
  </r>
  <r>
    <n v="10717"/>
    <n v="54"/>
    <n v="7.45"/>
    <n v="15"/>
    <n v="0"/>
    <s v="Carlson, Jason"/>
    <s v="Carlson Jason"/>
    <x v="5"/>
    <s v="WA"/>
    <s v="Product QAQRL"/>
    <x v="7"/>
    <x v="340"/>
    <d v="2007-10-29T00:00:00"/>
    <x v="1"/>
    <s v="Destination QOCBL"/>
    <x v="8"/>
    <s v="Supplier ERVYZ"/>
    <s v="Canada"/>
    <x v="1"/>
    <n v="111.75"/>
  </r>
  <r>
    <n v="10717"/>
    <n v="69"/>
    <n v="36"/>
    <n v="25"/>
    <n v="0.05"/>
    <s v="Carlson, Jason"/>
    <s v="Carlson Jason"/>
    <x v="5"/>
    <s v="WA"/>
    <s v="Product COAXA"/>
    <x v="0"/>
    <x v="340"/>
    <d v="2007-10-29T00:00:00"/>
    <x v="1"/>
    <s v="Destination QOCBL"/>
    <x v="8"/>
    <s v="Supplier NZLIF"/>
    <s v="Norway"/>
    <x v="1"/>
    <n v="855"/>
  </r>
  <r>
    <n v="10718"/>
    <n v="12"/>
    <n v="38"/>
    <n v="36"/>
    <n v="0"/>
    <s v="Song, Lolan"/>
    <s v="Song Lolan"/>
    <x v="5"/>
    <s v="WA"/>
    <s v="Product OSFNS"/>
    <x v="0"/>
    <x v="341"/>
    <d v="2007-10-29T00:00:00"/>
    <x v="3"/>
    <s v="Destination DKMQA"/>
    <x v="8"/>
    <s v="Supplier EQPNC"/>
    <s v="Spain"/>
    <x v="2"/>
    <n v="1368"/>
  </r>
  <r>
    <n v="10718"/>
    <n v="16"/>
    <n v="17.45"/>
    <n v="20"/>
    <n v="0"/>
    <s v="Song, Lolan"/>
    <s v="Song Lolan"/>
    <x v="5"/>
    <s v="WA"/>
    <s v="Product PAFRH"/>
    <x v="5"/>
    <x v="341"/>
    <d v="2007-10-29T00:00:00"/>
    <x v="3"/>
    <s v="Destination DKMQA"/>
    <x v="8"/>
    <s v="Supplier GQRCV"/>
    <s v="Australia"/>
    <x v="2"/>
    <n v="349"/>
  </r>
  <r>
    <n v="10718"/>
    <n v="36"/>
    <n v="19"/>
    <n v="40"/>
    <n v="0"/>
    <s v="Song, Lolan"/>
    <s v="Song Lolan"/>
    <x v="5"/>
    <s v="WA"/>
    <s v="Product GMKIJ"/>
    <x v="3"/>
    <x v="341"/>
    <d v="2007-10-29T00:00:00"/>
    <x v="3"/>
    <s v="Destination DKMQA"/>
    <x v="8"/>
    <s v="Supplier QZGUF"/>
    <s v="Sweden"/>
    <x v="2"/>
    <n v="760"/>
  </r>
  <r>
    <n v="10718"/>
    <n v="62"/>
    <n v="49.3"/>
    <n v="20"/>
    <n v="0"/>
    <s v="Song, Lolan"/>
    <s v="Song Lolan"/>
    <x v="5"/>
    <s v="WA"/>
    <s v="Product WUXYK"/>
    <x v="5"/>
    <x v="341"/>
    <d v="2007-10-29T00:00:00"/>
    <x v="3"/>
    <s v="Destination DKMQA"/>
    <x v="8"/>
    <s v="Supplier OGLRK"/>
    <s v="Canada"/>
    <x v="2"/>
    <n v="986"/>
  </r>
  <r>
    <n v="10719"/>
    <n v="18"/>
    <n v="62.5"/>
    <n v="12"/>
    <n v="0.25"/>
    <s v="Sunkammurali, Krishna"/>
    <s v="Sunkammurali Krishna"/>
    <x v="6"/>
    <s v="WA"/>
    <s v="Product CKEDC"/>
    <x v="3"/>
    <x v="341"/>
    <d v="2007-11-05T00:00:00"/>
    <x v="1"/>
    <s v="Ship to 45-A"/>
    <x v="9"/>
    <s v="Supplier GQRCV"/>
    <s v="Australia"/>
    <x v="1"/>
    <n v="562.5"/>
  </r>
  <r>
    <n v="10719"/>
    <n v="30"/>
    <n v="25.89"/>
    <n v="3"/>
    <n v="0.25"/>
    <s v="Sunkammurali, Krishna"/>
    <s v="Sunkammurali Krishna"/>
    <x v="6"/>
    <s v="WA"/>
    <s v="Product LYERX"/>
    <x v="3"/>
    <x v="341"/>
    <d v="2007-11-05T00:00:00"/>
    <x v="1"/>
    <s v="Ship to 45-A"/>
    <x v="9"/>
    <s v="Supplier TEGSC"/>
    <s v="Germany"/>
    <x v="1"/>
    <n v="58.252499999999998"/>
  </r>
  <r>
    <n v="10719"/>
    <n v="54"/>
    <n v="7.45"/>
    <n v="40"/>
    <n v="0.25"/>
    <s v="Sunkammurali, Krishna"/>
    <s v="Sunkammurali Krishna"/>
    <x v="6"/>
    <s v="WA"/>
    <s v="Product QAQRL"/>
    <x v="7"/>
    <x v="341"/>
    <d v="2007-11-05T00:00:00"/>
    <x v="1"/>
    <s v="Ship to 45-A"/>
    <x v="9"/>
    <s v="Supplier ERVYZ"/>
    <s v="Canada"/>
    <x v="1"/>
    <n v="223.5"/>
  </r>
  <r>
    <n v="10720"/>
    <n v="35"/>
    <n v="18"/>
    <n v="21"/>
    <n v="0"/>
    <s v="Florczyk, Krzysztof"/>
    <s v="Florczyk Krzysztof"/>
    <x v="6"/>
    <s v="WA"/>
    <s v="Product NEVTJ"/>
    <x v="6"/>
    <x v="342"/>
    <d v="2007-11-05T00:00:00"/>
    <x v="1"/>
    <s v="Ship to 61-C"/>
    <x v="1"/>
    <s v="Supplier UHZRG"/>
    <s v="USA"/>
    <x v="1"/>
    <n v="378"/>
  </r>
  <r>
    <n v="10720"/>
    <n v="71"/>
    <n v="21.5"/>
    <n v="8"/>
    <n v="0"/>
    <s v="Florczyk, Krzysztof"/>
    <s v="Florczyk Krzysztof"/>
    <x v="6"/>
    <s v="WA"/>
    <s v="Product MYMOI"/>
    <x v="0"/>
    <x v="342"/>
    <d v="2007-11-05T00:00:00"/>
    <x v="1"/>
    <s v="Ship to 61-C"/>
    <x v="1"/>
    <s v="Supplier NZLIF"/>
    <s v="Norway"/>
    <x v="1"/>
    <n v="172"/>
  </r>
  <r>
    <n v="10721"/>
    <n v="44"/>
    <n v="19.45"/>
    <n v="50"/>
    <n v="0.05"/>
    <s v="Veronesi, Giorgio"/>
    <s v="Veronesi Giorgio"/>
    <x v="3"/>
    <n v="0"/>
    <s v="Product VJIEO"/>
    <x v="4"/>
    <x v="343"/>
    <d v="2007-10-31T00:00:00"/>
    <x v="3"/>
    <s v="Ship to 63-A"/>
    <x v="8"/>
    <s v="Supplier CIYNM"/>
    <s v="Singapore"/>
    <x v="1"/>
    <n v="923.875"/>
  </r>
  <r>
    <n v="10722"/>
    <n v="2"/>
    <n v="19"/>
    <n v="3"/>
    <n v="0"/>
    <s v="Navarro, Tomás"/>
    <s v="Navarro Tomás"/>
    <x v="6"/>
    <s v="WA"/>
    <s v="Product RECZE"/>
    <x v="6"/>
    <x v="343"/>
    <d v="2007-11-04T00:00:00"/>
    <x v="2"/>
    <s v="Ship to 71-A"/>
    <x v="9"/>
    <s v="Supplier SWRXU"/>
    <s v="UK"/>
    <x v="1"/>
    <n v="57"/>
  </r>
  <r>
    <n v="10722"/>
    <n v="31"/>
    <n v="12.5"/>
    <n v="50"/>
    <n v="0"/>
    <s v="Navarro, Tomás"/>
    <s v="Navarro Tomás"/>
    <x v="6"/>
    <s v="WA"/>
    <s v="Product XWOXC"/>
    <x v="0"/>
    <x v="343"/>
    <d v="2007-11-04T00:00:00"/>
    <x v="2"/>
    <s v="Ship to 71-A"/>
    <x v="9"/>
    <s v="Supplier KEREV"/>
    <s v="Italy"/>
    <x v="1"/>
    <n v="625"/>
  </r>
  <r>
    <n v="10722"/>
    <n v="68"/>
    <n v="12.5"/>
    <n v="45"/>
    <n v="0"/>
    <s v="Navarro, Tomás"/>
    <s v="Navarro Tomás"/>
    <x v="6"/>
    <s v="WA"/>
    <s v="Product TBTBL"/>
    <x v="5"/>
    <x v="343"/>
    <d v="2007-11-04T00:00:00"/>
    <x v="2"/>
    <s v="Ship to 71-A"/>
    <x v="9"/>
    <s v="Supplier BWGYE"/>
    <s v="UK"/>
    <x v="1"/>
    <n v="562.5"/>
  </r>
  <r>
    <n v="10722"/>
    <n v="75"/>
    <n v="7.75"/>
    <n v="42"/>
    <n v="0"/>
    <s v="Navarro, Tomás"/>
    <s v="Navarro Tomás"/>
    <x v="6"/>
    <s v="WA"/>
    <s v="Product BWRLG"/>
    <x v="6"/>
    <x v="343"/>
    <d v="2007-11-04T00:00:00"/>
    <x v="2"/>
    <s v="Ship to 71-A"/>
    <x v="9"/>
    <s v="Supplier SVIYA"/>
    <s v="Germany"/>
    <x v="1"/>
    <n v="325.5"/>
  </r>
  <r>
    <n v="10723"/>
    <n v="26"/>
    <n v="31.23"/>
    <n v="15"/>
    <n v="0"/>
    <s v="Smith Jr., Ronaldo"/>
    <s v="Smith Jr. Ronaldo"/>
    <x v="2"/>
    <s v="WA"/>
    <s v="Product HLGZA"/>
    <x v="5"/>
    <x v="344"/>
    <d v="2007-11-25T00:00:00"/>
    <x v="2"/>
    <s v="Ship to 89-C"/>
    <x v="9"/>
    <s v="Supplier ZPYVS"/>
    <s v="Germany"/>
    <x v="1"/>
    <n v="468.45"/>
  </r>
  <r>
    <n v="10724"/>
    <n v="10"/>
    <n v="31"/>
    <n v="16"/>
    <n v="0"/>
    <s v="Taylor, Maurice"/>
    <s v="Taylor Maurice"/>
    <x v="6"/>
    <s v="WA"/>
    <s v="Product YHXGE"/>
    <x v="3"/>
    <x v="344"/>
    <d v="2007-11-05T00:00:00"/>
    <x v="1"/>
    <s v="Ship to 51-A"/>
    <x v="17"/>
    <s v="Supplier QOVFD"/>
    <s v="Japan"/>
    <x v="1"/>
    <n v="496"/>
  </r>
  <r>
    <n v="10724"/>
    <n v="61"/>
    <n v="28.5"/>
    <n v="5"/>
    <n v="0"/>
    <s v="Taylor, Maurice"/>
    <s v="Taylor Maurice"/>
    <x v="6"/>
    <s v="WA"/>
    <s v="Product XYZPE"/>
    <x v="4"/>
    <x v="344"/>
    <d v="2007-11-05T00:00:00"/>
    <x v="1"/>
    <s v="Ship to 51-A"/>
    <x v="17"/>
    <s v="Supplier OGLRK"/>
    <s v="Canada"/>
    <x v="1"/>
    <n v="142.5"/>
  </r>
  <r>
    <n v="10725"/>
    <n v="41"/>
    <n v="9.65"/>
    <n v="12"/>
    <n v="0"/>
    <s v="Russo, Giuseppe"/>
    <s v="Russo Giuseppe"/>
    <x v="1"/>
    <s v="WA"/>
    <s v="Product TTEEX"/>
    <x v="3"/>
    <x v="345"/>
    <d v="2007-11-05T00:00:00"/>
    <x v="3"/>
    <s v="Destination KKELL"/>
    <x v="1"/>
    <s v="Supplier JDNUG"/>
    <s v="USA"/>
    <x v="1"/>
    <n v="115.80000000000001"/>
  </r>
  <r>
    <n v="10725"/>
    <n v="52"/>
    <n v="7"/>
    <n v="4"/>
    <n v="0"/>
    <s v="Russo, Giuseppe"/>
    <s v="Russo Giuseppe"/>
    <x v="1"/>
    <s v="WA"/>
    <s v="Product QSRXF"/>
    <x v="1"/>
    <x v="345"/>
    <d v="2007-11-05T00:00:00"/>
    <x v="3"/>
    <s v="Destination KKELL"/>
    <x v="1"/>
    <s v="Supplier JNNES"/>
    <s v="Australia"/>
    <x v="1"/>
    <n v="28"/>
  </r>
  <r>
    <n v="10725"/>
    <n v="55"/>
    <n v="24"/>
    <n v="6"/>
    <n v="0"/>
    <s v="Russo, Giuseppe"/>
    <s v="Russo Giuseppe"/>
    <x v="1"/>
    <s v="WA"/>
    <s v="Product YYWRT"/>
    <x v="7"/>
    <x v="345"/>
    <d v="2007-11-05T00:00:00"/>
    <x v="3"/>
    <s v="Destination KKELL"/>
    <x v="1"/>
    <s v="Supplier ERVYZ"/>
    <s v="Canada"/>
    <x v="1"/>
    <n v="144"/>
  </r>
  <r>
    <n v="10726"/>
    <n v="4"/>
    <n v="22"/>
    <n v="25"/>
    <n v="0"/>
    <s v="Boseman, Randall"/>
    <s v="Boseman Randall"/>
    <x v="1"/>
    <s v="WA"/>
    <s v="Product KSBRM"/>
    <x v="4"/>
    <x v="346"/>
    <d v="2007-12-05T00:00:00"/>
    <x v="2"/>
    <s v="Destination FRCGJ"/>
    <x v="14"/>
    <s v="Supplier VHQZD"/>
    <s v="USA"/>
    <x v="1"/>
    <n v="550"/>
  </r>
  <r>
    <n v="10726"/>
    <n v="11"/>
    <n v="21"/>
    <n v="5"/>
    <n v="0"/>
    <s v="Boseman, Randall"/>
    <s v="Boseman Randall"/>
    <x v="1"/>
    <s v="WA"/>
    <s v="Product QMVUN"/>
    <x v="0"/>
    <x v="346"/>
    <d v="2007-12-05T00:00:00"/>
    <x v="2"/>
    <s v="Destination FRCGJ"/>
    <x v="14"/>
    <s v="Supplier EQPNC"/>
    <s v="Spain"/>
    <x v="1"/>
    <n v="105"/>
  </r>
  <r>
    <n v="10727"/>
    <n v="17"/>
    <n v="39"/>
    <n v="20"/>
    <n v="0.05"/>
    <s v="Voss, Florian"/>
    <s v="Voss Florian"/>
    <x v="8"/>
    <s v="WA"/>
    <s v="Product BLCAX"/>
    <x v="7"/>
    <x v="346"/>
    <d v="2007-12-05T00:00:00"/>
    <x v="2"/>
    <s v="Ship to 66-A"/>
    <x v="12"/>
    <s v="Supplier GQRCV"/>
    <s v="Australia"/>
    <x v="1"/>
    <n v="741"/>
  </r>
  <r>
    <n v="10727"/>
    <n v="56"/>
    <n v="38"/>
    <n v="10"/>
    <n v="0.05"/>
    <s v="Voss, Florian"/>
    <s v="Voss Florian"/>
    <x v="8"/>
    <s v="WA"/>
    <s v="Product VKCMF"/>
    <x v="1"/>
    <x v="346"/>
    <d v="2007-12-05T00:00:00"/>
    <x v="2"/>
    <s v="Ship to 66-A"/>
    <x v="12"/>
    <s v="Supplier ZWZDM"/>
    <s v="Italy"/>
    <x v="1"/>
    <n v="361"/>
  </r>
  <r>
    <n v="10727"/>
    <n v="59"/>
    <n v="55"/>
    <n v="10"/>
    <n v="0.05"/>
    <s v="Voss, Florian"/>
    <s v="Voss Florian"/>
    <x v="8"/>
    <s v="WA"/>
    <s v="Product UKXRI"/>
    <x v="0"/>
    <x v="346"/>
    <d v="2007-12-05T00:00:00"/>
    <x v="2"/>
    <s v="Ship to 66-A"/>
    <x v="12"/>
    <s v="Supplier OAVQT"/>
    <s v="France"/>
    <x v="1"/>
    <n v="522.5"/>
  </r>
  <r>
    <n v="10728"/>
    <n v="30"/>
    <n v="25.89"/>
    <n v="15"/>
    <n v="0"/>
    <s v="Misiec, Anna"/>
    <s v="Misiec Anna"/>
    <x v="1"/>
    <s v="WA"/>
    <s v="Product LYERX"/>
    <x v="3"/>
    <x v="347"/>
    <d v="2007-11-11T00:00:00"/>
    <x v="1"/>
    <s v="Ship to 62-A"/>
    <x v="1"/>
    <s v="Supplier TEGSC"/>
    <s v="Germany"/>
    <x v="1"/>
    <n v="388.35"/>
  </r>
  <r>
    <n v="10728"/>
    <n v="40"/>
    <n v="18.399999999999999"/>
    <n v="6"/>
    <n v="0"/>
    <s v="Misiec, Anna"/>
    <s v="Misiec Anna"/>
    <x v="1"/>
    <s v="WA"/>
    <s v="Product YZIXQ"/>
    <x v="3"/>
    <x v="347"/>
    <d v="2007-11-11T00:00:00"/>
    <x v="1"/>
    <s v="Ship to 62-A"/>
    <x v="1"/>
    <s v="Supplier JDNUG"/>
    <s v="USA"/>
    <x v="1"/>
    <n v="110.39999999999999"/>
  </r>
  <r>
    <n v="10728"/>
    <n v="55"/>
    <n v="24"/>
    <n v="12"/>
    <n v="0"/>
    <s v="Misiec, Anna"/>
    <s v="Misiec Anna"/>
    <x v="1"/>
    <s v="WA"/>
    <s v="Product YYWRT"/>
    <x v="7"/>
    <x v="347"/>
    <d v="2007-11-11T00:00:00"/>
    <x v="1"/>
    <s v="Ship to 62-A"/>
    <x v="1"/>
    <s v="Supplier ERVYZ"/>
    <s v="Canada"/>
    <x v="1"/>
    <n v="288"/>
  </r>
  <r>
    <n v="10728"/>
    <n v="60"/>
    <n v="34"/>
    <n v="15"/>
    <n v="0"/>
    <s v="Misiec, Anna"/>
    <s v="Misiec Anna"/>
    <x v="1"/>
    <s v="WA"/>
    <s v="Product WHBYK"/>
    <x v="0"/>
    <x v="347"/>
    <d v="2007-11-11T00:00:00"/>
    <x v="1"/>
    <s v="Ship to 62-A"/>
    <x v="1"/>
    <s v="Supplier OAVQT"/>
    <s v="France"/>
    <x v="1"/>
    <n v="510"/>
  </r>
  <r>
    <n v="10729"/>
    <n v="1"/>
    <n v="18"/>
    <n v="50"/>
    <n v="0"/>
    <s v="Lupu, Cornel"/>
    <s v="Lupu Cornel"/>
    <x v="6"/>
    <s v="WA"/>
    <s v="Product HHYDP"/>
    <x v="6"/>
    <x v="347"/>
    <d v="2007-11-14T00:00:00"/>
    <x v="3"/>
    <s v="Ship to 47-A"/>
    <x v="5"/>
    <s v="Supplier SWRXU"/>
    <s v="UK"/>
    <x v="2"/>
    <n v="900"/>
  </r>
  <r>
    <n v="10729"/>
    <n v="21"/>
    <n v="10"/>
    <n v="30"/>
    <n v="0"/>
    <s v="Lupu, Cornel"/>
    <s v="Lupu Cornel"/>
    <x v="6"/>
    <s v="WA"/>
    <s v="Product VJZZH"/>
    <x v="5"/>
    <x v="347"/>
    <d v="2007-11-14T00:00:00"/>
    <x v="3"/>
    <s v="Ship to 47-A"/>
    <x v="5"/>
    <s v="Supplier BWGYE"/>
    <s v="UK"/>
    <x v="2"/>
    <n v="300"/>
  </r>
  <r>
    <n v="10729"/>
    <n v="50"/>
    <n v="16.25"/>
    <n v="40"/>
    <n v="0"/>
    <s v="Lupu, Cornel"/>
    <s v="Lupu Cornel"/>
    <x v="6"/>
    <s v="WA"/>
    <s v="Product BIUDV"/>
    <x v="5"/>
    <x v="347"/>
    <d v="2007-11-14T00:00:00"/>
    <x v="3"/>
    <s v="Ship to 47-A"/>
    <x v="5"/>
    <s v="Supplier ELCRN"/>
    <s v="Finland"/>
    <x v="2"/>
    <n v="650"/>
  </r>
  <r>
    <n v="10730"/>
    <n v="16"/>
    <n v="17.45"/>
    <n v="15"/>
    <n v="0.05"/>
    <s v="Raghav, Amritansh"/>
    <s v="Raghav Amritansh"/>
    <x v="3"/>
    <n v="0"/>
    <s v="Product PAFRH"/>
    <x v="5"/>
    <x v="348"/>
    <d v="2007-11-14T00:00:00"/>
    <x v="2"/>
    <s v="Ship to 9-A"/>
    <x v="2"/>
    <s v="Supplier GQRCV"/>
    <s v="Australia"/>
    <x v="1"/>
    <n v="248.66249999999999"/>
  </r>
  <r>
    <n v="10730"/>
    <n v="31"/>
    <n v="12.5"/>
    <n v="3"/>
    <n v="0.05"/>
    <s v="Raghav, Amritansh"/>
    <s v="Raghav Amritansh"/>
    <x v="3"/>
    <n v="0"/>
    <s v="Product XWOXC"/>
    <x v="0"/>
    <x v="348"/>
    <d v="2007-11-14T00:00:00"/>
    <x v="2"/>
    <s v="Ship to 9-A"/>
    <x v="2"/>
    <s v="Supplier KEREV"/>
    <s v="Italy"/>
    <x v="1"/>
    <n v="35.625"/>
  </r>
  <r>
    <n v="10730"/>
    <n v="65"/>
    <n v="21.05"/>
    <n v="10"/>
    <n v="0.05"/>
    <s v="Raghav, Amritansh"/>
    <s v="Raghav Amritansh"/>
    <x v="3"/>
    <n v="0"/>
    <s v="Product XYWBZ"/>
    <x v="4"/>
    <x v="348"/>
    <d v="2007-11-14T00:00:00"/>
    <x v="2"/>
    <s v="Ship to 9-A"/>
    <x v="2"/>
    <s v="Supplier VHQZD"/>
    <s v="USA"/>
    <x v="1"/>
    <n v="199.97499999999999"/>
  </r>
  <r>
    <n v="10731"/>
    <n v="21"/>
    <n v="10"/>
    <n v="40"/>
    <n v="0.05"/>
    <s v="Jelitto, Jacek"/>
    <s v="Jelitto Jacek"/>
    <x v="9"/>
    <n v="0"/>
    <s v="Product VJZZH"/>
    <x v="5"/>
    <x v="349"/>
    <d v="2007-11-14T00:00:00"/>
    <x v="2"/>
    <s v="Destination YUJRD"/>
    <x v="4"/>
    <s v="Supplier BWGYE"/>
    <s v="UK"/>
    <x v="1"/>
    <n v="380"/>
  </r>
  <r>
    <n v="10731"/>
    <n v="51"/>
    <n v="53"/>
    <n v="30"/>
    <n v="0.05"/>
    <s v="Jelitto, Jacek"/>
    <s v="Jelitto Jacek"/>
    <x v="9"/>
    <n v="0"/>
    <s v="Product APITJ"/>
    <x v="2"/>
    <x v="349"/>
    <d v="2007-11-14T00:00:00"/>
    <x v="2"/>
    <s v="Destination YUJRD"/>
    <x v="4"/>
    <s v="Supplier JNNES"/>
    <s v="Australia"/>
    <x v="1"/>
    <n v="1510.5"/>
  </r>
  <r>
    <n v="10732"/>
    <n v="76"/>
    <n v="18"/>
    <n v="20"/>
    <n v="0"/>
    <s v="Raghav, Amritansh"/>
    <s v="Raghav Amritansh"/>
    <x v="2"/>
    <s v="WA"/>
    <s v="Product JYGFE"/>
    <x v="6"/>
    <x v="349"/>
    <d v="2007-11-07T00:00:00"/>
    <x v="2"/>
    <s v="Ship to 9-A"/>
    <x v="2"/>
    <s v="Supplier ELCRN"/>
    <s v="Finland"/>
    <x v="1"/>
    <n v="360"/>
  </r>
  <r>
    <n v="10733"/>
    <n v="14"/>
    <n v="23.25"/>
    <n v="16"/>
    <n v="0"/>
    <s v="Higginbotham, Tom"/>
    <s v="Higginbotham Tom"/>
    <x v="5"/>
    <s v="WA"/>
    <s v="Product PWCJB"/>
    <x v="2"/>
    <x v="350"/>
    <d v="2007-11-10T00:00:00"/>
    <x v="3"/>
    <s v="Ship to 5-A"/>
    <x v="10"/>
    <s v="Supplier QWUSF"/>
    <s v="Japan"/>
    <x v="2"/>
    <n v="372"/>
  </r>
  <r>
    <n v="10733"/>
    <n v="28"/>
    <n v="45.6"/>
    <n v="20"/>
    <n v="0"/>
    <s v="Higginbotham, Tom"/>
    <s v="Higginbotham Tom"/>
    <x v="5"/>
    <s v="WA"/>
    <s v="Product OFBNT"/>
    <x v="2"/>
    <x v="350"/>
    <d v="2007-11-10T00:00:00"/>
    <x v="3"/>
    <s v="Ship to 5-A"/>
    <x v="10"/>
    <s v="Supplier SVIYA"/>
    <s v="Germany"/>
    <x v="2"/>
    <n v="912"/>
  </r>
  <r>
    <n v="10733"/>
    <n v="52"/>
    <n v="7"/>
    <n v="25"/>
    <n v="0"/>
    <s v="Higginbotham, Tom"/>
    <s v="Higginbotham Tom"/>
    <x v="5"/>
    <s v="WA"/>
    <s v="Product QSRXF"/>
    <x v="1"/>
    <x v="350"/>
    <d v="2007-11-10T00:00:00"/>
    <x v="3"/>
    <s v="Ship to 5-A"/>
    <x v="10"/>
    <s v="Supplier JNNES"/>
    <s v="Australia"/>
    <x v="2"/>
    <n v="175"/>
  </r>
  <r>
    <n v="10734"/>
    <n v="6"/>
    <n v="25"/>
    <n v="30"/>
    <n v="0"/>
    <s v="Cheng, Yao-Qiang"/>
    <s v="Cheng Yao-Qiang"/>
    <x v="8"/>
    <s v="WA"/>
    <s v="Product VAIIV"/>
    <x v="4"/>
    <x v="350"/>
    <d v="2007-11-12T00:00:00"/>
    <x v="3"/>
    <s v="Destination VNIAG"/>
    <x v="1"/>
    <s v="Supplier STUAZ"/>
    <s v="USA"/>
    <x v="1"/>
    <n v="750"/>
  </r>
  <r>
    <n v="10734"/>
    <n v="30"/>
    <n v="25.89"/>
    <n v="15"/>
    <n v="0"/>
    <s v="Cheng, Yao-Qiang"/>
    <s v="Cheng Yao-Qiang"/>
    <x v="8"/>
    <s v="WA"/>
    <s v="Product LYERX"/>
    <x v="3"/>
    <x v="350"/>
    <d v="2007-11-12T00:00:00"/>
    <x v="3"/>
    <s v="Destination VNIAG"/>
    <x v="1"/>
    <s v="Supplier TEGSC"/>
    <s v="Germany"/>
    <x v="1"/>
    <n v="388.35"/>
  </r>
  <r>
    <n v="10734"/>
    <n v="76"/>
    <n v="18"/>
    <n v="20"/>
    <n v="0"/>
    <s v="Cheng, Yao-Qiang"/>
    <s v="Cheng Yao-Qiang"/>
    <x v="8"/>
    <s v="WA"/>
    <s v="Product JYGFE"/>
    <x v="6"/>
    <x v="350"/>
    <d v="2007-11-12T00:00:00"/>
    <x v="3"/>
    <s v="Destination VNIAG"/>
    <x v="1"/>
    <s v="Supplier ELCRN"/>
    <s v="Finland"/>
    <x v="1"/>
    <n v="360"/>
  </r>
  <r>
    <n v="10735"/>
    <n v="61"/>
    <n v="28.5"/>
    <n v="20"/>
    <n v="0.1"/>
    <s v="Sunkammurali, Krishna"/>
    <s v="Sunkammurali Krishna"/>
    <x v="7"/>
    <n v="0"/>
    <s v="Product XYZPE"/>
    <x v="4"/>
    <x v="351"/>
    <d v="2007-11-21T00:00:00"/>
    <x v="1"/>
    <s v="Ship to 45-A"/>
    <x v="9"/>
    <s v="Supplier OGLRK"/>
    <s v="Canada"/>
    <x v="1"/>
    <n v="513"/>
  </r>
  <r>
    <n v="10735"/>
    <n v="77"/>
    <n v="13"/>
    <n v="2"/>
    <n v="0.1"/>
    <s v="Sunkammurali, Krishna"/>
    <s v="Sunkammurali Krishna"/>
    <x v="7"/>
    <n v="0"/>
    <s v="Product LUNZZ"/>
    <x v="4"/>
    <x v="351"/>
    <d v="2007-11-21T00:00:00"/>
    <x v="1"/>
    <s v="Ship to 45-A"/>
    <x v="9"/>
    <s v="Supplier SVIYA"/>
    <s v="Germany"/>
    <x v="1"/>
    <n v="23.400000000000002"/>
  </r>
  <r>
    <n v="10736"/>
    <n v="65"/>
    <n v="21.05"/>
    <n v="40"/>
    <n v="0"/>
    <s v="Crăciun, Ovidiu V."/>
    <s v="Crăciun Ovidiu V."/>
    <x v="4"/>
    <n v="0"/>
    <s v="Product XYWBZ"/>
    <x v="4"/>
    <x v="352"/>
    <d v="2007-11-21T00:00:00"/>
    <x v="1"/>
    <s v="Destination DGKOU"/>
    <x v="15"/>
    <s v="Supplier VHQZD"/>
    <s v="USA"/>
    <x v="1"/>
    <n v="842"/>
  </r>
  <r>
    <n v="10736"/>
    <n v="75"/>
    <n v="7.75"/>
    <n v="20"/>
    <n v="0"/>
    <s v="Crăciun, Ovidiu V."/>
    <s v="Crăciun Ovidiu V."/>
    <x v="4"/>
    <n v="0"/>
    <s v="Product BWRLG"/>
    <x v="6"/>
    <x v="352"/>
    <d v="2007-11-21T00:00:00"/>
    <x v="1"/>
    <s v="Destination DGKOU"/>
    <x v="15"/>
    <s v="Supplier SVIYA"/>
    <s v="Germany"/>
    <x v="1"/>
    <n v="155"/>
  </r>
  <r>
    <n v="10737"/>
    <n v="13"/>
    <n v="6"/>
    <n v="4"/>
    <n v="0"/>
    <s v="McLin, Nkenge"/>
    <s v="McLin Nkenge"/>
    <x v="8"/>
    <s v="WA"/>
    <s v="Product POXFU"/>
    <x v="3"/>
    <x v="352"/>
    <d v="2007-11-18T00:00:00"/>
    <x v="1"/>
    <s v="Ship to 85-C"/>
    <x v="2"/>
    <s v="Supplier QWUSF"/>
    <s v="Japan"/>
    <x v="1"/>
    <n v="24"/>
  </r>
  <r>
    <n v="10737"/>
    <n v="41"/>
    <n v="9.65"/>
    <n v="12"/>
    <n v="0"/>
    <s v="McLin, Nkenge"/>
    <s v="McLin Nkenge"/>
    <x v="8"/>
    <s v="WA"/>
    <s v="Product TTEEX"/>
    <x v="3"/>
    <x v="352"/>
    <d v="2007-11-18T00:00:00"/>
    <x v="1"/>
    <s v="Ship to 85-C"/>
    <x v="2"/>
    <s v="Supplier JDNUG"/>
    <s v="USA"/>
    <x v="1"/>
    <n v="115.80000000000001"/>
  </r>
  <r>
    <n v="10738"/>
    <n v="16"/>
    <n v="17.45"/>
    <n v="3"/>
    <n v="0"/>
    <s v="O’Brien, Dave"/>
    <s v="O’Brien Dave"/>
    <x v="8"/>
    <s v="WA"/>
    <s v="Product PAFRH"/>
    <x v="5"/>
    <x v="353"/>
    <d v="2007-11-18T00:00:00"/>
    <x v="2"/>
    <s v="Ship to 74-A"/>
    <x v="2"/>
    <s v="Supplier GQRCV"/>
    <s v="Australia"/>
    <x v="1"/>
    <n v="52.349999999999994"/>
  </r>
  <r>
    <n v="10739"/>
    <n v="36"/>
    <n v="19"/>
    <n v="6"/>
    <n v="0"/>
    <s v="McLin, Nkenge"/>
    <s v="McLin Nkenge"/>
    <x v="2"/>
    <s v="WA"/>
    <s v="Product GMKIJ"/>
    <x v="3"/>
    <x v="353"/>
    <d v="2007-11-17T00:00:00"/>
    <x v="3"/>
    <s v="Ship to 85-C"/>
    <x v="2"/>
    <s v="Supplier QZGUF"/>
    <s v="Sweden"/>
    <x v="1"/>
    <n v="114"/>
  </r>
  <r>
    <n v="10739"/>
    <n v="52"/>
    <n v="7"/>
    <n v="18"/>
    <n v="0"/>
    <s v="McLin, Nkenge"/>
    <s v="McLin Nkenge"/>
    <x v="2"/>
    <s v="WA"/>
    <s v="Product QSRXF"/>
    <x v="1"/>
    <x v="353"/>
    <d v="2007-11-17T00:00:00"/>
    <x v="3"/>
    <s v="Ship to 85-C"/>
    <x v="2"/>
    <s v="Supplier JNNES"/>
    <s v="Australia"/>
    <x v="1"/>
    <n v="126"/>
  </r>
  <r>
    <n v="10740"/>
    <n v="28"/>
    <n v="45.6"/>
    <n v="5"/>
    <n v="0.2"/>
    <s v="Smith Jr., Ronaldo"/>
    <s v="Smith Jr. Ronaldo"/>
    <x v="1"/>
    <s v="WA"/>
    <s v="Product OFBNT"/>
    <x v="2"/>
    <x v="354"/>
    <d v="2007-11-25T00:00:00"/>
    <x v="1"/>
    <s v="Ship to 89-B"/>
    <x v="9"/>
    <s v="Supplier SVIYA"/>
    <s v="Germany"/>
    <x v="1"/>
    <n v="182.4"/>
  </r>
  <r>
    <n v="10740"/>
    <n v="35"/>
    <n v="18"/>
    <n v="35"/>
    <n v="0.2"/>
    <s v="Smith Jr., Ronaldo"/>
    <s v="Smith Jr. Ronaldo"/>
    <x v="1"/>
    <s v="WA"/>
    <s v="Product NEVTJ"/>
    <x v="6"/>
    <x v="354"/>
    <d v="2007-11-25T00:00:00"/>
    <x v="1"/>
    <s v="Ship to 89-B"/>
    <x v="9"/>
    <s v="Supplier UHZRG"/>
    <s v="USA"/>
    <x v="1"/>
    <n v="504"/>
  </r>
  <r>
    <n v="10740"/>
    <n v="45"/>
    <n v="9.5"/>
    <n v="40"/>
    <n v="0.2"/>
    <s v="Smith Jr., Ronaldo"/>
    <s v="Smith Jr. Ronaldo"/>
    <x v="1"/>
    <s v="WA"/>
    <s v="Product AQOKR"/>
    <x v="3"/>
    <x v="354"/>
    <d v="2007-11-25T00:00:00"/>
    <x v="1"/>
    <s v="Ship to 89-B"/>
    <x v="9"/>
    <s v="Supplier XOXZA"/>
    <s v="Denmark"/>
    <x v="1"/>
    <n v="304"/>
  </r>
  <r>
    <n v="10740"/>
    <n v="56"/>
    <n v="38"/>
    <n v="14"/>
    <n v="0.2"/>
    <s v="Smith Jr., Ronaldo"/>
    <s v="Smith Jr. Ronaldo"/>
    <x v="1"/>
    <s v="WA"/>
    <s v="Product VKCMF"/>
    <x v="1"/>
    <x v="354"/>
    <d v="2007-11-25T00:00:00"/>
    <x v="1"/>
    <s v="Ship to 89-B"/>
    <x v="9"/>
    <s v="Supplier ZWZDM"/>
    <s v="Italy"/>
    <x v="1"/>
    <n v="425.6"/>
  </r>
  <r>
    <n v="10741"/>
    <n v="2"/>
    <n v="19"/>
    <n v="15"/>
    <n v="0.2"/>
    <s v="Arndt, Torsten"/>
    <s v="Arndt Torsten"/>
    <x v="1"/>
    <s v="WA"/>
    <s v="Product RECZE"/>
    <x v="6"/>
    <x v="355"/>
    <d v="2007-11-18T00:00:00"/>
    <x v="3"/>
    <s v="Ship to 4-C"/>
    <x v="14"/>
    <s v="Supplier SWRXU"/>
    <s v="UK"/>
    <x v="1"/>
    <n v="228"/>
  </r>
  <r>
    <n v="10742"/>
    <n v="3"/>
    <n v="10"/>
    <n v="20"/>
    <n v="0"/>
    <s v="Bassols, Pilar Colome"/>
    <s v="Bassols Pilar Colome"/>
    <x v="2"/>
    <s v="WA"/>
    <s v="Product IMEHJ"/>
    <x v="4"/>
    <x v="355"/>
    <d v="2007-11-18T00:00:00"/>
    <x v="3"/>
    <s v="Destination LPHSI"/>
    <x v="17"/>
    <s v="Supplier SWRXU"/>
    <s v="UK"/>
    <x v="2"/>
    <n v="200"/>
  </r>
  <r>
    <n v="10742"/>
    <n v="60"/>
    <n v="34"/>
    <n v="50"/>
    <n v="0"/>
    <s v="Bassols, Pilar Colome"/>
    <s v="Bassols Pilar Colome"/>
    <x v="2"/>
    <s v="WA"/>
    <s v="Product WHBYK"/>
    <x v="0"/>
    <x v="355"/>
    <d v="2007-11-18T00:00:00"/>
    <x v="3"/>
    <s v="Destination LPHSI"/>
    <x v="17"/>
    <s v="Supplier OAVQT"/>
    <s v="France"/>
    <x v="2"/>
    <n v="1700"/>
  </r>
  <r>
    <n v="10742"/>
    <n v="72"/>
    <n v="34.799999999999997"/>
    <n v="35"/>
    <n v="0"/>
    <s v="Bassols, Pilar Colome"/>
    <s v="Bassols Pilar Colome"/>
    <x v="2"/>
    <s v="WA"/>
    <s v="Product GEEOO"/>
    <x v="0"/>
    <x v="355"/>
    <d v="2007-11-18T00:00:00"/>
    <x v="3"/>
    <s v="Destination LPHSI"/>
    <x v="17"/>
    <s v="Supplier KEREV"/>
    <s v="Italy"/>
    <x v="2"/>
    <n v="1218"/>
  </r>
  <r>
    <n v="10743"/>
    <n v="46"/>
    <n v="12"/>
    <n v="28"/>
    <n v="0.05"/>
    <s v="Arndt, Torsten"/>
    <s v="Arndt Torsten"/>
    <x v="5"/>
    <s v="WA"/>
    <s v="Product CBRRL"/>
    <x v="3"/>
    <x v="356"/>
    <d v="2007-11-21T00:00:00"/>
    <x v="1"/>
    <s v="Ship to 4-C"/>
    <x v="14"/>
    <s v="Supplier XOXZA"/>
    <s v="Denmark"/>
    <x v="1"/>
    <n v="319.2"/>
  </r>
  <r>
    <n v="10744"/>
    <n v="40"/>
    <n v="18.399999999999999"/>
    <n v="50"/>
    <n v="0.2"/>
    <s v="Fonteneau, Karl"/>
    <s v="Fonteneau Karl"/>
    <x v="7"/>
    <n v="0"/>
    <s v="Product YZIXQ"/>
    <x v="3"/>
    <x v="356"/>
    <d v="2007-11-24T00:00:00"/>
    <x v="2"/>
    <s v="Ship to 83-A"/>
    <x v="18"/>
    <s v="Supplier JDNUG"/>
    <s v="USA"/>
    <x v="1"/>
    <n v="736"/>
  </r>
  <r>
    <n v="10745"/>
    <n v="18"/>
    <n v="62.5"/>
    <n v="24"/>
    <n v="0"/>
    <s v="Veronesi, Giorgio"/>
    <s v="Veronesi Giorgio"/>
    <x v="4"/>
    <n v="0"/>
    <s v="Product CKEDC"/>
    <x v="3"/>
    <x v="357"/>
    <d v="2007-11-27T00:00:00"/>
    <x v="2"/>
    <s v="Ship to 63-C"/>
    <x v="8"/>
    <s v="Supplier GQRCV"/>
    <s v="Australia"/>
    <x v="1"/>
    <n v="1500"/>
  </r>
  <r>
    <n v="10745"/>
    <n v="44"/>
    <n v="19.45"/>
    <n v="16"/>
    <n v="0"/>
    <s v="Veronesi, Giorgio"/>
    <s v="Veronesi Giorgio"/>
    <x v="4"/>
    <n v="0"/>
    <s v="Product VJIEO"/>
    <x v="4"/>
    <x v="357"/>
    <d v="2007-11-27T00:00:00"/>
    <x v="2"/>
    <s v="Ship to 63-C"/>
    <x v="8"/>
    <s v="Supplier CIYNM"/>
    <s v="Singapore"/>
    <x v="1"/>
    <n v="311.2"/>
  </r>
  <r>
    <n v="10745"/>
    <n v="59"/>
    <n v="55"/>
    <n v="45"/>
    <n v="0"/>
    <s v="Veronesi, Giorgio"/>
    <s v="Veronesi Giorgio"/>
    <x v="4"/>
    <n v="0"/>
    <s v="Product UKXRI"/>
    <x v="0"/>
    <x v="357"/>
    <d v="2007-11-27T00:00:00"/>
    <x v="2"/>
    <s v="Ship to 63-C"/>
    <x v="8"/>
    <s v="Supplier OAVQT"/>
    <s v="France"/>
    <x v="1"/>
    <n v="2475"/>
  </r>
  <r>
    <n v="10745"/>
    <n v="72"/>
    <n v="34.799999999999997"/>
    <n v="7"/>
    <n v="0"/>
    <s v="Veronesi, Giorgio"/>
    <s v="Veronesi Giorgio"/>
    <x v="4"/>
    <n v="0"/>
    <s v="Product GEEOO"/>
    <x v="0"/>
    <x v="357"/>
    <d v="2007-11-27T00:00:00"/>
    <x v="2"/>
    <s v="Ship to 63-C"/>
    <x v="8"/>
    <s v="Supplier KEREV"/>
    <s v="Italy"/>
    <x v="1"/>
    <n v="243.59999999999997"/>
  </r>
  <r>
    <n v="10746"/>
    <n v="13"/>
    <n v="6"/>
    <n v="6"/>
    <n v="0"/>
    <s v="Jelitto, Jacek"/>
    <s v="Jelitto Jacek"/>
    <x v="5"/>
    <s v="WA"/>
    <s v="Product POXFU"/>
    <x v="3"/>
    <x v="358"/>
    <d v="2007-11-21T00:00:00"/>
    <x v="3"/>
    <s v="Destination NRTZZ"/>
    <x v="4"/>
    <s v="Supplier QWUSF"/>
    <s v="Japan"/>
    <x v="1"/>
    <n v="36"/>
  </r>
  <r>
    <n v="10746"/>
    <n v="42"/>
    <n v="14"/>
    <n v="28"/>
    <n v="0"/>
    <s v="Jelitto, Jacek"/>
    <s v="Jelitto Jacek"/>
    <x v="5"/>
    <s v="WA"/>
    <s v="Product RJVNM"/>
    <x v="1"/>
    <x v="358"/>
    <d v="2007-11-21T00:00:00"/>
    <x v="3"/>
    <s v="Destination NRTZZ"/>
    <x v="4"/>
    <s v="Supplier CIYNM"/>
    <s v="Singapore"/>
    <x v="1"/>
    <n v="392"/>
  </r>
  <r>
    <n v="10746"/>
    <n v="62"/>
    <n v="49.3"/>
    <n v="9"/>
    <n v="0"/>
    <s v="Jelitto, Jacek"/>
    <s v="Jelitto Jacek"/>
    <x v="5"/>
    <s v="WA"/>
    <s v="Product WUXYK"/>
    <x v="5"/>
    <x v="358"/>
    <d v="2007-11-21T00:00:00"/>
    <x v="3"/>
    <s v="Destination NRTZZ"/>
    <x v="4"/>
    <s v="Supplier OGLRK"/>
    <s v="Canada"/>
    <x v="1"/>
    <n v="443.7"/>
  </r>
  <r>
    <n v="10746"/>
    <n v="69"/>
    <n v="36"/>
    <n v="40"/>
    <n v="0"/>
    <s v="Jelitto, Jacek"/>
    <s v="Jelitto Jacek"/>
    <x v="5"/>
    <s v="WA"/>
    <s v="Product COAXA"/>
    <x v="0"/>
    <x v="358"/>
    <d v="2007-11-21T00:00:00"/>
    <x v="3"/>
    <s v="Destination NRTZZ"/>
    <x v="4"/>
    <s v="Supplier NZLIF"/>
    <s v="Norway"/>
    <x v="1"/>
    <n v="1440"/>
  </r>
  <r>
    <n v="10747"/>
    <n v="31"/>
    <n v="12.5"/>
    <n v="8"/>
    <n v="0"/>
    <s v="Meston, Tosh"/>
    <s v="Meston Tosh"/>
    <x v="7"/>
    <n v="0"/>
    <s v="Product XWOXC"/>
    <x v="0"/>
    <x v="358"/>
    <d v="2007-11-26T00:00:00"/>
    <x v="2"/>
    <s v="Ship to 59-B"/>
    <x v="6"/>
    <s v="Supplier KEREV"/>
    <s v="Italy"/>
    <x v="2"/>
    <n v="100"/>
  </r>
  <r>
    <n v="10747"/>
    <n v="41"/>
    <n v="9.65"/>
    <n v="35"/>
    <n v="0"/>
    <s v="Meston, Tosh"/>
    <s v="Meston Tosh"/>
    <x v="7"/>
    <n v="0"/>
    <s v="Product TTEEX"/>
    <x v="3"/>
    <x v="358"/>
    <d v="2007-11-26T00:00:00"/>
    <x v="2"/>
    <s v="Ship to 59-B"/>
    <x v="6"/>
    <s v="Supplier JDNUG"/>
    <s v="USA"/>
    <x v="2"/>
    <n v="337.75"/>
  </r>
  <r>
    <n v="10747"/>
    <n v="63"/>
    <n v="43.9"/>
    <n v="9"/>
    <n v="0"/>
    <s v="Meston, Tosh"/>
    <s v="Meston Tosh"/>
    <x v="7"/>
    <n v="0"/>
    <s v="Product ICKNK"/>
    <x v="4"/>
    <x v="358"/>
    <d v="2007-11-26T00:00:00"/>
    <x v="2"/>
    <s v="Ship to 59-B"/>
    <x v="6"/>
    <s v="Supplier GQRCV"/>
    <s v="Australia"/>
    <x v="2"/>
    <n v="395.09999999999997"/>
  </r>
  <r>
    <n v="10747"/>
    <n v="69"/>
    <n v="36"/>
    <n v="30"/>
    <n v="0"/>
    <s v="Meston, Tosh"/>
    <s v="Meston Tosh"/>
    <x v="7"/>
    <n v="0"/>
    <s v="Product COAXA"/>
    <x v="0"/>
    <x v="358"/>
    <d v="2007-11-26T00:00:00"/>
    <x v="2"/>
    <s v="Ship to 59-B"/>
    <x v="6"/>
    <s v="Supplier NZLIF"/>
    <s v="Norway"/>
    <x v="2"/>
    <n v="1080"/>
  </r>
  <r>
    <n v="10748"/>
    <n v="23"/>
    <n v="9"/>
    <n v="44"/>
    <n v="0"/>
    <s v="Navarro, Tomás"/>
    <s v="Navarro Tomás"/>
    <x v="2"/>
    <s v="WA"/>
    <s v="Product JLUDZ"/>
    <x v="1"/>
    <x v="359"/>
    <d v="2007-11-28T00:00:00"/>
    <x v="2"/>
    <s v="Ship to 71-B"/>
    <x v="9"/>
    <s v="Supplier QQYEU"/>
    <s v="Sweden"/>
    <x v="2"/>
    <n v="396"/>
  </r>
  <r>
    <n v="10748"/>
    <n v="40"/>
    <n v="18.399999999999999"/>
    <n v="40"/>
    <n v="0"/>
    <s v="Navarro, Tomás"/>
    <s v="Navarro Tomás"/>
    <x v="2"/>
    <s v="WA"/>
    <s v="Product YZIXQ"/>
    <x v="3"/>
    <x v="359"/>
    <d v="2007-11-28T00:00:00"/>
    <x v="2"/>
    <s v="Ship to 71-B"/>
    <x v="9"/>
    <s v="Supplier JDNUG"/>
    <s v="USA"/>
    <x v="2"/>
    <n v="736"/>
  </r>
  <r>
    <n v="10748"/>
    <n v="56"/>
    <n v="38"/>
    <n v="28"/>
    <n v="0"/>
    <s v="Navarro, Tomás"/>
    <s v="Navarro Tomás"/>
    <x v="2"/>
    <s v="WA"/>
    <s v="Product VKCMF"/>
    <x v="1"/>
    <x v="359"/>
    <d v="2007-11-28T00:00:00"/>
    <x v="2"/>
    <s v="Ship to 71-B"/>
    <x v="9"/>
    <s v="Supplier ZWZDM"/>
    <s v="Italy"/>
    <x v="2"/>
    <n v="1064"/>
  </r>
  <r>
    <n v="10749"/>
    <n v="56"/>
    <n v="38"/>
    <n v="15"/>
    <n v="0"/>
    <s v="Lee, Frank"/>
    <s v="Lee Frank"/>
    <x v="1"/>
    <s v="WA"/>
    <s v="Product VKCMF"/>
    <x v="1"/>
    <x v="359"/>
    <d v="2007-12-19T00:00:00"/>
    <x v="1"/>
    <s v="Destination QVTLW"/>
    <x v="14"/>
    <s v="Supplier ZWZDM"/>
    <s v="Italy"/>
    <x v="1"/>
    <n v="570"/>
  </r>
  <r>
    <n v="10749"/>
    <n v="59"/>
    <n v="55"/>
    <n v="6"/>
    <n v="0"/>
    <s v="Lee, Frank"/>
    <s v="Lee Frank"/>
    <x v="1"/>
    <s v="WA"/>
    <s v="Product UKXRI"/>
    <x v="0"/>
    <x v="359"/>
    <d v="2007-12-19T00:00:00"/>
    <x v="1"/>
    <s v="Destination QVTLW"/>
    <x v="14"/>
    <s v="Supplier OAVQT"/>
    <s v="France"/>
    <x v="1"/>
    <n v="330"/>
  </r>
  <r>
    <n v="10749"/>
    <n v="76"/>
    <n v="18"/>
    <n v="10"/>
    <n v="0"/>
    <s v="Lee, Frank"/>
    <s v="Lee Frank"/>
    <x v="1"/>
    <s v="WA"/>
    <s v="Product JYGFE"/>
    <x v="6"/>
    <x v="359"/>
    <d v="2007-12-19T00:00:00"/>
    <x v="1"/>
    <s v="Destination QVTLW"/>
    <x v="14"/>
    <s v="Supplier ELCRN"/>
    <s v="Finland"/>
    <x v="1"/>
    <n v="180"/>
  </r>
  <r>
    <n v="10750"/>
    <n v="14"/>
    <n v="23.25"/>
    <n v="5"/>
    <n v="0.15"/>
    <s v="Ludwig, Michael"/>
    <s v="Ludwig Michael"/>
    <x v="4"/>
    <n v="0"/>
    <s v="Product PWCJB"/>
    <x v="2"/>
    <x v="360"/>
    <d v="2007-11-24T00:00:00"/>
    <x v="2"/>
    <s v="Ship to 87-C"/>
    <x v="11"/>
    <s v="Supplier QWUSF"/>
    <s v="Japan"/>
    <x v="1"/>
    <n v="98.8125"/>
  </r>
  <r>
    <n v="10750"/>
    <n v="45"/>
    <n v="9.5"/>
    <n v="40"/>
    <n v="0.15"/>
    <s v="Ludwig, Michael"/>
    <s v="Ludwig Michael"/>
    <x v="4"/>
    <n v="0"/>
    <s v="Product AQOKR"/>
    <x v="3"/>
    <x v="360"/>
    <d v="2007-11-24T00:00:00"/>
    <x v="2"/>
    <s v="Ship to 87-C"/>
    <x v="11"/>
    <s v="Supplier XOXZA"/>
    <s v="Denmark"/>
    <x v="1"/>
    <n v="323"/>
  </r>
  <r>
    <n v="10750"/>
    <n v="59"/>
    <n v="55"/>
    <n v="25"/>
    <n v="0.15"/>
    <s v="Ludwig, Michael"/>
    <s v="Ludwig Michael"/>
    <x v="4"/>
    <n v="0"/>
    <s v="Product UKXRI"/>
    <x v="0"/>
    <x v="360"/>
    <d v="2007-11-24T00:00:00"/>
    <x v="2"/>
    <s v="Ship to 87-C"/>
    <x v="11"/>
    <s v="Supplier OAVQT"/>
    <s v="France"/>
    <x v="1"/>
    <n v="1168.75"/>
  </r>
  <r>
    <n v="10751"/>
    <n v="26"/>
    <n v="31.23"/>
    <n v="12"/>
    <n v="0.1"/>
    <s v="Myrcha, Jacek"/>
    <s v="Myrcha Jacek"/>
    <x v="2"/>
    <s v="WA"/>
    <s v="Product HLGZA"/>
    <x v="5"/>
    <x v="361"/>
    <d v="2007-12-03T00:00:00"/>
    <x v="3"/>
    <s v="Ship to 68-A"/>
    <x v="4"/>
    <s v="Supplier ZPYVS"/>
    <s v="Germany"/>
    <x v="2"/>
    <n v="337.28399999999999"/>
  </r>
  <r>
    <n v="10751"/>
    <n v="30"/>
    <n v="25.89"/>
    <n v="30"/>
    <n v="0"/>
    <s v="Myrcha, Jacek"/>
    <s v="Myrcha Jacek"/>
    <x v="2"/>
    <s v="WA"/>
    <s v="Product LYERX"/>
    <x v="3"/>
    <x v="361"/>
    <d v="2007-12-03T00:00:00"/>
    <x v="3"/>
    <s v="Ship to 68-A"/>
    <x v="4"/>
    <s v="Supplier TEGSC"/>
    <s v="Germany"/>
    <x v="2"/>
    <n v="776.7"/>
  </r>
  <r>
    <n v="10751"/>
    <n v="50"/>
    <n v="16.25"/>
    <n v="20"/>
    <n v="0.1"/>
    <s v="Myrcha, Jacek"/>
    <s v="Myrcha Jacek"/>
    <x v="2"/>
    <s v="WA"/>
    <s v="Product BIUDV"/>
    <x v="5"/>
    <x v="361"/>
    <d v="2007-12-03T00:00:00"/>
    <x v="3"/>
    <s v="Ship to 68-A"/>
    <x v="4"/>
    <s v="Supplier ELCRN"/>
    <s v="Finland"/>
    <x v="2"/>
    <n v="292.5"/>
  </r>
  <r>
    <n v="10751"/>
    <n v="73"/>
    <n v="15"/>
    <n v="15"/>
    <n v="0"/>
    <s v="Myrcha, Jacek"/>
    <s v="Myrcha Jacek"/>
    <x v="2"/>
    <s v="WA"/>
    <s v="Product WEUJZ"/>
    <x v="3"/>
    <x v="361"/>
    <d v="2007-12-03T00:00:00"/>
    <x v="3"/>
    <s v="Ship to 68-A"/>
    <x v="4"/>
    <s v="Supplier QZGUF"/>
    <s v="Sweden"/>
    <x v="2"/>
    <n v="225"/>
  </r>
  <r>
    <n v="10752"/>
    <n v="1"/>
    <n v="18"/>
    <n v="8"/>
    <n v="0"/>
    <s v="Mallit, Ken"/>
    <s v="Mallit Ken"/>
    <x v="8"/>
    <s v="WA"/>
    <s v="Product HHYDP"/>
    <x v="6"/>
    <x v="361"/>
    <d v="2007-11-28T00:00:00"/>
    <x v="3"/>
    <s v="Ship to 53-C"/>
    <x v="14"/>
    <s v="Supplier SWRXU"/>
    <s v="UK"/>
    <x v="1"/>
    <n v="144"/>
  </r>
  <r>
    <n v="10752"/>
    <n v="69"/>
    <n v="36"/>
    <n v="3"/>
    <n v="0"/>
    <s v="Mallit, Ken"/>
    <s v="Mallit Ken"/>
    <x v="8"/>
    <s v="WA"/>
    <s v="Product COAXA"/>
    <x v="0"/>
    <x v="361"/>
    <d v="2007-11-28T00:00:00"/>
    <x v="3"/>
    <s v="Ship to 53-C"/>
    <x v="14"/>
    <s v="Supplier NZLIF"/>
    <s v="Norway"/>
    <x v="1"/>
    <n v="108"/>
  </r>
  <r>
    <n v="10753"/>
    <n v="45"/>
    <n v="9.5"/>
    <n v="4"/>
    <n v="0"/>
    <s v="Schmöllerl, Martin"/>
    <s v="Schmöllerl Martin"/>
    <x v="2"/>
    <s v="WA"/>
    <s v="Product AQOKR"/>
    <x v="3"/>
    <x v="362"/>
    <d v="2007-11-27T00:00:00"/>
    <x v="2"/>
    <s v="Destination DICGM"/>
    <x v="12"/>
    <s v="Supplier XOXZA"/>
    <s v="Denmark"/>
    <x v="1"/>
    <n v="38"/>
  </r>
  <r>
    <n v="10753"/>
    <n v="74"/>
    <n v="10"/>
    <n v="5"/>
    <n v="0"/>
    <s v="Schmöllerl, Martin"/>
    <s v="Schmöllerl Martin"/>
    <x v="2"/>
    <s v="WA"/>
    <s v="Product BKAZJ"/>
    <x v="2"/>
    <x v="362"/>
    <d v="2007-11-27T00:00:00"/>
    <x v="2"/>
    <s v="Destination DICGM"/>
    <x v="12"/>
    <s v="Supplier QOVFD"/>
    <s v="Japan"/>
    <x v="1"/>
    <n v="50"/>
  </r>
  <r>
    <n v="10754"/>
    <n v="40"/>
    <n v="18.399999999999999"/>
    <n v="3"/>
    <n v="0"/>
    <s v="Duerr, Bernard"/>
    <s v="Duerr Bernard"/>
    <x v="7"/>
    <n v="0"/>
    <s v="Product YZIXQ"/>
    <x v="3"/>
    <x v="362"/>
    <d v="2007-11-27T00:00:00"/>
    <x v="3"/>
    <s v="Ship to 49-B"/>
    <x v="12"/>
    <s v="Supplier JDNUG"/>
    <s v="USA"/>
    <x v="1"/>
    <n v="55.199999999999996"/>
  </r>
  <r>
    <n v="10755"/>
    <n v="47"/>
    <n v="9.5"/>
    <n v="30"/>
    <n v="0.25"/>
    <s v="Raghav, Amritansh"/>
    <s v="Raghav Amritansh"/>
    <x v="1"/>
    <s v="WA"/>
    <s v="Product EZZPR"/>
    <x v="5"/>
    <x v="363"/>
    <d v="2007-11-28T00:00:00"/>
    <x v="1"/>
    <s v="Ship to 9-C"/>
    <x v="2"/>
    <s v="Supplier FNUXM"/>
    <s v="Netherlands"/>
    <x v="1"/>
    <n v="213.75"/>
  </r>
  <r>
    <n v="10755"/>
    <n v="56"/>
    <n v="38"/>
    <n v="30"/>
    <n v="0.25"/>
    <s v="Raghav, Amritansh"/>
    <s v="Raghav Amritansh"/>
    <x v="1"/>
    <s v="WA"/>
    <s v="Product VKCMF"/>
    <x v="1"/>
    <x v="363"/>
    <d v="2007-11-28T00:00:00"/>
    <x v="1"/>
    <s v="Ship to 9-C"/>
    <x v="2"/>
    <s v="Supplier ZWZDM"/>
    <s v="Italy"/>
    <x v="1"/>
    <n v="855"/>
  </r>
  <r>
    <n v="10755"/>
    <n v="57"/>
    <n v="19.5"/>
    <n v="14"/>
    <n v="0.25"/>
    <s v="Raghav, Amritansh"/>
    <s v="Raghav Amritansh"/>
    <x v="1"/>
    <s v="WA"/>
    <s v="Product OVLQI"/>
    <x v="1"/>
    <x v="363"/>
    <d v="2007-11-28T00:00:00"/>
    <x v="1"/>
    <s v="Ship to 9-C"/>
    <x v="2"/>
    <s v="Supplier ZWZDM"/>
    <s v="Italy"/>
    <x v="1"/>
    <n v="204.75"/>
  </r>
  <r>
    <n v="10755"/>
    <n v="69"/>
    <n v="36"/>
    <n v="25"/>
    <n v="0.25"/>
    <s v="Raghav, Amritansh"/>
    <s v="Raghav Amritansh"/>
    <x v="1"/>
    <s v="WA"/>
    <s v="Product COAXA"/>
    <x v="0"/>
    <x v="363"/>
    <d v="2007-11-28T00:00:00"/>
    <x v="1"/>
    <s v="Ship to 9-C"/>
    <x v="2"/>
    <s v="Supplier NZLIF"/>
    <s v="Norway"/>
    <x v="1"/>
    <n v="675"/>
  </r>
  <r>
    <n v="10756"/>
    <n v="18"/>
    <n v="62.5"/>
    <n v="21"/>
    <n v="0.2"/>
    <s v="Wojciechowska, Agnieszka"/>
    <s v="Wojciechowska Agnieszka"/>
    <x v="6"/>
    <s v="WA"/>
    <s v="Product CKEDC"/>
    <x v="3"/>
    <x v="364"/>
    <d v="2007-12-02T00:00:00"/>
    <x v="1"/>
    <s v="Ship to 75-C"/>
    <x v="9"/>
    <s v="Supplier GQRCV"/>
    <s v="Australia"/>
    <x v="1"/>
    <n v="1050"/>
  </r>
  <r>
    <n v="10756"/>
    <n v="36"/>
    <n v="19"/>
    <n v="20"/>
    <n v="0.2"/>
    <s v="Wojciechowska, Agnieszka"/>
    <s v="Wojciechowska Agnieszka"/>
    <x v="6"/>
    <s v="WA"/>
    <s v="Product GMKIJ"/>
    <x v="3"/>
    <x v="364"/>
    <d v="2007-12-02T00:00:00"/>
    <x v="1"/>
    <s v="Ship to 75-C"/>
    <x v="9"/>
    <s v="Supplier QZGUF"/>
    <s v="Sweden"/>
    <x v="1"/>
    <n v="304"/>
  </r>
  <r>
    <n v="10756"/>
    <n v="68"/>
    <n v="12.5"/>
    <n v="6"/>
    <n v="0.2"/>
    <s v="Wojciechowska, Agnieszka"/>
    <s v="Wojciechowska Agnieszka"/>
    <x v="6"/>
    <s v="WA"/>
    <s v="Product TBTBL"/>
    <x v="5"/>
    <x v="364"/>
    <d v="2007-12-02T00:00:00"/>
    <x v="1"/>
    <s v="Ship to 75-C"/>
    <x v="9"/>
    <s v="Supplier BWGYE"/>
    <s v="UK"/>
    <x v="1"/>
    <n v="60"/>
  </r>
  <r>
    <n v="10756"/>
    <n v="69"/>
    <n v="36"/>
    <n v="20"/>
    <n v="0.2"/>
    <s v="Wojciechowska, Agnieszka"/>
    <s v="Wojciechowska Agnieszka"/>
    <x v="6"/>
    <s v="WA"/>
    <s v="Product COAXA"/>
    <x v="0"/>
    <x v="364"/>
    <d v="2007-12-02T00:00:00"/>
    <x v="1"/>
    <s v="Ship to 75-C"/>
    <x v="9"/>
    <s v="Supplier NZLIF"/>
    <s v="Norway"/>
    <x v="1"/>
    <n v="576"/>
  </r>
  <r>
    <n v="10757"/>
    <n v="34"/>
    <n v="14"/>
    <n v="30"/>
    <n v="0"/>
    <s v="Navarro, Tomás"/>
    <s v="Navarro Tomás"/>
    <x v="7"/>
    <n v="0"/>
    <s v="Product SWNJY"/>
    <x v="6"/>
    <x v="364"/>
    <d v="2007-12-15T00:00:00"/>
    <x v="2"/>
    <s v="Ship to 71-B"/>
    <x v="9"/>
    <s v="Supplier UHZRG"/>
    <s v="USA"/>
    <x v="1"/>
    <n v="420"/>
  </r>
  <r>
    <n v="10757"/>
    <n v="59"/>
    <n v="55"/>
    <n v="7"/>
    <n v="0"/>
    <s v="Navarro, Tomás"/>
    <s v="Navarro Tomás"/>
    <x v="7"/>
    <n v="0"/>
    <s v="Product UKXRI"/>
    <x v="0"/>
    <x v="364"/>
    <d v="2007-12-15T00:00:00"/>
    <x v="2"/>
    <s v="Ship to 71-B"/>
    <x v="9"/>
    <s v="Supplier OAVQT"/>
    <s v="France"/>
    <x v="1"/>
    <n v="385"/>
  </r>
  <r>
    <n v="10757"/>
    <n v="62"/>
    <n v="49.3"/>
    <n v="30"/>
    <n v="0"/>
    <s v="Navarro, Tomás"/>
    <s v="Navarro Tomás"/>
    <x v="7"/>
    <n v="0"/>
    <s v="Product WUXYK"/>
    <x v="5"/>
    <x v="364"/>
    <d v="2007-12-15T00:00:00"/>
    <x v="2"/>
    <s v="Ship to 71-B"/>
    <x v="9"/>
    <s v="Supplier OGLRK"/>
    <s v="Canada"/>
    <x v="1"/>
    <n v="1479"/>
  </r>
  <r>
    <n v="10757"/>
    <n v="64"/>
    <n v="33.25"/>
    <n v="24"/>
    <n v="0"/>
    <s v="Navarro, Tomás"/>
    <s v="Navarro Tomás"/>
    <x v="7"/>
    <n v="0"/>
    <s v="Product HCQDE"/>
    <x v="1"/>
    <x v="364"/>
    <d v="2007-12-15T00:00:00"/>
    <x v="2"/>
    <s v="Ship to 71-B"/>
    <x v="9"/>
    <s v="Supplier SVIYA"/>
    <s v="Germany"/>
    <x v="1"/>
    <n v="798"/>
  </r>
  <r>
    <n v="10758"/>
    <n v="26"/>
    <n v="31.23"/>
    <n v="20"/>
    <n v="0"/>
    <s v="Myrcha, Jacek"/>
    <s v="Myrcha Jacek"/>
    <x v="2"/>
    <s v="WA"/>
    <s v="Product HLGZA"/>
    <x v="5"/>
    <x v="365"/>
    <d v="2007-12-04T00:00:00"/>
    <x v="3"/>
    <s v="Ship to 68-C"/>
    <x v="4"/>
    <s v="Supplier ZPYVS"/>
    <s v="Germany"/>
    <x v="2"/>
    <n v="624.6"/>
  </r>
  <r>
    <n v="10758"/>
    <n v="52"/>
    <n v="7"/>
    <n v="60"/>
    <n v="0"/>
    <s v="Myrcha, Jacek"/>
    <s v="Myrcha Jacek"/>
    <x v="2"/>
    <s v="WA"/>
    <s v="Product QSRXF"/>
    <x v="1"/>
    <x v="365"/>
    <d v="2007-12-04T00:00:00"/>
    <x v="3"/>
    <s v="Ship to 68-C"/>
    <x v="4"/>
    <s v="Supplier JNNES"/>
    <s v="Australia"/>
    <x v="2"/>
    <n v="420"/>
  </r>
  <r>
    <n v="10758"/>
    <n v="70"/>
    <n v="15"/>
    <n v="40"/>
    <n v="0"/>
    <s v="Myrcha, Jacek"/>
    <s v="Myrcha Jacek"/>
    <x v="2"/>
    <s v="WA"/>
    <s v="Product TOONT"/>
    <x v="6"/>
    <x v="365"/>
    <d v="2007-12-04T00:00:00"/>
    <x v="3"/>
    <s v="Ship to 68-C"/>
    <x v="4"/>
    <s v="Supplier GQRCV"/>
    <s v="Australia"/>
    <x v="2"/>
    <n v="600"/>
  </r>
  <r>
    <n v="10759"/>
    <n v="32"/>
    <n v="32"/>
    <n v="10"/>
    <n v="0"/>
    <s v="Hassall, Mark"/>
    <s v="Hassall Mark"/>
    <x v="2"/>
    <s v="WA"/>
    <s v="Product NUNAW"/>
    <x v="0"/>
    <x v="365"/>
    <d v="2007-12-12T00:00:00"/>
    <x v="3"/>
    <s v="Destination QOTQA"/>
    <x v="7"/>
    <s v="Supplier KEREV"/>
    <s v="Italy"/>
    <x v="1"/>
    <n v="320"/>
  </r>
  <r>
    <n v="10760"/>
    <n v="25"/>
    <n v="14"/>
    <n v="12"/>
    <n v="0.25"/>
    <s v="Mace, Donald"/>
    <s v="Mace Donald"/>
    <x v="1"/>
    <s v="WA"/>
    <s v="Product LYLNI"/>
    <x v="5"/>
    <x v="366"/>
    <d v="2007-12-10T00:00:00"/>
    <x v="2"/>
    <s v="Ship to 50-B"/>
    <x v="3"/>
    <s v="Supplier ZPYVS"/>
    <s v="Germany"/>
    <x v="2"/>
    <n v="126"/>
  </r>
  <r>
    <n v="10760"/>
    <n v="27"/>
    <n v="43.9"/>
    <n v="40"/>
    <n v="0"/>
    <s v="Mace, Donald"/>
    <s v="Mace Donald"/>
    <x v="1"/>
    <s v="WA"/>
    <s v="Product SMIOH"/>
    <x v="5"/>
    <x v="366"/>
    <d v="2007-12-10T00:00:00"/>
    <x v="2"/>
    <s v="Ship to 50-B"/>
    <x v="3"/>
    <s v="Supplier ZPYVS"/>
    <s v="Germany"/>
    <x v="2"/>
    <n v="1756"/>
  </r>
  <r>
    <n v="10760"/>
    <n v="43"/>
    <n v="46"/>
    <n v="30"/>
    <n v="0.25"/>
    <s v="Mace, Donald"/>
    <s v="Mace Donald"/>
    <x v="1"/>
    <s v="WA"/>
    <s v="Product ZZZHR"/>
    <x v="6"/>
    <x v="366"/>
    <d v="2007-12-10T00:00:00"/>
    <x v="2"/>
    <s v="Ship to 50-B"/>
    <x v="3"/>
    <s v="Supplier CIYNM"/>
    <s v="Singapore"/>
    <x v="2"/>
    <n v="1035"/>
  </r>
  <r>
    <n v="10761"/>
    <n v="25"/>
    <n v="14"/>
    <n v="35"/>
    <n v="0.25"/>
    <s v="Moore, Michael"/>
    <s v="Moore Michael"/>
    <x v="3"/>
    <n v="0"/>
    <s v="Product LYLNI"/>
    <x v="5"/>
    <x v="367"/>
    <d v="2007-12-08T00:00:00"/>
    <x v="1"/>
    <s v="Ship to 65-B"/>
    <x v="9"/>
    <s v="Supplier ZPYVS"/>
    <s v="Germany"/>
    <x v="1"/>
    <n v="367.5"/>
  </r>
  <r>
    <n v="10761"/>
    <n v="75"/>
    <n v="7.75"/>
    <n v="18"/>
    <n v="0"/>
    <s v="Moore, Michael"/>
    <s v="Moore Michael"/>
    <x v="3"/>
    <n v="0"/>
    <s v="Product BWRLG"/>
    <x v="6"/>
    <x v="367"/>
    <d v="2007-12-08T00:00:00"/>
    <x v="1"/>
    <s v="Ship to 65-B"/>
    <x v="9"/>
    <s v="Supplier SVIYA"/>
    <s v="Germany"/>
    <x v="1"/>
    <n v="139.5"/>
  </r>
  <r>
    <n v="10762"/>
    <n v="39"/>
    <n v="18"/>
    <n v="16"/>
    <n v="0"/>
    <s v="San Juan, Patricia"/>
    <s v="San Juan Patricia"/>
    <x v="2"/>
    <s v="WA"/>
    <s v="Product LSOFL"/>
    <x v="6"/>
    <x v="367"/>
    <d v="2007-12-09T00:00:00"/>
    <x v="2"/>
    <s v="Destination YCMPK"/>
    <x v="10"/>
    <s v="Supplier LVJUA"/>
    <s v="France"/>
    <x v="2"/>
    <n v="288"/>
  </r>
  <r>
    <n v="10762"/>
    <n v="47"/>
    <n v="9.5"/>
    <n v="30"/>
    <n v="0"/>
    <s v="San Juan, Patricia"/>
    <s v="San Juan Patricia"/>
    <x v="2"/>
    <s v="WA"/>
    <s v="Product EZZPR"/>
    <x v="5"/>
    <x v="367"/>
    <d v="2007-12-09T00:00:00"/>
    <x v="2"/>
    <s v="Destination YCMPK"/>
    <x v="10"/>
    <s v="Supplier FNUXM"/>
    <s v="Netherlands"/>
    <x v="2"/>
    <n v="285"/>
  </r>
  <r>
    <n v="10762"/>
    <n v="51"/>
    <n v="53"/>
    <n v="28"/>
    <n v="0"/>
    <s v="San Juan, Patricia"/>
    <s v="San Juan Patricia"/>
    <x v="2"/>
    <s v="WA"/>
    <s v="Product APITJ"/>
    <x v="2"/>
    <x v="367"/>
    <d v="2007-12-09T00:00:00"/>
    <x v="2"/>
    <s v="Destination YCMPK"/>
    <x v="10"/>
    <s v="Supplier JNNES"/>
    <s v="Australia"/>
    <x v="2"/>
    <n v="1484"/>
  </r>
  <r>
    <n v="10762"/>
    <n v="56"/>
    <n v="38"/>
    <n v="60"/>
    <n v="0"/>
    <s v="San Juan, Patricia"/>
    <s v="San Juan Patricia"/>
    <x v="2"/>
    <s v="WA"/>
    <s v="Product VKCMF"/>
    <x v="1"/>
    <x v="367"/>
    <d v="2007-12-09T00:00:00"/>
    <x v="2"/>
    <s v="Destination YCMPK"/>
    <x v="10"/>
    <s v="Supplier ZWZDM"/>
    <s v="Italy"/>
    <x v="2"/>
    <n v="2280"/>
  </r>
  <r>
    <n v="10763"/>
    <n v="21"/>
    <n v="10"/>
    <n v="40"/>
    <n v="0"/>
    <s v="Khanna, Karan"/>
    <s v="Khanna Karan"/>
    <x v="2"/>
    <s v="WA"/>
    <s v="Product VJZZH"/>
    <x v="5"/>
    <x v="368"/>
    <d v="2007-12-08T00:00:00"/>
    <x v="3"/>
    <s v="Destination PXQRR"/>
    <x v="2"/>
    <s v="Supplier BWGYE"/>
    <s v="UK"/>
    <x v="1"/>
    <n v="400"/>
  </r>
  <r>
    <n v="10763"/>
    <n v="22"/>
    <n v="21"/>
    <n v="6"/>
    <n v="0"/>
    <s v="Khanna, Karan"/>
    <s v="Khanna Karan"/>
    <x v="2"/>
    <s v="WA"/>
    <s v="Product CPHFY"/>
    <x v="1"/>
    <x v="368"/>
    <d v="2007-12-08T00:00:00"/>
    <x v="3"/>
    <s v="Destination PXQRR"/>
    <x v="2"/>
    <s v="Supplier QQYEU"/>
    <s v="Sweden"/>
    <x v="1"/>
    <n v="126"/>
  </r>
  <r>
    <n v="10763"/>
    <n v="24"/>
    <n v="4.5"/>
    <n v="20"/>
    <n v="0"/>
    <s v="Khanna, Karan"/>
    <s v="Khanna Karan"/>
    <x v="2"/>
    <s v="WA"/>
    <s v="Product QOGNU"/>
    <x v="6"/>
    <x v="368"/>
    <d v="2007-12-08T00:00:00"/>
    <x v="3"/>
    <s v="Destination PXQRR"/>
    <x v="2"/>
    <s v="Supplier UNAHG"/>
    <s v="Brazil"/>
    <x v="1"/>
    <n v="90"/>
  </r>
  <r>
    <n v="10764"/>
    <n v="3"/>
    <n v="10"/>
    <n v="20"/>
    <n v="0.1"/>
    <s v="Kane, John"/>
    <s v="Kane John"/>
    <x v="7"/>
    <n v="0"/>
    <s v="Product IMEHJ"/>
    <x v="4"/>
    <x v="368"/>
    <d v="2007-12-08T00:00:00"/>
    <x v="3"/>
    <s v="Destination CUVPF"/>
    <x v="6"/>
    <s v="Supplier SWRXU"/>
    <s v="UK"/>
    <x v="2"/>
    <n v="180"/>
  </r>
  <r>
    <n v="10764"/>
    <n v="39"/>
    <n v="18"/>
    <n v="130"/>
    <n v="0.1"/>
    <s v="Kane, John"/>
    <s v="Kane John"/>
    <x v="7"/>
    <n v="0"/>
    <s v="Product LSOFL"/>
    <x v="6"/>
    <x v="368"/>
    <d v="2007-12-08T00:00:00"/>
    <x v="3"/>
    <s v="Destination CUVPF"/>
    <x v="6"/>
    <s v="Supplier LVJUA"/>
    <s v="France"/>
    <x v="2"/>
    <n v="2106"/>
  </r>
  <r>
    <n v="10765"/>
    <n v="65"/>
    <n v="21.05"/>
    <n v="80"/>
    <n v="0.1"/>
    <s v="Veronesi, Giorgio"/>
    <s v="Veronesi Giorgio"/>
    <x v="2"/>
    <s v="WA"/>
    <s v="Product XYWBZ"/>
    <x v="4"/>
    <x v="369"/>
    <d v="2007-12-09T00:00:00"/>
    <x v="3"/>
    <s v="Ship to 63-A"/>
    <x v="8"/>
    <s v="Supplier VHQZD"/>
    <s v="USA"/>
    <x v="1"/>
    <n v="1515.6000000000001"/>
  </r>
  <r>
    <n v="10766"/>
    <n v="2"/>
    <n v="19"/>
    <n v="40"/>
    <n v="0"/>
    <s v="Marinova, Nadejda"/>
    <s v="Marinova Nadejda"/>
    <x v="1"/>
    <s v="WA"/>
    <s v="Product RECZE"/>
    <x v="6"/>
    <x v="370"/>
    <d v="2007-12-09T00:00:00"/>
    <x v="2"/>
    <s v="Ship to 56-C"/>
    <x v="8"/>
    <s v="Supplier SWRXU"/>
    <s v="UK"/>
    <x v="2"/>
    <n v="760"/>
  </r>
  <r>
    <n v="10766"/>
    <n v="7"/>
    <n v="30"/>
    <n v="35"/>
    <n v="0"/>
    <s v="Marinova, Nadejda"/>
    <s v="Marinova Nadejda"/>
    <x v="1"/>
    <s v="WA"/>
    <s v="Product HMLNI"/>
    <x v="2"/>
    <x v="370"/>
    <d v="2007-12-09T00:00:00"/>
    <x v="2"/>
    <s v="Ship to 56-C"/>
    <x v="8"/>
    <s v="Supplier STUAZ"/>
    <s v="USA"/>
    <x v="2"/>
    <n v="1050"/>
  </r>
  <r>
    <n v="10766"/>
    <n v="68"/>
    <n v="12.5"/>
    <n v="40"/>
    <n v="0"/>
    <s v="Marinova, Nadejda"/>
    <s v="Marinova Nadejda"/>
    <x v="1"/>
    <s v="WA"/>
    <s v="Product TBTBL"/>
    <x v="5"/>
    <x v="370"/>
    <d v="2007-12-09T00:00:00"/>
    <x v="2"/>
    <s v="Ship to 56-C"/>
    <x v="8"/>
    <s v="Supplier BWGYE"/>
    <s v="UK"/>
    <x v="2"/>
    <n v="500"/>
  </r>
  <r>
    <n v="10767"/>
    <n v="42"/>
    <n v="14"/>
    <n v="2"/>
    <n v="0"/>
    <s v="Gulbis, Katrin"/>
    <s v="Gulbis Katrin"/>
    <x v="1"/>
    <s v="WA"/>
    <s v="Product RJVNM"/>
    <x v="1"/>
    <x v="370"/>
    <d v="2007-12-15T00:00:00"/>
    <x v="3"/>
    <s v="Ship to 76-B"/>
    <x v="3"/>
    <s v="Supplier CIYNM"/>
    <s v="Singapore"/>
    <x v="1"/>
    <n v="28"/>
  </r>
  <r>
    <n v="10768"/>
    <n v="22"/>
    <n v="21"/>
    <n v="4"/>
    <n v="0"/>
    <s v="Arndt, Torsten"/>
    <s v="Arndt Torsten"/>
    <x v="2"/>
    <s v="WA"/>
    <s v="Product CPHFY"/>
    <x v="1"/>
    <x v="371"/>
    <d v="2007-12-15T00:00:00"/>
    <x v="1"/>
    <s v="Ship to 4-B"/>
    <x v="14"/>
    <s v="Supplier QQYEU"/>
    <s v="Sweden"/>
    <x v="2"/>
    <n v="84"/>
  </r>
  <r>
    <n v="10768"/>
    <n v="31"/>
    <n v="12.5"/>
    <n v="50"/>
    <n v="0"/>
    <s v="Arndt, Torsten"/>
    <s v="Arndt Torsten"/>
    <x v="2"/>
    <s v="WA"/>
    <s v="Product XWOXC"/>
    <x v="0"/>
    <x v="371"/>
    <d v="2007-12-15T00:00:00"/>
    <x v="1"/>
    <s v="Ship to 4-B"/>
    <x v="14"/>
    <s v="Supplier KEREV"/>
    <s v="Italy"/>
    <x v="2"/>
    <n v="625"/>
  </r>
  <r>
    <n v="10768"/>
    <n v="60"/>
    <n v="34"/>
    <n v="15"/>
    <n v="0"/>
    <s v="Arndt, Torsten"/>
    <s v="Arndt Torsten"/>
    <x v="2"/>
    <s v="WA"/>
    <s v="Product WHBYK"/>
    <x v="0"/>
    <x v="371"/>
    <d v="2007-12-15T00:00:00"/>
    <x v="1"/>
    <s v="Ship to 4-B"/>
    <x v="14"/>
    <s v="Supplier OAVQT"/>
    <s v="France"/>
    <x v="2"/>
    <n v="510"/>
  </r>
  <r>
    <n v="10768"/>
    <n v="71"/>
    <n v="21.5"/>
    <n v="12"/>
    <n v="0"/>
    <s v="Arndt, Torsten"/>
    <s v="Arndt Torsten"/>
    <x v="2"/>
    <s v="WA"/>
    <s v="Product MYMOI"/>
    <x v="0"/>
    <x v="371"/>
    <d v="2007-12-15T00:00:00"/>
    <x v="1"/>
    <s v="Ship to 4-B"/>
    <x v="14"/>
    <s v="Supplier NZLIF"/>
    <s v="Norway"/>
    <x v="2"/>
    <n v="258"/>
  </r>
  <r>
    <n v="10769"/>
    <n v="41"/>
    <n v="9.65"/>
    <n v="30"/>
    <n v="0.05"/>
    <s v="Fonteneau, Karl"/>
    <s v="Fonteneau Karl"/>
    <x v="2"/>
    <s v="WA"/>
    <s v="Product TTEEX"/>
    <x v="3"/>
    <x v="371"/>
    <d v="2007-12-12T00:00:00"/>
    <x v="2"/>
    <s v="Ship to 83-C"/>
    <x v="18"/>
    <s v="Supplier JDNUG"/>
    <s v="USA"/>
    <x v="1"/>
    <n v="275.02499999999998"/>
  </r>
  <r>
    <n v="10769"/>
    <n v="52"/>
    <n v="7"/>
    <n v="15"/>
    <n v="0.05"/>
    <s v="Fonteneau, Karl"/>
    <s v="Fonteneau Karl"/>
    <x v="2"/>
    <s v="WA"/>
    <s v="Product QSRXF"/>
    <x v="1"/>
    <x v="371"/>
    <d v="2007-12-12T00:00:00"/>
    <x v="2"/>
    <s v="Ship to 83-C"/>
    <x v="18"/>
    <s v="Supplier JNNES"/>
    <s v="Australia"/>
    <x v="1"/>
    <n v="99.75"/>
  </r>
  <r>
    <n v="10769"/>
    <n v="61"/>
    <n v="28.5"/>
    <n v="20"/>
    <n v="0"/>
    <s v="Fonteneau, Karl"/>
    <s v="Fonteneau Karl"/>
    <x v="2"/>
    <s v="WA"/>
    <s v="Product XYZPE"/>
    <x v="4"/>
    <x v="371"/>
    <d v="2007-12-12T00:00:00"/>
    <x v="2"/>
    <s v="Ship to 83-C"/>
    <x v="18"/>
    <s v="Supplier OGLRK"/>
    <s v="Canada"/>
    <x v="1"/>
    <n v="570"/>
  </r>
  <r>
    <n v="10769"/>
    <n v="62"/>
    <n v="49.3"/>
    <n v="15"/>
    <n v="0"/>
    <s v="Fonteneau, Karl"/>
    <s v="Fonteneau Karl"/>
    <x v="2"/>
    <s v="WA"/>
    <s v="Product WUXYK"/>
    <x v="5"/>
    <x v="371"/>
    <d v="2007-12-12T00:00:00"/>
    <x v="2"/>
    <s v="Ship to 83-C"/>
    <x v="18"/>
    <s v="Supplier OGLRK"/>
    <s v="Canada"/>
    <x v="1"/>
    <n v="739.5"/>
  </r>
  <r>
    <n v="10770"/>
    <n v="11"/>
    <n v="21"/>
    <n v="15"/>
    <n v="0.25"/>
    <s v="Cohen, Shy"/>
    <s v="Cohen Shy"/>
    <x v="6"/>
    <s v="WA"/>
    <s v="Product QMVUN"/>
    <x v="0"/>
    <x v="372"/>
    <d v="2007-12-17T00:00:00"/>
    <x v="3"/>
    <s v="Destination JPAIY"/>
    <x v="1"/>
    <s v="Supplier EQPNC"/>
    <s v="Spain"/>
    <x v="1"/>
    <n v="236.25"/>
  </r>
  <r>
    <n v="10771"/>
    <n v="71"/>
    <n v="21.5"/>
    <n v="16"/>
    <n v="0"/>
    <s v="Kane, John"/>
    <s v="Kane John"/>
    <x v="4"/>
    <n v="0"/>
    <s v="Product MYMOI"/>
    <x v="0"/>
    <x v="373"/>
    <d v="2008-01-02T00:00:00"/>
    <x v="1"/>
    <s v="Destination CUVPF"/>
    <x v="6"/>
    <s v="Supplier NZLIF"/>
    <s v="Norway"/>
    <x v="1"/>
    <n v="344"/>
  </r>
  <r>
    <n v="10772"/>
    <n v="29"/>
    <n v="123.79"/>
    <n v="18"/>
    <n v="0"/>
    <s v="Louverdis, George"/>
    <s v="Louverdis George"/>
    <x v="2"/>
    <s v="WA"/>
    <s v="Product VJXYN"/>
    <x v="7"/>
    <x v="373"/>
    <d v="2007-12-19T00:00:00"/>
    <x v="1"/>
    <s v="Ship to 44-B"/>
    <x v="8"/>
    <s v="Supplier SVIYA"/>
    <s v="Germany"/>
    <x v="1"/>
    <n v="2228.2200000000003"/>
  </r>
  <r>
    <n v="10772"/>
    <n v="59"/>
    <n v="55"/>
    <n v="25"/>
    <n v="0"/>
    <s v="Louverdis, George"/>
    <s v="Louverdis George"/>
    <x v="2"/>
    <s v="WA"/>
    <s v="Product UKXRI"/>
    <x v="0"/>
    <x v="373"/>
    <d v="2007-12-19T00:00:00"/>
    <x v="1"/>
    <s v="Ship to 44-B"/>
    <x v="8"/>
    <s v="Supplier OAVQT"/>
    <s v="France"/>
    <x v="1"/>
    <n v="1375"/>
  </r>
  <r>
    <n v="10773"/>
    <n v="17"/>
    <n v="39"/>
    <n v="33"/>
    <n v="0"/>
    <s v="Kane, John"/>
    <s v="Kane John"/>
    <x v="5"/>
    <s v="WA"/>
    <s v="Product BLCAX"/>
    <x v="7"/>
    <x v="374"/>
    <d v="2007-12-16T00:00:00"/>
    <x v="3"/>
    <s v="Destination FFXKT"/>
    <x v="6"/>
    <s v="Supplier GQRCV"/>
    <s v="Australia"/>
    <x v="1"/>
    <n v="1287"/>
  </r>
  <r>
    <n v="10773"/>
    <n v="31"/>
    <n v="12.5"/>
    <n v="70"/>
    <n v="0.2"/>
    <s v="Kane, John"/>
    <s v="Kane John"/>
    <x v="5"/>
    <s v="WA"/>
    <s v="Product XWOXC"/>
    <x v="0"/>
    <x v="374"/>
    <d v="2007-12-16T00:00:00"/>
    <x v="3"/>
    <s v="Destination FFXKT"/>
    <x v="6"/>
    <s v="Supplier KEREV"/>
    <s v="Italy"/>
    <x v="1"/>
    <n v="700"/>
  </r>
  <r>
    <n v="10773"/>
    <n v="75"/>
    <n v="7.75"/>
    <n v="7"/>
    <n v="0.2"/>
    <s v="Kane, John"/>
    <s v="Kane John"/>
    <x v="5"/>
    <s v="WA"/>
    <s v="Product BWRLG"/>
    <x v="6"/>
    <x v="374"/>
    <d v="2007-12-16T00:00:00"/>
    <x v="3"/>
    <s v="Destination FFXKT"/>
    <x v="6"/>
    <s v="Supplier SVIYA"/>
    <s v="Germany"/>
    <x v="1"/>
    <n v="43.400000000000006"/>
  </r>
  <r>
    <n v="10774"/>
    <n v="31"/>
    <n v="12.5"/>
    <n v="2"/>
    <n v="0.25"/>
    <s v="San Juan, Patricia"/>
    <s v="San Juan Patricia"/>
    <x v="1"/>
    <s v="WA"/>
    <s v="Product XWOXC"/>
    <x v="0"/>
    <x v="374"/>
    <d v="2007-12-12T00:00:00"/>
    <x v="2"/>
    <s v="Destination KBSBN"/>
    <x v="10"/>
    <s v="Supplier KEREV"/>
    <s v="Italy"/>
    <x v="1"/>
    <n v="18.75"/>
  </r>
  <r>
    <n v="10774"/>
    <n v="66"/>
    <n v="17"/>
    <n v="50"/>
    <n v="0"/>
    <s v="San Juan, Patricia"/>
    <s v="San Juan Patricia"/>
    <x v="1"/>
    <s v="WA"/>
    <s v="Product LQMGN"/>
    <x v="4"/>
    <x v="374"/>
    <d v="2007-12-12T00:00:00"/>
    <x v="2"/>
    <s v="Destination KBSBN"/>
    <x v="10"/>
    <s v="Supplier VHQZD"/>
    <s v="USA"/>
    <x v="1"/>
    <n v="850"/>
  </r>
  <r>
    <n v="10775"/>
    <n v="10"/>
    <n v="31"/>
    <n v="6"/>
    <n v="0"/>
    <s v="Young, Robin"/>
    <s v="Young Robin"/>
    <x v="9"/>
    <n v="0"/>
    <s v="Product YHXGE"/>
    <x v="3"/>
    <x v="375"/>
    <d v="2007-12-26T00:00:00"/>
    <x v="2"/>
    <s v="Ship to 78-A"/>
    <x v="9"/>
    <s v="Supplier QOVFD"/>
    <s v="Japan"/>
    <x v="1"/>
    <n v="186"/>
  </r>
  <r>
    <n v="10775"/>
    <n v="67"/>
    <n v="14"/>
    <n v="3"/>
    <n v="0"/>
    <s v="Young, Robin"/>
    <s v="Young Robin"/>
    <x v="9"/>
    <n v="0"/>
    <s v="Product XLXQF"/>
    <x v="6"/>
    <x v="375"/>
    <d v="2007-12-26T00:00:00"/>
    <x v="2"/>
    <s v="Ship to 78-A"/>
    <x v="9"/>
    <s v="Supplier UHZRG"/>
    <s v="USA"/>
    <x v="1"/>
    <n v="42"/>
  </r>
  <r>
    <n v="10776"/>
    <n v="31"/>
    <n v="12.5"/>
    <n v="16"/>
    <n v="0.05"/>
    <s v="Kane, John"/>
    <s v="Kane John"/>
    <x v="5"/>
    <s v="WA"/>
    <s v="Product XWOXC"/>
    <x v="0"/>
    <x v="376"/>
    <d v="2007-12-18T00:00:00"/>
    <x v="3"/>
    <s v="Destination RVDMF"/>
    <x v="6"/>
    <s v="Supplier KEREV"/>
    <s v="Italy"/>
    <x v="2"/>
    <n v="190"/>
  </r>
  <r>
    <n v="10776"/>
    <n v="42"/>
    <n v="14"/>
    <n v="12"/>
    <n v="0.05"/>
    <s v="Kane, John"/>
    <s v="Kane John"/>
    <x v="5"/>
    <s v="WA"/>
    <s v="Product RJVNM"/>
    <x v="1"/>
    <x v="376"/>
    <d v="2007-12-18T00:00:00"/>
    <x v="3"/>
    <s v="Destination RVDMF"/>
    <x v="6"/>
    <s v="Supplier CIYNM"/>
    <s v="Singapore"/>
    <x v="2"/>
    <n v="159.6"/>
  </r>
  <r>
    <n v="10776"/>
    <n v="45"/>
    <n v="9.5"/>
    <n v="27"/>
    <n v="0.05"/>
    <s v="Kane, John"/>
    <s v="Kane John"/>
    <x v="5"/>
    <s v="WA"/>
    <s v="Product AQOKR"/>
    <x v="3"/>
    <x v="376"/>
    <d v="2007-12-18T00:00:00"/>
    <x v="3"/>
    <s v="Destination RVDMF"/>
    <x v="6"/>
    <s v="Supplier XOXZA"/>
    <s v="Denmark"/>
    <x v="2"/>
    <n v="243.67499999999998"/>
  </r>
  <r>
    <n v="10776"/>
    <n v="51"/>
    <n v="53"/>
    <n v="120"/>
    <n v="0.05"/>
    <s v="Kane, John"/>
    <s v="Kane John"/>
    <x v="5"/>
    <s v="WA"/>
    <s v="Product APITJ"/>
    <x v="2"/>
    <x v="376"/>
    <d v="2007-12-18T00:00:00"/>
    <x v="3"/>
    <s v="Destination RVDMF"/>
    <x v="6"/>
    <s v="Supplier JNNES"/>
    <s v="Australia"/>
    <x v="2"/>
    <n v="6042"/>
  </r>
  <r>
    <n v="10777"/>
    <n v="42"/>
    <n v="14"/>
    <n v="20"/>
    <n v="0.2"/>
    <s v="Cheng, Yao-Qiang"/>
    <s v="Cheng Yao-Qiang"/>
    <x v="9"/>
    <n v="0"/>
    <s v="Product RJVNM"/>
    <x v="1"/>
    <x v="376"/>
    <d v="2008-01-21T00:00:00"/>
    <x v="1"/>
    <s v="Destination GWPFK"/>
    <x v="1"/>
    <s v="Supplier CIYNM"/>
    <s v="Singapore"/>
    <x v="1"/>
    <n v="224"/>
  </r>
  <r>
    <n v="10778"/>
    <n v="41"/>
    <n v="9.65"/>
    <n v="10"/>
    <n v="0"/>
    <s v="Higginbotham, Tom"/>
    <s v="Higginbotham Tom"/>
    <x v="2"/>
    <s v="WA"/>
    <s v="Product TTEEX"/>
    <x v="3"/>
    <x v="377"/>
    <d v="2007-12-24T00:00:00"/>
    <x v="2"/>
    <s v="Ship to 5-A"/>
    <x v="10"/>
    <s v="Supplier JDNUG"/>
    <s v="USA"/>
    <x v="1"/>
    <n v="96.5"/>
  </r>
  <r>
    <n v="10779"/>
    <n v="16"/>
    <n v="17.45"/>
    <n v="20"/>
    <n v="0"/>
    <s v="Dupont-Roc, Patrice"/>
    <s v="Dupont-Roc Patrice"/>
    <x v="2"/>
    <s v="WA"/>
    <s v="Product PAFRH"/>
    <x v="5"/>
    <x v="377"/>
    <d v="2008-01-14T00:00:00"/>
    <x v="1"/>
    <s v="Ship to 52-A"/>
    <x v="8"/>
    <s v="Supplier GQRCV"/>
    <s v="Australia"/>
    <x v="1"/>
    <n v="349"/>
  </r>
  <r>
    <n v="10779"/>
    <n v="62"/>
    <n v="49.3"/>
    <n v="20"/>
    <n v="0"/>
    <s v="Dupont-Roc, Patrice"/>
    <s v="Dupont-Roc Patrice"/>
    <x v="2"/>
    <s v="WA"/>
    <s v="Product WUXYK"/>
    <x v="5"/>
    <x v="377"/>
    <d v="2008-01-14T00:00:00"/>
    <x v="1"/>
    <s v="Ship to 52-A"/>
    <x v="8"/>
    <s v="Supplier OGLRK"/>
    <s v="Canada"/>
    <x v="1"/>
    <n v="986"/>
  </r>
  <r>
    <n v="10780"/>
    <n v="70"/>
    <n v="15"/>
    <n v="35"/>
    <n v="0"/>
    <s v="Dressler, Marlies"/>
    <s v="Dressler Marlies"/>
    <x v="8"/>
    <s v="WA"/>
    <s v="Product TOONT"/>
    <x v="6"/>
    <x v="377"/>
    <d v="2007-12-25T00:00:00"/>
    <x v="2"/>
    <s v="Ship to 46-C"/>
    <x v="5"/>
    <s v="Supplier GQRCV"/>
    <s v="Australia"/>
    <x v="1"/>
    <n v="525"/>
  </r>
  <r>
    <n v="10780"/>
    <n v="77"/>
    <n v="13"/>
    <n v="15"/>
    <n v="0"/>
    <s v="Dressler, Marlies"/>
    <s v="Dressler Marlies"/>
    <x v="8"/>
    <s v="WA"/>
    <s v="Product LUNZZ"/>
    <x v="4"/>
    <x v="377"/>
    <d v="2007-12-25T00:00:00"/>
    <x v="2"/>
    <s v="Ship to 46-C"/>
    <x v="5"/>
    <s v="Supplier SVIYA"/>
    <s v="Germany"/>
    <x v="1"/>
    <n v="195"/>
  </r>
  <r>
    <n v="10781"/>
    <n v="54"/>
    <n v="7.45"/>
    <n v="3"/>
    <n v="0.2"/>
    <s v="Ludwig, Michael"/>
    <s v="Ludwig Michael"/>
    <x v="8"/>
    <s v="WA"/>
    <s v="Product QAQRL"/>
    <x v="7"/>
    <x v="378"/>
    <d v="2007-12-19T00:00:00"/>
    <x v="3"/>
    <s v="Ship to 87-A"/>
    <x v="11"/>
    <s v="Supplier ERVYZ"/>
    <s v="Canada"/>
    <x v="1"/>
    <n v="17.880000000000003"/>
  </r>
  <r>
    <n v="10781"/>
    <n v="56"/>
    <n v="38"/>
    <n v="20"/>
    <n v="0.2"/>
    <s v="Ludwig, Michael"/>
    <s v="Ludwig Michael"/>
    <x v="8"/>
    <s v="WA"/>
    <s v="Product VKCMF"/>
    <x v="1"/>
    <x v="378"/>
    <d v="2007-12-19T00:00:00"/>
    <x v="3"/>
    <s v="Ship to 87-A"/>
    <x v="11"/>
    <s v="Supplier ZWZDM"/>
    <s v="Italy"/>
    <x v="1"/>
    <n v="608"/>
  </r>
  <r>
    <n v="10781"/>
    <n v="74"/>
    <n v="10"/>
    <n v="35"/>
    <n v="0"/>
    <s v="Ludwig, Michael"/>
    <s v="Ludwig Michael"/>
    <x v="8"/>
    <s v="WA"/>
    <s v="Product BKAZJ"/>
    <x v="2"/>
    <x v="378"/>
    <d v="2007-12-19T00:00:00"/>
    <x v="3"/>
    <s v="Ship to 87-A"/>
    <x v="11"/>
    <s v="Supplier QOVFD"/>
    <s v="Japan"/>
    <x v="1"/>
    <n v="350"/>
  </r>
  <r>
    <n v="10782"/>
    <n v="31"/>
    <n v="12.5"/>
    <n v="1"/>
    <n v="0"/>
    <s v="Ray, Mike"/>
    <s v="Ray Mike"/>
    <x v="4"/>
    <n v="0"/>
    <s v="Product XWOXC"/>
    <x v="0"/>
    <x v="378"/>
    <d v="2007-12-22T00:00:00"/>
    <x v="3"/>
    <s v="Destination CJDJB"/>
    <x v="21"/>
    <s v="Supplier KEREV"/>
    <s v="Italy"/>
    <x v="1"/>
    <n v="12.5"/>
  </r>
  <r>
    <n v="10783"/>
    <n v="31"/>
    <n v="12.5"/>
    <n v="10"/>
    <n v="0"/>
    <s v="Cohen, Shy"/>
    <s v="Cohen Shy"/>
    <x v="1"/>
    <s v="WA"/>
    <s v="Product XWOXC"/>
    <x v="0"/>
    <x v="379"/>
    <d v="2007-12-19T00:00:00"/>
    <x v="1"/>
    <s v="Destination DPCVR"/>
    <x v="1"/>
    <s v="Supplier KEREV"/>
    <s v="Italy"/>
    <x v="2"/>
    <n v="125"/>
  </r>
  <r>
    <n v="10783"/>
    <n v="38"/>
    <n v="263.5"/>
    <n v="5"/>
    <n v="0"/>
    <s v="Cohen, Shy"/>
    <s v="Cohen Shy"/>
    <x v="1"/>
    <s v="WA"/>
    <s v="Product QDOMO"/>
    <x v="6"/>
    <x v="379"/>
    <d v="2007-12-19T00:00:00"/>
    <x v="1"/>
    <s v="Destination DPCVR"/>
    <x v="1"/>
    <s v="Supplier LVJUA"/>
    <s v="France"/>
    <x v="2"/>
    <n v="1317.5"/>
  </r>
  <r>
    <n v="10784"/>
    <n v="36"/>
    <n v="19"/>
    <n v="30"/>
    <n v="0"/>
    <s v="Duerr, Bernard"/>
    <s v="Duerr Bernard"/>
    <x v="1"/>
    <s v="WA"/>
    <s v="Product GMKIJ"/>
    <x v="3"/>
    <x v="379"/>
    <d v="2007-12-22T00:00:00"/>
    <x v="3"/>
    <s v="Ship to 49-A"/>
    <x v="12"/>
    <s v="Supplier QZGUF"/>
    <s v="Sweden"/>
    <x v="1"/>
    <n v="570"/>
  </r>
  <r>
    <n v="10784"/>
    <n v="39"/>
    <n v="18"/>
    <n v="2"/>
    <n v="0.15"/>
    <s v="Duerr, Bernard"/>
    <s v="Duerr Bernard"/>
    <x v="1"/>
    <s v="WA"/>
    <s v="Product LSOFL"/>
    <x v="6"/>
    <x v="379"/>
    <d v="2007-12-22T00:00:00"/>
    <x v="3"/>
    <s v="Ship to 49-A"/>
    <x v="12"/>
    <s v="Supplier LVJUA"/>
    <s v="France"/>
    <x v="1"/>
    <n v="30.599999999999998"/>
  </r>
  <r>
    <n v="10784"/>
    <n v="72"/>
    <n v="34.799999999999997"/>
    <n v="30"/>
    <n v="0.15"/>
    <s v="Duerr, Bernard"/>
    <s v="Duerr Bernard"/>
    <x v="1"/>
    <s v="WA"/>
    <s v="Product GEEOO"/>
    <x v="0"/>
    <x v="379"/>
    <d v="2007-12-22T00:00:00"/>
    <x v="3"/>
    <s v="Ship to 49-A"/>
    <x v="12"/>
    <s v="Supplier KEREV"/>
    <s v="Italy"/>
    <x v="1"/>
    <n v="887.4"/>
  </r>
  <r>
    <n v="10785"/>
    <n v="10"/>
    <n v="31"/>
    <n v="10"/>
    <n v="0"/>
    <s v="Sigurdarson, Hallur"/>
    <s v="Sigurdarson Hallur"/>
    <x v="5"/>
    <s v="WA"/>
    <s v="Product YHXGE"/>
    <x v="3"/>
    <x v="379"/>
    <d v="2007-12-24T00:00:00"/>
    <x v="3"/>
    <s v="Destination FQJFJ"/>
    <x v="5"/>
    <s v="Supplier QOVFD"/>
    <s v="Japan"/>
    <x v="1"/>
    <n v="310"/>
  </r>
  <r>
    <n v="10785"/>
    <n v="75"/>
    <n v="7.75"/>
    <n v="10"/>
    <n v="0"/>
    <s v="Sigurdarson, Hallur"/>
    <s v="Sigurdarson Hallur"/>
    <x v="5"/>
    <s v="WA"/>
    <s v="Product BWRLG"/>
    <x v="6"/>
    <x v="379"/>
    <d v="2007-12-24T00:00:00"/>
    <x v="3"/>
    <s v="Destination FQJFJ"/>
    <x v="5"/>
    <s v="Supplier SVIYA"/>
    <s v="Germany"/>
    <x v="1"/>
    <n v="77.5"/>
  </r>
  <r>
    <n v="10786"/>
    <n v="8"/>
    <n v="40"/>
    <n v="30"/>
    <n v="0.2"/>
    <s v="Misiec, Anna"/>
    <s v="Misiec Anna"/>
    <x v="6"/>
    <s v="WA"/>
    <s v="Product WVJFP"/>
    <x v="4"/>
    <x v="380"/>
    <d v="2007-12-23T00:00:00"/>
    <x v="2"/>
    <s v="Ship to 62-B"/>
    <x v="1"/>
    <s v="Supplier STUAZ"/>
    <s v="USA"/>
    <x v="2"/>
    <n v="960"/>
  </r>
  <r>
    <n v="10786"/>
    <n v="30"/>
    <n v="25.89"/>
    <n v="15"/>
    <n v="0.2"/>
    <s v="Misiec, Anna"/>
    <s v="Misiec Anna"/>
    <x v="6"/>
    <s v="WA"/>
    <s v="Product LYERX"/>
    <x v="3"/>
    <x v="380"/>
    <d v="2007-12-23T00:00:00"/>
    <x v="2"/>
    <s v="Ship to 62-B"/>
    <x v="1"/>
    <s v="Supplier TEGSC"/>
    <s v="Germany"/>
    <x v="2"/>
    <n v="310.68000000000006"/>
  </r>
  <r>
    <n v="10786"/>
    <n v="75"/>
    <n v="7.75"/>
    <n v="42"/>
    <n v="0.2"/>
    <s v="Misiec, Anna"/>
    <s v="Misiec Anna"/>
    <x v="6"/>
    <s v="WA"/>
    <s v="Product BWRLG"/>
    <x v="6"/>
    <x v="380"/>
    <d v="2007-12-23T00:00:00"/>
    <x v="2"/>
    <s v="Ship to 62-B"/>
    <x v="1"/>
    <s v="Supplier SVIYA"/>
    <s v="Germany"/>
    <x v="2"/>
    <n v="260.40000000000003"/>
  </r>
  <r>
    <n v="10787"/>
    <n v="2"/>
    <n v="19"/>
    <n v="15"/>
    <n v="0.05"/>
    <s v="Litton, Tim"/>
    <s v="Litton Tim"/>
    <x v="8"/>
    <s v="WA"/>
    <s v="Product RECZE"/>
    <x v="6"/>
    <x v="380"/>
    <d v="2007-12-26T00:00:00"/>
    <x v="2"/>
    <s v="Destination DWJIO"/>
    <x v="2"/>
    <s v="Supplier SWRXU"/>
    <s v="UK"/>
    <x v="2"/>
    <n v="270.75"/>
  </r>
  <r>
    <n v="10787"/>
    <n v="29"/>
    <n v="123.79"/>
    <n v="20"/>
    <n v="0.05"/>
    <s v="Litton, Tim"/>
    <s v="Litton Tim"/>
    <x v="8"/>
    <s v="WA"/>
    <s v="Product VJXYN"/>
    <x v="7"/>
    <x v="380"/>
    <d v="2007-12-26T00:00:00"/>
    <x v="2"/>
    <s v="Destination DWJIO"/>
    <x v="2"/>
    <s v="Supplier SVIYA"/>
    <s v="Germany"/>
    <x v="2"/>
    <n v="2352.0100000000002"/>
  </r>
  <r>
    <n v="10788"/>
    <n v="19"/>
    <n v="9.1999999999999993"/>
    <n v="50"/>
    <n v="0.05"/>
    <s v="Veronesi, Giorgio"/>
    <s v="Veronesi Giorgio"/>
    <x v="5"/>
    <s v="WA"/>
    <s v="Product XKXDO"/>
    <x v="5"/>
    <x v="381"/>
    <d v="2008-01-19T00:00:00"/>
    <x v="1"/>
    <s v="Ship to 63-C"/>
    <x v="8"/>
    <s v="Supplier BWGYE"/>
    <s v="UK"/>
    <x v="1"/>
    <n v="436.99999999999994"/>
  </r>
  <r>
    <n v="10788"/>
    <n v="75"/>
    <n v="7.75"/>
    <n v="40"/>
    <n v="0.05"/>
    <s v="Veronesi, Giorgio"/>
    <s v="Veronesi Giorgio"/>
    <x v="5"/>
    <s v="WA"/>
    <s v="Product BWRLG"/>
    <x v="6"/>
    <x v="381"/>
    <d v="2008-01-19T00:00:00"/>
    <x v="1"/>
    <s v="Ship to 63-C"/>
    <x v="8"/>
    <s v="Supplier SVIYA"/>
    <s v="Germany"/>
    <x v="1"/>
    <n v="294.5"/>
  </r>
  <r>
    <n v="10789"/>
    <n v="18"/>
    <n v="62.5"/>
    <n v="30"/>
    <n v="0"/>
    <s v="Khanna, Karan"/>
    <s v="Khanna Karan"/>
    <x v="5"/>
    <s v="WA"/>
    <s v="Product CKEDC"/>
    <x v="3"/>
    <x v="381"/>
    <d v="2007-12-31T00:00:00"/>
    <x v="1"/>
    <s v="Destination PXQRR"/>
    <x v="2"/>
    <s v="Supplier GQRCV"/>
    <s v="Australia"/>
    <x v="2"/>
    <n v="1875"/>
  </r>
  <r>
    <n v="10789"/>
    <n v="35"/>
    <n v="18"/>
    <n v="15"/>
    <n v="0"/>
    <s v="Khanna, Karan"/>
    <s v="Khanna Karan"/>
    <x v="5"/>
    <s v="WA"/>
    <s v="Product NEVTJ"/>
    <x v="6"/>
    <x v="381"/>
    <d v="2007-12-31T00:00:00"/>
    <x v="1"/>
    <s v="Destination PXQRR"/>
    <x v="2"/>
    <s v="Supplier UHZRG"/>
    <s v="USA"/>
    <x v="2"/>
    <n v="270"/>
  </r>
  <r>
    <n v="10789"/>
    <n v="63"/>
    <n v="43.9"/>
    <n v="30"/>
    <n v="0"/>
    <s v="Khanna, Karan"/>
    <s v="Khanna Karan"/>
    <x v="5"/>
    <s v="WA"/>
    <s v="Product ICKNK"/>
    <x v="4"/>
    <x v="381"/>
    <d v="2007-12-31T00:00:00"/>
    <x v="1"/>
    <s v="Destination PXQRR"/>
    <x v="2"/>
    <s v="Supplier GQRCV"/>
    <s v="Australia"/>
    <x v="2"/>
    <n v="1317"/>
  </r>
  <r>
    <n v="10789"/>
    <n v="68"/>
    <n v="12.5"/>
    <n v="18"/>
    <n v="0"/>
    <s v="Khanna, Karan"/>
    <s v="Khanna Karan"/>
    <x v="5"/>
    <s v="WA"/>
    <s v="Product TBTBL"/>
    <x v="5"/>
    <x v="381"/>
    <d v="2007-12-31T00:00:00"/>
    <x v="1"/>
    <s v="Destination PXQRR"/>
    <x v="2"/>
    <s v="Supplier BWGYE"/>
    <s v="UK"/>
    <x v="2"/>
    <n v="225"/>
  </r>
  <r>
    <n v="10790"/>
    <n v="7"/>
    <n v="30"/>
    <n v="3"/>
    <n v="0.15"/>
    <s v="Cheng, Yao-Qiang"/>
    <s v="Cheng Yao-Qiang"/>
    <x v="7"/>
    <n v="0"/>
    <s v="Product HMLNI"/>
    <x v="2"/>
    <x v="381"/>
    <d v="2007-12-26T00:00:00"/>
    <x v="2"/>
    <s v="Destination XOIGC"/>
    <x v="1"/>
    <s v="Supplier STUAZ"/>
    <s v="USA"/>
    <x v="1"/>
    <n v="76.5"/>
  </r>
  <r>
    <n v="10790"/>
    <n v="56"/>
    <n v="38"/>
    <n v="20"/>
    <n v="0.15"/>
    <s v="Cheng, Yao-Qiang"/>
    <s v="Cheng Yao-Qiang"/>
    <x v="7"/>
    <n v="0"/>
    <s v="Product VKCMF"/>
    <x v="1"/>
    <x v="381"/>
    <d v="2007-12-26T00:00:00"/>
    <x v="2"/>
    <s v="Destination XOIGC"/>
    <x v="1"/>
    <s v="Supplier ZWZDM"/>
    <s v="Italy"/>
    <x v="1"/>
    <n v="646"/>
  </r>
  <r>
    <n v="10791"/>
    <n v="29"/>
    <n v="123.79"/>
    <n v="14"/>
    <n v="0.05"/>
    <s v="Carlson, Jason"/>
    <s v="Carlson Jason"/>
    <x v="7"/>
    <n v="0"/>
    <s v="Product VJXYN"/>
    <x v="7"/>
    <x v="382"/>
    <d v="2008-01-01T00:00:00"/>
    <x v="1"/>
    <s v="Destination QOCBL"/>
    <x v="8"/>
    <s v="Supplier SVIYA"/>
    <s v="Germany"/>
    <x v="1"/>
    <n v="1646.4070000000002"/>
  </r>
  <r>
    <n v="10791"/>
    <n v="41"/>
    <n v="9.65"/>
    <n v="20"/>
    <n v="0.05"/>
    <s v="Carlson, Jason"/>
    <s v="Carlson Jason"/>
    <x v="7"/>
    <n v="0"/>
    <s v="Product TTEEX"/>
    <x v="3"/>
    <x v="382"/>
    <d v="2008-01-01T00:00:00"/>
    <x v="1"/>
    <s v="Destination QOCBL"/>
    <x v="8"/>
    <s v="Supplier JDNUG"/>
    <s v="USA"/>
    <x v="1"/>
    <n v="183.35"/>
  </r>
  <r>
    <n v="10792"/>
    <n v="2"/>
    <n v="19"/>
    <n v="10"/>
    <n v="0"/>
    <s v="Conn, Steve"/>
    <s v="Conn Steve"/>
    <x v="5"/>
    <s v="WA"/>
    <s v="Product RECZE"/>
    <x v="6"/>
    <x v="382"/>
    <d v="2007-12-31T00:00:00"/>
    <x v="3"/>
    <s v="Ship to 91-C"/>
    <x v="19"/>
    <s v="Supplier SWRXU"/>
    <s v="UK"/>
    <x v="1"/>
    <n v="190"/>
  </r>
  <r>
    <n v="10792"/>
    <n v="54"/>
    <n v="7.45"/>
    <n v="3"/>
    <n v="0"/>
    <s v="Conn, Steve"/>
    <s v="Conn Steve"/>
    <x v="5"/>
    <s v="WA"/>
    <s v="Product QAQRL"/>
    <x v="7"/>
    <x v="382"/>
    <d v="2007-12-31T00:00:00"/>
    <x v="3"/>
    <s v="Ship to 91-C"/>
    <x v="19"/>
    <s v="Supplier ERVYZ"/>
    <s v="Canada"/>
    <x v="1"/>
    <n v="22.35"/>
  </r>
  <r>
    <n v="10792"/>
    <n v="68"/>
    <n v="12.5"/>
    <n v="15"/>
    <n v="0"/>
    <s v="Conn, Steve"/>
    <s v="Conn Steve"/>
    <x v="5"/>
    <s v="WA"/>
    <s v="Product TBTBL"/>
    <x v="5"/>
    <x v="382"/>
    <d v="2007-12-31T00:00:00"/>
    <x v="3"/>
    <s v="Ship to 91-C"/>
    <x v="19"/>
    <s v="Supplier BWGYE"/>
    <s v="UK"/>
    <x v="1"/>
    <n v="187.5"/>
  </r>
  <r>
    <n v="10793"/>
    <n v="41"/>
    <n v="9.65"/>
    <n v="14"/>
    <n v="0"/>
    <s v="Arndt, Torsten"/>
    <s v="Arndt Torsten"/>
    <x v="2"/>
    <s v="WA"/>
    <s v="Product TTEEX"/>
    <x v="3"/>
    <x v="383"/>
    <d v="2008-01-08T00:00:00"/>
    <x v="3"/>
    <s v="Ship to 4-B"/>
    <x v="14"/>
    <s v="Supplier JDNUG"/>
    <s v="USA"/>
    <x v="1"/>
    <n v="135.1"/>
  </r>
  <r>
    <n v="10793"/>
    <n v="52"/>
    <n v="7"/>
    <n v="8"/>
    <n v="0"/>
    <s v="Arndt, Torsten"/>
    <s v="Arndt Torsten"/>
    <x v="2"/>
    <s v="WA"/>
    <s v="Product QSRXF"/>
    <x v="1"/>
    <x v="383"/>
    <d v="2008-01-08T00:00:00"/>
    <x v="3"/>
    <s v="Ship to 4-B"/>
    <x v="14"/>
    <s v="Supplier JNNES"/>
    <s v="Australia"/>
    <x v="1"/>
    <n v="56"/>
  </r>
  <r>
    <n v="10794"/>
    <n v="14"/>
    <n v="23.25"/>
    <n v="15"/>
    <n v="0.2"/>
    <s v="Florczyk, Krzysztof"/>
    <s v="Florczyk Krzysztof"/>
    <x v="7"/>
    <n v="0"/>
    <s v="Product PWCJB"/>
    <x v="2"/>
    <x v="383"/>
    <d v="2008-01-02T00:00:00"/>
    <x v="2"/>
    <s v="Ship to 61-C"/>
    <x v="1"/>
    <s v="Supplier QWUSF"/>
    <s v="Japan"/>
    <x v="1"/>
    <n v="279"/>
  </r>
  <r>
    <n v="10794"/>
    <n v="54"/>
    <n v="7.45"/>
    <n v="6"/>
    <n v="0.2"/>
    <s v="Florczyk, Krzysztof"/>
    <s v="Florczyk Krzysztof"/>
    <x v="7"/>
    <n v="0"/>
    <s v="Product QAQRL"/>
    <x v="7"/>
    <x v="383"/>
    <d v="2008-01-02T00:00:00"/>
    <x v="2"/>
    <s v="Ship to 61-C"/>
    <x v="1"/>
    <s v="Supplier ERVYZ"/>
    <s v="Canada"/>
    <x v="1"/>
    <n v="35.760000000000005"/>
  </r>
  <r>
    <n v="10795"/>
    <n v="16"/>
    <n v="17.45"/>
    <n v="65"/>
    <n v="0"/>
    <s v="Kane, John"/>
    <s v="Kane John"/>
    <x v="6"/>
    <s v="WA"/>
    <s v="Product PAFRH"/>
    <x v="5"/>
    <x v="383"/>
    <d v="2008-01-20T00:00:00"/>
    <x v="1"/>
    <s v="Destination FFXKT"/>
    <x v="6"/>
    <s v="Supplier GQRCV"/>
    <s v="Australia"/>
    <x v="2"/>
    <n v="1134.25"/>
  </r>
  <r>
    <n v="10795"/>
    <n v="17"/>
    <n v="39"/>
    <n v="35"/>
    <n v="0.25"/>
    <s v="Kane, John"/>
    <s v="Kane John"/>
    <x v="6"/>
    <s v="WA"/>
    <s v="Product BLCAX"/>
    <x v="7"/>
    <x v="383"/>
    <d v="2008-01-20T00:00:00"/>
    <x v="1"/>
    <s v="Destination FFXKT"/>
    <x v="6"/>
    <s v="Supplier GQRCV"/>
    <s v="Australia"/>
    <x v="2"/>
    <n v="1023.75"/>
  </r>
  <r>
    <n v="10796"/>
    <n v="26"/>
    <n v="31.23"/>
    <n v="21"/>
    <n v="0.2"/>
    <s v="Langohr, Kris"/>
    <s v="Langohr Kris"/>
    <x v="2"/>
    <s v="WA"/>
    <s v="Product HLGZA"/>
    <x v="5"/>
    <x v="384"/>
    <d v="2008-01-14T00:00:00"/>
    <x v="2"/>
    <s v="Destination UOUWK"/>
    <x v="5"/>
    <s v="Supplier ZPYVS"/>
    <s v="Germany"/>
    <x v="1"/>
    <n v="524.6640000000001"/>
  </r>
  <r>
    <n v="10796"/>
    <n v="44"/>
    <n v="19.45"/>
    <n v="10"/>
    <n v="0"/>
    <s v="Langohr, Kris"/>
    <s v="Langohr Kris"/>
    <x v="2"/>
    <s v="WA"/>
    <s v="Product VJIEO"/>
    <x v="4"/>
    <x v="384"/>
    <d v="2008-01-14T00:00:00"/>
    <x v="2"/>
    <s v="Destination UOUWK"/>
    <x v="5"/>
    <s v="Supplier CIYNM"/>
    <s v="Singapore"/>
    <x v="1"/>
    <n v="194.5"/>
  </r>
  <r>
    <n v="10796"/>
    <n v="64"/>
    <n v="33.25"/>
    <n v="35"/>
    <n v="0.2"/>
    <s v="Langohr, Kris"/>
    <s v="Langohr Kris"/>
    <x v="2"/>
    <s v="WA"/>
    <s v="Product HCQDE"/>
    <x v="1"/>
    <x v="384"/>
    <d v="2008-01-14T00:00:00"/>
    <x v="2"/>
    <s v="Destination UOUWK"/>
    <x v="5"/>
    <s v="Supplier SVIYA"/>
    <s v="Germany"/>
    <x v="1"/>
    <n v="931"/>
  </r>
  <r>
    <n v="10796"/>
    <n v="69"/>
    <n v="36"/>
    <n v="24"/>
    <n v="0.2"/>
    <s v="Langohr, Kris"/>
    <s v="Langohr Kris"/>
    <x v="2"/>
    <s v="WA"/>
    <s v="Product COAXA"/>
    <x v="0"/>
    <x v="384"/>
    <d v="2008-01-14T00:00:00"/>
    <x v="2"/>
    <s v="Destination UOUWK"/>
    <x v="5"/>
    <s v="Supplier NZLIF"/>
    <s v="Norway"/>
    <x v="1"/>
    <n v="691.2"/>
  </r>
  <r>
    <n v="10797"/>
    <n v="11"/>
    <n v="21"/>
    <n v="20"/>
    <n v="0"/>
    <s v="Jones, TiAnna"/>
    <s v="Jones TiAnna"/>
    <x v="9"/>
    <n v="0"/>
    <s v="Product QMVUN"/>
    <x v="0"/>
    <x v="384"/>
    <d v="2008-01-05T00:00:00"/>
    <x v="1"/>
    <s v="Destination AJTHX"/>
    <x v="8"/>
    <s v="Supplier EQPNC"/>
    <s v="Spain"/>
    <x v="1"/>
    <n v="420"/>
  </r>
  <r>
    <n v="10798"/>
    <n v="62"/>
    <n v="49.3"/>
    <n v="2"/>
    <n v="0"/>
    <s v="Lee, Frank"/>
    <s v="Lee Frank"/>
    <x v="8"/>
    <s v="WA"/>
    <s v="Product WUXYK"/>
    <x v="5"/>
    <x v="385"/>
    <d v="2008-01-05T00:00:00"/>
    <x v="2"/>
    <s v="Destination AXVHD"/>
    <x v="14"/>
    <s v="Supplier OGLRK"/>
    <s v="Canada"/>
    <x v="1"/>
    <n v="98.6"/>
  </r>
  <r>
    <n v="10798"/>
    <n v="72"/>
    <n v="34.799999999999997"/>
    <n v="10"/>
    <n v="0"/>
    <s v="Lee, Frank"/>
    <s v="Lee Frank"/>
    <x v="8"/>
    <s v="WA"/>
    <s v="Product GEEOO"/>
    <x v="0"/>
    <x v="385"/>
    <d v="2008-01-05T00:00:00"/>
    <x v="2"/>
    <s v="Destination AXVHD"/>
    <x v="14"/>
    <s v="Supplier KEREV"/>
    <s v="Italy"/>
    <x v="1"/>
    <n v="348"/>
  </r>
  <r>
    <n v="10799"/>
    <n v="13"/>
    <n v="6"/>
    <n v="20"/>
    <n v="0.15"/>
    <s v="Song, Lolan"/>
    <s v="Song Lolan"/>
    <x v="4"/>
    <n v="0"/>
    <s v="Product POXFU"/>
    <x v="3"/>
    <x v="385"/>
    <d v="2008-01-05T00:00:00"/>
    <x v="3"/>
    <s v="Destination DKMQA"/>
    <x v="8"/>
    <s v="Supplier QWUSF"/>
    <s v="Japan"/>
    <x v="1"/>
    <n v="102"/>
  </r>
  <r>
    <n v="10799"/>
    <n v="24"/>
    <n v="4.5"/>
    <n v="20"/>
    <n v="0.15"/>
    <s v="Song, Lolan"/>
    <s v="Song Lolan"/>
    <x v="4"/>
    <n v="0"/>
    <s v="Product QOGNU"/>
    <x v="6"/>
    <x v="385"/>
    <d v="2008-01-05T00:00:00"/>
    <x v="3"/>
    <s v="Destination DKMQA"/>
    <x v="8"/>
    <s v="Supplier UNAHG"/>
    <s v="Brazil"/>
    <x v="1"/>
    <n v="76.5"/>
  </r>
  <r>
    <n v="10799"/>
    <n v="59"/>
    <n v="55"/>
    <n v="25"/>
    <n v="0"/>
    <s v="Song, Lolan"/>
    <s v="Song Lolan"/>
    <x v="4"/>
    <n v="0"/>
    <s v="Product UKXRI"/>
    <x v="0"/>
    <x v="385"/>
    <d v="2008-01-05T00:00:00"/>
    <x v="3"/>
    <s v="Destination DKMQA"/>
    <x v="8"/>
    <s v="Supplier OAVQT"/>
    <s v="France"/>
    <x v="1"/>
    <n v="1375"/>
  </r>
  <r>
    <n v="10800"/>
    <n v="11"/>
    <n v="21"/>
    <n v="50"/>
    <n v="0.1"/>
    <s v="Welcker, Brian"/>
    <s v="Welcker Brian"/>
    <x v="5"/>
    <s v="WA"/>
    <s v="Product QMVUN"/>
    <x v="0"/>
    <x v="385"/>
    <d v="2008-01-05T00:00:00"/>
    <x v="3"/>
    <s v="Ship to 72-C"/>
    <x v="14"/>
    <s v="Supplier EQPNC"/>
    <s v="Spain"/>
    <x v="2"/>
    <n v="945"/>
  </r>
  <r>
    <n v="10800"/>
    <n v="51"/>
    <n v="53"/>
    <n v="10"/>
    <n v="0.1"/>
    <s v="Welcker, Brian"/>
    <s v="Welcker Brian"/>
    <x v="5"/>
    <s v="WA"/>
    <s v="Product APITJ"/>
    <x v="2"/>
    <x v="385"/>
    <d v="2008-01-05T00:00:00"/>
    <x v="3"/>
    <s v="Ship to 72-C"/>
    <x v="14"/>
    <s v="Supplier JNNES"/>
    <s v="Australia"/>
    <x v="2"/>
    <n v="477"/>
  </r>
  <r>
    <n v="10800"/>
    <n v="54"/>
    <n v="7.45"/>
    <n v="7"/>
    <n v="0.1"/>
    <s v="Welcker, Brian"/>
    <s v="Welcker Brian"/>
    <x v="5"/>
    <s v="WA"/>
    <s v="Product QAQRL"/>
    <x v="7"/>
    <x v="385"/>
    <d v="2008-01-05T00:00:00"/>
    <x v="3"/>
    <s v="Ship to 72-C"/>
    <x v="14"/>
    <s v="Supplier ERVYZ"/>
    <s v="Canada"/>
    <x v="2"/>
    <n v="46.935000000000002"/>
  </r>
  <r>
    <n v="10801"/>
    <n v="17"/>
    <n v="39"/>
    <n v="40"/>
    <n v="0.25"/>
    <s v="Ilyina, Julia"/>
    <s v="Ilyina Julia"/>
    <x v="1"/>
    <s v="WA"/>
    <s v="Product BLCAX"/>
    <x v="7"/>
    <x v="386"/>
    <d v="2007-12-31T00:00:00"/>
    <x v="1"/>
    <s v="Ship to 8-C"/>
    <x v="13"/>
    <s v="Supplier GQRCV"/>
    <s v="Australia"/>
    <x v="1"/>
    <n v="1170"/>
  </r>
  <r>
    <n v="10801"/>
    <n v="29"/>
    <n v="123.79"/>
    <n v="20"/>
    <n v="0.25"/>
    <s v="Ilyina, Julia"/>
    <s v="Ilyina Julia"/>
    <x v="1"/>
    <s v="WA"/>
    <s v="Product VJXYN"/>
    <x v="7"/>
    <x v="386"/>
    <d v="2007-12-31T00:00:00"/>
    <x v="1"/>
    <s v="Ship to 8-C"/>
    <x v="13"/>
    <s v="Supplier SVIYA"/>
    <s v="Germany"/>
    <x v="1"/>
    <n v="1856.8500000000001"/>
  </r>
  <r>
    <n v="10802"/>
    <n v="30"/>
    <n v="25.89"/>
    <n v="25"/>
    <n v="0.25"/>
    <s v="Gonzalez, Nuria"/>
    <s v="Gonzalez Nuria"/>
    <x v="1"/>
    <s v="WA"/>
    <s v="Product LYERX"/>
    <x v="3"/>
    <x v="386"/>
    <d v="2008-01-02T00:00:00"/>
    <x v="1"/>
    <s v="Ship to 73-A"/>
    <x v="18"/>
    <s v="Supplier TEGSC"/>
    <s v="Germany"/>
    <x v="2"/>
    <n v="485.4375"/>
  </r>
  <r>
    <n v="10802"/>
    <n v="51"/>
    <n v="53"/>
    <n v="30"/>
    <n v="0.25"/>
    <s v="Gonzalez, Nuria"/>
    <s v="Gonzalez Nuria"/>
    <x v="1"/>
    <s v="WA"/>
    <s v="Product APITJ"/>
    <x v="2"/>
    <x v="386"/>
    <d v="2008-01-02T00:00:00"/>
    <x v="1"/>
    <s v="Ship to 73-A"/>
    <x v="18"/>
    <s v="Supplier JNNES"/>
    <s v="Australia"/>
    <x v="2"/>
    <n v="1192.5"/>
  </r>
  <r>
    <n v="10802"/>
    <n v="55"/>
    <n v="24"/>
    <n v="60"/>
    <n v="0.25"/>
    <s v="Gonzalez, Nuria"/>
    <s v="Gonzalez Nuria"/>
    <x v="1"/>
    <s v="WA"/>
    <s v="Product YYWRT"/>
    <x v="7"/>
    <x v="386"/>
    <d v="2008-01-02T00:00:00"/>
    <x v="1"/>
    <s v="Ship to 73-A"/>
    <x v="18"/>
    <s v="Supplier ERVYZ"/>
    <s v="Canada"/>
    <x v="2"/>
    <n v="1080"/>
  </r>
  <r>
    <n v="10802"/>
    <n v="62"/>
    <n v="49.3"/>
    <n v="5"/>
    <n v="0.25"/>
    <s v="Gonzalez, Nuria"/>
    <s v="Gonzalez Nuria"/>
    <x v="1"/>
    <s v="WA"/>
    <s v="Product WUXYK"/>
    <x v="5"/>
    <x v="386"/>
    <d v="2008-01-02T00:00:00"/>
    <x v="1"/>
    <s v="Ship to 73-A"/>
    <x v="18"/>
    <s v="Supplier OGLRK"/>
    <s v="Canada"/>
    <x v="2"/>
    <n v="184.875"/>
  </r>
  <r>
    <n v="10803"/>
    <n v="19"/>
    <n v="9.1999999999999993"/>
    <n v="24"/>
    <n v="0.05"/>
    <s v="Li, Yan"/>
    <s v="Li Yan"/>
    <x v="1"/>
    <s v="WA"/>
    <s v="Product XKXDO"/>
    <x v="5"/>
    <x v="387"/>
    <d v="2008-01-06T00:00:00"/>
    <x v="2"/>
    <s v="Ship to 88-B"/>
    <x v="1"/>
    <s v="Supplier BWGYE"/>
    <s v="UK"/>
    <x v="1"/>
    <n v="209.75999999999996"/>
  </r>
  <r>
    <n v="10803"/>
    <n v="25"/>
    <n v="14"/>
    <n v="15"/>
    <n v="0.05"/>
    <s v="Li, Yan"/>
    <s v="Li Yan"/>
    <x v="1"/>
    <s v="WA"/>
    <s v="Product LYLNI"/>
    <x v="5"/>
    <x v="387"/>
    <d v="2008-01-06T00:00:00"/>
    <x v="2"/>
    <s v="Ship to 88-B"/>
    <x v="1"/>
    <s v="Supplier ZPYVS"/>
    <s v="Germany"/>
    <x v="1"/>
    <n v="199.5"/>
  </r>
  <r>
    <n v="10803"/>
    <n v="59"/>
    <n v="55"/>
    <n v="15"/>
    <n v="0.05"/>
    <s v="Li, Yan"/>
    <s v="Li Yan"/>
    <x v="1"/>
    <s v="WA"/>
    <s v="Product UKXRI"/>
    <x v="0"/>
    <x v="387"/>
    <d v="2008-01-06T00:00:00"/>
    <x v="2"/>
    <s v="Ship to 88-B"/>
    <x v="1"/>
    <s v="Supplier OAVQT"/>
    <s v="France"/>
    <x v="1"/>
    <n v="783.75"/>
  </r>
  <r>
    <n v="10804"/>
    <n v="10"/>
    <n v="31"/>
    <n v="36"/>
    <n v="0"/>
    <s v="Welcker, Brian"/>
    <s v="Welcker Brian"/>
    <x v="7"/>
    <n v="0"/>
    <s v="Product YHXGE"/>
    <x v="3"/>
    <x v="387"/>
    <d v="2008-01-07T00:00:00"/>
    <x v="1"/>
    <s v="Ship to 72-C"/>
    <x v="14"/>
    <s v="Supplier QOVFD"/>
    <s v="Japan"/>
    <x v="1"/>
    <n v="1116"/>
  </r>
  <r>
    <n v="10804"/>
    <n v="28"/>
    <n v="45.6"/>
    <n v="24"/>
    <n v="0"/>
    <s v="Welcker, Brian"/>
    <s v="Welcker Brian"/>
    <x v="7"/>
    <n v="0"/>
    <s v="Product OFBNT"/>
    <x v="2"/>
    <x v="387"/>
    <d v="2008-01-07T00:00:00"/>
    <x v="1"/>
    <s v="Ship to 72-C"/>
    <x v="14"/>
    <s v="Supplier SVIYA"/>
    <s v="Germany"/>
    <x v="1"/>
    <n v="1094.4000000000001"/>
  </r>
  <r>
    <n v="10804"/>
    <n v="49"/>
    <n v="20"/>
    <n v="4"/>
    <n v="0.15"/>
    <s v="Welcker, Brian"/>
    <s v="Welcker Brian"/>
    <x v="7"/>
    <n v="0"/>
    <s v="Product FPYPN"/>
    <x v="5"/>
    <x v="387"/>
    <d v="2008-01-07T00:00:00"/>
    <x v="1"/>
    <s v="Ship to 72-C"/>
    <x v="14"/>
    <s v="Supplier ELCRN"/>
    <s v="Finland"/>
    <x v="1"/>
    <n v="68"/>
  </r>
  <r>
    <n v="10805"/>
    <n v="34"/>
    <n v="14"/>
    <n v="10"/>
    <n v="0"/>
    <s v="Osorio, Cristian"/>
    <s v="Osorio Cristian"/>
    <x v="8"/>
    <s v="WA"/>
    <s v="Product SWNJY"/>
    <x v="6"/>
    <x v="387"/>
    <d v="2008-01-09T00:00:00"/>
    <x v="3"/>
    <s v="Ship to 77-A"/>
    <x v="9"/>
    <s v="Supplier UHZRG"/>
    <s v="USA"/>
    <x v="2"/>
    <n v="140"/>
  </r>
  <r>
    <n v="10805"/>
    <n v="38"/>
    <n v="263.5"/>
    <n v="10"/>
    <n v="0"/>
    <s v="Osorio, Cristian"/>
    <s v="Osorio Cristian"/>
    <x v="8"/>
    <s v="WA"/>
    <s v="Product QDOMO"/>
    <x v="6"/>
    <x v="387"/>
    <d v="2008-01-09T00:00:00"/>
    <x v="3"/>
    <s v="Ship to 77-A"/>
    <x v="9"/>
    <s v="Supplier LVJUA"/>
    <s v="France"/>
    <x v="2"/>
    <n v="2635"/>
  </r>
  <r>
    <n v="10806"/>
    <n v="2"/>
    <n v="19"/>
    <n v="20"/>
    <n v="0.25"/>
    <s v="Tuntisangaroon, Sittichai"/>
    <s v="Tuntisangaroon Sittichai"/>
    <x v="2"/>
    <s v="WA"/>
    <s v="Product RECZE"/>
    <x v="6"/>
    <x v="388"/>
    <d v="2008-01-05T00:00:00"/>
    <x v="1"/>
    <s v="Ship to 84-C"/>
    <x v="2"/>
    <s v="Supplier SWRXU"/>
    <s v="UK"/>
    <x v="1"/>
    <n v="285"/>
  </r>
  <r>
    <n v="10806"/>
    <n v="65"/>
    <n v="21.05"/>
    <n v="2"/>
    <n v="0"/>
    <s v="Tuntisangaroon, Sittichai"/>
    <s v="Tuntisangaroon Sittichai"/>
    <x v="2"/>
    <s v="WA"/>
    <s v="Product XYWBZ"/>
    <x v="4"/>
    <x v="388"/>
    <d v="2008-01-05T00:00:00"/>
    <x v="1"/>
    <s v="Ship to 84-C"/>
    <x v="2"/>
    <s v="Supplier VHQZD"/>
    <s v="USA"/>
    <x v="1"/>
    <n v="42.1"/>
  </r>
  <r>
    <n v="10806"/>
    <n v="74"/>
    <n v="10"/>
    <n v="15"/>
    <n v="0.25"/>
    <s v="Tuntisangaroon, Sittichai"/>
    <s v="Tuntisangaroon Sittichai"/>
    <x v="2"/>
    <s v="WA"/>
    <s v="Product BKAZJ"/>
    <x v="2"/>
    <x v="388"/>
    <d v="2008-01-05T00:00:00"/>
    <x v="1"/>
    <s v="Ship to 84-C"/>
    <x v="2"/>
    <s v="Supplier QOVFD"/>
    <s v="Japan"/>
    <x v="1"/>
    <n v="112.5"/>
  </r>
  <r>
    <n v="10807"/>
    <n v="40"/>
    <n v="18.399999999999999"/>
    <n v="1"/>
    <n v="0"/>
    <s v="Schmöllerl, Martin"/>
    <s v="Schmöllerl Martin"/>
    <x v="1"/>
    <s v="WA"/>
    <s v="Product YZIXQ"/>
    <x v="3"/>
    <x v="388"/>
    <d v="2008-01-30T00:00:00"/>
    <x v="2"/>
    <s v="Destination XNLFB"/>
    <x v="12"/>
    <s v="Supplier JDNUG"/>
    <s v="USA"/>
    <x v="1"/>
    <n v="18.399999999999999"/>
  </r>
  <r>
    <n v="10808"/>
    <n v="56"/>
    <n v="38"/>
    <n v="20"/>
    <n v="0.15"/>
    <s v="Egelund-Muller, Anja"/>
    <s v="Egelund-Muller Anja"/>
    <x v="8"/>
    <s v="WA"/>
    <s v="Product VKCMF"/>
    <x v="1"/>
    <x v="389"/>
    <d v="2008-01-09T00:00:00"/>
    <x v="3"/>
    <s v="Ship to 55-B"/>
    <x v="9"/>
    <s v="Supplier ZWZDM"/>
    <s v="Italy"/>
    <x v="1"/>
    <n v="646"/>
  </r>
  <r>
    <n v="10808"/>
    <n v="76"/>
    <n v="18"/>
    <n v="50"/>
    <n v="0.15"/>
    <s v="Egelund-Muller, Anja"/>
    <s v="Egelund-Muller Anja"/>
    <x v="8"/>
    <s v="WA"/>
    <s v="Product JYGFE"/>
    <x v="6"/>
    <x v="389"/>
    <d v="2008-01-09T00:00:00"/>
    <x v="3"/>
    <s v="Ship to 55-B"/>
    <x v="9"/>
    <s v="Supplier ELCRN"/>
    <s v="Finland"/>
    <x v="1"/>
    <n v="765"/>
  </r>
  <r>
    <n v="10809"/>
    <n v="52"/>
    <n v="7"/>
    <n v="20"/>
    <n v="0"/>
    <s v="Li, Yan"/>
    <s v="Li Yan"/>
    <x v="9"/>
    <n v="0"/>
    <s v="Product QSRXF"/>
    <x v="1"/>
    <x v="389"/>
    <d v="2008-01-07T00:00:00"/>
    <x v="2"/>
    <s v="Ship to 88-C"/>
    <x v="1"/>
    <s v="Supplier JNNES"/>
    <s v="Australia"/>
    <x v="1"/>
    <n v="140"/>
  </r>
  <r>
    <n v="10810"/>
    <n v="13"/>
    <n v="6"/>
    <n v="7"/>
    <n v="0"/>
    <s v="Steiner, Dominik"/>
    <s v="Steiner Dominik"/>
    <x v="8"/>
    <s v="WA"/>
    <s v="Product POXFU"/>
    <x v="3"/>
    <x v="389"/>
    <d v="2008-01-07T00:00:00"/>
    <x v="3"/>
    <s v="Ship to 42-A"/>
    <x v="17"/>
    <s v="Supplier QWUSF"/>
    <s v="Japan"/>
    <x v="1"/>
    <n v="42"/>
  </r>
  <r>
    <n v="10810"/>
    <n v="25"/>
    <n v="14"/>
    <n v="5"/>
    <n v="0"/>
    <s v="Steiner, Dominik"/>
    <s v="Steiner Dominik"/>
    <x v="8"/>
    <s v="WA"/>
    <s v="Product LYLNI"/>
    <x v="5"/>
    <x v="389"/>
    <d v="2008-01-07T00:00:00"/>
    <x v="3"/>
    <s v="Ship to 42-A"/>
    <x v="17"/>
    <s v="Supplier ZPYVS"/>
    <s v="Germany"/>
    <x v="1"/>
    <n v="70"/>
  </r>
  <r>
    <n v="10810"/>
    <n v="70"/>
    <n v="15"/>
    <n v="5"/>
    <n v="0"/>
    <s v="Steiner, Dominik"/>
    <s v="Steiner Dominik"/>
    <x v="8"/>
    <s v="WA"/>
    <s v="Product TOONT"/>
    <x v="6"/>
    <x v="389"/>
    <d v="2008-01-07T00:00:00"/>
    <x v="3"/>
    <s v="Ship to 42-A"/>
    <x v="17"/>
    <s v="Supplier GQRCV"/>
    <s v="Australia"/>
    <x v="1"/>
    <n v="75"/>
  </r>
  <r>
    <n v="10811"/>
    <n v="19"/>
    <n v="9.1999999999999993"/>
    <n v="15"/>
    <n v="0"/>
    <s v="Lupu, Cornel"/>
    <s v="Lupu Cornel"/>
    <x v="6"/>
    <s v="WA"/>
    <s v="Product XKXDO"/>
    <x v="5"/>
    <x v="390"/>
    <d v="2008-01-08T00:00:00"/>
    <x v="2"/>
    <s v="Ship to 47-B"/>
    <x v="5"/>
    <s v="Supplier BWGYE"/>
    <s v="UK"/>
    <x v="1"/>
    <n v="138"/>
  </r>
  <r>
    <n v="10811"/>
    <n v="23"/>
    <n v="9"/>
    <n v="18"/>
    <n v="0"/>
    <s v="Lupu, Cornel"/>
    <s v="Lupu Cornel"/>
    <x v="6"/>
    <s v="WA"/>
    <s v="Product JLUDZ"/>
    <x v="1"/>
    <x v="390"/>
    <d v="2008-01-08T00:00:00"/>
    <x v="2"/>
    <s v="Ship to 47-B"/>
    <x v="5"/>
    <s v="Supplier QQYEU"/>
    <s v="Sweden"/>
    <x v="1"/>
    <n v="162"/>
  </r>
  <r>
    <n v="10811"/>
    <n v="40"/>
    <n v="18.399999999999999"/>
    <n v="30"/>
    <n v="0"/>
    <s v="Lupu, Cornel"/>
    <s v="Lupu Cornel"/>
    <x v="6"/>
    <s v="WA"/>
    <s v="Product YZIXQ"/>
    <x v="3"/>
    <x v="390"/>
    <d v="2008-01-08T00:00:00"/>
    <x v="2"/>
    <s v="Ship to 47-B"/>
    <x v="5"/>
    <s v="Supplier JDNUG"/>
    <s v="USA"/>
    <x v="1"/>
    <n v="552"/>
  </r>
  <r>
    <n v="10812"/>
    <n v="31"/>
    <n v="12.5"/>
    <n v="16"/>
    <n v="0.1"/>
    <s v="Voss, Florian"/>
    <s v="Voss Florian"/>
    <x v="3"/>
    <n v="0"/>
    <s v="Product XWOXC"/>
    <x v="0"/>
    <x v="390"/>
    <d v="2008-01-12T00:00:00"/>
    <x v="2"/>
    <s v="Ship to 66-B"/>
    <x v="12"/>
    <s v="Supplier KEREV"/>
    <s v="Italy"/>
    <x v="1"/>
    <n v="180"/>
  </r>
  <r>
    <n v="10812"/>
    <n v="72"/>
    <n v="34.799999999999997"/>
    <n v="40"/>
    <n v="0.1"/>
    <s v="Voss, Florian"/>
    <s v="Voss Florian"/>
    <x v="3"/>
    <n v="0"/>
    <s v="Product GEEOO"/>
    <x v="0"/>
    <x v="390"/>
    <d v="2008-01-12T00:00:00"/>
    <x v="2"/>
    <s v="Ship to 66-B"/>
    <x v="12"/>
    <s v="Supplier KEREV"/>
    <s v="Italy"/>
    <x v="1"/>
    <n v="1252.8"/>
  </r>
  <r>
    <n v="10812"/>
    <n v="77"/>
    <n v="13"/>
    <n v="20"/>
    <n v="0"/>
    <s v="Voss, Florian"/>
    <s v="Voss Florian"/>
    <x v="3"/>
    <n v="0"/>
    <s v="Product LUNZZ"/>
    <x v="4"/>
    <x v="390"/>
    <d v="2008-01-12T00:00:00"/>
    <x v="2"/>
    <s v="Ship to 66-B"/>
    <x v="12"/>
    <s v="Supplier SVIYA"/>
    <s v="Germany"/>
    <x v="1"/>
    <n v="260"/>
  </r>
  <r>
    <n v="10813"/>
    <n v="2"/>
    <n v="19"/>
    <n v="12"/>
    <n v="0.2"/>
    <s v="Garden, Euan"/>
    <s v="Garden Euan"/>
    <x v="5"/>
    <s v="WA"/>
    <s v="Product RECZE"/>
    <x v="6"/>
    <x v="391"/>
    <d v="2008-01-09T00:00:00"/>
    <x v="2"/>
    <s v="Ship to 67-C"/>
    <x v="1"/>
    <s v="Supplier SWRXU"/>
    <s v="UK"/>
    <x v="1"/>
    <n v="182.4"/>
  </r>
  <r>
    <n v="10813"/>
    <n v="46"/>
    <n v="12"/>
    <n v="35"/>
    <n v="0"/>
    <s v="Garden, Euan"/>
    <s v="Garden Euan"/>
    <x v="5"/>
    <s v="WA"/>
    <s v="Product CBRRL"/>
    <x v="3"/>
    <x v="391"/>
    <d v="2008-01-09T00:00:00"/>
    <x v="2"/>
    <s v="Ship to 67-C"/>
    <x v="1"/>
    <s v="Supplier XOXZA"/>
    <s v="Denmark"/>
    <x v="1"/>
    <n v="420"/>
  </r>
  <r>
    <n v="10814"/>
    <n v="41"/>
    <n v="9.65"/>
    <n v="20"/>
    <n v="0"/>
    <s v="Tuntisangaroon, Sittichai"/>
    <s v="Tuntisangaroon Sittichai"/>
    <x v="2"/>
    <s v="WA"/>
    <s v="Product TTEEX"/>
    <x v="3"/>
    <x v="391"/>
    <d v="2008-01-14T00:00:00"/>
    <x v="3"/>
    <s v="Ship to 84-B"/>
    <x v="2"/>
    <s v="Supplier JDNUG"/>
    <s v="USA"/>
    <x v="2"/>
    <n v="193"/>
  </r>
  <r>
    <n v="10814"/>
    <n v="43"/>
    <n v="46"/>
    <n v="20"/>
    <n v="0.15"/>
    <s v="Tuntisangaroon, Sittichai"/>
    <s v="Tuntisangaroon Sittichai"/>
    <x v="2"/>
    <s v="WA"/>
    <s v="Product ZZZHR"/>
    <x v="6"/>
    <x v="391"/>
    <d v="2008-01-14T00:00:00"/>
    <x v="3"/>
    <s v="Ship to 84-B"/>
    <x v="2"/>
    <s v="Supplier CIYNM"/>
    <s v="Singapore"/>
    <x v="2"/>
    <n v="782"/>
  </r>
  <r>
    <n v="10814"/>
    <n v="48"/>
    <n v="12.75"/>
    <n v="8"/>
    <n v="0.15"/>
    <s v="Tuntisangaroon, Sittichai"/>
    <s v="Tuntisangaroon Sittichai"/>
    <x v="2"/>
    <s v="WA"/>
    <s v="Product MYNXN"/>
    <x v="5"/>
    <x v="391"/>
    <d v="2008-01-14T00:00:00"/>
    <x v="3"/>
    <s v="Ship to 84-B"/>
    <x v="2"/>
    <s v="Supplier FNUXM"/>
    <s v="Netherlands"/>
    <x v="2"/>
    <n v="86.7"/>
  </r>
  <r>
    <n v="10814"/>
    <n v="61"/>
    <n v="28.5"/>
    <n v="30"/>
    <n v="0.15"/>
    <s v="Tuntisangaroon, Sittichai"/>
    <s v="Tuntisangaroon Sittichai"/>
    <x v="2"/>
    <s v="WA"/>
    <s v="Product XYZPE"/>
    <x v="4"/>
    <x v="391"/>
    <d v="2008-01-14T00:00:00"/>
    <x v="3"/>
    <s v="Ship to 84-B"/>
    <x v="2"/>
    <s v="Supplier OGLRK"/>
    <s v="Canada"/>
    <x v="2"/>
    <n v="726.75"/>
  </r>
  <r>
    <n v="10815"/>
    <n v="33"/>
    <n v="2.5"/>
    <n v="16"/>
    <n v="0"/>
    <s v="Navarro, Tomás"/>
    <s v="Navarro Tomás"/>
    <x v="8"/>
    <s v="WA"/>
    <s v="Product ASTMN"/>
    <x v="0"/>
    <x v="391"/>
    <d v="2008-01-14T00:00:00"/>
    <x v="3"/>
    <s v="Ship to 71-A"/>
    <x v="9"/>
    <s v="Supplier NZLIF"/>
    <s v="Norway"/>
    <x v="1"/>
    <n v="40"/>
  </r>
  <r>
    <n v="10816"/>
    <n v="38"/>
    <n v="263.5"/>
    <n v="30"/>
    <n v="0.05"/>
    <s v="Krishnan, Venky"/>
    <s v="Krishnan Venky"/>
    <x v="1"/>
    <s v="WA"/>
    <s v="Product QDOMO"/>
    <x v="6"/>
    <x v="392"/>
    <d v="2008-02-04T00:00:00"/>
    <x v="1"/>
    <s v="Destination AVQUS"/>
    <x v="9"/>
    <s v="Supplier LVJUA"/>
    <s v="France"/>
    <x v="2"/>
    <n v="7509.75"/>
  </r>
  <r>
    <n v="10816"/>
    <n v="62"/>
    <n v="49.3"/>
    <n v="20"/>
    <n v="0.05"/>
    <s v="Krishnan, Venky"/>
    <s v="Krishnan Venky"/>
    <x v="1"/>
    <s v="WA"/>
    <s v="Product WUXYK"/>
    <x v="5"/>
    <x v="392"/>
    <d v="2008-02-04T00:00:00"/>
    <x v="1"/>
    <s v="Destination AVQUS"/>
    <x v="9"/>
    <s v="Supplier OGLRK"/>
    <s v="Canada"/>
    <x v="2"/>
    <n v="936.69999999999993"/>
  </r>
  <r>
    <n v="10817"/>
    <n v="26"/>
    <n v="31.23"/>
    <n v="40"/>
    <n v="0.15"/>
    <s v="Song, Lolan"/>
    <s v="Song Lolan"/>
    <x v="2"/>
    <s v="WA"/>
    <s v="Product HLGZA"/>
    <x v="5"/>
    <x v="392"/>
    <d v="2008-01-13T00:00:00"/>
    <x v="1"/>
    <s v="Destination RMBHM"/>
    <x v="8"/>
    <s v="Supplier ZPYVS"/>
    <s v="Germany"/>
    <x v="2"/>
    <n v="1061.82"/>
  </r>
  <r>
    <n v="10817"/>
    <n v="38"/>
    <n v="263.5"/>
    <n v="30"/>
    <n v="0"/>
    <s v="Song, Lolan"/>
    <s v="Song Lolan"/>
    <x v="2"/>
    <s v="WA"/>
    <s v="Product QDOMO"/>
    <x v="6"/>
    <x v="392"/>
    <d v="2008-01-13T00:00:00"/>
    <x v="1"/>
    <s v="Destination RMBHM"/>
    <x v="8"/>
    <s v="Supplier LVJUA"/>
    <s v="France"/>
    <x v="2"/>
    <n v="7905"/>
  </r>
  <r>
    <n v="10817"/>
    <n v="40"/>
    <n v="18.399999999999999"/>
    <n v="60"/>
    <n v="0.15"/>
    <s v="Song, Lolan"/>
    <s v="Song Lolan"/>
    <x v="2"/>
    <s v="WA"/>
    <s v="Product YZIXQ"/>
    <x v="3"/>
    <x v="392"/>
    <d v="2008-01-13T00:00:00"/>
    <x v="1"/>
    <s v="Destination RMBHM"/>
    <x v="8"/>
    <s v="Supplier JDNUG"/>
    <s v="USA"/>
    <x v="2"/>
    <n v="938.4"/>
  </r>
  <r>
    <n v="10817"/>
    <n v="62"/>
    <n v="49.3"/>
    <n v="25"/>
    <n v="0.15"/>
    <s v="Song, Lolan"/>
    <s v="Song Lolan"/>
    <x v="2"/>
    <s v="WA"/>
    <s v="Product WUXYK"/>
    <x v="5"/>
    <x v="392"/>
    <d v="2008-01-13T00:00:00"/>
    <x v="1"/>
    <s v="Destination RMBHM"/>
    <x v="8"/>
    <s v="Supplier OGLRK"/>
    <s v="Canada"/>
    <x v="2"/>
    <n v="1047.625"/>
  </r>
  <r>
    <n v="10818"/>
    <n v="32"/>
    <n v="32"/>
    <n v="20"/>
    <n v="0"/>
    <s v="Duerr, Bernard"/>
    <s v="Duerr Bernard"/>
    <x v="9"/>
    <n v="0"/>
    <s v="Product NUNAW"/>
    <x v="0"/>
    <x v="393"/>
    <d v="2008-01-12T00:00:00"/>
    <x v="3"/>
    <s v="Ship to 49-B"/>
    <x v="12"/>
    <s v="Supplier KEREV"/>
    <s v="Italy"/>
    <x v="1"/>
    <n v="640"/>
  </r>
  <r>
    <n v="10818"/>
    <n v="41"/>
    <n v="9.65"/>
    <n v="20"/>
    <n v="0"/>
    <s v="Duerr, Bernard"/>
    <s v="Duerr Bernard"/>
    <x v="9"/>
    <n v="0"/>
    <s v="Product TTEEX"/>
    <x v="3"/>
    <x v="393"/>
    <d v="2008-01-12T00:00:00"/>
    <x v="3"/>
    <s v="Ship to 49-B"/>
    <x v="12"/>
    <s v="Supplier JDNUG"/>
    <s v="USA"/>
    <x v="1"/>
    <n v="193"/>
  </r>
  <r>
    <n v="10819"/>
    <n v="43"/>
    <n v="46"/>
    <n v="7"/>
    <n v="0"/>
    <s v="Ray, Mike"/>
    <s v="Ray Mike"/>
    <x v="8"/>
    <s v="WA"/>
    <s v="Product ZZZHR"/>
    <x v="6"/>
    <x v="393"/>
    <d v="2008-01-16T00:00:00"/>
    <x v="3"/>
    <s v="Destination QTHBC"/>
    <x v="21"/>
    <s v="Supplier CIYNM"/>
    <s v="Singapore"/>
    <x v="1"/>
    <n v="322"/>
  </r>
  <r>
    <n v="10819"/>
    <n v="75"/>
    <n v="7.75"/>
    <n v="20"/>
    <n v="0"/>
    <s v="Ray, Mike"/>
    <s v="Ray Mike"/>
    <x v="8"/>
    <s v="WA"/>
    <s v="Product BWRLG"/>
    <x v="6"/>
    <x v="393"/>
    <d v="2008-01-16T00:00:00"/>
    <x v="3"/>
    <s v="Destination QTHBC"/>
    <x v="21"/>
    <s v="Supplier SVIYA"/>
    <s v="Germany"/>
    <x v="1"/>
    <n v="155"/>
  </r>
  <r>
    <n v="10820"/>
    <n v="56"/>
    <n v="38"/>
    <n v="30"/>
    <n v="0"/>
    <s v="Moore, Michael"/>
    <s v="Moore Michael"/>
    <x v="2"/>
    <s v="WA"/>
    <s v="Product VKCMF"/>
    <x v="1"/>
    <x v="393"/>
    <d v="2008-01-13T00:00:00"/>
    <x v="1"/>
    <s v="Ship to 65-B"/>
    <x v="9"/>
    <s v="Supplier ZWZDM"/>
    <s v="Italy"/>
    <x v="1"/>
    <n v="1140"/>
  </r>
  <r>
    <n v="10821"/>
    <n v="35"/>
    <n v="18"/>
    <n v="20"/>
    <n v="0"/>
    <s v="Wojciechowska, Agnieszka"/>
    <s v="Wojciechowska Agnieszka"/>
    <x v="5"/>
    <s v="WA"/>
    <s v="Product NEVTJ"/>
    <x v="6"/>
    <x v="394"/>
    <d v="2008-01-15T00:00:00"/>
    <x v="2"/>
    <s v="Ship to 75-A"/>
    <x v="9"/>
    <s v="Supplier UHZRG"/>
    <s v="USA"/>
    <x v="1"/>
    <n v="360"/>
  </r>
  <r>
    <n v="10821"/>
    <n v="51"/>
    <n v="53"/>
    <n v="6"/>
    <n v="0"/>
    <s v="Wojciechowska, Agnieszka"/>
    <s v="Wojciechowska Agnieszka"/>
    <x v="5"/>
    <s v="WA"/>
    <s v="Product APITJ"/>
    <x v="2"/>
    <x v="394"/>
    <d v="2008-01-15T00:00:00"/>
    <x v="2"/>
    <s v="Ship to 75-A"/>
    <x v="9"/>
    <s v="Supplier JNNES"/>
    <s v="Australia"/>
    <x v="1"/>
    <n v="318"/>
  </r>
  <r>
    <n v="10822"/>
    <n v="62"/>
    <n v="49.3"/>
    <n v="3"/>
    <n v="0"/>
    <s v="Veninga, Tjeerd"/>
    <s v="Veninga Tjeerd"/>
    <x v="7"/>
    <n v="0"/>
    <s v="Product WUXYK"/>
    <x v="5"/>
    <x v="394"/>
    <d v="2008-01-16T00:00:00"/>
    <x v="3"/>
    <s v="Ship to 82-B"/>
    <x v="9"/>
    <s v="Supplier OGLRK"/>
    <s v="Canada"/>
    <x v="1"/>
    <n v="147.89999999999998"/>
  </r>
  <r>
    <n v="10822"/>
    <n v="70"/>
    <n v="15"/>
    <n v="6"/>
    <n v="0"/>
    <s v="Veninga, Tjeerd"/>
    <s v="Veninga Tjeerd"/>
    <x v="7"/>
    <n v="0"/>
    <s v="Product TOONT"/>
    <x v="6"/>
    <x v="394"/>
    <d v="2008-01-16T00:00:00"/>
    <x v="3"/>
    <s v="Ship to 82-B"/>
    <x v="9"/>
    <s v="Supplier GQRCV"/>
    <s v="Australia"/>
    <x v="1"/>
    <n v="90"/>
  </r>
  <r>
    <n v="10823"/>
    <n v="11"/>
    <n v="21"/>
    <n v="20"/>
    <n v="0.1"/>
    <s v="Dressler, Marlies"/>
    <s v="Dressler Marlies"/>
    <x v="3"/>
    <n v="0"/>
    <s v="Product QMVUN"/>
    <x v="0"/>
    <x v="395"/>
    <d v="2008-01-13T00:00:00"/>
    <x v="1"/>
    <s v="Ship to 46-A"/>
    <x v="5"/>
    <s v="Supplier EQPNC"/>
    <s v="Spain"/>
    <x v="2"/>
    <n v="378"/>
  </r>
  <r>
    <n v="10823"/>
    <n v="57"/>
    <n v="19.5"/>
    <n v="15"/>
    <n v="0"/>
    <s v="Dressler, Marlies"/>
    <s v="Dressler Marlies"/>
    <x v="3"/>
    <n v="0"/>
    <s v="Product OVLQI"/>
    <x v="1"/>
    <x v="395"/>
    <d v="2008-01-13T00:00:00"/>
    <x v="1"/>
    <s v="Ship to 46-A"/>
    <x v="5"/>
    <s v="Supplier ZWZDM"/>
    <s v="Italy"/>
    <x v="2"/>
    <n v="292.5"/>
  </r>
  <r>
    <n v="10823"/>
    <n v="59"/>
    <n v="55"/>
    <n v="40"/>
    <n v="0.1"/>
    <s v="Dressler, Marlies"/>
    <s v="Dressler Marlies"/>
    <x v="3"/>
    <n v="0"/>
    <s v="Product UKXRI"/>
    <x v="0"/>
    <x v="395"/>
    <d v="2008-01-13T00:00:00"/>
    <x v="1"/>
    <s v="Ship to 46-A"/>
    <x v="5"/>
    <s v="Supplier OAVQT"/>
    <s v="France"/>
    <x v="2"/>
    <n v="1980"/>
  </r>
  <r>
    <n v="10823"/>
    <n v="77"/>
    <n v="13"/>
    <n v="15"/>
    <n v="0.1"/>
    <s v="Dressler, Marlies"/>
    <s v="Dressler Marlies"/>
    <x v="3"/>
    <n v="0"/>
    <s v="Product LUNZZ"/>
    <x v="4"/>
    <x v="395"/>
    <d v="2008-01-13T00:00:00"/>
    <x v="1"/>
    <s v="Ship to 46-A"/>
    <x v="5"/>
    <s v="Supplier SVIYA"/>
    <s v="Germany"/>
    <x v="2"/>
    <n v="175.5"/>
  </r>
  <r>
    <n v="10824"/>
    <n v="41"/>
    <n v="9.65"/>
    <n v="12"/>
    <n v="0"/>
    <s v="San Juan, Patricia"/>
    <s v="San Juan Patricia"/>
    <x v="6"/>
    <s v="WA"/>
    <s v="Product TTEEX"/>
    <x v="3"/>
    <x v="395"/>
    <d v="2008-01-30T00:00:00"/>
    <x v="2"/>
    <s v="Destination NCKKO"/>
    <x v="10"/>
    <s v="Supplier JDNUG"/>
    <s v="USA"/>
    <x v="1"/>
    <n v="115.80000000000001"/>
  </r>
  <r>
    <n v="10824"/>
    <n v="70"/>
    <n v="15"/>
    <n v="9"/>
    <n v="0"/>
    <s v="San Juan, Patricia"/>
    <s v="San Juan Patricia"/>
    <x v="6"/>
    <s v="WA"/>
    <s v="Product TOONT"/>
    <x v="6"/>
    <x v="395"/>
    <d v="2008-01-30T00:00:00"/>
    <x v="2"/>
    <s v="Destination NCKKO"/>
    <x v="10"/>
    <s v="Supplier GQRCV"/>
    <s v="Australia"/>
    <x v="1"/>
    <n v="135"/>
  </r>
  <r>
    <n v="10825"/>
    <n v="26"/>
    <n v="31.23"/>
    <n v="12"/>
    <n v="0"/>
    <s v="Jones, TiAnna"/>
    <s v="Jones TiAnna"/>
    <x v="5"/>
    <s v="WA"/>
    <s v="Product HLGZA"/>
    <x v="5"/>
    <x v="395"/>
    <d v="2008-01-14T00:00:00"/>
    <x v="2"/>
    <s v="Destination BJCXA"/>
    <x v="8"/>
    <s v="Supplier ZPYVS"/>
    <s v="Germany"/>
    <x v="1"/>
    <n v="374.76"/>
  </r>
  <r>
    <n v="10825"/>
    <n v="53"/>
    <n v="32.799999999999997"/>
    <n v="20"/>
    <n v="0"/>
    <s v="Jones, TiAnna"/>
    <s v="Jones TiAnna"/>
    <x v="5"/>
    <s v="WA"/>
    <s v="Product BKGEA"/>
    <x v="7"/>
    <x v="395"/>
    <d v="2008-01-14T00:00:00"/>
    <x v="2"/>
    <s v="Destination BJCXA"/>
    <x v="8"/>
    <s v="Supplier JNNES"/>
    <s v="Australia"/>
    <x v="1"/>
    <n v="656"/>
  </r>
  <r>
    <n v="10826"/>
    <n v="31"/>
    <n v="12.5"/>
    <n v="35"/>
    <n v="0"/>
    <s v="Bansal, Dushyant"/>
    <s v="Bansal Dushyant"/>
    <x v="7"/>
    <n v="0"/>
    <s v="Product XWOXC"/>
    <x v="0"/>
    <x v="396"/>
    <d v="2008-02-06T00:00:00"/>
    <x v="2"/>
    <s v="Ship to 7-C"/>
    <x v="2"/>
    <s v="Supplier KEREV"/>
    <s v="Italy"/>
    <x v="1"/>
    <n v="437.5"/>
  </r>
  <r>
    <n v="10826"/>
    <n v="57"/>
    <n v="19.5"/>
    <n v="15"/>
    <n v="0"/>
    <s v="Bansal, Dushyant"/>
    <s v="Bansal Dushyant"/>
    <x v="7"/>
    <n v="0"/>
    <s v="Product OVLQI"/>
    <x v="1"/>
    <x v="396"/>
    <d v="2008-02-06T00:00:00"/>
    <x v="2"/>
    <s v="Ship to 7-C"/>
    <x v="2"/>
    <s v="Supplier ZWZDM"/>
    <s v="Italy"/>
    <x v="1"/>
    <n v="292.5"/>
  </r>
  <r>
    <n v="10827"/>
    <n v="10"/>
    <n v="31"/>
    <n v="15"/>
    <n v="0"/>
    <s v="Raghav, Amritansh"/>
    <s v="Raghav Amritansh"/>
    <x v="5"/>
    <s v="WA"/>
    <s v="Product YHXGE"/>
    <x v="3"/>
    <x v="396"/>
    <d v="2008-02-06T00:00:00"/>
    <x v="1"/>
    <s v="Ship to 9-B"/>
    <x v="2"/>
    <s v="Supplier QOVFD"/>
    <s v="Japan"/>
    <x v="1"/>
    <n v="465"/>
  </r>
  <r>
    <n v="10827"/>
    <n v="39"/>
    <n v="18"/>
    <n v="21"/>
    <n v="0"/>
    <s v="Raghav, Amritansh"/>
    <s v="Raghav Amritansh"/>
    <x v="5"/>
    <s v="WA"/>
    <s v="Product LSOFL"/>
    <x v="6"/>
    <x v="396"/>
    <d v="2008-02-06T00:00:00"/>
    <x v="1"/>
    <s v="Ship to 9-B"/>
    <x v="2"/>
    <s v="Supplier LVJUA"/>
    <s v="France"/>
    <x v="1"/>
    <n v="378"/>
  </r>
  <r>
    <n v="10828"/>
    <n v="20"/>
    <n v="81"/>
    <n v="5"/>
    <n v="0"/>
    <s v="Gaffney, Lawrie"/>
    <s v="Gaffney Lawrie"/>
    <x v="4"/>
    <n v="0"/>
    <s v="Product QHFFP"/>
    <x v="5"/>
    <x v="397"/>
    <d v="2008-02-04T00:00:00"/>
    <x v="2"/>
    <s v="Ship to 64-B"/>
    <x v="21"/>
    <s v="Supplier BWGYE"/>
    <s v="UK"/>
    <x v="1"/>
    <n v="405"/>
  </r>
  <r>
    <n v="10828"/>
    <n v="38"/>
    <n v="263.5"/>
    <n v="2"/>
    <n v="0"/>
    <s v="Gaffney, Lawrie"/>
    <s v="Gaffney Lawrie"/>
    <x v="4"/>
    <n v="0"/>
    <s v="Product QDOMO"/>
    <x v="6"/>
    <x v="397"/>
    <d v="2008-02-04T00:00:00"/>
    <x v="2"/>
    <s v="Ship to 64-B"/>
    <x v="21"/>
    <s v="Supplier LVJUA"/>
    <s v="France"/>
    <x v="1"/>
    <n v="527"/>
  </r>
  <r>
    <n v="10829"/>
    <n v="2"/>
    <n v="19"/>
    <n v="10"/>
    <n v="0"/>
    <s v="Lee, Frank"/>
    <s v="Lee Frank"/>
    <x v="4"/>
    <n v="0"/>
    <s v="Product RECZE"/>
    <x v="6"/>
    <x v="397"/>
    <d v="2008-01-23T00:00:00"/>
    <x v="2"/>
    <s v="Destination QVTLW"/>
    <x v="14"/>
    <s v="Supplier SWRXU"/>
    <s v="UK"/>
    <x v="2"/>
    <n v="190"/>
  </r>
  <r>
    <n v="10829"/>
    <n v="8"/>
    <n v="40"/>
    <n v="20"/>
    <n v="0"/>
    <s v="Lee, Frank"/>
    <s v="Lee Frank"/>
    <x v="4"/>
    <n v="0"/>
    <s v="Product WVJFP"/>
    <x v="4"/>
    <x v="397"/>
    <d v="2008-01-23T00:00:00"/>
    <x v="2"/>
    <s v="Destination QVTLW"/>
    <x v="14"/>
    <s v="Supplier STUAZ"/>
    <s v="USA"/>
    <x v="2"/>
    <n v="800"/>
  </r>
  <r>
    <n v="10829"/>
    <n v="13"/>
    <n v="6"/>
    <n v="10"/>
    <n v="0"/>
    <s v="Lee, Frank"/>
    <s v="Lee Frank"/>
    <x v="4"/>
    <n v="0"/>
    <s v="Product POXFU"/>
    <x v="3"/>
    <x v="397"/>
    <d v="2008-01-23T00:00:00"/>
    <x v="2"/>
    <s v="Destination QVTLW"/>
    <x v="14"/>
    <s v="Supplier QWUSF"/>
    <s v="Japan"/>
    <x v="2"/>
    <n v="60"/>
  </r>
  <r>
    <n v="10829"/>
    <n v="60"/>
    <n v="34"/>
    <n v="21"/>
    <n v="0"/>
    <s v="Lee, Frank"/>
    <s v="Lee Frank"/>
    <x v="4"/>
    <n v="0"/>
    <s v="Product WHBYK"/>
    <x v="0"/>
    <x v="397"/>
    <d v="2008-01-23T00:00:00"/>
    <x v="2"/>
    <s v="Destination QVTLW"/>
    <x v="14"/>
    <s v="Supplier OAVQT"/>
    <s v="France"/>
    <x v="2"/>
    <n v="714"/>
  </r>
  <r>
    <n v="10830"/>
    <n v="6"/>
    <n v="25"/>
    <n v="6"/>
    <n v="0"/>
    <s v="Nagel, Jean-Philippe"/>
    <s v="Nagel Jean-Philippe"/>
    <x v="1"/>
    <s v="WA"/>
    <s v="Product VAIIV"/>
    <x v="4"/>
    <x v="397"/>
    <d v="2008-01-21T00:00:00"/>
    <x v="1"/>
    <s v="Ship to 81-C"/>
    <x v="1"/>
    <s v="Supplier STUAZ"/>
    <s v="USA"/>
    <x v="1"/>
    <n v="150"/>
  </r>
  <r>
    <n v="10830"/>
    <n v="39"/>
    <n v="18"/>
    <n v="28"/>
    <n v="0"/>
    <s v="Nagel, Jean-Philippe"/>
    <s v="Nagel Jean-Philippe"/>
    <x v="1"/>
    <s v="WA"/>
    <s v="Product LSOFL"/>
    <x v="6"/>
    <x v="397"/>
    <d v="2008-01-21T00:00:00"/>
    <x v="1"/>
    <s v="Ship to 81-C"/>
    <x v="1"/>
    <s v="Supplier LVJUA"/>
    <s v="France"/>
    <x v="1"/>
    <n v="504"/>
  </r>
  <r>
    <n v="10830"/>
    <n v="60"/>
    <n v="34"/>
    <n v="30"/>
    <n v="0"/>
    <s v="Nagel, Jean-Philippe"/>
    <s v="Nagel Jean-Philippe"/>
    <x v="1"/>
    <s v="WA"/>
    <s v="Product WHBYK"/>
    <x v="0"/>
    <x v="397"/>
    <d v="2008-01-21T00:00:00"/>
    <x v="1"/>
    <s v="Ship to 81-C"/>
    <x v="1"/>
    <s v="Supplier OAVQT"/>
    <s v="France"/>
    <x v="1"/>
    <n v="1020"/>
  </r>
  <r>
    <n v="10830"/>
    <n v="68"/>
    <n v="12.5"/>
    <n v="24"/>
    <n v="0"/>
    <s v="Nagel, Jean-Philippe"/>
    <s v="Nagel Jean-Philippe"/>
    <x v="1"/>
    <s v="WA"/>
    <s v="Product TBTBL"/>
    <x v="5"/>
    <x v="397"/>
    <d v="2008-01-21T00:00:00"/>
    <x v="1"/>
    <s v="Ship to 81-C"/>
    <x v="1"/>
    <s v="Supplier BWGYE"/>
    <s v="UK"/>
    <x v="1"/>
    <n v="300"/>
  </r>
  <r>
    <n v="10831"/>
    <n v="19"/>
    <n v="9.1999999999999993"/>
    <n v="2"/>
    <n v="0"/>
    <s v="Ginters, Kaspars"/>
    <s v="Ginters Kaspars"/>
    <x v="2"/>
    <s v="WA"/>
    <s v="Product XKXDO"/>
    <x v="5"/>
    <x v="398"/>
    <d v="2008-01-23T00:00:00"/>
    <x v="1"/>
    <s v="Ship to 70-B"/>
    <x v="20"/>
    <s v="Supplier BWGYE"/>
    <s v="UK"/>
    <x v="1"/>
    <n v="18.399999999999999"/>
  </r>
  <r>
    <n v="10831"/>
    <n v="35"/>
    <n v="18"/>
    <n v="8"/>
    <n v="0"/>
    <s v="Ginters, Kaspars"/>
    <s v="Ginters Kaspars"/>
    <x v="2"/>
    <s v="WA"/>
    <s v="Product NEVTJ"/>
    <x v="6"/>
    <x v="398"/>
    <d v="2008-01-23T00:00:00"/>
    <x v="1"/>
    <s v="Ship to 70-B"/>
    <x v="20"/>
    <s v="Supplier UHZRG"/>
    <s v="USA"/>
    <x v="1"/>
    <n v="144"/>
  </r>
  <r>
    <n v="10831"/>
    <n v="38"/>
    <n v="263.5"/>
    <n v="8"/>
    <n v="0"/>
    <s v="Ginters, Kaspars"/>
    <s v="Ginters Kaspars"/>
    <x v="2"/>
    <s v="WA"/>
    <s v="Product QDOMO"/>
    <x v="6"/>
    <x v="398"/>
    <d v="2008-01-23T00:00:00"/>
    <x v="1"/>
    <s v="Ship to 70-B"/>
    <x v="20"/>
    <s v="Supplier LVJUA"/>
    <s v="France"/>
    <x v="1"/>
    <n v="2108"/>
  </r>
  <r>
    <n v="10831"/>
    <n v="43"/>
    <n v="46"/>
    <n v="9"/>
    <n v="0"/>
    <s v="Ginters, Kaspars"/>
    <s v="Ginters Kaspars"/>
    <x v="2"/>
    <s v="WA"/>
    <s v="Product ZZZHR"/>
    <x v="6"/>
    <x v="398"/>
    <d v="2008-01-23T00:00:00"/>
    <x v="1"/>
    <s v="Ship to 70-B"/>
    <x v="20"/>
    <s v="Supplier CIYNM"/>
    <s v="Singapore"/>
    <x v="1"/>
    <n v="414"/>
  </r>
  <r>
    <n v="10832"/>
    <n v="13"/>
    <n v="6"/>
    <n v="3"/>
    <n v="0.2"/>
    <s v="Litton, Tim"/>
    <s v="Litton Tim"/>
    <x v="8"/>
    <s v="WA"/>
    <s v="Product POXFU"/>
    <x v="3"/>
    <x v="398"/>
    <d v="2008-01-19T00:00:00"/>
    <x v="1"/>
    <s v="Ship to 41-C"/>
    <x v="2"/>
    <s v="Supplier QWUSF"/>
    <s v="Japan"/>
    <x v="1"/>
    <n v="14.4"/>
  </r>
  <r>
    <n v="10832"/>
    <n v="25"/>
    <n v="14"/>
    <n v="10"/>
    <n v="0.2"/>
    <s v="Litton, Tim"/>
    <s v="Litton Tim"/>
    <x v="8"/>
    <s v="WA"/>
    <s v="Product LYLNI"/>
    <x v="5"/>
    <x v="398"/>
    <d v="2008-01-19T00:00:00"/>
    <x v="1"/>
    <s v="Ship to 41-C"/>
    <x v="2"/>
    <s v="Supplier ZPYVS"/>
    <s v="Germany"/>
    <x v="1"/>
    <n v="112"/>
  </r>
  <r>
    <n v="10832"/>
    <n v="44"/>
    <n v="19.45"/>
    <n v="16"/>
    <n v="0.2"/>
    <s v="Litton, Tim"/>
    <s v="Litton Tim"/>
    <x v="8"/>
    <s v="WA"/>
    <s v="Product VJIEO"/>
    <x v="4"/>
    <x v="398"/>
    <d v="2008-01-19T00:00:00"/>
    <x v="1"/>
    <s v="Ship to 41-C"/>
    <x v="2"/>
    <s v="Supplier CIYNM"/>
    <s v="Singapore"/>
    <x v="1"/>
    <n v="248.96"/>
  </r>
  <r>
    <n v="10832"/>
    <n v="64"/>
    <n v="33.25"/>
    <n v="3"/>
    <n v="0"/>
    <s v="Litton, Tim"/>
    <s v="Litton Tim"/>
    <x v="8"/>
    <s v="WA"/>
    <s v="Product HCQDE"/>
    <x v="1"/>
    <x v="398"/>
    <d v="2008-01-19T00:00:00"/>
    <x v="1"/>
    <s v="Ship to 41-C"/>
    <x v="2"/>
    <s v="Supplier SVIYA"/>
    <s v="Germany"/>
    <x v="1"/>
    <n v="99.75"/>
  </r>
  <r>
    <n v="10833"/>
    <n v="7"/>
    <n v="30"/>
    <n v="20"/>
    <n v="0.1"/>
    <s v="Marinova, Nadejda"/>
    <s v="Marinova Nadejda"/>
    <x v="7"/>
    <n v="0"/>
    <s v="Product HMLNI"/>
    <x v="2"/>
    <x v="399"/>
    <d v="2008-01-23T00:00:00"/>
    <x v="1"/>
    <s v="Ship to 56-B"/>
    <x v="8"/>
    <s v="Supplier STUAZ"/>
    <s v="USA"/>
    <x v="1"/>
    <n v="540"/>
  </r>
  <r>
    <n v="10833"/>
    <n v="31"/>
    <n v="12.5"/>
    <n v="9"/>
    <n v="0.1"/>
    <s v="Marinova, Nadejda"/>
    <s v="Marinova Nadejda"/>
    <x v="7"/>
    <n v="0"/>
    <s v="Product XWOXC"/>
    <x v="0"/>
    <x v="399"/>
    <d v="2008-01-23T00:00:00"/>
    <x v="1"/>
    <s v="Ship to 56-B"/>
    <x v="8"/>
    <s v="Supplier KEREV"/>
    <s v="Italy"/>
    <x v="1"/>
    <n v="101.25"/>
  </r>
  <r>
    <n v="10833"/>
    <n v="53"/>
    <n v="32.799999999999997"/>
    <n v="9"/>
    <n v="0.1"/>
    <s v="Marinova, Nadejda"/>
    <s v="Marinova Nadejda"/>
    <x v="7"/>
    <n v="0"/>
    <s v="Product BKGEA"/>
    <x v="7"/>
    <x v="399"/>
    <d v="2008-01-23T00:00:00"/>
    <x v="1"/>
    <s v="Ship to 56-B"/>
    <x v="8"/>
    <s v="Supplier JNNES"/>
    <s v="Australia"/>
    <x v="1"/>
    <n v="265.68"/>
  </r>
  <r>
    <n v="10834"/>
    <n v="29"/>
    <n v="123.79"/>
    <n v="8"/>
    <n v="0.05"/>
    <s v="Nagel, Jean-Philippe"/>
    <s v="Nagel Jean-Philippe"/>
    <x v="5"/>
    <s v="WA"/>
    <s v="Product VJXYN"/>
    <x v="7"/>
    <x v="399"/>
    <d v="2008-01-19T00:00:00"/>
    <x v="3"/>
    <s v="Ship to 81-A"/>
    <x v="1"/>
    <s v="Supplier SVIYA"/>
    <s v="Germany"/>
    <x v="1"/>
    <n v="940.80399999999997"/>
  </r>
  <r>
    <n v="10834"/>
    <n v="30"/>
    <n v="25.89"/>
    <n v="20"/>
    <n v="0.05"/>
    <s v="Nagel, Jean-Philippe"/>
    <s v="Nagel Jean-Philippe"/>
    <x v="5"/>
    <s v="WA"/>
    <s v="Product LYERX"/>
    <x v="3"/>
    <x v="399"/>
    <d v="2008-01-19T00:00:00"/>
    <x v="3"/>
    <s v="Ship to 81-A"/>
    <x v="1"/>
    <s v="Supplier TEGSC"/>
    <s v="Germany"/>
    <x v="1"/>
    <n v="491.90999999999991"/>
  </r>
  <r>
    <n v="10835"/>
    <n v="59"/>
    <n v="55"/>
    <n v="15"/>
    <n v="0"/>
    <s v="Allen, Michael"/>
    <s v="Allen Michael"/>
    <x v="5"/>
    <s v="WA"/>
    <s v="Product UKXRI"/>
    <x v="0"/>
    <x v="399"/>
    <d v="2008-01-21T00:00:00"/>
    <x v="3"/>
    <s v="Destination LOUIE"/>
    <x v="8"/>
    <s v="Supplier OAVQT"/>
    <s v="France"/>
    <x v="1"/>
    <n v="825"/>
  </r>
  <r>
    <n v="10835"/>
    <n v="77"/>
    <n v="13"/>
    <n v="2"/>
    <n v="0.2"/>
    <s v="Allen, Michael"/>
    <s v="Allen Michael"/>
    <x v="5"/>
    <s v="WA"/>
    <s v="Product LUNZZ"/>
    <x v="4"/>
    <x v="399"/>
    <d v="2008-01-21T00:00:00"/>
    <x v="3"/>
    <s v="Destination LOUIE"/>
    <x v="8"/>
    <s v="Supplier SVIYA"/>
    <s v="Germany"/>
    <x v="1"/>
    <n v="20.8"/>
  </r>
  <r>
    <n v="10836"/>
    <n v="22"/>
    <n v="21"/>
    <n v="52"/>
    <n v="0"/>
    <s v="Kane, John"/>
    <s v="Kane John"/>
    <x v="9"/>
    <n v="0"/>
    <s v="Product CPHFY"/>
    <x v="1"/>
    <x v="400"/>
    <d v="2008-01-21T00:00:00"/>
    <x v="2"/>
    <s v="Destination CUVPF"/>
    <x v="6"/>
    <s v="Supplier QQYEU"/>
    <s v="Sweden"/>
    <x v="2"/>
    <n v="1092"/>
  </r>
  <r>
    <n v="10836"/>
    <n v="35"/>
    <n v="18"/>
    <n v="6"/>
    <n v="0"/>
    <s v="Kane, John"/>
    <s v="Kane John"/>
    <x v="9"/>
    <n v="0"/>
    <s v="Product NEVTJ"/>
    <x v="6"/>
    <x v="400"/>
    <d v="2008-01-21T00:00:00"/>
    <x v="2"/>
    <s v="Destination CUVPF"/>
    <x v="6"/>
    <s v="Supplier UHZRG"/>
    <s v="USA"/>
    <x v="2"/>
    <n v="108"/>
  </r>
  <r>
    <n v="10836"/>
    <n v="57"/>
    <n v="19.5"/>
    <n v="24"/>
    <n v="0"/>
    <s v="Kane, John"/>
    <s v="Kane John"/>
    <x v="9"/>
    <n v="0"/>
    <s v="Product OVLQI"/>
    <x v="1"/>
    <x v="400"/>
    <d v="2008-01-21T00:00:00"/>
    <x v="2"/>
    <s v="Destination CUVPF"/>
    <x v="6"/>
    <s v="Supplier ZWZDM"/>
    <s v="Italy"/>
    <x v="2"/>
    <n v="468"/>
  </r>
  <r>
    <n v="10836"/>
    <n v="60"/>
    <n v="34"/>
    <n v="60"/>
    <n v="0"/>
    <s v="Kane, John"/>
    <s v="Kane John"/>
    <x v="9"/>
    <n v="0"/>
    <s v="Product WHBYK"/>
    <x v="0"/>
    <x v="400"/>
    <d v="2008-01-21T00:00:00"/>
    <x v="2"/>
    <s v="Destination CUVPF"/>
    <x v="6"/>
    <s v="Supplier OAVQT"/>
    <s v="France"/>
    <x v="2"/>
    <n v="2040"/>
  </r>
  <r>
    <n v="10836"/>
    <n v="64"/>
    <n v="33.25"/>
    <n v="30"/>
    <n v="0"/>
    <s v="Kane, John"/>
    <s v="Kane John"/>
    <x v="9"/>
    <n v="0"/>
    <s v="Product HCQDE"/>
    <x v="1"/>
    <x v="400"/>
    <d v="2008-01-21T00:00:00"/>
    <x v="2"/>
    <s v="Destination CUVPF"/>
    <x v="6"/>
    <s v="Supplier SVIYA"/>
    <s v="Germany"/>
    <x v="2"/>
    <n v="997.5"/>
  </r>
  <r>
    <n v="10837"/>
    <n v="13"/>
    <n v="6"/>
    <n v="6"/>
    <n v="0"/>
    <s v="Higginbotham, Tom"/>
    <s v="Higginbotham Tom"/>
    <x v="4"/>
    <n v="0"/>
    <s v="Product POXFU"/>
    <x v="3"/>
    <x v="400"/>
    <d v="2008-01-23T00:00:00"/>
    <x v="3"/>
    <s v="Ship to 5-A"/>
    <x v="10"/>
    <s v="Supplier QWUSF"/>
    <s v="Japan"/>
    <x v="1"/>
    <n v="36"/>
  </r>
  <r>
    <n v="10837"/>
    <n v="40"/>
    <n v="18.399999999999999"/>
    <n v="25"/>
    <n v="0"/>
    <s v="Higginbotham, Tom"/>
    <s v="Higginbotham Tom"/>
    <x v="4"/>
    <n v="0"/>
    <s v="Product YZIXQ"/>
    <x v="3"/>
    <x v="400"/>
    <d v="2008-01-23T00:00:00"/>
    <x v="3"/>
    <s v="Ship to 5-A"/>
    <x v="10"/>
    <s v="Supplier JDNUG"/>
    <s v="USA"/>
    <x v="1"/>
    <n v="459.99999999999994"/>
  </r>
  <r>
    <n v="10837"/>
    <n v="47"/>
    <n v="9.5"/>
    <n v="40"/>
    <n v="0.25"/>
    <s v="Higginbotham, Tom"/>
    <s v="Higginbotham Tom"/>
    <x v="4"/>
    <n v="0"/>
    <s v="Product EZZPR"/>
    <x v="5"/>
    <x v="400"/>
    <d v="2008-01-23T00:00:00"/>
    <x v="3"/>
    <s v="Ship to 5-A"/>
    <x v="10"/>
    <s v="Supplier FNUXM"/>
    <s v="Netherlands"/>
    <x v="1"/>
    <n v="285"/>
  </r>
  <r>
    <n v="10837"/>
    <n v="76"/>
    <n v="18"/>
    <n v="21"/>
    <n v="0.25"/>
    <s v="Higginbotham, Tom"/>
    <s v="Higginbotham Tom"/>
    <x v="4"/>
    <n v="0"/>
    <s v="Product JYGFE"/>
    <x v="6"/>
    <x v="400"/>
    <d v="2008-01-23T00:00:00"/>
    <x v="3"/>
    <s v="Ship to 5-A"/>
    <x v="10"/>
    <s v="Supplier ELCRN"/>
    <s v="Finland"/>
    <x v="1"/>
    <n v="283.5"/>
  </r>
  <r>
    <n v="10838"/>
    <n v="1"/>
    <n v="18"/>
    <n v="4"/>
    <n v="0.25"/>
    <s v="Lupu, Cornel"/>
    <s v="Lupu Cornel"/>
    <x v="2"/>
    <s v="WA"/>
    <s v="Product HHYDP"/>
    <x v="6"/>
    <x v="401"/>
    <d v="2008-01-23T00:00:00"/>
    <x v="3"/>
    <s v="Ship to 47-A"/>
    <x v="5"/>
    <s v="Supplier SWRXU"/>
    <s v="UK"/>
    <x v="1"/>
    <n v="54"/>
  </r>
  <r>
    <n v="10838"/>
    <n v="18"/>
    <n v="62.5"/>
    <n v="25"/>
    <n v="0.25"/>
    <s v="Lupu, Cornel"/>
    <s v="Lupu Cornel"/>
    <x v="2"/>
    <s v="WA"/>
    <s v="Product CKEDC"/>
    <x v="3"/>
    <x v="401"/>
    <d v="2008-01-23T00:00:00"/>
    <x v="3"/>
    <s v="Ship to 47-A"/>
    <x v="5"/>
    <s v="Supplier GQRCV"/>
    <s v="Australia"/>
    <x v="1"/>
    <n v="1171.875"/>
  </r>
  <r>
    <n v="10838"/>
    <n v="36"/>
    <n v="19"/>
    <n v="50"/>
    <n v="0.25"/>
    <s v="Lupu, Cornel"/>
    <s v="Lupu Cornel"/>
    <x v="2"/>
    <s v="WA"/>
    <s v="Product GMKIJ"/>
    <x v="3"/>
    <x v="401"/>
    <d v="2008-01-23T00:00:00"/>
    <x v="3"/>
    <s v="Ship to 47-A"/>
    <x v="5"/>
    <s v="Supplier QZGUF"/>
    <s v="Sweden"/>
    <x v="1"/>
    <n v="712.5"/>
  </r>
  <r>
    <n v="10839"/>
    <n v="58"/>
    <n v="13.25"/>
    <n v="30"/>
    <n v="0.1"/>
    <s v="Nagel, Jean-Philippe"/>
    <s v="Nagel Jean-Philippe"/>
    <x v="2"/>
    <s v="WA"/>
    <s v="Product ACRVI"/>
    <x v="3"/>
    <x v="401"/>
    <d v="2008-01-22T00:00:00"/>
    <x v="3"/>
    <s v="Ship to 81-C"/>
    <x v="1"/>
    <s v="Supplier ZRYDZ"/>
    <s v="France"/>
    <x v="1"/>
    <n v="357.75"/>
  </r>
  <r>
    <n v="10839"/>
    <n v="72"/>
    <n v="34.799999999999997"/>
    <n v="15"/>
    <n v="0.1"/>
    <s v="Nagel, Jean-Philippe"/>
    <s v="Nagel Jean-Philippe"/>
    <x v="2"/>
    <s v="WA"/>
    <s v="Product GEEOO"/>
    <x v="0"/>
    <x v="401"/>
    <d v="2008-01-22T00:00:00"/>
    <x v="3"/>
    <s v="Ship to 81-C"/>
    <x v="1"/>
    <s v="Supplier KEREV"/>
    <s v="Italy"/>
    <x v="1"/>
    <n v="469.8"/>
  </r>
  <r>
    <n v="10840"/>
    <n v="25"/>
    <n v="14"/>
    <n v="6"/>
    <n v="0.2"/>
    <s v="Lupu, Cornel"/>
    <s v="Lupu Cornel"/>
    <x v="1"/>
    <s v="WA"/>
    <s v="Product LYLNI"/>
    <x v="5"/>
    <x v="401"/>
    <d v="2008-02-16T00:00:00"/>
    <x v="1"/>
    <s v="Ship to 47-A"/>
    <x v="5"/>
    <s v="Supplier ZPYVS"/>
    <s v="Germany"/>
    <x v="1"/>
    <n v="67.2"/>
  </r>
  <r>
    <n v="10840"/>
    <n v="39"/>
    <n v="18"/>
    <n v="10"/>
    <n v="0.2"/>
    <s v="Lupu, Cornel"/>
    <s v="Lupu Cornel"/>
    <x v="1"/>
    <s v="WA"/>
    <s v="Product LSOFL"/>
    <x v="6"/>
    <x v="401"/>
    <d v="2008-02-16T00:00:00"/>
    <x v="1"/>
    <s v="Ship to 47-A"/>
    <x v="5"/>
    <s v="Supplier LVJUA"/>
    <s v="France"/>
    <x v="1"/>
    <n v="144"/>
  </r>
  <r>
    <n v="10841"/>
    <n v="10"/>
    <n v="31"/>
    <n v="16"/>
    <n v="0"/>
    <s v="Gulbis, Katrin"/>
    <s v="Gulbis Katrin"/>
    <x v="3"/>
    <n v="0"/>
    <s v="Product YHXGE"/>
    <x v="3"/>
    <x v="402"/>
    <d v="2008-01-29T00:00:00"/>
    <x v="1"/>
    <s v="Ship to 76-B"/>
    <x v="3"/>
    <s v="Supplier QOVFD"/>
    <s v="Japan"/>
    <x v="2"/>
    <n v="496"/>
  </r>
  <r>
    <n v="10841"/>
    <n v="56"/>
    <n v="38"/>
    <n v="30"/>
    <n v="0"/>
    <s v="Gulbis, Katrin"/>
    <s v="Gulbis Katrin"/>
    <x v="3"/>
    <n v="0"/>
    <s v="Product VKCMF"/>
    <x v="1"/>
    <x v="402"/>
    <d v="2008-01-29T00:00:00"/>
    <x v="1"/>
    <s v="Ship to 76-B"/>
    <x v="3"/>
    <s v="Supplier ZWZDM"/>
    <s v="Italy"/>
    <x v="2"/>
    <n v="1140"/>
  </r>
  <r>
    <n v="10841"/>
    <n v="59"/>
    <n v="55"/>
    <n v="50"/>
    <n v="0"/>
    <s v="Gulbis, Katrin"/>
    <s v="Gulbis Katrin"/>
    <x v="3"/>
    <n v="0"/>
    <s v="Product UKXRI"/>
    <x v="0"/>
    <x v="402"/>
    <d v="2008-01-29T00:00:00"/>
    <x v="1"/>
    <s v="Ship to 76-B"/>
    <x v="3"/>
    <s v="Supplier OAVQT"/>
    <s v="France"/>
    <x v="2"/>
    <n v="2750"/>
  </r>
  <r>
    <n v="10841"/>
    <n v="77"/>
    <n v="13"/>
    <n v="15"/>
    <n v="0"/>
    <s v="Gulbis, Katrin"/>
    <s v="Gulbis Katrin"/>
    <x v="3"/>
    <n v="0"/>
    <s v="Product LUNZZ"/>
    <x v="4"/>
    <x v="402"/>
    <d v="2008-01-29T00:00:00"/>
    <x v="1"/>
    <s v="Ship to 76-B"/>
    <x v="3"/>
    <s v="Supplier SVIYA"/>
    <s v="Germany"/>
    <x v="2"/>
    <n v="195"/>
  </r>
  <r>
    <n v="10842"/>
    <n v="11"/>
    <n v="21"/>
    <n v="15"/>
    <n v="0"/>
    <s v="Geschwandtner, Jens"/>
    <s v="Geschwandtner Jens"/>
    <x v="5"/>
    <s v="WA"/>
    <s v="Product QMVUN"/>
    <x v="0"/>
    <x v="402"/>
    <d v="2008-01-29T00:00:00"/>
    <x v="3"/>
    <s v="Ship to 80-A"/>
    <x v="7"/>
    <s v="Supplier EQPNC"/>
    <s v="Spain"/>
    <x v="1"/>
    <n v="315"/>
  </r>
  <r>
    <n v="10842"/>
    <n v="43"/>
    <n v="46"/>
    <n v="5"/>
    <n v="0"/>
    <s v="Geschwandtner, Jens"/>
    <s v="Geschwandtner Jens"/>
    <x v="5"/>
    <s v="WA"/>
    <s v="Product ZZZHR"/>
    <x v="6"/>
    <x v="402"/>
    <d v="2008-01-29T00:00:00"/>
    <x v="3"/>
    <s v="Ship to 80-A"/>
    <x v="7"/>
    <s v="Supplier CIYNM"/>
    <s v="Singapore"/>
    <x v="1"/>
    <n v="230"/>
  </r>
  <r>
    <n v="10842"/>
    <n v="68"/>
    <n v="12.5"/>
    <n v="20"/>
    <n v="0"/>
    <s v="Geschwandtner, Jens"/>
    <s v="Geschwandtner Jens"/>
    <x v="5"/>
    <s v="WA"/>
    <s v="Product TBTBL"/>
    <x v="5"/>
    <x v="402"/>
    <d v="2008-01-29T00:00:00"/>
    <x v="3"/>
    <s v="Ship to 80-A"/>
    <x v="7"/>
    <s v="Supplier BWGYE"/>
    <s v="UK"/>
    <x v="1"/>
    <n v="250"/>
  </r>
  <r>
    <n v="10842"/>
    <n v="70"/>
    <n v="15"/>
    <n v="12"/>
    <n v="0"/>
    <s v="Geschwandtner, Jens"/>
    <s v="Geschwandtner Jens"/>
    <x v="5"/>
    <s v="WA"/>
    <s v="Product TOONT"/>
    <x v="6"/>
    <x v="402"/>
    <d v="2008-01-29T00:00:00"/>
    <x v="3"/>
    <s v="Ship to 80-A"/>
    <x v="7"/>
    <s v="Supplier GQRCV"/>
    <s v="Australia"/>
    <x v="1"/>
    <n v="180"/>
  </r>
  <r>
    <n v="10843"/>
    <n v="51"/>
    <n v="53"/>
    <n v="4"/>
    <n v="0.25"/>
    <s v="Tuntisangaroon, Sittichai"/>
    <s v="Tuntisangaroon Sittichai"/>
    <x v="1"/>
    <s v="WA"/>
    <s v="Product APITJ"/>
    <x v="2"/>
    <x v="403"/>
    <d v="2008-01-26T00:00:00"/>
    <x v="1"/>
    <s v="Ship to 84-C"/>
    <x v="2"/>
    <s v="Supplier JNNES"/>
    <s v="Australia"/>
    <x v="1"/>
    <n v="159"/>
  </r>
  <r>
    <n v="10844"/>
    <n v="22"/>
    <n v="21"/>
    <n v="35"/>
    <n v="0"/>
    <s v="Meston, Tosh"/>
    <s v="Meston Tosh"/>
    <x v="6"/>
    <s v="WA"/>
    <s v="Product CPHFY"/>
    <x v="1"/>
    <x v="403"/>
    <d v="2008-01-26T00:00:00"/>
    <x v="1"/>
    <s v="Ship to 59-A"/>
    <x v="6"/>
    <s v="Supplier QQYEU"/>
    <s v="Sweden"/>
    <x v="1"/>
    <n v="735"/>
  </r>
  <r>
    <n v="10845"/>
    <n v="23"/>
    <n v="9"/>
    <n v="70"/>
    <n v="0.1"/>
    <s v="Veronesi, Giorgio"/>
    <s v="Veronesi Giorgio"/>
    <x v="6"/>
    <s v="WA"/>
    <s v="Product JLUDZ"/>
    <x v="1"/>
    <x v="403"/>
    <d v="2008-01-30T00:00:00"/>
    <x v="2"/>
    <s v="Ship to 63-A"/>
    <x v="8"/>
    <s v="Supplier QQYEU"/>
    <s v="Sweden"/>
    <x v="2"/>
    <n v="567"/>
  </r>
  <r>
    <n v="10845"/>
    <n v="35"/>
    <n v="18"/>
    <n v="25"/>
    <n v="0.1"/>
    <s v="Veronesi, Giorgio"/>
    <s v="Veronesi Giorgio"/>
    <x v="6"/>
    <s v="WA"/>
    <s v="Product NEVTJ"/>
    <x v="6"/>
    <x v="403"/>
    <d v="2008-01-30T00:00:00"/>
    <x v="2"/>
    <s v="Ship to 63-A"/>
    <x v="8"/>
    <s v="Supplier UHZRG"/>
    <s v="USA"/>
    <x v="2"/>
    <n v="405"/>
  </r>
  <r>
    <n v="10845"/>
    <n v="42"/>
    <n v="14"/>
    <n v="42"/>
    <n v="0.1"/>
    <s v="Veronesi, Giorgio"/>
    <s v="Veronesi Giorgio"/>
    <x v="6"/>
    <s v="WA"/>
    <s v="Product RJVNM"/>
    <x v="1"/>
    <x v="403"/>
    <d v="2008-01-30T00:00:00"/>
    <x v="2"/>
    <s v="Ship to 63-A"/>
    <x v="8"/>
    <s v="Supplier CIYNM"/>
    <s v="Singapore"/>
    <x v="2"/>
    <n v="529.20000000000005"/>
  </r>
  <r>
    <n v="10845"/>
    <n v="58"/>
    <n v="13.25"/>
    <n v="60"/>
    <n v="0.1"/>
    <s v="Veronesi, Giorgio"/>
    <s v="Veronesi Giorgio"/>
    <x v="6"/>
    <s v="WA"/>
    <s v="Product ACRVI"/>
    <x v="3"/>
    <x v="403"/>
    <d v="2008-01-30T00:00:00"/>
    <x v="2"/>
    <s v="Ship to 63-A"/>
    <x v="8"/>
    <s v="Supplier ZRYDZ"/>
    <s v="France"/>
    <x v="2"/>
    <n v="715.5"/>
  </r>
  <r>
    <n v="10845"/>
    <n v="64"/>
    <n v="33.25"/>
    <n v="48"/>
    <n v="0"/>
    <s v="Veronesi, Giorgio"/>
    <s v="Veronesi Giorgio"/>
    <x v="6"/>
    <s v="WA"/>
    <s v="Product HCQDE"/>
    <x v="1"/>
    <x v="403"/>
    <d v="2008-01-30T00:00:00"/>
    <x v="2"/>
    <s v="Ship to 63-A"/>
    <x v="8"/>
    <s v="Supplier SVIYA"/>
    <s v="Germany"/>
    <x v="2"/>
    <n v="1596"/>
  </r>
  <r>
    <n v="10846"/>
    <n v="4"/>
    <n v="22"/>
    <n v="21"/>
    <n v="0"/>
    <s v="Gulbis, Katrin"/>
    <s v="Gulbis Katrin"/>
    <x v="8"/>
    <s v="WA"/>
    <s v="Product KSBRM"/>
    <x v="4"/>
    <x v="404"/>
    <d v="2008-01-23T00:00:00"/>
    <x v="3"/>
    <s v="Ship to 76-C"/>
    <x v="3"/>
    <s v="Supplier VHQZD"/>
    <s v="USA"/>
    <x v="1"/>
    <n v="462"/>
  </r>
  <r>
    <n v="10846"/>
    <n v="70"/>
    <n v="15"/>
    <n v="30"/>
    <n v="0"/>
    <s v="Gulbis, Katrin"/>
    <s v="Gulbis Katrin"/>
    <x v="8"/>
    <s v="WA"/>
    <s v="Product TOONT"/>
    <x v="6"/>
    <x v="404"/>
    <d v="2008-01-23T00:00:00"/>
    <x v="3"/>
    <s v="Ship to 76-C"/>
    <x v="3"/>
    <s v="Supplier GQRCV"/>
    <s v="Australia"/>
    <x v="1"/>
    <n v="450"/>
  </r>
  <r>
    <n v="10846"/>
    <n v="74"/>
    <n v="10"/>
    <n v="20"/>
    <n v="0"/>
    <s v="Gulbis, Katrin"/>
    <s v="Gulbis Katrin"/>
    <x v="8"/>
    <s v="WA"/>
    <s v="Product BKAZJ"/>
    <x v="2"/>
    <x v="404"/>
    <d v="2008-01-23T00:00:00"/>
    <x v="3"/>
    <s v="Ship to 76-C"/>
    <x v="3"/>
    <s v="Supplier QOVFD"/>
    <s v="Japan"/>
    <x v="1"/>
    <n v="200"/>
  </r>
  <r>
    <n v="10847"/>
    <n v="1"/>
    <n v="18"/>
    <n v="80"/>
    <n v="0.2"/>
    <s v="Navarro, Tomás"/>
    <s v="Navarro Tomás"/>
    <x v="1"/>
    <s v="WA"/>
    <s v="Product HHYDP"/>
    <x v="6"/>
    <x v="404"/>
    <d v="2008-02-10T00:00:00"/>
    <x v="3"/>
    <s v="Ship to 71-A"/>
    <x v="9"/>
    <s v="Supplier SWRXU"/>
    <s v="UK"/>
    <x v="2"/>
    <n v="1152"/>
  </r>
  <r>
    <n v="10847"/>
    <n v="19"/>
    <n v="9.1999999999999993"/>
    <n v="12"/>
    <n v="0.2"/>
    <s v="Navarro, Tomás"/>
    <s v="Navarro Tomás"/>
    <x v="1"/>
    <s v="WA"/>
    <s v="Product XKXDO"/>
    <x v="5"/>
    <x v="404"/>
    <d v="2008-02-10T00:00:00"/>
    <x v="3"/>
    <s v="Ship to 71-A"/>
    <x v="9"/>
    <s v="Supplier BWGYE"/>
    <s v="UK"/>
    <x v="2"/>
    <n v="88.32"/>
  </r>
  <r>
    <n v="10847"/>
    <n v="37"/>
    <n v="26"/>
    <n v="60"/>
    <n v="0.2"/>
    <s v="Navarro, Tomás"/>
    <s v="Navarro Tomás"/>
    <x v="1"/>
    <s v="WA"/>
    <s v="Product EVFFA"/>
    <x v="3"/>
    <x v="404"/>
    <d v="2008-02-10T00:00:00"/>
    <x v="3"/>
    <s v="Ship to 71-A"/>
    <x v="9"/>
    <s v="Supplier QZGUF"/>
    <s v="Sweden"/>
    <x v="2"/>
    <n v="1248"/>
  </r>
  <r>
    <n v="10847"/>
    <n v="45"/>
    <n v="9.5"/>
    <n v="36"/>
    <n v="0.2"/>
    <s v="Navarro, Tomás"/>
    <s v="Navarro Tomás"/>
    <x v="1"/>
    <s v="WA"/>
    <s v="Product AQOKR"/>
    <x v="3"/>
    <x v="404"/>
    <d v="2008-02-10T00:00:00"/>
    <x v="3"/>
    <s v="Ship to 71-A"/>
    <x v="9"/>
    <s v="Supplier XOXZA"/>
    <s v="Denmark"/>
    <x v="2"/>
    <n v="273.60000000000002"/>
  </r>
  <r>
    <n v="10847"/>
    <n v="60"/>
    <n v="34"/>
    <n v="45"/>
    <n v="0.2"/>
    <s v="Navarro, Tomás"/>
    <s v="Navarro Tomás"/>
    <x v="1"/>
    <s v="WA"/>
    <s v="Product WHBYK"/>
    <x v="0"/>
    <x v="404"/>
    <d v="2008-02-10T00:00:00"/>
    <x v="3"/>
    <s v="Ship to 71-A"/>
    <x v="9"/>
    <s v="Supplier OAVQT"/>
    <s v="France"/>
    <x v="2"/>
    <n v="1224"/>
  </r>
  <r>
    <n v="10847"/>
    <n v="71"/>
    <n v="21.5"/>
    <n v="55"/>
    <n v="0.2"/>
    <s v="Navarro, Tomás"/>
    <s v="Navarro Tomás"/>
    <x v="1"/>
    <s v="WA"/>
    <s v="Product MYMOI"/>
    <x v="0"/>
    <x v="404"/>
    <d v="2008-02-10T00:00:00"/>
    <x v="3"/>
    <s v="Ship to 71-A"/>
    <x v="9"/>
    <s v="Supplier NZLIF"/>
    <s v="Norway"/>
    <x v="2"/>
    <n v="946"/>
  </r>
  <r>
    <n v="10848"/>
    <n v="5"/>
    <n v="21.35"/>
    <n v="30"/>
    <n v="0"/>
    <s v="Birkby, Dana"/>
    <s v="Birkby Dana"/>
    <x v="9"/>
    <n v="0"/>
    <s v="Product EPEIM"/>
    <x v="4"/>
    <x v="405"/>
    <d v="2008-01-29T00:00:00"/>
    <x v="1"/>
    <s v="Destination QKQNB"/>
    <x v="14"/>
    <s v="Supplier VHQZD"/>
    <s v="USA"/>
    <x v="1"/>
    <n v="640.5"/>
  </r>
  <r>
    <n v="10848"/>
    <n v="9"/>
    <n v="97"/>
    <n v="3"/>
    <n v="0"/>
    <s v="Birkby, Dana"/>
    <s v="Birkby Dana"/>
    <x v="9"/>
    <n v="0"/>
    <s v="Product AOZBW"/>
    <x v="7"/>
    <x v="405"/>
    <d v="2008-01-29T00:00:00"/>
    <x v="1"/>
    <s v="Destination QKQNB"/>
    <x v="14"/>
    <s v="Supplier QOVFD"/>
    <s v="Japan"/>
    <x v="1"/>
    <n v="291"/>
  </r>
  <r>
    <n v="10849"/>
    <n v="3"/>
    <n v="10"/>
    <n v="49"/>
    <n v="0"/>
    <s v="Song, Lolan"/>
    <s v="Song Lolan"/>
    <x v="4"/>
    <n v="0"/>
    <s v="Product IMEHJ"/>
    <x v="4"/>
    <x v="405"/>
    <d v="2008-01-30T00:00:00"/>
    <x v="1"/>
    <s v="Destination DKMQA"/>
    <x v="8"/>
    <s v="Supplier SWRXU"/>
    <s v="UK"/>
    <x v="1"/>
    <n v="490"/>
  </r>
  <r>
    <n v="10849"/>
    <n v="26"/>
    <n v="31.23"/>
    <n v="18"/>
    <n v="0.15"/>
    <s v="Song, Lolan"/>
    <s v="Song Lolan"/>
    <x v="4"/>
    <n v="0"/>
    <s v="Product HLGZA"/>
    <x v="5"/>
    <x v="405"/>
    <d v="2008-01-30T00:00:00"/>
    <x v="1"/>
    <s v="Destination DKMQA"/>
    <x v="8"/>
    <s v="Supplier ZPYVS"/>
    <s v="Germany"/>
    <x v="1"/>
    <n v="477.81899999999996"/>
  </r>
  <r>
    <n v="10850"/>
    <n v="25"/>
    <n v="14"/>
    <n v="20"/>
    <n v="0.15"/>
    <s v="Tuntisangaroon, Sittichai"/>
    <s v="Tuntisangaroon Sittichai"/>
    <x v="5"/>
    <s v="WA"/>
    <s v="Product LYLNI"/>
    <x v="5"/>
    <x v="405"/>
    <d v="2008-01-30T00:00:00"/>
    <x v="2"/>
    <s v="Ship to 84-C"/>
    <x v="2"/>
    <s v="Supplier ZPYVS"/>
    <s v="Germany"/>
    <x v="1"/>
    <n v="238"/>
  </r>
  <r>
    <n v="10850"/>
    <n v="33"/>
    <n v="2.5"/>
    <n v="4"/>
    <n v="0.15"/>
    <s v="Tuntisangaroon, Sittichai"/>
    <s v="Tuntisangaroon Sittichai"/>
    <x v="5"/>
    <s v="WA"/>
    <s v="Product ASTMN"/>
    <x v="0"/>
    <x v="405"/>
    <d v="2008-01-30T00:00:00"/>
    <x v="2"/>
    <s v="Ship to 84-C"/>
    <x v="2"/>
    <s v="Supplier NZLIF"/>
    <s v="Norway"/>
    <x v="1"/>
    <n v="8.5"/>
  </r>
  <r>
    <n v="10850"/>
    <n v="70"/>
    <n v="15"/>
    <n v="30"/>
    <n v="0.15"/>
    <s v="Tuntisangaroon, Sittichai"/>
    <s v="Tuntisangaroon Sittichai"/>
    <x v="5"/>
    <s v="WA"/>
    <s v="Product TOONT"/>
    <x v="6"/>
    <x v="405"/>
    <d v="2008-01-30T00:00:00"/>
    <x v="2"/>
    <s v="Ship to 84-C"/>
    <x v="2"/>
    <s v="Supplier GQRCV"/>
    <s v="Australia"/>
    <x v="1"/>
    <n v="382.5"/>
  </r>
  <r>
    <n v="10851"/>
    <n v="2"/>
    <n v="19"/>
    <n v="5"/>
    <n v="0.05"/>
    <s v="Garden, Euan"/>
    <s v="Garden Euan"/>
    <x v="3"/>
    <n v="0"/>
    <s v="Product RECZE"/>
    <x v="6"/>
    <x v="406"/>
    <d v="2008-02-02T00:00:00"/>
    <x v="2"/>
    <s v="Ship to 67-C"/>
    <x v="1"/>
    <s v="Supplier SWRXU"/>
    <s v="UK"/>
    <x v="2"/>
    <n v="90.25"/>
  </r>
  <r>
    <n v="10851"/>
    <n v="25"/>
    <n v="14"/>
    <n v="10"/>
    <n v="0.05"/>
    <s v="Garden, Euan"/>
    <s v="Garden Euan"/>
    <x v="3"/>
    <n v="0"/>
    <s v="Product LYLNI"/>
    <x v="5"/>
    <x v="406"/>
    <d v="2008-02-02T00:00:00"/>
    <x v="2"/>
    <s v="Ship to 67-C"/>
    <x v="1"/>
    <s v="Supplier ZPYVS"/>
    <s v="Germany"/>
    <x v="2"/>
    <n v="133"/>
  </r>
  <r>
    <n v="10851"/>
    <n v="57"/>
    <n v="19.5"/>
    <n v="10"/>
    <n v="0.05"/>
    <s v="Garden, Euan"/>
    <s v="Garden Euan"/>
    <x v="3"/>
    <n v="0"/>
    <s v="Product OVLQI"/>
    <x v="1"/>
    <x v="406"/>
    <d v="2008-02-02T00:00:00"/>
    <x v="2"/>
    <s v="Ship to 67-C"/>
    <x v="1"/>
    <s v="Supplier ZWZDM"/>
    <s v="Italy"/>
    <x v="2"/>
    <n v="185.25"/>
  </r>
  <r>
    <n v="10851"/>
    <n v="59"/>
    <n v="55"/>
    <n v="42"/>
    <n v="0.05"/>
    <s v="Garden, Euan"/>
    <s v="Garden Euan"/>
    <x v="3"/>
    <n v="0"/>
    <s v="Product UKXRI"/>
    <x v="0"/>
    <x v="406"/>
    <d v="2008-02-02T00:00:00"/>
    <x v="2"/>
    <s v="Ship to 67-C"/>
    <x v="1"/>
    <s v="Supplier OAVQT"/>
    <s v="France"/>
    <x v="2"/>
    <n v="2194.5"/>
  </r>
  <r>
    <n v="10852"/>
    <n v="2"/>
    <n v="19"/>
    <n v="15"/>
    <n v="0"/>
    <s v="Moore, Michael"/>
    <s v="Moore Michael"/>
    <x v="6"/>
    <s v="WA"/>
    <s v="Product RECZE"/>
    <x v="6"/>
    <x v="406"/>
    <d v="2008-01-30T00:00:00"/>
    <x v="2"/>
    <s v="Ship to 65-A"/>
    <x v="9"/>
    <s v="Supplier SWRXU"/>
    <s v="UK"/>
    <x v="2"/>
    <n v="285"/>
  </r>
  <r>
    <n v="10852"/>
    <n v="17"/>
    <n v="39"/>
    <n v="6"/>
    <n v="0"/>
    <s v="Moore, Michael"/>
    <s v="Moore Michael"/>
    <x v="6"/>
    <s v="WA"/>
    <s v="Product BLCAX"/>
    <x v="7"/>
    <x v="406"/>
    <d v="2008-01-30T00:00:00"/>
    <x v="2"/>
    <s v="Ship to 65-A"/>
    <x v="9"/>
    <s v="Supplier GQRCV"/>
    <s v="Australia"/>
    <x v="2"/>
    <n v="234"/>
  </r>
  <r>
    <n v="10852"/>
    <n v="62"/>
    <n v="49.3"/>
    <n v="50"/>
    <n v="0"/>
    <s v="Moore, Michael"/>
    <s v="Moore Michael"/>
    <x v="6"/>
    <s v="WA"/>
    <s v="Product WUXYK"/>
    <x v="5"/>
    <x v="406"/>
    <d v="2008-01-30T00:00:00"/>
    <x v="2"/>
    <s v="Ship to 65-A"/>
    <x v="9"/>
    <s v="Supplier OGLRK"/>
    <s v="Canada"/>
    <x v="2"/>
    <n v="2465"/>
  </r>
  <r>
    <n v="10853"/>
    <n v="18"/>
    <n v="62.5"/>
    <n v="10"/>
    <n v="0"/>
    <s v="Poland, Carole"/>
    <s v="Poland Carole"/>
    <x v="4"/>
    <n v="0"/>
    <s v="Product CKEDC"/>
    <x v="3"/>
    <x v="407"/>
    <d v="2008-02-03T00:00:00"/>
    <x v="1"/>
    <s v="Ship to 6-B"/>
    <x v="8"/>
    <s v="Supplier GQRCV"/>
    <s v="Australia"/>
    <x v="1"/>
    <n v="625"/>
  </r>
  <r>
    <n v="10854"/>
    <n v="10"/>
    <n v="31"/>
    <n v="100"/>
    <n v="0.15"/>
    <s v="Kane, John"/>
    <s v="Kane John"/>
    <x v="2"/>
    <s v="WA"/>
    <s v="Product YHXGE"/>
    <x v="3"/>
    <x v="407"/>
    <d v="2008-02-05T00:00:00"/>
    <x v="1"/>
    <s v="Destination CUVPF"/>
    <x v="6"/>
    <s v="Supplier QOVFD"/>
    <s v="Japan"/>
    <x v="2"/>
    <n v="2635"/>
  </r>
  <r>
    <n v="10854"/>
    <n v="13"/>
    <n v="6"/>
    <n v="65"/>
    <n v="0.15"/>
    <s v="Kane, John"/>
    <s v="Kane John"/>
    <x v="2"/>
    <s v="WA"/>
    <s v="Product POXFU"/>
    <x v="3"/>
    <x v="407"/>
    <d v="2008-02-05T00:00:00"/>
    <x v="1"/>
    <s v="Destination CUVPF"/>
    <x v="6"/>
    <s v="Supplier QWUSF"/>
    <s v="Japan"/>
    <x v="2"/>
    <n v="331.5"/>
  </r>
  <r>
    <n v="10855"/>
    <n v="16"/>
    <n v="17.45"/>
    <n v="50"/>
    <n v="0"/>
    <s v="Egelund-Muller, Anja"/>
    <s v="Egelund-Muller Anja"/>
    <x v="2"/>
    <s v="WA"/>
    <s v="Product PAFRH"/>
    <x v="5"/>
    <x v="407"/>
    <d v="2008-02-04T00:00:00"/>
    <x v="2"/>
    <s v="Ship to 55-A"/>
    <x v="9"/>
    <s v="Supplier GQRCV"/>
    <s v="Australia"/>
    <x v="2"/>
    <n v="872.5"/>
  </r>
  <r>
    <n v="10855"/>
    <n v="31"/>
    <n v="12.5"/>
    <n v="14"/>
    <n v="0"/>
    <s v="Egelund-Muller, Anja"/>
    <s v="Egelund-Muller Anja"/>
    <x v="2"/>
    <s v="WA"/>
    <s v="Product XWOXC"/>
    <x v="0"/>
    <x v="407"/>
    <d v="2008-02-04T00:00:00"/>
    <x v="2"/>
    <s v="Ship to 55-A"/>
    <x v="9"/>
    <s v="Supplier KEREV"/>
    <s v="Italy"/>
    <x v="2"/>
    <n v="175"/>
  </r>
  <r>
    <n v="10855"/>
    <n v="56"/>
    <n v="38"/>
    <n v="24"/>
    <n v="0"/>
    <s v="Egelund-Muller, Anja"/>
    <s v="Egelund-Muller Anja"/>
    <x v="2"/>
    <s v="WA"/>
    <s v="Product VKCMF"/>
    <x v="1"/>
    <x v="407"/>
    <d v="2008-02-04T00:00:00"/>
    <x v="2"/>
    <s v="Ship to 55-A"/>
    <x v="9"/>
    <s v="Supplier ZWZDM"/>
    <s v="Italy"/>
    <x v="2"/>
    <n v="912"/>
  </r>
  <r>
    <n v="10855"/>
    <n v="65"/>
    <n v="21.05"/>
    <n v="15"/>
    <n v="0.15"/>
    <s v="Egelund-Muller, Anja"/>
    <s v="Egelund-Muller Anja"/>
    <x v="2"/>
    <s v="WA"/>
    <s v="Product XYWBZ"/>
    <x v="4"/>
    <x v="407"/>
    <d v="2008-02-04T00:00:00"/>
    <x v="2"/>
    <s v="Ship to 55-A"/>
    <x v="9"/>
    <s v="Supplier VHQZD"/>
    <s v="USA"/>
    <x v="2"/>
    <n v="268.38749999999999"/>
  </r>
  <r>
    <n v="10856"/>
    <n v="2"/>
    <n v="19"/>
    <n v="20"/>
    <n v="0"/>
    <s v="Peoples, John"/>
    <s v="Peoples John"/>
    <x v="2"/>
    <s v="WA"/>
    <s v="Product RECZE"/>
    <x v="6"/>
    <x v="408"/>
    <d v="2008-02-10T00:00:00"/>
    <x v="1"/>
    <s v="Destination FQFLS"/>
    <x v="7"/>
    <s v="Supplier SWRXU"/>
    <s v="UK"/>
    <x v="1"/>
    <n v="380"/>
  </r>
  <r>
    <n v="10856"/>
    <n v="42"/>
    <n v="14"/>
    <n v="20"/>
    <n v="0"/>
    <s v="Peoples, John"/>
    <s v="Peoples John"/>
    <x v="2"/>
    <s v="WA"/>
    <s v="Product RJVNM"/>
    <x v="1"/>
    <x v="408"/>
    <d v="2008-02-10T00:00:00"/>
    <x v="1"/>
    <s v="Destination FQFLS"/>
    <x v="7"/>
    <s v="Supplier CIYNM"/>
    <s v="Singapore"/>
    <x v="1"/>
    <n v="280"/>
  </r>
  <r>
    <n v="10857"/>
    <n v="3"/>
    <n v="10"/>
    <n v="30"/>
    <n v="0"/>
    <s v="Higginbotham, Tom"/>
    <s v="Higginbotham Tom"/>
    <x v="6"/>
    <s v="WA"/>
    <s v="Product IMEHJ"/>
    <x v="4"/>
    <x v="408"/>
    <d v="2008-02-06T00:00:00"/>
    <x v="1"/>
    <s v="Ship to 5-B"/>
    <x v="10"/>
    <s v="Supplier SWRXU"/>
    <s v="UK"/>
    <x v="2"/>
    <n v="300"/>
  </r>
  <r>
    <n v="10857"/>
    <n v="26"/>
    <n v="31.23"/>
    <n v="35"/>
    <n v="0.25"/>
    <s v="Higginbotham, Tom"/>
    <s v="Higginbotham Tom"/>
    <x v="6"/>
    <s v="WA"/>
    <s v="Product HLGZA"/>
    <x v="5"/>
    <x v="408"/>
    <d v="2008-02-06T00:00:00"/>
    <x v="1"/>
    <s v="Ship to 5-B"/>
    <x v="10"/>
    <s v="Supplier ZPYVS"/>
    <s v="Germany"/>
    <x v="2"/>
    <n v="819.78749999999991"/>
  </r>
  <r>
    <n v="10857"/>
    <n v="29"/>
    <n v="123.79"/>
    <n v="10"/>
    <n v="0.25"/>
    <s v="Higginbotham, Tom"/>
    <s v="Higginbotham Tom"/>
    <x v="6"/>
    <s v="WA"/>
    <s v="Product VJXYN"/>
    <x v="7"/>
    <x v="408"/>
    <d v="2008-02-06T00:00:00"/>
    <x v="1"/>
    <s v="Ship to 5-B"/>
    <x v="10"/>
    <s v="Supplier SVIYA"/>
    <s v="Germany"/>
    <x v="2"/>
    <n v="928.42500000000007"/>
  </r>
  <r>
    <n v="10858"/>
    <n v="7"/>
    <n v="30"/>
    <n v="5"/>
    <n v="0"/>
    <s v="De Oliveira, Jose"/>
    <s v="De Oliveira Jose"/>
    <x v="8"/>
    <s v="WA"/>
    <s v="Product HMLNI"/>
    <x v="2"/>
    <x v="409"/>
    <d v="2008-02-03T00:00:00"/>
    <x v="2"/>
    <s v="Destination POAEW"/>
    <x v="2"/>
    <s v="Supplier STUAZ"/>
    <s v="USA"/>
    <x v="1"/>
    <n v="150"/>
  </r>
  <r>
    <n v="10858"/>
    <n v="27"/>
    <n v="43.9"/>
    <n v="10"/>
    <n v="0"/>
    <s v="De Oliveira, Jose"/>
    <s v="De Oliveira Jose"/>
    <x v="8"/>
    <s v="WA"/>
    <s v="Product SMIOH"/>
    <x v="5"/>
    <x v="409"/>
    <d v="2008-02-03T00:00:00"/>
    <x v="2"/>
    <s v="Destination POAEW"/>
    <x v="2"/>
    <s v="Supplier ZPYVS"/>
    <s v="Germany"/>
    <x v="1"/>
    <n v="439"/>
  </r>
  <r>
    <n v="10858"/>
    <n v="70"/>
    <n v="15"/>
    <n v="4"/>
    <n v="0"/>
    <s v="De Oliveira, Jose"/>
    <s v="De Oliveira Jose"/>
    <x v="8"/>
    <s v="WA"/>
    <s v="Product TOONT"/>
    <x v="6"/>
    <x v="409"/>
    <d v="2008-02-03T00:00:00"/>
    <x v="2"/>
    <s v="Destination POAEW"/>
    <x v="2"/>
    <s v="Supplier GQRCV"/>
    <s v="Australia"/>
    <x v="1"/>
    <n v="60"/>
  </r>
  <r>
    <n v="10859"/>
    <n v="24"/>
    <n v="4.5"/>
    <n v="40"/>
    <n v="0.25"/>
    <s v="Carlson, Jason"/>
    <s v="Carlson Jason"/>
    <x v="5"/>
    <s v="WA"/>
    <s v="Product QOGNU"/>
    <x v="6"/>
    <x v="409"/>
    <d v="2008-02-02T00:00:00"/>
    <x v="1"/>
    <s v="Destination QOCBL"/>
    <x v="8"/>
    <s v="Supplier UNAHG"/>
    <s v="Brazil"/>
    <x v="1"/>
    <n v="135"/>
  </r>
  <r>
    <n v="10859"/>
    <n v="54"/>
    <n v="7.45"/>
    <n v="35"/>
    <n v="0.25"/>
    <s v="Carlson, Jason"/>
    <s v="Carlson Jason"/>
    <x v="5"/>
    <s v="WA"/>
    <s v="Product QAQRL"/>
    <x v="7"/>
    <x v="409"/>
    <d v="2008-02-02T00:00:00"/>
    <x v="1"/>
    <s v="Destination QOCBL"/>
    <x v="8"/>
    <s v="Supplier ERVYZ"/>
    <s v="Canada"/>
    <x v="1"/>
    <n v="195.5625"/>
  </r>
  <r>
    <n v="10859"/>
    <n v="64"/>
    <n v="33.25"/>
    <n v="30"/>
    <n v="0.25"/>
    <s v="Carlson, Jason"/>
    <s v="Carlson Jason"/>
    <x v="5"/>
    <s v="WA"/>
    <s v="Product HCQDE"/>
    <x v="1"/>
    <x v="409"/>
    <d v="2008-02-02T00:00:00"/>
    <x v="1"/>
    <s v="Destination QOCBL"/>
    <x v="8"/>
    <s v="Supplier SVIYA"/>
    <s v="Germany"/>
    <x v="1"/>
    <n v="748.125"/>
  </r>
  <r>
    <n v="10860"/>
    <n v="51"/>
    <n v="53"/>
    <n v="3"/>
    <n v="0"/>
    <s v="Koch, Paul"/>
    <s v="Koch Paul"/>
    <x v="2"/>
    <s v="WA"/>
    <s v="Product APITJ"/>
    <x v="2"/>
    <x v="409"/>
    <d v="2008-02-04T00:00:00"/>
    <x v="3"/>
    <s v="Destination XBVKN"/>
    <x v="2"/>
    <s v="Supplier JNNES"/>
    <s v="Australia"/>
    <x v="1"/>
    <n v="159"/>
  </r>
  <r>
    <n v="10860"/>
    <n v="76"/>
    <n v="18"/>
    <n v="20"/>
    <n v="0"/>
    <s v="Koch, Paul"/>
    <s v="Koch Paul"/>
    <x v="2"/>
    <s v="WA"/>
    <s v="Product JYGFE"/>
    <x v="6"/>
    <x v="409"/>
    <d v="2008-02-04T00:00:00"/>
    <x v="3"/>
    <s v="Destination XBVKN"/>
    <x v="2"/>
    <s v="Supplier ELCRN"/>
    <s v="Finland"/>
    <x v="1"/>
    <n v="360"/>
  </r>
  <r>
    <n v="10861"/>
    <n v="17"/>
    <n v="39"/>
    <n v="42"/>
    <n v="0"/>
    <s v="Smith Jr., Ronaldo"/>
    <s v="Smith Jr. Ronaldo"/>
    <x v="1"/>
    <s v="WA"/>
    <s v="Product BLCAX"/>
    <x v="7"/>
    <x v="410"/>
    <d v="2008-02-17T00:00:00"/>
    <x v="1"/>
    <s v="Ship to 89-C"/>
    <x v="9"/>
    <s v="Supplier GQRCV"/>
    <s v="Australia"/>
    <x v="1"/>
    <n v="1638"/>
  </r>
  <r>
    <n v="10861"/>
    <n v="18"/>
    <n v="62.5"/>
    <n v="20"/>
    <n v="0"/>
    <s v="Smith Jr., Ronaldo"/>
    <s v="Smith Jr. Ronaldo"/>
    <x v="1"/>
    <s v="WA"/>
    <s v="Product CKEDC"/>
    <x v="3"/>
    <x v="410"/>
    <d v="2008-02-17T00:00:00"/>
    <x v="1"/>
    <s v="Ship to 89-C"/>
    <x v="9"/>
    <s v="Supplier GQRCV"/>
    <s v="Australia"/>
    <x v="1"/>
    <n v="1250"/>
  </r>
  <r>
    <n v="10861"/>
    <n v="21"/>
    <n v="10"/>
    <n v="40"/>
    <n v="0"/>
    <s v="Smith Jr., Ronaldo"/>
    <s v="Smith Jr. Ronaldo"/>
    <x v="1"/>
    <s v="WA"/>
    <s v="Product VJZZH"/>
    <x v="5"/>
    <x v="410"/>
    <d v="2008-02-17T00:00:00"/>
    <x v="1"/>
    <s v="Ship to 89-C"/>
    <x v="9"/>
    <s v="Supplier BWGYE"/>
    <s v="UK"/>
    <x v="1"/>
    <n v="400"/>
  </r>
  <r>
    <n v="10861"/>
    <n v="33"/>
    <n v="2.5"/>
    <n v="35"/>
    <n v="0"/>
    <s v="Smith Jr., Ronaldo"/>
    <s v="Smith Jr. Ronaldo"/>
    <x v="1"/>
    <s v="WA"/>
    <s v="Product ASTMN"/>
    <x v="0"/>
    <x v="410"/>
    <d v="2008-02-17T00:00:00"/>
    <x v="1"/>
    <s v="Ship to 89-C"/>
    <x v="9"/>
    <s v="Supplier NZLIF"/>
    <s v="Norway"/>
    <x v="1"/>
    <n v="87.5"/>
  </r>
  <r>
    <n v="10861"/>
    <n v="62"/>
    <n v="49.3"/>
    <n v="3"/>
    <n v="0"/>
    <s v="Smith Jr., Ronaldo"/>
    <s v="Smith Jr. Ronaldo"/>
    <x v="1"/>
    <s v="WA"/>
    <s v="Product WUXYK"/>
    <x v="5"/>
    <x v="410"/>
    <d v="2008-02-17T00:00:00"/>
    <x v="1"/>
    <s v="Ship to 89-C"/>
    <x v="9"/>
    <s v="Supplier OGLRK"/>
    <s v="Canada"/>
    <x v="1"/>
    <n v="147.89999999999998"/>
  </r>
  <r>
    <n v="10862"/>
    <n v="11"/>
    <n v="21"/>
    <n v="25"/>
    <n v="0"/>
    <s v="Louverdis, George"/>
    <s v="Louverdis George"/>
    <x v="6"/>
    <s v="WA"/>
    <s v="Product QMVUN"/>
    <x v="0"/>
    <x v="410"/>
    <d v="2008-02-02T00:00:00"/>
    <x v="1"/>
    <s v="Ship to 44-C"/>
    <x v="8"/>
    <s v="Supplier EQPNC"/>
    <s v="Spain"/>
    <x v="1"/>
    <n v="525"/>
  </r>
  <r>
    <n v="10862"/>
    <n v="52"/>
    <n v="7"/>
    <n v="8"/>
    <n v="0"/>
    <s v="Louverdis, George"/>
    <s v="Louverdis George"/>
    <x v="6"/>
    <s v="WA"/>
    <s v="Product QSRXF"/>
    <x v="1"/>
    <x v="410"/>
    <d v="2008-02-02T00:00:00"/>
    <x v="1"/>
    <s v="Ship to 44-C"/>
    <x v="8"/>
    <s v="Supplier JNNES"/>
    <s v="Australia"/>
    <x v="1"/>
    <n v="56"/>
  </r>
  <r>
    <n v="10863"/>
    <n v="1"/>
    <n v="18"/>
    <n v="20"/>
    <n v="0.15"/>
    <s v="Langohr, Kris"/>
    <s v="Langohr Kris"/>
    <x v="1"/>
    <s v="WA"/>
    <s v="Product HHYDP"/>
    <x v="6"/>
    <x v="411"/>
    <d v="2008-02-17T00:00:00"/>
    <x v="1"/>
    <s v="Destination UOUWK"/>
    <x v="5"/>
    <s v="Supplier SWRXU"/>
    <s v="UK"/>
    <x v="1"/>
    <n v="306"/>
  </r>
  <r>
    <n v="10863"/>
    <n v="58"/>
    <n v="13.25"/>
    <n v="12"/>
    <n v="0.15"/>
    <s v="Langohr, Kris"/>
    <s v="Langohr Kris"/>
    <x v="1"/>
    <s v="WA"/>
    <s v="Product ACRVI"/>
    <x v="3"/>
    <x v="411"/>
    <d v="2008-02-17T00:00:00"/>
    <x v="1"/>
    <s v="Destination UOUWK"/>
    <x v="5"/>
    <s v="Supplier ZRYDZ"/>
    <s v="France"/>
    <x v="1"/>
    <n v="135.15"/>
  </r>
  <r>
    <n v="10864"/>
    <n v="35"/>
    <n v="18"/>
    <n v="4"/>
    <n v="0"/>
    <s v="Arndt, Torsten"/>
    <s v="Arndt Torsten"/>
    <x v="1"/>
    <s v="WA"/>
    <s v="Product NEVTJ"/>
    <x v="6"/>
    <x v="411"/>
    <d v="2008-02-09T00:00:00"/>
    <x v="1"/>
    <s v="Ship to 4-C"/>
    <x v="14"/>
    <s v="Supplier UHZRG"/>
    <s v="USA"/>
    <x v="1"/>
    <n v="72"/>
  </r>
  <r>
    <n v="10864"/>
    <n v="67"/>
    <n v="14"/>
    <n v="15"/>
    <n v="0"/>
    <s v="Arndt, Torsten"/>
    <s v="Arndt Torsten"/>
    <x v="1"/>
    <s v="WA"/>
    <s v="Product XLXQF"/>
    <x v="6"/>
    <x v="411"/>
    <d v="2008-02-09T00:00:00"/>
    <x v="1"/>
    <s v="Ship to 4-C"/>
    <x v="14"/>
    <s v="Supplier UHZRG"/>
    <s v="USA"/>
    <x v="1"/>
    <n v="210"/>
  </r>
  <r>
    <n v="10865"/>
    <n v="38"/>
    <n v="263.5"/>
    <n v="60"/>
    <n v="0.05"/>
    <s v="Veronesi, Giorgio"/>
    <s v="Veronesi Giorgio"/>
    <x v="8"/>
    <s v="WA"/>
    <s v="Product QDOMO"/>
    <x v="6"/>
    <x v="411"/>
    <d v="2008-02-12T00:00:00"/>
    <x v="2"/>
    <s v="Ship to 63-A"/>
    <x v="8"/>
    <s v="Supplier LVJUA"/>
    <s v="France"/>
    <x v="2"/>
    <n v="15019.5"/>
  </r>
  <r>
    <n v="10865"/>
    <n v="39"/>
    <n v="18"/>
    <n v="80"/>
    <n v="0.05"/>
    <s v="Veronesi, Giorgio"/>
    <s v="Veronesi Giorgio"/>
    <x v="8"/>
    <s v="WA"/>
    <s v="Product LSOFL"/>
    <x v="6"/>
    <x v="411"/>
    <d v="2008-02-12T00:00:00"/>
    <x v="2"/>
    <s v="Ship to 63-A"/>
    <x v="8"/>
    <s v="Supplier LVJUA"/>
    <s v="France"/>
    <x v="2"/>
    <n v="1368"/>
  </r>
  <r>
    <n v="10866"/>
    <n v="2"/>
    <n v="19"/>
    <n v="21"/>
    <n v="0.25"/>
    <s v="Higginbotham, Tom"/>
    <s v="Higginbotham Tom"/>
    <x v="3"/>
    <n v="0"/>
    <s v="Product RECZE"/>
    <x v="6"/>
    <x v="412"/>
    <d v="2008-02-12T00:00:00"/>
    <x v="2"/>
    <s v="Ship to 5-B"/>
    <x v="10"/>
    <s v="Supplier SWRXU"/>
    <s v="UK"/>
    <x v="2"/>
    <n v="299.25"/>
  </r>
  <r>
    <n v="10866"/>
    <n v="24"/>
    <n v="4.5"/>
    <n v="6"/>
    <n v="0.25"/>
    <s v="Higginbotham, Tom"/>
    <s v="Higginbotham Tom"/>
    <x v="3"/>
    <n v="0"/>
    <s v="Product QOGNU"/>
    <x v="6"/>
    <x v="412"/>
    <d v="2008-02-12T00:00:00"/>
    <x v="2"/>
    <s v="Ship to 5-B"/>
    <x v="10"/>
    <s v="Supplier UNAHG"/>
    <s v="Brazil"/>
    <x v="2"/>
    <n v="20.25"/>
  </r>
  <r>
    <n v="10866"/>
    <n v="30"/>
    <n v="25.89"/>
    <n v="40"/>
    <n v="0.25"/>
    <s v="Higginbotham, Tom"/>
    <s v="Higginbotham Tom"/>
    <x v="3"/>
    <n v="0"/>
    <s v="Product LYERX"/>
    <x v="3"/>
    <x v="412"/>
    <d v="2008-02-12T00:00:00"/>
    <x v="2"/>
    <s v="Ship to 5-B"/>
    <x v="10"/>
    <s v="Supplier TEGSC"/>
    <s v="Germany"/>
    <x v="2"/>
    <n v="776.69999999999993"/>
  </r>
  <r>
    <n v="10867"/>
    <n v="53"/>
    <n v="32.799999999999997"/>
    <n v="3"/>
    <n v="0"/>
    <s v="Szymczak, Radosław"/>
    <s v="Szymczak Radosław"/>
    <x v="7"/>
    <n v="0"/>
    <s v="Product BKGEA"/>
    <x v="7"/>
    <x v="412"/>
    <d v="2008-02-11T00:00:00"/>
    <x v="2"/>
    <s v="Ship to 48-B"/>
    <x v="9"/>
    <s v="Supplier JNNES"/>
    <s v="Australia"/>
    <x v="1"/>
    <n v="98.399999999999991"/>
  </r>
  <r>
    <n v="10868"/>
    <n v="26"/>
    <n v="31.23"/>
    <n v="20"/>
    <n v="0"/>
    <s v="Misiec, Anna"/>
    <s v="Misiec Anna"/>
    <x v="9"/>
    <n v="0"/>
    <s v="Product HLGZA"/>
    <x v="5"/>
    <x v="413"/>
    <d v="2008-02-23T00:00:00"/>
    <x v="1"/>
    <s v="Ship to 62-C"/>
    <x v="1"/>
    <s v="Supplier ZPYVS"/>
    <s v="Germany"/>
    <x v="2"/>
    <n v="624.6"/>
  </r>
  <r>
    <n v="10868"/>
    <n v="35"/>
    <n v="18"/>
    <n v="30"/>
    <n v="0"/>
    <s v="Misiec, Anna"/>
    <s v="Misiec Anna"/>
    <x v="9"/>
    <n v="0"/>
    <s v="Product NEVTJ"/>
    <x v="6"/>
    <x v="413"/>
    <d v="2008-02-23T00:00:00"/>
    <x v="1"/>
    <s v="Ship to 62-C"/>
    <x v="1"/>
    <s v="Supplier UHZRG"/>
    <s v="USA"/>
    <x v="2"/>
    <n v="540"/>
  </r>
  <r>
    <n v="10868"/>
    <n v="49"/>
    <n v="20"/>
    <n v="42"/>
    <n v="0.1"/>
    <s v="Misiec, Anna"/>
    <s v="Misiec Anna"/>
    <x v="9"/>
    <n v="0"/>
    <s v="Product FPYPN"/>
    <x v="5"/>
    <x v="413"/>
    <d v="2008-02-23T00:00:00"/>
    <x v="1"/>
    <s v="Ship to 62-C"/>
    <x v="1"/>
    <s v="Supplier ELCRN"/>
    <s v="Finland"/>
    <x v="2"/>
    <n v="756"/>
  </r>
  <r>
    <n v="10869"/>
    <n v="1"/>
    <n v="18"/>
    <n v="40"/>
    <n v="0"/>
    <s v="Welcker, Brian"/>
    <s v="Welcker Brian"/>
    <x v="3"/>
    <n v="0"/>
    <s v="Product HHYDP"/>
    <x v="6"/>
    <x v="413"/>
    <d v="2008-02-09T00:00:00"/>
    <x v="2"/>
    <s v="Ship to 72-A"/>
    <x v="14"/>
    <s v="Supplier SWRXU"/>
    <s v="UK"/>
    <x v="2"/>
    <n v="720"/>
  </r>
  <r>
    <n v="10869"/>
    <n v="11"/>
    <n v="21"/>
    <n v="10"/>
    <n v="0"/>
    <s v="Welcker, Brian"/>
    <s v="Welcker Brian"/>
    <x v="3"/>
    <n v="0"/>
    <s v="Product QMVUN"/>
    <x v="0"/>
    <x v="413"/>
    <d v="2008-02-09T00:00:00"/>
    <x v="2"/>
    <s v="Ship to 72-A"/>
    <x v="14"/>
    <s v="Supplier EQPNC"/>
    <s v="Spain"/>
    <x v="2"/>
    <n v="210"/>
  </r>
  <r>
    <n v="10869"/>
    <n v="23"/>
    <n v="9"/>
    <n v="50"/>
    <n v="0"/>
    <s v="Welcker, Brian"/>
    <s v="Welcker Brian"/>
    <x v="3"/>
    <n v="0"/>
    <s v="Product JLUDZ"/>
    <x v="1"/>
    <x v="413"/>
    <d v="2008-02-09T00:00:00"/>
    <x v="2"/>
    <s v="Ship to 72-A"/>
    <x v="14"/>
    <s v="Supplier QQYEU"/>
    <s v="Sweden"/>
    <x v="2"/>
    <n v="450"/>
  </r>
  <r>
    <n v="10869"/>
    <n v="68"/>
    <n v="12.5"/>
    <n v="20"/>
    <n v="0"/>
    <s v="Welcker, Brian"/>
    <s v="Welcker Brian"/>
    <x v="3"/>
    <n v="0"/>
    <s v="Product TBTBL"/>
    <x v="5"/>
    <x v="413"/>
    <d v="2008-02-09T00:00:00"/>
    <x v="2"/>
    <s v="Ship to 72-A"/>
    <x v="14"/>
    <s v="Supplier BWGYE"/>
    <s v="UK"/>
    <x v="2"/>
    <n v="250"/>
  </r>
  <r>
    <n v="10870"/>
    <n v="35"/>
    <n v="18"/>
    <n v="3"/>
    <n v="0"/>
    <s v="Conn, Steve"/>
    <s v="Conn Steve"/>
    <x v="3"/>
    <n v="0"/>
    <s v="Product NEVTJ"/>
    <x v="6"/>
    <x v="413"/>
    <d v="2008-02-13T00:00:00"/>
    <x v="3"/>
    <s v="Ship to 91-A"/>
    <x v="19"/>
    <s v="Supplier UHZRG"/>
    <s v="USA"/>
    <x v="1"/>
    <n v="54"/>
  </r>
  <r>
    <n v="10870"/>
    <n v="51"/>
    <n v="53"/>
    <n v="2"/>
    <n v="0"/>
    <s v="Conn, Steve"/>
    <s v="Conn Steve"/>
    <x v="3"/>
    <n v="0"/>
    <s v="Product APITJ"/>
    <x v="2"/>
    <x v="413"/>
    <d v="2008-02-13T00:00:00"/>
    <x v="3"/>
    <s v="Ship to 91-A"/>
    <x v="19"/>
    <s v="Supplier JNNES"/>
    <s v="Australia"/>
    <x v="1"/>
    <n v="106"/>
  </r>
  <r>
    <n v="10871"/>
    <n v="6"/>
    <n v="25"/>
    <n v="50"/>
    <n v="0.05"/>
    <s v="Raghav, Amritansh"/>
    <s v="Raghav Amritansh"/>
    <x v="4"/>
    <n v="0"/>
    <s v="Product VAIIV"/>
    <x v="4"/>
    <x v="414"/>
    <d v="2008-02-10T00:00:00"/>
    <x v="1"/>
    <s v="Ship to 9-B"/>
    <x v="2"/>
    <s v="Supplier STUAZ"/>
    <s v="USA"/>
    <x v="2"/>
    <n v="1187.5"/>
  </r>
  <r>
    <n v="10871"/>
    <n v="16"/>
    <n v="17.45"/>
    <n v="12"/>
    <n v="0.05"/>
    <s v="Raghav, Amritansh"/>
    <s v="Raghav Amritansh"/>
    <x v="4"/>
    <n v="0"/>
    <s v="Product PAFRH"/>
    <x v="5"/>
    <x v="414"/>
    <d v="2008-02-10T00:00:00"/>
    <x v="1"/>
    <s v="Ship to 9-B"/>
    <x v="2"/>
    <s v="Supplier GQRCV"/>
    <s v="Australia"/>
    <x v="2"/>
    <n v="198.92999999999998"/>
  </r>
  <r>
    <n v="10871"/>
    <n v="17"/>
    <n v="39"/>
    <n v="16"/>
    <n v="0.05"/>
    <s v="Raghav, Amritansh"/>
    <s v="Raghav Amritansh"/>
    <x v="4"/>
    <n v="0"/>
    <s v="Product BLCAX"/>
    <x v="7"/>
    <x v="414"/>
    <d v="2008-02-10T00:00:00"/>
    <x v="1"/>
    <s v="Ship to 9-B"/>
    <x v="2"/>
    <s v="Supplier GQRCV"/>
    <s v="Australia"/>
    <x v="2"/>
    <n v="592.79999999999995"/>
  </r>
  <r>
    <n v="10872"/>
    <n v="55"/>
    <n v="24"/>
    <n v="10"/>
    <n v="0.05"/>
    <s v="Shabalin, Rostislav"/>
    <s v="Shabalin Rostislav"/>
    <x v="3"/>
    <n v="0"/>
    <s v="Product YYWRT"/>
    <x v="7"/>
    <x v="414"/>
    <d v="2008-02-09T00:00:00"/>
    <x v="1"/>
    <s v="Destination GGQIR"/>
    <x v="13"/>
    <s v="Supplier ERVYZ"/>
    <s v="Canada"/>
    <x v="2"/>
    <n v="228"/>
  </r>
  <r>
    <n v="10872"/>
    <n v="62"/>
    <n v="49.3"/>
    <n v="20"/>
    <n v="0.05"/>
    <s v="Shabalin, Rostislav"/>
    <s v="Shabalin Rostislav"/>
    <x v="3"/>
    <n v="0"/>
    <s v="Product WUXYK"/>
    <x v="5"/>
    <x v="414"/>
    <d v="2008-02-09T00:00:00"/>
    <x v="1"/>
    <s v="Destination GGQIR"/>
    <x v="13"/>
    <s v="Supplier OGLRK"/>
    <s v="Canada"/>
    <x v="2"/>
    <n v="936.69999999999993"/>
  </r>
  <r>
    <n v="10872"/>
    <n v="64"/>
    <n v="33.25"/>
    <n v="15"/>
    <n v="0.05"/>
    <s v="Shabalin, Rostislav"/>
    <s v="Shabalin Rostislav"/>
    <x v="3"/>
    <n v="0"/>
    <s v="Product HCQDE"/>
    <x v="1"/>
    <x v="414"/>
    <d v="2008-02-09T00:00:00"/>
    <x v="1"/>
    <s v="Destination GGQIR"/>
    <x v="13"/>
    <s v="Supplier SVIYA"/>
    <s v="Germany"/>
    <x v="2"/>
    <n v="473.8125"/>
  </r>
  <r>
    <n v="10872"/>
    <n v="65"/>
    <n v="21.05"/>
    <n v="21"/>
    <n v="0.05"/>
    <s v="Shabalin, Rostislav"/>
    <s v="Shabalin Rostislav"/>
    <x v="3"/>
    <n v="0"/>
    <s v="Product XYWBZ"/>
    <x v="4"/>
    <x v="414"/>
    <d v="2008-02-09T00:00:00"/>
    <x v="1"/>
    <s v="Destination GGQIR"/>
    <x v="13"/>
    <s v="Supplier VHQZD"/>
    <s v="USA"/>
    <x v="2"/>
    <n v="419.94749999999999"/>
  </r>
  <r>
    <n v="10873"/>
    <n v="21"/>
    <n v="10"/>
    <n v="20"/>
    <n v="0"/>
    <s v="Larsson, Katarina"/>
    <s v="Larsson Katarina"/>
    <x v="1"/>
    <s v="WA"/>
    <s v="Product VJZZH"/>
    <x v="5"/>
    <x v="415"/>
    <d v="2008-02-09T00:00:00"/>
    <x v="2"/>
    <s v="Ship to 90-B"/>
    <x v="11"/>
    <s v="Supplier BWGYE"/>
    <s v="UK"/>
    <x v="1"/>
    <n v="200"/>
  </r>
  <r>
    <n v="10873"/>
    <n v="28"/>
    <n v="45.6"/>
    <n v="3"/>
    <n v="0"/>
    <s v="Larsson, Katarina"/>
    <s v="Larsson Katarina"/>
    <x v="1"/>
    <s v="WA"/>
    <s v="Product OFBNT"/>
    <x v="2"/>
    <x v="415"/>
    <d v="2008-02-09T00:00:00"/>
    <x v="2"/>
    <s v="Ship to 90-B"/>
    <x v="11"/>
    <s v="Supplier SVIYA"/>
    <s v="Germany"/>
    <x v="1"/>
    <n v="136.80000000000001"/>
  </r>
  <r>
    <n v="10874"/>
    <n v="10"/>
    <n v="31"/>
    <n v="10"/>
    <n v="0"/>
    <s v="Shabalin, Rostislav"/>
    <s v="Shabalin Rostislav"/>
    <x v="3"/>
    <n v="0"/>
    <s v="Product YHXGE"/>
    <x v="3"/>
    <x v="415"/>
    <d v="2008-02-11T00:00:00"/>
    <x v="1"/>
    <s v="Destination IIYDD"/>
    <x v="13"/>
    <s v="Supplier QOVFD"/>
    <s v="Japan"/>
    <x v="1"/>
    <n v="310"/>
  </r>
  <r>
    <n v="10875"/>
    <n v="19"/>
    <n v="9.1999999999999993"/>
    <n v="25"/>
    <n v="0"/>
    <s v="Higginbotham, Tom"/>
    <s v="Higginbotham Tom"/>
    <x v="1"/>
    <s v="WA"/>
    <s v="Product XKXDO"/>
    <x v="5"/>
    <x v="415"/>
    <d v="2008-03-03T00:00:00"/>
    <x v="1"/>
    <s v="Ship to 5-A"/>
    <x v="10"/>
    <s v="Supplier BWGYE"/>
    <s v="UK"/>
    <x v="1"/>
    <n v="229.99999999999997"/>
  </r>
  <r>
    <n v="10875"/>
    <n v="47"/>
    <n v="9.5"/>
    <n v="21"/>
    <n v="0.1"/>
    <s v="Higginbotham, Tom"/>
    <s v="Higginbotham Tom"/>
    <x v="1"/>
    <s v="WA"/>
    <s v="Product EZZPR"/>
    <x v="5"/>
    <x v="415"/>
    <d v="2008-03-03T00:00:00"/>
    <x v="1"/>
    <s v="Ship to 5-A"/>
    <x v="10"/>
    <s v="Supplier FNUXM"/>
    <s v="Netherlands"/>
    <x v="1"/>
    <n v="179.55"/>
  </r>
  <r>
    <n v="10875"/>
    <n v="49"/>
    <n v="20"/>
    <n v="15"/>
    <n v="0"/>
    <s v="Higginbotham, Tom"/>
    <s v="Higginbotham Tom"/>
    <x v="1"/>
    <s v="WA"/>
    <s v="Product FPYPN"/>
    <x v="5"/>
    <x v="415"/>
    <d v="2008-03-03T00:00:00"/>
    <x v="1"/>
    <s v="Ship to 5-A"/>
    <x v="10"/>
    <s v="Supplier ELCRN"/>
    <s v="Finland"/>
    <x v="1"/>
    <n v="300"/>
  </r>
  <r>
    <n v="10876"/>
    <n v="46"/>
    <n v="12"/>
    <n v="21"/>
    <n v="0"/>
    <s v="Raghav, Amritansh"/>
    <s v="Raghav Amritansh"/>
    <x v="9"/>
    <n v="0"/>
    <s v="Product CBRRL"/>
    <x v="3"/>
    <x v="416"/>
    <d v="2008-02-12T00:00:00"/>
    <x v="3"/>
    <s v="Ship to 9-A"/>
    <x v="2"/>
    <s v="Supplier XOXZA"/>
    <s v="Denmark"/>
    <x v="1"/>
    <n v="252"/>
  </r>
  <r>
    <n v="10876"/>
    <n v="64"/>
    <n v="33.25"/>
    <n v="20"/>
    <n v="0"/>
    <s v="Raghav, Amritansh"/>
    <s v="Raghav Amritansh"/>
    <x v="9"/>
    <n v="0"/>
    <s v="Product HCQDE"/>
    <x v="1"/>
    <x v="416"/>
    <d v="2008-02-12T00:00:00"/>
    <x v="3"/>
    <s v="Ship to 9-A"/>
    <x v="2"/>
    <s v="Supplier SVIYA"/>
    <s v="Germany"/>
    <x v="1"/>
    <n v="665"/>
  </r>
  <r>
    <n v="10877"/>
    <n v="16"/>
    <n v="17.45"/>
    <n v="30"/>
    <n v="0.25"/>
    <s v="Garden, Euan"/>
    <s v="Garden Euan"/>
    <x v="5"/>
    <s v="WA"/>
    <s v="Product PAFRH"/>
    <x v="5"/>
    <x v="416"/>
    <d v="2008-02-19T00:00:00"/>
    <x v="2"/>
    <s v="Ship to 67-B"/>
    <x v="1"/>
    <s v="Supplier GQRCV"/>
    <s v="Australia"/>
    <x v="1"/>
    <n v="392.625"/>
  </r>
  <r>
    <n v="10877"/>
    <n v="18"/>
    <n v="62.5"/>
    <n v="25"/>
    <n v="0"/>
    <s v="Garden, Euan"/>
    <s v="Garden Euan"/>
    <x v="5"/>
    <s v="WA"/>
    <s v="Product CKEDC"/>
    <x v="3"/>
    <x v="416"/>
    <d v="2008-02-19T00:00:00"/>
    <x v="2"/>
    <s v="Ship to 67-B"/>
    <x v="1"/>
    <s v="Supplier GQRCV"/>
    <s v="Australia"/>
    <x v="1"/>
    <n v="1562.5"/>
  </r>
  <r>
    <n v="10878"/>
    <n v="20"/>
    <n v="81"/>
    <n v="20"/>
    <n v="0.05"/>
    <s v="Veronesi, Giorgio"/>
    <s v="Veronesi Giorgio"/>
    <x v="1"/>
    <s v="WA"/>
    <s v="Product QHFFP"/>
    <x v="5"/>
    <x v="417"/>
    <d v="2008-02-12T00:00:00"/>
    <x v="2"/>
    <s v="Ship to 63-B"/>
    <x v="8"/>
    <s v="Supplier BWGYE"/>
    <s v="UK"/>
    <x v="1"/>
    <n v="1539"/>
  </r>
  <r>
    <n v="10879"/>
    <n v="40"/>
    <n v="18.399999999999999"/>
    <n v="12"/>
    <n v="0"/>
    <s v="Larsson, Katarina"/>
    <s v="Larsson Katarina"/>
    <x v="2"/>
    <s v="WA"/>
    <s v="Product YZIXQ"/>
    <x v="3"/>
    <x v="417"/>
    <d v="2008-02-12T00:00:00"/>
    <x v="3"/>
    <s v="Ship to 90-A"/>
    <x v="11"/>
    <s v="Supplier JDNUG"/>
    <s v="USA"/>
    <x v="1"/>
    <n v="220.79999999999998"/>
  </r>
  <r>
    <n v="10879"/>
    <n v="65"/>
    <n v="21.05"/>
    <n v="10"/>
    <n v="0"/>
    <s v="Larsson, Katarina"/>
    <s v="Larsson Katarina"/>
    <x v="2"/>
    <s v="WA"/>
    <s v="Product XYWBZ"/>
    <x v="4"/>
    <x v="417"/>
    <d v="2008-02-12T00:00:00"/>
    <x v="3"/>
    <s v="Ship to 90-A"/>
    <x v="11"/>
    <s v="Supplier VHQZD"/>
    <s v="USA"/>
    <x v="1"/>
    <n v="210.5"/>
  </r>
  <r>
    <n v="10879"/>
    <n v="76"/>
    <n v="18"/>
    <n v="10"/>
    <n v="0"/>
    <s v="Larsson, Katarina"/>
    <s v="Larsson Katarina"/>
    <x v="2"/>
    <s v="WA"/>
    <s v="Product JYGFE"/>
    <x v="6"/>
    <x v="417"/>
    <d v="2008-02-12T00:00:00"/>
    <x v="3"/>
    <s v="Ship to 90-A"/>
    <x v="11"/>
    <s v="Supplier ELCRN"/>
    <s v="Finland"/>
    <x v="1"/>
    <n v="180"/>
  </r>
  <r>
    <n v="10880"/>
    <n v="23"/>
    <n v="9"/>
    <n v="30"/>
    <n v="0.2"/>
    <s v="San Juan, Patricia"/>
    <s v="San Juan Patricia"/>
    <x v="9"/>
    <n v="0"/>
    <s v="Product JLUDZ"/>
    <x v="1"/>
    <x v="417"/>
    <d v="2008-02-18T00:00:00"/>
    <x v="2"/>
    <s v="Destination KBSBN"/>
    <x v="10"/>
    <s v="Supplier QQYEU"/>
    <s v="Sweden"/>
    <x v="1"/>
    <n v="216"/>
  </r>
  <r>
    <n v="10880"/>
    <n v="61"/>
    <n v="28.5"/>
    <n v="30"/>
    <n v="0.2"/>
    <s v="San Juan, Patricia"/>
    <s v="San Juan Patricia"/>
    <x v="9"/>
    <n v="0"/>
    <s v="Product XYZPE"/>
    <x v="4"/>
    <x v="417"/>
    <d v="2008-02-18T00:00:00"/>
    <x v="2"/>
    <s v="Destination KBSBN"/>
    <x v="10"/>
    <s v="Supplier OGLRK"/>
    <s v="Canada"/>
    <x v="1"/>
    <n v="684"/>
  </r>
  <r>
    <n v="10880"/>
    <n v="70"/>
    <n v="15"/>
    <n v="50"/>
    <n v="0.2"/>
    <s v="San Juan, Patricia"/>
    <s v="San Juan Patricia"/>
    <x v="9"/>
    <n v="0"/>
    <s v="Product TOONT"/>
    <x v="6"/>
    <x v="417"/>
    <d v="2008-02-18T00:00:00"/>
    <x v="2"/>
    <s v="Destination KBSBN"/>
    <x v="10"/>
    <s v="Supplier GQRCV"/>
    <s v="Australia"/>
    <x v="1"/>
    <n v="600"/>
  </r>
  <r>
    <n v="10881"/>
    <n v="73"/>
    <n v="15"/>
    <n v="10"/>
    <n v="0"/>
    <s v="Ray, Mike"/>
    <s v="Ray Mike"/>
    <x v="1"/>
    <s v="WA"/>
    <s v="Product WEUJZ"/>
    <x v="3"/>
    <x v="418"/>
    <d v="2008-02-18T00:00:00"/>
    <x v="2"/>
    <s v="Destination IGLOB"/>
    <x v="21"/>
    <s v="Supplier QZGUF"/>
    <s v="Sweden"/>
    <x v="1"/>
    <n v="150"/>
  </r>
  <r>
    <n v="10882"/>
    <n v="42"/>
    <n v="14"/>
    <n v="25"/>
    <n v="0"/>
    <s v="Navarro, Tomás"/>
    <s v="Navarro Tomás"/>
    <x v="1"/>
    <s v="WA"/>
    <s v="Product RJVNM"/>
    <x v="1"/>
    <x v="418"/>
    <d v="2008-02-20T00:00:00"/>
    <x v="3"/>
    <s v="Ship to 71-B"/>
    <x v="9"/>
    <s v="Supplier CIYNM"/>
    <s v="Singapore"/>
    <x v="1"/>
    <n v="350"/>
  </r>
  <r>
    <n v="10882"/>
    <n v="49"/>
    <n v="20"/>
    <n v="20"/>
    <n v="0.15"/>
    <s v="Navarro, Tomás"/>
    <s v="Navarro Tomás"/>
    <x v="1"/>
    <s v="WA"/>
    <s v="Product FPYPN"/>
    <x v="5"/>
    <x v="418"/>
    <d v="2008-02-20T00:00:00"/>
    <x v="3"/>
    <s v="Ship to 71-B"/>
    <x v="9"/>
    <s v="Supplier ELCRN"/>
    <s v="Finland"/>
    <x v="1"/>
    <n v="340"/>
  </r>
  <r>
    <n v="10882"/>
    <n v="54"/>
    <n v="7.45"/>
    <n v="32"/>
    <n v="0.15"/>
    <s v="Navarro, Tomás"/>
    <s v="Navarro Tomás"/>
    <x v="1"/>
    <s v="WA"/>
    <s v="Product QAQRL"/>
    <x v="7"/>
    <x v="418"/>
    <d v="2008-02-20T00:00:00"/>
    <x v="3"/>
    <s v="Ship to 71-B"/>
    <x v="9"/>
    <s v="Supplier ERVYZ"/>
    <s v="Canada"/>
    <x v="1"/>
    <n v="202.64"/>
  </r>
  <r>
    <n v="10883"/>
    <n v="24"/>
    <n v="4.5"/>
    <n v="8"/>
    <n v="0"/>
    <s v="Szymczak, Radosław"/>
    <s v="Szymczak Radosław"/>
    <x v="6"/>
    <s v="WA"/>
    <s v="Product QOGNU"/>
    <x v="6"/>
    <x v="419"/>
    <d v="2008-02-20T00:00:00"/>
    <x v="3"/>
    <s v="Ship to 48-C"/>
    <x v="9"/>
    <s v="Supplier UNAHG"/>
    <s v="Brazil"/>
    <x v="1"/>
    <n v="36"/>
  </r>
  <r>
    <n v="10884"/>
    <n v="21"/>
    <n v="10"/>
    <n v="40"/>
    <n v="0.05"/>
    <s v="Sunkammurali, Krishna"/>
    <s v="Sunkammurali Krishna"/>
    <x v="1"/>
    <s v="WA"/>
    <s v="Product VJZZH"/>
    <x v="5"/>
    <x v="419"/>
    <d v="2008-02-13T00:00:00"/>
    <x v="1"/>
    <s v="Ship to 45-C"/>
    <x v="9"/>
    <s v="Supplier BWGYE"/>
    <s v="UK"/>
    <x v="1"/>
    <n v="380"/>
  </r>
  <r>
    <n v="10884"/>
    <n v="56"/>
    <n v="38"/>
    <n v="21"/>
    <n v="0.05"/>
    <s v="Sunkammurali, Krishna"/>
    <s v="Sunkammurali Krishna"/>
    <x v="1"/>
    <s v="WA"/>
    <s v="Product VKCMF"/>
    <x v="1"/>
    <x v="419"/>
    <d v="2008-02-13T00:00:00"/>
    <x v="1"/>
    <s v="Ship to 45-C"/>
    <x v="9"/>
    <s v="Supplier ZWZDM"/>
    <s v="Italy"/>
    <x v="1"/>
    <n v="758.09999999999991"/>
  </r>
  <r>
    <n v="10884"/>
    <n v="65"/>
    <n v="21.05"/>
    <n v="12"/>
    <n v="0.05"/>
    <s v="Sunkammurali, Krishna"/>
    <s v="Sunkammurali Krishna"/>
    <x v="1"/>
    <s v="WA"/>
    <s v="Product XYWBZ"/>
    <x v="4"/>
    <x v="419"/>
    <d v="2008-02-13T00:00:00"/>
    <x v="1"/>
    <s v="Ship to 45-C"/>
    <x v="9"/>
    <s v="Supplier VHQZD"/>
    <s v="USA"/>
    <x v="1"/>
    <n v="239.97"/>
  </r>
  <r>
    <n v="10885"/>
    <n v="2"/>
    <n v="19"/>
    <n v="20"/>
    <n v="0"/>
    <s v="Gulbis, Katrin"/>
    <s v="Gulbis Katrin"/>
    <x v="7"/>
    <n v="0"/>
    <s v="Product RECZE"/>
    <x v="6"/>
    <x v="419"/>
    <d v="2008-02-18T00:00:00"/>
    <x v="3"/>
    <s v="Ship to 76-B"/>
    <x v="3"/>
    <s v="Supplier SWRXU"/>
    <s v="UK"/>
    <x v="1"/>
    <n v="380"/>
  </r>
  <r>
    <n v="10885"/>
    <n v="24"/>
    <n v="4.5"/>
    <n v="12"/>
    <n v="0"/>
    <s v="Gulbis, Katrin"/>
    <s v="Gulbis Katrin"/>
    <x v="7"/>
    <n v="0"/>
    <s v="Product QOGNU"/>
    <x v="6"/>
    <x v="419"/>
    <d v="2008-02-18T00:00:00"/>
    <x v="3"/>
    <s v="Ship to 76-B"/>
    <x v="3"/>
    <s v="Supplier UNAHG"/>
    <s v="Brazil"/>
    <x v="1"/>
    <n v="54"/>
  </r>
  <r>
    <n v="10885"/>
    <n v="70"/>
    <n v="15"/>
    <n v="30"/>
    <n v="0"/>
    <s v="Gulbis, Katrin"/>
    <s v="Gulbis Katrin"/>
    <x v="7"/>
    <n v="0"/>
    <s v="Product TOONT"/>
    <x v="6"/>
    <x v="419"/>
    <d v="2008-02-18T00:00:00"/>
    <x v="3"/>
    <s v="Ship to 76-B"/>
    <x v="3"/>
    <s v="Supplier GQRCV"/>
    <s v="Australia"/>
    <x v="1"/>
    <n v="450"/>
  </r>
  <r>
    <n v="10885"/>
    <n v="77"/>
    <n v="13"/>
    <n v="25"/>
    <n v="0"/>
    <s v="Gulbis, Katrin"/>
    <s v="Gulbis Katrin"/>
    <x v="7"/>
    <n v="0"/>
    <s v="Product LUNZZ"/>
    <x v="4"/>
    <x v="419"/>
    <d v="2008-02-18T00:00:00"/>
    <x v="3"/>
    <s v="Ship to 76-B"/>
    <x v="3"/>
    <s v="Supplier SVIYA"/>
    <s v="Germany"/>
    <x v="1"/>
    <n v="325"/>
  </r>
  <r>
    <n v="10886"/>
    <n v="10"/>
    <n v="31"/>
    <n v="70"/>
    <n v="0"/>
    <s v="Cohen, Shy"/>
    <s v="Cohen Shy"/>
    <x v="5"/>
    <s v="WA"/>
    <s v="Product YHXGE"/>
    <x v="3"/>
    <x v="420"/>
    <d v="2008-03-02T00:00:00"/>
    <x v="2"/>
    <s v="Destination SCQXA"/>
    <x v="1"/>
    <s v="Supplier QOVFD"/>
    <s v="Japan"/>
    <x v="1"/>
    <n v="2170"/>
  </r>
  <r>
    <n v="10886"/>
    <n v="31"/>
    <n v="12.5"/>
    <n v="35"/>
    <n v="0"/>
    <s v="Cohen, Shy"/>
    <s v="Cohen Shy"/>
    <x v="5"/>
    <s v="WA"/>
    <s v="Product XWOXC"/>
    <x v="0"/>
    <x v="420"/>
    <d v="2008-03-02T00:00:00"/>
    <x v="2"/>
    <s v="Destination SCQXA"/>
    <x v="1"/>
    <s v="Supplier KEREV"/>
    <s v="Italy"/>
    <x v="1"/>
    <n v="437.5"/>
  </r>
  <r>
    <n v="10886"/>
    <n v="77"/>
    <n v="13"/>
    <n v="40"/>
    <n v="0"/>
    <s v="Cohen, Shy"/>
    <s v="Cohen Shy"/>
    <x v="5"/>
    <s v="WA"/>
    <s v="Product LUNZZ"/>
    <x v="4"/>
    <x v="420"/>
    <d v="2008-03-02T00:00:00"/>
    <x v="2"/>
    <s v="Destination SCQXA"/>
    <x v="1"/>
    <s v="Supplier SVIYA"/>
    <s v="Germany"/>
    <x v="1"/>
    <n v="520"/>
  </r>
  <r>
    <n v="10887"/>
    <n v="25"/>
    <n v="14"/>
    <n v="5"/>
    <n v="0"/>
    <s v="Kolesnikova, Katerina"/>
    <s v="Kolesnikova Katerina"/>
    <x v="6"/>
    <s v="WA"/>
    <s v="Product LYLNI"/>
    <x v="5"/>
    <x v="420"/>
    <d v="2008-02-16T00:00:00"/>
    <x v="3"/>
    <s v="Destination VPNNG"/>
    <x v="13"/>
    <s v="Supplier ZPYVS"/>
    <s v="Germany"/>
    <x v="1"/>
    <n v="70"/>
  </r>
  <r>
    <n v="10888"/>
    <n v="2"/>
    <n v="19"/>
    <n v="20"/>
    <n v="0"/>
    <s v="Shabalin, Rostislav"/>
    <s v="Shabalin Rostislav"/>
    <x v="5"/>
    <s v="WA"/>
    <s v="Product RECZE"/>
    <x v="6"/>
    <x v="421"/>
    <d v="2008-02-23T00:00:00"/>
    <x v="1"/>
    <s v="Destination IIYDD"/>
    <x v="13"/>
    <s v="Supplier SWRXU"/>
    <s v="UK"/>
    <x v="1"/>
    <n v="380"/>
  </r>
  <r>
    <n v="10888"/>
    <n v="68"/>
    <n v="12.5"/>
    <n v="18"/>
    <n v="0"/>
    <s v="Shabalin, Rostislav"/>
    <s v="Shabalin Rostislav"/>
    <x v="5"/>
    <s v="WA"/>
    <s v="Product TBTBL"/>
    <x v="5"/>
    <x v="421"/>
    <d v="2008-02-23T00:00:00"/>
    <x v="1"/>
    <s v="Destination IIYDD"/>
    <x v="13"/>
    <s v="Supplier BWGYE"/>
    <s v="UK"/>
    <x v="1"/>
    <n v="225"/>
  </r>
  <r>
    <n v="10889"/>
    <n v="11"/>
    <n v="21"/>
    <n v="40"/>
    <n v="0"/>
    <s v="Moore, Michael"/>
    <s v="Moore Michael"/>
    <x v="4"/>
    <n v="0"/>
    <s v="Product QMVUN"/>
    <x v="0"/>
    <x v="421"/>
    <d v="2008-02-23T00:00:00"/>
    <x v="3"/>
    <s v="Ship to 65-C"/>
    <x v="9"/>
    <s v="Supplier EQPNC"/>
    <s v="Spain"/>
    <x v="2"/>
    <n v="840"/>
  </r>
  <r>
    <n v="10889"/>
    <n v="38"/>
    <n v="263.5"/>
    <n v="40"/>
    <n v="0"/>
    <s v="Moore, Michael"/>
    <s v="Moore Michael"/>
    <x v="4"/>
    <n v="0"/>
    <s v="Product QDOMO"/>
    <x v="6"/>
    <x v="421"/>
    <d v="2008-02-23T00:00:00"/>
    <x v="3"/>
    <s v="Ship to 65-C"/>
    <x v="9"/>
    <s v="Supplier LVJUA"/>
    <s v="France"/>
    <x v="2"/>
    <n v="10540"/>
  </r>
  <r>
    <n v="10890"/>
    <n v="17"/>
    <n v="39"/>
    <n v="15"/>
    <n v="0"/>
    <s v="Rizaldy, Arif"/>
    <s v="Rizaldy Arif"/>
    <x v="9"/>
    <n v="0"/>
    <s v="Product BLCAX"/>
    <x v="7"/>
    <x v="421"/>
    <d v="2008-02-18T00:00:00"/>
    <x v="2"/>
    <s v="Destination JNSYI"/>
    <x v="2"/>
    <s v="Supplier GQRCV"/>
    <s v="Australia"/>
    <x v="1"/>
    <n v="585"/>
  </r>
  <r>
    <n v="10890"/>
    <n v="34"/>
    <n v="14"/>
    <n v="10"/>
    <n v="0"/>
    <s v="Rizaldy, Arif"/>
    <s v="Rizaldy Arif"/>
    <x v="9"/>
    <n v="0"/>
    <s v="Product SWNJY"/>
    <x v="6"/>
    <x v="421"/>
    <d v="2008-02-18T00:00:00"/>
    <x v="2"/>
    <s v="Destination JNSYI"/>
    <x v="2"/>
    <s v="Supplier UHZRG"/>
    <s v="USA"/>
    <x v="1"/>
    <n v="140"/>
  </r>
  <r>
    <n v="10890"/>
    <n v="41"/>
    <n v="9.65"/>
    <n v="14"/>
    <n v="0"/>
    <s v="Rizaldy, Arif"/>
    <s v="Rizaldy Arif"/>
    <x v="9"/>
    <n v="0"/>
    <s v="Product TTEEX"/>
    <x v="3"/>
    <x v="421"/>
    <d v="2008-02-18T00:00:00"/>
    <x v="2"/>
    <s v="Destination JNSYI"/>
    <x v="2"/>
    <s v="Supplier JDNUG"/>
    <s v="USA"/>
    <x v="1"/>
    <n v="135.1"/>
  </r>
  <r>
    <n v="10891"/>
    <n v="30"/>
    <n v="25.89"/>
    <n v="15"/>
    <n v="0.05"/>
    <s v="Louverdis, George"/>
    <s v="Louverdis George"/>
    <x v="9"/>
    <n v="0"/>
    <s v="Product LYERX"/>
    <x v="3"/>
    <x v="422"/>
    <d v="2008-02-19T00:00:00"/>
    <x v="1"/>
    <s v="Ship to 44-A"/>
    <x v="8"/>
    <s v="Supplier TEGSC"/>
    <s v="Germany"/>
    <x v="1"/>
    <n v="368.9325"/>
  </r>
  <r>
    <n v="10892"/>
    <n v="59"/>
    <n v="55"/>
    <n v="40"/>
    <n v="0.05"/>
    <s v="Mace, Donald"/>
    <s v="Mace Donald"/>
    <x v="1"/>
    <s v="WA"/>
    <s v="Product UKXRI"/>
    <x v="0"/>
    <x v="422"/>
    <d v="2008-02-19T00:00:00"/>
    <x v="1"/>
    <s v="Ship to 50-A"/>
    <x v="3"/>
    <s v="Supplier OAVQT"/>
    <s v="France"/>
    <x v="2"/>
    <n v="2090"/>
  </r>
  <r>
    <n v="10893"/>
    <n v="8"/>
    <n v="40"/>
    <n v="30"/>
    <n v="0"/>
    <s v="Song, Lolan"/>
    <s v="Song Lolan"/>
    <x v="4"/>
    <n v="0"/>
    <s v="Product WVJFP"/>
    <x v="4"/>
    <x v="423"/>
    <d v="2008-02-20T00:00:00"/>
    <x v="1"/>
    <s v="Destination RMBHM"/>
    <x v="8"/>
    <s v="Supplier STUAZ"/>
    <s v="USA"/>
    <x v="1"/>
    <n v="1200"/>
  </r>
  <r>
    <n v="10893"/>
    <n v="24"/>
    <n v="4.5"/>
    <n v="10"/>
    <n v="0"/>
    <s v="Song, Lolan"/>
    <s v="Song Lolan"/>
    <x v="4"/>
    <n v="0"/>
    <s v="Product QOGNU"/>
    <x v="6"/>
    <x v="423"/>
    <d v="2008-02-20T00:00:00"/>
    <x v="1"/>
    <s v="Destination RMBHM"/>
    <x v="8"/>
    <s v="Supplier UNAHG"/>
    <s v="Brazil"/>
    <x v="1"/>
    <n v="45"/>
  </r>
  <r>
    <n v="10893"/>
    <n v="29"/>
    <n v="123.79"/>
    <n v="24"/>
    <n v="0"/>
    <s v="Song, Lolan"/>
    <s v="Song Lolan"/>
    <x v="4"/>
    <n v="0"/>
    <s v="Product VJXYN"/>
    <x v="7"/>
    <x v="423"/>
    <d v="2008-02-20T00:00:00"/>
    <x v="1"/>
    <s v="Destination RMBHM"/>
    <x v="8"/>
    <s v="Supplier SVIYA"/>
    <s v="Germany"/>
    <x v="1"/>
    <n v="2970.96"/>
  </r>
  <r>
    <n v="10893"/>
    <n v="30"/>
    <n v="25.89"/>
    <n v="35"/>
    <n v="0"/>
    <s v="Song, Lolan"/>
    <s v="Song Lolan"/>
    <x v="4"/>
    <n v="0"/>
    <s v="Product LYERX"/>
    <x v="3"/>
    <x v="423"/>
    <d v="2008-02-20T00:00:00"/>
    <x v="1"/>
    <s v="Destination RMBHM"/>
    <x v="8"/>
    <s v="Supplier TEGSC"/>
    <s v="Germany"/>
    <x v="1"/>
    <n v="906.15"/>
  </r>
  <r>
    <n v="10893"/>
    <n v="36"/>
    <n v="19"/>
    <n v="20"/>
    <n v="0"/>
    <s v="Song, Lolan"/>
    <s v="Song Lolan"/>
    <x v="4"/>
    <n v="0"/>
    <s v="Product GMKIJ"/>
    <x v="3"/>
    <x v="423"/>
    <d v="2008-02-20T00:00:00"/>
    <x v="1"/>
    <s v="Destination RMBHM"/>
    <x v="8"/>
    <s v="Supplier QZGUF"/>
    <s v="Sweden"/>
    <x v="1"/>
    <n v="380"/>
  </r>
  <r>
    <n v="10894"/>
    <n v="13"/>
    <n v="6"/>
    <n v="28"/>
    <n v="0.05"/>
    <s v="Navarro, Tomás"/>
    <s v="Navarro Tomás"/>
    <x v="5"/>
    <s v="WA"/>
    <s v="Product POXFU"/>
    <x v="3"/>
    <x v="423"/>
    <d v="2008-02-20T00:00:00"/>
    <x v="2"/>
    <s v="Ship to 71-A"/>
    <x v="9"/>
    <s v="Supplier QWUSF"/>
    <s v="Japan"/>
    <x v="2"/>
    <n v="159.6"/>
  </r>
  <r>
    <n v="10894"/>
    <n v="69"/>
    <n v="36"/>
    <n v="50"/>
    <n v="0.05"/>
    <s v="Navarro, Tomás"/>
    <s v="Navarro Tomás"/>
    <x v="5"/>
    <s v="WA"/>
    <s v="Product COAXA"/>
    <x v="0"/>
    <x v="423"/>
    <d v="2008-02-20T00:00:00"/>
    <x v="2"/>
    <s v="Ship to 71-A"/>
    <x v="9"/>
    <s v="Supplier NZLIF"/>
    <s v="Norway"/>
    <x v="2"/>
    <n v="1710"/>
  </r>
  <r>
    <n v="10894"/>
    <n v="75"/>
    <n v="7.75"/>
    <n v="120"/>
    <n v="0.05"/>
    <s v="Navarro, Tomás"/>
    <s v="Navarro Tomás"/>
    <x v="5"/>
    <s v="WA"/>
    <s v="Product BWRLG"/>
    <x v="6"/>
    <x v="423"/>
    <d v="2008-02-20T00:00:00"/>
    <x v="2"/>
    <s v="Ship to 71-A"/>
    <x v="9"/>
    <s v="Supplier SVIYA"/>
    <s v="Germany"/>
    <x v="2"/>
    <n v="883.5"/>
  </r>
  <r>
    <n v="10895"/>
    <n v="24"/>
    <n v="4.5"/>
    <n v="110"/>
    <n v="0"/>
    <s v="Kane, John"/>
    <s v="Kane John"/>
    <x v="2"/>
    <s v="WA"/>
    <s v="Product QOGNU"/>
    <x v="6"/>
    <x v="423"/>
    <d v="2008-02-23T00:00:00"/>
    <x v="2"/>
    <s v="Destination CUVPF"/>
    <x v="6"/>
    <s v="Supplier UNAHG"/>
    <s v="Brazil"/>
    <x v="2"/>
    <n v="495"/>
  </r>
  <r>
    <n v="10895"/>
    <n v="39"/>
    <n v="18"/>
    <n v="45"/>
    <n v="0"/>
    <s v="Kane, John"/>
    <s v="Kane John"/>
    <x v="2"/>
    <s v="WA"/>
    <s v="Product LSOFL"/>
    <x v="6"/>
    <x v="423"/>
    <d v="2008-02-23T00:00:00"/>
    <x v="2"/>
    <s v="Destination CUVPF"/>
    <x v="6"/>
    <s v="Supplier LVJUA"/>
    <s v="France"/>
    <x v="2"/>
    <n v="810"/>
  </r>
  <r>
    <n v="10895"/>
    <n v="40"/>
    <n v="18.399999999999999"/>
    <n v="91"/>
    <n v="0"/>
    <s v="Kane, John"/>
    <s v="Kane John"/>
    <x v="2"/>
    <s v="WA"/>
    <s v="Product YZIXQ"/>
    <x v="3"/>
    <x v="423"/>
    <d v="2008-02-23T00:00:00"/>
    <x v="2"/>
    <s v="Destination CUVPF"/>
    <x v="6"/>
    <s v="Supplier JDNUG"/>
    <s v="USA"/>
    <x v="2"/>
    <n v="1674.3999999999999"/>
  </r>
  <r>
    <n v="10895"/>
    <n v="60"/>
    <n v="34"/>
    <n v="100"/>
    <n v="0"/>
    <s v="Kane, John"/>
    <s v="Kane John"/>
    <x v="2"/>
    <s v="WA"/>
    <s v="Product WHBYK"/>
    <x v="0"/>
    <x v="423"/>
    <d v="2008-02-23T00:00:00"/>
    <x v="2"/>
    <s v="Destination CUVPF"/>
    <x v="6"/>
    <s v="Supplier OAVQT"/>
    <s v="France"/>
    <x v="2"/>
    <n v="3400"/>
  </r>
  <r>
    <n v="10896"/>
    <n v="45"/>
    <n v="9.5"/>
    <n v="15"/>
    <n v="0"/>
    <s v="Mace, Donald"/>
    <s v="Mace Donald"/>
    <x v="9"/>
    <n v="0"/>
    <s v="Product AQOKR"/>
    <x v="3"/>
    <x v="424"/>
    <d v="2008-02-27T00:00:00"/>
    <x v="3"/>
    <s v="Ship to 50-A"/>
    <x v="3"/>
    <s v="Supplier XOXZA"/>
    <s v="Denmark"/>
    <x v="1"/>
    <n v="142.5"/>
  </r>
  <r>
    <n v="10896"/>
    <n v="56"/>
    <n v="38"/>
    <n v="16"/>
    <n v="0"/>
    <s v="Mace, Donald"/>
    <s v="Mace Donald"/>
    <x v="9"/>
    <n v="0"/>
    <s v="Product VKCMF"/>
    <x v="1"/>
    <x v="424"/>
    <d v="2008-02-27T00:00:00"/>
    <x v="3"/>
    <s v="Ship to 50-A"/>
    <x v="3"/>
    <s v="Supplier ZWZDM"/>
    <s v="Italy"/>
    <x v="1"/>
    <n v="608"/>
  </r>
  <r>
    <n v="10897"/>
    <n v="29"/>
    <n v="123.79"/>
    <n v="80"/>
    <n v="0"/>
    <s v="Crăciun, Ovidiu V."/>
    <s v="Crăciun Ovidiu V."/>
    <x v="2"/>
    <s v="WA"/>
    <s v="Product VJXYN"/>
    <x v="7"/>
    <x v="424"/>
    <d v="2008-02-25T00:00:00"/>
    <x v="1"/>
    <s v="Destination DGKOU"/>
    <x v="15"/>
    <s v="Supplier SVIYA"/>
    <s v="Germany"/>
    <x v="2"/>
    <n v="9903.2000000000007"/>
  </r>
  <r>
    <n v="10897"/>
    <n v="30"/>
    <n v="25.89"/>
    <n v="36"/>
    <n v="0"/>
    <s v="Crăciun, Ovidiu V."/>
    <s v="Crăciun Ovidiu V."/>
    <x v="2"/>
    <s v="WA"/>
    <s v="Product LYERX"/>
    <x v="3"/>
    <x v="424"/>
    <d v="2008-02-25T00:00:00"/>
    <x v="1"/>
    <s v="Destination DGKOU"/>
    <x v="15"/>
    <s v="Supplier TEGSC"/>
    <s v="Germany"/>
    <x v="2"/>
    <n v="932.04"/>
  </r>
  <r>
    <n v="10898"/>
    <n v="13"/>
    <n v="6"/>
    <n v="5"/>
    <n v="0"/>
    <s v="Tiano, Mike"/>
    <s v="Tiano Mike"/>
    <x v="1"/>
    <s v="WA"/>
    <s v="Product POXFU"/>
    <x v="3"/>
    <x v="425"/>
    <d v="2008-03-06T00:00:00"/>
    <x v="1"/>
    <s v="Ship to 54-B"/>
    <x v="21"/>
    <s v="Supplier QWUSF"/>
    <s v="Japan"/>
    <x v="1"/>
    <n v="30"/>
  </r>
  <r>
    <n v="10899"/>
    <n v="39"/>
    <n v="18"/>
    <n v="8"/>
    <n v="0.15"/>
    <s v="Dressler, Marlies"/>
    <s v="Dressler Marlies"/>
    <x v="3"/>
    <n v="0"/>
    <s v="Product LSOFL"/>
    <x v="6"/>
    <x v="425"/>
    <d v="2008-02-26T00:00:00"/>
    <x v="3"/>
    <s v="Ship to 46-C"/>
    <x v="5"/>
    <s v="Supplier LVJUA"/>
    <s v="France"/>
    <x v="1"/>
    <n v="122.39999999999999"/>
  </r>
  <r>
    <n v="10900"/>
    <n v="70"/>
    <n v="15"/>
    <n v="3"/>
    <n v="0.25"/>
    <s v="Li, Yan"/>
    <s v="Li Yan"/>
    <x v="5"/>
    <s v="WA"/>
    <s v="Product TOONT"/>
    <x v="6"/>
    <x v="425"/>
    <d v="2008-03-04T00:00:00"/>
    <x v="1"/>
    <s v="Ship to 88-A"/>
    <x v="1"/>
    <s v="Supplier GQRCV"/>
    <s v="Australia"/>
    <x v="1"/>
    <n v="33.75"/>
  </r>
  <r>
    <n v="10901"/>
    <n v="41"/>
    <n v="9.65"/>
    <n v="30"/>
    <n v="0"/>
    <s v="Langohr, Kris"/>
    <s v="Langohr Kris"/>
    <x v="1"/>
    <s v="WA"/>
    <s v="Product TTEEX"/>
    <x v="3"/>
    <x v="426"/>
    <d v="2008-02-26T00:00:00"/>
    <x v="2"/>
    <s v="Destination UOUWK"/>
    <x v="5"/>
    <s v="Supplier JDNUG"/>
    <s v="USA"/>
    <x v="1"/>
    <n v="289.5"/>
  </r>
  <r>
    <n v="10901"/>
    <n v="71"/>
    <n v="21.5"/>
    <n v="30"/>
    <n v="0"/>
    <s v="Langohr, Kris"/>
    <s v="Langohr Kris"/>
    <x v="1"/>
    <s v="WA"/>
    <s v="Product MYMOI"/>
    <x v="0"/>
    <x v="426"/>
    <d v="2008-02-26T00:00:00"/>
    <x v="2"/>
    <s v="Destination UOUWK"/>
    <x v="5"/>
    <s v="Supplier NZLIF"/>
    <s v="Norway"/>
    <x v="1"/>
    <n v="645"/>
  </r>
  <r>
    <n v="10902"/>
    <n v="55"/>
    <n v="24"/>
    <n v="30"/>
    <n v="0.15"/>
    <s v="San Juan, Patricia"/>
    <s v="San Juan Patricia"/>
    <x v="5"/>
    <s v="WA"/>
    <s v="Product YYWRT"/>
    <x v="7"/>
    <x v="426"/>
    <d v="2008-03-03T00:00:00"/>
    <x v="2"/>
    <s v="Destination NCKKO"/>
    <x v="10"/>
    <s v="Supplier ERVYZ"/>
    <s v="Canada"/>
    <x v="1"/>
    <n v="612"/>
  </r>
  <r>
    <n v="10902"/>
    <n v="62"/>
    <n v="49.3"/>
    <n v="6"/>
    <n v="0.15"/>
    <s v="San Juan, Patricia"/>
    <s v="San Juan Patricia"/>
    <x v="5"/>
    <s v="WA"/>
    <s v="Product WUXYK"/>
    <x v="5"/>
    <x v="426"/>
    <d v="2008-03-03T00:00:00"/>
    <x v="2"/>
    <s v="Destination NCKKO"/>
    <x v="10"/>
    <s v="Supplier OGLRK"/>
    <s v="Canada"/>
    <x v="1"/>
    <n v="251.42999999999995"/>
  </r>
  <r>
    <n v="10903"/>
    <n v="13"/>
    <n v="6"/>
    <n v="40"/>
    <n v="0"/>
    <s v="Cohen, Shy"/>
    <s v="Cohen Shy"/>
    <x v="2"/>
    <s v="WA"/>
    <s v="Product POXFU"/>
    <x v="3"/>
    <x v="427"/>
    <d v="2008-03-04T00:00:00"/>
    <x v="3"/>
    <s v="Destination DPCVR"/>
    <x v="1"/>
    <s v="Supplier QWUSF"/>
    <s v="Japan"/>
    <x v="1"/>
    <n v="240"/>
  </r>
  <r>
    <n v="10903"/>
    <n v="65"/>
    <n v="21.05"/>
    <n v="21"/>
    <n v="0"/>
    <s v="Cohen, Shy"/>
    <s v="Cohen Shy"/>
    <x v="2"/>
    <s v="WA"/>
    <s v="Product XYWBZ"/>
    <x v="4"/>
    <x v="427"/>
    <d v="2008-03-04T00:00:00"/>
    <x v="3"/>
    <s v="Destination DPCVR"/>
    <x v="1"/>
    <s v="Supplier VHQZD"/>
    <s v="USA"/>
    <x v="1"/>
    <n v="442.05"/>
  </r>
  <r>
    <n v="10903"/>
    <n v="68"/>
    <n v="12.5"/>
    <n v="20"/>
    <n v="0"/>
    <s v="Cohen, Shy"/>
    <s v="Cohen Shy"/>
    <x v="2"/>
    <s v="WA"/>
    <s v="Product TBTBL"/>
    <x v="5"/>
    <x v="427"/>
    <d v="2008-03-04T00:00:00"/>
    <x v="3"/>
    <s v="Destination DPCVR"/>
    <x v="1"/>
    <s v="Supplier BWGYE"/>
    <s v="UK"/>
    <x v="1"/>
    <n v="250"/>
  </r>
  <r>
    <n v="10904"/>
    <n v="58"/>
    <n v="13.25"/>
    <n v="15"/>
    <n v="0"/>
    <s v="Smith Jr., Ronaldo"/>
    <s v="Smith Jr. Ronaldo"/>
    <x v="2"/>
    <s v="WA"/>
    <s v="Product ACRVI"/>
    <x v="3"/>
    <x v="427"/>
    <d v="2008-02-27T00:00:00"/>
    <x v="3"/>
    <s v="Ship to 89-A"/>
    <x v="9"/>
    <s v="Supplier ZRYDZ"/>
    <s v="France"/>
    <x v="2"/>
    <n v="198.75"/>
  </r>
  <r>
    <n v="10904"/>
    <n v="62"/>
    <n v="49.3"/>
    <n v="35"/>
    <n v="0"/>
    <s v="Smith Jr., Ronaldo"/>
    <s v="Smith Jr. Ronaldo"/>
    <x v="2"/>
    <s v="WA"/>
    <s v="Product WUXYK"/>
    <x v="5"/>
    <x v="427"/>
    <d v="2008-02-27T00:00:00"/>
    <x v="3"/>
    <s v="Ship to 89-A"/>
    <x v="9"/>
    <s v="Supplier OGLRK"/>
    <s v="Canada"/>
    <x v="2"/>
    <n v="1725.5"/>
  </r>
  <r>
    <n v="10905"/>
    <n v="1"/>
    <n v="18"/>
    <n v="20"/>
    <n v="0.05"/>
    <s v="Li, Yan"/>
    <s v="Li Yan"/>
    <x v="4"/>
    <n v="0"/>
    <s v="Product HHYDP"/>
    <x v="6"/>
    <x v="427"/>
    <d v="2008-03-06T00:00:00"/>
    <x v="1"/>
    <s v="Ship to 88-A"/>
    <x v="1"/>
    <s v="Supplier SWRXU"/>
    <s v="UK"/>
    <x v="1"/>
    <n v="342"/>
  </r>
  <r>
    <n v="10906"/>
    <n v="61"/>
    <n v="28.5"/>
    <n v="15"/>
    <n v="0"/>
    <s v="Conn, Steve"/>
    <s v="Conn Steve"/>
    <x v="1"/>
    <s v="WA"/>
    <s v="Product XYZPE"/>
    <x v="4"/>
    <x v="428"/>
    <d v="2008-03-03T00:00:00"/>
    <x v="3"/>
    <s v="Ship to 91-B"/>
    <x v="19"/>
    <s v="Supplier OGLRK"/>
    <s v="Canada"/>
    <x v="1"/>
    <n v="427.5"/>
  </r>
  <r>
    <n v="10907"/>
    <n v="75"/>
    <n v="7.75"/>
    <n v="14"/>
    <n v="0"/>
    <s v="O’Brien, Dave"/>
    <s v="O’Brien Dave"/>
    <x v="7"/>
    <n v="0"/>
    <s v="Product BWRLG"/>
    <x v="6"/>
    <x v="428"/>
    <d v="2008-02-27T00:00:00"/>
    <x v="3"/>
    <s v="Ship to 74-B"/>
    <x v="2"/>
    <s v="Supplier SVIYA"/>
    <s v="Germany"/>
    <x v="1"/>
    <n v="108.5"/>
  </r>
  <r>
    <n v="10908"/>
    <n v="7"/>
    <n v="30"/>
    <n v="20"/>
    <n v="0.05"/>
    <s v="Voss, Florian"/>
    <s v="Voss Florian"/>
    <x v="1"/>
    <s v="WA"/>
    <s v="Product HMLNI"/>
    <x v="2"/>
    <x v="429"/>
    <d v="2008-03-06T00:00:00"/>
    <x v="1"/>
    <s v="Ship to 66-B"/>
    <x v="12"/>
    <s v="Supplier STUAZ"/>
    <s v="USA"/>
    <x v="1"/>
    <n v="570"/>
  </r>
  <r>
    <n v="10908"/>
    <n v="52"/>
    <n v="7"/>
    <n v="14"/>
    <n v="0.05"/>
    <s v="Voss, Florian"/>
    <s v="Voss Florian"/>
    <x v="1"/>
    <s v="WA"/>
    <s v="Product QSRXF"/>
    <x v="1"/>
    <x v="429"/>
    <d v="2008-03-06T00:00:00"/>
    <x v="1"/>
    <s v="Ship to 66-B"/>
    <x v="12"/>
    <s v="Supplier JNNES"/>
    <s v="Australia"/>
    <x v="1"/>
    <n v="93.1"/>
  </r>
  <r>
    <n v="10909"/>
    <n v="7"/>
    <n v="30"/>
    <n v="12"/>
    <n v="0"/>
    <s v="Ginters, Kaspars"/>
    <s v="Ginters Kaspars"/>
    <x v="5"/>
    <s v="WA"/>
    <s v="Product HMLNI"/>
    <x v="2"/>
    <x v="429"/>
    <d v="2008-03-10T00:00:00"/>
    <x v="1"/>
    <s v="Ship to 70-C"/>
    <x v="20"/>
    <s v="Supplier STUAZ"/>
    <s v="USA"/>
    <x v="1"/>
    <n v="360"/>
  </r>
  <r>
    <n v="10909"/>
    <n v="16"/>
    <n v="17.45"/>
    <n v="15"/>
    <n v="0"/>
    <s v="Ginters, Kaspars"/>
    <s v="Ginters Kaspars"/>
    <x v="5"/>
    <s v="WA"/>
    <s v="Product PAFRH"/>
    <x v="5"/>
    <x v="429"/>
    <d v="2008-03-10T00:00:00"/>
    <x v="1"/>
    <s v="Ship to 70-C"/>
    <x v="20"/>
    <s v="Supplier GQRCV"/>
    <s v="Australia"/>
    <x v="1"/>
    <n v="261.75"/>
  </r>
  <r>
    <n v="10909"/>
    <n v="41"/>
    <n v="9.65"/>
    <n v="5"/>
    <n v="0"/>
    <s v="Ginters, Kaspars"/>
    <s v="Ginters Kaspars"/>
    <x v="5"/>
    <s v="WA"/>
    <s v="Product TTEEX"/>
    <x v="3"/>
    <x v="429"/>
    <d v="2008-03-10T00:00:00"/>
    <x v="1"/>
    <s v="Ship to 70-C"/>
    <x v="20"/>
    <s v="Supplier JDNUG"/>
    <s v="USA"/>
    <x v="1"/>
    <n v="48.25"/>
  </r>
  <r>
    <n v="10910"/>
    <n v="19"/>
    <n v="9.1999999999999993"/>
    <n v="12"/>
    <n v="0"/>
    <s v="Larsson, Katarina"/>
    <s v="Larsson Katarina"/>
    <x v="5"/>
    <s v="WA"/>
    <s v="Product XKXDO"/>
    <x v="5"/>
    <x v="429"/>
    <d v="2008-03-04T00:00:00"/>
    <x v="3"/>
    <s v="Ship to 90-A"/>
    <x v="11"/>
    <s v="Supplier BWGYE"/>
    <s v="UK"/>
    <x v="1"/>
    <n v="110.39999999999999"/>
  </r>
  <r>
    <n v="10910"/>
    <n v="49"/>
    <n v="20"/>
    <n v="10"/>
    <n v="0"/>
    <s v="Larsson, Katarina"/>
    <s v="Larsson Katarina"/>
    <x v="5"/>
    <s v="WA"/>
    <s v="Product FPYPN"/>
    <x v="5"/>
    <x v="429"/>
    <d v="2008-03-04T00:00:00"/>
    <x v="3"/>
    <s v="Ship to 90-A"/>
    <x v="11"/>
    <s v="Supplier ELCRN"/>
    <s v="Finland"/>
    <x v="1"/>
    <n v="200"/>
  </r>
  <r>
    <n v="10910"/>
    <n v="61"/>
    <n v="28.5"/>
    <n v="5"/>
    <n v="0"/>
    <s v="Larsson, Katarina"/>
    <s v="Larsson Katarina"/>
    <x v="5"/>
    <s v="WA"/>
    <s v="Product XYZPE"/>
    <x v="4"/>
    <x v="429"/>
    <d v="2008-03-04T00:00:00"/>
    <x v="3"/>
    <s v="Ship to 90-A"/>
    <x v="11"/>
    <s v="Supplier OGLRK"/>
    <s v="Canada"/>
    <x v="1"/>
    <n v="142.5"/>
  </r>
  <r>
    <n v="10911"/>
    <n v="1"/>
    <n v="18"/>
    <n v="10"/>
    <n v="0"/>
    <s v="Shabalin, Rostislav"/>
    <s v="Shabalin Rostislav"/>
    <x v="2"/>
    <s v="WA"/>
    <s v="Product HHYDP"/>
    <x v="6"/>
    <x v="429"/>
    <d v="2008-03-05T00:00:00"/>
    <x v="2"/>
    <s v="Destination IIYDD"/>
    <x v="13"/>
    <s v="Supplier SWRXU"/>
    <s v="UK"/>
    <x v="1"/>
    <n v="180"/>
  </r>
  <r>
    <n v="10911"/>
    <n v="17"/>
    <n v="39"/>
    <n v="12"/>
    <n v="0"/>
    <s v="Shabalin, Rostislav"/>
    <s v="Shabalin Rostislav"/>
    <x v="2"/>
    <s v="WA"/>
    <s v="Product BLCAX"/>
    <x v="7"/>
    <x v="429"/>
    <d v="2008-03-05T00:00:00"/>
    <x v="2"/>
    <s v="Destination IIYDD"/>
    <x v="13"/>
    <s v="Supplier GQRCV"/>
    <s v="Australia"/>
    <x v="1"/>
    <n v="468"/>
  </r>
  <r>
    <n v="10911"/>
    <n v="67"/>
    <n v="14"/>
    <n v="15"/>
    <n v="0"/>
    <s v="Shabalin, Rostislav"/>
    <s v="Shabalin Rostislav"/>
    <x v="2"/>
    <s v="WA"/>
    <s v="Product XLXQF"/>
    <x v="6"/>
    <x v="429"/>
    <d v="2008-03-05T00:00:00"/>
    <x v="2"/>
    <s v="Destination IIYDD"/>
    <x v="13"/>
    <s v="Supplier UHZRG"/>
    <s v="USA"/>
    <x v="1"/>
    <n v="210"/>
  </r>
  <r>
    <n v="10912"/>
    <n v="11"/>
    <n v="21"/>
    <n v="40"/>
    <n v="0.25"/>
    <s v="Crăciun, Ovidiu V."/>
    <s v="Crăciun Ovidiu V."/>
    <x v="8"/>
    <s v="WA"/>
    <s v="Product QMVUN"/>
    <x v="0"/>
    <x v="429"/>
    <d v="2008-03-18T00:00:00"/>
    <x v="1"/>
    <s v="Destination DGKOU"/>
    <x v="15"/>
    <s v="Supplier EQPNC"/>
    <s v="Spain"/>
    <x v="2"/>
    <n v="630"/>
  </r>
  <r>
    <n v="10912"/>
    <n v="29"/>
    <n v="123.79"/>
    <n v="60"/>
    <n v="0.25"/>
    <s v="Crăciun, Ovidiu V."/>
    <s v="Crăciun Ovidiu V."/>
    <x v="8"/>
    <s v="WA"/>
    <s v="Product VJXYN"/>
    <x v="7"/>
    <x v="429"/>
    <d v="2008-03-18T00:00:00"/>
    <x v="1"/>
    <s v="Destination DGKOU"/>
    <x v="15"/>
    <s v="Supplier SVIYA"/>
    <s v="Germany"/>
    <x v="2"/>
    <n v="5570.55"/>
  </r>
  <r>
    <n v="10913"/>
    <n v="4"/>
    <n v="22"/>
    <n v="30"/>
    <n v="0.25"/>
    <s v="Misiec, Anna"/>
    <s v="Misiec Anna"/>
    <x v="1"/>
    <s v="WA"/>
    <s v="Product KSBRM"/>
    <x v="4"/>
    <x v="429"/>
    <d v="2008-03-04T00:00:00"/>
    <x v="2"/>
    <s v="Ship to 62-A"/>
    <x v="1"/>
    <s v="Supplier VHQZD"/>
    <s v="USA"/>
    <x v="1"/>
    <n v="495"/>
  </r>
  <r>
    <n v="10913"/>
    <n v="33"/>
    <n v="2.5"/>
    <n v="40"/>
    <n v="0.25"/>
    <s v="Misiec, Anna"/>
    <s v="Misiec Anna"/>
    <x v="1"/>
    <s v="WA"/>
    <s v="Product ASTMN"/>
    <x v="0"/>
    <x v="429"/>
    <d v="2008-03-04T00:00:00"/>
    <x v="2"/>
    <s v="Ship to 62-A"/>
    <x v="1"/>
    <s v="Supplier NZLIF"/>
    <s v="Norway"/>
    <x v="1"/>
    <n v="75"/>
  </r>
  <r>
    <n v="10913"/>
    <n v="58"/>
    <n v="13.25"/>
    <n v="15"/>
    <n v="0"/>
    <s v="Misiec, Anna"/>
    <s v="Misiec Anna"/>
    <x v="1"/>
    <s v="WA"/>
    <s v="Product ACRVI"/>
    <x v="3"/>
    <x v="429"/>
    <d v="2008-03-04T00:00:00"/>
    <x v="2"/>
    <s v="Ship to 62-A"/>
    <x v="1"/>
    <s v="Supplier ZRYDZ"/>
    <s v="France"/>
    <x v="1"/>
    <n v="198.75"/>
  </r>
  <r>
    <n v="10914"/>
    <n v="71"/>
    <n v="21.5"/>
    <n v="25"/>
    <n v="0"/>
    <s v="Misiec, Anna"/>
    <s v="Misiec Anna"/>
    <x v="7"/>
    <n v="0"/>
    <s v="Product MYMOI"/>
    <x v="0"/>
    <x v="430"/>
    <d v="2008-03-02T00:00:00"/>
    <x v="2"/>
    <s v="Ship to 62-B"/>
    <x v="1"/>
    <s v="Supplier NZLIF"/>
    <s v="Norway"/>
    <x v="1"/>
    <n v="537.5"/>
  </r>
  <r>
    <n v="10915"/>
    <n v="17"/>
    <n v="39"/>
    <n v="10"/>
    <n v="0"/>
    <s v="Geschwandtner, Jens"/>
    <s v="Geschwandtner Jens"/>
    <x v="8"/>
    <s v="WA"/>
    <s v="Product BLCAX"/>
    <x v="7"/>
    <x v="430"/>
    <d v="2008-03-02T00:00:00"/>
    <x v="1"/>
    <s v="Ship to 80-C"/>
    <x v="7"/>
    <s v="Supplier GQRCV"/>
    <s v="Australia"/>
    <x v="1"/>
    <n v="390"/>
  </r>
  <r>
    <n v="10915"/>
    <n v="33"/>
    <n v="2.5"/>
    <n v="30"/>
    <n v="0"/>
    <s v="Geschwandtner, Jens"/>
    <s v="Geschwandtner Jens"/>
    <x v="8"/>
    <s v="WA"/>
    <s v="Product ASTMN"/>
    <x v="0"/>
    <x v="430"/>
    <d v="2008-03-02T00:00:00"/>
    <x v="1"/>
    <s v="Ship to 80-C"/>
    <x v="7"/>
    <s v="Supplier NZLIF"/>
    <s v="Norway"/>
    <x v="1"/>
    <n v="75"/>
  </r>
  <r>
    <n v="10915"/>
    <n v="54"/>
    <n v="7.45"/>
    <n v="10"/>
    <n v="0"/>
    <s v="Geschwandtner, Jens"/>
    <s v="Geschwandtner Jens"/>
    <x v="8"/>
    <s v="WA"/>
    <s v="Product QAQRL"/>
    <x v="7"/>
    <x v="430"/>
    <d v="2008-03-02T00:00:00"/>
    <x v="1"/>
    <s v="Ship to 80-C"/>
    <x v="7"/>
    <s v="Supplier ERVYZ"/>
    <s v="Canada"/>
    <x v="1"/>
    <n v="74.5"/>
  </r>
  <r>
    <n v="10916"/>
    <n v="16"/>
    <n v="17.45"/>
    <n v="6"/>
    <n v="0"/>
    <s v="Gaffney, Lawrie"/>
    <s v="Gaffney Lawrie"/>
    <x v="5"/>
    <s v="WA"/>
    <s v="Product PAFRH"/>
    <x v="5"/>
    <x v="430"/>
    <d v="2008-03-09T00:00:00"/>
    <x v="1"/>
    <s v="Ship to 64-C"/>
    <x v="21"/>
    <s v="Supplier GQRCV"/>
    <s v="Australia"/>
    <x v="1"/>
    <n v="104.69999999999999"/>
  </r>
  <r>
    <n v="10916"/>
    <n v="32"/>
    <n v="32"/>
    <n v="6"/>
    <n v="0"/>
    <s v="Gaffney, Lawrie"/>
    <s v="Gaffney Lawrie"/>
    <x v="5"/>
    <s v="WA"/>
    <s v="Product NUNAW"/>
    <x v="0"/>
    <x v="430"/>
    <d v="2008-03-09T00:00:00"/>
    <x v="1"/>
    <s v="Ship to 64-C"/>
    <x v="21"/>
    <s v="Supplier KEREV"/>
    <s v="Italy"/>
    <x v="1"/>
    <n v="192"/>
  </r>
  <r>
    <n v="10916"/>
    <n v="57"/>
    <n v="19.5"/>
    <n v="20"/>
    <n v="0"/>
    <s v="Gaffney, Lawrie"/>
    <s v="Gaffney Lawrie"/>
    <x v="5"/>
    <s v="WA"/>
    <s v="Product OVLQI"/>
    <x v="1"/>
    <x v="430"/>
    <d v="2008-03-09T00:00:00"/>
    <x v="1"/>
    <s v="Ship to 64-C"/>
    <x v="21"/>
    <s v="Supplier ZWZDM"/>
    <s v="Italy"/>
    <x v="1"/>
    <n v="390"/>
  </r>
  <r>
    <n v="10917"/>
    <n v="30"/>
    <n v="25.89"/>
    <n v="1"/>
    <n v="0"/>
    <s v="Watters, Jason M."/>
    <s v="Watters Jason M."/>
    <x v="1"/>
    <s v="WA"/>
    <s v="Product LYERX"/>
    <x v="3"/>
    <x v="431"/>
    <d v="2008-03-11T00:00:00"/>
    <x v="1"/>
    <s v="Ship to 69-C"/>
    <x v="13"/>
    <s v="Supplier TEGSC"/>
    <s v="Germany"/>
    <x v="1"/>
    <n v="25.89"/>
  </r>
  <r>
    <n v="10917"/>
    <n v="60"/>
    <n v="34"/>
    <n v="10"/>
    <n v="0"/>
    <s v="Watters, Jason M."/>
    <s v="Watters Jason M."/>
    <x v="1"/>
    <s v="WA"/>
    <s v="Product WHBYK"/>
    <x v="0"/>
    <x v="431"/>
    <d v="2008-03-11T00:00:00"/>
    <x v="1"/>
    <s v="Ship to 69-C"/>
    <x v="13"/>
    <s v="Supplier OAVQT"/>
    <s v="France"/>
    <x v="1"/>
    <n v="340"/>
  </r>
  <r>
    <n v="10918"/>
    <n v="1"/>
    <n v="18"/>
    <n v="60"/>
    <n v="0.25"/>
    <s v="Bassols, Pilar Colome"/>
    <s v="Bassols Pilar Colome"/>
    <x v="2"/>
    <s v="WA"/>
    <s v="Product HHYDP"/>
    <x v="6"/>
    <x v="431"/>
    <d v="2008-03-11T00:00:00"/>
    <x v="3"/>
    <s v="Destination OLSSJ"/>
    <x v="17"/>
    <s v="Supplier SWRXU"/>
    <s v="UK"/>
    <x v="1"/>
    <n v="810"/>
  </r>
  <r>
    <n v="10918"/>
    <n v="60"/>
    <n v="34"/>
    <n v="25"/>
    <n v="0.25"/>
    <s v="Bassols, Pilar Colome"/>
    <s v="Bassols Pilar Colome"/>
    <x v="2"/>
    <s v="WA"/>
    <s v="Product WHBYK"/>
    <x v="0"/>
    <x v="431"/>
    <d v="2008-03-11T00:00:00"/>
    <x v="3"/>
    <s v="Destination OLSSJ"/>
    <x v="17"/>
    <s v="Supplier OAVQT"/>
    <s v="France"/>
    <x v="1"/>
    <n v="637.5"/>
  </r>
  <r>
    <n v="10919"/>
    <n v="16"/>
    <n v="17.45"/>
    <n v="24"/>
    <n v="0"/>
    <s v="Lupu, Cornel"/>
    <s v="Lupu Cornel"/>
    <x v="8"/>
    <s v="WA"/>
    <s v="Product PAFRH"/>
    <x v="5"/>
    <x v="431"/>
    <d v="2008-03-04T00:00:00"/>
    <x v="1"/>
    <s v="Ship to 47-B"/>
    <x v="5"/>
    <s v="Supplier GQRCV"/>
    <s v="Australia"/>
    <x v="1"/>
    <n v="418.79999999999995"/>
  </r>
  <r>
    <n v="10919"/>
    <n v="25"/>
    <n v="14"/>
    <n v="24"/>
    <n v="0"/>
    <s v="Lupu, Cornel"/>
    <s v="Lupu Cornel"/>
    <x v="8"/>
    <s v="WA"/>
    <s v="Product LYLNI"/>
    <x v="5"/>
    <x v="431"/>
    <d v="2008-03-04T00:00:00"/>
    <x v="1"/>
    <s v="Ship to 47-B"/>
    <x v="5"/>
    <s v="Supplier ZPYVS"/>
    <s v="Germany"/>
    <x v="1"/>
    <n v="336"/>
  </r>
  <r>
    <n v="10919"/>
    <n v="40"/>
    <n v="18.399999999999999"/>
    <n v="20"/>
    <n v="0"/>
    <s v="Lupu, Cornel"/>
    <s v="Lupu Cornel"/>
    <x v="8"/>
    <s v="WA"/>
    <s v="Product YZIXQ"/>
    <x v="3"/>
    <x v="431"/>
    <d v="2008-03-04T00:00:00"/>
    <x v="1"/>
    <s v="Ship to 47-B"/>
    <x v="5"/>
    <s v="Supplier JDNUG"/>
    <s v="USA"/>
    <x v="1"/>
    <n v="368"/>
  </r>
  <r>
    <n v="10920"/>
    <n v="50"/>
    <n v="16.25"/>
    <n v="24"/>
    <n v="0"/>
    <s v="Arndt, Torsten"/>
    <s v="Arndt Torsten"/>
    <x v="1"/>
    <s v="WA"/>
    <s v="Product BIUDV"/>
    <x v="5"/>
    <x v="432"/>
    <d v="2008-03-09T00:00:00"/>
    <x v="1"/>
    <s v="Ship to 4-A"/>
    <x v="14"/>
    <s v="Supplier ELCRN"/>
    <s v="Finland"/>
    <x v="1"/>
    <n v="390"/>
  </r>
  <r>
    <n v="10921"/>
    <n v="35"/>
    <n v="18"/>
    <n v="10"/>
    <n v="0"/>
    <s v="Fonteneau, Karl"/>
    <s v="Fonteneau Karl"/>
    <x v="5"/>
    <s v="WA"/>
    <s v="Product NEVTJ"/>
    <x v="6"/>
    <x v="432"/>
    <d v="2008-03-09T00:00:00"/>
    <x v="2"/>
    <s v="Ship to 83-A"/>
    <x v="18"/>
    <s v="Supplier UHZRG"/>
    <s v="USA"/>
    <x v="2"/>
    <n v="180"/>
  </r>
  <r>
    <n v="10921"/>
    <n v="63"/>
    <n v="43.9"/>
    <n v="40"/>
    <n v="0"/>
    <s v="Fonteneau, Karl"/>
    <s v="Fonteneau Karl"/>
    <x v="5"/>
    <s v="WA"/>
    <s v="Product ICKNK"/>
    <x v="4"/>
    <x v="432"/>
    <d v="2008-03-09T00:00:00"/>
    <x v="2"/>
    <s v="Ship to 83-A"/>
    <x v="18"/>
    <s v="Supplier GQRCV"/>
    <s v="Australia"/>
    <x v="2"/>
    <n v="1756"/>
  </r>
  <r>
    <n v="10922"/>
    <n v="17"/>
    <n v="39"/>
    <n v="15"/>
    <n v="0"/>
    <s v="Cohen, Shy"/>
    <s v="Cohen Shy"/>
    <x v="3"/>
    <n v="0"/>
    <s v="Product BLCAX"/>
    <x v="7"/>
    <x v="432"/>
    <d v="2008-03-05T00:00:00"/>
    <x v="3"/>
    <s v="Destination DPCVR"/>
    <x v="1"/>
    <s v="Supplier GQRCV"/>
    <s v="Australia"/>
    <x v="1"/>
    <n v="585"/>
  </r>
  <r>
    <n v="10922"/>
    <n v="24"/>
    <n v="4.5"/>
    <n v="35"/>
    <n v="0"/>
    <s v="Cohen, Shy"/>
    <s v="Cohen Shy"/>
    <x v="3"/>
    <n v="0"/>
    <s v="Product QOGNU"/>
    <x v="6"/>
    <x v="432"/>
    <d v="2008-03-05T00:00:00"/>
    <x v="3"/>
    <s v="Destination DPCVR"/>
    <x v="1"/>
    <s v="Supplier UNAHG"/>
    <s v="Brazil"/>
    <x v="1"/>
    <n v="157.5"/>
  </r>
  <r>
    <n v="10923"/>
    <n v="42"/>
    <n v="14"/>
    <n v="10"/>
    <n v="0.2"/>
    <s v="Litton, Tim"/>
    <s v="Litton Tim"/>
    <x v="9"/>
    <n v="0"/>
    <s v="Product RJVNM"/>
    <x v="1"/>
    <x v="432"/>
    <d v="2008-03-13T00:00:00"/>
    <x v="3"/>
    <s v="Destination OLJND"/>
    <x v="2"/>
    <s v="Supplier CIYNM"/>
    <s v="Singapore"/>
    <x v="1"/>
    <n v="112"/>
  </r>
  <r>
    <n v="10923"/>
    <n v="43"/>
    <n v="46"/>
    <n v="10"/>
    <n v="0.2"/>
    <s v="Litton, Tim"/>
    <s v="Litton Tim"/>
    <x v="9"/>
    <n v="0"/>
    <s v="Product ZZZHR"/>
    <x v="6"/>
    <x v="432"/>
    <d v="2008-03-13T00:00:00"/>
    <x v="3"/>
    <s v="Destination OLJND"/>
    <x v="2"/>
    <s v="Supplier CIYNM"/>
    <s v="Singapore"/>
    <x v="1"/>
    <n v="368"/>
  </r>
  <r>
    <n v="10923"/>
    <n v="67"/>
    <n v="14"/>
    <n v="24"/>
    <n v="0.2"/>
    <s v="Litton, Tim"/>
    <s v="Litton Tim"/>
    <x v="9"/>
    <n v="0"/>
    <s v="Product XLXQF"/>
    <x v="6"/>
    <x v="432"/>
    <d v="2008-03-13T00:00:00"/>
    <x v="3"/>
    <s v="Destination OLJND"/>
    <x v="2"/>
    <s v="Supplier UHZRG"/>
    <s v="USA"/>
    <x v="1"/>
    <n v="268.8"/>
  </r>
  <r>
    <n v="10924"/>
    <n v="10"/>
    <n v="31"/>
    <n v="20"/>
    <n v="0.1"/>
    <s v="Higginbotham, Tom"/>
    <s v="Higginbotham Tom"/>
    <x v="2"/>
    <s v="WA"/>
    <s v="Product YHXGE"/>
    <x v="3"/>
    <x v="433"/>
    <d v="2008-04-08T00:00:00"/>
    <x v="1"/>
    <s v="Ship to 5-A"/>
    <x v="10"/>
    <s v="Supplier QOVFD"/>
    <s v="Japan"/>
    <x v="2"/>
    <n v="558"/>
  </r>
  <r>
    <n v="10924"/>
    <n v="28"/>
    <n v="45.6"/>
    <n v="30"/>
    <n v="0.1"/>
    <s v="Higginbotham, Tom"/>
    <s v="Higginbotham Tom"/>
    <x v="2"/>
    <s v="WA"/>
    <s v="Product OFBNT"/>
    <x v="2"/>
    <x v="433"/>
    <d v="2008-04-08T00:00:00"/>
    <x v="1"/>
    <s v="Ship to 5-A"/>
    <x v="10"/>
    <s v="Supplier SVIYA"/>
    <s v="Germany"/>
    <x v="2"/>
    <n v="1231.2"/>
  </r>
  <r>
    <n v="10924"/>
    <n v="75"/>
    <n v="7.75"/>
    <n v="6"/>
    <n v="0"/>
    <s v="Higginbotham, Tom"/>
    <s v="Higginbotham Tom"/>
    <x v="2"/>
    <s v="WA"/>
    <s v="Product BWRLG"/>
    <x v="6"/>
    <x v="433"/>
    <d v="2008-04-08T00:00:00"/>
    <x v="1"/>
    <s v="Ship to 5-A"/>
    <x v="10"/>
    <s v="Supplier SVIYA"/>
    <s v="Germany"/>
    <x v="2"/>
    <n v="46.5"/>
  </r>
  <r>
    <n v="10925"/>
    <n v="36"/>
    <n v="19"/>
    <n v="25"/>
    <n v="0.15"/>
    <s v="Cohen, Shy"/>
    <s v="Cohen Shy"/>
    <x v="2"/>
    <s v="WA"/>
    <s v="Product GMKIJ"/>
    <x v="3"/>
    <x v="433"/>
    <d v="2008-03-13T00:00:00"/>
    <x v="2"/>
    <s v="Destination JPAIY"/>
    <x v="1"/>
    <s v="Supplier QZGUF"/>
    <s v="Sweden"/>
    <x v="1"/>
    <n v="403.75"/>
  </r>
  <r>
    <n v="10925"/>
    <n v="52"/>
    <n v="7"/>
    <n v="12"/>
    <n v="0.15"/>
    <s v="Cohen, Shy"/>
    <s v="Cohen Shy"/>
    <x v="2"/>
    <s v="WA"/>
    <s v="Product QSRXF"/>
    <x v="1"/>
    <x v="433"/>
    <d v="2008-03-13T00:00:00"/>
    <x v="2"/>
    <s v="Destination JPAIY"/>
    <x v="1"/>
    <s v="Supplier JNNES"/>
    <s v="Australia"/>
    <x v="1"/>
    <n v="71.399999999999991"/>
  </r>
  <r>
    <n v="10926"/>
    <n v="11"/>
    <n v="21"/>
    <n v="2"/>
    <n v="0"/>
    <s v="Hassall, Mark"/>
    <s v="Hassall Mark"/>
    <x v="1"/>
    <s v="WA"/>
    <s v="Product QMVUN"/>
    <x v="0"/>
    <x v="433"/>
    <d v="2008-03-11T00:00:00"/>
    <x v="3"/>
    <s v="Destination RAIGI"/>
    <x v="7"/>
    <s v="Supplier EQPNC"/>
    <s v="Spain"/>
    <x v="1"/>
    <n v="42"/>
  </r>
  <r>
    <n v="10926"/>
    <n v="13"/>
    <n v="6"/>
    <n v="10"/>
    <n v="0"/>
    <s v="Hassall, Mark"/>
    <s v="Hassall Mark"/>
    <x v="1"/>
    <s v="WA"/>
    <s v="Product POXFU"/>
    <x v="3"/>
    <x v="433"/>
    <d v="2008-03-11T00:00:00"/>
    <x v="3"/>
    <s v="Destination RAIGI"/>
    <x v="7"/>
    <s v="Supplier QWUSF"/>
    <s v="Japan"/>
    <x v="1"/>
    <n v="60"/>
  </r>
  <r>
    <n v="10926"/>
    <n v="19"/>
    <n v="9.1999999999999993"/>
    <n v="7"/>
    <n v="0"/>
    <s v="Hassall, Mark"/>
    <s v="Hassall Mark"/>
    <x v="1"/>
    <s v="WA"/>
    <s v="Product XKXDO"/>
    <x v="5"/>
    <x v="433"/>
    <d v="2008-03-11T00:00:00"/>
    <x v="3"/>
    <s v="Destination RAIGI"/>
    <x v="7"/>
    <s v="Supplier BWGYE"/>
    <s v="UK"/>
    <x v="1"/>
    <n v="64.399999999999991"/>
  </r>
  <r>
    <n v="10926"/>
    <n v="72"/>
    <n v="34.799999999999997"/>
    <n v="10"/>
    <n v="0"/>
    <s v="Hassall, Mark"/>
    <s v="Hassall Mark"/>
    <x v="1"/>
    <s v="WA"/>
    <s v="Product GEEOO"/>
    <x v="0"/>
    <x v="433"/>
    <d v="2008-03-11T00:00:00"/>
    <x v="3"/>
    <s v="Destination RAIGI"/>
    <x v="7"/>
    <s v="Supplier KEREV"/>
    <s v="Italy"/>
    <x v="1"/>
    <n v="348"/>
  </r>
  <r>
    <n v="10927"/>
    <n v="20"/>
    <n v="81"/>
    <n v="5"/>
    <n v="0"/>
    <s v="De Oliveira, Jose"/>
    <s v="De Oliveira Jose"/>
    <x v="1"/>
    <s v="WA"/>
    <s v="Product QHFFP"/>
    <x v="5"/>
    <x v="434"/>
    <d v="2008-04-08T00:00:00"/>
    <x v="2"/>
    <s v="Destination WWJLO"/>
    <x v="2"/>
    <s v="Supplier BWGYE"/>
    <s v="UK"/>
    <x v="1"/>
    <n v="405"/>
  </r>
  <r>
    <n v="10927"/>
    <n v="52"/>
    <n v="7"/>
    <n v="5"/>
    <n v="0"/>
    <s v="De Oliveira, Jose"/>
    <s v="De Oliveira Jose"/>
    <x v="1"/>
    <s v="WA"/>
    <s v="Product QSRXF"/>
    <x v="1"/>
    <x v="434"/>
    <d v="2008-04-08T00:00:00"/>
    <x v="2"/>
    <s v="Destination WWJLO"/>
    <x v="2"/>
    <s v="Supplier JNNES"/>
    <s v="Australia"/>
    <x v="1"/>
    <n v="35"/>
  </r>
  <r>
    <n v="10927"/>
    <n v="76"/>
    <n v="18"/>
    <n v="20"/>
    <n v="0"/>
    <s v="De Oliveira, Jose"/>
    <s v="De Oliveira Jose"/>
    <x v="1"/>
    <s v="WA"/>
    <s v="Product JYGFE"/>
    <x v="6"/>
    <x v="434"/>
    <d v="2008-04-08T00:00:00"/>
    <x v="2"/>
    <s v="Destination WWJLO"/>
    <x v="2"/>
    <s v="Supplier ELCRN"/>
    <s v="Finland"/>
    <x v="1"/>
    <n v="360"/>
  </r>
  <r>
    <n v="10928"/>
    <n v="47"/>
    <n v="9.5"/>
    <n v="5"/>
    <n v="0"/>
    <s v="Kolesnikova, Katerina"/>
    <s v="Kolesnikova Katerina"/>
    <x v="5"/>
    <s v="WA"/>
    <s v="Product EZZPR"/>
    <x v="5"/>
    <x v="434"/>
    <d v="2008-03-18T00:00:00"/>
    <x v="2"/>
    <s v="Destination WOFLH"/>
    <x v="13"/>
    <s v="Supplier FNUXM"/>
    <s v="Netherlands"/>
    <x v="1"/>
    <n v="47.5"/>
  </r>
  <r>
    <n v="10928"/>
    <n v="76"/>
    <n v="18"/>
    <n v="5"/>
    <n v="0"/>
    <s v="Kolesnikova, Katerina"/>
    <s v="Kolesnikova Katerina"/>
    <x v="5"/>
    <s v="WA"/>
    <s v="Product JYGFE"/>
    <x v="6"/>
    <x v="434"/>
    <d v="2008-03-18T00:00:00"/>
    <x v="2"/>
    <s v="Destination WOFLH"/>
    <x v="13"/>
    <s v="Supplier ELCRN"/>
    <s v="Finland"/>
    <x v="1"/>
    <n v="90"/>
  </r>
  <r>
    <n v="10929"/>
    <n v="21"/>
    <n v="10"/>
    <n v="60"/>
    <n v="0"/>
    <s v="Carlson, Jason"/>
    <s v="Carlson Jason"/>
    <x v="7"/>
    <n v="0"/>
    <s v="Product VJZZH"/>
    <x v="5"/>
    <x v="434"/>
    <d v="2008-03-12T00:00:00"/>
    <x v="2"/>
    <s v="Destination QOCBL"/>
    <x v="8"/>
    <s v="Supplier BWGYE"/>
    <s v="UK"/>
    <x v="1"/>
    <n v="600"/>
  </r>
  <r>
    <n v="10929"/>
    <n v="75"/>
    <n v="7.75"/>
    <n v="49"/>
    <n v="0"/>
    <s v="Carlson, Jason"/>
    <s v="Carlson Jason"/>
    <x v="7"/>
    <n v="0"/>
    <s v="Product BWRLG"/>
    <x v="6"/>
    <x v="434"/>
    <d v="2008-03-12T00:00:00"/>
    <x v="2"/>
    <s v="Destination QOCBL"/>
    <x v="8"/>
    <s v="Supplier SVIYA"/>
    <s v="Germany"/>
    <x v="1"/>
    <n v="379.75"/>
  </r>
  <r>
    <n v="10929"/>
    <n v="77"/>
    <n v="13"/>
    <n v="15"/>
    <n v="0"/>
    <s v="Carlson, Jason"/>
    <s v="Carlson Jason"/>
    <x v="7"/>
    <n v="0"/>
    <s v="Product LUNZZ"/>
    <x v="4"/>
    <x v="434"/>
    <d v="2008-03-12T00:00:00"/>
    <x v="2"/>
    <s v="Destination QOCBL"/>
    <x v="8"/>
    <s v="Supplier SVIYA"/>
    <s v="Germany"/>
    <x v="1"/>
    <n v="195"/>
  </r>
  <r>
    <n v="10930"/>
    <n v="21"/>
    <n v="10"/>
    <n v="36"/>
    <n v="0"/>
    <s v="Gulbis, Katrin"/>
    <s v="Gulbis Katrin"/>
    <x v="1"/>
    <s v="WA"/>
    <s v="Product VJZZH"/>
    <x v="5"/>
    <x v="435"/>
    <d v="2008-03-18T00:00:00"/>
    <x v="3"/>
    <s v="Ship to 76-A"/>
    <x v="3"/>
    <s v="Supplier BWGYE"/>
    <s v="UK"/>
    <x v="1"/>
    <n v="360"/>
  </r>
  <r>
    <n v="10930"/>
    <n v="27"/>
    <n v="43.9"/>
    <n v="25"/>
    <n v="0"/>
    <s v="Gulbis, Katrin"/>
    <s v="Gulbis Katrin"/>
    <x v="1"/>
    <s v="WA"/>
    <s v="Product SMIOH"/>
    <x v="5"/>
    <x v="435"/>
    <d v="2008-03-18T00:00:00"/>
    <x v="3"/>
    <s v="Ship to 76-A"/>
    <x v="3"/>
    <s v="Supplier ZPYVS"/>
    <s v="Germany"/>
    <x v="1"/>
    <n v="1097.5"/>
  </r>
  <r>
    <n v="10930"/>
    <n v="55"/>
    <n v="24"/>
    <n v="25"/>
    <n v="0.2"/>
    <s v="Gulbis, Katrin"/>
    <s v="Gulbis Katrin"/>
    <x v="1"/>
    <s v="WA"/>
    <s v="Product YYWRT"/>
    <x v="7"/>
    <x v="435"/>
    <d v="2008-03-18T00:00:00"/>
    <x v="3"/>
    <s v="Ship to 76-A"/>
    <x v="3"/>
    <s v="Supplier ERVYZ"/>
    <s v="Canada"/>
    <x v="1"/>
    <n v="480"/>
  </r>
  <r>
    <n v="10930"/>
    <n v="58"/>
    <n v="13.25"/>
    <n v="30"/>
    <n v="0.2"/>
    <s v="Gulbis, Katrin"/>
    <s v="Gulbis Katrin"/>
    <x v="1"/>
    <s v="WA"/>
    <s v="Product ACRVI"/>
    <x v="3"/>
    <x v="435"/>
    <d v="2008-03-18T00:00:00"/>
    <x v="3"/>
    <s v="Ship to 76-A"/>
    <x v="3"/>
    <s v="Supplier ZRYDZ"/>
    <s v="France"/>
    <x v="1"/>
    <n v="318"/>
  </r>
  <r>
    <n v="10931"/>
    <n v="13"/>
    <n v="6"/>
    <n v="42"/>
    <n v="0.15"/>
    <s v="Myrcha, Jacek"/>
    <s v="Myrcha Jacek"/>
    <x v="1"/>
    <s v="WA"/>
    <s v="Product POXFU"/>
    <x v="3"/>
    <x v="435"/>
    <d v="2008-03-19T00:00:00"/>
    <x v="1"/>
    <s v="Ship to 68-B"/>
    <x v="4"/>
    <s v="Supplier QWUSF"/>
    <s v="Japan"/>
    <x v="1"/>
    <n v="214.2"/>
  </r>
  <r>
    <n v="10931"/>
    <n v="57"/>
    <n v="19.5"/>
    <n v="30"/>
    <n v="0"/>
    <s v="Myrcha, Jacek"/>
    <s v="Myrcha Jacek"/>
    <x v="1"/>
    <s v="WA"/>
    <s v="Product OVLQI"/>
    <x v="1"/>
    <x v="435"/>
    <d v="2008-03-19T00:00:00"/>
    <x v="1"/>
    <s v="Ship to 68-B"/>
    <x v="4"/>
    <s v="Supplier ZWZDM"/>
    <s v="Italy"/>
    <x v="1"/>
    <n v="585"/>
  </r>
  <r>
    <n v="10932"/>
    <n v="16"/>
    <n v="17.45"/>
    <n v="30"/>
    <n v="0.1"/>
    <s v="Raghav, Amritansh"/>
    <s v="Raghav Amritansh"/>
    <x v="6"/>
    <s v="WA"/>
    <s v="Product PAFRH"/>
    <x v="5"/>
    <x v="435"/>
    <d v="2008-03-24T00:00:00"/>
    <x v="2"/>
    <s v="Ship to 9-B"/>
    <x v="2"/>
    <s v="Supplier GQRCV"/>
    <s v="Australia"/>
    <x v="2"/>
    <n v="471.15000000000003"/>
  </r>
  <r>
    <n v="10932"/>
    <n v="62"/>
    <n v="49.3"/>
    <n v="14"/>
    <n v="0.1"/>
    <s v="Raghav, Amritansh"/>
    <s v="Raghav Amritansh"/>
    <x v="6"/>
    <s v="WA"/>
    <s v="Product WUXYK"/>
    <x v="5"/>
    <x v="435"/>
    <d v="2008-03-24T00:00:00"/>
    <x v="2"/>
    <s v="Ship to 9-B"/>
    <x v="2"/>
    <s v="Supplier OGLRK"/>
    <s v="Canada"/>
    <x v="2"/>
    <n v="621.17999999999995"/>
  </r>
  <r>
    <n v="10932"/>
    <n v="72"/>
    <n v="34.799999999999997"/>
    <n v="16"/>
    <n v="0"/>
    <s v="Raghav, Amritansh"/>
    <s v="Raghav Amritansh"/>
    <x v="6"/>
    <s v="WA"/>
    <s v="Product GEEOO"/>
    <x v="0"/>
    <x v="435"/>
    <d v="2008-03-24T00:00:00"/>
    <x v="2"/>
    <s v="Ship to 9-B"/>
    <x v="2"/>
    <s v="Supplier KEREV"/>
    <s v="Italy"/>
    <x v="2"/>
    <n v="556.79999999999995"/>
  </r>
  <r>
    <n v="10932"/>
    <n v="75"/>
    <n v="7.75"/>
    <n v="20"/>
    <n v="0.1"/>
    <s v="Raghav, Amritansh"/>
    <s v="Raghav Amritansh"/>
    <x v="6"/>
    <s v="WA"/>
    <s v="Product BWRLG"/>
    <x v="6"/>
    <x v="435"/>
    <d v="2008-03-24T00:00:00"/>
    <x v="2"/>
    <s v="Ship to 9-B"/>
    <x v="2"/>
    <s v="Supplier SVIYA"/>
    <s v="Germany"/>
    <x v="2"/>
    <n v="139.5"/>
  </r>
  <r>
    <n v="10933"/>
    <n v="53"/>
    <n v="32.799999999999997"/>
    <n v="2"/>
    <n v="0"/>
    <s v="Lee, Frank"/>
    <s v="Lee Frank"/>
    <x v="7"/>
    <n v="0"/>
    <s v="Product BKGEA"/>
    <x v="7"/>
    <x v="435"/>
    <d v="2008-03-16T00:00:00"/>
    <x v="3"/>
    <s v="Destination QVTLW"/>
    <x v="14"/>
    <s v="Supplier JNNES"/>
    <s v="Australia"/>
    <x v="1"/>
    <n v="65.599999999999994"/>
  </r>
  <r>
    <n v="10933"/>
    <n v="61"/>
    <n v="28.5"/>
    <n v="30"/>
    <n v="0"/>
    <s v="Lee, Frank"/>
    <s v="Lee Frank"/>
    <x v="7"/>
    <n v="0"/>
    <s v="Product XYZPE"/>
    <x v="4"/>
    <x v="435"/>
    <d v="2008-03-16T00:00:00"/>
    <x v="3"/>
    <s v="Destination QVTLW"/>
    <x v="14"/>
    <s v="Supplier OGLRK"/>
    <s v="Canada"/>
    <x v="1"/>
    <n v="855"/>
  </r>
  <r>
    <n v="10934"/>
    <n v="6"/>
    <n v="25"/>
    <n v="20"/>
    <n v="0"/>
    <s v="Louverdis, George"/>
    <s v="Louverdis George"/>
    <x v="2"/>
    <s v="WA"/>
    <s v="Product VAIIV"/>
    <x v="4"/>
    <x v="436"/>
    <d v="2008-03-12T00:00:00"/>
    <x v="3"/>
    <s v="Ship to 44-C"/>
    <x v="8"/>
    <s v="Supplier STUAZ"/>
    <s v="USA"/>
    <x v="1"/>
    <n v="500"/>
  </r>
  <r>
    <n v="10935"/>
    <n v="1"/>
    <n v="18"/>
    <n v="21"/>
    <n v="0"/>
    <s v="Li, Yan"/>
    <s v="Li Yan"/>
    <x v="1"/>
    <s v="WA"/>
    <s v="Product HHYDP"/>
    <x v="6"/>
    <x v="436"/>
    <d v="2008-03-18T00:00:00"/>
    <x v="3"/>
    <s v="Ship to 88-A"/>
    <x v="1"/>
    <s v="Supplier SWRXU"/>
    <s v="UK"/>
    <x v="1"/>
    <n v="378"/>
  </r>
  <r>
    <n v="10935"/>
    <n v="18"/>
    <n v="62.5"/>
    <n v="4"/>
    <n v="0.25"/>
    <s v="Li, Yan"/>
    <s v="Li Yan"/>
    <x v="1"/>
    <s v="WA"/>
    <s v="Product CKEDC"/>
    <x v="3"/>
    <x v="436"/>
    <d v="2008-03-18T00:00:00"/>
    <x v="3"/>
    <s v="Ship to 88-A"/>
    <x v="1"/>
    <s v="Supplier GQRCV"/>
    <s v="Australia"/>
    <x v="1"/>
    <n v="187.5"/>
  </r>
  <r>
    <n v="10935"/>
    <n v="23"/>
    <n v="9"/>
    <n v="8"/>
    <n v="0.25"/>
    <s v="Li, Yan"/>
    <s v="Li Yan"/>
    <x v="1"/>
    <s v="WA"/>
    <s v="Product JLUDZ"/>
    <x v="1"/>
    <x v="436"/>
    <d v="2008-03-18T00:00:00"/>
    <x v="3"/>
    <s v="Ship to 88-A"/>
    <x v="1"/>
    <s v="Supplier QQYEU"/>
    <s v="Sweden"/>
    <x v="1"/>
    <n v="54"/>
  </r>
  <r>
    <n v="10936"/>
    <n v="36"/>
    <n v="19"/>
    <n v="30"/>
    <n v="0.2"/>
    <s v="Krishnan, Venky"/>
    <s v="Krishnan Venky"/>
    <x v="2"/>
    <s v="WA"/>
    <s v="Product GMKIJ"/>
    <x v="3"/>
    <x v="436"/>
    <d v="2008-03-18T00:00:00"/>
    <x v="1"/>
    <s v="Destination AVQUS"/>
    <x v="9"/>
    <s v="Supplier QZGUF"/>
    <s v="Sweden"/>
    <x v="1"/>
    <n v="456"/>
  </r>
  <r>
    <n v="10937"/>
    <n v="28"/>
    <n v="45.6"/>
    <n v="8"/>
    <n v="0"/>
    <s v="Ray, Mike"/>
    <s v="Ray Mike"/>
    <x v="9"/>
    <n v="0"/>
    <s v="Product OFBNT"/>
    <x v="2"/>
    <x v="437"/>
    <d v="2008-03-13T00:00:00"/>
    <x v="3"/>
    <s v="Destination QTHBC"/>
    <x v="21"/>
    <s v="Supplier SVIYA"/>
    <s v="Germany"/>
    <x v="1"/>
    <n v="364.8"/>
  </r>
  <r>
    <n v="10937"/>
    <n v="34"/>
    <n v="14"/>
    <n v="20"/>
    <n v="0"/>
    <s v="Ray, Mike"/>
    <s v="Ray Mike"/>
    <x v="9"/>
    <n v="0"/>
    <s v="Product SWNJY"/>
    <x v="6"/>
    <x v="437"/>
    <d v="2008-03-13T00:00:00"/>
    <x v="3"/>
    <s v="Destination QTHBC"/>
    <x v="21"/>
    <s v="Supplier UHZRG"/>
    <s v="USA"/>
    <x v="1"/>
    <n v="280"/>
  </r>
  <r>
    <n v="10938"/>
    <n v="13"/>
    <n v="6"/>
    <n v="20"/>
    <n v="0.25"/>
    <s v="Veronesi, Giorgio"/>
    <s v="Veronesi Giorgio"/>
    <x v="2"/>
    <s v="WA"/>
    <s v="Product POXFU"/>
    <x v="3"/>
    <x v="437"/>
    <d v="2008-03-16T00:00:00"/>
    <x v="1"/>
    <s v="Ship to 63-C"/>
    <x v="8"/>
    <s v="Supplier QWUSF"/>
    <s v="Japan"/>
    <x v="1"/>
    <n v="90"/>
  </r>
  <r>
    <n v="10938"/>
    <n v="43"/>
    <n v="46"/>
    <n v="24"/>
    <n v="0.25"/>
    <s v="Veronesi, Giorgio"/>
    <s v="Veronesi Giorgio"/>
    <x v="2"/>
    <s v="WA"/>
    <s v="Product ZZZHR"/>
    <x v="6"/>
    <x v="437"/>
    <d v="2008-03-16T00:00:00"/>
    <x v="1"/>
    <s v="Ship to 63-C"/>
    <x v="8"/>
    <s v="Supplier CIYNM"/>
    <s v="Singapore"/>
    <x v="1"/>
    <n v="828"/>
  </r>
  <r>
    <n v="10938"/>
    <n v="60"/>
    <n v="34"/>
    <n v="49"/>
    <n v="0.25"/>
    <s v="Veronesi, Giorgio"/>
    <s v="Veronesi Giorgio"/>
    <x v="2"/>
    <s v="WA"/>
    <s v="Product WHBYK"/>
    <x v="0"/>
    <x v="437"/>
    <d v="2008-03-16T00:00:00"/>
    <x v="1"/>
    <s v="Ship to 63-C"/>
    <x v="8"/>
    <s v="Supplier OAVQT"/>
    <s v="France"/>
    <x v="1"/>
    <n v="1249.5"/>
  </r>
  <r>
    <n v="10938"/>
    <n v="71"/>
    <n v="21.5"/>
    <n v="35"/>
    <n v="0.25"/>
    <s v="Veronesi, Giorgio"/>
    <s v="Veronesi Giorgio"/>
    <x v="2"/>
    <s v="WA"/>
    <s v="Product MYMOI"/>
    <x v="0"/>
    <x v="437"/>
    <d v="2008-03-16T00:00:00"/>
    <x v="1"/>
    <s v="Ship to 63-C"/>
    <x v="8"/>
    <s v="Supplier NZLIF"/>
    <s v="Norway"/>
    <x v="1"/>
    <n v="564.375"/>
  </r>
  <r>
    <n v="10939"/>
    <n v="2"/>
    <n v="19"/>
    <n v="10"/>
    <n v="0.15"/>
    <s v="Duerr, Bernard"/>
    <s v="Duerr Bernard"/>
    <x v="8"/>
    <s v="WA"/>
    <s v="Product RECZE"/>
    <x v="6"/>
    <x v="437"/>
    <d v="2008-03-13T00:00:00"/>
    <x v="1"/>
    <s v="Ship to 49-A"/>
    <x v="12"/>
    <s v="Supplier SWRXU"/>
    <s v="UK"/>
    <x v="1"/>
    <n v="161.5"/>
  </r>
  <r>
    <n v="10939"/>
    <n v="67"/>
    <n v="14"/>
    <n v="40"/>
    <n v="0.15"/>
    <s v="Duerr, Bernard"/>
    <s v="Duerr Bernard"/>
    <x v="8"/>
    <s v="WA"/>
    <s v="Product XLXQF"/>
    <x v="6"/>
    <x v="437"/>
    <d v="2008-03-13T00:00:00"/>
    <x v="1"/>
    <s v="Ship to 49-A"/>
    <x v="12"/>
    <s v="Supplier UHZRG"/>
    <s v="USA"/>
    <x v="1"/>
    <n v="476"/>
  </r>
  <r>
    <n v="10940"/>
    <n v="7"/>
    <n v="30"/>
    <n v="8"/>
    <n v="0"/>
    <s v="Raghav, Amritansh"/>
    <s v="Raghav Amritansh"/>
    <x v="6"/>
    <s v="WA"/>
    <s v="Product HMLNI"/>
    <x v="2"/>
    <x v="438"/>
    <d v="2008-03-23T00:00:00"/>
    <x v="3"/>
    <s v="Ship to 9-C"/>
    <x v="2"/>
    <s v="Supplier STUAZ"/>
    <s v="USA"/>
    <x v="1"/>
    <n v="240"/>
  </r>
  <r>
    <n v="10940"/>
    <n v="13"/>
    <n v="6"/>
    <n v="20"/>
    <n v="0"/>
    <s v="Raghav, Amritansh"/>
    <s v="Raghav Amritansh"/>
    <x v="6"/>
    <s v="WA"/>
    <s v="Product POXFU"/>
    <x v="3"/>
    <x v="438"/>
    <d v="2008-03-23T00:00:00"/>
    <x v="3"/>
    <s v="Ship to 9-C"/>
    <x v="2"/>
    <s v="Supplier QWUSF"/>
    <s v="Japan"/>
    <x v="1"/>
    <n v="120"/>
  </r>
  <r>
    <n v="10941"/>
    <n v="31"/>
    <n v="12.5"/>
    <n v="44"/>
    <n v="0.25"/>
    <s v="Navarro, Tomás"/>
    <s v="Navarro Tomás"/>
    <x v="9"/>
    <n v="0"/>
    <s v="Product XWOXC"/>
    <x v="0"/>
    <x v="438"/>
    <d v="2008-03-20T00:00:00"/>
    <x v="1"/>
    <s v="Ship to 71-A"/>
    <x v="9"/>
    <s v="Supplier KEREV"/>
    <s v="Italy"/>
    <x v="2"/>
    <n v="412.5"/>
  </r>
  <r>
    <n v="10941"/>
    <n v="62"/>
    <n v="49.3"/>
    <n v="30"/>
    <n v="0.25"/>
    <s v="Navarro, Tomás"/>
    <s v="Navarro Tomás"/>
    <x v="9"/>
    <n v="0"/>
    <s v="Product WUXYK"/>
    <x v="5"/>
    <x v="438"/>
    <d v="2008-03-20T00:00:00"/>
    <x v="1"/>
    <s v="Ship to 71-A"/>
    <x v="9"/>
    <s v="Supplier OGLRK"/>
    <s v="Canada"/>
    <x v="2"/>
    <n v="1109.25"/>
  </r>
  <r>
    <n v="10941"/>
    <n v="68"/>
    <n v="12.5"/>
    <n v="80"/>
    <n v="0.25"/>
    <s v="Navarro, Tomás"/>
    <s v="Navarro Tomás"/>
    <x v="9"/>
    <n v="0"/>
    <s v="Product TBTBL"/>
    <x v="5"/>
    <x v="438"/>
    <d v="2008-03-20T00:00:00"/>
    <x v="1"/>
    <s v="Ship to 71-A"/>
    <x v="9"/>
    <s v="Supplier BWGYE"/>
    <s v="UK"/>
    <x v="2"/>
    <n v="750"/>
  </r>
  <r>
    <n v="10941"/>
    <n v="72"/>
    <n v="34.799999999999997"/>
    <n v="50"/>
    <n v="0"/>
    <s v="Navarro, Tomás"/>
    <s v="Navarro Tomás"/>
    <x v="9"/>
    <n v="0"/>
    <s v="Product GEEOO"/>
    <x v="0"/>
    <x v="438"/>
    <d v="2008-03-20T00:00:00"/>
    <x v="1"/>
    <s v="Ship to 71-A"/>
    <x v="9"/>
    <s v="Supplier KEREV"/>
    <s v="Italy"/>
    <x v="2"/>
    <n v="1739.9999999999998"/>
  </r>
  <r>
    <n v="10942"/>
    <n v="49"/>
    <n v="20"/>
    <n v="28"/>
    <n v="0"/>
    <s v="Voss, Florian"/>
    <s v="Voss Florian"/>
    <x v="4"/>
    <n v="0"/>
    <s v="Product FPYPN"/>
    <x v="5"/>
    <x v="438"/>
    <d v="2008-03-18T00:00:00"/>
    <x v="3"/>
    <s v="Ship to 66-C"/>
    <x v="12"/>
    <s v="Supplier ELCRN"/>
    <s v="Finland"/>
    <x v="1"/>
    <n v="560"/>
  </r>
  <r>
    <n v="10943"/>
    <n v="13"/>
    <n v="6"/>
    <n v="15"/>
    <n v="0"/>
    <s v="Jaffe, David"/>
    <s v="Jaffe David"/>
    <x v="1"/>
    <s v="WA"/>
    <s v="Product POXFU"/>
    <x v="3"/>
    <x v="438"/>
    <d v="2008-03-19T00:00:00"/>
    <x v="1"/>
    <s v="Destination NZASL"/>
    <x v="14"/>
    <s v="Supplier QWUSF"/>
    <s v="Japan"/>
    <x v="1"/>
    <n v="90"/>
  </r>
  <r>
    <n v="10943"/>
    <n v="22"/>
    <n v="21"/>
    <n v="21"/>
    <n v="0"/>
    <s v="Jaffe, David"/>
    <s v="Jaffe David"/>
    <x v="1"/>
    <s v="WA"/>
    <s v="Product CPHFY"/>
    <x v="1"/>
    <x v="438"/>
    <d v="2008-03-19T00:00:00"/>
    <x v="1"/>
    <s v="Destination NZASL"/>
    <x v="14"/>
    <s v="Supplier QQYEU"/>
    <s v="Sweden"/>
    <x v="1"/>
    <n v="441"/>
  </r>
  <r>
    <n v="10943"/>
    <n v="46"/>
    <n v="12"/>
    <n v="15"/>
    <n v="0"/>
    <s v="Jaffe, David"/>
    <s v="Jaffe David"/>
    <x v="1"/>
    <s v="WA"/>
    <s v="Product CBRRL"/>
    <x v="3"/>
    <x v="438"/>
    <d v="2008-03-19T00:00:00"/>
    <x v="1"/>
    <s v="Destination NZASL"/>
    <x v="14"/>
    <s v="Supplier XOXZA"/>
    <s v="Denmark"/>
    <x v="1"/>
    <n v="180"/>
  </r>
  <r>
    <n v="10944"/>
    <n v="11"/>
    <n v="21"/>
    <n v="5"/>
    <n v="0.25"/>
    <s v="Bassols, Pilar Colome"/>
    <s v="Bassols Pilar Colome"/>
    <x v="7"/>
    <n v="0"/>
    <s v="Product QMVUN"/>
    <x v="0"/>
    <x v="439"/>
    <d v="2008-03-13T00:00:00"/>
    <x v="3"/>
    <s v="Destination XJIBQ"/>
    <x v="17"/>
    <s v="Supplier EQPNC"/>
    <s v="Spain"/>
    <x v="1"/>
    <n v="78.75"/>
  </r>
  <r>
    <n v="10944"/>
    <n v="44"/>
    <n v="19.45"/>
    <n v="18"/>
    <n v="0.25"/>
    <s v="Bassols, Pilar Colome"/>
    <s v="Bassols Pilar Colome"/>
    <x v="7"/>
    <n v="0"/>
    <s v="Product VJIEO"/>
    <x v="4"/>
    <x v="439"/>
    <d v="2008-03-13T00:00:00"/>
    <x v="3"/>
    <s v="Destination XJIBQ"/>
    <x v="17"/>
    <s v="Supplier CIYNM"/>
    <s v="Singapore"/>
    <x v="1"/>
    <n v="262.57499999999999"/>
  </r>
  <r>
    <n v="10944"/>
    <n v="56"/>
    <n v="38"/>
    <n v="18"/>
    <n v="0"/>
    <s v="Bassols, Pilar Colome"/>
    <s v="Bassols Pilar Colome"/>
    <x v="7"/>
    <n v="0"/>
    <s v="Product VKCMF"/>
    <x v="1"/>
    <x v="439"/>
    <d v="2008-03-13T00:00:00"/>
    <x v="3"/>
    <s v="Destination XJIBQ"/>
    <x v="17"/>
    <s v="Supplier ZWZDM"/>
    <s v="Italy"/>
    <x v="1"/>
    <n v="684"/>
  </r>
  <r>
    <n v="10945"/>
    <n v="13"/>
    <n v="6"/>
    <n v="20"/>
    <n v="0"/>
    <s v="Dupont-Roc, Patrice"/>
    <s v="Dupont-Roc Patrice"/>
    <x v="1"/>
    <s v="WA"/>
    <s v="Product POXFU"/>
    <x v="3"/>
    <x v="439"/>
    <d v="2008-03-18T00:00:00"/>
    <x v="2"/>
    <s v="Ship to 52-B"/>
    <x v="8"/>
    <s v="Supplier QWUSF"/>
    <s v="Japan"/>
    <x v="1"/>
    <n v="120"/>
  </r>
  <r>
    <n v="10945"/>
    <n v="31"/>
    <n v="12.5"/>
    <n v="10"/>
    <n v="0"/>
    <s v="Dupont-Roc, Patrice"/>
    <s v="Dupont-Roc Patrice"/>
    <x v="1"/>
    <s v="WA"/>
    <s v="Product XWOXC"/>
    <x v="0"/>
    <x v="439"/>
    <d v="2008-03-18T00:00:00"/>
    <x v="2"/>
    <s v="Ship to 52-B"/>
    <x v="8"/>
    <s v="Supplier KEREV"/>
    <s v="Italy"/>
    <x v="1"/>
    <n v="125"/>
  </r>
  <r>
    <n v="10946"/>
    <n v="10"/>
    <n v="31"/>
    <n v="25"/>
    <n v="0"/>
    <s v="Fonteneau, Karl"/>
    <s v="Fonteneau Karl"/>
    <x v="5"/>
    <s v="WA"/>
    <s v="Product YHXGE"/>
    <x v="3"/>
    <x v="439"/>
    <d v="2008-03-19T00:00:00"/>
    <x v="1"/>
    <s v="Ship to 83-B"/>
    <x v="18"/>
    <s v="Supplier QOVFD"/>
    <s v="Japan"/>
    <x v="1"/>
    <n v="775"/>
  </r>
  <r>
    <n v="10946"/>
    <n v="24"/>
    <n v="4.5"/>
    <n v="25"/>
    <n v="0"/>
    <s v="Fonteneau, Karl"/>
    <s v="Fonteneau Karl"/>
    <x v="5"/>
    <s v="WA"/>
    <s v="Product QOGNU"/>
    <x v="6"/>
    <x v="439"/>
    <d v="2008-03-19T00:00:00"/>
    <x v="1"/>
    <s v="Ship to 83-B"/>
    <x v="18"/>
    <s v="Supplier UNAHG"/>
    <s v="Brazil"/>
    <x v="1"/>
    <n v="112.5"/>
  </r>
  <r>
    <n v="10946"/>
    <n v="77"/>
    <n v="13"/>
    <n v="40"/>
    <n v="0"/>
    <s v="Fonteneau, Karl"/>
    <s v="Fonteneau Karl"/>
    <x v="5"/>
    <s v="WA"/>
    <s v="Product LUNZZ"/>
    <x v="4"/>
    <x v="439"/>
    <d v="2008-03-19T00:00:00"/>
    <x v="1"/>
    <s v="Ship to 83-B"/>
    <x v="18"/>
    <s v="Supplier SVIYA"/>
    <s v="Germany"/>
    <x v="1"/>
    <n v="520"/>
  </r>
  <r>
    <n v="10947"/>
    <n v="59"/>
    <n v="55"/>
    <n v="4"/>
    <n v="0"/>
    <s v="Jaffe, David"/>
    <s v="Jaffe David"/>
    <x v="2"/>
    <s v="WA"/>
    <s v="Product UKXRI"/>
    <x v="0"/>
    <x v="440"/>
    <d v="2008-03-16T00:00:00"/>
    <x v="1"/>
    <s v="Destination NZASL"/>
    <x v="14"/>
    <s v="Supplier OAVQT"/>
    <s v="France"/>
    <x v="1"/>
    <n v="220"/>
  </r>
  <r>
    <n v="10948"/>
    <n v="50"/>
    <n v="16.25"/>
    <n v="9"/>
    <n v="0"/>
    <s v="Shabalin, Rostislav"/>
    <s v="Shabalin Rostislav"/>
    <x v="2"/>
    <s v="WA"/>
    <s v="Product BIUDV"/>
    <x v="5"/>
    <x v="440"/>
    <d v="2008-03-19T00:00:00"/>
    <x v="3"/>
    <s v="Destination GGQIR"/>
    <x v="13"/>
    <s v="Supplier ELCRN"/>
    <s v="Finland"/>
    <x v="1"/>
    <n v="146.25"/>
  </r>
  <r>
    <n v="10948"/>
    <n v="51"/>
    <n v="53"/>
    <n v="40"/>
    <n v="0"/>
    <s v="Shabalin, Rostislav"/>
    <s v="Shabalin Rostislav"/>
    <x v="2"/>
    <s v="WA"/>
    <s v="Product APITJ"/>
    <x v="2"/>
    <x v="440"/>
    <d v="2008-03-19T00:00:00"/>
    <x v="3"/>
    <s v="Destination GGQIR"/>
    <x v="13"/>
    <s v="Supplier JNNES"/>
    <s v="Australia"/>
    <x v="1"/>
    <n v="2120"/>
  </r>
  <r>
    <n v="10948"/>
    <n v="55"/>
    <n v="24"/>
    <n v="4"/>
    <n v="0"/>
    <s v="Shabalin, Rostislav"/>
    <s v="Shabalin Rostislav"/>
    <x v="2"/>
    <s v="WA"/>
    <s v="Product YYWRT"/>
    <x v="7"/>
    <x v="440"/>
    <d v="2008-03-19T00:00:00"/>
    <x v="3"/>
    <s v="Destination GGQIR"/>
    <x v="13"/>
    <s v="Supplier ERVYZ"/>
    <s v="Canada"/>
    <x v="1"/>
    <n v="96"/>
  </r>
  <r>
    <n v="10949"/>
    <n v="6"/>
    <n v="25"/>
    <n v="12"/>
    <n v="0"/>
    <s v="Bassols, Pilar Colome"/>
    <s v="Bassols Pilar Colome"/>
    <x v="8"/>
    <s v="WA"/>
    <s v="Product VAIIV"/>
    <x v="4"/>
    <x v="440"/>
    <d v="2008-03-17T00:00:00"/>
    <x v="3"/>
    <s v="Destination OLSSJ"/>
    <x v="17"/>
    <s v="Supplier STUAZ"/>
    <s v="USA"/>
    <x v="1"/>
    <n v="300"/>
  </r>
  <r>
    <n v="10949"/>
    <n v="10"/>
    <n v="31"/>
    <n v="30"/>
    <n v="0"/>
    <s v="Bassols, Pilar Colome"/>
    <s v="Bassols Pilar Colome"/>
    <x v="8"/>
    <s v="WA"/>
    <s v="Product YHXGE"/>
    <x v="3"/>
    <x v="440"/>
    <d v="2008-03-17T00:00:00"/>
    <x v="3"/>
    <s v="Destination OLSSJ"/>
    <x v="17"/>
    <s v="Supplier QOVFD"/>
    <s v="Japan"/>
    <x v="1"/>
    <n v="930"/>
  </r>
  <r>
    <n v="10949"/>
    <n v="17"/>
    <n v="39"/>
    <n v="6"/>
    <n v="0"/>
    <s v="Bassols, Pilar Colome"/>
    <s v="Bassols Pilar Colome"/>
    <x v="8"/>
    <s v="WA"/>
    <s v="Product BLCAX"/>
    <x v="7"/>
    <x v="440"/>
    <d v="2008-03-17T00:00:00"/>
    <x v="3"/>
    <s v="Destination OLSSJ"/>
    <x v="17"/>
    <s v="Supplier GQRCV"/>
    <s v="Australia"/>
    <x v="1"/>
    <n v="234"/>
  </r>
  <r>
    <n v="10949"/>
    <n v="62"/>
    <n v="49.3"/>
    <n v="60"/>
    <n v="0"/>
    <s v="Bassols, Pilar Colome"/>
    <s v="Bassols Pilar Colome"/>
    <x v="8"/>
    <s v="WA"/>
    <s v="Product WUXYK"/>
    <x v="5"/>
    <x v="440"/>
    <d v="2008-03-17T00:00:00"/>
    <x v="3"/>
    <s v="Destination OLSSJ"/>
    <x v="17"/>
    <s v="Supplier OGLRK"/>
    <s v="Canada"/>
    <x v="1"/>
    <n v="2958"/>
  </r>
  <r>
    <n v="10950"/>
    <n v="4"/>
    <n v="22"/>
    <n v="5"/>
    <n v="0"/>
    <s v="Duerr, Bernard"/>
    <s v="Duerr Bernard"/>
    <x v="5"/>
    <s v="WA"/>
    <s v="Product KSBRM"/>
    <x v="4"/>
    <x v="441"/>
    <d v="2008-03-23T00:00:00"/>
    <x v="1"/>
    <s v="Ship to 49-B"/>
    <x v="12"/>
    <s v="Supplier VHQZD"/>
    <s v="USA"/>
    <x v="1"/>
    <n v="110"/>
  </r>
  <r>
    <n v="10951"/>
    <n v="33"/>
    <n v="2.5"/>
    <n v="15"/>
    <n v="0.05"/>
    <s v="Myrcha, Jacek"/>
    <s v="Myrcha Jacek"/>
    <x v="4"/>
    <n v="0"/>
    <s v="Product ASTMN"/>
    <x v="0"/>
    <x v="441"/>
    <d v="2008-04-07T00:00:00"/>
    <x v="1"/>
    <s v="Ship to 68-A"/>
    <x v="4"/>
    <s v="Supplier NZLIF"/>
    <s v="Norway"/>
    <x v="1"/>
    <n v="35.625"/>
  </r>
  <r>
    <n v="10951"/>
    <n v="41"/>
    <n v="9.65"/>
    <n v="6"/>
    <n v="0.05"/>
    <s v="Myrcha, Jacek"/>
    <s v="Myrcha Jacek"/>
    <x v="4"/>
    <n v="0"/>
    <s v="Product TTEEX"/>
    <x v="3"/>
    <x v="441"/>
    <d v="2008-04-07T00:00:00"/>
    <x v="1"/>
    <s v="Ship to 68-A"/>
    <x v="4"/>
    <s v="Supplier JDNUG"/>
    <s v="USA"/>
    <x v="1"/>
    <n v="55.005000000000003"/>
  </r>
  <r>
    <n v="10951"/>
    <n v="75"/>
    <n v="7.75"/>
    <n v="50"/>
    <n v="0.05"/>
    <s v="Myrcha, Jacek"/>
    <s v="Myrcha Jacek"/>
    <x v="4"/>
    <n v="0"/>
    <s v="Product BWRLG"/>
    <x v="6"/>
    <x v="441"/>
    <d v="2008-04-07T00:00:00"/>
    <x v="1"/>
    <s v="Ship to 68-A"/>
    <x v="4"/>
    <s v="Supplier SVIYA"/>
    <s v="Germany"/>
    <x v="1"/>
    <n v="368.125"/>
  </r>
  <r>
    <n v="10952"/>
    <n v="6"/>
    <n v="25"/>
    <n v="16"/>
    <n v="0.05"/>
    <s v="Allen, Michael"/>
    <s v="Allen Michael"/>
    <x v="5"/>
    <s v="WA"/>
    <s v="Product VAIIV"/>
    <x v="4"/>
    <x v="441"/>
    <d v="2008-03-24T00:00:00"/>
    <x v="2"/>
    <s v="Destination LOUIE"/>
    <x v="8"/>
    <s v="Supplier STUAZ"/>
    <s v="USA"/>
    <x v="1"/>
    <n v="380"/>
  </r>
  <r>
    <n v="10952"/>
    <n v="28"/>
    <n v="45.6"/>
    <n v="2"/>
    <n v="0"/>
    <s v="Allen, Michael"/>
    <s v="Allen Michael"/>
    <x v="5"/>
    <s v="WA"/>
    <s v="Product OFBNT"/>
    <x v="2"/>
    <x v="441"/>
    <d v="2008-03-24T00:00:00"/>
    <x v="2"/>
    <s v="Destination LOUIE"/>
    <x v="8"/>
    <s v="Supplier SVIYA"/>
    <s v="Germany"/>
    <x v="1"/>
    <n v="91.2"/>
  </r>
  <r>
    <n v="10953"/>
    <n v="20"/>
    <n v="81"/>
    <n v="50"/>
    <n v="0.05"/>
    <s v="Arndt, Torsten"/>
    <s v="Arndt Torsten"/>
    <x v="4"/>
    <n v="0"/>
    <s v="Product QHFFP"/>
    <x v="5"/>
    <x v="441"/>
    <d v="2008-03-25T00:00:00"/>
    <x v="1"/>
    <s v="Ship to 4-B"/>
    <x v="14"/>
    <s v="Supplier BWGYE"/>
    <s v="UK"/>
    <x v="1"/>
    <n v="3847.5"/>
  </r>
  <r>
    <n v="10953"/>
    <n v="31"/>
    <n v="12.5"/>
    <n v="50"/>
    <n v="0.05"/>
    <s v="Arndt, Torsten"/>
    <s v="Arndt Torsten"/>
    <x v="4"/>
    <n v="0"/>
    <s v="Product XWOXC"/>
    <x v="0"/>
    <x v="441"/>
    <d v="2008-03-25T00:00:00"/>
    <x v="1"/>
    <s v="Ship to 4-B"/>
    <x v="14"/>
    <s v="Supplier KEREV"/>
    <s v="Italy"/>
    <x v="1"/>
    <n v="593.75"/>
  </r>
  <r>
    <n v="10954"/>
    <n v="16"/>
    <n v="17.45"/>
    <n v="28"/>
    <n v="0.15"/>
    <s v="Lupu, Cornel"/>
    <s v="Lupu Cornel"/>
    <x v="3"/>
    <n v="0"/>
    <s v="Product PAFRH"/>
    <x v="5"/>
    <x v="442"/>
    <d v="2008-03-20T00:00:00"/>
    <x v="2"/>
    <s v="Ship to 47-B"/>
    <x v="5"/>
    <s v="Supplier GQRCV"/>
    <s v="Australia"/>
    <x v="1"/>
    <n v="415.30999999999995"/>
  </r>
  <r>
    <n v="10954"/>
    <n v="31"/>
    <n v="12.5"/>
    <n v="25"/>
    <n v="0.15"/>
    <s v="Lupu, Cornel"/>
    <s v="Lupu Cornel"/>
    <x v="3"/>
    <n v="0"/>
    <s v="Product XWOXC"/>
    <x v="0"/>
    <x v="442"/>
    <d v="2008-03-20T00:00:00"/>
    <x v="2"/>
    <s v="Ship to 47-B"/>
    <x v="5"/>
    <s v="Supplier KEREV"/>
    <s v="Italy"/>
    <x v="1"/>
    <n v="265.625"/>
  </r>
  <r>
    <n v="10954"/>
    <n v="45"/>
    <n v="9.5"/>
    <n v="30"/>
    <n v="0"/>
    <s v="Lupu, Cornel"/>
    <s v="Lupu Cornel"/>
    <x v="3"/>
    <n v="0"/>
    <s v="Product AQOKR"/>
    <x v="3"/>
    <x v="442"/>
    <d v="2008-03-20T00:00:00"/>
    <x v="2"/>
    <s v="Ship to 47-B"/>
    <x v="5"/>
    <s v="Supplier XOXZA"/>
    <s v="Denmark"/>
    <x v="1"/>
    <n v="285"/>
  </r>
  <r>
    <n v="10954"/>
    <n v="60"/>
    <n v="34"/>
    <n v="24"/>
    <n v="0.15"/>
    <s v="Lupu, Cornel"/>
    <s v="Lupu Cornel"/>
    <x v="3"/>
    <n v="0"/>
    <s v="Product WHBYK"/>
    <x v="0"/>
    <x v="442"/>
    <d v="2008-03-20T00:00:00"/>
    <x v="2"/>
    <s v="Ship to 47-B"/>
    <x v="5"/>
    <s v="Supplier OAVQT"/>
    <s v="France"/>
    <x v="1"/>
    <n v="693.6"/>
  </r>
  <r>
    <n v="10955"/>
    <n v="75"/>
    <n v="7.75"/>
    <n v="12"/>
    <n v="0.2"/>
    <s v="San Juan, Patricia"/>
    <s v="San Juan Patricia"/>
    <x v="6"/>
    <s v="WA"/>
    <s v="Product BWRLG"/>
    <x v="6"/>
    <x v="442"/>
    <d v="2008-03-20T00:00:00"/>
    <x v="1"/>
    <s v="Destination YCMPK"/>
    <x v="10"/>
    <s v="Supplier SVIYA"/>
    <s v="Germany"/>
    <x v="1"/>
    <n v="74.400000000000006"/>
  </r>
  <r>
    <n v="10956"/>
    <n v="21"/>
    <n v="10"/>
    <n v="12"/>
    <n v="0"/>
    <s v="Poland, Carole"/>
    <s v="Poland Carole"/>
    <x v="7"/>
    <n v="0"/>
    <s v="Product VJZZH"/>
    <x v="5"/>
    <x v="442"/>
    <d v="2008-03-20T00:00:00"/>
    <x v="1"/>
    <s v="Ship to 6-B"/>
    <x v="8"/>
    <s v="Supplier BWGYE"/>
    <s v="UK"/>
    <x v="1"/>
    <n v="120"/>
  </r>
  <r>
    <n v="10956"/>
    <n v="47"/>
    <n v="9.5"/>
    <n v="14"/>
    <n v="0"/>
    <s v="Poland, Carole"/>
    <s v="Poland Carole"/>
    <x v="7"/>
    <n v="0"/>
    <s v="Product EZZPR"/>
    <x v="5"/>
    <x v="442"/>
    <d v="2008-03-20T00:00:00"/>
    <x v="1"/>
    <s v="Ship to 6-B"/>
    <x v="8"/>
    <s v="Supplier FNUXM"/>
    <s v="Netherlands"/>
    <x v="1"/>
    <n v="133"/>
  </r>
  <r>
    <n v="10956"/>
    <n v="51"/>
    <n v="53"/>
    <n v="8"/>
    <n v="0"/>
    <s v="Poland, Carole"/>
    <s v="Poland Carole"/>
    <x v="7"/>
    <n v="0"/>
    <s v="Product APITJ"/>
    <x v="2"/>
    <x v="442"/>
    <d v="2008-03-20T00:00:00"/>
    <x v="1"/>
    <s v="Ship to 6-B"/>
    <x v="8"/>
    <s v="Supplier JNNES"/>
    <s v="Australia"/>
    <x v="1"/>
    <n v="424"/>
  </r>
  <r>
    <n v="10957"/>
    <n v="30"/>
    <n v="25.89"/>
    <n v="30"/>
    <n v="0"/>
    <s v="Langohr, Kris"/>
    <s v="Langohr Kris"/>
    <x v="6"/>
    <s v="WA"/>
    <s v="Product LYERX"/>
    <x v="3"/>
    <x v="443"/>
    <d v="2008-03-27T00:00:00"/>
    <x v="3"/>
    <s v="Destination UOUWK"/>
    <x v="5"/>
    <s v="Supplier TEGSC"/>
    <s v="Germany"/>
    <x v="2"/>
    <n v="776.7"/>
  </r>
  <r>
    <n v="10957"/>
    <n v="35"/>
    <n v="18"/>
    <n v="40"/>
    <n v="0"/>
    <s v="Langohr, Kris"/>
    <s v="Langohr Kris"/>
    <x v="6"/>
    <s v="WA"/>
    <s v="Product NEVTJ"/>
    <x v="6"/>
    <x v="443"/>
    <d v="2008-03-27T00:00:00"/>
    <x v="3"/>
    <s v="Destination UOUWK"/>
    <x v="5"/>
    <s v="Supplier UHZRG"/>
    <s v="USA"/>
    <x v="2"/>
    <n v="720"/>
  </r>
  <r>
    <n v="10957"/>
    <n v="64"/>
    <n v="33.25"/>
    <n v="8"/>
    <n v="0"/>
    <s v="Langohr, Kris"/>
    <s v="Langohr Kris"/>
    <x v="6"/>
    <s v="WA"/>
    <s v="Product HCQDE"/>
    <x v="1"/>
    <x v="443"/>
    <d v="2008-03-27T00:00:00"/>
    <x v="3"/>
    <s v="Destination UOUWK"/>
    <x v="5"/>
    <s v="Supplier SVIYA"/>
    <s v="Germany"/>
    <x v="2"/>
    <n v="266"/>
  </r>
  <r>
    <n v="10958"/>
    <n v="5"/>
    <n v="21.35"/>
    <n v="20"/>
    <n v="0"/>
    <s v="Tiano, Mike"/>
    <s v="Tiano Mike"/>
    <x v="9"/>
    <n v="0"/>
    <s v="Product EPEIM"/>
    <x v="4"/>
    <x v="443"/>
    <d v="2008-03-27T00:00:00"/>
    <x v="1"/>
    <s v="Ship to 54-C"/>
    <x v="21"/>
    <s v="Supplier VHQZD"/>
    <s v="USA"/>
    <x v="1"/>
    <n v="427"/>
  </r>
  <r>
    <n v="10958"/>
    <n v="7"/>
    <n v="30"/>
    <n v="6"/>
    <n v="0"/>
    <s v="Tiano, Mike"/>
    <s v="Tiano Mike"/>
    <x v="9"/>
    <n v="0"/>
    <s v="Product HMLNI"/>
    <x v="2"/>
    <x v="443"/>
    <d v="2008-03-27T00:00:00"/>
    <x v="1"/>
    <s v="Ship to 54-C"/>
    <x v="21"/>
    <s v="Supplier STUAZ"/>
    <s v="USA"/>
    <x v="1"/>
    <n v="180"/>
  </r>
  <r>
    <n v="10958"/>
    <n v="72"/>
    <n v="34.799999999999997"/>
    <n v="5"/>
    <n v="0"/>
    <s v="Tiano, Mike"/>
    <s v="Tiano Mike"/>
    <x v="9"/>
    <n v="0"/>
    <s v="Product GEEOO"/>
    <x v="0"/>
    <x v="443"/>
    <d v="2008-03-27T00:00:00"/>
    <x v="1"/>
    <s v="Ship to 54-C"/>
    <x v="21"/>
    <s v="Supplier KEREV"/>
    <s v="Italy"/>
    <x v="1"/>
    <n v="174"/>
  </r>
  <r>
    <n v="10959"/>
    <n v="75"/>
    <n v="7.75"/>
    <n v="20"/>
    <n v="0.15"/>
    <s v="Cheng, Yao-Qiang"/>
    <s v="Cheng Yao-Qiang"/>
    <x v="7"/>
    <n v="0"/>
    <s v="Product BWRLG"/>
    <x v="6"/>
    <x v="443"/>
    <d v="2008-03-23T00:00:00"/>
    <x v="1"/>
    <s v="Destination GWPFK"/>
    <x v="1"/>
    <s v="Supplier SVIYA"/>
    <s v="Germany"/>
    <x v="1"/>
    <n v="131.75"/>
  </r>
  <r>
    <n v="10960"/>
    <n v="24"/>
    <n v="4.5"/>
    <n v="10"/>
    <n v="0.25"/>
    <s v="Langohr, Kris"/>
    <s v="Langohr Kris"/>
    <x v="2"/>
    <s v="WA"/>
    <s v="Product QOGNU"/>
    <x v="6"/>
    <x v="444"/>
    <d v="2008-04-08T00:00:00"/>
    <x v="2"/>
    <s v="Destination SXYQX"/>
    <x v="5"/>
    <s v="Supplier UNAHG"/>
    <s v="Brazil"/>
    <x v="1"/>
    <n v="33.75"/>
  </r>
  <r>
    <n v="10960"/>
    <n v="41"/>
    <n v="9.65"/>
    <n v="24"/>
    <n v="0"/>
    <s v="Langohr, Kris"/>
    <s v="Langohr Kris"/>
    <x v="2"/>
    <s v="WA"/>
    <s v="Product TTEEX"/>
    <x v="3"/>
    <x v="444"/>
    <d v="2008-04-08T00:00:00"/>
    <x v="2"/>
    <s v="Destination SXYQX"/>
    <x v="5"/>
    <s v="Supplier JDNUG"/>
    <s v="USA"/>
    <x v="1"/>
    <n v="231.60000000000002"/>
  </r>
  <r>
    <n v="10961"/>
    <n v="52"/>
    <n v="7"/>
    <n v="6"/>
    <n v="0.05"/>
    <s v="Misiec, Anna"/>
    <s v="Misiec Anna"/>
    <x v="6"/>
    <s v="WA"/>
    <s v="Product QSRXF"/>
    <x v="1"/>
    <x v="444"/>
    <d v="2008-03-30T00:00:00"/>
    <x v="2"/>
    <s v="Ship to 62-A"/>
    <x v="1"/>
    <s v="Supplier JNNES"/>
    <s v="Australia"/>
    <x v="2"/>
    <n v="39.9"/>
  </r>
  <r>
    <n v="10961"/>
    <n v="76"/>
    <n v="18"/>
    <n v="60"/>
    <n v="0"/>
    <s v="Misiec, Anna"/>
    <s v="Misiec Anna"/>
    <x v="6"/>
    <s v="WA"/>
    <s v="Product JYGFE"/>
    <x v="6"/>
    <x v="444"/>
    <d v="2008-03-30T00:00:00"/>
    <x v="2"/>
    <s v="Ship to 62-A"/>
    <x v="1"/>
    <s v="Supplier ELCRN"/>
    <s v="Finland"/>
    <x v="2"/>
    <n v="1080"/>
  </r>
  <r>
    <n v="10962"/>
    <n v="7"/>
    <n v="30"/>
    <n v="45"/>
    <n v="0"/>
    <s v="Veronesi, Giorgio"/>
    <s v="Veronesi Giorgio"/>
    <x v="6"/>
    <s v="WA"/>
    <s v="Product HMLNI"/>
    <x v="2"/>
    <x v="444"/>
    <d v="2008-03-23T00:00:00"/>
    <x v="1"/>
    <s v="Ship to 63-B"/>
    <x v="8"/>
    <s v="Supplier STUAZ"/>
    <s v="USA"/>
    <x v="2"/>
    <n v="1350"/>
  </r>
  <r>
    <n v="10962"/>
    <n v="13"/>
    <n v="6"/>
    <n v="77"/>
    <n v="0"/>
    <s v="Veronesi, Giorgio"/>
    <s v="Veronesi Giorgio"/>
    <x v="6"/>
    <s v="WA"/>
    <s v="Product POXFU"/>
    <x v="3"/>
    <x v="444"/>
    <d v="2008-03-23T00:00:00"/>
    <x v="1"/>
    <s v="Ship to 63-B"/>
    <x v="8"/>
    <s v="Supplier QWUSF"/>
    <s v="Japan"/>
    <x v="2"/>
    <n v="462"/>
  </r>
  <r>
    <n v="10962"/>
    <n v="53"/>
    <n v="32.799999999999997"/>
    <n v="20"/>
    <n v="0"/>
    <s v="Veronesi, Giorgio"/>
    <s v="Veronesi Giorgio"/>
    <x v="6"/>
    <s v="WA"/>
    <s v="Product BKGEA"/>
    <x v="7"/>
    <x v="444"/>
    <d v="2008-03-23T00:00:00"/>
    <x v="1"/>
    <s v="Ship to 63-B"/>
    <x v="8"/>
    <s v="Supplier JNNES"/>
    <s v="Australia"/>
    <x v="2"/>
    <n v="656"/>
  </r>
  <r>
    <n v="10962"/>
    <n v="69"/>
    <n v="36"/>
    <n v="9"/>
    <n v="0"/>
    <s v="Veronesi, Giorgio"/>
    <s v="Veronesi Giorgio"/>
    <x v="6"/>
    <s v="WA"/>
    <s v="Product COAXA"/>
    <x v="0"/>
    <x v="444"/>
    <d v="2008-03-23T00:00:00"/>
    <x v="1"/>
    <s v="Ship to 63-B"/>
    <x v="8"/>
    <s v="Supplier NZLIF"/>
    <s v="Norway"/>
    <x v="2"/>
    <n v="324"/>
  </r>
  <r>
    <n v="10962"/>
    <n v="76"/>
    <n v="18"/>
    <n v="44"/>
    <n v="0"/>
    <s v="Veronesi, Giorgio"/>
    <s v="Veronesi Giorgio"/>
    <x v="6"/>
    <s v="WA"/>
    <s v="Product JYGFE"/>
    <x v="6"/>
    <x v="444"/>
    <d v="2008-03-23T00:00:00"/>
    <x v="1"/>
    <s v="Ship to 63-B"/>
    <x v="8"/>
    <s v="Supplier ELCRN"/>
    <s v="Finland"/>
    <x v="2"/>
    <n v="792"/>
  </r>
  <r>
    <n v="10963"/>
    <n v="60"/>
    <n v="34"/>
    <n v="2"/>
    <n v="0.15"/>
    <s v="Cavaglieri, Giorgio"/>
    <s v="Cavaglieri Giorgio"/>
    <x v="4"/>
    <n v="0"/>
    <s v="Product WHBYK"/>
    <x v="0"/>
    <x v="444"/>
    <d v="2008-03-26T00:00:00"/>
    <x v="3"/>
    <s v="Destination CIRQO"/>
    <x v="16"/>
    <s v="Supplier OAVQT"/>
    <s v="France"/>
    <x v="1"/>
    <n v="57.8"/>
  </r>
  <r>
    <n v="10964"/>
    <n v="18"/>
    <n v="62.5"/>
    <n v="6"/>
    <n v="0"/>
    <s v="O’Brien, Dave"/>
    <s v="O’Brien Dave"/>
    <x v="2"/>
    <s v="WA"/>
    <s v="Product CKEDC"/>
    <x v="3"/>
    <x v="445"/>
    <d v="2008-03-24T00:00:00"/>
    <x v="1"/>
    <s v="Ship to 74-B"/>
    <x v="2"/>
    <s v="Supplier GQRCV"/>
    <s v="Australia"/>
    <x v="1"/>
    <n v="375"/>
  </r>
  <r>
    <n v="10964"/>
    <n v="38"/>
    <n v="263.5"/>
    <n v="5"/>
    <n v="0"/>
    <s v="O’Brien, Dave"/>
    <s v="O’Brien Dave"/>
    <x v="2"/>
    <s v="WA"/>
    <s v="Product QDOMO"/>
    <x v="6"/>
    <x v="445"/>
    <d v="2008-03-24T00:00:00"/>
    <x v="1"/>
    <s v="Ship to 74-B"/>
    <x v="2"/>
    <s v="Supplier LVJUA"/>
    <s v="France"/>
    <x v="1"/>
    <n v="1317.5"/>
  </r>
  <r>
    <n v="10964"/>
    <n v="69"/>
    <n v="36"/>
    <n v="10"/>
    <n v="0"/>
    <s v="O’Brien, Dave"/>
    <s v="O’Brien Dave"/>
    <x v="2"/>
    <s v="WA"/>
    <s v="Product COAXA"/>
    <x v="0"/>
    <x v="445"/>
    <d v="2008-03-24T00:00:00"/>
    <x v="1"/>
    <s v="Ship to 74-B"/>
    <x v="2"/>
    <s v="Supplier NZLIF"/>
    <s v="Norway"/>
    <x v="1"/>
    <n v="360"/>
  </r>
  <r>
    <n v="10965"/>
    <n v="51"/>
    <n v="53"/>
    <n v="16"/>
    <n v="0"/>
    <s v="Egelund-Muller, Anja"/>
    <s v="Egelund-Muller Anja"/>
    <x v="7"/>
    <n v="0"/>
    <s v="Product APITJ"/>
    <x v="2"/>
    <x v="445"/>
    <d v="2008-03-30T00:00:00"/>
    <x v="3"/>
    <s v="Ship to 55-B"/>
    <x v="9"/>
    <s v="Supplier JNNES"/>
    <s v="Australia"/>
    <x v="2"/>
    <n v="848"/>
  </r>
  <r>
    <n v="10966"/>
    <n v="37"/>
    <n v="26"/>
    <n v="8"/>
    <n v="0"/>
    <s v="Jelitto, Jacek"/>
    <s v="Jelitto Jacek"/>
    <x v="1"/>
    <s v="WA"/>
    <s v="Product EVFFA"/>
    <x v="3"/>
    <x v="445"/>
    <d v="2008-04-08T00:00:00"/>
    <x v="2"/>
    <s v="Destination NRTZZ"/>
    <x v="4"/>
    <s v="Supplier QZGUF"/>
    <s v="Sweden"/>
    <x v="1"/>
    <n v="208"/>
  </r>
  <r>
    <n v="10966"/>
    <n v="56"/>
    <n v="38"/>
    <n v="12"/>
    <n v="0.15"/>
    <s v="Jelitto, Jacek"/>
    <s v="Jelitto Jacek"/>
    <x v="1"/>
    <s v="WA"/>
    <s v="Product VKCMF"/>
    <x v="1"/>
    <x v="445"/>
    <d v="2008-04-08T00:00:00"/>
    <x v="2"/>
    <s v="Destination NRTZZ"/>
    <x v="4"/>
    <s v="Supplier ZWZDM"/>
    <s v="Italy"/>
    <x v="1"/>
    <n v="387.59999999999997"/>
  </r>
  <r>
    <n v="10966"/>
    <n v="62"/>
    <n v="49.3"/>
    <n v="12"/>
    <n v="0.15"/>
    <s v="Jelitto, Jacek"/>
    <s v="Jelitto Jacek"/>
    <x v="1"/>
    <s v="WA"/>
    <s v="Product WUXYK"/>
    <x v="5"/>
    <x v="445"/>
    <d v="2008-04-08T00:00:00"/>
    <x v="2"/>
    <s v="Destination NRTZZ"/>
    <x v="4"/>
    <s v="Supplier OGLRK"/>
    <s v="Canada"/>
    <x v="1"/>
    <n v="502.8599999999999"/>
  </r>
  <r>
    <n v="10967"/>
    <n v="19"/>
    <n v="9.1999999999999993"/>
    <n v="12"/>
    <n v="0"/>
    <s v="Wickham, Jim"/>
    <s v="Wickham Jim"/>
    <x v="8"/>
    <s v="WA"/>
    <s v="Product XKXDO"/>
    <x v="5"/>
    <x v="446"/>
    <d v="2008-04-02T00:00:00"/>
    <x v="1"/>
    <s v="Ship to 79-B"/>
    <x v="8"/>
    <s v="Supplier BWGYE"/>
    <s v="UK"/>
    <x v="1"/>
    <n v="110.39999999999999"/>
  </r>
  <r>
    <n v="10967"/>
    <n v="49"/>
    <n v="20"/>
    <n v="40"/>
    <n v="0"/>
    <s v="Wickham, Jim"/>
    <s v="Wickham Jim"/>
    <x v="8"/>
    <s v="WA"/>
    <s v="Product FPYPN"/>
    <x v="5"/>
    <x v="446"/>
    <d v="2008-04-02T00:00:00"/>
    <x v="1"/>
    <s v="Ship to 79-B"/>
    <x v="8"/>
    <s v="Supplier ELCRN"/>
    <s v="Finland"/>
    <x v="1"/>
    <n v="800"/>
  </r>
  <r>
    <n v="10968"/>
    <n v="12"/>
    <n v="38"/>
    <n v="30"/>
    <n v="0"/>
    <s v="Kane, John"/>
    <s v="Kane John"/>
    <x v="5"/>
    <s v="WA"/>
    <s v="Product OSFNS"/>
    <x v="0"/>
    <x v="446"/>
    <d v="2008-04-01T00:00:00"/>
    <x v="3"/>
    <s v="Destination CUVPF"/>
    <x v="6"/>
    <s v="Supplier EQPNC"/>
    <s v="Spain"/>
    <x v="1"/>
    <n v="1140"/>
  </r>
  <r>
    <n v="10968"/>
    <n v="24"/>
    <n v="4.5"/>
    <n v="30"/>
    <n v="0"/>
    <s v="Kane, John"/>
    <s v="Kane John"/>
    <x v="5"/>
    <s v="WA"/>
    <s v="Product QOGNU"/>
    <x v="6"/>
    <x v="446"/>
    <d v="2008-04-01T00:00:00"/>
    <x v="3"/>
    <s v="Destination CUVPF"/>
    <x v="6"/>
    <s v="Supplier UNAHG"/>
    <s v="Brazil"/>
    <x v="1"/>
    <n v="135"/>
  </r>
  <r>
    <n v="10968"/>
    <n v="64"/>
    <n v="33.25"/>
    <n v="4"/>
    <n v="0"/>
    <s v="Kane, John"/>
    <s v="Kane John"/>
    <x v="5"/>
    <s v="WA"/>
    <s v="Product HCQDE"/>
    <x v="1"/>
    <x v="446"/>
    <d v="2008-04-01T00:00:00"/>
    <x v="3"/>
    <s v="Destination CUVPF"/>
    <x v="6"/>
    <s v="Supplier SVIYA"/>
    <s v="Germany"/>
    <x v="1"/>
    <n v="133"/>
  </r>
  <r>
    <n v="10969"/>
    <n v="46"/>
    <n v="12"/>
    <n v="9"/>
    <n v="0"/>
    <s v="Richardson, Shawn"/>
    <s v="Richardson Shawn"/>
    <x v="5"/>
    <s v="WA"/>
    <s v="Product CBRRL"/>
    <x v="3"/>
    <x v="446"/>
    <d v="2008-03-30T00:00:00"/>
    <x v="1"/>
    <s v="Destination EVHYA"/>
    <x v="1"/>
    <s v="Supplier XOXZA"/>
    <s v="Denmark"/>
    <x v="1"/>
    <n v="108"/>
  </r>
  <r>
    <n v="10970"/>
    <n v="52"/>
    <n v="7"/>
    <n v="40"/>
    <n v="0.2"/>
    <s v="Ilyina, Julia"/>
    <s v="Ilyina Julia"/>
    <x v="4"/>
    <n v="0"/>
    <s v="Product QSRXF"/>
    <x v="1"/>
    <x v="447"/>
    <d v="2008-04-24T00:00:00"/>
    <x v="2"/>
    <s v="Ship to 8-C"/>
    <x v="13"/>
    <s v="Supplier JNNES"/>
    <s v="Australia"/>
    <x v="1"/>
    <n v="224"/>
  </r>
  <r>
    <n v="10971"/>
    <n v="29"/>
    <n v="123.79"/>
    <n v="14"/>
    <n v="0"/>
    <s v="Koch, Paul"/>
    <s v="Koch Paul"/>
    <x v="8"/>
    <s v="WA"/>
    <s v="Product VJXYN"/>
    <x v="7"/>
    <x v="447"/>
    <d v="2008-04-02T00:00:00"/>
    <x v="1"/>
    <s v="Destination XBVKN"/>
    <x v="2"/>
    <s v="Supplier SVIYA"/>
    <s v="Germany"/>
    <x v="2"/>
    <n v="1733.0600000000002"/>
  </r>
  <r>
    <n v="10972"/>
    <n v="17"/>
    <n v="39"/>
    <n v="6"/>
    <n v="0"/>
    <s v="De Oliveira, Jose"/>
    <s v="De Oliveira Jose"/>
    <x v="1"/>
    <s v="WA"/>
    <s v="Product BLCAX"/>
    <x v="7"/>
    <x v="447"/>
    <d v="2008-03-26T00:00:00"/>
    <x v="1"/>
    <s v="Destination MVTWX"/>
    <x v="2"/>
    <s v="Supplier GQRCV"/>
    <s v="Australia"/>
    <x v="1"/>
    <n v="234"/>
  </r>
  <r>
    <n v="10972"/>
    <n v="33"/>
    <n v="2.5"/>
    <n v="7"/>
    <n v="0"/>
    <s v="De Oliveira, Jose"/>
    <s v="De Oliveira Jose"/>
    <x v="1"/>
    <s v="WA"/>
    <s v="Product ASTMN"/>
    <x v="0"/>
    <x v="447"/>
    <d v="2008-03-26T00:00:00"/>
    <x v="1"/>
    <s v="Destination MVTWX"/>
    <x v="2"/>
    <s v="Supplier NZLIF"/>
    <s v="Norway"/>
    <x v="1"/>
    <n v="17.5"/>
  </r>
  <r>
    <n v="10973"/>
    <n v="26"/>
    <n v="31.23"/>
    <n v="5"/>
    <n v="0"/>
    <s v="De Oliveira, Jose"/>
    <s v="De Oliveira Jose"/>
    <x v="7"/>
    <n v="0"/>
    <s v="Product HLGZA"/>
    <x v="5"/>
    <x v="447"/>
    <d v="2008-03-27T00:00:00"/>
    <x v="1"/>
    <s v="Destination WWJLO"/>
    <x v="2"/>
    <s v="Supplier ZPYVS"/>
    <s v="Germany"/>
    <x v="1"/>
    <n v="156.15"/>
  </r>
  <r>
    <n v="10973"/>
    <n v="41"/>
    <n v="9.65"/>
    <n v="6"/>
    <n v="0"/>
    <s v="De Oliveira, Jose"/>
    <s v="De Oliveira Jose"/>
    <x v="7"/>
    <n v="0"/>
    <s v="Product TTEEX"/>
    <x v="3"/>
    <x v="447"/>
    <d v="2008-03-27T00:00:00"/>
    <x v="1"/>
    <s v="Destination WWJLO"/>
    <x v="2"/>
    <s v="Supplier JDNUG"/>
    <s v="USA"/>
    <x v="1"/>
    <n v="57.900000000000006"/>
  </r>
  <r>
    <n v="10973"/>
    <n v="75"/>
    <n v="7.75"/>
    <n v="10"/>
    <n v="0"/>
    <s v="De Oliveira, Jose"/>
    <s v="De Oliveira Jose"/>
    <x v="7"/>
    <n v="0"/>
    <s v="Product BWRLG"/>
    <x v="6"/>
    <x v="447"/>
    <d v="2008-03-27T00:00:00"/>
    <x v="1"/>
    <s v="Destination WWJLO"/>
    <x v="2"/>
    <s v="Supplier SVIYA"/>
    <s v="Germany"/>
    <x v="1"/>
    <n v="77.5"/>
  </r>
  <r>
    <n v="10974"/>
    <n v="63"/>
    <n v="43.9"/>
    <n v="10"/>
    <n v="0"/>
    <s v="Wojciechowska, Agnieszka"/>
    <s v="Wojciechowska Agnieszka"/>
    <x v="2"/>
    <s v="WA"/>
    <s v="Product ICKNK"/>
    <x v="4"/>
    <x v="448"/>
    <d v="2008-04-03T00:00:00"/>
    <x v="3"/>
    <s v="Ship to 75-B"/>
    <x v="9"/>
    <s v="Supplier GQRCV"/>
    <s v="Australia"/>
    <x v="1"/>
    <n v="439"/>
  </r>
  <r>
    <n v="10975"/>
    <n v="8"/>
    <n v="40"/>
    <n v="16"/>
    <n v="0"/>
    <s v="Bassols, Pilar Colome"/>
    <s v="Bassols Pilar Colome"/>
    <x v="5"/>
    <s v="WA"/>
    <s v="Product WVJFP"/>
    <x v="4"/>
    <x v="448"/>
    <d v="2008-03-27T00:00:00"/>
    <x v="3"/>
    <s v="Destination OLSSJ"/>
    <x v="17"/>
    <s v="Supplier STUAZ"/>
    <s v="USA"/>
    <x v="1"/>
    <n v="640"/>
  </r>
  <r>
    <n v="10975"/>
    <n v="75"/>
    <n v="7.75"/>
    <n v="10"/>
    <n v="0"/>
    <s v="Bassols, Pilar Colome"/>
    <s v="Bassols Pilar Colome"/>
    <x v="5"/>
    <s v="WA"/>
    <s v="Product BWRLG"/>
    <x v="6"/>
    <x v="448"/>
    <d v="2008-03-27T00:00:00"/>
    <x v="3"/>
    <s v="Destination OLSSJ"/>
    <x v="17"/>
    <s v="Supplier SVIYA"/>
    <s v="Germany"/>
    <x v="1"/>
    <n v="77.5"/>
  </r>
  <r>
    <n v="10976"/>
    <n v="28"/>
    <n v="45.6"/>
    <n v="20"/>
    <n v="0"/>
    <s v="Langohr, Kris"/>
    <s v="Langohr Kris"/>
    <x v="5"/>
    <s v="WA"/>
    <s v="Product OFBNT"/>
    <x v="2"/>
    <x v="448"/>
    <d v="2008-04-03T00:00:00"/>
    <x v="2"/>
    <s v="Destination SXYQX"/>
    <x v="5"/>
    <s v="Supplier SVIYA"/>
    <s v="Germany"/>
    <x v="1"/>
    <n v="912"/>
  </r>
  <r>
    <n v="10977"/>
    <n v="39"/>
    <n v="18"/>
    <n v="30"/>
    <n v="0"/>
    <s v="San Juan, Patricia"/>
    <s v="San Juan Patricia"/>
    <x v="6"/>
    <s v="WA"/>
    <s v="Product LSOFL"/>
    <x v="6"/>
    <x v="449"/>
    <d v="2008-04-10T00:00:00"/>
    <x v="3"/>
    <s v="Destination NCKKO"/>
    <x v="10"/>
    <s v="Supplier LVJUA"/>
    <s v="France"/>
    <x v="2"/>
    <n v="540"/>
  </r>
  <r>
    <n v="10977"/>
    <n v="47"/>
    <n v="9.5"/>
    <n v="30"/>
    <n v="0"/>
    <s v="San Juan, Patricia"/>
    <s v="San Juan Patricia"/>
    <x v="6"/>
    <s v="WA"/>
    <s v="Product EZZPR"/>
    <x v="5"/>
    <x v="449"/>
    <d v="2008-04-10T00:00:00"/>
    <x v="3"/>
    <s v="Destination NCKKO"/>
    <x v="10"/>
    <s v="Supplier FNUXM"/>
    <s v="Netherlands"/>
    <x v="2"/>
    <n v="285"/>
  </r>
  <r>
    <n v="10977"/>
    <n v="51"/>
    <n v="53"/>
    <n v="10"/>
    <n v="0"/>
    <s v="San Juan, Patricia"/>
    <s v="San Juan Patricia"/>
    <x v="6"/>
    <s v="WA"/>
    <s v="Product APITJ"/>
    <x v="2"/>
    <x v="449"/>
    <d v="2008-04-10T00:00:00"/>
    <x v="3"/>
    <s v="Destination NCKKO"/>
    <x v="10"/>
    <s v="Supplier JNNES"/>
    <s v="Australia"/>
    <x v="2"/>
    <n v="530"/>
  </r>
  <r>
    <n v="10977"/>
    <n v="63"/>
    <n v="43.9"/>
    <n v="20"/>
    <n v="0"/>
    <s v="San Juan, Patricia"/>
    <s v="San Juan Patricia"/>
    <x v="6"/>
    <s v="WA"/>
    <s v="Product ICKNK"/>
    <x v="4"/>
    <x v="449"/>
    <d v="2008-04-10T00:00:00"/>
    <x v="3"/>
    <s v="Destination NCKKO"/>
    <x v="10"/>
    <s v="Supplier GQRCV"/>
    <s v="Australia"/>
    <x v="2"/>
    <n v="878"/>
  </r>
  <r>
    <n v="10978"/>
    <n v="8"/>
    <n v="40"/>
    <n v="20"/>
    <n v="0.15"/>
    <s v="Mace, Donald"/>
    <s v="Mace Donald"/>
    <x v="4"/>
    <n v="0"/>
    <s v="Product WVJFP"/>
    <x v="4"/>
    <x v="449"/>
    <d v="2008-04-23T00:00:00"/>
    <x v="1"/>
    <s v="Ship to 50-A"/>
    <x v="3"/>
    <s v="Supplier STUAZ"/>
    <s v="USA"/>
    <x v="1"/>
    <n v="680"/>
  </r>
  <r>
    <n v="10978"/>
    <n v="21"/>
    <n v="10"/>
    <n v="40"/>
    <n v="0.15"/>
    <s v="Mace, Donald"/>
    <s v="Mace Donald"/>
    <x v="4"/>
    <n v="0"/>
    <s v="Product VJZZH"/>
    <x v="5"/>
    <x v="449"/>
    <d v="2008-04-23T00:00:00"/>
    <x v="1"/>
    <s v="Ship to 50-A"/>
    <x v="3"/>
    <s v="Supplier BWGYE"/>
    <s v="UK"/>
    <x v="1"/>
    <n v="340"/>
  </r>
  <r>
    <n v="10978"/>
    <n v="40"/>
    <n v="18.399999999999999"/>
    <n v="10"/>
    <n v="0"/>
    <s v="Mace, Donald"/>
    <s v="Mace Donald"/>
    <x v="4"/>
    <n v="0"/>
    <s v="Product YZIXQ"/>
    <x v="3"/>
    <x v="449"/>
    <d v="2008-04-23T00:00:00"/>
    <x v="1"/>
    <s v="Ship to 50-A"/>
    <x v="3"/>
    <s v="Supplier JDNUG"/>
    <s v="USA"/>
    <x v="1"/>
    <n v="184"/>
  </r>
  <r>
    <n v="10978"/>
    <n v="44"/>
    <n v="19.45"/>
    <n v="6"/>
    <n v="0.15"/>
    <s v="Mace, Donald"/>
    <s v="Mace Donald"/>
    <x v="4"/>
    <n v="0"/>
    <s v="Product VJIEO"/>
    <x v="4"/>
    <x v="449"/>
    <d v="2008-04-23T00:00:00"/>
    <x v="1"/>
    <s v="Ship to 50-A"/>
    <x v="3"/>
    <s v="Supplier CIYNM"/>
    <s v="Singapore"/>
    <x v="1"/>
    <n v="99.194999999999993"/>
  </r>
  <r>
    <n v="10979"/>
    <n v="7"/>
    <n v="30"/>
    <n v="18"/>
    <n v="0"/>
    <s v="Kane, John"/>
    <s v="Kane John"/>
    <x v="6"/>
    <s v="WA"/>
    <s v="Product HMLNI"/>
    <x v="2"/>
    <x v="449"/>
    <d v="2008-03-31T00:00:00"/>
    <x v="1"/>
    <s v="Destination CUVPF"/>
    <x v="6"/>
    <s v="Supplier STUAZ"/>
    <s v="USA"/>
    <x v="2"/>
    <n v="540"/>
  </r>
  <r>
    <n v="10979"/>
    <n v="12"/>
    <n v="38"/>
    <n v="20"/>
    <n v="0"/>
    <s v="Kane, John"/>
    <s v="Kane John"/>
    <x v="6"/>
    <s v="WA"/>
    <s v="Product OSFNS"/>
    <x v="0"/>
    <x v="449"/>
    <d v="2008-03-31T00:00:00"/>
    <x v="1"/>
    <s v="Destination CUVPF"/>
    <x v="6"/>
    <s v="Supplier EQPNC"/>
    <s v="Spain"/>
    <x v="2"/>
    <n v="760"/>
  </r>
  <r>
    <n v="10979"/>
    <n v="24"/>
    <n v="4.5"/>
    <n v="80"/>
    <n v="0"/>
    <s v="Kane, John"/>
    <s v="Kane John"/>
    <x v="6"/>
    <s v="WA"/>
    <s v="Product QOGNU"/>
    <x v="6"/>
    <x v="449"/>
    <d v="2008-03-31T00:00:00"/>
    <x v="1"/>
    <s v="Destination CUVPF"/>
    <x v="6"/>
    <s v="Supplier UNAHG"/>
    <s v="Brazil"/>
    <x v="2"/>
    <n v="360"/>
  </r>
  <r>
    <n v="10979"/>
    <n v="27"/>
    <n v="43.9"/>
    <n v="30"/>
    <n v="0"/>
    <s v="Kane, John"/>
    <s v="Kane John"/>
    <x v="6"/>
    <s v="WA"/>
    <s v="Product SMIOH"/>
    <x v="5"/>
    <x v="449"/>
    <d v="2008-03-31T00:00:00"/>
    <x v="1"/>
    <s v="Destination CUVPF"/>
    <x v="6"/>
    <s v="Supplier ZPYVS"/>
    <s v="Germany"/>
    <x v="2"/>
    <n v="1317"/>
  </r>
  <r>
    <n v="10979"/>
    <n v="31"/>
    <n v="12.5"/>
    <n v="24"/>
    <n v="0"/>
    <s v="Kane, John"/>
    <s v="Kane John"/>
    <x v="6"/>
    <s v="WA"/>
    <s v="Product XWOXC"/>
    <x v="0"/>
    <x v="449"/>
    <d v="2008-03-31T00:00:00"/>
    <x v="1"/>
    <s v="Destination CUVPF"/>
    <x v="6"/>
    <s v="Supplier KEREV"/>
    <s v="Italy"/>
    <x v="2"/>
    <n v="300"/>
  </r>
  <r>
    <n v="10979"/>
    <n v="63"/>
    <n v="43.9"/>
    <n v="35"/>
    <n v="0"/>
    <s v="Kane, John"/>
    <s v="Kane John"/>
    <x v="6"/>
    <s v="WA"/>
    <s v="Product ICKNK"/>
    <x v="4"/>
    <x v="449"/>
    <d v="2008-03-31T00:00:00"/>
    <x v="1"/>
    <s v="Destination CUVPF"/>
    <x v="6"/>
    <s v="Supplier GQRCV"/>
    <s v="Australia"/>
    <x v="2"/>
    <n v="1536.5"/>
  </r>
  <r>
    <n v="10980"/>
    <n v="75"/>
    <n v="7.75"/>
    <n v="40"/>
    <n v="0.2"/>
    <s v="San Juan, Patricia"/>
    <s v="San Juan Patricia"/>
    <x v="1"/>
    <s v="WA"/>
    <s v="Product BWRLG"/>
    <x v="6"/>
    <x v="450"/>
    <d v="2008-04-17T00:00:00"/>
    <x v="2"/>
    <s v="Destination YCMPK"/>
    <x v="10"/>
    <s v="Supplier SVIYA"/>
    <s v="Germany"/>
    <x v="1"/>
    <n v="248"/>
  </r>
  <r>
    <n v="10981"/>
    <n v="38"/>
    <n v="263.5"/>
    <n v="60"/>
    <n v="0"/>
    <s v="Cohen, Shy"/>
    <s v="Cohen Shy"/>
    <x v="5"/>
    <s v="WA"/>
    <s v="Product QDOMO"/>
    <x v="6"/>
    <x v="450"/>
    <d v="2008-04-02T00:00:00"/>
    <x v="1"/>
    <s v="Destination JPAIY"/>
    <x v="1"/>
    <s v="Supplier LVJUA"/>
    <s v="France"/>
    <x v="2"/>
    <n v="15810"/>
  </r>
  <r>
    <n v="10982"/>
    <n v="7"/>
    <n v="30"/>
    <n v="20"/>
    <n v="0"/>
    <s v="Bassols, Pilar Colome"/>
    <s v="Bassols Pilar Colome"/>
    <x v="8"/>
    <s v="WA"/>
    <s v="Product HMLNI"/>
    <x v="2"/>
    <x v="450"/>
    <d v="2008-04-08T00:00:00"/>
    <x v="2"/>
    <s v="Destination XJIBQ"/>
    <x v="17"/>
    <s v="Supplier STUAZ"/>
    <s v="USA"/>
    <x v="1"/>
    <n v="600"/>
  </r>
  <r>
    <n v="10982"/>
    <n v="43"/>
    <n v="46"/>
    <n v="9"/>
    <n v="0"/>
    <s v="Bassols, Pilar Colome"/>
    <s v="Bassols Pilar Colome"/>
    <x v="8"/>
    <s v="WA"/>
    <s v="Product ZZZHR"/>
    <x v="6"/>
    <x v="450"/>
    <d v="2008-04-08T00:00:00"/>
    <x v="2"/>
    <s v="Destination XJIBQ"/>
    <x v="17"/>
    <s v="Supplier CIYNM"/>
    <s v="Singapore"/>
    <x v="1"/>
    <n v="414"/>
  </r>
  <r>
    <n v="10983"/>
    <n v="13"/>
    <n v="6"/>
    <n v="84"/>
    <n v="0.15"/>
    <s v="Navarro, Tomás"/>
    <s v="Navarro Tomás"/>
    <x v="8"/>
    <s v="WA"/>
    <s v="Product POXFU"/>
    <x v="3"/>
    <x v="450"/>
    <d v="2008-04-06T00:00:00"/>
    <x v="1"/>
    <s v="Ship to 71-B"/>
    <x v="9"/>
    <s v="Supplier QWUSF"/>
    <s v="Japan"/>
    <x v="2"/>
    <n v="428.4"/>
  </r>
  <r>
    <n v="10983"/>
    <n v="57"/>
    <n v="19.5"/>
    <n v="15"/>
    <n v="0"/>
    <s v="Navarro, Tomás"/>
    <s v="Navarro Tomás"/>
    <x v="8"/>
    <s v="WA"/>
    <s v="Product OVLQI"/>
    <x v="1"/>
    <x v="450"/>
    <d v="2008-04-06T00:00:00"/>
    <x v="1"/>
    <s v="Ship to 71-B"/>
    <x v="9"/>
    <s v="Supplier ZWZDM"/>
    <s v="Italy"/>
    <x v="2"/>
    <n v="292.5"/>
  </r>
  <r>
    <n v="10984"/>
    <n v="16"/>
    <n v="17.45"/>
    <n v="55"/>
    <n v="0"/>
    <s v="Navarro, Tomás"/>
    <s v="Navarro Tomás"/>
    <x v="5"/>
    <s v="WA"/>
    <s v="Product PAFRH"/>
    <x v="5"/>
    <x v="451"/>
    <d v="2008-04-03T00:00:00"/>
    <x v="3"/>
    <s v="Ship to 71-B"/>
    <x v="9"/>
    <s v="Supplier GQRCV"/>
    <s v="Australia"/>
    <x v="2"/>
    <n v="959.75"/>
  </r>
  <r>
    <n v="10984"/>
    <n v="24"/>
    <n v="4.5"/>
    <n v="20"/>
    <n v="0"/>
    <s v="Navarro, Tomás"/>
    <s v="Navarro Tomás"/>
    <x v="5"/>
    <s v="WA"/>
    <s v="Product QOGNU"/>
    <x v="6"/>
    <x v="451"/>
    <d v="2008-04-03T00:00:00"/>
    <x v="3"/>
    <s v="Ship to 71-B"/>
    <x v="9"/>
    <s v="Supplier UNAHG"/>
    <s v="Brazil"/>
    <x v="2"/>
    <n v="90"/>
  </r>
  <r>
    <n v="10984"/>
    <n v="36"/>
    <n v="19"/>
    <n v="40"/>
    <n v="0"/>
    <s v="Navarro, Tomás"/>
    <s v="Navarro Tomás"/>
    <x v="5"/>
    <s v="WA"/>
    <s v="Product GMKIJ"/>
    <x v="3"/>
    <x v="451"/>
    <d v="2008-04-03T00:00:00"/>
    <x v="3"/>
    <s v="Ship to 71-B"/>
    <x v="9"/>
    <s v="Supplier QZGUF"/>
    <s v="Sweden"/>
    <x v="2"/>
    <n v="760"/>
  </r>
  <r>
    <n v="10985"/>
    <n v="16"/>
    <n v="17.45"/>
    <n v="36"/>
    <n v="0.1"/>
    <s v="Crăciun, Ovidiu V."/>
    <s v="Crăciun Ovidiu V."/>
    <x v="8"/>
    <s v="WA"/>
    <s v="Product PAFRH"/>
    <x v="5"/>
    <x v="451"/>
    <d v="2008-04-02T00:00:00"/>
    <x v="2"/>
    <s v="Destination ATSOA"/>
    <x v="15"/>
    <s v="Supplier GQRCV"/>
    <s v="Australia"/>
    <x v="1"/>
    <n v="565.38"/>
  </r>
  <r>
    <n v="10985"/>
    <n v="18"/>
    <n v="62.5"/>
    <n v="8"/>
    <n v="0.1"/>
    <s v="Crăciun, Ovidiu V."/>
    <s v="Crăciun Ovidiu V."/>
    <x v="8"/>
    <s v="WA"/>
    <s v="Product CKEDC"/>
    <x v="3"/>
    <x v="451"/>
    <d v="2008-04-02T00:00:00"/>
    <x v="2"/>
    <s v="Destination ATSOA"/>
    <x v="15"/>
    <s v="Supplier GQRCV"/>
    <s v="Australia"/>
    <x v="1"/>
    <n v="450"/>
  </r>
  <r>
    <n v="10985"/>
    <n v="32"/>
    <n v="32"/>
    <n v="35"/>
    <n v="0.1"/>
    <s v="Crăciun, Ovidiu V."/>
    <s v="Crăciun Ovidiu V."/>
    <x v="8"/>
    <s v="WA"/>
    <s v="Product NUNAW"/>
    <x v="0"/>
    <x v="451"/>
    <d v="2008-04-02T00:00:00"/>
    <x v="2"/>
    <s v="Destination ATSOA"/>
    <x v="15"/>
    <s v="Supplier KEREV"/>
    <s v="Italy"/>
    <x v="1"/>
    <n v="1008"/>
  </r>
  <r>
    <n v="10986"/>
    <n v="11"/>
    <n v="21"/>
    <n v="30"/>
    <n v="0"/>
    <s v="Tiano, Mike"/>
    <s v="Tiano Mike"/>
    <x v="6"/>
    <s v="WA"/>
    <s v="Product QMVUN"/>
    <x v="0"/>
    <x v="451"/>
    <d v="2008-04-21T00:00:00"/>
    <x v="1"/>
    <s v="Ship to 54-A"/>
    <x v="21"/>
    <s v="Supplier EQPNC"/>
    <s v="Spain"/>
    <x v="2"/>
    <n v="630"/>
  </r>
  <r>
    <n v="10986"/>
    <n v="20"/>
    <n v="81"/>
    <n v="15"/>
    <n v="0"/>
    <s v="Tiano, Mike"/>
    <s v="Tiano Mike"/>
    <x v="6"/>
    <s v="WA"/>
    <s v="Product QHFFP"/>
    <x v="5"/>
    <x v="451"/>
    <d v="2008-04-21T00:00:00"/>
    <x v="1"/>
    <s v="Ship to 54-A"/>
    <x v="21"/>
    <s v="Supplier BWGYE"/>
    <s v="UK"/>
    <x v="2"/>
    <n v="1215"/>
  </r>
  <r>
    <n v="10986"/>
    <n v="76"/>
    <n v="18"/>
    <n v="10"/>
    <n v="0"/>
    <s v="Tiano, Mike"/>
    <s v="Tiano Mike"/>
    <x v="6"/>
    <s v="WA"/>
    <s v="Product JYGFE"/>
    <x v="6"/>
    <x v="451"/>
    <d v="2008-04-21T00:00:00"/>
    <x v="1"/>
    <s v="Ship to 54-A"/>
    <x v="21"/>
    <s v="Supplier ELCRN"/>
    <s v="Finland"/>
    <x v="2"/>
    <n v="180"/>
  </r>
  <r>
    <n v="10986"/>
    <n v="77"/>
    <n v="13"/>
    <n v="15"/>
    <n v="0"/>
    <s v="Tiano, Mike"/>
    <s v="Tiano Mike"/>
    <x v="6"/>
    <s v="WA"/>
    <s v="Product LUNZZ"/>
    <x v="4"/>
    <x v="451"/>
    <d v="2008-04-21T00:00:00"/>
    <x v="1"/>
    <s v="Ship to 54-A"/>
    <x v="21"/>
    <s v="Supplier SVIYA"/>
    <s v="Germany"/>
    <x v="2"/>
    <n v="195"/>
  </r>
  <r>
    <n v="10987"/>
    <n v="7"/>
    <n v="30"/>
    <n v="60"/>
    <n v="0"/>
    <s v="Boseman, Randall"/>
    <s v="Boseman Randall"/>
    <x v="6"/>
    <s v="WA"/>
    <s v="Product HMLNI"/>
    <x v="2"/>
    <x v="452"/>
    <d v="2008-04-06T00:00:00"/>
    <x v="2"/>
    <s v="Destination FRCGJ"/>
    <x v="14"/>
    <s v="Supplier STUAZ"/>
    <s v="USA"/>
    <x v="2"/>
    <n v="1800"/>
  </r>
  <r>
    <n v="10987"/>
    <n v="43"/>
    <n v="46"/>
    <n v="6"/>
    <n v="0"/>
    <s v="Boseman, Randall"/>
    <s v="Boseman Randall"/>
    <x v="6"/>
    <s v="WA"/>
    <s v="Product ZZZHR"/>
    <x v="6"/>
    <x v="452"/>
    <d v="2008-04-06T00:00:00"/>
    <x v="2"/>
    <s v="Destination FRCGJ"/>
    <x v="14"/>
    <s v="Supplier CIYNM"/>
    <s v="Singapore"/>
    <x v="2"/>
    <n v="276"/>
  </r>
  <r>
    <n v="10987"/>
    <n v="72"/>
    <n v="34.799999999999997"/>
    <n v="20"/>
    <n v="0"/>
    <s v="Boseman, Randall"/>
    <s v="Boseman Randall"/>
    <x v="6"/>
    <s v="WA"/>
    <s v="Product GEEOO"/>
    <x v="0"/>
    <x v="452"/>
    <d v="2008-04-06T00:00:00"/>
    <x v="2"/>
    <s v="Destination FRCGJ"/>
    <x v="14"/>
    <s v="Supplier KEREV"/>
    <s v="Italy"/>
    <x v="2"/>
    <n v="696"/>
  </r>
  <r>
    <n v="10988"/>
    <n v="7"/>
    <n v="30"/>
    <n v="60"/>
    <n v="0"/>
    <s v="Moore, Michael"/>
    <s v="Moore Michael"/>
    <x v="2"/>
    <s v="WA"/>
    <s v="Product HMLNI"/>
    <x v="2"/>
    <x v="452"/>
    <d v="2008-04-10T00:00:00"/>
    <x v="1"/>
    <s v="Ship to 65-A"/>
    <x v="9"/>
    <s v="Supplier STUAZ"/>
    <s v="USA"/>
    <x v="1"/>
    <n v="1800"/>
  </r>
  <r>
    <n v="10988"/>
    <n v="62"/>
    <n v="49.3"/>
    <n v="40"/>
    <n v="0.1"/>
    <s v="Moore, Michael"/>
    <s v="Moore Michael"/>
    <x v="2"/>
    <s v="WA"/>
    <s v="Product WUXYK"/>
    <x v="5"/>
    <x v="452"/>
    <d v="2008-04-10T00:00:00"/>
    <x v="1"/>
    <s v="Ship to 65-A"/>
    <x v="9"/>
    <s v="Supplier OGLRK"/>
    <s v="Canada"/>
    <x v="1"/>
    <n v="1774.8"/>
  </r>
  <r>
    <n v="10989"/>
    <n v="6"/>
    <n v="25"/>
    <n v="40"/>
    <n v="0"/>
    <s v="Florczyk, Krzysztof"/>
    <s v="Florczyk Krzysztof"/>
    <x v="8"/>
    <s v="WA"/>
    <s v="Product VAIIV"/>
    <x v="4"/>
    <x v="452"/>
    <d v="2008-04-02T00:00:00"/>
    <x v="2"/>
    <s v="Ship to 61-A"/>
    <x v="1"/>
    <s v="Supplier STUAZ"/>
    <s v="USA"/>
    <x v="1"/>
    <n v="1000"/>
  </r>
  <r>
    <n v="10989"/>
    <n v="11"/>
    <n v="21"/>
    <n v="15"/>
    <n v="0"/>
    <s v="Florczyk, Krzysztof"/>
    <s v="Florczyk Krzysztof"/>
    <x v="8"/>
    <s v="WA"/>
    <s v="Product QMVUN"/>
    <x v="0"/>
    <x v="452"/>
    <d v="2008-04-02T00:00:00"/>
    <x v="2"/>
    <s v="Ship to 61-A"/>
    <x v="1"/>
    <s v="Supplier EQPNC"/>
    <s v="Spain"/>
    <x v="1"/>
    <n v="315"/>
  </r>
  <r>
    <n v="10989"/>
    <n v="41"/>
    <n v="9.65"/>
    <n v="4"/>
    <n v="0"/>
    <s v="Florczyk, Krzysztof"/>
    <s v="Florczyk Krzysztof"/>
    <x v="8"/>
    <s v="WA"/>
    <s v="Product TTEEX"/>
    <x v="3"/>
    <x v="452"/>
    <d v="2008-04-02T00:00:00"/>
    <x v="2"/>
    <s v="Ship to 61-A"/>
    <x v="1"/>
    <s v="Supplier JDNUG"/>
    <s v="USA"/>
    <x v="1"/>
    <n v="38.6"/>
  </r>
  <r>
    <n v="10990"/>
    <n v="21"/>
    <n v="10"/>
    <n v="65"/>
    <n v="0"/>
    <s v="Kane, John"/>
    <s v="Kane John"/>
    <x v="8"/>
    <s v="WA"/>
    <s v="Product VJZZH"/>
    <x v="5"/>
    <x v="453"/>
    <d v="2008-04-07T00:00:00"/>
    <x v="3"/>
    <s v="Destination RVDMF"/>
    <x v="6"/>
    <s v="Supplier BWGYE"/>
    <s v="UK"/>
    <x v="2"/>
    <n v="650"/>
  </r>
  <r>
    <n v="10990"/>
    <n v="34"/>
    <n v="14"/>
    <n v="60"/>
    <n v="0.15"/>
    <s v="Kane, John"/>
    <s v="Kane John"/>
    <x v="8"/>
    <s v="WA"/>
    <s v="Product SWNJY"/>
    <x v="6"/>
    <x v="453"/>
    <d v="2008-04-07T00:00:00"/>
    <x v="3"/>
    <s v="Destination RVDMF"/>
    <x v="6"/>
    <s v="Supplier UHZRG"/>
    <s v="USA"/>
    <x v="2"/>
    <n v="714"/>
  </r>
  <r>
    <n v="10990"/>
    <n v="55"/>
    <n v="24"/>
    <n v="65"/>
    <n v="0.15"/>
    <s v="Kane, John"/>
    <s v="Kane John"/>
    <x v="8"/>
    <s v="WA"/>
    <s v="Product YYWRT"/>
    <x v="7"/>
    <x v="453"/>
    <d v="2008-04-07T00:00:00"/>
    <x v="3"/>
    <s v="Destination RVDMF"/>
    <x v="6"/>
    <s v="Supplier ERVYZ"/>
    <s v="Canada"/>
    <x v="2"/>
    <n v="1326"/>
  </r>
  <r>
    <n v="10990"/>
    <n v="61"/>
    <n v="28.5"/>
    <n v="66"/>
    <n v="0.15"/>
    <s v="Kane, John"/>
    <s v="Kane John"/>
    <x v="8"/>
    <s v="WA"/>
    <s v="Product XYZPE"/>
    <x v="4"/>
    <x v="453"/>
    <d v="2008-04-07T00:00:00"/>
    <x v="3"/>
    <s v="Destination RVDMF"/>
    <x v="6"/>
    <s v="Supplier OGLRK"/>
    <s v="Canada"/>
    <x v="2"/>
    <n v="1598.85"/>
  </r>
  <r>
    <n v="10991"/>
    <n v="2"/>
    <n v="19"/>
    <n v="50"/>
    <n v="0.2"/>
    <s v="Veronesi, Giorgio"/>
    <s v="Veronesi Giorgio"/>
    <x v="5"/>
    <s v="WA"/>
    <s v="Product RECZE"/>
    <x v="6"/>
    <x v="453"/>
    <d v="2008-04-07T00:00:00"/>
    <x v="2"/>
    <s v="Ship to 63-A"/>
    <x v="8"/>
    <s v="Supplier SWRXU"/>
    <s v="UK"/>
    <x v="1"/>
    <n v="760"/>
  </r>
  <r>
    <n v="10991"/>
    <n v="70"/>
    <n v="15"/>
    <n v="20"/>
    <n v="0.2"/>
    <s v="Veronesi, Giorgio"/>
    <s v="Veronesi Giorgio"/>
    <x v="5"/>
    <s v="WA"/>
    <s v="Product TOONT"/>
    <x v="6"/>
    <x v="453"/>
    <d v="2008-04-07T00:00:00"/>
    <x v="2"/>
    <s v="Ship to 63-A"/>
    <x v="8"/>
    <s v="Supplier GQRCV"/>
    <s v="Australia"/>
    <x v="1"/>
    <n v="240"/>
  </r>
  <r>
    <n v="10991"/>
    <n v="76"/>
    <n v="18"/>
    <n v="90"/>
    <n v="0.2"/>
    <s v="Veronesi, Giorgio"/>
    <s v="Veronesi Giorgio"/>
    <x v="5"/>
    <s v="WA"/>
    <s v="Product JYGFE"/>
    <x v="6"/>
    <x v="453"/>
    <d v="2008-04-07T00:00:00"/>
    <x v="2"/>
    <s v="Ship to 63-A"/>
    <x v="8"/>
    <s v="Supplier ELCRN"/>
    <s v="Finland"/>
    <x v="1"/>
    <n v="1296"/>
  </r>
  <r>
    <n v="10992"/>
    <n v="72"/>
    <n v="34.799999999999997"/>
    <n v="2"/>
    <n v="0"/>
    <s v="Osorio, Cristian"/>
    <s v="Osorio Cristian"/>
    <x v="5"/>
    <s v="WA"/>
    <s v="Product GEEOO"/>
    <x v="0"/>
    <x v="453"/>
    <d v="2008-04-03T00:00:00"/>
    <x v="3"/>
    <s v="Ship to 77-C"/>
    <x v="9"/>
    <s v="Supplier KEREV"/>
    <s v="Italy"/>
    <x v="1"/>
    <n v="69.599999999999994"/>
  </r>
  <r>
    <n v="10993"/>
    <n v="29"/>
    <n v="123.79"/>
    <n v="50"/>
    <n v="0.25"/>
    <s v="San Juan, Patricia"/>
    <s v="San Juan Patricia"/>
    <x v="9"/>
    <n v="0"/>
    <s v="Product VJXYN"/>
    <x v="7"/>
    <x v="453"/>
    <d v="2008-04-10T00:00:00"/>
    <x v="3"/>
    <s v="Destination NCKKO"/>
    <x v="10"/>
    <s v="Supplier SVIYA"/>
    <s v="Germany"/>
    <x v="1"/>
    <n v="4642.125"/>
  </r>
  <r>
    <n v="10993"/>
    <n v="41"/>
    <n v="9.65"/>
    <n v="35"/>
    <n v="0.25"/>
    <s v="San Juan, Patricia"/>
    <s v="San Juan Patricia"/>
    <x v="9"/>
    <n v="0"/>
    <s v="Product TTEEX"/>
    <x v="3"/>
    <x v="453"/>
    <d v="2008-04-10T00:00:00"/>
    <x v="3"/>
    <s v="Destination NCKKO"/>
    <x v="10"/>
    <s v="Supplier JDNUG"/>
    <s v="USA"/>
    <x v="1"/>
    <n v="253.3125"/>
  </r>
  <r>
    <n v="10994"/>
    <n v="59"/>
    <n v="55"/>
    <n v="18"/>
    <n v="0.05"/>
    <s v="Fonteneau, Karl"/>
    <s v="Fonteneau Karl"/>
    <x v="8"/>
    <s v="WA"/>
    <s v="Product UKXRI"/>
    <x v="0"/>
    <x v="454"/>
    <d v="2008-04-09T00:00:00"/>
    <x v="3"/>
    <s v="Ship to 83-C"/>
    <x v="18"/>
    <s v="Supplier OAVQT"/>
    <s v="France"/>
    <x v="1"/>
    <n v="940.5"/>
  </r>
  <r>
    <n v="10995"/>
    <n v="51"/>
    <n v="53"/>
    <n v="20"/>
    <n v="0"/>
    <s v="Fakhouri, Fadi"/>
    <s v="Fakhouri Fadi"/>
    <x v="5"/>
    <s v="WA"/>
    <s v="Product APITJ"/>
    <x v="2"/>
    <x v="454"/>
    <d v="2008-04-06T00:00:00"/>
    <x v="3"/>
    <s v="Ship to 58-B"/>
    <x v="7"/>
    <s v="Supplier JNNES"/>
    <s v="Australia"/>
    <x v="1"/>
    <n v="1060"/>
  </r>
  <r>
    <n v="10995"/>
    <n v="60"/>
    <n v="34"/>
    <n v="4"/>
    <n v="0"/>
    <s v="Fakhouri, Fadi"/>
    <s v="Fakhouri Fadi"/>
    <x v="5"/>
    <s v="WA"/>
    <s v="Product WHBYK"/>
    <x v="0"/>
    <x v="454"/>
    <d v="2008-04-06T00:00:00"/>
    <x v="3"/>
    <s v="Ship to 58-B"/>
    <x v="7"/>
    <s v="Supplier OAVQT"/>
    <s v="France"/>
    <x v="1"/>
    <n v="136"/>
  </r>
  <r>
    <n v="10996"/>
    <n v="42"/>
    <n v="14"/>
    <n v="40"/>
    <n v="0"/>
    <s v="Veronesi, Giorgio"/>
    <s v="Veronesi Giorgio"/>
    <x v="1"/>
    <s v="WA"/>
    <s v="Product RJVNM"/>
    <x v="1"/>
    <x v="454"/>
    <d v="2008-04-10T00:00:00"/>
    <x v="1"/>
    <s v="Ship to 63-C"/>
    <x v="8"/>
    <s v="Supplier CIYNM"/>
    <s v="Singapore"/>
    <x v="1"/>
    <n v="560"/>
  </r>
  <r>
    <n v="10997"/>
    <n v="32"/>
    <n v="32"/>
    <n v="50"/>
    <n v="0"/>
    <s v="Dressler, Marlies"/>
    <s v="Dressler Marlies"/>
    <x v="6"/>
    <s v="WA"/>
    <s v="Product NUNAW"/>
    <x v="0"/>
    <x v="455"/>
    <d v="2008-04-13T00:00:00"/>
    <x v="1"/>
    <s v="Ship to 46-A"/>
    <x v="5"/>
    <s v="Supplier KEREV"/>
    <s v="Italy"/>
    <x v="1"/>
    <n v="1600"/>
  </r>
  <r>
    <n v="10997"/>
    <n v="46"/>
    <n v="12"/>
    <n v="20"/>
    <n v="0.25"/>
    <s v="Dressler, Marlies"/>
    <s v="Dressler Marlies"/>
    <x v="6"/>
    <s v="WA"/>
    <s v="Product CBRRL"/>
    <x v="3"/>
    <x v="455"/>
    <d v="2008-04-13T00:00:00"/>
    <x v="1"/>
    <s v="Ship to 46-A"/>
    <x v="5"/>
    <s v="Supplier XOXZA"/>
    <s v="Denmark"/>
    <x v="1"/>
    <n v="180"/>
  </r>
  <r>
    <n v="10997"/>
    <n v="52"/>
    <n v="7"/>
    <n v="20"/>
    <n v="0.25"/>
    <s v="Dressler, Marlies"/>
    <s v="Dressler Marlies"/>
    <x v="6"/>
    <s v="WA"/>
    <s v="Product QSRXF"/>
    <x v="1"/>
    <x v="455"/>
    <d v="2008-04-13T00:00:00"/>
    <x v="1"/>
    <s v="Ship to 46-A"/>
    <x v="5"/>
    <s v="Supplier JNNES"/>
    <s v="Australia"/>
    <x v="1"/>
    <n v="105"/>
  </r>
  <r>
    <n v="10998"/>
    <n v="24"/>
    <n v="4.5"/>
    <n v="12"/>
    <n v="0"/>
    <s v="Conn, Steve"/>
    <s v="Conn Steve"/>
    <x v="6"/>
    <s v="WA"/>
    <s v="Product QOGNU"/>
    <x v="6"/>
    <x v="455"/>
    <d v="2008-04-17T00:00:00"/>
    <x v="1"/>
    <s v="Ship to 91-A"/>
    <x v="19"/>
    <s v="Supplier UNAHG"/>
    <s v="Brazil"/>
    <x v="1"/>
    <n v="54"/>
  </r>
  <r>
    <n v="10998"/>
    <n v="61"/>
    <n v="28.5"/>
    <n v="7"/>
    <n v="0"/>
    <s v="Conn, Steve"/>
    <s v="Conn Steve"/>
    <x v="6"/>
    <s v="WA"/>
    <s v="Product XYZPE"/>
    <x v="4"/>
    <x v="455"/>
    <d v="2008-04-17T00:00:00"/>
    <x v="1"/>
    <s v="Ship to 91-A"/>
    <x v="19"/>
    <s v="Supplier OGLRK"/>
    <s v="Canada"/>
    <x v="1"/>
    <n v="199.5"/>
  </r>
  <r>
    <n v="10998"/>
    <n v="74"/>
    <n v="10"/>
    <n v="20"/>
    <n v="0"/>
    <s v="Conn, Steve"/>
    <s v="Conn Steve"/>
    <x v="6"/>
    <s v="WA"/>
    <s v="Product BKAZJ"/>
    <x v="2"/>
    <x v="455"/>
    <d v="2008-04-17T00:00:00"/>
    <x v="1"/>
    <s v="Ship to 91-A"/>
    <x v="19"/>
    <s v="Supplier QOVFD"/>
    <s v="Japan"/>
    <x v="1"/>
    <n v="200"/>
  </r>
  <r>
    <n v="10998"/>
    <n v="75"/>
    <n v="7.75"/>
    <n v="30"/>
    <n v="0"/>
    <s v="Conn, Steve"/>
    <s v="Conn Steve"/>
    <x v="6"/>
    <s v="WA"/>
    <s v="Product BWRLG"/>
    <x v="6"/>
    <x v="455"/>
    <d v="2008-04-17T00:00:00"/>
    <x v="1"/>
    <s v="Ship to 91-A"/>
    <x v="19"/>
    <s v="Supplier SVIYA"/>
    <s v="Germany"/>
    <x v="1"/>
    <n v="232.5"/>
  </r>
  <r>
    <n v="10999"/>
    <n v="41"/>
    <n v="9.65"/>
    <n v="20"/>
    <n v="0.05"/>
    <s v="Marinova, Nadejda"/>
    <s v="Marinova Nadejda"/>
    <x v="7"/>
    <n v="0"/>
    <s v="Product TTEEX"/>
    <x v="3"/>
    <x v="455"/>
    <d v="2008-04-10T00:00:00"/>
    <x v="1"/>
    <s v="Ship to 56-B"/>
    <x v="8"/>
    <s v="Supplier JDNUG"/>
    <s v="USA"/>
    <x v="1"/>
    <n v="183.35"/>
  </r>
  <r>
    <n v="10999"/>
    <n v="51"/>
    <n v="53"/>
    <n v="15"/>
    <n v="0.05"/>
    <s v="Marinova, Nadejda"/>
    <s v="Marinova Nadejda"/>
    <x v="7"/>
    <n v="0"/>
    <s v="Product APITJ"/>
    <x v="2"/>
    <x v="455"/>
    <d v="2008-04-10T00:00:00"/>
    <x v="1"/>
    <s v="Ship to 56-B"/>
    <x v="8"/>
    <s v="Supplier JNNES"/>
    <s v="Australia"/>
    <x v="1"/>
    <n v="755.25"/>
  </r>
  <r>
    <n v="10999"/>
    <n v="77"/>
    <n v="13"/>
    <n v="21"/>
    <n v="0.05"/>
    <s v="Marinova, Nadejda"/>
    <s v="Marinova Nadejda"/>
    <x v="7"/>
    <n v="0"/>
    <s v="Product LUNZZ"/>
    <x v="4"/>
    <x v="455"/>
    <d v="2008-04-10T00:00:00"/>
    <x v="1"/>
    <s v="Ship to 56-B"/>
    <x v="8"/>
    <s v="Supplier SVIYA"/>
    <s v="Germany"/>
    <x v="1"/>
    <n v="259.34999999999997"/>
  </r>
  <r>
    <n v="11000"/>
    <n v="4"/>
    <n v="22"/>
    <n v="25"/>
    <n v="0.25"/>
    <s v="Moore, Michael"/>
    <s v="Moore Michael"/>
    <x v="8"/>
    <s v="WA"/>
    <s v="Product KSBRM"/>
    <x v="4"/>
    <x v="456"/>
    <d v="2008-04-14T00:00:00"/>
    <x v="3"/>
    <s v="Ship to 65-A"/>
    <x v="9"/>
    <s v="Supplier VHQZD"/>
    <s v="USA"/>
    <x v="1"/>
    <n v="412.5"/>
  </r>
  <r>
    <n v="11000"/>
    <n v="24"/>
    <n v="4.5"/>
    <n v="30"/>
    <n v="0.25"/>
    <s v="Moore, Michael"/>
    <s v="Moore Michael"/>
    <x v="8"/>
    <s v="WA"/>
    <s v="Product QOGNU"/>
    <x v="6"/>
    <x v="456"/>
    <d v="2008-04-14T00:00:00"/>
    <x v="3"/>
    <s v="Ship to 65-A"/>
    <x v="9"/>
    <s v="Supplier UNAHG"/>
    <s v="Brazil"/>
    <x v="1"/>
    <n v="101.25"/>
  </r>
  <r>
    <n v="11000"/>
    <n v="77"/>
    <n v="13"/>
    <n v="30"/>
    <n v="0"/>
    <s v="Moore, Michael"/>
    <s v="Moore Michael"/>
    <x v="8"/>
    <s v="WA"/>
    <s v="Product LUNZZ"/>
    <x v="4"/>
    <x v="456"/>
    <d v="2008-04-14T00:00:00"/>
    <x v="3"/>
    <s v="Ship to 65-A"/>
    <x v="9"/>
    <s v="Supplier SVIYA"/>
    <s v="Germany"/>
    <x v="1"/>
    <n v="390"/>
  </r>
  <r>
    <n v="11001"/>
    <n v="7"/>
    <n v="30"/>
    <n v="60"/>
    <n v="0"/>
    <s v="San Juan, Patricia"/>
    <s v="San Juan Patricia"/>
    <x v="8"/>
    <s v="WA"/>
    <s v="Product HMLNI"/>
    <x v="2"/>
    <x v="456"/>
    <d v="2008-04-14T00:00:00"/>
    <x v="1"/>
    <s v="Destination YCMPK"/>
    <x v="10"/>
    <s v="Supplier STUAZ"/>
    <s v="USA"/>
    <x v="2"/>
    <n v="1800"/>
  </r>
  <r>
    <n v="11001"/>
    <n v="22"/>
    <n v="21"/>
    <n v="25"/>
    <n v="0"/>
    <s v="San Juan, Patricia"/>
    <s v="San Juan Patricia"/>
    <x v="8"/>
    <s v="WA"/>
    <s v="Product CPHFY"/>
    <x v="1"/>
    <x v="456"/>
    <d v="2008-04-14T00:00:00"/>
    <x v="1"/>
    <s v="Destination YCMPK"/>
    <x v="10"/>
    <s v="Supplier QQYEU"/>
    <s v="Sweden"/>
    <x v="2"/>
    <n v="525"/>
  </r>
  <r>
    <n v="11001"/>
    <n v="46"/>
    <n v="12"/>
    <n v="25"/>
    <n v="0"/>
    <s v="San Juan, Patricia"/>
    <s v="San Juan Patricia"/>
    <x v="8"/>
    <s v="WA"/>
    <s v="Product CBRRL"/>
    <x v="3"/>
    <x v="456"/>
    <d v="2008-04-14T00:00:00"/>
    <x v="1"/>
    <s v="Destination YCMPK"/>
    <x v="10"/>
    <s v="Supplier XOXZA"/>
    <s v="Denmark"/>
    <x v="2"/>
    <n v="300"/>
  </r>
  <r>
    <n v="11001"/>
    <n v="55"/>
    <n v="24"/>
    <n v="6"/>
    <n v="0"/>
    <s v="San Juan, Patricia"/>
    <s v="San Juan Patricia"/>
    <x v="8"/>
    <s v="WA"/>
    <s v="Product YYWRT"/>
    <x v="7"/>
    <x v="456"/>
    <d v="2008-04-14T00:00:00"/>
    <x v="1"/>
    <s v="Destination YCMPK"/>
    <x v="10"/>
    <s v="Supplier ERVYZ"/>
    <s v="Canada"/>
    <x v="2"/>
    <n v="144"/>
  </r>
  <r>
    <n v="11002"/>
    <n v="13"/>
    <n v="6"/>
    <n v="56"/>
    <n v="0"/>
    <s v="Navarro, Tomás"/>
    <s v="Navarro Tomás"/>
    <x v="1"/>
    <s v="WA"/>
    <s v="Product POXFU"/>
    <x v="3"/>
    <x v="456"/>
    <d v="2008-04-16T00:00:00"/>
    <x v="2"/>
    <s v="Ship to 71-A"/>
    <x v="9"/>
    <s v="Supplier QWUSF"/>
    <s v="Japan"/>
    <x v="2"/>
    <n v="336"/>
  </r>
  <r>
    <n v="11002"/>
    <n v="35"/>
    <n v="18"/>
    <n v="15"/>
    <n v="0.15"/>
    <s v="Navarro, Tomás"/>
    <s v="Navarro Tomás"/>
    <x v="1"/>
    <s v="WA"/>
    <s v="Product NEVTJ"/>
    <x v="6"/>
    <x v="456"/>
    <d v="2008-04-16T00:00:00"/>
    <x v="2"/>
    <s v="Ship to 71-A"/>
    <x v="9"/>
    <s v="Supplier UHZRG"/>
    <s v="USA"/>
    <x v="2"/>
    <n v="229.5"/>
  </r>
  <r>
    <n v="11002"/>
    <n v="42"/>
    <n v="14"/>
    <n v="24"/>
    <n v="0.15"/>
    <s v="Navarro, Tomás"/>
    <s v="Navarro Tomás"/>
    <x v="1"/>
    <s v="WA"/>
    <s v="Product RJVNM"/>
    <x v="1"/>
    <x v="456"/>
    <d v="2008-04-16T00:00:00"/>
    <x v="2"/>
    <s v="Ship to 71-A"/>
    <x v="9"/>
    <s v="Supplier CIYNM"/>
    <s v="Singapore"/>
    <x v="2"/>
    <n v="285.59999999999997"/>
  </r>
  <r>
    <n v="11002"/>
    <n v="55"/>
    <n v="24"/>
    <n v="40"/>
    <n v="0"/>
    <s v="Navarro, Tomás"/>
    <s v="Navarro Tomás"/>
    <x v="1"/>
    <s v="WA"/>
    <s v="Product YYWRT"/>
    <x v="7"/>
    <x v="456"/>
    <d v="2008-04-16T00:00:00"/>
    <x v="2"/>
    <s v="Ship to 71-A"/>
    <x v="9"/>
    <s v="Supplier ERVYZ"/>
    <s v="Canada"/>
    <x v="2"/>
    <n v="960"/>
  </r>
  <r>
    <n v="11003"/>
    <n v="1"/>
    <n v="18"/>
    <n v="4"/>
    <n v="0"/>
    <s v="Young, Robin"/>
    <s v="Young Robin"/>
    <x v="2"/>
    <s v="WA"/>
    <s v="Product HHYDP"/>
    <x v="6"/>
    <x v="456"/>
    <d v="2008-04-08T00:00:00"/>
    <x v="3"/>
    <s v="Ship to 78-B"/>
    <x v="9"/>
    <s v="Supplier SWRXU"/>
    <s v="UK"/>
    <x v="1"/>
    <n v="72"/>
  </r>
  <r>
    <n v="11003"/>
    <n v="40"/>
    <n v="18.399999999999999"/>
    <n v="10"/>
    <n v="0"/>
    <s v="Young, Robin"/>
    <s v="Young Robin"/>
    <x v="2"/>
    <s v="WA"/>
    <s v="Product YZIXQ"/>
    <x v="3"/>
    <x v="456"/>
    <d v="2008-04-08T00:00:00"/>
    <x v="3"/>
    <s v="Ship to 78-B"/>
    <x v="9"/>
    <s v="Supplier JDNUG"/>
    <s v="USA"/>
    <x v="1"/>
    <n v="184"/>
  </r>
  <r>
    <n v="11003"/>
    <n v="52"/>
    <n v="7"/>
    <n v="10"/>
    <n v="0"/>
    <s v="Young, Robin"/>
    <s v="Young Robin"/>
    <x v="2"/>
    <s v="WA"/>
    <s v="Product QSRXF"/>
    <x v="1"/>
    <x v="456"/>
    <d v="2008-04-08T00:00:00"/>
    <x v="3"/>
    <s v="Ship to 78-B"/>
    <x v="9"/>
    <s v="Supplier JNNES"/>
    <s v="Australia"/>
    <x v="1"/>
    <n v="70"/>
  </r>
  <r>
    <n v="11004"/>
    <n v="26"/>
    <n v="31.23"/>
    <n v="6"/>
    <n v="0"/>
    <s v="Mace, Donald"/>
    <s v="Mace Donald"/>
    <x v="2"/>
    <s v="WA"/>
    <s v="Product HLGZA"/>
    <x v="5"/>
    <x v="457"/>
    <d v="2008-04-20T00:00:00"/>
    <x v="2"/>
    <s v="Ship to 50-C"/>
    <x v="3"/>
    <s v="Supplier ZPYVS"/>
    <s v="Germany"/>
    <x v="1"/>
    <n v="187.38"/>
  </r>
  <r>
    <n v="11004"/>
    <n v="76"/>
    <n v="18"/>
    <n v="6"/>
    <n v="0"/>
    <s v="Mace, Donald"/>
    <s v="Mace Donald"/>
    <x v="2"/>
    <s v="WA"/>
    <s v="Product JYGFE"/>
    <x v="6"/>
    <x v="457"/>
    <d v="2008-04-20T00:00:00"/>
    <x v="2"/>
    <s v="Ship to 50-C"/>
    <x v="3"/>
    <s v="Supplier ELCRN"/>
    <s v="Finland"/>
    <x v="1"/>
    <n v="108"/>
  </r>
  <r>
    <n v="11005"/>
    <n v="1"/>
    <n v="18"/>
    <n v="2"/>
    <n v="0"/>
    <s v="Larsson, Katarina"/>
    <s v="Larsson Katarina"/>
    <x v="8"/>
    <s v="WA"/>
    <s v="Product HHYDP"/>
    <x v="6"/>
    <x v="457"/>
    <d v="2008-04-10T00:00:00"/>
    <x v="2"/>
    <s v="Ship to 90-A"/>
    <x v="11"/>
    <s v="Supplier SWRXU"/>
    <s v="UK"/>
    <x v="1"/>
    <n v="36"/>
  </r>
  <r>
    <n v="11005"/>
    <n v="59"/>
    <n v="55"/>
    <n v="10"/>
    <n v="0"/>
    <s v="Larsson, Katarina"/>
    <s v="Larsson Katarina"/>
    <x v="8"/>
    <s v="WA"/>
    <s v="Product UKXRI"/>
    <x v="0"/>
    <x v="457"/>
    <d v="2008-04-10T00:00:00"/>
    <x v="2"/>
    <s v="Ship to 90-A"/>
    <x v="11"/>
    <s v="Supplier OAVQT"/>
    <s v="France"/>
    <x v="1"/>
    <n v="550"/>
  </r>
  <r>
    <n v="11006"/>
    <n v="1"/>
    <n v="18"/>
    <n v="8"/>
    <n v="0"/>
    <s v="Krishnan, Venky"/>
    <s v="Krishnan Venky"/>
    <x v="2"/>
    <s v="WA"/>
    <s v="Product HHYDP"/>
    <x v="6"/>
    <x v="457"/>
    <d v="2008-04-15T00:00:00"/>
    <x v="1"/>
    <s v="Destination LLUXZ"/>
    <x v="9"/>
    <s v="Supplier SWRXU"/>
    <s v="UK"/>
    <x v="1"/>
    <n v="144"/>
  </r>
  <r>
    <n v="11006"/>
    <n v="29"/>
    <n v="123.79"/>
    <n v="2"/>
    <n v="0.25"/>
    <s v="Krishnan, Venky"/>
    <s v="Krishnan Venky"/>
    <x v="2"/>
    <s v="WA"/>
    <s v="Product VJXYN"/>
    <x v="7"/>
    <x v="457"/>
    <d v="2008-04-15T00:00:00"/>
    <x v="1"/>
    <s v="Destination LLUXZ"/>
    <x v="9"/>
    <s v="Supplier SVIYA"/>
    <s v="Germany"/>
    <x v="1"/>
    <n v="185.685"/>
  </r>
  <r>
    <n v="11007"/>
    <n v="8"/>
    <n v="40"/>
    <n v="30"/>
    <n v="0"/>
    <s v="Uppal, Sunil"/>
    <s v="Uppal Sunil"/>
    <x v="6"/>
    <s v="WA"/>
    <s v="Product WVJFP"/>
    <x v="4"/>
    <x v="458"/>
    <d v="2008-04-13T00:00:00"/>
    <x v="1"/>
    <s v="Ship to 60-C"/>
    <x v="16"/>
    <s v="Supplier STUAZ"/>
    <s v="USA"/>
    <x v="2"/>
    <n v="1200"/>
  </r>
  <r>
    <n v="11007"/>
    <n v="29"/>
    <n v="123.79"/>
    <n v="10"/>
    <n v="0"/>
    <s v="Uppal, Sunil"/>
    <s v="Uppal Sunil"/>
    <x v="6"/>
    <s v="WA"/>
    <s v="Product VJXYN"/>
    <x v="7"/>
    <x v="458"/>
    <d v="2008-04-13T00:00:00"/>
    <x v="1"/>
    <s v="Ship to 60-C"/>
    <x v="16"/>
    <s v="Supplier SVIYA"/>
    <s v="Germany"/>
    <x v="2"/>
    <n v="1237.9000000000001"/>
  </r>
  <r>
    <n v="11007"/>
    <n v="42"/>
    <n v="14"/>
    <n v="14"/>
    <n v="0"/>
    <s v="Uppal, Sunil"/>
    <s v="Uppal Sunil"/>
    <x v="6"/>
    <s v="WA"/>
    <s v="Product RJVNM"/>
    <x v="1"/>
    <x v="458"/>
    <d v="2008-04-13T00:00:00"/>
    <x v="1"/>
    <s v="Ship to 60-C"/>
    <x v="16"/>
    <s v="Supplier CIYNM"/>
    <s v="Singapore"/>
    <x v="2"/>
    <n v="196"/>
  </r>
  <r>
    <n v="11008"/>
    <n v="28"/>
    <n v="45.6"/>
    <n v="70"/>
    <n v="0.05"/>
    <s v="Kane, John"/>
    <s v="Kane John"/>
    <x v="9"/>
    <n v="0"/>
    <s v="Product OFBNT"/>
    <x v="2"/>
    <x v="458"/>
    <d v="1899-12-30T00:00:00"/>
    <x v="3"/>
    <s v="Destination CUVPF"/>
    <x v="6"/>
    <s v="Supplier SVIYA"/>
    <s v="Germany"/>
    <x v="1"/>
    <n v="3032.3999999999996"/>
  </r>
  <r>
    <n v="11008"/>
    <n v="34"/>
    <n v="14"/>
    <n v="90"/>
    <n v="0.05"/>
    <s v="Kane, John"/>
    <s v="Kane John"/>
    <x v="9"/>
    <n v="0"/>
    <s v="Product SWNJY"/>
    <x v="6"/>
    <x v="458"/>
    <d v="1899-12-30T00:00:00"/>
    <x v="3"/>
    <s v="Destination CUVPF"/>
    <x v="6"/>
    <s v="Supplier UHZRG"/>
    <s v="USA"/>
    <x v="1"/>
    <n v="1197"/>
  </r>
  <r>
    <n v="11008"/>
    <n v="71"/>
    <n v="21.5"/>
    <n v="21"/>
    <n v="0"/>
    <s v="Kane, John"/>
    <s v="Kane John"/>
    <x v="9"/>
    <n v="0"/>
    <s v="Product MYMOI"/>
    <x v="0"/>
    <x v="458"/>
    <d v="1899-12-30T00:00:00"/>
    <x v="3"/>
    <s v="Destination CUVPF"/>
    <x v="6"/>
    <s v="Supplier NZLIF"/>
    <s v="Norway"/>
    <x v="1"/>
    <n v="451.5"/>
  </r>
  <r>
    <n v="11009"/>
    <n v="24"/>
    <n v="4.5"/>
    <n v="12"/>
    <n v="0"/>
    <s v="Shabalin, Rostislav"/>
    <s v="Shabalin Rostislav"/>
    <x v="8"/>
    <s v="WA"/>
    <s v="Product QOGNU"/>
    <x v="6"/>
    <x v="458"/>
    <d v="2008-04-10T00:00:00"/>
    <x v="2"/>
    <s v="Destination WVLDH"/>
    <x v="13"/>
    <s v="Supplier UNAHG"/>
    <s v="Brazil"/>
    <x v="1"/>
    <n v="54"/>
  </r>
  <r>
    <n v="11009"/>
    <n v="36"/>
    <n v="19"/>
    <n v="18"/>
    <n v="0.25"/>
    <s v="Shabalin, Rostislav"/>
    <s v="Shabalin Rostislav"/>
    <x v="8"/>
    <s v="WA"/>
    <s v="Product GMKIJ"/>
    <x v="3"/>
    <x v="458"/>
    <d v="2008-04-10T00:00:00"/>
    <x v="2"/>
    <s v="Destination WVLDH"/>
    <x v="13"/>
    <s v="Supplier QZGUF"/>
    <s v="Sweden"/>
    <x v="1"/>
    <n v="256.5"/>
  </r>
  <r>
    <n v="11009"/>
    <n v="60"/>
    <n v="34"/>
    <n v="9"/>
    <n v="0"/>
    <s v="Shabalin, Rostislav"/>
    <s v="Shabalin Rostislav"/>
    <x v="8"/>
    <s v="WA"/>
    <s v="Product WHBYK"/>
    <x v="0"/>
    <x v="458"/>
    <d v="2008-04-10T00:00:00"/>
    <x v="2"/>
    <s v="Destination WVLDH"/>
    <x v="13"/>
    <s v="Supplier OAVQT"/>
    <s v="France"/>
    <x v="1"/>
    <n v="306"/>
  </r>
  <r>
    <n v="11010"/>
    <n v="7"/>
    <n v="30"/>
    <n v="20"/>
    <n v="0"/>
    <s v="Voss, Florian"/>
    <s v="Voss Florian"/>
    <x v="8"/>
    <s v="WA"/>
    <s v="Product HMLNI"/>
    <x v="2"/>
    <x v="459"/>
    <d v="2008-04-21T00:00:00"/>
    <x v="1"/>
    <s v="Ship to 66-A"/>
    <x v="12"/>
    <s v="Supplier STUAZ"/>
    <s v="USA"/>
    <x v="1"/>
    <n v="600"/>
  </r>
  <r>
    <n v="11010"/>
    <n v="24"/>
    <n v="4.5"/>
    <n v="10"/>
    <n v="0"/>
    <s v="Voss, Florian"/>
    <s v="Voss Florian"/>
    <x v="8"/>
    <s v="WA"/>
    <s v="Product QOGNU"/>
    <x v="6"/>
    <x v="459"/>
    <d v="2008-04-21T00:00:00"/>
    <x v="1"/>
    <s v="Ship to 66-A"/>
    <x v="12"/>
    <s v="Supplier UNAHG"/>
    <s v="Brazil"/>
    <x v="1"/>
    <n v="45"/>
  </r>
  <r>
    <n v="11011"/>
    <n v="58"/>
    <n v="13.25"/>
    <n v="40"/>
    <n v="0.05"/>
    <s v="Allen, Michael"/>
    <s v="Allen Michael"/>
    <x v="2"/>
    <s v="WA"/>
    <s v="Product ACRVI"/>
    <x v="3"/>
    <x v="459"/>
    <d v="2008-04-13T00:00:00"/>
    <x v="2"/>
    <s v="Destination LOUIE"/>
    <x v="8"/>
    <s v="Supplier ZRYDZ"/>
    <s v="France"/>
    <x v="1"/>
    <n v="503.5"/>
  </r>
  <r>
    <n v="11011"/>
    <n v="71"/>
    <n v="21.5"/>
    <n v="20"/>
    <n v="0"/>
    <s v="Allen, Michael"/>
    <s v="Allen Michael"/>
    <x v="2"/>
    <s v="WA"/>
    <s v="Product MYMOI"/>
    <x v="0"/>
    <x v="459"/>
    <d v="2008-04-13T00:00:00"/>
    <x v="2"/>
    <s v="Destination LOUIE"/>
    <x v="8"/>
    <s v="Supplier NZLIF"/>
    <s v="Norway"/>
    <x v="1"/>
    <n v="430"/>
  </r>
  <r>
    <n v="11012"/>
    <n v="19"/>
    <n v="9.1999999999999993"/>
    <n v="50"/>
    <n v="0.05"/>
    <s v="Carlson, Jason"/>
    <s v="Carlson Jason"/>
    <x v="5"/>
    <s v="WA"/>
    <s v="Product XKXDO"/>
    <x v="5"/>
    <x v="459"/>
    <d v="2008-04-17T00:00:00"/>
    <x v="3"/>
    <s v="Destination WEGWI"/>
    <x v="8"/>
    <s v="Supplier BWGYE"/>
    <s v="UK"/>
    <x v="2"/>
    <n v="436.99999999999994"/>
  </r>
  <r>
    <n v="11012"/>
    <n v="60"/>
    <n v="34"/>
    <n v="36"/>
    <n v="0.05"/>
    <s v="Carlson, Jason"/>
    <s v="Carlson Jason"/>
    <x v="5"/>
    <s v="WA"/>
    <s v="Product WHBYK"/>
    <x v="0"/>
    <x v="459"/>
    <d v="2008-04-17T00:00:00"/>
    <x v="3"/>
    <s v="Destination WEGWI"/>
    <x v="8"/>
    <s v="Supplier OAVQT"/>
    <s v="France"/>
    <x v="2"/>
    <n v="1162.8"/>
  </r>
  <r>
    <n v="11012"/>
    <n v="71"/>
    <n v="21.5"/>
    <n v="60"/>
    <n v="0.05"/>
    <s v="Carlson, Jason"/>
    <s v="Carlson Jason"/>
    <x v="5"/>
    <s v="WA"/>
    <s v="Product MYMOI"/>
    <x v="0"/>
    <x v="459"/>
    <d v="2008-04-17T00:00:00"/>
    <x v="3"/>
    <s v="Destination WEGWI"/>
    <x v="8"/>
    <s v="Supplier NZLIF"/>
    <s v="Norway"/>
    <x v="2"/>
    <n v="1225.5"/>
  </r>
  <r>
    <n v="11013"/>
    <n v="23"/>
    <n v="9"/>
    <n v="10"/>
    <n v="0"/>
    <s v="Watters, Jason M."/>
    <s v="Watters Jason M."/>
    <x v="8"/>
    <s v="WA"/>
    <s v="Product JLUDZ"/>
    <x v="1"/>
    <x v="459"/>
    <d v="2008-04-10T00:00:00"/>
    <x v="2"/>
    <s v="Ship to 69-A"/>
    <x v="13"/>
    <s v="Supplier QQYEU"/>
    <s v="Sweden"/>
    <x v="1"/>
    <n v="90"/>
  </r>
  <r>
    <n v="11013"/>
    <n v="42"/>
    <n v="14"/>
    <n v="4"/>
    <n v="0"/>
    <s v="Watters, Jason M."/>
    <s v="Watters Jason M."/>
    <x v="8"/>
    <s v="WA"/>
    <s v="Product RJVNM"/>
    <x v="1"/>
    <x v="459"/>
    <d v="2008-04-10T00:00:00"/>
    <x v="2"/>
    <s v="Ship to 69-A"/>
    <x v="13"/>
    <s v="Supplier CIYNM"/>
    <s v="Singapore"/>
    <x v="1"/>
    <n v="56"/>
  </r>
  <r>
    <n v="11013"/>
    <n v="45"/>
    <n v="9.5"/>
    <n v="20"/>
    <n v="0"/>
    <s v="Watters, Jason M."/>
    <s v="Watters Jason M."/>
    <x v="8"/>
    <s v="WA"/>
    <s v="Product AQOKR"/>
    <x v="3"/>
    <x v="459"/>
    <d v="2008-04-10T00:00:00"/>
    <x v="2"/>
    <s v="Ship to 69-A"/>
    <x v="13"/>
    <s v="Supplier XOXZA"/>
    <s v="Denmark"/>
    <x v="1"/>
    <n v="190"/>
  </r>
  <r>
    <n v="11013"/>
    <n v="68"/>
    <n v="12.5"/>
    <n v="2"/>
    <n v="0"/>
    <s v="Watters, Jason M."/>
    <s v="Watters Jason M."/>
    <x v="8"/>
    <s v="WA"/>
    <s v="Product TBTBL"/>
    <x v="5"/>
    <x v="459"/>
    <d v="2008-04-10T00:00:00"/>
    <x v="2"/>
    <s v="Ship to 69-A"/>
    <x v="13"/>
    <s v="Supplier BWGYE"/>
    <s v="UK"/>
    <x v="1"/>
    <n v="25"/>
  </r>
  <r>
    <n v="11014"/>
    <n v="41"/>
    <n v="9.65"/>
    <n v="28"/>
    <n v="0.1"/>
    <s v="Lupu, Cornel"/>
    <s v="Lupu Cornel"/>
    <x v="8"/>
    <s v="WA"/>
    <s v="Product TTEEX"/>
    <x v="3"/>
    <x v="460"/>
    <d v="2008-04-15T00:00:00"/>
    <x v="3"/>
    <s v="Ship to 47-A"/>
    <x v="5"/>
    <s v="Supplier JDNUG"/>
    <s v="USA"/>
    <x v="1"/>
    <n v="243.18"/>
  </r>
  <r>
    <n v="11015"/>
    <n v="30"/>
    <n v="25.89"/>
    <n v="15"/>
    <n v="0"/>
    <s v="Ginters, Kaspars"/>
    <s v="Ginters Kaspars"/>
    <x v="8"/>
    <s v="WA"/>
    <s v="Product LYERX"/>
    <x v="3"/>
    <x v="460"/>
    <d v="2008-04-20T00:00:00"/>
    <x v="1"/>
    <s v="Ship to 70-C"/>
    <x v="20"/>
    <s v="Supplier TEGSC"/>
    <s v="Germany"/>
    <x v="1"/>
    <n v="388.35"/>
  </r>
  <r>
    <n v="11015"/>
    <n v="77"/>
    <n v="13"/>
    <n v="18"/>
    <n v="0"/>
    <s v="Ginters, Kaspars"/>
    <s v="Ginters Kaspars"/>
    <x v="8"/>
    <s v="WA"/>
    <s v="Product LUNZZ"/>
    <x v="4"/>
    <x v="460"/>
    <d v="2008-04-20T00:00:00"/>
    <x v="1"/>
    <s v="Ship to 70-C"/>
    <x v="20"/>
    <s v="Supplier SVIYA"/>
    <s v="Germany"/>
    <x v="1"/>
    <n v="234"/>
  </r>
  <r>
    <n v="11016"/>
    <n v="31"/>
    <n v="12.5"/>
    <n v="15"/>
    <n v="0"/>
    <s v="Arndt, Torsten"/>
    <s v="Arndt Torsten"/>
    <x v="4"/>
    <n v="0"/>
    <s v="Product XWOXC"/>
    <x v="0"/>
    <x v="460"/>
    <d v="2008-04-13T00:00:00"/>
    <x v="1"/>
    <s v="Ship to 4-A"/>
    <x v="14"/>
    <s v="Supplier KEREV"/>
    <s v="Italy"/>
    <x v="1"/>
    <n v="187.5"/>
  </r>
  <r>
    <n v="11016"/>
    <n v="36"/>
    <n v="19"/>
    <n v="16"/>
    <n v="0"/>
    <s v="Arndt, Torsten"/>
    <s v="Arndt Torsten"/>
    <x v="4"/>
    <n v="0"/>
    <s v="Product GMKIJ"/>
    <x v="3"/>
    <x v="460"/>
    <d v="2008-04-13T00:00:00"/>
    <x v="1"/>
    <s v="Ship to 4-A"/>
    <x v="14"/>
    <s v="Supplier QZGUF"/>
    <s v="Sweden"/>
    <x v="1"/>
    <n v="304"/>
  </r>
  <r>
    <n v="11017"/>
    <n v="3"/>
    <n v="10"/>
    <n v="25"/>
    <n v="0"/>
    <s v="Kane, John"/>
    <s v="Kane John"/>
    <x v="4"/>
    <n v="0"/>
    <s v="Product IMEHJ"/>
    <x v="4"/>
    <x v="461"/>
    <d v="2008-04-20T00:00:00"/>
    <x v="1"/>
    <s v="Destination CUVPF"/>
    <x v="6"/>
    <s v="Supplier SWRXU"/>
    <s v="UK"/>
    <x v="2"/>
    <n v="250"/>
  </r>
  <r>
    <n v="11017"/>
    <n v="59"/>
    <n v="55"/>
    <n v="110"/>
    <n v="0"/>
    <s v="Kane, John"/>
    <s v="Kane John"/>
    <x v="4"/>
    <n v="0"/>
    <s v="Product UKXRI"/>
    <x v="0"/>
    <x v="461"/>
    <d v="2008-04-20T00:00:00"/>
    <x v="1"/>
    <s v="Destination CUVPF"/>
    <x v="6"/>
    <s v="Supplier OAVQT"/>
    <s v="France"/>
    <x v="2"/>
    <n v="6050"/>
  </r>
  <r>
    <n v="11017"/>
    <n v="70"/>
    <n v="15"/>
    <n v="30"/>
    <n v="0"/>
    <s v="Kane, John"/>
    <s v="Kane John"/>
    <x v="4"/>
    <n v="0"/>
    <s v="Product TOONT"/>
    <x v="6"/>
    <x v="461"/>
    <d v="2008-04-20T00:00:00"/>
    <x v="1"/>
    <s v="Destination CUVPF"/>
    <x v="6"/>
    <s v="Supplier GQRCV"/>
    <s v="Australia"/>
    <x v="2"/>
    <n v="450"/>
  </r>
  <r>
    <n v="11018"/>
    <n v="12"/>
    <n v="38"/>
    <n v="20"/>
    <n v="0"/>
    <s v="Szymczak, Radosław"/>
    <s v="Szymczak Radosław"/>
    <x v="1"/>
    <s v="WA"/>
    <s v="Product OSFNS"/>
    <x v="0"/>
    <x v="461"/>
    <d v="2008-04-16T00:00:00"/>
    <x v="1"/>
    <s v="Ship to 48-B"/>
    <x v="9"/>
    <s v="Supplier EQPNC"/>
    <s v="Spain"/>
    <x v="1"/>
    <n v="760"/>
  </r>
  <r>
    <n v="11018"/>
    <n v="18"/>
    <n v="62.5"/>
    <n v="10"/>
    <n v="0"/>
    <s v="Szymczak, Radosław"/>
    <s v="Szymczak Radosław"/>
    <x v="1"/>
    <s v="WA"/>
    <s v="Product CKEDC"/>
    <x v="3"/>
    <x v="461"/>
    <d v="2008-04-16T00:00:00"/>
    <x v="1"/>
    <s v="Ship to 48-B"/>
    <x v="9"/>
    <s v="Supplier GQRCV"/>
    <s v="Australia"/>
    <x v="1"/>
    <n v="625"/>
  </r>
  <r>
    <n v="11018"/>
    <n v="56"/>
    <n v="38"/>
    <n v="5"/>
    <n v="0"/>
    <s v="Szymczak, Radosław"/>
    <s v="Szymczak Radosław"/>
    <x v="1"/>
    <s v="WA"/>
    <s v="Product VKCMF"/>
    <x v="1"/>
    <x v="461"/>
    <d v="2008-04-16T00:00:00"/>
    <x v="1"/>
    <s v="Ship to 48-B"/>
    <x v="9"/>
    <s v="Supplier ZWZDM"/>
    <s v="Italy"/>
    <x v="1"/>
    <n v="190"/>
  </r>
  <r>
    <n v="11019"/>
    <n v="46"/>
    <n v="12"/>
    <n v="3"/>
    <n v="0"/>
    <s v="Gaffney, Lawrie"/>
    <s v="Gaffney Lawrie"/>
    <x v="7"/>
    <n v="0"/>
    <s v="Product CBRRL"/>
    <x v="3"/>
    <x v="461"/>
    <d v="1899-12-30T00:00:00"/>
    <x v="3"/>
    <s v="Ship to 64-B"/>
    <x v="21"/>
    <s v="Supplier XOXZA"/>
    <s v="Denmark"/>
    <x v="1"/>
    <n v="36"/>
  </r>
  <r>
    <n v="11019"/>
    <n v="49"/>
    <n v="20"/>
    <n v="2"/>
    <n v="0"/>
    <s v="Gaffney, Lawrie"/>
    <s v="Gaffney Lawrie"/>
    <x v="7"/>
    <n v="0"/>
    <s v="Product FPYPN"/>
    <x v="5"/>
    <x v="461"/>
    <d v="1899-12-30T00:00:00"/>
    <x v="3"/>
    <s v="Ship to 64-B"/>
    <x v="21"/>
    <s v="Supplier ELCRN"/>
    <s v="Finland"/>
    <x v="1"/>
    <n v="40"/>
  </r>
  <r>
    <n v="11020"/>
    <n v="10"/>
    <n v="31"/>
    <n v="24"/>
    <n v="0.15"/>
    <s v="Marinova, Nadejda"/>
    <s v="Marinova Nadejda"/>
    <x v="8"/>
    <s v="WA"/>
    <s v="Product YHXGE"/>
    <x v="3"/>
    <x v="462"/>
    <d v="2008-04-16T00:00:00"/>
    <x v="1"/>
    <s v="Ship to 56-B"/>
    <x v="8"/>
    <s v="Supplier QOVFD"/>
    <s v="Japan"/>
    <x v="1"/>
    <n v="632.4"/>
  </r>
  <r>
    <n v="11021"/>
    <n v="2"/>
    <n v="19"/>
    <n v="11"/>
    <n v="0.25"/>
    <s v="Veronesi, Giorgio"/>
    <s v="Veronesi Giorgio"/>
    <x v="2"/>
    <s v="WA"/>
    <s v="Product RECZE"/>
    <x v="6"/>
    <x v="462"/>
    <d v="2008-04-21T00:00:00"/>
    <x v="2"/>
    <s v="Ship to 63-B"/>
    <x v="8"/>
    <s v="Supplier SWRXU"/>
    <s v="UK"/>
    <x v="2"/>
    <n v="156.75"/>
  </r>
  <r>
    <n v="11021"/>
    <n v="20"/>
    <n v="81"/>
    <n v="15"/>
    <n v="0"/>
    <s v="Veronesi, Giorgio"/>
    <s v="Veronesi Giorgio"/>
    <x v="2"/>
    <s v="WA"/>
    <s v="Product QHFFP"/>
    <x v="5"/>
    <x v="462"/>
    <d v="2008-04-21T00:00:00"/>
    <x v="2"/>
    <s v="Ship to 63-B"/>
    <x v="8"/>
    <s v="Supplier BWGYE"/>
    <s v="UK"/>
    <x v="2"/>
    <n v="1215"/>
  </r>
  <r>
    <n v="11021"/>
    <n v="26"/>
    <n v="31.23"/>
    <n v="63"/>
    <n v="0"/>
    <s v="Veronesi, Giorgio"/>
    <s v="Veronesi Giorgio"/>
    <x v="2"/>
    <s v="WA"/>
    <s v="Product HLGZA"/>
    <x v="5"/>
    <x v="462"/>
    <d v="2008-04-21T00:00:00"/>
    <x v="2"/>
    <s v="Ship to 63-B"/>
    <x v="8"/>
    <s v="Supplier ZPYVS"/>
    <s v="Germany"/>
    <x v="2"/>
    <n v="1967.49"/>
  </r>
  <r>
    <n v="11021"/>
    <n v="51"/>
    <n v="53"/>
    <n v="44"/>
    <n v="0.25"/>
    <s v="Veronesi, Giorgio"/>
    <s v="Veronesi Giorgio"/>
    <x v="2"/>
    <s v="WA"/>
    <s v="Product APITJ"/>
    <x v="2"/>
    <x v="462"/>
    <d v="2008-04-21T00:00:00"/>
    <x v="2"/>
    <s v="Ship to 63-B"/>
    <x v="8"/>
    <s v="Supplier JNNES"/>
    <s v="Australia"/>
    <x v="2"/>
    <n v="1749"/>
  </r>
  <r>
    <n v="11021"/>
    <n v="72"/>
    <n v="34.799999999999997"/>
    <n v="35"/>
    <n v="0"/>
    <s v="Veronesi, Giorgio"/>
    <s v="Veronesi Giorgio"/>
    <x v="2"/>
    <s v="WA"/>
    <s v="Product GEEOO"/>
    <x v="0"/>
    <x v="462"/>
    <d v="2008-04-21T00:00:00"/>
    <x v="2"/>
    <s v="Ship to 63-B"/>
    <x v="8"/>
    <s v="Supplier KEREV"/>
    <s v="Italy"/>
    <x v="2"/>
    <n v="1218"/>
  </r>
  <r>
    <n v="11022"/>
    <n v="19"/>
    <n v="9.1999999999999993"/>
    <n v="35"/>
    <n v="0"/>
    <s v="Cohen, Shy"/>
    <s v="Cohen Shy"/>
    <x v="4"/>
    <n v="0"/>
    <s v="Product XKXDO"/>
    <x v="5"/>
    <x v="462"/>
    <d v="2008-05-04T00:00:00"/>
    <x v="1"/>
    <s v="Destination SCQXA"/>
    <x v="1"/>
    <s v="Supplier BWGYE"/>
    <s v="UK"/>
    <x v="1"/>
    <n v="322"/>
  </r>
  <r>
    <n v="11022"/>
    <n v="69"/>
    <n v="36"/>
    <n v="30"/>
    <n v="0"/>
    <s v="Cohen, Shy"/>
    <s v="Cohen Shy"/>
    <x v="4"/>
    <n v="0"/>
    <s v="Product COAXA"/>
    <x v="0"/>
    <x v="462"/>
    <d v="2008-05-04T00:00:00"/>
    <x v="1"/>
    <s v="Destination SCQXA"/>
    <x v="1"/>
    <s v="Supplier NZLIF"/>
    <s v="Norway"/>
    <x v="1"/>
    <n v="1080"/>
  </r>
  <r>
    <n v="11023"/>
    <n v="7"/>
    <n v="30"/>
    <n v="4"/>
    <n v="0"/>
    <s v="Jaffe, David"/>
    <s v="Jaffe David"/>
    <x v="5"/>
    <s v="WA"/>
    <s v="Product HMLNI"/>
    <x v="2"/>
    <x v="462"/>
    <d v="2008-04-24T00:00:00"/>
    <x v="1"/>
    <s v="Destination NZASL"/>
    <x v="14"/>
    <s v="Supplier STUAZ"/>
    <s v="USA"/>
    <x v="2"/>
    <n v="120"/>
  </r>
  <r>
    <n v="11023"/>
    <n v="43"/>
    <n v="46"/>
    <n v="30"/>
    <n v="0"/>
    <s v="Jaffe, David"/>
    <s v="Jaffe David"/>
    <x v="5"/>
    <s v="WA"/>
    <s v="Product ZZZHR"/>
    <x v="6"/>
    <x v="462"/>
    <d v="2008-04-24T00:00:00"/>
    <x v="1"/>
    <s v="Destination NZASL"/>
    <x v="14"/>
    <s v="Supplier CIYNM"/>
    <s v="Singapore"/>
    <x v="2"/>
    <n v="1380"/>
  </r>
  <r>
    <n v="11024"/>
    <n v="26"/>
    <n v="31.23"/>
    <n v="12"/>
    <n v="0"/>
    <s v="Boseman, Randall"/>
    <s v="Boseman Randall"/>
    <x v="1"/>
    <s v="WA"/>
    <s v="Product HLGZA"/>
    <x v="5"/>
    <x v="463"/>
    <d v="2008-04-20T00:00:00"/>
    <x v="2"/>
    <s v="Destination BBMRT"/>
    <x v="14"/>
    <s v="Supplier ZPYVS"/>
    <s v="Germany"/>
    <x v="1"/>
    <n v="374.76"/>
  </r>
  <r>
    <n v="11024"/>
    <n v="33"/>
    <n v="2.5"/>
    <n v="30"/>
    <n v="0"/>
    <s v="Boseman, Randall"/>
    <s v="Boseman Randall"/>
    <x v="1"/>
    <s v="WA"/>
    <s v="Product ASTMN"/>
    <x v="0"/>
    <x v="463"/>
    <d v="2008-04-20T00:00:00"/>
    <x v="2"/>
    <s v="Destination BBMRT"/>
    <x v="14"/>
    <s v="Supplier NZLIF"/>
    <s v="Norway"/>
    <x v="1"/>
    <n v="75"/>
  </r>
  <r>
    <n v="11024"/>
    <n v="65"/>
    <n v="21.05"/>
    <n v="21"/>
    <n v="0"/>
    <s v="Boseman, Randall"/>
    <s v="Boseman Randall"/>
    <x v="1"/>
    <s v="WA"/>
    <s v="Product XYWBZ"/>
    <x v="4"/>
    <x v="463"/>
    <d v="2008-04-20T00:00:00"/>
    <x v="2"/>
    <s v="Destination BBMRT"/>
    <x v="14"/>
    <s v="Supplier VHQZD"/>
    <s v="USA"/>
    <x v="1"/>
    <n v="442.05"/>
  </r>
  <r>
    <n v="11024"/>
    <n v="71"/>
    <n v="21.5"/>
    <n v="50"/>
    <n v="0"/>
    <s v="Boseman, Randall"/>
    <s v="Boseman Randall"/>
    <x v="1"/>
    <s v="WA"/>
    <s v="Product MYMOI"/>
    <x v="0"/>
    <x v="463"/>
    <d v="2008-04-20T00:00:00"/>
    <x v="2"/>
    <s v="Destination BBMRT"/>
    <x v="14"/>
    <s v="Supplier NZLIF"/>
    <s v="Norway"/>
    <x v="1"/>
    <n v="1075"/>
  </r>
  <r>
    <n v="11025"/>
    <n v="1"/>
    <n v="18"/>
    <n v="10"/>
    <n v="0.1"/>
    <s v="Ludwig, Michael"/>
    <s v="Ludwig Michael"/>
    <x v="7"/>
    <n v="0"/>
    <s v="Product HHYDP"/>
    <x v="6"/>
    <x v="463"/>
    <d v="2008-04-24T00:00:00"/>
    <x v="3"/>
    <s v="Ship to 87-C"/>
    <x v="11"/>
    <s v="Supplier SWRXU"/>
    <s v="UK"/>
    <x v="1"/>
    <n v="162"/>
  </r>
  <r>
    <n v="11025"/>
    <n v="13"/>
    <n v="6"/>
    <n v="20"/>
    <n v="0.1"/>
    <s v="Ludwig, Michael"/>
    <s v="Ludwig Michael"/>
    <x v="7"/>
    <n v="0"/>
    <s v="Product POXFU"/>
    <x v="3"/>
    <x v="463"/>
    <d v="2008-04-24T00:00:00"/>
    <x v="3"/>
    <s v="Ship to 87-C"/>
    <x v="11"/>
    <s v="Supplier QWUSF"/>
    <s v="Japan"/>
    <x v="1"/>
    <n v="108"/>
  </r>
  <r>
    <n v="11026"/>
    <n v="18"/>
    <n v="62.5"/>
    <n v="8"/>
    <n v="0"/>
    <s v="Schmöllerl, Martin"/>
    <s v="Schmöllerl Martin"/>
    <x v="1"/>
    <s v="WA"/>
    <s v="Product CKEDC"/>
    <x v="3"/>
    <x v="463"/>
    <d v="2008-04-28T00:00:00"/>
    <x v="2"/>
    <s v="Destination DICGM"/>
    <x v="12"/>
    <s v="Supplier GQRCV"/>
    <s v="Australia"/>
    <x v="1"/>
    <n v="500"/>
  </r>
  <r>
    <n v="11026"/>
    <n v="51"/>
    <n v="53"/>
    <n v="10"/>
    <n v="0"/>
    <s v="Schmöllerl, Martin"/>
    <s v="Schmöllerl Martin"/>
    <x v="1"/>
    <s v="WA"/>
    <s v="Product APITJ"/>
    <x v="2"/>
    <x v="463"/>
    <d v="2008-04-28T00:00:00"/>
    <x v="2"/>
    <s v="Destination DICGM"/>
    <x v="12"/>
    <s v="Supplier JNNES"/>
    <s v="Australia"/>
    <x v="1"/>
    <n v="530"/>
  </r>
  <r>
    <n v="11027"/>
    <n v="24"/>
    <n v="4.5"/>
    <n v="30"/>
    <n v="0.25"/>
    <s v="Bassols, Pilar Colome"/>
    <s v="Bassols Pilar Colome"/>
    <x v="5"/>
    <s v="WA"/>
    <s v="Product QOGNU"/>
    <x v="6"/>
    <x v="464"/>
    <d v="2008-04-20T00:00:00"/>
    <x v="2"/>
    <s v="Destination XJIBQ"/>
    <x v="17"/>
    <s v="Supplier UNAHG"/>
    <s v="Brazil"/>
    <x v="1"/>
    <n v="101.25"/>
  </r>
  <r>
    <n v="11027"/>
    <n v="62"/>
    <n v="49.3"/>
    <n v="21"/>
    <n v="0.25"/>
    <s v="Bassols, Pilar Colome"/>
    <s v="Bassols Pilar Colome"/>
    <x v="5"/>
    <s v="WA"/>
    <s v="Product WUXYK"/>
    <x v="5"/>
    <x v="464"/>
    <d v="2008-04-20T00:00:00"/>
    <x v="2"/>
    <s v="Destination XJIBQ"/>
    <x v="17"/>
    <s v="Supplier OGLRK"/>
    <s v="Canada"/>
    <x v="1"/>
    <n v="776.47499999999991"/>
  </r>
  <r>
    <n v="11028"/>
    <n v="55"/>
    <n v="24"/>
    <n v="35"/>
    <n v="0"/>
    <s v="Song, Lolan"/>
    <s v="Song Lolan"/>
    <x v="8"/>
    <s v="WA"/>
    <s v="Product YYWRT"/>
    <x v="7"/>
    <x v="464"/>
    <d v="2008-04-22T00:00:00"/>
    <x v="2"/>
    <s v="Destination DKMQA"/>
    <x v="8"/>
    <s v="Supplier ERVYZ"/>
    <s v="Canada"/>
    <x v="1"/>
    <n v="840"/>
  </r>
  <r>
    <n v="11028"/>
    <n v="59"/>
    <n v="55"/>
    <n v="24"/>
    <n v="0"/>
    <s v="Song, Lolan"/>
    <s v="Song Lolan"/>
    <x v="8"/>
    <s v="WA"/>
    <s v="Product UKXRI"/>
    <x v="0"/>
    <x v="464"/>
    <d v="2008-04-22T00:00:00"/>
    <x v="2"/>
    <s v="Destination DKMQA"/>
    <x v="8"/>
    <s v="Supplier OAVQT"/>
    <s v="France"/>
    <x v="1"/>
    <n v="1320"/>
  </r>
  <r>
    <n v="11029"/>
    <n v="56"/>
    <n v="38"/>
    <n v="20"/>
    <n v="0"/>
    <s v="Jelitto, Jacek"/>
    <s v="Jelitto Jacek"/>
    <x v="1"/>
    <s v="WA"/>
    <s v="Product VKCMF"/>
    <x v="1"/>
    <x v="464"/>
    <d v="2008-04-27T00:00:00"/>
    <x v="2"/>
    <s v="Destination YUJRD"/>
    <x v="4"/>
    <s v="Supplier ZWZDM"/>
    <s v="Italy"/>
    <x v="1"/>
    <n v="760"/>
  </r>
  <r>
    <n v="11029"/>
    <n v="63"/>
    <n v="43.9"/>
    <n v="12"/>
    <n v="0"/>
    <s v="Jelitto, Jacek"/>
    <s v="Jelitto Jacek"/>
    <x v="1"/>
    <s v="WA"/>
    <s v="Product ICKNK"/>
    <x v="4"/>
    <x v="464"/>
    <d v="2008-04-27T00:00:00"/>
    <x v="2"/>
    <s v="Destination YUJRD"/>
    <x v="4"/>
    <s v="Supplier GQRCV"/>
    <s v="Australia"/>
    <x v="1"/>
    <n v="526.79999999999995"/>
  </r>
  <r>
    <n v="11030"/>
    <n v="2"/>
    <n v="19"/>
    <n v="100"/>
    <n v="0.25"/>
    <s v="Navarro, Tomás"/>
    <s v="Navarro Tomás"/>
    <x v="9"/>
    <n v="0"/>
    <s v="Product RECZE"/>
    <x v="6"/>
    <x v="465"/>
    <d v="2008-04-27T00:00:00"/>
    <x v="1"/>
    <s v="Ship to 71-C"/>
    <x v="9"/>
    <s v="Supplier SWRXU"/>
    <s v="UK"/>
    <x v="2"/>
    <n v="1425"/>
  </r>
  <r>
    <n v="11030"/>
    <n v="5"/>
    <n v="21.35"/>
    <n v="70"/>
    <n v="0"/>
    <s v="Navarro, Tomás"/>
    <s v="Navarro Tomás"/>
    <x v="9"/>
    <n v="0"/>
    <s v="Product EPEIM"/>
    <x v="4"/>
    <x v="465"/>
    <d v="2008-04-27T00:00:00"/>
    <x v="1"/>
    <s v="Ship to 71-C"/>
    <x v="9"/>
    <s v="Supplier VHQZD"/>
    <s v="USA"/>
    <x v="2"/>
    <n v="1494.5"/>
  </r>
  <r>
    <n v="11030"/>
    <n v="29"/>
    <n v="123.79"/>
    <n v="60"/>
    <n v="0.25"/>
    <s v="Navarro, Tomás"/>
    <s v="Navarro Tomás"/>
    <x v="9"/>
    <n v="0"/>
    <s v="Product VJXYN"/>
    <x v="7"/>
    <x v="465"/>
    <d v="2008-04-27T00:00:00"/>
    <x v="1"/>
    <s v="Ship to 71-C"/>
    <x v="9"/>
    <s v="Supplier SVIYA"/>
    <s v="Germany"/>
    <x v="2"/>
    <n v="5570.55"/>
  </r>
  <r>
    <n v="11030"/>
    <n v="59"/>
    <n v="55"/>
    <n v="100"/>
    <n v="0.25"/>
    <s v="Navarro, Tomás"/>
    <s v="Navarro Tomás"/>
    <x v="9"/>
    <n v="0"/>
    <s v="Product UKXRI"/>
    <x v="0"/>
    <x v="465"/>
    <d v="2008-04-27T00:00:00"/>
    <x v="1"/>
    <s v="Ship to 71-C"/>
    <x v="9"/>
    <s v="Supplier OAVQT"/>
    <s v="France"/>
    <x v="2"/>
    <n v="4125"/>
  </r>
  <r>
    <n v="11031"/>
    <n v="1"/>
    <n v="18"/>
    <n v="45"/>
    <n v="0"/>
    <s v="Navarro, Tomás"/>
    <s v="Navarro Tomás"/>
    <x v="7"/>
    <n v="0"/>
    <s v="Product HHYDP"/>
    <x v="6"/>
    <x v="465"/>
    <d v="2008-04-24T00:00:00"/>
    <x v="1"/>
    <s v="Ship to 71-C"/>
    <x v="9"/>
    <s v="Supplier SWRXU"/>
    <s v="UK"/>
    <x v="2"/>
    <n v="810"/>
  </r>
  <r>
    <n v="11031"/>
    <n v="13"/>
    <n v="6"/>
    <n v="80"/>
    <n v="0"/>
    <s v="Navarro, Tomás"/>
    <s v="Navarro Tomás"/>
    <x v="7"/>
    <n v="0"/>
    <s v="Product POXFU"/>
    <x v="3"/>
    <x v="465"/>
    <d v="2008-04-24T00:00:00"/>
    <x v="1"/>
    <s v="Ship to 71-C"/>
    <x v="9"/>
    <s v="Supplier QWUSF"/>
    <s v="Japan"/>
    <x v="2"/>
    <n v="480"/>
  </r>
  <r>
    <n v="11031"/>
    <n v="24"/>
    <n v="4.5"/>
    <n v="21"/>
    <n v="0"/>
    <s v="Navarro, Tomás"/>
    <s v="Navarro Tomás"/>
    <x v="7"/>
    <n v="0"/>
    <s v="Product QOGNU"/>
    <x v="6"/>
    <x v="465"/>
    <d v="2008-04-24T00:00:00"/>
    <x v="1"/>
    <s v="Ship to 71-C"/>
    <x v="9"/>
    <s v="Supplier UNAHG"/>
    <s v="Brazil"/>
    <x v="2"/>
    <n v="94.5"/>
  </r>
  <r>
    <n v="11031"/>
    <n v="64"/>
    <n v="33.25"/>
    <n v="20"/>
    <n v="0"/>
    <s v="Navarro, Tomás"/>
    <s v="Navarro Tomás"/>
    <x v="7"/>
    <n v="0"/>
    <s v="Product HCQDE"/>
    <x v="1"/>
    <x v="465"/>
    <d v="2008-04-24T00:00:00"/>
    <x v="1"/>
    <s v="Ship to 71-C"/>
    <x v="9"/>
    <s v="Supplier SVIYA"/>
    <s v="Germany"/>
    <x v="2"/>
    <n v="665"/>
  </r>
  <r>
    <n v="11031"/>
    <n v="71"/>
    <n v="21.5"/>
    <n v="16"/>
    <n v="0"/>
    <s v="Navarro, Tomás"/>
    <s v="Navarro Tomás"/>
    <x v="7"/>
    <n v="0"/>
    <s v="Product MYMOI"/>
    <x v="0"/>
    <x v="465"/>
    <d v="2008-04-24T00:00:00"/>
    <x v="1"/>
    <s v="Ship to 71-C"/>
    <x v="9"/>
    <s v="Supplier NZLIF"/>
    <s v="Norway"/>
    <x v="2"/>
    <n v="344"/>
  </r>
  <r>
    <n v="11032"/>
    <n v="36"/>
    <n v="19"/>
    <n v="35"/>
    <n v="0"/>
    <s v="Smith Jr., Ronaldo"/>
    <s v="Smith Jr. Ronaldo"/>
    <x v="8"/>
    <s v="WA"/>
    <s v="Product GMKIJ"/>
    <x v="3"/>
    <x v="465"/>
    <d v="2008-04-23T00:00:00"/>
    <x v="3"/>
    <s v="Ship to 89-B"/>
    <x v="9"/>
    <s v="Supplier QZGUF"/>
    <s v="Sweden"/>
    <x v="2"/>
    <n v="665"/>
  </r>
  <r>
    <n v="11032"/>
    <n v="38"/>
    <n v="263.5"/>
    <n v="25"/>
    <n v="0"/>
    <s v="Smith Jr., Ronaldo"/>
    <s v="Smith Jr. Ronaldo"/>
    <x v="8"/>
    <s v="WA"/>
    <s v="Product QDOMO"/>
    <x v="6"/>
    <x v="465"/>
    <d v="2008-04-23T00:00:00"/>
    <x v="3"/>
    <s v="Ship to 89-B"/>
    <x v="9"/>
    <s v="Supplier LVJUA"/>
    <s v="France"/>
    <x v="2"/>
    <n v="6587.5"/>
  </r>
  <r>
    <n v="11032"/>
    <n v="59"/>
    <n v="55"/>
    <n v="30"/>
    <n v="0"/>
    <s v="Smith Jr., Ronaldo"/>
    <s v="Smith Jr. Ronaldo"/>
    <x v="8"/>
    <s v="WA"/>
    <s v="Product UKXRI"/>
    <x v="0"/>
    <x v="465"/>
    <d v="2008-04-23T00:00:00"/>
    <x v="3"/>
    <s v="Ship to 89-B"/>
    <x v="9"/>
    <s v="Supplier OAVQT"/>
    <s v="France"/>
    <x v="2"/>
    <n v="1650"/>
  </r>
  <r>
    <n v="11033"/>
    <n v="53"/>
    <n v="32.799999999999997"/>
    <n v="70"/>
    <n v="0.1"/>
    <s v="Myrcha, Jacek"/>
    <s v="Myrcha Jacek"/>
    <x v="9"/>
    <n v="0"/>
    <s v="Product BKGEA"/>
    <x v="7"/>
    <x v="465"/>
    <d v="2008-04-23T00:00:00"/>
    <x v="3"/>
    <s v="Ship to 68-A"/>
    <x v="4"/>
    <s v="Supplier JNNES"/>
    <s v="Australia"/>
    <x v="1"/>
    <n v="2066.4"/>
  </r>
  <r>
    <n v="11033"/>
    <n v="69"/>
    <n v="36"/>
    <n v="36"/>
    <n v="0.1"/>
    <s v="Myrcha, Jacek"/>
    <s v="Myrcha Jacek"/>
    <x v="9"/>
    <n v="0"/>
    <s v="Product COAXA"/>
    <x v="0"/>
    <x v="465"/>
    <d v="2008-04-23T00:00:00"/>
    <x v="3"/>
    <s v="Ship to 68-A"/>
    <x v="4"/>
    <s v="Supplier NZLIF"/>
    <s v="Norway"/>
    <x v="1"/>
    <n v="1166.4000000000001"/>
  </r>
  <r>
    <n v="11034"/>
    <n v="21"/>
    <n v="10"/>
    <n v="15"/>
    <n v="0.1"/>
    <s v="Egelund-Muller, Anja"/>
    <s v="Egelund-Muller Anja"/>
    <x v="6"/>
    <s v="WA"/>
    <s v="Product VJZZH"/>
    <x v="5"/>
    <x v="466"/>
    <d v="2008-04-27T00:00:00"/>
    <x v="2"/>
    <s v="Ship to 55-B"/>
    <x v="9"/>
    <s v="Supplier BWGYE"/>
    <s v="UK"/>
    <x v="1"/>
    <n v="135"/>
  </r>
  <r>
    <n v="11034"/>
    <n v="44"/>
    <n v="19.45"/>
    <n v="12"/>
    <n v="0"/>
    <s v="Egelund-Muller, Anja"/>
    <s v="Egelund-Muller Anja"/>
    <x v="6"/>
    <s v="WA"/>
    <s v="Product VJIEO"/>
    <x v="4"/>
    <x v="466"/>
    <d v="2008-04-27T00:00:00"/>
    <x v="2"/>
    <s v="Ship to 55-B"/>
    <x v="9"/>
    <s v="Supplier CIYNM"/>
    <s v="Singapore"/>
    <x v="1"/>
    <n v="233.39999999999998"/>
  </r>
  <r>
    <n v="11034"/>
    <n v="61"/>
    <n v="28.5"/>
    <n v="6"/>
    <n v="0"/>
    <s v="Egelund-Muller, Anja"/>
    <s v="Egelund-Muller Anja"/>
    <x v="6"/>
    <s v="WA"/>
    <s v="Product XYZPE"/>
    <x v="4"/>
    <x v="466"/>
    <d v="2008-04-27T00:00:00"/>
    <x v="2"/>
    <s v="Ship to 55-B"/>
    <x v="9"/>
    <s v="Supplier OGLRK"/>
    <s v="Canada"/>
    <x v="1"/>
    <n v="171"/>
  </r>
  <r>
    <n v="11035"/>
    <n v="1"/>
    <n v="18"/>
    <n v="10"/>
    <n v="0"/>
    <s v="Gulbis, Katrin"/>
    <s v="Gulbis Katrin"/>
    <x v="8"/>
    <s v="WA"/>
    <s v="Product HHYDP"/>
    <x v="6"/>
    <x v="466"/>
    <d v="2008-04-24T00:00:00"/>
    <x v="1"/>
    <s v="Ship to 76-B"/>
    <x v="3"/>
    <s v="Supplier SWRXU"/>
    <s v="UK"/>
    <x v="1"/>
    <n v="180"/>
  </r>
  <r>
    <n v="11035"/>
    <n v="35"/>
    <n v="18"/>
    <n v="60"/>
    <n v="0"/>
    <s v="Gulbis, Katrin"/>
    <s v="Gulbis Katrin"/>
    <x v="8"/>
    <s v="WA"/>
    <s v="Product NEVTJ"/>
    <x v="6"/>
    <x v="466"/>
    <d v="2008-04-24T00:00:00"/>
    <x v="1"/>
    <s v="Ship to 76-B"/>
    <x v="3"/>
    <s v="Supplier UHZRG"/>
    <s v="USA"/>
    <x v="1"/>
    <n v="1080"/>
  </r>
  <r>
    <n v="11035"/>
    <n v="42"/>
    <n v="14"/>
    <n v="30"/>
    <n v="0"/>
    <s v="Gulbis, Katrin"/>
    <s v="Gulbis Katrin"/>
    <x v="8"/>
    <s v="WA"/>
    <s v="Product RJVNM"/>
    <x v="1"/>
    <x v="466"/>
    <d v="2008-04-24T00:00:00"/>
    <x v="1"/>
    <s v="Ship to 76-B"/>
    <x v="3"/>
    <s v="Supplier CIYNM"/>
    <s v="Singapore"/>
    <x v="1"/>
    <n v="420"/>
  </r>
  <r>
    <n v="11035"/>
    <n v="54"/>
    <n v="7.45"/>
    <n v="10"/>
    <n v="0"/>
    <s v="Gulbis, Katrin"/>
    <s v="Gulbis Katrin"/>
    <x v="8"/>
    <s v="WA"/>
    <s v="Product QAQRL"/>
    <x v="7"/>
    <x v="466"/>
    <d v="2008-04-24T00:00:00"/>
    <x v="1"/>
    <s v="Ship to 76-B"/>
    <x v="3"/>
    <s v="Supplier ERVYZ"/>
    <s v="Canada"/>
    <x v="1"/>
    <n v="74.5"/>
  </r>
  <r>
    <n v="11036"/>
    <n v="13"/>
    <n v="6"/>
    <n v="7"/>
    <n v="0"/>
    <s v="Jones, TiAnna"/>
    <s v="Jones TiAnna"/>
    <x v="6"/>
    <s v="WA"/>
    <s v="Product POXFU"/>
    <x v="3"/>
    <x v="466"/>
    <d v="2008-04-22T00:00:00"/>
    <x v="3"/>
    <s v="Destination YPUYI"/>
    <x v="8"/>
    <s v="Supplier QWUSF"/>
    <s v="Japan"/>
    <x v="2"/>
    <n v="42"/>
  </r>
  <r>
    <n v="11036"/>
    <n v="59"/>
    <n v="55"/>
    <n v="30"/>
    <n v="0"/>
    <s v="Jones, TiAnna"/>
    <s v="Jones TiAnna"/>
    <x v="6"/>
    <s v="WA"/>
    <s v="Product UKXRI"/>
    <x v="0"/>
    <x v="466"/>
    <d v="2008-04-22T00:00:00"/>
    <x v="3"/>
    <s v="Destination YPUYI"/>
    <x v="8"/>
    <s v="Supplier OAVQT"/>
    <s v="France"/>
    <x v="2"/>
    <n v="1650"/>
  </r>
  <r>
    <n v="11037"/>
    <n v="70"/>
    <n v="15"/>
    <n v="4"/>
    <n v="0"/>
    <s v="Shabalin, Rostislav"/>
    <s v="Shabalin Rostislav"/>
    <x v="9"/>
    <n v="0"/>
    <s v="Product TOONT"/>
    <x v="6"/>
    <x v="467"/>
    <d v="2008-04-27T00:00:00"/>
    <x v="2"/>
    <s v="Destination GGQIR"/>
    <x v="13"/>
    <s v="Supplier GQRCV"/>
    <s v="Australia"/>
    <x v="1"/>
    <n v="60"/>
  </r>
  <r>
    <n v="11038"/>
    <n v="40"/>
    <n v="18.399999999999999"/>
    <n v="5"/>
    <n v="0.2"/>
    <s v="Gulbis, Katrin"/>
    <s v="Gulbis Katrin"/>
    <x v="5"/>
    <s v="WA"/>
    <s v="Product YZIXQ"/>
    <x v="3"/>
    <x v="467"/>
    <d v="2008-04-30T00:00:00"/>
    <x v="1"/>
    <s v="Ship to 76-A"/>
    <x v="3"/>
    <s v="Supplier JDNUG"/>
    <s v="USA"/>
    <x v="1"/>
    <n v="73.600000000000009"/>
  </r>
  <r>
    <n v="11038"/>
    <n v="52"/>
    <n v="7"/>
    <n v="2"/>
    <n v="0"/>
    <s v="Gulbis, Katrin"/>
    <s v="Gulbis Katrin"/>
    <x v="5"/>
    <s v="WA"/>
    <s v="Product QSRXF"/>
    <x v="1"/>
    <x v="467"/>
    <d v="2008-04-30T00:00:00"/>
    <x v="1"/>
    <s v="Ship to 76-A"/>
    <x v="3"/>
    <s v="Supplier JNNES"/>
    <s v="Australia"/>
    <x v="1"/>
    <n v="14"/>
  </r>
  <r>
    <n v="11038"/>
    <n v="71"/>
    <n v="21.5"/>
    <n v="30"/>
    <n v="0"/>
    <s v="Gulbis, Katrin"/>
    <s v="Gulbis Katrin"/>
    <x v="5"/>
    <s v="WA"/>
    <s v="Product MYMOI"/>
    <x v="0"/>
    <x v="467"/>
    <d v="2008-04-30T00:00:00"/>
    <x v="1"/>
    <s v="Ship to 76-A"/>
    <x v="3"/>
    <s v="Supplier NZLIF"/>
    <s v="Norway"/>
    <x v="1"/>
    <n v="645"/>
  </r>
  <r>
    <n v="11039"/>
    <n v="28"/>
    <n v="45.6"/>
    <n v="20"/>
    <n v="0"/>
    <s v="Lupu, Cornel"/>
    <s v="Lupu Cornel"/>
    <x v="5"/>
    <s v="WA"/>
    <s v="Product OFBNT"/>
    <x v="2"/>
    <x v="467"/>
    <d v="1899-12-30T00:00:00"/>
    <x v="1"/>
    <s v="Ship to 47-C"/>
    <x v="5"/>
    <s v="Supplier SVIYA"/>
    <s v="Germany"/>
    <x v="1"/>
    <n v="912"/>
  </r>
  <r>
    <n v="11039"/>
    <n v="35"/>
    <n v="18"/>
    <n v="24"/>
    <n v="0"/>
    <s v="Lupu, Cornel"/>
    <s v="Lupu Cornel"/>
    <x v="5"/>
    <s v="WA"/>
    <s v="Product NEVTJ"/>
    <x v="6"/>
    <x v="467"/>
    <d v="1899-12-30T00:00:00"/>
    <x v="1"/>
    <s v="Ship to 47-C"/>
    <x v="5"/>
    <s v="Supplier UHZRG"/>
    <s v="USA"/>
    <x v="1"/>
    <n v="432"/>
  </r>
  <r>
    <n v="11039"/>
    <n v="49"/>
    <n v="20"/>
    <n v="60"/>
    <n v="0"/>
    <s v="Lupu, Cornel"/>
    <s v="Lupu Cornel"/>
    <x v="5"/>
    <s v="WA"/>
    <s v="Product FPYPN"/>
    <x v="5"/>
    <x v="467"/>
    <d v="1899-12-30T00:00:00"/>
    <x v="1"/>
    <s v="Ship to 47-C"/>
    <x v="5"/>
    <s v="Supplier ELCRN"/>
    <s v="Finland"/>
    <x v="1"/>
    <n v="1200"/>
  </r>
  <r>
    <n v="11039"/>
    <n v="57"/>
    <n v="19.5"/>
    <n v="28"/>
    <n v="0"/>
    <s v="Lupu, Cornel"/>
    <s v="Lupu Cornel"/>
    <x v="5"/>
    <s v="WA"/>
    <s v="Product OVLQI"/>
    <x v="1"/>
    <x v="467"/>
    <d v="1899-12-30T00:00:00"/>
    <x v="1"/>
    <s v="Ship to 47-C"/>
    <x v="5"/>
    <s v="Supplier ZWZDM"/>
    <s v="Italy"/>
    <x v="1"/>
    <n v="546"/>
  </r>
  <r>
    <n v="11040"/>
    <n v="21"/>
    <n v="10"/>
    <n v="20"/>
    <n v="0"/>
    <s v="Krishnan, Venky"/>
    <s v="Krishnan Venky"/>
    <x v="1"/>
    <s v="WA"/>
    <s v="Product VJZZH"/>
    <x v="5"/>
    <x v="468"/>
    <d v="1899-12-30T00:00:00"/>
    <x v="3"/>
    <s v="Destination VYOBK"/>
    <x v="9"/>
    <s v="Supplier BWGYE"/>
    <s v="UK"/>
    <x v="1"/>
    <n v="200"/>
  </r>
  <r>
    <n v="11041"/>
    <n v="2"/>
    <n v="19"/>
    <n v="30"/>
    <n v="0.2"/>
    <s v="Jelitto, Jacek"/>
    <s v="Jelitto Jacek"/>
    <x v="2"/>
    <s v="WA"/>
    <s v="Product RECZE"/>
    <x v="6"/>
    <x v="468"/>
    <d v="2008-04-28T00:00:00"/>
    <x v="1"/>
    <s v="Destination YUJRD"/>
    <x v="4"/>
    <s v="Supplier SWRXU"/>
    <s v="UK"/>
    <x v="1"/>
    <n v="456"/>
  </r>
  <r>
    <n v="11041"/>
    <n v="63"/>
    <n v="43.9"/>
    <n v="30"/>
    <n v="0"/>
    <s v="Jelitto, Jacek"/>
    <s v="Jelitto Jacek"/>
    <x v="2"/>
    <s v="WA"/>
    <s v="Product ICKNK"/>
    <x v="4"/>
    <x v="468"/>
    <d v="2008-04-28T00:00:00"/>
    <x v="1"/>
    <s v="Destination YUJRD"/>
    <x v="4"/>
    <s v="Supplier GQRCV"/>
    <s v="Australia"/>
    <x v="1"/>
    <n v="1317"/>
  </r>
  <r>
    <n v="11042"/>
    <n v="44"/>
    <n v="19.45"/>
    <n v="15"/>
    <n v="0"/>
    <s v="Richardson, Shawn"/>
    <s v="Richardson Shawn"/>
    <x v="8"/>
    <s v="WA"/>
    <s v="Product VJIEO"/>
    <x v="4"/>
    <x v="468"/>
    <d v="2008-05-01T00:00:00"/>
    <x v="2"/>
    <s v="Destination EVHYA"/>
    <x v="1"/>
    <s v="Supplier CIYNM"/>
    <s v="Singapore"/>
    <x v="1"/>
    <n v="291.75"/>
  </r>
  <r>
    <n v="11042"/>
    <n v="61"/>
    <n v="28.5"/>
    <n v="4"/>
    <n v="0"/>
    <s v="Richardson, Shawn"/>
    <s v="Richardson Shawn"/>
    <x v="8"/>
    <s v="WA"/>
    <s v="Product XYZPE"/>
    <x v="4"/>
    <x v="468"/>
    <d v="2008-05-01T00:00:00"/>
    <x v="2"/>
    <s v="Destination EVHYA"/>
    <x v="1"/>
    <s v="Supplier OGLRK"/>
    <s v="Canada"/>
    <x v="1"/>
    <n v="114"/>
  </r>
  <r>
    <n v="11043"/>
    <n v="11"/>
    <n v="21"/>
    <n v="10"/>
    <n v="0"/>
    <s v="O’Brien, Dave"/>
    <s v="O’Brien Dave"/>
    <x v="3"/>
    <n v="0"/>
    <s v="Product QMVUN"/>
    <x v="0"/>
    <x v="468"/>
    <d v="2008-04-29T00:00:00"/>
    <x v="1"/>
    <s v="Ship to 74-B"/>
    <x v="2"/>
    <s v="Supplier EQPNC"/>
    <s v="Spain"/>
    <x v="1"/>
    <n v="210"/>
  </r>
  <r>
    <n v="11044"/>
    <n v="62"/>
    <n v="49.3"/>
    <n v="12"/>
    <n v="0"/>
    <s v="Conn, Steve"/>
    <s v="Conn Steve"/>
    <x v="1"/>
    <s v="WA"/>
    <s v="Product WUXYK"/>
    <x v="5"/>
    <x v="469"/>
    <d v="2008-05-01T00:00:00"/>
    <x v="2"/>
    <s v="Ship to 91-B"/>
    <x v="19"/>
    <s v="Supplier OGLRK"/>
    <s v="Canada"/>
    <x v="1"/>
    <n v="591.59999999999991"/>
  </r>
  <r>
    <n v="11045"/>
    <n v="33"/>
    <n v="2.5"/>
    <n v="15"/>
    <n v="0"/>
    <s v="Bassols, Pilar Colome"/>
    <s v="Bassols Pilar Colome"/>
    <x v="7"/>
    <n v="0"/>
    <s v="Product ASTMN"/>
    <x v="0"/>
    <x v="469"/>
    <d v="1899-12-30T00:00:00"/>
    <x v="1"/>
    <s v="Destination LPHSI"/>
    <x v="17"/>
    <s v="Supplier NZLIF"/>
    <s v="Norway"/>
    <x v="1"/>
    <n v="37.5"/>
  </r>
  <r>
    <n v="11045"/>
    <n v="51"/>
    <n v="53"/>
    <n v="24"/>
    <n v="0"/>
    <s v="Bassols, Pilar Colome"/>
    <s v="Bassols Pilar Colome"/>
    <x v="7"/>
    <n v="0"/>
    <s v="Product APITJ"/>
    <x v="2"/>
    <x v="469"/>
    <d v="1899-12-30T00:00:00"/>
    <x v="1"/>
    <s v="Destination LPHSI"/>
    <x v="17"/>
    <s v="Supplier JNNES"/>
    <s v="Australia"/>
    <x v="1"/>
    <n v="1272"/>
  </r>
  <r>
    <n v="11046"/>
    <n v="12"/>
    <n v="38"/>
    <n v="20"/>
    <n v="0.05"/>
    <s v="Syamala, Manoj"/>
    <s v="Syamala Manoj"/>
    <x v="6"/>
    <s v="WA"/>
    <s v="Product OSFNS"/>
    <x v="0"/>
    <x v="469"/>
    <d v="2008-04-24T00:00:00"/>
    <x v="1"/>
    <s v="Ship to 86-C"/>
    <x v="8"/>
    <s v="Supplier EQPNC"/>
    <s v="Spain"/>
    <x v="1"/>
    <n v="722"/>
  </r>
  <r>
    <n v="11046"/>
    <n v="32"/>
    <n v="32"/>
    <n v="15"/>
    <n v="0.05"/>
    <s v="Syamala, Manoj"/>
    <s v="Syamala Manoj"/>
    <x v="6"/>
    <s v="WA"/>
    <s v="Product NUNAW"/>
    <x v="0"/>
    <x v="469"/>
    <d v="2008-04-24T00:00:00"/>
    <x v="1"/>
    <s v="Ship to 86-C"/>
    <x v="8"/>
    <s v="Supplier KEREV"/>
    <s v="Italy"/>
    <x v="1"/>
    <n v="456"/>
  </r>
  <r>
    <n v="11046"/>
    <n v="35"/>
    <n v="18"/>
    <n v="18"/>
    <n v="0.05"/>
    <s v="Syamala, Manoj"/>
    <s v="Syamala Manoj"/>
    <x v="6"/>
    <s v="WA"/>
    <s v="Product NEVTJ"/>
    <x v="6"/>
    <x v="469"/>
    <d v="2008-04-24T00:00:00"/>
    <x v="1"/>
    <s v="Ship to 86-C"/>
    <x v="8"/>
    <s v="Supplier UHZRG"/>
    <s v="USA"/>
    <x v="1"/>
    <n v="307.8"/>
  </r>
  <r>
    <n v="11047"/>
    <n v="1"/>
    <n v="18"/>
    <n v="25"/>
    <n v="0.25"/>
    <s v="Boseman, Randall"/>
    <s v="Boseman Randall"/>
    <x v="9"/>
    <n v="0"/>
    <s v="Product HHYDP"/>
    <x v="6"/>
    <x v="470"/>
    <d v="2008-05-01T00:00:00"/>
    <x v="3"/>
    <s v="Destination FRCGJ"/>
    <x v="14"/>
    <s v="Supplier SWRXU"/>
    <s v="UK"/>
    <x v="1"/>
    <n v="337.5"/>
  </r>
  <r>
    <n v="11047"/>
    <n v="5"/>
    <n v="21.35"/>
    <n v="30"/>
    <n v="0.25"/>
    <s v="Boseman, Randall"/>
    <s v="Boseman Randall"/>
    <x v="9"/>
    <n v="0"/>
    <s v="Product EPEIM"/>
    <x v="4"/>
    <x v="470"/>
    <d v="2008-05-01T00:00:00"/>
    <x v="3"/>
    <s v="Destination FRCGJ"/>
    <x v="14"/>
    <s v="Supplier VHQZD"/>
    <s v="USA"/>
    <x v="1"/>
    <n v="480.375"/>
  </r>
  <r>
    <n v="11048"/>
    <n v="68"/>
    <n v="12.5"/>
    <n v="42"/>
    <n v="0"/>
    <s v="Bassols, Pilar Colome"/>
    <s v="Bassols Pilar Colome"/>
    <x v="9"/>
    <n v="0"/>
    <s v="Product TBTBL"/>
    <x v="5"/>
    <x v="470"/>
    <d v="2008-04-30T00:00:00"/>
    <x v="3"/>
    <s v="Destination XJIBQ"/>
    <x v="17"/>
    <s v="Supplier BWGYE"/>
    <s v="UK"/>
    <x v="1"/>
    <n v="525"/>
  </r>
  <r>
    <n v="11049"/>
    <n v="2"/>
    <n v="19"/>
    <n v="10"/>
    <n v="0.2"/>
    <s v="Cheng, Yao-Qiang"/>
    <s v="Cheng Yao-Qiang"/>
    <x v="2"/>
    <s v="WA"/>
    <s v="Product RECZE"/>
    <x v="6"/>
    <x v="470"/>
    <d v="2008-05-04T00:00:00"/>
    <x v="2"/>
    <s v="Destination XOIGC"/>
    <x v="1"/>
    <s v="Supplier SWRXU"/>
    <s v="UK"/>
    <x v="1"/>
    <n v="152"/>
  </r>
  <r>
    <n v="11049"/>
    <n v="12"/>
    <n v="38"/>
    <n v="4"/>
    <n v="0.2"/>
    <s v="Cheng, Yao-Qiang"/>
    <s v="Cheng Yao-Qiang"/>
    <x v="2"/>
    <s v="WA"/>
    <s v="Product OSFNS"/>
    <x v="0"/>
    <x v="470"/>
    <d v="2008-05-04T00:00:00"/>
    <x v="2"/>
    <s v="Destination XOIGC"/>
    <x v="1"/>
    <s v="Supplier EQPNC"/>
    <s v="Spain"/>
    <x v="1"/>
    <n v="121.60000000000001"/>
  </r>
  <r>
    <n v="11050"/>
    <n v="76"/>
    <n v="18"/>
    <n v="50"/>
    <n v="0.1"/>
    <s v="San Juan, Patricia"/>
    <s v="San Juan Patricia"/>
    <x v="6"/>
    <s v="WA"/>
    <s v="Product JYGFE"/>
    <x v="6"/>
    <x v="471"/>
    <d v="2008-05-05T00:00:00"/>
    <x v="1"/>
    <s v="Destination YCMPK"/>
    <x v="10"/>
    <s v="Supplier ELCRN"/>
    <s v="Finland"/>
    <x v="1"/>
    <n v="810"/>
  </r>
  <r>
    <n v="11051"/>
    <n v="24"/>
    <n v="4.5"/>
    <n v="10"/>
    <n v="0.2"/>
    <s v="Litton, Tim"/>
    <s v="Litton Tim"/>
    <x v="9"/>
    <n v="0"/>
    <s v="Product QOGNU"/>
    <x v="6"/>
    <x v="471"/>
    <d v="1899-12-30T00:00:00"/>
    <x v="3"/>
    <s v="Destination OLJND"/>
    <x v="2"/>
    <s v="Supplier UNAHG"/>
    <s v="Brazil"/>
    <x v="1"/>
    <n v="36"/>
  </r>
  <r>
    <n v="11052"/>
    <n v="43"/>
    <n v="46"/>
    <n v="30"/>
    <n v="0.2"/>
    <s v="Cohen, Shy"/>
    <s v="Cohen Shy"/>
    <x v="2"/>
    <s v="WA"/>
    <s v="Product ZZZHR"/>
    <x v="6"/>
    <x v="471"/>
    <d v="2008-05-01T00:00:00"/>
    <x v="2"/>
    <s v="Destination DPCVR"/>
    <x v="1"/>
    <s v="Supplier CIYNM"/>
    <s v="Singapore"/>
    <x v="1"/>
    <n v="1104"/>
  </r>
  <r>
    <n v="11052"/>
    <n v="61"/>
    <n v="28.5"/>
    <n v="10"/>
    <n v="0.2"/>
    <s v="Cohen, Shy"/>
    <s v="Cohen Shy"/>
    <x v="2"/>
    <s v="WA"/>
    <s v="Product XYZPE"/>
    <x v="4"/>
    <x v="471"/>
    <d v="2008-05-01T00:00:00"/>
    <x v="2"/>
    <s v="Destination DPCVR"/>
    <x v="1"/>
    <s v="Supplier OGLRK"/>
    <s v="Canada"/>
    <x v="1"/>
    <n v="228"/>
  </r>
  <r>
    <n v="11053"/>
    <n v="18"/>
    <n v="62.5"/>
    <n v="35"/>
    <n v="0.2"/>
    <s v="Meston, Tosh"/>
    <s v="Meston Tosh"/>
    <x v="8"/>
    <s v="WA"/>
    <s v="Product CKEDC"/>
    <x v="3"/>
    <x v="471"/>
    <d v="2008-04-29T00:00:00"/>
    <x v="1"/>
    <s v="Ship to 59-A"/>
    <x v="6"/>
    <s v="Supplier GQRCV"/>
    <s v="Australia"/>
    <x v="1"/>
    <n v="1750"/>
  </r>
  <r>
    <n v="11053"/>
    <n v="32"/>
    <n v="32"/>
    <n v="20"/>
    <n v="0"/>
    <s v="Meston, Tosh"/>
    <s v="Meston Tosh"/>
    <x v="8"/>
    <s v="WA"/>
    <s v="Product NUNAW"/>
    <x v="0"/>
    <x v="471"/>
    <d v="2008-04-29T00:00:00"/>
    <x v="1"/>
    <s v="Ship to 59-A"/>
    <x v="6"/>
    <s v="Supplier KEREV"/>
    <s v="Italy"/>
    <x v="1"/>
    <n v="640"/>
  </r>
  <r>
    <n v="11053"/>
    <n v="64"/>
    <n v="33.25"/>
    <n v="25"/>
    <n v="0.2"/>
    <s v="Meston, Tosh"/>
    <s v="Meston Tosh"/>
    <x v="8"/>
    <s v="WA"/>
    <s v="Product HCQDE"/>
    <x v="1"/>
    <x v="471"/>
    <d v="2008-04-29T00:00:00"/>
    <x v="1"/>
    <s v="Ship to 59-A"/>
    <x v="6"/>
    <s v="Supplier SVIYA"/>
    <s v="Germany"/>
    <x v="1"/>
    <n v="665"/>
  </r>
  <r>
    <n v="11054"/>
    <n v="33"/>
    <n v="2.5"/>
    <n v="10"/>
    <n v="0"/>
    <s v="Ray, Mike"/>
    <s v="Ray Mike"/>
    <x v="6"/>
    <s v="WA"/>
    <s v="Product ASTMN"/>
    <x v="0"/>
    <x v="472"/>
    <d v="1899-12-30T00:00:00"/>
    <x v="2"/>
    <s v="Destination QTHBC"/>
    <x v="21"/>
    <s v="Supplier NZLIF"/>
    <s v="Norway"/>
    <x v="1"/>
    <n v="25"/>
  </r>
  <r>
    <n v="11054"/>
    <n v="67"/>
    <n v="14"/>
    <n v="20"/>
    <n v="0"/>
    <s v="Ray, Mike"/>
    <s v="Ray Mike"/>
    <x v="6"/>
    <s v="WA"/>
    <s v="Product XLXQF"/>
    <x v="6"/>
    <x v="472"/>
    <d v="1899-12-30T00:00:00"/>
    <x v="2"/>
    <s v="Destination QTHBC"/>
    <x v="21"/>
    <s v="Supplier UHZRG"/>
    <s v="USA"/>
    <x v="1"/>
    <n v="280"/>
  </r>
  <r>
    <n v="11055"/>
    <n v="24"/>
    <n v="4.5"/>
    <n v="15"/>
    <n v="0"/>
    <s v="Langohr, Kris"/>
    <s v="Langohr Kris"/>
    <x v="9"/>
    <n v="0"/>
    <s v="Product QOGNU"/>
    <x v="6"/>
    <x v="472"/>
    <d v="2008-05-05T00:00:00"/>
    <x v="1"/>
    <s v="Destination JYDLM"/>
    <x v="5"/>
    <s v="Supplier UNAHG"/>
    <s v="Brazil"/>
    <x v="2"/>
    <n v="67.5"/>
  </r>
  <r>
    <n v="11055"/>
    <n v="25"/>
    <n v="14"/>
    <n v="15"/>
    <n v="0"/>
    <s v="Langohr, Kris"/>
    <s v="Langohr Kris"/>
    <x v="9"/>
    <n v="0"/>
    <s v="Product LYLNI"/>
    <x v="5"/>
    <x v="472"/>
    <d v="2008-05-05T00:00:00"/>
    <x v="1"/>
    <s v="Destination JYDLM"/>
    <x v="5"/>
    <s v="Supplier ZPYVS"/>
    <s v="Germany"/>
    <x v="2"/>
    <n v="210"/>
  </r>
  <r>
    <n v="11055"/>
    <n v="51"/>
    <n v="53"/>
    <n v="20"/>
    <n v="0"/>
    <s v="Langohr, Kris"/>
    <s v="Langohr Kris"/>
    <x v="9"/>
    <n v="0"/>
    <s v="Product APITJ"/>
    <x v="2"/>
    <x v="472"/>
    <d v="2008-05-05T00:00:00"/>
    <x v="1"/>
    <s v="Destination JYDLM"/>
    <x v="5"/>
    <s v="Supplier JNNES"/>
    <s v="Australia"/>
    <x v="2"/>
    <n v="1060"/>
  </r>
  <r>
    <n v="11055"/>
    <n v="57"/>
    <n v="19.5"/>
    <n v="20"/>
    <n v="0"/>
    <s v="Langohr, Kris"/>
    <s v="Langohr Kris"/>
    <x v="9"/>
    <n v="0"/>
    <s v="Product OVLQI"/>
    <x v="1"/>
    <x v="472"/>
    <d v="2008-05-05T00:00:00"/>
    <x v="1"/>
    <s v="Destination JYDLM"/>
    <x v="5"/>
    <s v="Supplier ZWZDM"/>
    <s v="Italy"/>
    <x v="2"/>
    <n v="390"/>
  </r>
  <r>
    <n v="11056"/>
    <n v="7"/>
    <n v="30"/>
    <n v="40"/>
    <n v="0"/>
    <s v="Boseman, Randall"/>
    <s v="Boseman Randall"/>
    <x v="6"/>
    <s v="WA"/>
    <s v="Product HMLNI"/>
    <x v="2"/>
    <x v="472"/>
    <d v="2008-05-01T00:00:00"/>
    <x v="1"/>
    <s v="Destination QTKCU"/>
    <x v="14"/>
    <s v="Supplier STUAZ"/>
    <s v="USA"/>
    <x v="2"/>
    <n v="1200"/>
  </r>
  <r>
    <n v="11056"/>
    <n v="55"/>
    <n v="24"/>
    <n v="35"/>
    <n v="0"/>
    <s v="Boseman, Randall"/>
    <s v="Boseman Randall"/>
    <x v="6"/>
    <s v="WA"/>
    <s v="Product YYWRT"/>
    <x v="7"/>
    <x v="472"/>
    <d v="2008-05-01T00:00:00"/>
    <x v="1"/>
    <s v="Destination QTKCU"/>
    <x v="14"/>
    <s v="Supplier ERVYZ"/>
    <s v="Canada"/>
    <x v="2"/>
    <n v="840"/>
  </r>
  <r>
    <n v="11056"/>
    <n v="60"/>
    <n v="34"/>
    <n v="50"/>
    <n v="0"/>
    <s v="Boseman, Randall"/>
    <s v="Boseman Randall"/>
    <x v="6"/>
    <s v="WA"/>
    <s v="Product WHBYK"/>
    <x v="0"/>
    <x v="472"/>
    <d v="2008-05-01T00:00:00"/>
    <x v="1"/>
    <s v="Destination QTKCU"/>
    <x v="14"/>
    <s v="Supplier OAVQT"/>
    <s v="France"/>
    <x v="2"/>
    <n v="1700"/>
  </r>
  <r>
    <n v="11057"/>
    <n v="70"/>
    <n v="15"/>
    <n v="3"/>
    <n v="0"/>
    <s v="Mallit, Ken"/>
    <s v="Mallit Ken"/>
    <x v="2"/>
    <s v="WA"/>
    <s v="Product TOONT"/>
    <x v="6"/>
    <x v="473"/>
    <d v="2008-05-01T00:00:00"/>
    <x v="3"/>
    <s v="Ship to 53-C"/>
    <x v="14"/>
    <s v="Supplier GQRCV"/>
    <s v="Australia"/>
    <x v="1"/>
    <n v="45"/>
  </r>
  <r>
    <n v="11058"/>
    <n v="21"/>
    <n v="10"/>
    <n v="3"/>
    <n v="0"/>
    <s v="Poland, Carole"/>
    <s v="Poland Carole"/>
    <x v="4"/>
    <n v="0"/>
    <s v="Product VJZZH"/>
    <x v="5"/>
    <x v="473"/>
    <d v="1899-12-30T00:00:00"/>
    <x v="3"/>
    <s v="Ship to 6-A"/>
    <x v="8"/>
    <s v="Supplier BWGYE"/>
    <s v="UK"/>
    <x v="1"/>
    <n v="30"/>
  </r>
  <r>
    <n v="11058"/>
    <n v="60"/>
    <n v="34"/>
    <n v="21"/>
    <n v="0"/>
    <s v="Poland, Carole"/>
    <s v="Poland Carole"/>
    <x v="4"/>
    <n v="0"/>
    <s v="Product WHBYK"/>
    <x v="0"/>
    <x v="473"/>
    <d v="1899-12-30T00:00:00"/>
    <x v="3"/>
    <s v="Ship to 6-A"/>
    <x v="8"/>
    <s v="Supplier OAVQT"/>
    <s v="France"/>
    <x v="1"/>
    <n v="714"/>
  </r>
  <r>
    <n v="11058"/>
    <n v="61"/>
    <n v="28.5"/>
    <n v="4"/>
    <n v="0"/>
    <s v="Poland, Carole"/>
    <s v="Poland Carole"/>
    <x v="4"/>
    <n v="0"/>
    <s v="Product XYZPE"/>
    <x v="4"/>
    <x v="473"/>
    <d v="1899-12-30T00:00:00"/>
    <x v="3"/>
    <s v="Ship to 6-A"/>
    <x v="8"/>
    <s v="Supplier OGLRK"/>
    <s v="Canada"/>
    <x v="1"/>
    <n v="114"/>
  </r>
  <r>
    <n v="11059"/>
    <n v="13"/>
    <n v="6"/>
    <n v="30"/>
    <n v="0"/>
    <s v="Garden, Euan"/>
    <s v="Garden Euan"/>
    <x v="8"/>
    <s v="WA"/>
    <s v="Product POXFU"/>
    <x v="3"/>
    <x v="473"/>
    <d v="1899-12-30T00:00:00"/>
    <x v="1"/>
    <s v="Ship to 67-A"/>
    <x v="1"/>
    <s v="Supplier QWUSF"/>
    <s v="Japan"/>
    <x v="1"/>
    <n v="180"/>
  </r>
  <r>
    <n v="11059"/>
    <n v="17"/>
    <n v="39"/>
    <n v="12"/>
    <n v="0"/>
    <s v="Garden, Euan"/>
    <s v="Garden Euan"/>
    <x v="8"/>
    <s v="WA"/>
    <s v="Product BLCAX"/>
    <x v="7"/>
    <x v="473"/>
    <d v="1899-12-30T00:00:00"/>
    <x v="1"/>
    <s v="Ship to 67-A"/>
    <x v="1"/>
    <s v="Supplier GQRCV"/>
    <s v="Australia"/>
    <x v="1"/>
    <n v="468"/>
  </r>
  <r>
    <n v="11059"/>
    <n v="60"/>
    <n v="34"/>
    <n v="35"/>
    <n v="0"/>
    <s v="Garden, Euan"/>
    <s v="Garden Euan"/>
    <x v="8"/>
    <s v="WA"/>
    <s v="Product WHBYK"/>
    <x v="0"/>
    <x v="473"/>
    <d v="1899-12-30T00:00:00"/>
    <x v="1"/>
    <s v="Ship to 67-A"/>
    <x v="1"/>
    <s v="Supplier OAVQT"/>
    <s v="France"/>
    <x v="1"/>
    <n v="1190"/>
  </r>
  <r>
    <n v="11060"/>
    <n v="60"/>
    <n v="34"/>
    <n v="4"/>
    <n v="0"/>
    <s v="Schmöllerl, Martin"/>
    <s v="Schmöllerl Martin"/>
    <x v="8"/>
    <s v="WA"/>
    <s v="Product WHBYK"/>
    <x v="0"/>
    <x v="474"/>
    <d v="2008-05-04T00:00:00"/>
    <x v="1"/>
    <s v="Destination DICGM"/>
    <x v="12"/>
    <s v="Supplier OAVQT"/>
    <s v="France"/>
    <x v="1"/>
    <n v="136"/>
  </r>
  <r>
    <n v="11060"/>
    <n v="77"/>
    <n v="13"/>
    <n v="10"/>
    <n v="0"/>
    <s v="Schmöllerl, Martin"/>
    <s v="Schmöllerl Martin"/>
    <x v="8"/>
    <s v="WA"/>
    <s v="Product LUNZZ"/>
    <x v="4"/>
    <x v="474"/>
    <d v="2008-05-04T00:00:00"/>
    <x v="1"/>
    <s v="Destination DICGM"/>
    <x v="12"/>
    <s v="Supplier SVIYA"/>
    <s v="Germany"/>
    <x v="1"/>
    <n v="130"/>
  </r>
  <r>
    <n v="11061"/>
    <n v="60"/>
    <n v="34"/>
    <n v="15"/>
    <n v="0"/>
    <s v="Krishnan, Venky"/>
    <s v="Krishnan Venky"/>
    <x v="1"/>
    <s v="WA"/>
    <s v="Product WHBYK"/>
    <x v="0"/>
    <x v="474"/>
    <d v="1899-12-30T00:00:00"/>
    <x v="3"/>
    <s v="Destination VYOBK"/>
    <x v="9"/>
    <s v="Supplier OAVQT"/>
    <s v="France"/>
    <x v="1"/>
    <n v="510"/>
  </r>
  <r>
    <n v="11062"/>
    <n v="53"/>
    <n v="32.799999999999997"/>
    <n v="10"/>
    <n v="0.2"/>
    <s v="Voss, Florian"/>
    <s v="Voss Florian"/>
    <x v="1"/>
    <s v="WA"/>
    <s v="Product BKGEA"/>
    <x v="7"/>
    <x v="474"/>
    <d v="1899-12-30T00:00:00"/>
    <x v="1"/>
    <s v="Ship to 66-B"/>
    <x v="12"/>
    <s v="Supplier JNNES"/>
    <s v="Australia"/>
    <x v="1"/>
    <n v="262.40000000000003"/>
  </r>
  <r>
    <n v="11062"/>
    <n v="70"/>
    <n v="15"/>
    <n v="12"/>
    <n v="0.2"/>
    <s v="Voss, Florian"/>
    <s v="Voss Florian"/>
    <x v="1"/>
    <s v="WA"/>
    <s v="Product TOONT"/>
    <x v="6"/>
    <x v="474"/>
    <d v="1899-12-30T00:00:00"/>
    <x v="1"/>
    <s v="Ship to 66-B"/>
    <x v="12"/>
    <s v="Supplier GQRCV"/>
    <s v="Australia"/>
    <x v="1"/>
    <n v="144"/>
  </r>
  <r>
    <n v="11063"/>
    <n v="34"/>
    <n v="14"/>
    <n v="30"/>
    <n v="0"/>
    <s v="Crăciun, Ovidiu V."/>
    <s v="Crăciun Ovidiu V."/>
    <x v="2"/>
    <s v="WA"/>
    <s v="Product SWNJY"/>
    <x v="6"/>
    <x v="474"/>
    <d v="2008-05-06T00:00:00"/>
    <x v="1"/>
    <s v="Destination KPVYJ"/>
    <x v="15"/>
    <s v="Supplier UHZRG"/>
    <s v="USA"/>
    <x v="1"/>
    <n v="420"/>
  </r>
  <r>
    <n v="11063"/>
    <n v="40"/>
    <n v="18.399999999999999"/>
    <n v="40"/>
    <n v="0.1"/>
    <s v="Crăciun, Ovidiu V."/>
    <s v="Crăciun Ovidiu V."/>
    <x v="2"/>
    <s v="WA"/>
    <s v="Product YZIXQ"/>
    <x v="3"/>
    <x v="474"/>
    <d v="2008-05-06T00:00:00"/>
    <x v="1"/>
    <s v="Destination KPVYJ"/>
    <x v="15"/>
    <s v="Supplier JDNUG"/>
    <s v="USA"/>
    <x v="1"/>
    <n v="662.4"/>
  </r>
  <r>
    <n v="11063"/>
    <n v="41"/>
    <n v="9.65"/>
    <n v="30"/>
    <n v="0.1"/>
    <s v="Crăciun, Ovidiu V."/>
    <s v="Crăciun Ovidiu V."/>
    <x v="2"/>
    <s v="WA"/>
    <s v="Product TTEEX"/>
    <x v="3"/>
    <x v="474"/>
    <d v="2008-05-06T00:00:00"/>
    <x v="1"/>
    <s v="Destination KPVYJ"/>
    <x v="15"/>
    <s v="Supplier JDNUG"/>
    <s v="USA"/>
    <x v="1"/>
    <n v="260.55"/>
  </r>
  <r>
    <n v="11064"/>
    <n v="17"/>
    <n v="39"/>
    <n v="77"/>
    <n v="0.1"/>
    <s v="Navarro, Tomás"/>
    <s v="Navarro Tomás"/>
    <x v="5"/>
    <s v="WA"/>
    <s v="Product BLCAX"/>
    <x v="7"/>
    <x v="475"/>
    <d v="2008-05-04T00:00:00"/>
    <x v="2"/>
    <s v="Ship to 71-C"/>
    <x v="9"/>
    <s v="Supplier GQRCV"/>
    <s v="Australia"/>
    <x v="1"/>
    <n v="2702.7000000000003"/>
  </r>
  <r>
    <n v="11064"/>
    <n v="41"/>
    <n v="9.65"/>
    <n v="12"/>
    <n v="0"/>
    <s v="Navarro, Tomás"/>
    <s v="Navarro Tomás"/>
    <x v="5"/>
    <s v="WA"/>
    <s v="Product TTEEX"/>
    <x v="3"/>
    <x v="475"/>
    <d v="2008-05-04T00:00:00"/>
    <x v="2"/>
    <s v="Ship to 71-C"/>
    <x v="9"/>
    <s v="Supplier JDNUG"/>
    <s v="USA"/>
    <x v="1"/>
    <n v="115.80000000000001"/>
  </r>
  <r>
    <n v="11064"/>
    <n v="53"/>
    <n v="32.799999999999997"/>
    <n v="25"/>
    <n v="0.1"/>
    <s v="Navarro, Tomás"/>
    <s v="Navarro Tomás"/>
    <x v="5"/>
    <s v="WA"/>
    <s v="Product BKGEA"/>
    <x v="7"/>
    <x v="475"/>
    <d v="2008-05-04T00:00:00"/>
    <x v="2"/>
    <s v="Ship to 71-C"/>
    <x v="9"/>
    <s v="Supplier JNNES"/>
    <s v="Australia"/>
    <x v="1"/>
    <n v="737.99999999999989"/>
  </r>
  <r>
    <n v="11064"/>
    <n v="55"/>
    <n v="24"/>
    <n v="4"/>
    <n v="0.1"/>
    <s v="Navarro, Tomás"/>
    <s v="Navarro Tomás"/>
    <x v="5"/>
    <s v="WA"/>
    <s v="Product YYWRT"/>
    <x v="7"/>
    <x v="475"/>
    <d v="2008-05-04T00:00:00"/>
    <x v="2"/>
    <s v="Ship to 71-C"/>
    <x v="9"/>
    <s v="Supplier ERVYZ"/>
    <s v="Canada"/>
    <x v="1"/>
    <n v="86.4"/>
  </r>
  <r>
    <n v="11064"/>
    <n v="68"/>
    <n v="12.5"/>
    <n v="55"/>
    <n v="0"/>
    <s v="Navarro, Tomás"/>
    <s v="Navarro Tomás"/>
    <x v="5"/>
    <s v="WA"/>
    <s v="Product TBTBL"/>
    <x v="5"/>
    <x v="475"/>
    <d v="2008-05-04T00:00:00"/>
    <x v="2"/>
    <s v="Ship to 71-C"/>
    <x v="9"/>
    <s v="Supplier BWGYE"/>
    <s v="UK"/>
    <x v="1"/>
    <n v="687.5"/>
  </r>
  <r>
    <n v="11065"/>
    <n v="30"/>
    <n v="25.89"/>
    <n v="4"/>
    <n v="0.25"/>
    <s v="Dressler, Marlies"/>
    <s v="Dressler Marlies"/>
    <x v="6"/>
    <s v="WA"/>
    <s v="Product LYERX"/>
    <x v="3"/>
    <x v="475"/>
    <d v="1899-12-30T00:00:00"/>
    <x v="2"/>
    <s v="Ship to 46-C"/>
    <x v="5"/>
    <s v="Supplier TEGSC"/>
    <s v="Germany"/>
    <x v="1"/>
    <n v="77.67"/>
  </r>
  <r>
    <n v="11065"/>
    <n v="54"/>
    <n v="7.45"/>
    <n v="20"/>
    <n v="0.25"/>
    <s v="Dressler, Marlies"/>
    <s v="Dressler Marlies"/>
    <x v="6"/>
    <s v="WA"/>
    <s v="Product QAQRL"/>
    <x v="7"/>
    <x v="475"/>
    <d v="1899-12-30T00:00:00"/>
    <x v="2"/>
    <s v="Ship to 46-C"/>
    <x v="5"/>
    <s v="Supplier ERVYZ"/>
    <s v="Canada"/>
    <x v="1"/>
    <n v="111.75"/>
  </r>
  <r>
    <n v="11066"/>
    <n v="16"/>
    <n v="17.45"/>
    <n v="3"/>
    <n v="0"/>
    <s v="Smith Jr., Ronaldo"/>
    <s v="Smith Jr. Ronaldo"/>
    <x v="9"/>
    <n v="0"/>
    <s v="Product PAFRH"/>
    <x v="5"/>
    <x v="475"/>
    <d v="2008-05-04T00:00:00"/>
    <x v="1"/>
    <s v="Ship to 89-A"/>
    <x v="9"/>
    <s v="Supplier GQRCV"/>
    <s v="Australia"/>
    <x v="1"/>
    <n v="52.349999999999994"/>
  </r>
  <r>
    <n v="11066"/>
    <n v="19"/>
    <n v="9.1999999999999993"/>
    <n v="42"/>
    <n v="0"/>
    <s v="Smith Jr., Ronaldo"/>
    <s v="Smith Jr. Ronaldo"/>
    <x v="9"/>
    <n v="0"/>
    <s v="Product XKXDO"/>
    <x v="5"/>
    <x v="475"/>
    <d v="2008-05-04T00:00:00"/>
    <x v="1"/>
    <s v="Ship to 89-A"/>
    <x v="9"/>
    <s v="Supplier BWGYE"/>
    <s v="UK"/>
    <x v="1"/>
    <n v="386.4"/>
  </r>
  <r>
    <n v="11066"/>
    <n v="34"/>
    <n v="14"/>
    <n v="35"/>
    <n v="0"/>
    <s v="Smith Jr., Ronaldo"/>
    <s v="Smith Jr. Ronaldo"/>
    <x v="9"/>
    <n v="0"/>
    <s v="Product SWNJY"/>
    <x v="6"/>
    <x v="475"/>
    <d v="2008-05-04T00:00:00"/>
    <x v="1"/>
    <s v="Ship to 89-A"/>
    <x v="9"/>
    <s v="Supplier UHZRG"/>
    <s v="USA"/>
    <x v="1"/>
    <n v="490"/>
  </r>
  <r>
    <n v="11067"/>
    <n v="41"/>
    <n v="9.65"/>
    <n v="9"/>
    <n v="0"/>
    <s v="Jones, TiAnna"/>
    <s v="Jones TiAnna"/>
    <x v="5"/>
    <s v="WA"/>
    <s v="Product TTEEX"/>
    <x v="3"/>
    <x v="476"/>
    <d v="2008-05-06T00:00:00"/>
    <x v="1"/>
    <s v="Destination BJCXA"/>
    <x v="8"/>
    <s v="Supplier JDNUG"/>
    <s v="USA"/>
    <x v="1"/>
    <n v="86.850000000000009"/>
  </r>
  <r>
    <n v="11068"/>
    <n v="28"/>
    <n v="45.6"/>
    <n v="8"/>
    <n v="0.15"/>
    <s v="Misiec, Anna"/>
    <s v="Misiec Anna"/>
    <x v="6"/>
    <s v="WA"/>
    <s v="Product OFBNT"/>
    <x v="2"/>
    <x v="476"/>
    <d v="1899-12-30T00:00:00"/>
    <x v="1"/>
    <s v="Ship to 62-A"/>
    <x v="1"/>
    <s v="Supplier SVIYA"/>
    <s v="Germany"/>
    <x v="1"/>
    <n v="310.08"/>
  </r>
  <r>
    <n v="11068"/>
    <n v="43"/>
    <n v="46"/>
    <n v="36"/>
    <n v="0.15"/>
    <s v="Misiec, Anna"/>
    <s v="Misiec Anna"/>
    <x v="6"/>
    <s v="WA"/>
    <s v="Product ZZZHR"/>
    <x v="6"/>
    <x v="476"/>
    <d v="1899-12-30T00:00:00"/>
    <x v="1"/>
    <s v="Ship to 62-A"/>
    <x v="1"/>
    <s v="Supplier CIYNM"/>
    <s v="Singapore"/>
    <x v="1"/>
    <n v="1407.6"/>
  </r>
  <r>
    <n v="11068"/>
    <n v="77"/>
    <n v="13"/>
    <n v="28"/>
    <n v="0.15"/>
    <s v="Misiec, Anna"/>
    <s v="Misiec Anna"/>
    <x v="6"/>
    <s v="WA"/>
    <s v="Product LUNZZ"/>
    <x v="4"/>
    <x v="476"/>
    <d v="1899-12-30T00:00:00"/>
    <x v="1"/>
    <s v="Ship to 62-A"/>
    <x v="1"/>
    <s v="Supplier SVIYA"/>
    <s v="Germany"/>
    <x v="1"/>
    <n v="309.39999999999998"/>
  </r>
  <r>
    <n v="11069"/>
    <n v="39"/>
    <n v="18"/>
    <n v="20"/>
    <n v="0"/>
    <s v="Geschwandtner, Jens"/>
    <s v="Geschwandtner Jens"/>
    <x v="5"/>
    <s v="WA"/>
    <s v="Product LSOFL"/>
    <x v="6"/>
    <x v="476"/>
    <d v="2008-05-06T00:00:00"/>
    <x v="1"/>
    <s v="Ship to 80-B"/>
    <x v="7"/>
    <s v="Supplier LVJUA"/>
    <s v="France"/>
    <x v="1"/>
    <n v="360"/>
  </r>
  <r>
    <n v="11070"/>
    <n v="1"/>
    <n v="18"/>
    <n v="40"/>
    <n v="0.15"/>
    <s v="Louverdis, George"/>
    <s v="Louverdis George"/>
    <x v="8"/>
    <s v="WA"/>
    <s v="Product HHYDP"/>
    <x v="6"/>
    <x v="477"/>
    <d v="1899-12-30T00:00:00"/>
    <x v="2"/>
    <s v="Ship to 44-A"/>
    <x v="8"/>
    <s v="Supplier SWRXU"/>
    <s v="UK"/>
    <x v="2"/>
    <n v="612"/>
  </r>
  <r>
    <n v="11070"/>
    <n v="2"/>
    <n v="19"/>
    <n v="20"/>
    <n v="0.15"/>
    <s v="Louverdis, George"/>
    <s v="Louverdis George"/>
    <x v="8"/>
    <s v="WA"/>
    <s v="Product RECZE"/>
    <x v="6"/>
    <x v="477"/>
    <d v="1899-12-30T00:00:00"/>
    <x v="2"/>
    <s v="Ship to 44-A"/>
    <x v="8"/>
    <s v="Supplier SWRXU"/>
    <s v="UK"/>
    <x v="2"/>
    <n v="323"/>
  </r>
  <r>
    <n v="11070"/>
    <n v="16"/>
    <n v="17.45"/>
    <n v="30"/>
    <n v="0.15"/>
    <s v="Louverdis, George"/>
    <s v="Louverdis George"/>
    <x v="8"/>
    <s v="WA"/>
    <s v="Product PAFRH"/>
    <x v="5"/>
    <x v="477"/>
    <d v="1899-12-30T00:00:00"/>
    <x v="2"/>
    <s v="Ship to 44-A"/>
    <x v="8"/>
    <s v="Supplier GQRCV"/>
    <s v="Australia"/>
    <x v="2"/>
    <n v="444.97499999999997"/>
  </r>
  <r>
    <n v="11070"/>
    <n v="31"/>
    <n v="12.5"/>
    <n v="20"/>
    <n v="0"/>
    <s v="Louverdis, George"/>
    <s v="Louverdis George"/>
    <x v="8"/>
    <s v="WA"/>
    <s v="Product XWOXC"/>
    <x v="0"/>
    <x v="477"/>
    <d v="1899-12-30T00:00:00"/>
    <x v="2"/>
    <s v="Ship to 44-A"/>
    <x v="8"/>
    <s v="Supplier KEREV"/>
    <s v="Italy"/>
    <x v="2"/>
    <n v="250"/>
  </r>
  <r>
    <n v="11071"/>
    <n v="7"/>
    <n v="30"/>
    <n v="15"/>
    <n v="0.05"/>
    <s v="Dressler, Marlies"/>
    <s v="Dressler Marlies"/>
    <x v="5"/>
    <s v="WA"/>
    <s v="Product HMLNI"/>
    <x v="2"/>
    <x v="477"/>
    <d v="1899-12-30T00:00:00"/>
    <x v="2"/>
    <s v="Ship to 46-B"/>
    <x v="5"/>
    <s v="Supplier STUAZ"/>
    <s v="USA"/>
    <x v="1"/>
    <n v="427.5"/>
  </r>
  <r>
    <n v="11071"/>
    <n v="13"/>
    <n v="6"/>
    <n v="10"/>
    <n v="0.05"/>
    <s v="Dressler, Marlies"/>
    <s v="Dressler Marlies"/>
    <x v="5"/>
    <s v="WA"/>
    <s v="Product POXFU"/>
    <x v="3"/>
    <x v="477"/>
    <d v="1899-12-30T00:00:00"/>
    <x v="2"/>
    <s v="Ship to 46-B"/>
    <x v="5"/>
    <s v="Supplier QWUSF"/>
    <s v="Japan"/>
    <x v="1"/>
    <n v="57"/>
  </r>
  <r>
    <n v="11072"/>
    <n v="2"/>
    <n v="19"/>
    <n v="8"/>
    <n v="0"/>
    <s v="Kane, John"/>
    <s v="Kane John"/>
    <x v="1"/>
    <s v="WA"/>
    <s v="Product RECZE"/>
    <x v="6"/>
    <x v="477"/>
    <d v="1899-12-30T00:00:00"/>
    <x v="1"/>
    <s v="Destination RVDMF"/>
    <x v="6"/>
    <s v="Supplier SWRXU"/>
    <s v="UK"/>
    <x v="2"/>
    <n v="152"/>
  </r>
  <r>
    <n v="11072"/>
    <n v="41"/>
    <n v="9.65"/>
    <n v="40"/>
    <n v="0"/>
    <s v="Kane, John"/>
    <s v="Kane John"/>
    <x v="1"/>
    <s v="WA"/>
    <s v="Product TTEEX"/>
    <x v="3"/>
    <x v="477"/>
    <d v="1899-12-30T00:00:00"/>
    <x v="1"/>
    <s v="Destination RVDMF"/>
    <x v="6"/>
    <s v="Supplier JDNUG"/>
    <s v="USA"/>
    <x v="2"/>
    <n v="386"/>
  </r>
  <r>
    <n v="11072"/>
    <n v="50"/>
    <n v="16.25"/>
    <n v="22"/>
    <n v="0"/>
    <s v="Kane, John"/>
    <s v="Kane John"/>
    <x v="1"/>
    <s v="WA"/>
    <s v="Product BIUDV"/>
    <x v="5"/>
    <x v="477"/>
    <d v="1899-12-30T00:00:00"/>
    <x v="1"/>
    <s v="Destination RVDMF"/>
    <x v="6"/>
    <s v="Supplier ELCRN"/>
    <s v="Finland"/>
    <x v="2"/>
    <n v="357.5"/>
  </r>
  <r>
    <n v="11072"/>
    <n v="64"/>
    <n v="33.25"/>
    <n v="130"/>
    <n v="0"/>
    <s v="Kane, John"/>
    <s v="Kane John"/>
    <x v="1"/>
    <s v="WA"/>
    <s v="Product HCQDE"/>
    <x v="1"/>
    <x v="477"/>
    <d v="1899-12-30T00:00:00"/>
    <x v="1"/>
    <s v="Destination RVDMF"/>
    <x v="6"/>
    <s v="Supplier SVIYA"/>
    <s v="Germany"/>
    <x v="2"/>
    <n v="4322.5"/>
  </r>
  <r>
    <n v="11073"/>
    <n v="11"/>
    <n v="21"/>
    <n v="10"/>
    <n v="0"/>
    <s v="Fakhouri, Fadi"/>
    <s v="Fakhouri Fadi"/>
    <x v="8"/>
    <s v="WA"/>
    <s v="Product QMVUN"/>
    <x v="0"/>
    <x v="477"/>
    <d v="1899-12-30T00:00:00"/>
    <x v="1"/>
    <s v="Ship to 58-B"/>
    <x v="7"/>
    <s v="Supplier EQPNC"/>
    <s v="Spain"/>
    <x v="1"/>
    <n v="210"/>
  </r>
  <r>
    <n v="11073"/>
    <n v="24"/>
    <n v="4.5"/>
    <n v="20"/>
    <n v="0"/>
    <s v="Fakhouri, Fadi"/>
    <s v="Fakhouri Fadi"/>
    <x v="8"/>
    <s v="WA"/>
    <s v="Product QOGNU"/>
    <x v="6"/>
    <x v="477"/>
    <d v="1899-12-30T00:00:00"/>
    <x v="1"/>
    <s v="Ship to 58-B"/>
    <x v="7"/>
    <s v="Supplier UNAHG"/>
    <s v="Brazil"/>
    <x v="1"/>
    <n v="90"/>
  </r>
  <r>
    <n v="11074"/>
    <n v="16"/>
    <n v="17.45"/>
    <n v="14"/>
    <n v="0.05"/>
    <s v="Gonzalez, Nuria"/>
    <s v="Gonzalez Nuria"/>
    <x v="9"/>
    <n v="0"/>
    <s v="Product PAFRH"/>
    <x v="5"/>
    <x v="478"/>
    <d v="1899-12-30T00:00:00"/>
    <x v="1"/>
    <s v="Ship to 73-A"/>
    <x v="18"/>
    <s v="Supplier GQRCV"/>
    <s v="Australia"/>
    <x v="1"/>
    <n v="232.08499999999998"/>
  </r>
  <r>
    <n v="11075"/>
    <n v="2"/>
    <n v="19"/>
    <n v="10"/>
    <n v="0.15"/>
    <s v="Myrcha, Jacek"/>
    <s v="Myrcha Jacek"/>
    <x v="6"/>
    <s v="WA"/>
    <s v="Product RECZE"/>
    <x v="6"/>
    <x v="478"/>
    <d v="1899-12-30T00:00:00"/>
    <x v="1"/>
    <s v="Ship to 68-A"/>
    <x v="4"/>
    <s v="Supplier SWRXU"/>
    <s v="UK"/>
    <x v="1"/>
    <n v="161.5"/>
  </r>
  <r>
    <n v="11075"/>
    <n v="46"/>
    <n v="12"/>
    <n v="30"/>
    <n v="0.15"/>
    <s v="Myrcha, Jacek"/>
    <s v="Myrcha Jacek"/>
    <x v="6"/>
    <s v="WA"/>
    <s v="Product CBRRL"/>
    <x v="3"/>
    <x v="478"/>
    <d v="1899-12-30T00:00:00"/>
    <x v="1"/>
    <s v="Ship to 68-A"/>
    <x v="4"/>
    <s v="Supplier XOXZA"/>
    <s v="Denmark"/>
    <x v="1"/>
    <n v="306"/>
  </r>
  <r>
    <n v="11075"/>
    <n v="76"/>
    <n v="18"/>
    <n v="2"/>
    <n v="0.15"/>
    <s v="Myrcha, Jacek"/>
    <s v="Myrcha Jacek"/>
    <x v="6"/>
    <s v="WA"/>
    <s v="Product JYGFE"/>
    <x v="6"/>
    <x v="478"/>
    <d v="1899-12-30T00:00:00"/>
    <x v="1"/>
    <s v="Ship to 68-A"/>
    <x v="4"/>
    <s v="Supplier ELCRN"/>
    <s v="Finland"/>
    <x v="1"/>
    <n v="30.599999999999998"/>
  </r>
  <r>
    <n v="11076"/>
    <n v="6"/>
    <n v="25"/>
    <n v="20"/>
    <n v="0.25"/>
    <s v="Raghav, Amritansh"/>
    <s v="Raghav Amritansh"/>
    <x v="1"/>
    <s v="WA"/>
    <s v="Product VAIIV"/>
    <x v="4"/>
    <x v="478"/>
    <d v="1899-12-30T00:00:00"/>
    <x v="1"/>
    <s v="Ship to 9-A"/>
    <x v="2"/>
    <s v="Supplier STUAZ"/>
    <s v="USA"/>
    <x v="1"/>
    <n v="375"/>
  </r>
  <r>
    <n v="11076"/>
    <n v="14"/>
    <n v="23.25"/>
    <n v="20"/>
    <n v="0.25"/>
    <s v="Raghav, Amritansh"/>
    <s v="Raghav Amritansh"/>
    <x v="1"/>
    <s v="WA"/>
    <s v="Product PWCJB"/>
    <x v="2"/>
    <x v="478"/>
    <d v="1899-12-30T00:00:00"/>
    <x v="1"/>
    <s v="Ship to 9-A"/>
    <x v="2"/>
    <s v="Supplier QWUSF"/>
    <s v="Japan"/>
    <x v="1"/>
    <n v="348.75"/>
  </r>
  <r>
    <n v="11076"/>
    <n v="19"/>
    <n v="9.1999999999999993"/>
    <n v="10"/>
    <n v="0.25"/>
    <s v="Raghav, Amritansh"/>
    <s v="Raghav Amritansh"/>
    <x v="1"/>
    <s v="WA"/>
    <s v="Product XKXDO"/>
    <x v="5"/>
    <x v="478"/>
    <d v="1899-12-30T00:00:00"/>
    <x v="1"/>
    <s v="Ship to 9-A"/>
    <x v="2"/>
    <s v="Supplier BWGYE"/>
    <s v="UK"/>
    <x v="1"/>
    <n v="69"/>
  </r>
  <r>
    <n v="11077"/>
    <n v="2"/>
    <n v="19"/>
    <n v="24"/>
    <n v="0.2"/>
    <s v="Moore, Michael"/>
    <s v="Moore Michael"/>
    <x v="5"/>
    <s v="WA"/>
    <s v="Product RECZE"/>
    <x v="6"/>
    <x v="478"/>
    <d v="1899-12-30T00:00:00"/>
    <x v="1"/>
    <s v="Ship to 65-A"/>
    <x v="9"/>
    <s v="Supplier SWRXU"/>
    <s v="UK"/>
    <x v="1"/>
    <n v="364.8"/>
  </r>
  <r>
    <n v="11077"/>
    <n v="3"/>
    <n v="10"/>
    <n v="4"/>
    <n v="0"/>
    <s v="Moore, Michael"/>
    <s v="Moore Michael"/>
    <x v="5"/>
    <s v="WA"/>
    <s v="Product IMEHJ"/>
    <x v="4"/>
    <x v="478"/>
    <d v="1899-12-30T00:00:00"/>
    <x v="1"/>
    <s v="Ship to 65-A"/>
    <x v="9"/>
    <s v="Supplier SWRXU"/>
    <s v="UK"/>
    <x v="1"/>
    <n v="40"/>
  </r>
  <r>
    <n v="11077"/>
    <n v="4"/>
    <n v="22"/>
    <n v="1"/>
    <n v="0"/>
    <s v="Moore, Michael"/>
    <s v="Moore Michael"/>
    <x v="5"/>
    <s v="WA"/>
    <s v="Product KSBRM"/>
    <x v="4"/>
    <x v="478"/>
    <d v="1899-12-30T00:00:00"/>
    <x v="1"/>
    <s v="Ship to 65-A"/>
    <x v="9"/>
    <s v="Supplier VHQZD"/>
    <s v="USA"/>
    <x v="1"/>
    <n v="22"/>
  </r>
  <r>
    <n v="11077"/>
    <n v="6"/>
    <n v="25"/>
    <n v="1"/>
    <n v="0.02"/>
    <s v="Moore, Michael"/>
    <s v="Moore Michael"/>
    <x v="5"/>
    <s v="WA"/>
    <s v="Product VAIIV"/>
    <x v="4"/>
    <x v="478"/>
    <d v="1899-12-30T00:00:00"/>
    <x v="1"/>
    <s v="Ship to 65-A"/>
    <x v="9"/>
    <s v="Supplier STUAZ"/>
    <s v="USA"/>
    <x v="1"/>
    <n v="24.5"/>
  </r>
  <r>
    <n v="11077"/>
    <n v="7"/>
    <n v="30"/>
    <n v="1"/>
    <n v="0.05"/>
    <s v="Moore, Michael"/>
    <s v="Moore Michael"/>
    <x v="5"/>
    <s v="WA"/>
    <s v="Product HMLNI"/>
    <x v="2"/>
    <x v="478"/>
    <d v="1899-12-30T00:00:00"/>
    <x v="1"/>
    <s v="Ship to 65-A"/>
    <x v="9"/>
    <s v="Supplier STUAZ"/>
    <s v="USA"/>
    <x v="1"/>
    <n v="28.5"/>
  </r>
  <r>
    <n v="11077"/>
    <n v="8"/>
    <n v="40"/>
    <n v="2"/>
    <n v="0.1"/>
    <s v="Moore, Michael"/>
    <s v="Moore Michael"/>
    <x v="5"/>
    <s v="WA"/>
    <s v="Product WVJFP"/>
    <x v="4"/>
    <x v="478"/>
    <d v="1899-12-30T00:00:00"/>
    <x v="1"/>
    <s v="Ship to 65-A"/>
    <x v="9"/>
    <s v="Supplier STUAZ"/>
    <s v="USA"/>
    <x v="1"/>
    <n v="72"/>
  </r>
  <r>
    <n v="11077"/>
    <n v="10"/>
    <n v="31"/>
    <n v="1"/>
    <n v="0"/>
    <s v="Moore, Michael"/>
    <s v="Moore Michael"/>
    <x v="5"/>
    <s v="WA"/>
    <s v="Product YHXGE"/>
    <x v="3"/>
    <x v="478"/>
    <d v="1899-12-30T00:00:00"/>
    <x v="1"/>
    <s v="Ship to 65-A"/>
    <x v="9"/>
    <s v="Supplier QOVFD"/>
    <s v="Japan"/>
    <x v="1"/>
    <n v="31"/>
  </r>
  <r>
    <n v="11077"/>
    <n v="12"/>
    <n v="38"/>
    <n v="2"/>
    <n v="0.05"/>
    <s v="Moore, Michael"/>
    <s v="Moore Michael"/>
    <x v="5"/>
    <s v="WA"/>
    <s v="Product OSFNS"/>
    <x v="0"/>
    <x v="478"/>
    <d v="1899-12-30T00:00:00"/>
    <x v="1"/>
    <s v="Ship to 65-A"/>
    <x v="9"/>
    <s v="Supplier EQPNC"/>
    <s v="Spain"/>
    <x v="1"/>
    <n v="72.2"/>
  </r>
  <r>
    <n v="11077"/>
    <n v="13"/>
    <n v="6"/>
    <n v="4"/>
    <n v="0"/>
    <s v="Moore, Michael"/>
    <s v="Moore Michael"/>
    <x v="5"/>
    <s v="WA"/>
    <s v="Product POXFU"/>
    <x v="3"/>
    <x v="478"/>
    <d v="1899-12-30T00:00:00"/>
    <x v="1"/>
    <s v="Ship to 65-A"/>
    <x v="9"/>
    <s v="Supplier QWUSF"/>
    <s v="Japan"/>
    <x v="1"/>
    <n v="24"/>
  </r>
  <r>
    <n v="11077"/>
    <n v="14"/>
    <n v="23.25"/>
    <n v="1"/>
    <n v="0.03"/>
    <s v="Moore, Michael"/>
    <s v="Moore Michael"/>
    <x v="5"/>
    <s v="WA"/>
    <s v="Product PWCJB"/>
    <x v="2"/>
    <x v="478"/>
    <d v="1899-12-30T00:00:00"/>
    <x v="1"/>
    <s v="Ship to 65-A"/>
    <x v="9"/>
    <s v="Supplier QWUSF"/>
    <s v="Japan"/>
    <x v="1"/>
    <n v="22.552499999999998"/>
  </r>
  <r>
    <n v="11077"/>
    <n v="16"/>
    <n v="17.45"/>
    <n v="2"/>
    <n v="0.03"/>
    <s v="Moore, Michael"/>
    <s v="Moore Michael"/>
    <x v="5"/>
    <s v="WA"/>
    <s v="Product PAFRH"/>
    <x v="5"/>
    <x v="478"/>
    <d v="1899-12-30T00:00:00"/>
    <x v="1"/>
    <s v="Ship to 65-A"/>
    <x v="9"/>
    <s v="Supplier GQRCV"/>
    <s v="Australia"/>
    <x v="1"/>
    <n v="33.852999999999994"/>
  </r>
  <r>
    <n v="11077"/>
    <n v="20"/>
    <n v="81"/>
    <n v="1"/>
    <n v="0.04"/>
    <s v="Moore, Michael"/>
    <s v="Moore Michael"/>
    <x v="5"/>
    <s v="WA"/>
    <s v="Product QHFFP"/>
    <x v="5"/>
    <x v="478"/>
    <d v="1899-12-30T00:00:00"/>
    <x v="1"/>
    <s v="Ship to 65-A"/>
    <x v="9"/>
    <s v="Supplier BWGYE"/>
    <s v="UK"/>
    <x v="1"/>
    <n v="77.759999999999991"/>
  </r>
  <r>
    <n v="11077"/>
    <n v="23"/>
    <n v="9"/>
    <n v="2"/>
    <n v="0"/>
    <s v="Moore, Michael"/>
    <s v="Moore Michael"/>
    <x v="5"/>
    <s v="WA"/>
    <s v="Product JLUDZ"/>
    <x v="1"/>
    <x v="478"/>
    <d v="1899-12-30T00:00:00"/>
    <x v="1"/>
    <s v="Ship to 65-A"/>
    <x v="9"/>
    <s v="Supplier QQYEU"/>
    <s v="Sweden"/>
    <x v="1"/>
    <n v="18"/>
  </r>
  <r>
    <n v="11077"/>
    <n v="32"/>
    <n v="32"/>
    <n v="1"/>
    <n v="0"/>
    <s v="Moore, Michael"/>
    <s v="Moore Michael"/>
    <x v="5"/>
    <s v="WA"/>
    <s v="Product NUNAW"/>
    <x v="0"/>
    <x v="478"/>
    <d v="1899-12-30T00:00:00"/>
    <x v="1"/>
    <s v="Ship to 65-A"/>
    <x v="9"/>
    <s v="Supplier KEREV"/>
    <s v="Italy"/>
    <x v="1"/>
    <n v="32"/>
  </r>
  <r>
    <n v="11077"/>
    <n v="39"/>
    <n v="18"/>
    <n v="2"/>
    <n v="0.05"/>
    <s v="Moore, Michael"/>
    <s v="Moore Michael"/>
    <x v="5"/>
    <s v="WA"/>
    <s v="Product LSOFL"/>
    <x v="6"/>
    <x v="478"/>
    <d v="1899-12-30T00:00:00"/>
    <x v="1"/>
    <s v="Ship to 65-A"/>
    <x v="9"/>
    <s v="Supplier LVJUA"/>
    <s v="France"/>
    <x v="1"/>
    <n v="34.199999999999996"/>
  </r>
  <r>
    <n v="11077"/>
    <n v="41"/>
    <n v="9.65"/>
    <n v="3"/>
    <n v="0"/>
    <s v="Moore, Michael"/>
    <s v="Moore Michael"/>
    <x v="5"/>
    <s v="WA"/>
    <s v="Product TTEEX"/>
    <x v="3"/>
    <x v="478"/>
    <d v="1899-12-30T00:00:00"/>
    <x v="1"/>
    <s v="Ship to 65-A"/>
    <x v="9"/>
    <s v="Supplier JDNUG"/>
    <s v="USA"/>
    <x v="1"/>
    <n v="28.950000000000003"/>
  </r>
  <r>
    <n v="11077"/>
    <n v="46"/>
    <n v="12"/>
    <n v="3"/>
    <n v="0.02"/>
    <s v="Moore, Michael"/>
    <s v="Moore Michael"/>
    <x v="5"/>
    <s v="WA"/>
    <s v="Product CBRRL"/>
    <x v="3"/>
    <x v="478"/>
    <d v="1899-12-30T00:00:00"/>
    <x v="1"/>
    <s v="Ship to 65-A"/>
    <x v="9"/>
    <s v="Supplier XOXZA"/>
    <s v="Denmark"/>
    <x v="1"/>
    <n v="35.28"/>
  </r>
  <r>
    <n v="11077"/>
    <n v="52"/>
    <n v="7"/>
    <n v="2"/>
    <n v="0"/>
    <s v="Moore, Michael"/>
    <s v="Moore Michael"/>
    <x v="5"/>
    <s v="WA"/>
    <s v="Product QSRXF"/>
    <x v="1"/>
    <x v="478"/>
    <d v="1899-12-30T00:00:00"/>
    <x v="1"/>
    <s v="Ship to 65-A"/>
    <x v="9"/>
    <s v="Supplier JNNES"/>
    <s v="Australia"/>
    <x v="1"/>
    <n v="14"/>
  </r>
  <r>
    <n v="11077"/>
    <n v="55"/>
    <n v="24"/>
    <n v="2"/>
    <n v="0"/>
    <s v="Moore, Michael"/>
    <s v="Moore Michael"/>
    <x v="5"/>
    <s v="WA"/>
    <s v="Product YYWRT"/>
    <x v="7"/>
    <x v="478"/>
    <d v="1899-12-30T00:00:00"/>
    <x v="1"/>
    <s v="Ship to 65-A"/>
    <x v="9"/>
    <s v="Supplier ERVYZ"/>
    <s v="Canada"/>
    <x v="1"/>
    <n v="48"/>
  </r>
  <r>
    <n v="11077"/>
    <n v="60"/>
    <n v="34"/>
    <n v="2"/>
    <n v="0.06"/>
    <s v="Moore, Michael"/>
    <s v="Moore Michael"/>
    <x v="5"/>
    <s v="WA"/>
    <s v="Product WHBYK"/>
    <x v="0"/>
    <x v="478"/>
    <d v="1899-12-30T00:00:00"/>
    <x v="1"/>
    <s v="Ship to 65-A"/>
    <x v="9"/>
    <s v="Supplier OAVQT"/>
    <s v="France"/>
    <x v="1"/>
    <n v="63.919999999999995"/>
  </r>
  <r>
    <n v="11077"/>
    <n v="64"/>
    <n v="33.25"/>
    <n v="2"/>
    <n v="0.03"/>
    <s v="Moore, Michael"/>
    <s v="Moore Michael"/>
    <x v="5"/>
    <s v="WA"/>
    <s v="Product HCQDE"/>
    <x v="1"/>
    <x v="478"/>
    <d v="1899-12-30T00:00:00"/>
    <x v="1"/>
    <s v="Ship to 65-A"/>
    <x v="9"/>
    <s v="Supplier SVIYA"/>
    <s v="Germany"/>
    <x v="1"/>
    <n v="64.504999999999995"/>
  </r>
  <r>
    <n v="11077"/>
    <n v="66"/>
    <n v="17"/>
    <n v="1"/>
    <n v="0"/>
    <s v="Moore, Michael"/>
    <s v="Moore Michael"/>
    <x v="5"/>
    <s v="WA"/>
    <s v="Product LQMGN"/>
    <x v="4"/>
    <x v="478"/>
    <d v="1899-12-30T00:00:00"/>
    <x v="1"/>
    <s v="Ship to 65-A"/>
    <x v="9"/>
    <s v="Supplier VHQZD"/>
    <s v="USA"/>
    <x v="1"/>
    <n v="17"/>
  </r>
  <r>
    <n v="11077"/>
    <n v="73"/>
    <n v="15"/>
    <n v="2"/>
    <n v="0.01"/>
    <s v="Moore, Michael"/>
    <s v="Moore Michael"/>
    <x v="5"/>
    <s v="WA"/>
    <s v="Product WEUJZ"/>
    <x v="3"/>
    <x v="478"/>
    <d v="1899-12-30T00:00:00"/>
    <x v="1"/>
    <s v="Ship to 65-A"/>
    <x v="9"/>
    <s v="Supplier QZGUF"/>
    <s v="Sweden"/>
    <x v="1"/>
    <n v="29.7"/>
  </r>
  <r>
    <n v="11077"/>
    <n v="75"/>
    <n v="7.75"/>
    <n v="4"/>
    <n v="0"/>
    <s v="Moore, Michael"/>
    <s v="Moore Michael"/>
    <x v="5"/>
    <s v="WA"/>
    <s v="Product BWRLG"/>
    <x v="6"/>
    <x v="478"/>
    <d v="1899-12-30T00:00:00"/>
    <x v="1"/>
    <s v="Ship to 65-A"/>
    <x v="9"/>
    <s v="Supplier SVIYA"/>
    <s v="Germany"/>
    <x v="1"/>
    <n v="31"/>
  </r>
  <r>
    <n v="11077"/>
    <n v="77"/>
    <n v="13"/>
    <n v="2"/>
    <n v="0"/>
    <s v="Moore, Michael"/>
    <s v="Moore Michael"/>
    <x v="5"/>
    <s v="WA"/>
    <s v="Product LUNZZ"/>
    <x v="4"/>
    <x v="478"/>
    <d v="1899-12-30T00:00:00"/>
    <x v="1"/>
    <s v="Ship to 65-A"/>
    <x v="9"/>
    <s v="Supplier SVIYA"/>
    <s v="Germany"/>
    <x v="1"/>
    <n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15DADC-A5A0-485F-B01B-E58E9D2C3AF6}" name="PivotTable1" cacheId="3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10" firstHeaderRow="1" firstDataRow="1" firstDataCol="1"/>
  <pivotFields count="21">
    <pivotField showAll="0"/>
    <pivotField showAll="0"/>
    <pivotField showAll="0"/>
    <pivotField showAll="0"/>
    <pivotField numFmtId="9" showAll="0"/>
    <pivotField showAll="0"/>
    <pivotField showAll="0"/>
    <pivotField showAll="0"/>
    <pivotField showAll="0"/>
    <pivotField showAll="0"/>
    <pivotField axis="axisRow" showAll="0">
      <items count="9">
        <item x="6"/>
        <item x="4"/>
        <item x="5"/>
        <item x="0"/>
        <item x="1"/>
        <item x="7"/>
        <item x="2"/>
        <item x="3"/>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items count="6">
        <item x="1"/>
        <item x="2"/>
        <item x="3"/>
        <item x="4"/>
        <item x="0"/>
        <item t="default"/>
      </items>
    </pivotField>
  </pivotFields>
  <rowFields count="1">
    <field x="10"/>
  </rowFields>
  <rowItems count="9">
    <i>
      <x/>
    </i>
    <i>
      <x v="1"/>
    </i>
    <i>
      <x v="2"/>
    </i>
    <i>
      <x v="3"/>
    </i>
    <i>
      <x v="4"/>
    </i>
    <i>
      <x v="5"/>
    </i>
    <i>
      <x v="6"/>
    </i>
    <i>
      <x v="7"/>
    </i>
    <i t="grand">
      <x/>
    </i>
  </rowItems>
  <colItems count="1">
    <i/>
  </colItems>
  <dataFields count="1">
    <dataField name="Sum of Revenue " fld="19"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D8FB30-5A82-43D1-BE83-9C559740B1EC}" name="PivotTable2" cacheId="3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B24" firstHeaderRow="1" firstDataRow="1" firstDataCol="1"/>
  <pivotFields count="21">
    <pivotField showAll="0"/>
    <pivotField showAll="0"/>
    <pivotField showAll="0"/>
    <pivotField showAll="0"/>
    <pivotField numFmtId="9" showAll="0"/>
    <pivotField showAll="0"/>
    <pivotField showAll="0"/>
    <pivotField axis="axisRow" showAll="0">
      <items count="13">
        <item x="8"/>
        <item x="7"/>
        <item x="9"/>
        <item x="3"/>
        <item x="1"/>
        <item x="2"/>
        <item x="6"/>
        <item x="5"/>
        <item x="4"/>
        <item m="1" x="11"/>
        <item m="1" x="10"/>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items count="6">
        <item x="1"/>
        <item x="2"/>
        <item x="3"/>
        <item x="4"/>
        <item x="0"/>
        <item t="default"/>
      </items>
    </pivotField>
  </pivotFields>
  <rowFields count="1">
    <field x="7"/>
  </rowFields>
  <rowItems count="11">
    <i>
      <x/>
    </i>
    <i>
      <x v="1"/>
    </i>
    <i>
      <x v="2"/>
    </i>
    <i>
      <x v="3"/>
    </i>
    <i>
      <x v="4"/>
    </i>
    <i>
      <x v="5"/>
    </i>
    <i>
      <x v="6"/>
    </i>
    <i>
      <x v="7"/>
    </i>
    <i>
      <x v="8"/>
    </i>
    <i>
      <x v="11"/>
    </i>
    <i t="grand">
      <x/>
    </i>
  </rowItems>
  <colItems count="1">
    <i/>
  </colItems>
  <dataFields count="1">
    <dataField name="Sum of Revenue " fld="19" baseField="0" baseItem="0"/>
  </dataFields>
  <formats count="1">
    <format dxfId="5">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0966FC-E7C1-425C-87E6-EED9194217BB}" name="PivotTable3" cacheId="3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F7" firstHeaderRow="1" firstDataRow="1" firstDataCol="1"/>
  <pivotFields count="21">
    <pivotField showAll="0"/>
    <pivotField showAll="0"/>
    <pivotField showAll="0"/>
    <pivotField showAll="0"/>
    <pivotField numFmtId="9" showAll="0"/>
    <pivotField showAll="0"/>
    <pivotField showAll="0"/>
    <pivotField showAll="0"/>
    <pivotField showAll="0"/>
    <pivotField showAll="0"/>
    <pivotField showAll="0"/>
    <pivotField axis="axisRow" showAll="0" sortType="ascending">
      <items count="15">
        <item x="1"/>
        <item x="2"/>
        <item x="3"/>
        <item x="4"/>
        <item x="5"/>
        <item x="6"/>
        <item x="7"/>
        <item x="8"/>
        <item x="9"/>
        <item x="10"/>
        <item x="11"/>
        <item x="12"/>
        <item x="0"/>
        <item x="13"/>
        <item t="default"/>
      </items>
    </pivotField>
    <pivotField showAll="0"/>
    <pivotField showAll="0"/>
    <pivotField showAll="0"/>
    <pivotField showAll="0"/>
    <pivotField showAll="0"/>
    <pivotField showAll="0"/>
    <pivotField showAll="0"/>
    <pivotField dataField="1" showAll="0"/>
    <pivotField axis="axisRow" showAll="0">
      <items count="6">
        <item sd="0" x="1"/>
        <item sd="0" x="2"/>
        <item sd="0" x="3"/>
        <item x="4"/>
        <item x="0"/>
        <item t="default"/>
      </items>
    </pivotField>
  </pivotFields>
  <rowFields count="2">
    <field x="20"/>
    <field x="11"/>
  </rowFields>
  <rowItems count="6">
    <i>
      <x/>
    </i>
    <i>
      <x v="1"/>
    </i>
    <i>
      <x v="2"/>
    </i>
    <i>
      <x v="4"/>
    </i>
    <i r="1">
      <x v="12"/>
    </i>
    <i t="grand">
      <x/>
    </i>
  </rowItems>
  <colItems count="1">
    <i/>
  </colItems>
  <dataFields count="1">
    <dataField name="Sum of Revenue " fld="19" baseField="0" baseItem="0"/>
  </dataFields>
  <formats count="3">
    <format dxfId="2">
      <pivotArea collapsedLevelsAreSubtotals="1" fieldPosition="0">
        <references count="1">
          <reference field="20" count="1">
            <x v="0"/>
          </reference>
        </references>
      </pivotArea>
    </format>
    <format dxfId="1">
      <pivotArea collapsedLevelsAreSubtotals="1" fieldPosition="0">
        <references count="1">
          <reference field="20" count="1">
            <x v="1"/>
          </reference>
        </references>
      </pivotArea>
    </format>
    <format dxfId="0">
      <pivotArea collapsedLevelsAreSubtotals="1" fieldPosition="0">
        <references count="1">
          <reference field="20"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1CA81A-76EB-499B-B756-511CC0814937}" name="PivotTable4" cacheId="3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9:B52" firstHeaderRow="1" firstDataRow="1" firstDataCol="1"/>
  <pivotFields count="21">
    <pivotField showAll="0"/>
    <pivotField showAll="0"/>
    <pivotField showAll="0"/>
    <pivotField showAll="0"/>
    <pivotField numFmtId="9"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axis="axisRow" showAll="0">
      <items count="25">
        <item x="21"/>
        <item x="6"/>
        <item x="3"/>
        <item x="1"/>
        <item x="17"/>
        <item x="18"/>
        <item x="11"/>
        <item x="2"/>
        <item x="8"/>
        <item x="15"/>
        <item x="12"/>
        <item x="7"/>
        <item x="20"/>
        <item x="19"/>
        <item x="16"/>
        <item x="13"/>
        <item x="10"/>
        <item x="4"/>
        <item x="14"/>
        <item x="9"/>
        <item x="5"/>
        <item m="1" x="23"/>
        <item m="1" x="22"/>
        <item x="0"/>
        <item t="default"/>
      </items>
    </pivotField>
    <pivotField showAll="0"/>
    <pivotField showAll="0"/>
    <pivotField showAll="0"/>
    <pivotField dataField="1" showAll="0"/>
    <pivotField showAll="0">
      <items count="6">
        <item x="1"/>
        <item x="2"/>
        <item x="3"/>
        <item x="4"/>
        <item x="0"/>
        <item t="default"/>
      </items>
    </pivotField>
  </pivotFields>
  <rowFields count="1">
    <field x="15"/>
  </rowFields>
  <rowItems count="23">
    <i>
      <x/>
    </i>
    <i>
      <x v="1"/>
    </i>
    <i>
      <x v="2"/>
    </i>
    <i>
      <x v="3"/>
    </i>
    <i>
      <x v="4"/>
    </i>
    <i>
      <x v="5"/>
    </i>
    <i>
      <x v="6"/>
    </i>
    <i>
      <x v="7"/>
    </i>
    <i>
      <x v="8"/>
    </i>
    <i>
      <x v="9"/>
    </i>
    <i>
      <x v="10"/>
    </i>
    <i>
      <x v="11"/>
    </i>
    <i>
      <x v="12"/>
    </i>
    <i>
      <x v="13"/>
    </i>
    <i>
      <x v="14"/>
    </i>
    <i>
      <x v="15"/>
    </i>
    <i>
      <x v="16"/>
    </i>
    <i>
      <x v="17"/>
    </i>
    <i>
      <x v="18"/>
    </i>
    <i>
      <x v="19"/>
    </i>
    <i>
      <x v="20"/>
    </i>
    <i>
      <x v="23"/>
    </i>
    <i t="grand">
      <x/>
    </i>
  </rowItems>
  <colItems count="1">
    <i/>
  </colItems>
  <dataFields count="1">
    <dataField name="Sum of Revenue " fld="19" baseField="0" baseItem="0"/>
  </dataFields>
  <formats count="1">
    <format dxfId="4">
      <pivotArea collapsedLevelsAreSubtotals="1" fieldPosition="0">
        <references count="1">
          <reference field="1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8EEE6A-C6F8-4A6B-9D83-AC7EAA22F932}" name="PivotTable5" cacheId="3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6:B61" firstHeaderRow="1" firstDataRow="1" firstDataCol="1"/>
  <pivotFields count="21">
    <pivotField showAll="0"/>
    <pivotField showAll="0"/>
    <pivotField showAll="0"/>
    <pivotField showAll="0"/>
    <pivotField numFmtId="9"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axis="axisRow" showAll="0">
      <items count="7">
        <item x="1"/>
        <item x="2"/>
        <item x="3"/>
        <item m="1" x="5"/>
        <item m="1" x="4"/>
        <item x="0"/>
        <item t="default"/>
      </items>
    </pivotField>
    <pivotField showAll="0"/>
    <pivotField showAll="0"/>
    <pivotField showAll="0"/>
    <pivotField showAll="0"/>
    <pivotField showAll="0"/>
    <pivotField dataField="1" showAll="0"/>
    <pivotField showAll="0">
      <items count="6">
        <item x="1"/>
        <item x="2"/>
        <item x="3"/>
        <item x="4"/>
        <item x="0"/>
        <item t="default"/>
      </items>
    </pivotField>
  </pivotFields>
  <rowFields count="1">
    <field x="13"/>
  </rowFields>
  <rowItems count="5">
    <i>
      <x/>
    </i>
    <i>
      <x v="1"/>
    </i>
    <i>
      <x v="2"/>
    </i>
    <i>
      <x v="5"/>
    </i>
    <i t="grand">
      <x/>
    </i>
  </rowItems>
  <colItems count="1">
    <i/>
  </colItems>
  <dataFields count="1">
    <dataField name="Sum of Revenue " fld="19" baseField="0" baseItem="0"/>
  </dataFields>
  <formats count="1">
    <format dxfId="3">
      <pivotArea collapsedLevelsAreSubtotals="1" fieldPosition="0">
        <references count="1">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EECBFB-8FF6-4086-9D1A-A0CC101C0B7B}" name="PivotTable6" cacheId="3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5:B69" firstHeaderRow="1" firstDataRow="1" firstDataCol="1"/>
  <pivotFields count="21">
    <pivotField dataField="1" showAll="0"/>
    <pivotField showAll="0"/>
    <pivotField showAll="0"/>
    <pivotField showAll="0"/>
    <pivotField numFmtId="9"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items count="6">
        <item x="2"/>
        <item x="1"/>
        <item m="1" x="4"/>
        <item m="1" x="3"/>
        <item x="0"/>
        <item t="default"/>
      </items>
    </pivotField>
    <pivotField showAll="0"/>
    <pivotField showAll="0">
      <items count="6">
        <item x="1"/>
        <item x="2"/>
        <item x="3"/>
        <item x="4"/>
        <item x="0"/>
        <item t="default"/>
      </items>
    </pivotField>
  </pivotFields>
  <rowFields count="1">
    <field x="18"/>
  </rowFields>
  <rowItems count="4">
    <i>
      <x/>
    </i>
    <i>
      <x v="1"/>
    </i>
    <i>
      <x v="4"/>
    </i>
    <i t="grand">
      <x/>
    </i>
  </rowItems>
  <colItems count="1">
    <i/>
  </colItems>
  <dataFields count="1">
    <dataField name="Count of orderid" fld="0"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59178F3-70FE-4C60-B75F-F092DF8844C6}">
  <we:reference id="wa200009404" version="1.0.0.8" store="en-US" storeType="OMEX"/>
  <we:alternateReferences>
    <we:reference id="wa200009404" version="1.0.0.8" store="" storeType="OMEX"/>
  </we:alternateReferences>
  <we:properties>
    <we:property name="claude.fileId" value="&quot;91e58d6b-13eb-4e72-b612-9a21745fcbc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1:U2156"/>
  <sheetViews>
    <sheetView topLeftCell="A2" workbookViewId="0">
      <selection activeCell="U8" sqref="U8"/>
    </sheetView>
  </sheetViews>
  <sheetFormatPr defaultColWidth="12.5546875" defaultRowHeight="15.75" customHeight="1"/>
  <cols>
    <col min="5" max="5" width="12.5546875" style="19"/>
    <col min="6" max="8" width="20.44140625" customWidth="1"/>
    <col min="9" max="9" width="13.33203125" customWidth="1"/>
    <col min="10" max="10" width="16.21875" customWidth="1"/>
    <col min="11" max="11" width="16" customWidth="1"/>
    <col min="12" max="12" width="12.5546875" style="24"/>
    <col min="14" max="14" width="17.21875" customWidth="1"/>
    <col min="15" max="15" width="18" customWidth="1"/>
    <col min="17" max="17" width="16.44140625" customWidth="1"/>
    <col min="20" max="20" width="19.21875" bestFit="1" customWidth="1"/>
  </cols>
  <sheetData>
    <row r="1" spans="1:21">
      <c r="A1" s="9" t="s">
        <v>637</v>
      </c>
      <c r="B1" s="6" t="s">
        <v>638</v>
      </c>
      <c r="C1" s="6" t="s">
        <v>639</v>
      </c>
      <c r="D1" s="6" t="s">
        <v>640</v>
      </c>
      <c r="E1" s="18" t="s">
        <v>641</v>
      </c>
      <c r="F1" s="6" t="s">
        <v>1429</v>
      </c>
      <c r="G1" s="6" t="s">
        <v>1439</v>
      </c>
      <c r="H1" s="6" t="s">
        <v>1438</v>
      </c>
      <c r="I1" s="6" t="s">
        <v>1430</v>
      </c>
      <c r="J1" s="6" t="s">
        <v>1431</v>
      </c>
      <c r="K1" s="6" t="s">
        <v>1432</v>
      </c>
      <c r="L1" s="23" t="s">
        <v>732</v>
      </c>
      <c r="M1" s="6" t="s">
        <v>734</v>
      </c>
      <c r="N1" s="6" t="s">
        <v>1433</v>
      </c>
      <c r="O1" s="1" t="s">
        <v>737</v>
      </c>
      <c r="P1" s="1" t="s">
        <v>742</v>
      </c>
      <c r="Q1" s="1" t="s">
        <v>1434</v>
      </c>
      <c r="R1" s="1" t="s">
        <v>1435</v>
      </c>
      <c r="S1" s="17" t="s">
        <v>1436</v>
      </c>
      <c r="T1" s="17" t="s">
        <v>1468</v>
      </c>
      <c r="U1" s="33" t="s">
        <v>1464</v>
      </c>
    </row>
    <row r="2" spans="1:21">
      <c r="A2" s="9">
        <v>10248</v>
      </c>
      <c r="B2" s="6">
        <v>11</v>
      </c>
      <c r="C2" s="6">
        <v>14</v>
      </c>
      <c r="D2" s="6">
        <v>12</v>
      </c>
      <c r="E2" s="18">
        <v>0</v>
      </c>
      <c r="F2" s="6" t="str">
        <f>IFERROR(VLOOKUP(VLOOKUP(A2,'Sales Order'!A:B,2,FALSE),Customer!A:C,3,FALSE),"Not Specified")</f>
        <v>Not Specified</v>
      </c>
      <c r="G2" s="6" t="str">
        <f>SUBSTITUTE(F2,",","",1)</f>
        <v>Not Specified</v>
      </c>
      <c r="H2" s="22" t="str">
        <f>IFERROR(VLOOKUP(VLOOKUP(A2,'Sales Order'!A:C,3,FALSE),Employee!A:E,5,FALSE)&amp;" "&amp;VLOOKUP(VLOOKUP(A2,'Sales Order'!A:C,3,FALSE),Employee!A:C,3,FALSE)&amp;" "&amp;VLOOKUP(VLOOKUP(A2,'Sales Order'!A:C,3,FALSE),Employee!A:B,2,FALSE),"Not Specified")</f>
        <v>Not Specified</v>
      </c>
      <c r="I2" t="str">
        <f>IFERROR(VLOOKUP(VLOOKUP(A2,'Sales Order'!A:C,3,FALSE),Employee!A:J,10,FALSE),"Not Specified")</f>
        <v>Not Specified</v>
      </c>
      <c r="J2" t="str">
        <f>VLOOKUP(B2,Product!A:B,2,FALSE)</f>
        <v>Product QMVUN</v>
      </c>
      <c r="K2" t="str">
        <f>VLOOKUP(VLOOKUP(B2,Product!A:D,4,FALSE),Category!A:B,2,FALSE)</f>
        <v>Dairy Product</v>
      </c>
      <c r="L2" s="32"/>
      <c r="M2" s="24" t="str">
        <f>IFERROR(VLOOKUP(A2,'Sales Order'!A:F,6,FALSE),"")</f>
        <v/>
      </c>
      <c r="N2" t="str">
        <f>IFERROR(VLOOKUP(VLOOKUP(A2,'Sales Order'!A:G,7,FALSE),Shipper!A:B,2,FALSE),"Not Specified")</f>
        <v>Not Specified</v>
      </c>
      <c r="O2" t="str">
        <f>IFERROR(VLOOKUP(A2,'Sales Order'!A:I,9,FALSE),"Not Specified")</f>
        <v>Not Specified</v>
      </c>
      <c r="P2" t="str">
        <f>IFERROR(VLOOKUP(A2,'Sales Order'!A:N,14,FALSE),"Not Specified")</f>
        <v>Not Specified</v>
      </c>
      <c r="Q2" t="str">
        <f>VLOOKUP(VLOOKUP(B2,Product!A:C,3,FALSE),Supplier!A:B,2,FALSE)</f>
        <v>Supplier EQPNC</v>
      </c>
      <c r="R2" t="str">
        <f>VLOOKUP(VLOOKUP(B2,Product!A:C,3,FALSE),Supplier!A:I,9,FALSE)</f>
        <v>Spain</v>
      </c>
      <c r="S2" t="str">
        <f>IFERROR(IF(VLOOKUP(A2,'Sales Order'!A:H,8,FALSE)&gt;100,"High Freight","Low Freight"),"Not Specified")</f>
        <v>Not Specified</v>
      </c>
      <c r="T2">
        <f>C2*D2*(1-E2)</f>
        <v>168</v>
      </c>
      <c r="U2" s="35" t="s">
        <v>1466</v>
      </c>
    </row>
    <row r="3" spans="1:21">
      <c r="A3" s="9">
        <v>10248</v>
      </c>
      <c r="B3" s="6">
        <v>42</v>
      </c>
      <c r="C3" s="6">
        <v>9.8000000000000007</v>
      </c>
      <c r="D3" s="6">
        <v>10</v>
      </c>
      <c r="E3" s="18">
        <v>0</v>
      </c>
      <c r="F3" s="6" t="str">
        <f>IFERROR(VLOOKUP(VLOOKUP(A3,'Sales Order'!A:B,2,FALSE),Customer!A:C,3,FALSE),"Not Specified")</f>
        <v>Not Specified</v>
      </c>
      <c r="G3" s="6" t="str">
        <f t="shared" ref="G3:G66" si="0">SUBSTITUTE(F3,",","",1)</f>
        <v>Not Specified</v>
      </c>
      <c r="H3" s="22" t="str">
        <f>IFERROR(VLOOKUP(VLOOKUP(A3,'Sales Order'!A:C,3,FALSE),Employee!A:E,5,FALSE)&amp;" "&amp;VLOOKUP(VLOOKUP(A3,'Sales Order'!A:C,3,FALSE),Employee!A:C,3,FALSE)&amp;" "&amp;VLOOKUP(VLOOKUP(A3,'Sales Order'!A:C,3,FALSE),Employee!A:B,2,FALSE),"Not Specified")</f>
        <v>Not Specified</v>
      </c>
      <c r="I3" t="str">
        <f>IFERROR(VLOOKUP(VLOOKUP(A3,'Sales Order'!A:C,3,FALSE),Employee!A:J,10,FALSE),"Not Specified")</f>
        <v>Not Specified</v>
      </c>
      <c r="J3" t="str">
        <f>VLOOKUP(B3,Product!A:B,2,FALSE)</f>
        <v>Product RJVNM</v>
      </c>
      <c r="K3" t="str">
        <f>VLOOKUP(VLOOKUP(B3,Product!A:D,4,FALSE),Category!A:B,2,FALSE)</f>
        <v>Grains/Cereals</v>
      </c>
      <c r="L3" s="32"/>
      <c r="M3" s="24" t="str">
        <f>IFERROR(VLOOKUP(A3,'Sales Order'!A:F,6,FALSE),"")</f>
        <v/>
      </c>
      <c r="N3" t="str">
        <f>IFERROR(VLOOKUP(VLOOKUP(A3,'Sales Order'!A:G,7,FALSE),Shipper!A:B,2,FALSE),"Not Specified")</f>
        <v>Not Specified</v>
      </c>
      <c r="O3" t="str">
        <f>IFERROR(VLOOKUP(A3,'Sales Order'!A:I,9,FALSE),"Not Specified")</f>
        <v>Not Specified</v>
      </c>
      <c r="P3" t="str">
        <f>IFERROR(VLOOKUP(A3,'Sales Order'!A:N,14,FALSE),"Not Specified")</f>
        <v>Not Specified</v>
      </c>
      <c r="Q3" t="str">
        <f>VLOOKUP(VLOOKUP(B3,Product!A:C,3,FALSE),Supplier!A:B,2,FALSE)</f>
        <v>Supplier CIYNM</v>
      </c>
      <c r="R3" t="str">
        <f>VLOOKUP(VLOOKUP(B3,Product!A:C,3,FALSE),Supplier!A:I,9,FALSE)</f>
        <v>Singapore</v>
      </c>
      <c r="S3" t="str">
        <f>IFERROR(IF(VLOOKUP(A3,'Sales Order'!A:H,8,FALSE)&gt;100,"High Freight","Low Freight"),"Not Specified")</f>
        <v>Not Specified</v>
      </c>
      <c r="T3">
        <f t="shared" ref="T3:T66" si="1">C3*D3*(1-E3)</f>
        <v>98</v>
      </c>
      <c r="U3" s="34" t="s">
        <v>1466</v>
      </c>
    </row>
    <row r="4" spans="1:21">
      <c r="A4" s="9">
        <v>10248</v>
      </c>
      <c r="B4" s="6">
        <v>72</v>
      </c>
      <c r="C4" s="6">
        <v>34.799999999999997</v>
      </c>
      <c r="D4" s="6">
        <v>5</v>
      </c>
      <c r="E4" s="18">
        <v>0</v>
      </c>
      <c r="F4" s="6" t="str">
        <f>IFERROR(VLOOKUP(VLOOKUP(A4,'Sales Order'!A:B,2,FALSE),Customer!A:C,3,FALSE),"Not Specified")</f>
        <v>Not Specified</v>
      </c>
      <c r="G4" s="6" t="str">
        <f t="shared" si="0"/>
        <v>Not Specified</v>
      </c>
      <c r="H4" s="22" t="str">
        <f>IFERROR(VLOOKUP(VLOOKUP(A4,'Sales Order'!A:C,3,FALSE),Employee!A:E,5,FALSE)&amp;" "&amp;VLOOKUP(VLOOKUP(A4,'Sales Order'!A:C,3,FALSE),Employee!A:C,3,FALSE)&amp;" "&amp;VLOOKUP(VLOOKUP(A4,'Sales Order'!A:C,3,FALSE),Employee!A:B,2,FALSE),"Not Specified")</f>
        <v>Not Specified</v>
      </c>
      <c r="I4" t="str">
        <f>IFERROR(VLOOKUP(VLOOKUP(A4,'Sales Order'!A:C,3,FALSE),Employee!A:J,10,FALSE),"Not Specified")</f>
        <v>Not Specified</v>
      </c>
      <c r="J4" t="str">
        <f>VLOOKUP(B4,Product!A:B,2,FALSE)</f>
        <v>Product GEEOO</v>
      </c>
      <c r="K4" t="str">
        <f>VLOOKUP(VLOOKUP(B4,Product!A:D,4,FALSE),Category!A:B,2,FALSE)</f>
        <v>Dairy Product</v>
      </c>
      <c r="L4" s="32"/>
      <c r="M4" s="24" t="str">
        <f>IFERROR(VLOOKUP(A4,'Sales Order'!A:F,6,FALSE),"")</f>
        <v/>
      </c>
      <c r="N4" t="str">
        <f>IFERROR(VLOOKUP(VLOOKUP(A4,'Sales Order'!A:G,7,FALSE),Shipper!A:B,2,FALSE),"Not Specified")</f>
        <v>Not Specified</v>
      </c>
      <c r="O4" t="str">
        <f>IFERROR(VLOOKUP(A4,'Sales Order'!A:I,9,FALSE),"Not Specified")</f>
        <v>Not Specified</v>
      </c>
      <c r="P4" t="str">
        <f>IFERROR(VLOOKUP(A4,'Sales Order'!A:N,14,FALSE),"Not Specified")</f>
        <v>Not Specified</v>
      </c>
      <c r="Q4" t="str">
        <f>VLOOKUP(VLOOKUP(B4,Product!A:C,3,FALSE),Supplier!A:B,2,FALSE)</f>
        <v>Supplier KEREV</v>
      </c>
      <c r="R4" t="str">
        <f>VLOOKUP(VLOOKUP(B4,Product!A:C,3,FALSE),Supplier!A:I,9,FALSE)</f>
        <v>Italy</v>
      </c>
      <c r="S4" t="str">
        <f>IFERROR(IF(VLOOKUP(A4,'Sales Order'!A:H,8,FALSE)&gt;100,"High Freight","Low Freight"),"Not Specified")</f>
        <v>Not Specified</v>
      </c>
      <c r="T4">
        <f t="shared" si="1"/>
        <v>174</v>
      </c>
      <c r="U4" s="34" t="s">
        <v>1466</v>
      </c>
    </row>
    <row r="5" spans="1:21">
      <c r="A5" s="9">
        <v>10249</v>
      </c>
      <c r="B5" s="6">
        <v>14</v>
      </c>
      <c r="C5" s="6">
        <v>18.600000000000001</v>
      </c>
      <c r="D5" s="6">
        <v>9</v>
      </c>
      <c r="E5" s="18">
        <v>0</v>
      </c>
      <c r="F5" s="6" t="str">
        <f>IFERROR(VLOOKUP(VLOOKUP(A5,'Sales Order'!A:B,2,FALSE),Customer!A:C,3,FALSE),"Not Specified")</f>
        <v>Not Specified</v>
      </c>
      <c r="G5" s="6" t="str">
        <f t="shared" si="0"/>
        <v>Not Specified</v>
      </c>
      <c r="H5" s="22" t="str">
        <f>IFERROR(VLOOKUP(VLOOKUP(A5,'Sales Order'!A:C,3,FALSE),Employee!A:E,5,FALSE)&amp;" "&amp;VLOOKUP(VLOOKUP(A5,'Sales Order'!A:C,3,FALSE),Employee!A:C,3,FALSE)&amp;" "&amp;VLOOKUP(VLOOKUP(A5,'Sales Order'!A:C,3,FALSE),Employee!A:B,2,FALSE),"Not Specified")</f>
        <v>Not Specified</v>
      </c>
      <c r="I5" t="str">
        <f>IFERROR(VLOOKUP(VLOOKUP(A5,'Sales Order'!A:C,3,FALSE),Employee!A:J,10,FALSE),"Not Specified")</f>
        <v>Not Specified</v>
      </c>
      <c r="J5" t="str">
        <f>VLOOKUP(B5,Product!A:B,2,FALSE)</f>
        <v>Product PWCJB</v>
      </c>
      <c r="K5" t="str">
        <f>VLOOKUP(VLOOKUP(B5,Product!A:D,4,FALSE),Category!A:B,2,FALSE)</f>
        <v>Produce</v>
      </c>
      <c r="L5" s="32"/>
      <c r="M5" s="24" t="str">
        <f>IFERROR(VLOOKUP(A5,'Sales Order'!A:F,6,FALSE),"")</f>
        <v/>
      </c>
      <c r="N5" t="str">
        <f>IFERROR(VLOOKUP(VLOOKUP(A5,'Sales Order'!A:G,7,FALSE),Shipper!A:B,2,FALSE),"Not Specified")</f>
        <v>Not Specified</v>
      </c>
      <c r="O5" t="str">
        <f>IFERROR(VLOOKUP(A5,'Sales Order'!A:I,9,FALSE),"Not Specified")</f>
        <v>Not Specified</v>
      </c>
      <c r="P5" t="str">
        <f>IFERROR(VLOOKUP(A5,'Sales Order'!A:N,14,FALSE),"Not Specified")</f>
        <v>Not Specified</v>
      </c>
      <c r="Q5" t="str">
        <f>VLOOKUP(VLOOKUP(B5,Product!A:C,3,FALSE),Supplier!A:B,2,FALSE)</f>
        <v>Supplier QWUSF</v>
      </c>
      <c r="R5" t="str">
        <f>VLOOKUP(VLOOKUP(B5,Product!A:C,3,FALSE),Supplier!A:I,9,FALSE)</f>
        <v>Japan</v>
      </c>
      <c r="S5" t="str">
        <f>IFERROR(IF(VLOOKUP(A5,'Sales Order'!A:H,8,FALSE)&gt;100,"High Freight","Low Freight"),"Not Specified")</f>
        <v>Not Specified</v>
      </c>
      <c r="T5">
        <f t="shared" si="1"/>
        <v>167.4</v>
      </c>
      <c r="U5" s="34" t="s">
        <v>1467</v>
      </c>
    </row>
    <row r="6" spans="1:21">
      <c r="A6" s="9">
        <v>10249</v>
      </c>
      <c r="B6" s="6">
        <v>51</v>
      </c>
      <c r="C6" s="6">
        <v>42.4</v>
      </c>
      <c r="D6" s="6">
        <v>40</v>
      </c>
      <c r="E6" s="18">
        <v>0</v>
      </c>
      <c r="F6" s="6" t="str">
        <f>IFERROR(VLOOKUP(VLOOKUP(A6,'Sales Order'!A:B,2,FALSE),Customer!A:C,3,FALSE),"Not Specified")</f>
        <v>Not Specified</v>
      </c>
      <c r="G6" s="6" t="str">
        <f t="shared" si="0"/>
        <v>Not Specified</v>
      </c>
      <c r="H6" s="22" t="str">
        <f>IFERROR(VLOOKUP(VLOOKUP(A6,'Sales Order'!A:C,3,FALSE),Employee!A:E,5,FALSE)&amp;" "&amp;VLOOKUP(VLOOKUP(A6,'Sales Order'!A:C,3,FALSE),Employee!A:C,3,FALSE)&amp;" "&amp;VLOOKUP(VLOOKUP(A6,'Sales Order'!A:C,3,FALSE),Employee!A:B,2,FALSE),"Not Specified")</f>
        <v>Not Specified</v>
      </c>
      <c r="I6" t="str">
        <f>IFERROR(VLOOKUP(VLOOKUP(A6,'Sales Order'!A:C,3,FALSE),Employee!A:J,10,FALSE),"Not Specified")</f>
        <v>Not Specified</v>
      </c>
      <c r="J6" t="str">
        <f>VLOOKUP(B6,Product!A:B,2,FALSE)</f>
        <v>Product APITJ</v>
      </c>
      <c r="K6" t="str">
        <f>VLOOKUP(VLOOKUP(B6,Product!A:D,4,FALSE),Category!A:B,2,FALSE)</f>
        <v>Produce</v>
      </c>
      <c r="L6" s="32"/>
      <c r="M6" s="24" t="str">
        <f>IFERROR(VLOOKUP(A6,'Sales Order'!A:F,6,FALSE),"")</f>
        <v/>
      </c>
      <c r="N6" t="str">
        <f>IFERROR(VLOOKUP(VLOOKUP(A6,'Sales Order'!A:G,7,FALSE),Shipper!A:B,2,FALSE),"Not Specified")</f>
        <v>Not Specified</v>
      </c>
      <c r="O6" t="str">
        <f>IFERROR(VLOOKUP(A6,'Sales Order'!A:I,9,FALSE),"Not Specified")</f>
        <v>Not Specified</v>
      </c>
      <c r="P6" t="str">
        <f>IFERROR(VLOOKUP(A6,'Sales Order'!A:N,14,FALSE),"Not Specified")</f>
        <v>Not Specified</v>
      </c>
      <c r="Q6" t="str">
        <f>VLOOKUP(VLOOKUP(B6,Product!A:C,3,FALSE),Supplier!A:B,2,FALSE)</f>
        <v>Supplier JNNES</v>
      </c>
      <c r="R6" t="str">
        <f>VLOOKUP(VLOOKUP(B6,Product!A:C,3,FALSE),Supplier!A:I,9,FALSE)</f>
        <v>Australia</v>
      </c>
      <c r="S6" t="str">
        <f>IFERROR(IF(VLOOKUP(A6,'Sales Order'!A:H,8,FALSE)&gt;100,"High Freight","Low Freight"),"Not Specified")</f>
        <v>Not Specified</v>
      </c>
      <c r="T6">
        <f t="shared" si="1"/>
        <v>1696</v>
      </c>
      <c r="U6" s="34" t="s">
        <v>1467</v>
      </c>
    </row>
    <row r="7" spans="1:21">
      <c r="A7" s="9">
        <v>10250</v>
      </c>
      <c r="B7" s="6">
        <v>41</v>
      </c>
      <c r="C7" s="6">
        <v>7.7</v>
      </c>
      <c r="D7" s="6">
        <v>10</v>
      </c>
      <c r="E7" s="18">
        <v>0</v>
      </c>
      <c r="F7" s="6" t="str">
        <f>IFERROR(VLOOKUP(VLOOKUP(A7,'Sales Order'!A:B,2,FALSE),Customer!A:C,3,FALSE),"Not Specified")</f>
        <v>Cohen, Shy</v>
      </c>
      <c r="G7" s="6" t="str">
        <f t="shared" si="0"/>
        <v>Cohen Shy</v>
      </c>
      <c r="H7" s="22" t="str">
        <f>IFERROR(VLOOKUP(VLOOKUP(A7,'Sales Order'!A:C,3,FALSE),Employee!A:E,5,FALSE)&amp;" "&amp;VLOOKUP(VLOOKUP(A7,'Sales Order'!A:C,3,FALSE),Employee!A:C,3,FALSE)&amp;" "&amp;VLOOKUP(VLOOKUP(A7,'Sales Order'!A:C,3,FALSE),Employee!A:B,2,FALSE),"Not Specified")</f>
        <v>Mrs. Yael Peled</v>
      </c>
      <c r="I7" t="str">
        <f>IFERROR(VLOOKUP(VLOOKUP(A7,'Sales Order'!A:C,3,FALSE),Employee!A:J,10,FALSE),"Not Specified")</f>
        <v>WA</v>
      </c>
      <c r="J7" t="str">
        <f>VLOOKUP(B7,Product!A:B,2,FALSE)</f>
        <v>Product TTEEX</v>
      </c>
      <c r="K7" t="str">
        <f>VLOOKUP(VLOOKUP(B7,Product!A:D,4,FALSE),Category!A:B,2,FALSE)</f>
        <v>Seafood</v>
      </c>
      <c r="L7" s="24">
        <f>IFERROR(VLOOKUP(A7,'Sales Order'!A:D,4,FALSE),"")</f>
        <v>38906</v>
      </c>
      <c r="M7" s="24">
        <f>IFERROR(VLOOKUP(A7,'Sales Order'!A:F,6,FALSE),"")</f>
        <v>38910</v>
      </c>
      <c r="N7" t="str">
        <f>IFERROR(VLOOKUP(VLOOKUP(A7,'Sales Order'!A:G,7,FALSE),Shipper!A:B,2,FALSE),"Not Specified")</f>
        <v>Shipper ETYNR</v>
      </c>
      <c r="O7" t="str">
        <f>IFERROR(VLOOKUP(A7,'Sales Order'!A:I,9,FALSE),"Not Specified")</f>
        <v>Destination SCQXA</v>
      </c>
      <c r="P7" t="str">
        <f>IFERROR(VLOOKUP(A7,'Sales Order'!A:N,14,FALSE),"Not Specified")</f>
        <v>Brazil</v>
      </c>
      <c r="Q7" t="str">
        <f>VLOOKUP(VLOOKUP(B7,Product!A:C,3,FALSE),Supplier!A:B,2,FALSE)</f>
        <v>Supplier JDNUG</v>
      </c>
      <c r="R7" t="str">
        <f>VLOOKUP(VLOOKUP(B7,Product!A:C,3,FALSE),Supplier!A:I,9,FALSE)</f>
        <v>USA</v>
      </c>
      <c r="S7" t="str">
        <f>IFERROR(IF(VLOOKUP(A7,'Sales Order'!A:H,8,FALSE)&gt;100,"High Freight","Low Freight"),"Not Specified")</f>
        <v>Low Freight</v>
      </c>
      <c r="T7">
        <f t="shared" si="1"/>
        <v>77</v>
      </c>
    </row>
    <row r="8" spans="1:21">
      <c r="A8" s="9">
        <v>10250</v>
      </c>
      <c r="B8" s="6">
        <v>51</v>
      </c>
      <c r="C8" s="6">
        <v>42.4</v>
      </c>
      <c r="D8" s="6">
        <v>35</v>
      </c>
      <c r="E8" s="18">
        <v>0.15</v>
      </c>
      <c r="F8" s="6" t="str">
        <f>IFERROR(VLOOKUP(VLOOKUP(A8,'Sales Order'!A:B,2,FALSE),Customer!A:C,3,FALSE),"Not Specified")</f>
        <v>Cohen, Shy</v>
      </c>
      <c r="G8" s="6" t="str">
        <f t="shared" si="0"/>
        <v>Cohen Shy</v>
      </c>
      <c r="H8" s="22" t="str">
        <f>IFERROR(VLOOKUP(VLOOKUP(A8,'Sales Order'!A:C,3,FALSE),Employee!A:E,5,FALSE)&amp;" "&amp;VLOOKUP(VLOOKUP(A8,'Sales Order'!A:C,3,FALSE),Employee!A:C,3,FALSE)&amp;" "&amp;VLOOKUP(VLOOKUP(A8,'Sales Order'!A:C,3,FALSE),Employee!A:B,2,FALSE),"Not Specified")</f>
        <v>Mrs. Yael Peled</v>
      </c>
      <c r="I8" t="str">
        <f>IFERROR(VLOOKUP(VLOOKUP(A8,'Sales Order'!A:C,3,FALSE),Employee!A:J,10,FALSE),"Not Specified")</f>
        <v>WA</v>
      </c>
      <c r="J8" t="str">
        <f>VLOOKUP(B8,Product!A:B,2,FALSE)</f>
        <v>Product APITJ</v>
      </c>
      <c r="K8" t="str">
        <f>VLOOKUP(VLOOKUP(B8,Product!A:D,4,FALSE),Category!A:B,2,FALSE)</f>
        <v>Produce</v>
      </c>
      <c r="L8" s="24">
        <f>IFERROR(VLOOKUP(A8,'Sales Order'!A:D,4,FALSE),"")</f>
        <v>38906</v>
      </c>
      <c r="M8" s="24">
        <f>IFERROR(VLOOKUP(A8,'Sales Order'!A:F,6,FALSE),"")</f>
        <v>38910</v>
      </c>
      <c r="N8" t="str">
        <f>IFERROR(VLOOKUP(VLOOKUP(A8,'Sales Order'!A:G,7,FALSE),Shipper!A:B,2,FALSE),"Not Specified")</f>
        <v>Shipper ETYNR</v>
      </c>
      <c r="O8" t="str">
        <f>IFERROR(VLOOKUP(A8,'Sales Order'!A:I,9,FALSE),"Not Specified")</f>
        <v>Destination SCQXA</v>
      </c>
      <c r="P8" t="str">
        <f>IFERROR(VLOOKUP(A8,'Sales Order'!A:N,14,FALSE),"Not Specified")</f>
        <v>Brazil</v>
      </c>
      <c r="Q8" t="str">
        <f>VLOOKUP(VLOOKUP(B8,Product!A:C,3,FALSE),Supplier!A:B,2,FALSE)</f>
        <v>Supplier JNNES</v>
      </c>
      <c r="R8" t="str">
        <f>VLOOKUP(VLOOKUP(B8,Product!A:C,3,FALSE),Supplier!A:I,9,FALSE)</f>
        <v>Australia</v>
      </c>
      <c r="S8" t="str">
        <f>IFERROR(IF(VLOOKUP(A8,'Sales Order'!A:H,8,FALSE)&gt;100,"High Freight","Low Freight"),"Not Specified")</f>
        <v>Low Freight</v>
      </c>
      <c r="T8">
        <f t="shared" si="1"/>
        <v>1261.3999999999999</v>
      </c>
    </row>
    <row r="9" spans="1:21">
      <c r="A9" s="9">
        <v>10250</v>
      </c>
      <c r="B9" s="6">
        <v>65</v>
      </c>
      <c r="C9" s="6">
        <v>16.8</v>
      </c>
      <c r="D9" s="6">
        <v>15</v>
      </c>
      <c r="E9" s="18">
        <v>0.15</v>
      </c>
      <c r="F9" s="6" t="str">
        <f>IFERROR(VLOOKUP(VLOOKUP(A9,'Sales Order'!A:B,2,FALSE),Customer!A:C,3,FALSE),"Not Specified")</f>
        <v>Cohen, Shy</v>
      </c>
      <c r="G9" s="6" t="str">
        <f t="shared" si="0"/>
        <v>Cohen Shy</v>
      </c>
      <c r="H9" s="22" t="str">
        <f>IFERROR(VLOOKUP(VLOOKUP(A9,'Sales Order'!A:C,3,FALSE),Employee!A:E,5,FALSE)&amp;" "&amp;VLOOKUP(VLOOKUP(A9,'Sales Order'!A:C,3,FALSE),Employee!A:C,3,FALSE)&amp;" "&amp;VLOOKUP(VLOOKUP(A9,'Sales Order'!A:C,3,FALSE),Employee!A:B,2,FALSE),"Not Specified")</f>
        <v>Mrs. Yael Peled</v>
      </c>
      <c r="I9" t="str">
        <f>IFERROR(VLOOKUP(VLOOKUP(A9,'Sales Order'!A:C,3,FALSE),Employee!A:J,10,FALSE),"Not Specified")</f>
        <v>WA</v>
      </c>
      <c r="J9" t="str">
        <f>VLOOKUP(B9,Product!A:B,2,FALSE)</f>
        <v>Product XYWBZ</v>
      </c>
      <c r="K9" t="str">
        <f>VLOOKUP(VLOOKUP(B9,Product!A:D,4,FALSE),Category!A:B,2,FALSE)</f>
        <v>Condiments</v>
      </c>
      <c r="L9" s="24">
        <f>IFERROR(VLOOKUP(A9,'Sales Order'!A:D,4,FALSE),"")</f>
        <v>38906</v>
      </c>
      <c r="M9" s="24">
        <f>IFERROR(VLOOKUP(A9,'Sales Order'!A:F,6,FALSE),"")</f>
        <v>38910</v>
      </c>
      <c r="N9" t="str">
        <f>IFERROR(VLOOKUP(VLOOKUP(A9,'Sales Order'!A:G,7,FALSE),Shipper!A:B,2,FALSE),"Not Specified")</f>
        <v>Shipper ETYNR</v>
      </c>
      <c r="O9" t="str">
        <f>IFERROR(VLOOKUP(A9,'Sales Order'!A:I,9,FALSE),"Not Specified")</f>
        <v>Destination SCQXA</v>
      </c>
      <c r="P9" t="str">
        <f>IFERROR(VLOOKUP(A9,'Sales Order'!A:N,14,FALSE),"Not Specified")</f>
        <v>Brazil</v>
      </c>
      <c r="Q9" t="str">
        <f>VLOOKUP(VLOOKUP(B9,Product!A:C,3,FALSE),Supplier!A:B,2,FALSE)</f>
        <v>Supplier VHQZD</v>
      </c>
      <c r="R9" t="str">
        <f>VLOOKUP(VLOOKUP(B9,Product!A:C,3,FALSE),Supplier!A:I,9,FALSE)</f>
        <v>USA</v>
      </c>
      <c r="S9" t="str">
        <f>IFERROR(IF(VLOOKUP(A9,'Sales Order'!A:H,8,FALSE)&gt;100,"High Freight","Low Freight"),"Not Specified")</f>
        <v>Low Freight</v>
      </c>
      <c r="T9">
        <f t="shared" si="1"/>
        <v>214.2</v>
      </c>
    </row>
    <row r="10" spans="1:21">
      <c r="A10" s="9">
        <v>10251</v>
      </c>
      <c r="B10" s="6">
        <v>22</v>
      </c>
      <c r="C10" s="6">
        <v>16.8</v>
      </c>
      <c r="D10" s="6">
        <v>6</v>
      </c>
      <c r="E10" s="18">
        <v>0.05</v>
      </c>
      <c r="F10" s="6" t="str">
        <f>IFERROR(VLOOKUP(VLOOKUP(A10,'Sales Order'!A:B,2,FALSE),Customer!A:C,3,FALSE),"Not Specified")</f>
        <v>Tuntisangaroon, Sittichai</v>
      </c>
      <c r="G10" s="6" t="str">
        <f t="shared" si="0"/>
        <v>Tuntisangaroon Sittichai</v>
      </c>
      <c r="H10" s="22" t="str">
        <f>IFERROR(VLOOKUP(VLOOKUP(A10,'Sales Order'!A:C,3,FALSE),Employee!A:E,5,FALSE)&amp;" "&amp;VLOOKUP(VLOOKUP(A10,'Sales Order'!A:C,3,FALSE),Employee!A:C,3,FALSE)&amp;" "&amp;VLOOKUP(VLOOKUP(A10,'Sales Order'!A:C,3,FALSE),Employee!A:B,2,FALSE),"Not Specified")</f>
        <v>Ms. Judy Lew</v>
      </c>
      <c r="I10" t="str">
        <f>IFERROR(VLOOKUP(VLOOKUP(A10,'Sales Order'!A:C,3,FALSE),Employee!A:J,10,FALSE),"Not Specified")</f>
        <v>WA</v>
      </c>
      <c r="J10" t="str">
        <f>VLOOKUP(B10,Product!A:B,2,FALSE)</f>
        <v>Product CPHFY</v>
      </c>
      <c r="K10" t="str">
        <f>VLOOKUP(VLOOKUP(B10,Product!A:D,4,FALSE),Category!A:B,2,FALSE)</f>
        <v>Grains/Cereals</v>
      </c>
      <c r="L10" s="24">
        <f>IFERROR(VLOOKUP(A10,'Sales Order'!A:D,4,FALSE),"")</f>
        <v>38906</v>
      </c>
      <c r="M10" s="24">
        <f>IFERROR(VLOOKUP(A10,'Sales Order'!A:F,6,FALSE),"")</f>
        <v>38913</v>
      </c>
      <c r="N10" t="str">
        <f>IFERROR(VLOOKUP(VLOOKUP(A10,'Sales Order'!A:G,7,FALSE),Shipper!A:B,2,FALSE),"Not Specified")</f>
        <v>Shipper GVSUA</v>
      </c>
      <c r="O10" t="str">
        <f>IFERROR(VLOOKUP(A10,'Sales Order'!A:I,9,FALSE),"Not Specified")</f>
        <v>Ship to 84-A</v>
      </c>
      <c r="P10" t="str">
        <f>IFERROR(VLOOKUP(A10,'Sales Order'!A:N,14,FALSE),"Not Specified")</f>
        <v>France</v>
      </c>
      <c r="Q10" t="str">
        <f>VLOOKUP(VLOOKUP(B10,Product!A:C,3,FALSE),Supplier!A:B,2,FALSE)</f>
        <v>Supplier QQYEU</v>
      </c>
      <c r="R10" t="str">
        <f>VLOOKUP(VLOOKUP(B10,Product!A:C,3,FALSE),Supplier!A:I,9,FALSE)</f>
        <v>Sweden</v>
      </c>
      <c r="S10" t="str">
        <f>IFERROR(IF(VLOOKUP(A10,'Sales Order'!A:H,8,FALSE)&gt;100,"High Freight","Low Freight"),"Not Specified")</f>
        <v>Low Freight</v>
      </c>
      <c r="T10">
        <f t="shared" si="1"/>
        <v>95.76</v>
      </c>
    </row>
    <row r="11" spans="1:21">
      <c r="A11" s="9">
        <v>10251</v>
      </c>
      <c r="B11" s="6">
        <v>57</v>
      </c>
      <c r="C11" s="6">
        <v>15.6</v>
      </c>
      <c r="D11" s="6">
        <v>15</v>
      </c>
      <c r="E11" s="18">
        <v>0.05</v>
      </c>
      <c r="F11" s="6" t="str">
        <f>IFERROR(VLOOKUP(VLOOKUP(A11,'Sales Order'!A:B,2,FALSE),Customer!A:C,3,FALSE),"Not Specified")</f>
        <v>Tuntisangaroon, Sittichai</v>
      </c>
      <c r="G11" s="6" t="str">
        <f t="shared" si="0"/>
        <v>Tuntisangaroon Sittichai</v>
      </c>
      <c r="H11" s="22" t="str">
        <f>IFERROR(VLOOKUP(VLOOKUP(A11,'Sales Order'!A:C,3,FALSE),Employee!A:E,5,FALSE)&amp;" "&amp;VLOOKUP(VLOOKUP(A11,'Sales Order'!A:C,3,FALSE),Employee!A:C,3,FALSE)&amp;" "&amp;VLOOKUP(VLOOKUP(A11,'Sales Order'!A:C,3,FALSE),Employee!A:B,2,FALSE),"Not Specified")</f>
        <v>Ms. Judy Lew</v>
      </c>
      <c r="I11" t="str">
        <f>IFERROR(VLOOKUP(VLOOKUP(A11,'Sales Order'!A:C,3,FALSE),Employee!A:J,10,FALSE),"Not Specified")</f>
        <v>WA</v>
      </c>
      <c r="J11" t="str">
        <f>VLOOKUP(B11,Product!A:B,2,FALSE)</f>
        <v>Product OVLQI</v>
      </c>
      <c r="K11" t="str">
        <f>VLOOKUP(VLOOKUP(B11,Product!A:D,4,FALSE),Category!A:B,2,FALSE)</f>
        <v>Grains/Cereals</v>
      </c>
      <c r="L11" s="24">
        <f>IFERROR(VLOOKUP(A11,'Sales Order'!A:D,4,FALSE),"")</f>
        <v>38906</v>
      </c>
      <c r="M11" s="24">
        <f>IFERROR(VLOOKUP(A11,'Sales Order'!A:F,6,FALSE),"")</f>
        <v>38913</v>
      </c>
      <c r="N11" t="str">
        <f>IFERROR(VLOOKUP(VLOOKUP(A11,'Sales Order'!A:G,7,FALSE),Shipper!A:B,2,FALSE),"Not Specified")</f>
        <v>Shipper GVSUA</v>
      </c>
      <c r="O11" t="str">
        <f>IFERROR(VLOOKUP(A11,'Sales Order'!A:I,9,FALSE),"Not Specified")</f>
        <v>Ship to 84-A</v>
      </c>
      <c r="P11" t="str">
        <f>IFERROR(VLOOKUP(A11,'Sales Order'!A:N,14,FALSE),"Not Specified")</f>
        <v>France</v>
      </c>
      <c r="Q11" t="str">
        <f>VLOOKUP(VLOOKUP(B11,Product!A:C,3,FALSE),Supplier!A:B,2,FALSE)</f>
        <v>Supplier ZWZDM</v>
      </c>
      <c r="R11" t="str">
        <f>VLOOKUP(VLOOKUP(B11,Product!A:C,3,FALSE),Supplier!A:I,9,FALSE)</f>
        <v>Italy</v>
      </c>
      <c r="S11" t="str">
        <f>IFERROR(IF(VLOOKUP(A11,'Sales Order'!A:H,8,FALSE)&gt;100,"High Freight","Low Freight"),"Not Specified")</f>
        <v>Low Freight</v>
      </c>
      <c r="T11">
        <f t="shared" si="1"/>
        <v>222.29999999999998</v>
      </c>
    </row>
    <row r="12" spans="1:21">
      <c r="A12" s="9">
        <v>10251</v>
      </c>
      <c r="B12" s="6">
        <v>65</v>
      </c>
      <c r="C12" s="6">
        <v>16.8</v>
      </c>
      <c r="D12" s="6">
        <v>20</v>
      </c>
      <c r="E12" s="18">
        <v>0</v>
      </c>
      <c r="F12" s="6" t="str">
        <f>IFERROR(VLOOKUP(VLOOKUP(A12,'Sales Order'!A:B,2,FALSE),Customer!A:C,3,FALSE),"Not Specified")</f>
        <v>Tuntisangaroon, Sittichai</v>
      </c>
      <c r="G12" s="6" t="str">
        <f t="shared" si="0"/>
        <v>Tuntisangaroon Sittichai</v>
      </c>
      <c r="H12" s="22" t="str">
        <f>IFERROR(VLOOKUP(VLOOKUP(A12,'Sales Order'!A:C,3,FALSE),Employee!A:E,5,FALSE)&amp;" "&amp;VLOOKUP(VLOOKUP(A12,'Sales Order'!A:C,3,FALSE),Employee!A:C,3,FALSE)&amp;" "&amp;VLOOKUP(VLOOKUP(A12,'Sales Order'!A:C,3,FALSE),Employee!A:B,2,FALSE),"Not Specified")</f>
        <v>Ms. Judy Lew</v>
      </c>
      <c r="I12" t="str">
        <f>IFERROR(VLOOKUP(VLOOKUP(A12,'Sales Order'!A:C,3,FALSE),Employee!A:J,10,FALSE),"Not Specified")</f>
        <v>WA</v>
      </c>
      <c r="J12" t="str">
        <f>VLOOKUP(B12,Product!A:B,2,FALSE)</f>
        <v>Product XYWBZ</v>
      </c>
      <c r="K12" t="str">
        <f>VLOOKUP(VLOOKUP(B12,Product!A:D,4,FALSE),Category!A:B,2,FALSE)</f>
        <v>Condiments</v>
      </c>
      <c r="L12" s="24">
        <f>IFERROR(VLOOKUP(A12,'Sales Order'!A:D,4,FALSE),"")</f>
        <v>38906</v>
      </c>
      <c r="M12" s="24">
        <f>IFERROR(VLOOKUP(A12,'Sales Order'!A:F,6,FALSE),"")</f>
        <v>38913</v>
      </c>
      <c r="N12" t="str">
        <f>IFERROR(VLOOKUP(VLOOKUP(A12,'Sales Order'!A:G,7,FALSE),Shipper!A:B,2,FALSE),"Not Specified")</f>
        <v>Shipper GVSUA</v>
      </c>
      <c r="O12" t="str">
        <f>IFERROR(VLOOKUP(A12,'Sales Order'!A:I,9,FALSE),"Not Specified")</f>
        <v>Ship to 84-A</v>
      </c>
      <c r="P12" t="str">
        <f>IFERROR(VLOOKUP(A12,'Sales Order'!A:N,14,FALSE),"Not Specified")</f>
        <v>France</v>
      </c>
      <c r="Q12" t="str">
        <f>VLOOKUP(VLOOKUP(B12,Product!A:C,3,FALSE),Supplier!A:B,2,FALSE)</f>
        <v>Supplier VHQZD</v>
      </c>
      <c r="R12" t="str">
        <f>VLOOKUP(VLOOKUP(B12,Product!A:C,3,FALSE),Supplier!A:I,9,FALSE)</f>
        <v>USA</v>
      </c>
      <c r="S12" t="str">
        <f>IFERROR(IF(VLOOKUP(A12,'Sales Order'!A:H,8,FALSE)&gt;100,"High Freight","Low Freight"),"Not Specified")</f>
        <v>Low Freight</v>
      </c>
      <c r="T12">
        <f t="shared" si="1"/>
        <v>336</v>
      </c>
    </row>
    <row r="13" spans="1:21">
      <c r="A13" s="9">
        <v>10252</v>
      </c>
      <c r="B13" s="6">
        <v>20</v>
      </c>
      <c r="C13" s="6">
        <v>64.8</v>
      </c>
      <c r="D13" s="6">
        <v>40</v>
      </c>
      <c r="E13" s="18">
        <v>0.05</v>
      </c>
      <c r="F13" s="6" t="str">
        <f>IFERROR(VLOOKUP(VLOOKUP(A13,'Sales Order'!A:B,2,FALSE),Customer!A:C,3,FALSE),"Not Specified")</f>
        <v>Gulbis, Katrin</v>
      </c>
      <c r="G13" s="6" t="str">
        <f t="shared" si="0"/>
        <v>Gulbis Katrin</v>
      </c>
      <c r="H13" s="22" t="str">
        <f>IFERROR(VLOOKUP(VLOOKUP(A13,'Sales Order'!A:C,3,FALSE),Employee!A:E,5,FALSE)&amp;" "&amp;VLOOKUP(VLOOKUP(A13,'Sales Order'!A:C,3,FALSE),Employee!A:C,3,FALSE)&amp;" "&amp;VLOOKUP(VLOOKUP(A13,'Sales Order'!A:C,3,FALSE),Employee!A:B,2,FALSE),"Not Specified")</f>
        <v>Mrs. Yael Peled</v>
      </c>
      <c r="I13" t="str">
        <f>IFERROR(VLOOKUP(VLOOKUP(A13,'Sales Order'!A:C,3,FALSE),Employee!A:J,10,FALSE),"Not Specified")</f>
        <v>WA</v>
      </c>
      <c r="J13" t="str">
        <f>VLOOKUP(B13,Product!A:B,2,FALSE)</f>
        <v>Product QHFFP</v>
      </c>
      <c r="K13" t="str">
        <f>VLOOKUP(VLOOKUP(B13,Product!A:D,4,FALSE),Category!A:B,2,FALSE)</f>
        <v>Confections</v>
      </c>
      <c r="L13" s="24">
        <f>IFERROR(VLOOKUP(A13,'Sales Order'!A:D,4,FALSE),"")</f>
        <v>38907</v>
      </c>
      <c r="M13" s="24">
        <f>IFERROR(VLOOKUP(A13,'Sales Order'!A:F,6,FALSE),"")</f>
        <v>38909</v>
      </c>
      <c r="N13" t="str">
        <f>IFERROR(VLOOKUP(VLOOKUP(A13,'Sales Order'!A:G,7,FALSE),Shipper!A:B,2,FALSE),"Not Specified")</f>
        <v>Shipper ETYNR</v>
      </c>
      <c r="O13" t="str">
        <f>IFERROR(VLOOKUP(A13,'Sales Order'!A:I,9,FALSE),"Not Specified")</f>
        <v>Ship to 76-B</v>
      </c>
      <c r="P13" t="str">
        <f>IFERROR(VLOOKUP(A13,'Sales Order'!A:N,14,FALSE),"Not Specified")</f>
        <v>Belgium</v>
      </c>
      <c r="Q13" t="str">
        <f>VLOOKUP(VLOOKUP(B13,Product!A:C,3,FALSE),Supplier!A:B,2,FALSE)</f>
        <v>Supplier BWGYE</v>
      </c>
      <c r="R13" t="str">
        <f>VLOOKUP(VLOOKUP(B13,Product!A:C,3,FALSE),Supplier!A:I,9,FALSE)</f>
        <v>UK</v>
      </c>
      <c r="S13" t="str">
        <f>IFERROR(IF(VLOOKUP(A13,'Sales Order'!A:H,8,FALSE)&gt;100,"High Freight","Low Freight"),"Not Specified")</f>
        <v>Low Freight</v>
      </c>
      <c r="T13">
        <f t="shared" si="1"/>
        <v>2462.4</v>
      </c>
    </row>
    <row r="14" spans="1:21">
      <c r="A14" s="9">
        <v>10252</v>
      </c>
      <c r="B14" s="6">
        <v>33</v>
      </c>
      <c r="C14" s="6">
        <v>2</v>
      </c>
      <c r="D14" s="6">
        <v>25</v>
      </c>
      <c r="E14" s="18">
        <v>0.05</v>
      </c>
      <c r="F14" s="6" t="str">
        <f>IFERROR(VLOOKUP(VLOOKUP(A14,'Sales Order'!A:B,2,FALSE),Customer!A:C,3,FALSE),"Not Specified")</f>
        <v>Gulbis, Katrin</v>
      </c>
      <c r="G14" s="6" t="str">
        <f t="shared" si="0"/>
        <v>Gulbis Katrin</v>
      </c>
      <c r="H14" s="22" t="str">
        <f>IFERROR(VLOOKUP(VLOOKUP(A14,'Sales Order'!A:C,3,FALSE),Employee!A:E,5,FALSE)&amp;" "&amp;VLOOKUP(VLOOKUP(A14,'Sales Order'!A:C,3,FALSE),Employee!A:C,3,FALSE)&amp;" "&amp;VLOOKUP(VLOOKUP(A14,'Sales Order'!A:C,3,FALSE),Employee!A:B,2,FALSE),"Not Specified")</f>
        <v>Mrs. Yael Peled</v>
      </c>
      <c r="I14" t="str">
        <f>IFERROR(VLOOKUP(VLOOKUP(A14,'Sales Order'!A:C,3,FALSE),Employee!A:J,10,FALSE),"Not Specified")</f>
        <v>WA</v>
      </c>
      <c r="J14" t="str">
        <f>VLOOKUP(B14,Product!A:B,2,FALSE)</f>
        <v>Product ASTMN</v>
      </c>
      <c r="K14" t="str">
        <f>VLOOKUP(VLOOKUP(B14,Product!A:D,4,FALSE),Category!A:B,2,FALSE)</f>
        <v>Dairy Product</v>
      </c>
      <c r="L14" s="24">
        <f>IFERROR(VLOOKUP(A14,'Sales Order'!A:D,4,FALSE),"")</f>
        <v>38907</v>
      </c>
      <c r="M14" s="24">
        <f>IFERROR(VLOOKUP(A14,'Sales Order'!A:F,6,FALSE),"")</f>
        <v>38909</v>
      </c>
      <c r="N14" t="str">
        <f>IFERROR(VLOOKUP(VLOOKUP(A14,'Sales Order'!A:G,7,FALSE),Shipper!A:B,2,FALSE),"Not Specified")</f>
        <v>Shipper ETYNR</v>
      </c>
      <c r="O14" t="str">
        <f>IFERROR(VLOOKUP(A14,'Sales Order'!A:I,9,FALSE),"Not Specified")</f>
        <v>Ship to 76-B</v>
      </c>
      <c r="P14" t="str">
        <f>IFERROR(VLOOKUP(A14,'Sales Order'!A:N,14,FALSE),"Not Specified")</f>
        <v>Belgium</v>
      </c>
      <c r="Q14" t="str">
        <f>VLOOKUP(VLOOKUP(B14,Product!A:C,3,FALSE),Supplier!A:B,2,FALSE)</f>
        <v>Supplier NZLIF</v>
      </c>
      <c r="R14" t="str">
        <f>VLOOKUP(VLOOKUP(B14,Product!A:C,3,FALSE),Supplier!A:I,9,FALSE)</f>
        <v>Norway</v>
      </c>
      <c r="S14" t="str">
        <f>IFERROR(IF(VLOOKUP(A14,'Sales Order'!A:H,8,FALSE)&gt;100,"High Freight","Low Freight"),"Not Specified")</f>
        <v>Low Freight</v>
      </c>
      <c r="T14">
        <f t="shared" si="1"/>
        <v>47.5</v>
      </c>
    </row>
    <row r="15" spans="1:21">
      <c r="A15" s="9">
        <v>10252</v>
      </c>
      <c r="B15" s="6">
        <v>60</v>
      </c>
      <c r="C15" s="6">
        <v>27.2</v>
      </c>
      <c r="D15" s="6">
        <v>40</v>
      </c>
      <c r="E15" s="18">
        <v>0</v>
      </c>
      <c r="F15" s="6" t="str">
        <f>IFERROR(VLOOKUP(VLOOKUP(A15,'Sales Order'!A:B,2,FALSE),Customer!A:C,3,FALSE),"Not Specified")</f>
        <v>Gulbis, Katrin</v>
      </c>
      <c r="G15" s="6" t="str">
        <f t="shared" si="0"/>
        <v>Gulbis Katrin</v>
      </c>
      <c r="H15" s="22" t="str">
        <f>IFERROR(VLOOKUP(VLOOKUP(A15,'Sales Order'!A:C,3,FALSE),Employee!A:E,5,FALSE)&amp;" "&amp;VLOOKUP(VLOOKUP(A15,'Sales Order'!A:C,3,FALSE),Employee!A:C,3,FALSE)&amp;" "&amp;VLOOKUP(VLOOKUP(A15,'Sales Order'!A:C,3,FALSE),Employee!A:B,2,FALSE),"Not Specified")</f>
        <v>Mrs. Yael Peled</v>
      </c>
      <c r="I15" t="str">
        <f>IFERROR(VLOOKUP(VLOOKUP(A15,'Sales Order'!A:C,3,FALSE),Employee!A:J,10,FALSE),"Not Specified")</f>
        <v>WA</v>
      </c>
      <c r="J15" t="str">
        <f>VLOOKUP(B15,Product!A:B,2,FALSE)</f>
        <v>Product WHBYK</v>
      </c>
      <c r="K15" t="str">
        <f>VLOOKUP(VLOOKUP(B15,Product!A:D,4,FALSE),Category!A:B,2,FALSE)</f>
        <v>Dairy Product</v>
      </c>
      <c r="L15" s="24">
        <f>IFERROR(VLOOKUP(A15,'Sales Order'!A:D,4,FALSE),"")</f>
        <v>38907</v>
      </c>
      <c r="M15" s="24">
        <f>IFERROR(VLOOKUP(A15,'Sales Order'!A:F,6,FALSE),"")</f>
        <v>38909</v>
      </c>
      <c r="N15" t="str">
        <f>IFERROR(VLOOKUP(VLOOKUP(A15,'Sales Order'!A:G,7,FALSE),Shipper!A:B,2,FALSE),"Not Specified")</f>
        <v>Shipper ETYNR</v>
      </c>
      <c r="O15" t="str">
        <f>IFERROR(VLOOKUP(A15,'Sales Order'!A:I,9,FALSE),"Not Specified")</f>
        <v>Ship to 76-B</v>
      </c>
      <c r="P15" t="str">
        <f>IFERROR(VLOOKUP(A15,'Sales Order'!A:N,14,FALSE),"Not Specified")</f>
        <v>Belgium</v>
      </c>
      <c r="Q15" t="str">
        <f>VLOOKUP(VLOOKUP(B15,Product!A:C,3,FALSE),Supplier!A:B,2,FALSE)</f>
        <v>Supplier OAVQT</v>
      </c>
      <c r="R15" t="str">
        <f>VLOOKUP(VLOOKUP(B15,Product!A:C,3,FALSE),Supplier!A:I,9,FALSE)</f>
        <v>France</v>
      </c>
      <c r="S15" t="str">
        <f>IFERROR(IF(VLOOKUP(A15,'Sales Order'!A:H,8,FALSE)&gt;100,"High Freight","Low Freight"),"Not Specified")</f>
        <v>Low Freight</v>
      </c>
      <c r="T15">
        <f t="shared" si="1"/>
        <v>1088</v>
      </c>
    </row>
    <row r="16" spans="1:21">
      <c r="A16" s="9">
        <v>10253</v>
      </c>
      <c r="B16" s="6">
        <v>31</v>
      </c>
      <c r="C16" s="6">
        <v>10</v>
      </c>
      <c r="D16" s="6">
        <v>20</v>
      </c>
      <c r="E16" s="18">
        <v>0</v>
      </c>
      <c r="F16" s="6" t="str">
        <f>IFERROR(VLOOKUP(VLOOKUP(A16,'Sales Order'!A:B,2,FALSE),Customer!A:C,3,FALSE),"Not Specified")</f>
        <v>Cohen, Shy</v>
      </c>
      <c r="G16" s="6" t="str">
        <f t="shared" si="0"/>
        <v>Cohen Shy</v>
      </c>
      <c r="H16" s="22" t="str">
        <f>IFERROR(VLOOKUP(VLOOKUP(A16,'Sales Order'!A:C,3,FALSE),Employee!A:E,5,FALSE)&amp;" "&amp;VLOOKUP(VLOOKUP(A16,'Sales Order'!A:C,3,FALSE),Employee!A:C,3,FALSE)&amp;" "&amp;VLOOKUP(VLOOKUP(A16,'Sales Order'!A:C,3,FALSE),Employee!A:B,2,FALSE),"Not Specified")</f>
        <v>Ms. Judy Lew</v>
      </c>
      <c r="I16" t="str">
        <f>IFERROR(VLOOKUP(VLOOKUP(A16,'Sales Order'!A:C,3,FALSE),Employee!A:J,10,FALSE),"Not Specified")</f>
        <v>WA</v>
      </c>
      <c r="J16" t="str">
        <f>VLOOKUP(B16,Product!A:B,2,FALSE)</f>
        <v>Product XWOXC</v>
      </c>
      <c r="K16" t="str">
        <f>VLOOKUP(VLOOKUP(B16,Product!A:D,4,FALSE),Category!A:B,2,FALSE)</f>
        <v>Dairy Product</v>
      </c>
      <c r="L16" s="24">
        <f>IFERROR(VLOOKUP(A16,'Sales Order'!A:D,4,FALSE),"")</f>
        <v>38908</v>
      </c>
      <c r="M16" s="24">
        <f>IFERROR(VLOOKUP(A16,'Sales Order'!A:F,6,FALSE),"")</f>
        <v>38914</v>
      </c>
      <c r="N16" t="str">
        <f>IFERROR(VLOOKUP(VLOOKUP(A16,'Sales Order'!A:G,7,FALSE),Shipper!A:B,2,FALSE),"Not Specified")</f>
        <v>Shipper ETYNR</v>
      </c>
      <c r="O16" t="str">
        <f>IFERROR(VLOOKUP(A16,'Sales Order'!A:I,9,FALSE),"Not Specified")</f>
        <v>Destination JPAIY</v>
      </c>
      <c r="P16" t="str">
        <f>IFERROR(VLOOKUP(A16,'Sales Order'!A:N,14,FALSE),"Not Specified")</f>
        <v>Brazil</v>
      </c>
      <c r="Q16" t="str">
        <f>VLOOKUP(VLOOKUP(B16,Product!A:C,3,FALSE),Supplier!A:B,2,FALSE)</f>
        <v>Supplier KEREV</v>
      </c>
      <c r="R16" t="str">
        <f>VLOOKUP(VLOOKUP(B16,Product!A:C,3,FALSE),Supplier!A:I,9,FALSE)</f>
        <v>Italy</v>
      </c>
      <c r="S16" t="str">
        <f>IFERROR(IF(VLOOKUP(A16,'Sales Order'!A:H,8,FALSE)&gt;100,"High Freight","Low Freight"),"Not Specified")</f>
        <v>Low Freight</v>
      </c>
      <c r="T16">
        <f t="shared" si="1"/>
        <v>200</v>
      </c>
    </row>
    <row r="17" spans="1:20">
      <c r="A17" s="9">
        <v>10253</v>
      </c>
      <c r="B17" s="6">
        <v>39</v>
      </c>
      <c r="C17" s="6">
        <v>14.4</v>
      </c>
      <c r="D17" s="6">
        <v>42</v>
      </c>
      <c r="E17" s="18">
        <v>0</v>
      </c>
      <c r="F17" s="6" t="str">
        <f>IFERROR(VLOOKUP(VLOOKUP(A17,'Sales Order'!A:B,2,FALSE),Customer!A:C,3,FALSE),"Not Specified")</f>
        <v>Cohen, Shy</v>
      </c>
      <c r="G17" s="6" t="str">
        <f t="shared" si="0"/>
        <v>Cohen Shy</v>
      </c>
      <c r="H17" s="22" t="str">
        <f>IFERROR(VLOOKUP(VLOOKUP(A17,'Sales Order'!A:C,3,FALSE),Employee!A:E,5,FALSE)&amp;" "&amp;VLOOKUP(VLOOKUP(A17,'Sales Order'!A:C,3,FALSE),Employee!A:C,3,FALSE)&amp;" "&amp;VLOOKUP(VLOOKUP(A17,'Sales Order'!A:C,3,FALSE),Employee!A:B,2,FALSE),"Not Specified")</f>
        <v>Ms. Judy Lew</v>
      </c>
      <c r="I17" t="str">
        <f>IFERROR(VLOOKUP(VLOOKUP(A17,'Sales Order'!A:C,3,FALSE),Employee!A:J,10,FALSE),"Not Specified")</f>
        <v>WA</v>
      </c>
      <c r="J17" t="str">
        <f>VLOOKUP(B17,Product!A:B,2,FALSE)</f>
        <v>Product LSOFL</v>
      </c>
      <c r="K17" t="str">
        <f>VLOOKUP(VLOOKUP(B17,Product!A:D,4,FALSE),Category!A:B,2,FALSE)</f>
        <v>Beverages</v>
      </c>
      <c r="L17" s="24">
        <f>IFERROR(VLOOKUP(A17,'Sales Order'!A:D,4,FALSE),"")</f>
        <v>38908</v>
      </c>
      <c r="M17" s="24">
        <f>IFERROR(VLOOKUP(A17,'Sales Order'!A:F,6,FALSE),"")</f>
        <v>38914</v>
      </c>
      <c r="N17" t="str">
        <f>IFERROR(VLOOKUP(VLOOKUP(A17,'Sales Order'!A:G,7,FALSE),Shipper!A:B,2,FALSE),"Not Specified")</f>
        <v>Shipper ETYNR</v>
      </c>
      <c r="O17" t="str">
        <f>IFERROR(VLOOKUP(A17,'Sales Order'!A:I,9,FALSE),"Not Specified")</f>
        <v>Destination JPAIY</v>
      </c>
      <c r="P17" t="str">
        <f>IFERROR(VLOOKUP(A17,'Sales Order'!A:N,14,FALSE),"Not Specified")</f>
        <v>Brazil</v>
      </c>
      <c r="Q17" t="str">
        <f>VLOOKUP(VLOOKUP(B17,Product!A:C,3,FALSE),Supplier!A:B,2,FALSE)</f>
        <v>Supplier LVJUA</v>
      </c>
      <c r="R17" t="str">
        <f>VLOOKUP(VLOOKUP(B17,Product!A:C,3,FALSE),Supplier!A:I,9,FALSE)</f>
        <v>France</v>
      </c>
      <c r="S17" t="str">
        <f>IFERROR(IF(VLOOKUP(A17,'Sales Order'!A:H,8,FALSE)&gt;100,"High Freight","Low Freight"),"Not Specified")</f>
        <v>Low Freight</v>
      </c>
      <c r="T17">
        <f t="shared" si="1"/>
        <v>604.80000000000007</v>
      </c>
    </row>
    <row r="18" spans="1:20">
      <c r="A18" s="9">
        <v>10253</v>
      </c>
      <c r="B18" s="6">
        <v>49</v>
      </c>
      <c r="C18" s="6">
        <v>16</v>
      </c>
      <c r="D18" s="6">
        <v>40</v>
      </c>
      <c r="E18" s="18">
        <v>0</v>
      </c>
      <c r="F18" s="6" t="str">
        <f>IFERROR(VLOOKUP(VLOOKUP(A18,'Sales Order'!A:B,2,FALSE),Customer!A:C,3,FALSE),"Not Specified")</f>
        <v>Cohen, Shy</v>
      </c>
      <c r="G18" s="6" t="str">
        <f t="shared" si="0"/>
        <v>Cohen Shy</v>
      </c>
      <c r="H18" s="22" t="str">
        <f>IFERROR(VLOOKUP(VLOOKUP(A18,'Sales Order'!A:C,3,FALSE),Employee!A:E,5,FALSE)&amp;" "&amp;VLOOKUP(VLOOKUP(A18,'Sales Order'!A:C,3,FALSE),Employee!A:C,3,FALSE)&amp;" "&amp;VLOOKUP(VLOOKUP(A18,'Sales Order'!A:C,3,FALSE),Employee!A:B,2,FALSE),"Not Specified")</f>
        <v>Ms. Judy Lew</v>
      </c>
      <c r="I18" t="str">
        <f>IFERROR(VLOOKUP(VLOOKUP(A18,'Sales Order'!A:C,3,FALSE),Employee!A:J,10,FALSE),"Not Specified")</f>
        <v>WA</v>
      </c>
      <c r="J18" t="str">
        <f>VLOOKUP(B18,Product!A:B,2,FALSE)</f>
        <v>Product FPYPN</v>
      </c>
      <c r="K18" t="str">
        <f>VLOOKUP(VLOOKUP(B18,Product!A:D,4,FALSE),Category!A:B,2,FALSE)</f>
        <v>Confections</v>
      </c>
      <c r="L18" s="24">
        <f>IFERROR(VLOOKUP(A18,'Sales Order'!A:D,4,FALSE),"")</f>
        <v>38908</v>
      </c>
      <c r="M18" s="24">
        <f>IFERROR(VLOOKUP(A18,'Sales Order'!A:F,6,FALSE),"")</f>
        <v>38914</v>
      </c>
      <c r="N18" t="str">
        <f>IFERROR(VLOOKUP(VLOOKUP(A18,'Sales Order'!A:G,7,FALSE),Shipper!A:B,2,FALSE),"Not Specified")</f>
        <v>Shipper ETYNR</v>
      </c>
      <c r="O18" t="str">
        <f>IFERROR(VLOOKUP(A18,'Sales Order'!A:I,9,FALSE),"Not Specified")</f>
        <v>Destination JPAIY</v>
      </c>
      <c r="P18" t="str">
        <f>IFERROR(VLOOKUP(A18,'Sales Order'!A:N,14,FALSE),"Not Specified")</f>
        <v>Brazil</v>
      </c>
      <c r="Q18" t="str">
        <f>VLOOKUP(VLOOKUP(B18,Product!A:C,3,FALSE),Supplier!A:B,2,FALSE)</f>
        <v>Supplier ELCRN</v>
      </c>
      <c r="R18" t="str">
        <f>VLOOKUP(VLOOKUP(B18,Product!A:C,3,FALSE),Supplier!A:I,9,FALSE)</f>
        <v>Finland</v>
      </c>
      <c r="S18" t="str">
        <f>IFERROR(IF(VLOOKUP(A18,'Sales Order'!A:H,8,FALSE)&gt;100,"High Freight","Low Freight"),"Not Specified")</f>
        <v>Low Freight</v>
      </c>
      <c r="T18">
        <f t="shared" si="1"/>
        <v>640</v>
      </c>
    </row>
    <row r="19" spans="1:20">
      <c r="A19" s="9">
        <v>10254</v>
      </c>
      <c r="B19" s="6">
        <v>24</v>
      </c>
      <c r="C19" s="6">
        <v>3.6</v>
      </c>
      <c r="D19" s="6">
        <v>15</v>
      </c>
      <c r="E19" s="18">
        <v>0.15</v>
      </c>
      <c r="F19" s="6" t="str">
        <f>IFERROR(VLOOKUP(VLOOKUP(A19,'Sales Order'!A:B,2,FALSE),Customer!A:C,3,FALSE),"Not Specified")</f>
        <v>Jelitto, Jacek</v>
      </c>
      <c r="G19" s="6" t="str">
        <f t="shared" si="0"/>
        <v>Jelitto Jacek</v>
      </c>
      <c r="H19" s="22" t="str">
        <f>IFERROR(VLOOKUP(VLOOKUP(A19,'Sales Order'!A:C,3,FALSE),Employee!A:E,5,FALSE)&amp;" "&amp;VLOOKUP(VLOOKUP(A19,'Sales Order'!A:C,3,FALSE),Employee!A:C,3,FALSE)&amp;" "&amp;VLOOKUP(VLOOKUP(A19,'Sales Order'!A:C,3,FALSE),Employee!A:B,2,FALSE),"Not Specified")</f>
        <v>Mr. Sven Buck</v>
      </c>
      <c r="I19">
        <f>IFERROR(VLOOKUP(VLOOKUP(A19,'Sales Order'!A:C,3,FALSE),Employee!A:J,10,FALSE),"Not Specified")</f>
        <v>0</v>
      </c>
      <c r="J19" t="str">
        <f>VLOOKUP(B19,Product!A:B,2,FALSE)</f>
        <v>Product QOGNU</v>
      </c>
      <c r="K19" t="str">
        <f>VLOOKUP(VLOOKUP(B19,Product!A:D,4,FALSE),Category!A:B,2,FALSE)</f>
        <v>Beverages</v>
      </c>
      <c r="L19" s="24">
        <f>IFERROR(VLOOKUP(A19,'Sales Order'!A:D,4,FALSE),"")</f>
        <v>38909</v>
      </c>
      <c r="M19" s="24">
        <f>IFERROR(VLOOKUP(A19,'Sales Order'!A:F,6,FALSE),"")</f>
        <v>38921</v>
      </c>
      <c r="N19" t="str">
        <f>IFERROR(VLOOKUP(VLOOKUP(A19,'Sales Order'!A:G,7,FALSE),Shipper!A:B,2,FALSE),"Not Specified")</f>
        <v>Shipper ETYNR</v>
      </c>
      <c r="O19" t="str">
        <f>IFERROR(VLOOKUP(A19,'Sales Order'!A:I,9,FALSE),"Not Specified")</f>
        <v>Destination YUJRD</v>
      </c>
      <c r="P19" t="str">
        <f>IFERROR(VLOOKUP(A19,'Sales Order'!A:N,14,FALSE),"Not Specified")</f>
        <v>Switzerland</v>
      </c>
      <c r="Q19" t="str">
        <f>VLOOKUP(VLOOKUP(B19,Product!A:C,3,FALSE),Supplier!A:B,2,FALSE)</f>
        <v>Supplier UNAHG</v>
      </c>
      <c r="R19" t="str">
        <f>VLOOKUP(VLOOKUP(B19,Product!A:C,3,FALSE),Supplier!A:I,9,FALSE)</f>
        <v>Brazil</v>
      </c>
      <c r="S19" t="str">
        <f>IFERROR(IF(VLOOKUP(A19,'Sales Order'!A:H,8,FALSE)&gt;100,"High Freight","Low Freight"),"Not Specified")</f>
        <v>Low Freight</v>
      </c>
      <c r="T19">
        <f t="shared" si="1"/>
        <v>45.9</v>
      </c>
    </row>
    <row r="20" spans="1:20">
      <c r="A20" s="9">
        <v>10254</v>
      </c>
      <c r="B20" s="6">
        <v>55</v>
      </c>
      <c r="C20" s="6">
        <v>19.2</v>
      </c>
      <c r="D20" s="6">
        <v>21</v>
      </c>
      <c r="E20" s="18">
        <v>0.15</v>
      </c>
      <c r="F20" s="6" t="str">
        <f>IFERROR(VLOOKUP(VLOOKUP(A20,'Sales Order'!A:B,2,FALSE),Customer!A:C,3,FALSE),"Not Specified")</f>
        <v>Jelitto, Jacek</v>
      </c>
      <c r="G20" s="6" t="str">
        <f t="shared" si="0"/>
        <v>Jelitto Jacek</v>
      </c>
      <c r="H20" s="22" t="str">
        <f>IFERROR(VLOOKUP(VLOOKUP(A20,'Sales Order'!A:C,3,FALSE),Employee!A:E,5,FALSE)&amp;" "&amp;VLOOKUP(VLOOKUP(A20,'Sales Order'!A:C,3,FALSE),Employee!A:C,3,FALSE)&amp;" "&amp;VLOOKUP(VLOOKUP(A20,'Sales Order'!A:C,3,FALSE),Employee!A:B,2,FALSE),"Not Specified")</f>
        <v>Mr. Sven Buck</v>
      </c>
      <c r="I20">
        <f>IFERROR(VLOOKUP(VLOOKUP(A20,'Sales Order'!A:C,3,FALSE),Employee!A:J,10,FALSE),"Not Specified")</f>
        <v>0</v>
      </c>
      <c r="J20" t="str">
        <f>VLOOKUP(B20,Product!A:B,2,FALSE)</f>
        <v>Product YYWRT</v>
      </c>
      <c r="K20" t="str">
        <f>VLOOKUP(VLOOKUP(B20,Product!A:D,4,FALSE),Category!A:B,2,FALSE)</f>
        <v>Meat/Poultry</v>
      </c>
      <c r="L20" s="24">
        <f>IFERROR(VLOOKUP(A20,'Sales Order'!A:D,4,FALSE),"")</f>
        <v>38909</v>
      </c>
      <c r="M20" s="24">
        <f>IFERROR(VLOOKUP(A20,'Sales Order'!A:F,6,FALSE),"")</f>
        <v>38921</v>
      </c>
      <c r="N20" t="str">
        <f>IFERROR(VLOOKUP(VLOOKUP(A20,'Sales Order'!A:G,7,FALSE),Shipper!A:B,2,FALSE),"Not Specified")</f>
        <v>Shipper ETYNR</v>
      </c>
      <c r="O20" t="str">
        <f>IFERROR(VLOOKUP(A20,'Sales Order'!A:I,9,FALSE),"Not Specified")</f>
        <v>Destination YUJRD</v>
      </c>
      <c r="P20" t="str">
        <f>IFERROR(VLOOKUP(A20,'Sales Order'!A:N,14,FALSE),"Not Specified")</f>
        <v>Switzerland</v>
      </c>
      <c r="Q20" t="str">
        <f>VLOOKUP(VLOOKUP(B20,Product!A:C,3,FALSE),Supplier!A:B,2,FALSE)</f>
        <v>Supplier ERVYZ</v>
      </c>
      <c r="R20" t="str">
        <f>VLOOKUP(VLOOKUP(B20,Product!A:C,3,FALSE),Supplier!A:I,9,FALSE)</f>
        <v>Canada</v>
      </c>
      <c r="S20" t="str">
        <f>IFERROR(IF(VLOOKUP(A20,'Sales Order'!A:H,8,FALSE)&gt;100,"High Freight","Low Freight"),"Not Specified")</f>
        <v>Low Freight</v>
      </c>
      <c r="T20">
        <f t="shared" si="1"/>
        <v>342.71999999999997</v>
      </c>
    </row>
    <row r="21" spans="1:20">
      <c r="A21" s="9">
        <v>10254</v>
      </c>
      <c r="B21" s="6">
        <v>74</v>
      </c>
      <c r="C21" s="6">
        <v>8</v>
      </c>
      <c r="D21" s="6">
        <v>21</v>
      </c>
      <c r="E21" s="18">
        <v>0</v>
      </c>
      <c r="F21" s="6" t="str">
        <f>IFERROR(VLOOKUP(VLOOKUP(A21,'Sales Order'!A:B,2,FALSE),Customer!A:C,3,FALSE),"Not Specified")</f>
        <v>Jelitto, Jacek</v>
      </c>
      <c r="G21" s="6" t="str">
        <f t="shared" si="0"/>
        <v>Jelitto Jacek</v>
      </c>
      <c r="H21" s="22" t="str">
        <f>IFERROR(VLOOKUP(VLOOKUP(A21,'Sales Order'!A:C,3,FALSE),Employee!A:E,5,FALSE)&amp;" "&amp;VLOOKUP(VLOOKUP(A21,'Sales Order'!A:C,3,FALSE),Employee!A:C,3,FALSE)&amp;" "&amp;VLOOKUP(VLOOKUP(A21,'Sales Order'!A:C,3,FALSE),Employee!A:B,2,FALSE),"Not Specified")</f>
        <v>Mr. Sven Buck</v>
      </c>
      <c r="I21">
        <f>IFERROR(VLOOKUP(VLOOKUP(A21,'Sales Order'!A:C,3,FALSE),Employee!A:J,10,FALSE),"Not Specified")</f>
        <v>0</v>
      </c>
      <c r="J21" t="str">
        <f>VLOOKUP(B21,Product!A:B,2,FALSE)</f>
        <v>Product BKAZJ</v>
      </c>
      <c r="K21" t="str">
        <f>VLOOKUP(VLOOKUP(B21,Product!A:D,4,FALSE),Category!A:B,2,FALSE)</f>
        <v>Produce</v>
      </c>
      <c r="L21" s="24">
        <f>IFERROR(VLOOKUP(A21,'Sales Order'!A:D,4,FALSE),"")</f>
        <v>38909</v>
      </c>
      <c r="M21" s="24">
        <f>IFERROR(VLOOKUP(A21,'Sales Order'!A:F,6,FALSE),"")</f>
        <v>38921</v>
      </c>
      <c r="N21" t="str">
        <f>IFERROR(VLOOKUP(VLOOKUP(A21,'Sales Order'!A:G,7,FALSE),Shipper!A:B,2,FALSE),"Not Specified")</f>
        <v>Shipper ETYNR</v>
      </c>
      <c r="O21" t="str">
        <f>IFERROR(VLOOKUP(A21,'Sales Order'!A:I,9,FALSE),"Not Specified")</f>
        <v>Destination YUJRD</v>
      </c>
      <c r="P21" t="str">
        <f>IFERROR(VLOOKUP(A21,'Sales Order'!A:N,14,FALSE),"Not Specified")</f>
        <v>Switzerland</v>
      </c>
      <c r="Q21" t="str">
        <f>VLOOKUP(VLOOKUP(B21,Product!A:C,3,FALSE),Supplier!A:B,2,FALSE)</f>
        <v>Supplier QOVFD</v>
      </c>
      <c r="R21" t="str">
        <f>VLOOKUP(VLOOKUP(B21,Product!A:C,3,FALSE),Supplier!A:I,9,FALSE)</f>
        <v>Japan</v>
      </c>
      <c r="S21" t="str">
        <f>IFERROR(IF(VLOOKUP(A21,'Sales Order'!A:H,8,FALSE)&gt;100,"High Freight","Low Freight"),"Not Specified")</f>
        <v>Low Freight</v>
      </c>
      <c r="T21">
        <f t="shared" si="1"/>
        <v>168</v>
      </c>
    </row>
    <row r="22" spans="1:20">
      <c r="A22" s="9">
        <v>10255</v>
      </c>
      <c r="B22" s="6">
        <v>2</v>
      </c>
      <c r="C22" s="6">
        <v>15.2</v>
      </c>
      <c r="D22" s="6">
        <v>20</v>
      </c>
      <c r="E22" s="18">
        <v>0</v>
      </c>
      <c r="F22" s="6" t="str">
        <f>IFERROR(VLOOKUP(VLOOKUP(A22,'Sales Order'!A:B,2,FALSE),Customer!A:C,3,FALSE),"Not Specified")</f>
        <v>Myrcha, Jacek</v>
      </c>
      <c r="G22" s="6" t="str">
        <f t="shared" si="0"/>
        <v>Myrcha Jacek</v>
      </c>
      <c r="H22" s="22" t="str">
        <f>IFERROR(VLOOKUP(VLOOKUP(A22,'Sales Order'!A:C,3,FALSE),Employee!A:E,5,FALSE)&amp;" "&amp;VLOOKUP(VLOOKUP(A22,'Sales Order'!A:C,3,FALSE),Employee!A:C,3,FALSE)&amp;" "&amp;VLOOKUP(VLOOKUP(A22,'Sales Order'!A:C,3,FALSE),Employee!A:B,2,FALSE),"Not Specified")</f>
        <v>Ms. Zoya Dolgopyatova</v>
      </c>
      <c r="I22">
        <f>IFERROR(VLOOKUP(VLOOKUP(A22,'Sales Order'!A:C,3,FALSE),Employee!A:J,10,FALSE),"Not Specified")</f>
        <v>0</v>
      </c>
      <c r="J22" t="str">
        <f>VLOOKUP(B22,Product!A:B,2,FALSE)</f>
        <v>Product RECZE</v>
      </c>
      <c r="K22" t="str">
        <f>VLOOKUP(VLOOKUP(B22,Product!A:D,4,FALSE),Category!A:B,2,FALSE)</f>
        <v>Beverages</v>
      </c>
      <c r="L22" s="24">
        <f>IFERROR(VLOOKUP(A22,'Sales Order'!A:D,4,FALSE),"")</f>
        <v>38910</v>
      </c>
      <c r="M22" s="24">
        <f>IFERROR(VLOOKUP(A22,'Sales Order'!A:F,6,FALSE),"")</f>
        <v>38913</v>
      </c>
      <c r="N22" t="str">
        <f>IFERROR(VLOOKUP(VLOOKUP(A22,'Sales Order'!A:G,7,FALSE),Shipper!A:B,2,FALSE),"Not Specified")</f>
        <v>Shipper ZHISN</v>
      </c>
      <c r="O22" t="str">
        <f>IFERROR(VLOOKUP(A22,'Sales Order'!A:I,9,FALSE),"Not Specified")</f>
        <v>Ship to 68-A</v>
      </c>
      <c r="P22" t="str">
        <f>IFERROR(VLOOKUP(A22,'Sales Order'!A:N,14,FALSE),"Not Specified")</f>
        <v>Switzerland</v>
      </c>
      <c r="Q22" t="str">
        <f>VLOOKUP(VLOOKUP(B22,Product!A:C,3,FALSE),Supplier!A:B,2,FALSE)</f>
        <v>Supplier SWRXU</v>
      </c>
      <c r="R22" t="str">
        <f>VLOOKUP(VLOOKUP(B22,Product!A:C,3,FALSE),Supplier!A:I,9,FALSE)</f>
        <v>UK</v>
      </c>
      <c r="S22" t="str">
        <f>IFERROR(IF(VLOOKUP(A22,'Sales Order'!A:H,8,FALSE)&gt;100,"High Freight","Low Freight"),"Not Specified")</f>
        <v>High Freight</v>
      </c>
      <c r="T22">
        <f t="shared" si="1"/>
        <v>304</v>
      </c>
    </row>
    <row r="23" spans="1:20">
      <c r="A23" s="9">
        <v>10255</v>
      </c>
      <c r="B23" s="6">
        <v>16</v>
      </c>
      <c r="C23" s="6">
        <v>13.9</v>
      </c>
      <c r="D23" s="6">
        <v>35</v>
      </c>
      <c r="E23" s="18">
        <v>0</v>
      </c>
      <c r="F23" s="6" t="str">
        <f>IFERROR(VLOOKUP(VLOOKUP(A23,'Sales Order'!A:B,2,FALSE),Customer!A:C,3,FALSE),"Not Specified")</f>
        <v>Myrcha, Jacek</v>
      </c>
      <c r="G23" s="6" t="str">
        <f t="shared" si="0"/>
        <v>Myrcha Jacek</v>
      </c>
      <c r="H23" s="22" t="str">
        <f>IFERROR(VLOOKUP(VLOOKUP(A23,'Sales Order'!A:C,3,FALSE),Employee!A:E,5,FALSE)&amp;" "&amp;VLOOKUP(VLOOKUP(A23,'Sales Order'!A:C,3,FALSE),Employee!A:C,3,FALSE)&amp;" "&amp;VLOOKUP(VLOOKUP(A23,'Sales Order'!A:C,3,FALSE),Employee!A:B,2,FALSE),"Not Specified")</f>
        <v>Ms. Zoya Dolgopyatova</v>
      </c>
      <c r="I23">
        <f>IFERROR(VLOOKUP(VLOOKUP(A23,'Sales Order'!A:C,3,FALSE),Employee!A:J,10,FALSE),"Not Specified")</f>
        <v>0</v>
      </c>
      <c r="J23" t="str">
        <f>VLOOKUP(B23,Product!A:B,2,FALSE)</f>
        <v>Product PAFRH</v>
      </c>
      <c r="K23" t="str">
        <f>VLOOKUP(VLOOKUP(B23,Product!A:D,4,FALSE),Category!A:B,2,FALSE)</f>
        <v>Confections</v>
      </c>
      <c r="L23" s="24">
        <f>IFERROR(VLOOKUP(A23,'Sales Order'!A:D,4,FALSE),"")</f>
        <v>38910</v>
      </c>
      <c r="M23" s="24">
        <f>IFERROR(VLOOKUP(A23,'Sales Order'!A:F,6,FALSE),"")</f>
        <v>38913</v>
      </c>
      <c r="N23" t="str">
        <f>IFERROR(VLOOKUP(VLOOKUP(A23,'Sales Order'!A:G,7,FALSE),Shipper!A:B,2,FALSE),"Not Specified")</f>
        <v>Shipper ZHISN</v>
      </c>
      <c r="O23" t="str">
        <f>IFERROR(VLOOKUP(A23,'Sales Order'!A:I,9,FALSE),"Not Specified")</f>
        <v>Ship to 68-A</v>
      </c>
      <c r="P23" t="str">
        <f>IFERROR(VLOOKUP(A23,'Sales Order'!A:N,14,FALSE),"Not Specified")</f>
        <v>Switzerland</v>
      </c>
      <c r="Q23" t="str">
        <f>VLOOKUP(VLOOKUP(B23,Product!A:C,3,FALSE),Supplier!A:B,2,FALSE)</f>
        <v>Supplier GQRCV</v>
      </c>
      <c r="R23" t="str">
        <f>VLOOKUP(VLOOKUP(B23,Product!A:C,3,FALSE),Supplier!A:I,9,FALSE)</f>
        <v>Australia</v>
      </c>
      <c r="S23" t="str">
        <f>IFERROR(IF(VLOOKUP(A23,'Sales Order'!A:H,8,FALSE)&gt;100,"High Freight","Low Freight"),"Not Specified")</f>
        <v>High Freight</v>
      </c>
      <c r="T23">
        <f t="shared" si="1"/>
        <v>486.5</v>
      </c>
    </row>
    <row r="24" spans="1:20">
      <c r="A24" s="9">
        <v>10255</v>
      </c>
      <c r="B24" s="6">
        <v>36</v>
      </c>
      <c r="C24" s="6">
        <v>15.2</v>
      </c>
      <c r="D24" s="6">
        <v>25</v>
      </c>
      <c r="E24" s="18">
        <v>0</v>
      </c>
      <c r="F24" s="6" t="str">
        <f>IFERROR(VLOOKUP(VLOOKUP(A24,'Sales Order'!A:B,2,FALSE),Customer!A:C,3,FALSE),"Not Specified")</f>
        <v>Myrcha, Jacek</v>
      </c>
      <c r="G24" s="6" t="str">
        <f t="shared" si="0"/>
        <v>Myrcha Jacek</v>
      </c>
      <c r="H24" s="22" t="str">
        <f>IFERROR(VLOOKUP(VLOOKUP(A24,'Sales Order'!A:C,3,FALSE),Employee!A:E,5,FALSE)&amp;" "&amp;VLOOKUP(VLOOKUP(A24,'Sales Order'!A:C,3,FALSE),Employee!A:C,3,FALSE)&amp;" "&amp;VLOOKUP(VLOOKUP(A24,'Sales Order'!A:C,3,FALSE),Employee!A:B,2,FALSE),"Not Specified")</f>
        <v>Ms. Zoya Dolgopyatova</v>
      </c>
      <c r="I24">
        <f>IFERROR(VLOOKUP(VLOOKUP(A24,'Sales Order'!A:C,3,FALSE),Employee!A:J,10,FALSE),"Not Specified")</f>
        <v>0</v>
      </c>
      <c r="J24" t="str">
        <f>VLOOKUP(B24,Product!A:B,2,FALSE)</f>
        <v>Product GMKIJ</v>
      </c>
      <c r="K24" t="str">
        <f>VLOOKUP(VLOOKUP(B24,Product!A:D,4,FALSE),Category!A:B,2,FALSE)</f>
        <v>Seafood</v>
      </c>
      <c r="L24" s="24">
        <f>IFERROR(VLOOKUP(A24,'Sales Order'!A:D,4,FALSE),"")</f>
        <v>38910</v>
      </c>
      <c r="M24" s="24">
        <f>IFERROR(VLOOKUP(A24,'Sales Order'!A:F,6,FALSE),"")</f>
        <v>38913</v>
      </c>
      <c r="N24" t="str">
        <f>IFERROR(VLOOKUP(VLOOKUP(A24,'Sales Order'!A:G,7,FALSE),Shipper!A:B,2,FALSE),"Not Specified")</f>
        <v>Shipper ZHISN</v>
      </c>
      <c r="O24" t="str">
        <f>IFERROR(VLOOKUP(A24,'Sales Order'!A:I,9,FALSE),"Not Specified")</f>
        <v>Ship to 68-A</v>
      </c>
      <c r="P24" t="str">
        <f>IFERROR(VLOOKUP(A24,'Sales Order'!A:N,14,FALSE),"Not Specified")</f>
        <v>Switzerland</v>
      </c>
      <c r="Q24" t="str">
        <f>VLOOKUP(VLOOKUP(B24,Product!A:C,3,FALSE),Supplier!A:B,2,FALSE)</f>
        <v>Supplier QZGUF</v>
      </c>
      <c r="R24" t="str">
        <f>VLOOKUP(VLOOKUP(B24,Product!A:C,3,FALSE),Supplier!A:I,9,FALSE)</f>
        <v>Sweden</v>
      </c>
      <c r="S24" t="str">
        <f>IFERROR(IF(VLOOKUP(A24,'Sales Order'!A:H,8,FALSE)&gt;100,"High Freight","Low Freight"),"Not Specified")</f>
        <v>High Freight</v>
      </c>
      <c r="T24">
        <f t="shared" si="1"/>
        <v>380</v>
      </c>
    </row>
    <row r="25" spans="1:20">
      <c r="A25" s="9">
        <v>10255</v>
      </c>
      <c r="B25" s="6">
        <v>59</v>
      </c>
      <c r="C25" s="6">
        <v>44</v>
      </c>
      <c r="D25" s="6">
        <v>30</v>
      </c>
      <c r="E25" s="18">
        <v>0</v>
      </c>
      <c r="F25" s="6" t="str">
        <f>IFERROR(VLOOKUP(VLOOKUP(A25,'Sales Order'!A:B,2,FALSE),Customer!A:C,3,FALSE),"Not Specified")</f>
        <v>Myrcha, Jacek</v>
      </c>
      <c r="G25" s="6" t="str">
        <f t="shared" si="0"/>
        <v>Myrcha Jacek</v>
      </c>
      <c r="H25" s="22" t="str">
        <f>IFERROR(VLOOKUP(VLOOKUP(A25,'Sales Order'!A:C,3,FALSE),Employee!A:E,5,FALSE)&amp;" "&amp;VLOOKUP(VLOOKUP(A25,'Sales Order'!A:C,3,FALSE),Employee!A:C,3,FALSE)&amp;" "&amp;VLOOKUP(VLOOKUP(A25,'Sales Order'!A:C,3,FALSE),Employee!A:B,2,FALSE),"Not Specified")</f>
        <v>Ms. Zoya Dolgopyatova</v>
      </c>
      <c r="I25">
        <f>IFERROR(VLOOKUP(VLOOKUP(A25,'Sales Order'!A:C,3,FALSE),Employee!A:J,10,FALSE),"Not Specified")</f>
        <v>0</v>
      </c>
      <c r="J25" t="str">
        <f>VLOOKUP(B25,Product!A:B,2,FALSE)</f>
        <v>Product UKXRI</v>
      </c>
      <c r="K25" t="str">
        <f>VLOOKUP(VLOOKUP(B25,Product!A:D,4,FALSE),Category!A:B,2,FALSE)</f>
        <v>Dairy Product</v>
      </c>
      <c r="L25" s="24">
        <f>IFERROR(VLOOKUP(A25,'Sales Order'!A:D,4,FALSE),"")</f>
        <v>38910</v>
      </c>
      <c r="M25" s="24">
        <f>IFERROR(VLOOKUP(A25,'Sales Order'!A:F,6,FALSE),"")</f>
        <v>38913</v>
      </c>
      <c r="N25" t="str">
        <f>IFERROR(VLOOKUP(VLOOKUP(A25,'Sales Order'!A:G,7,FALSE),Shipper!A:B,2,FALSE),"Not Specified")</f>
        <v>Shipper ZHISN</v>
      </c>
      <c r="O25" t="str">
        <f>IFERROR(VLOOKUP(A25,'Sales Order'!A:I,9,FALSE),"Not Specified")</f>
        <v>Ship to 68-A</v>
      </c>
      <c r="P25" t="str">
        <f>IFERROR(VLOOKUP(A25,'Sales Order'!A:N,14,FALSE),"Not Specified")</f>
        <v>Switzerland</v>
      </c>
      <c r="Q25" t="str">
        <f>VLOOKUP(VLOOKUP(B25,Product!A:C,3,FALSE),Supplier!A:B,2,FALSE)</f>
        <v>Supplier OAVQT</v>
      </c>
      <c r="R25" t="str">
        <f>VLOOKUP(VLOOKUP(B25,Product!A:C,3,FALSE),Supplier!A:I,9,FALSE)</f>
        <v>France</v>
      </c>
      <c r="S25" t="str">
        <f>IFERROR(IF(VLOOKUP(A25,'Sales Order'!A:H,8,FALSE)&gt;100,"High Freight","Low Freight"),"Not Specified")</f>
        <v>High Freight</v>
      </c>
      <c r="T25">
        <f t="shared" si="1"/>
        <v>1320</v>
      </c>
    </row>
    <row r="26" spans="1:20">
      <c r="A26" s="9">
        <v>10256</v>
      </c>
      <c r="B26" s="6">
        <v>53</v>
      </c>
      <c r="C26" s="6">
        <v>26.2</v>
      </c>
      <c r="D26" s="6">
        <v>15</v>
      </c>
      <c r="E26" s="18">
        <v>0</v>
      </c>
      <c r="F26" s="6" t="str">
        <f>IFERROR(VLOOKUP(VLOOKUP(A26,'Sales Order'!A:B,2,FALSE),Customer!A:C,3,FALSE),"Not Specified")</f>
        <v>Li, Yan</v>
      </c>
      <c r="G26" s="6" t="str">
        <f t="shared" si="0"/>
        <v>Li Yan</v>
      </c>
      <c r="H26" s="22" t="str">
        <f>IFERROR(VLOOKUP(VLOOKUP(A26,'Sales Order'!A:C,3,FALSE),Employee!A:E,5,FALSE)&amp;" "&amp;VLOOKUP(VLOOKUP(A26,'Sales Order'!A:C,3,FALSE),Employee!A:C,3,FALSE)&amp;" "&amp;VLOOKUP(VLOOKUP(A26,'Sales Order'!A:C,3,FALSE),Employee!A:B,2,FALSE),"Not Specified")</f>
        <v>Ms. Judy Lew</v>
      </c>
      <c r="I26" t="str">
        <f>IFERROR(VLOOKUP(VLOOKUP(A26,'Sales Order'!A:C,3,FALSE),Employee!A:J,10,FALSE),"Not Specified")</f>
        <v>WA</v>
      </c>
      <c r="J26" t="str">
        <f>VLOOKUP(B26,Product!A:B,2,FALSE)</f>
        <v>Product BKGEA</v>
      </c>
      <c r="K26" t="str">
        <f>VLOOKUP(VLOOKUP(B26,Product!A:D,4,FALSE),Category!A:B,2,FALSE)</f>
        <v>Meat/Poultry</v>
      </c>
      <c r="L26" s="24">
        <f>IFERROR(VLOOKUP(A26,'Sales Order'!A:D,4,FALSE),"")</f>
        <v>38913</v>
      </c>
      <c r="M26" s="24">
        <f>IFERROR(VLOOKUP(A26,'Sales Order'!A:F,6,FALSE),"")</f>
        <v>38915</v>
      </c>
      <c r="N26" t="str">
        <f>IFERROR(VLOOKUP(VLOOKUP(A26,'Sales Order'!A:G,7,FALSE),Shipper!A:B,2,FALSE),"Not Specified")</f>
        <v>Shipper ETYNR</v>
      </c>
      <c r="O26" t="str">
        <f>IFERROR(VLOOKUP(A26,'Sales Order'!A:I,9,FALSE),"Not Specified")</f>
        <v>Ship to 88-B</v>
      </c>
      <c r="P26" t="str">
        <f>IFERROR(VLOOKUP(A26,'Sales Order'!A:N,14,FALSE),"Not Specified")</f>
        <v>Brazil</v>
      </c>
      <c r="Q26" t="str">
        <f>VLOOKUP(VLOOKUP(B26,Product!A:C,3,FALSE),Supplier!A:B,2,FALSE)</f>
        <v>Supplier JNNES</v>
      </c>
      <c r="R26" t="str">
        <f>VLOOKUP(VLOOKUP(B26,Product!A:C,3,FALSE),Supplier!A:I,9,FALSE)</f>
        <v>Australia</v>
      </c>
      <c r="S26" t="str">
        <f>IFERROR(IF(VLOOKUP(A26,'Sales Order'!A:H,8,FALSE)&gt;100,"High Freight","Low Freight"),"Not Specified")</f>
        <v>Low Freight</v>
      </c>
      <c r="T26">
        <f t="shared" si="1"/>
        <v>393</v>
      </c>
    </row>
    <row r="27" spans="1:20">
      <c r="A27" s="9">
        <v>10256</v>
      </c>
      <c r="B27" s="6">
        <v>77</v>
      </c>
      <c r="C27" s="6">
        <v>10.4</v>
      </c>
      <c r="D27" s="6">
        <v>12</v>
      </c>
      <c r="E27" s="18">
        <v>0</v>
      </c>
      <c r="F27" s="6" t="str">
        <f>IFERROR(VLOOKUP(VLOOKUP(A27,'Sales Order'!A:B,2,FALSE),Customer!A:C,3,FALSE),"Not Specified")</f>
        <v>Li, Yan</v>
      </c>
      <c r="G27" s="6" t="str">
        <f t="shared" si="0"/>
        <v>Li Yan</v>
      </c>
      <c r="H27" s="22" t="str">
        <f>IFERROR(VLOOKUP(VLOOKUP(A27,'Sales Order'!A:C,3,FALSE),Employee!A:E,5,FALSE)&amp;" "&amp;VLOOKUP(VLOOKUP(A27,'Sales Order'!A:C,3,FALSE),Employee!A:C,3,FALSE)&amp;" "&amp;VLOOKUP(VLOOKUP(A27,'Sales Order'!A:C,3,FALSE),Employee!A:B,2,FALSE),"Not Specified")</f>
        <v>Ms. Judy Lew</v>
      </c>
      <c r="I27" t="str">
        <f>IFERROR(VLOOKUP(VLOOKUP(A27,'Sales Order'!A:C,3,FALSE),Employee!A:J,10,FALSE),"Not Specified")</f>
        <v>WA</v>
      </c>
      <c r="J27" t="str">
        <f>VLOOKUP(B27,Product!A:B,2,FALSE)</f>
        <v>Product LUNZZ</v>
      </c>
      <c r="K27" t="str">
        <f>VLOOKUP(VLOOKUP(B27,Product!A:D,4,FALSE),Category!A:B,2,FALSE)</f>
        <v>Condiments</v>
      </c>
      <c r="L27" s="24">
        <f>IFERROR(VLOOKUP(A27,'Sales Order'!A:D,4,FALSE),"")</f>
        <v>38913</v>
      </c>
      <c r="M27" s="24">
        <f>IFERROR(VLOOKUP(A27,'Sales Order'!A:F,6,FALSE),"")</f>
        <v>38915</v>
      </c>
      <c r="N27" t="str">
        <f>IFERROR(VLOOKUP(VLOOKUP(A27,'Sales Order'!A:G,7,FALSE),Shipper!A:B,2,FALSE),"Not Specified")</f>
        <v>Shipper ETYNR</v>
      </c>
      <c r="O27" t="str">
        <f>IFERROR(VLOOKUP(A27,'Sales Order'!A:I,9,FALSE),"Not Specified")</f>
        <v>Ship to 88-B</v>
      </c>
      <c r="P27" t="str">
        <f>IFERROR(VLOOKUP(A27,'Sales Order'!A:N,14,FALSE),"Not Specified")</f>
        <v>Brazil</v>
      </c>
      <c r="Q27" t="str">
        <f>VLOOKUP(VLOOKUP(B27,Product!A:C,3,FALSE),Supplier!A:B,2,FALSE)</f>
        <v>Supplier SVIYA</v>
      </c>
      <c r="R27" t="str">
        <f>VLOOKUP(VLOOKUP(B27,Product!A:C,3,FALSE),Supplier!A:I,9,FALSE)</f>
        <v>Germany</v>
      </c>
      <c r="S27" t="str">
        <f>IFERROR(IF(VLOOKUP(A27,'Sales Order'!A:H,8,FALSE)&gt;100,"High Freight","Low Freight"),"Not Specified")</f>
        <v>Low Freight</v>
      </c>
      <c r="T27">
        <f t="shared" si="1"/>
        <v>124.80000000000001</v>
      </c>
    </row>
    <row r="28" spans="1:20">
      <c r="A28" s="9">
        <v>10257</v>
      </c>
      <c r="B28" s="6">
        <v>27</v>
      </c>
      <c r="C28" s="6">
        <v>35.1</v>
      </c>
      <c r="D28" s="6">
        <v>25</v>
      </c>
      <c r="E28" s="18">
        <v>0</v>
      </c>
      <c r="F28" s="6" t="str">
        <f>IFERROR(VLOOKUP(VLOOKUP(A28,'Sales Order'!A:B,2,FALSE),Customer!A:C,3,FALSE),"Not Specified")</f>
        <v>Langohr, Kris</v>
      </c>
      <c r="G28" s="6" t="str">
        <f t="shared" si="0"/>
        <v>Langohr Kris</v>
      </c>
      <c r="H28" s="22" t="str">
        <f>IFERROR(VLOOKUP(VLOOKUP(A28,'Sales Order'!A:C,3,FALSE),Employee!A:E,5,FALSE)&amp;" "&amp;VLOOKUP(VLOOKUP(A28,'Sales Order'!A:C,3,FALSE),Employee!A:C,3,FALSE)&amp;" "&amp;VLOOKUP(VLOOKUP(A28,'Sales Order'!A:C,3,FALSE),Employee!A:B,2,FALSE),"Not Specified")</f>
        <v>Mrs. Yael Peled</v>
      </c>
      <c r="I28" t="str">
        <f>IFERROR(VLOOKUP(VLOOKUP(A28,'Sales Order'!A:C,3,FALSE),Employee!A:J,10,FALSE),"Not Specified")</f>
        <v>WA</v>
      </c>
      <c r="J28" t="str">
        <f>VLOOKUP(B28,Product!A:B,2,FALSE)</f>
        <v>Product SMIOH</v>
      </c>
      <c r="K28" t="str">
        <f>VLOOKUP(VLOOKUP(B28,Product!A:D,4,FALSE),Category!A:B,2,FALSE)</f>
        <v>Confections</v>
      </c>
      <c r="L28" s="24">
        <f>IFERROR(VLOOKUP(A28,'Sales Order'!A:D,4,FALSE),"")</f>
        <v>38914</v>
      </c>
      <c r="M28" s="24">
        <f>IFERROR(VLOOKUP(A28,'Sales Order'!A:F,6,FALSE),"")</f>
        <v>38920</v>
      </c>
      <c r="N28" t="str">
        <f>IFERROR(VLOOKUP(VLOOKUP(A28,'Sales Order'!A:G,7,FALSE),Shipper!A:B,2,FALSE),"Not Specified")</f>
        <v>Shipper ZHISN</v>
      </c>
      <c r="O28" t="str">
        <f>IFERROR(VLOOKUP(A28,'Sales Order'!A:I,9,FALSE),"Not Specified")</f>
        <v>Destination JYDLM</v>
      </c>
      <c r="P28" t="str">
        <f>IFERROR(VLOOKUP(A28,'Sales Order'!A:N,14,FALSE),"Not Specified")</f>
        <v>Venezuela</v>
      </c>
      <c r="Q28" t="str">
        <f>VLOOKUP(VLOOKUP(B28,Product!A:C,3,FALSE),Supplier!A:B,2,FALSE)</f>
        <v>Supplier ZPYVS</v>
      </c>
      <c r="R28" t="str">
        <f>VLOOKUP(VLOOKUP(B28,Product!A:C,3,FALSE),Supplier!A:I,9,FALSE)</f>
        <v>Germany</v>
      </c>
      <c r="S28" t="str">
        <f>IFERROR(IF(VLOOKUP(A28,'Sales Order'!A:H,8,FALSE)&gt;100,"High Freight","Low Freight"),"Not Specified")</f>
        <v>Low Freight</v>
      </c>
      <c r="T28">
        <f t="shared" si="1"/>
        <v>877.5</v>
      </c>
    </row>
    <row r="29" spans="1:20">
      <c r="A29" s="9">
        <v>10257</v>
      </c>
      <c r="B29" s="6">
        <v>39</v>
      </c>
      <c r="C29" s="6">
        <v>14.4</v>
      </c>
      <c r="D29" s="6">
        <v>6</v>
      </c>
      <c r="E29" s="18">
        <v>0</v>
      </c>
      <c r="F29" s="6" t="str">
        <f>IFERROR(VLOOKUP(VLOOKUP(A29,'Sales Order'!A:B,2,FALSE),Customer!A:C,3,FALSE),"Not Specified")</f>
        <v>Langohr, Kris</v>
      </c>
      <c r="G29" s="6" t="str">
        <f t="shared" si="0"/>
        <v>Langohr Kris</v>
      </c>
      <c r="H29" s="22" t="str">
        <f>IFERROR(VLOOKUP(VLOOKUP(A29,'Sales Order'!A:C,3,FALSE),Employee!A:E,5,FALSE)&amp;" "&amp;VLOOKUP(VLOOKUP(A29,'Sales Order'!A:C,3,FALSE),Employee!A:C,3,FALSE)&amp;" "&amp;VLOOKUP(VLOOKUP(A29,'Sales Order'!A:C,3,FALSE),Employee!A:B,2,FALSE),"Not Specified")</f>
        <v>Mrs. Yael Peled</v>
      </c>
      <c r="I29" t="str">
        <f>IFERROR(VLOOKUP(VLOOKUP(A29,'Sales Order'!A:C,3,FALSE),Employee!A:J,10,FALSE),"Not Specified")</f>
        <v>WA</v>
      </c>
      <c r="J29" t="str">
        <f>VLOOKUP(B29,Product!A:B,2,FALSE)</f>
        <v>Product LSOFL</v>
      </c>
      <c r="K29" t="str">
        <f>VLOOKUP(VLOOKUP(B29,Product!A:D,4,FALSE),Category!A:B,2,FALSE)</f>
        <v>Beverages</v>
      </c>
      <c r="L29" s="24">
        <f>IFERROR(VLOOKUP(A29,'Sales Order'!A:D,4,FALSE),"")</f>
        <v>38914</v>
      </c>
      <c r="M29" s="24">
        <f>IFERROR(VLOOKUP(A29,'Sales Order'!A:F,6,FALSE),"")</f>
        <v>38920</v>
      </c>
      <c r="N29" t="str">
        <f>IFERROR(VLOOKUP(VLOOKUP(A29,'Sales Order'!A:G,7,FALSE),Shipper!A:B,2,FALSE),"Not Specified")</f>
        <v>Shipper ZHISN</v>
      </c>
      <c r="O29" t="str">
        <f>IFERROR(VLOOKUP(A29,'Sales Order'!A:I,9,FALSE),"Not Specified")</f>
        <v>Destination JYDLM</v>
      </c>
      <c r="P29" t="str">
        <f>IFERROR(VLOOKUP(A29,'Sales Order'!A:N,14,FALSE),"Not Specified")</f>
        <v>Venezuela</v>
      </c>
      <c r="Q29" t="str">
        <f>VLOOKUP(VLOOKUP(B29,Product!A:C,3,FALSE),Supplier!A:B,2,FALSE)</f>
        <v>Supplier LVJUA</v>
      </c>
      <c r="R29" t="str">
        <f>VLOOKUP(VLOOKUP(B29,Product!A:C,3,FALSE),Supplier!A:I,9,FALSE)</f>
        <v>France</v>
      </c>
      <c r="S29" t="str">
        <f>IFERROR(IF(VLOOKUP(A29,'Sales Order'!A:H,8,FALSE)&gt;100,"High Freight","Low Freight"),"Not Specified")</f>
        <v>Low Freight</v>
      </c>
      <c r="T29">
        <f t="shared" si="1"/>
        <v>86.4</v>
      </c>
    </row>
    <row r="30" spans="1:20">
      <c r="A30" s="9">
        <v>10257</v>
      </c>
      <c r="B30" s="6">
        <v>77</v>
      </c>
      <c r="C30" s="6">
        <v>10.4</v>
      </c>
      <c r="D30" s="6">
        <v>15</v>
      </c>
      <c r="E30" s="18">
        <v>0</v>
      </c>
      <c r="F30" s="6" t="str">
        <f>IFERROR(VLOOKUP(VLOOKUP(A30,'Sales Order'!A:B,2,FALSE),Customer!A:C,3,FALSE),"Not Specified")</f>
        <v>Langohr, Kris</v>
      </c>
      <c r="G30" s="6" t="str">
        <f t="shared" si="0"/>
        <v>Langohr Kris</v>
      </c>
      <c r="H30" s="22" t="str">
        <f>IFERROR(VLOOKUP(VLOOKUP(A30,'Sales Order'!A:C,3,FALSE),Employee!A:E,5,FALSE)&amp;" "&amp;VLOOKUP(VLOOKUP(A30,'Sales Order'!A:C,3,FALSE),Employee!A:C,3,FALSE)&amp;" "&amp;VLOOKUP(VLOOKUP(A30,'Sales Order'!A:C,3,FALSE),Employee!A:B,2,FALSE),"Not Specified")</f>
        <v>Mrs. Yael Peled</v>
      </c>
      <c r="I30" t="str">
        <f>IFERROR(VLOOKUP(VLOOKUP(A30,'Sales Order'!A:C,3,FALSE),Employee!A:J,10,FALSE),"Not Specified")</f>
        <v>WA</v>
      </c>
      <c r="J30" t="str">
        <f>VLOOKUP(B30,Product!A:B,2,FALSE)</f>
        <v>Product LUNZZ</v>
      </c>
      <c r="K30" t="str">
        <f>VLOOKUP(VLOOKUP(B30,Product!A:D,4,FALSE),Category!A:B,2,FALSE)</f>
        <v>Condiments</v>
      </c>
      <c r="L30" s="24">
        <f>IFERROR(VLOOKUP(A30,'Sales Order'!A:D,4,FALSE),"")</f>
        <v>38914</v>
      </c>
      <c r="M30" s="24">
        <f>IFERROR(VLOOKUP(A30,'Sales Order'!A:F,6,FALSE),"")</f>
        <v>38920</v>
      </c>
      <c r="N30" t="str">
        <f>IFERROR(VLOOKUP(VLOOKUP(A30,'Sales Order'!A:G,7,FALSE),Shipper!A:B,2,FALSE),"Not Specified")</f>
        <v>Shipper ZHISN</v>
      </c>
      <c r="O30" t="str">
        <f>IFERROR(VLOOKUP(A30,'Sales Order'!A:I,9,FALSE),"Not Specified")</f>
        <v>Destination JYDLM</v>
      </c>
      <c r="P30" t="str">
        <f>IFERROR(VLOOKUP(A30,'Sales Order'!A:N,14,FALSE),"Not Specified")</f>
        <v>Venezuela</v>
      </c>
      <c r="Q30" t="str">
        <f>VLOOKUP(VLOOKUP(B30,Product!A:C,3,FALSE),Supplier!A:B,2,FALSE)</f>
        <v>Supplier SVIYA</v>
      </c>
      <c r="R30" t="str">
        <f>VLOOKUP(VLOOKUP(B30,Product!A:C,3,FALSE),Supplier!A:I,9,FALSE)</f>
        <v>Germany</v>
      </c>
      <c r="S30" t="str">
        <f>IFERROR(IF(VLOOKUP(A30,'Sales Order'!A:H,8,FALSE)&gt;100,"High Freight","Low Freight"),"Not Specified")</f>
        <v>Low Freight</v>
      </c>
      <c r="T30">
        <f t="shared" si="1"/>
        <v>156</v>
      </c>
    </row>
    <row r="31" spans="1:20">
      <c r="A31" s="9">
        <v>10258</v>
      </c>
      <c r="B31" s="6">
        <v>2</v>
      </c>
      <c r="C31" s="6">
        <v>15.2</v>
      </c>
      <c r="D31" s="6">
        <v>50</v>
      </c>
      <c r="E31" s="18">
        <v>0.2</v>
      </c>
      <c r="F31" s="6" t="str">
        <f>IFERROR(VLOOKUP(VLOOKUP(A31,'Sales Order'!A:B,2,FALSE),Customer!A:C,3,FALSE),"Not Specified")</f>
        <v>Kane, John</v>
      </c>
      <c r="G31" s="6" t="str">
        <f t="shared" si="0"/>
        <v>Kane John</v>
      </c>
      <c r="H31" s="22" t="str">
        <f>IFERROR(VLOOKUP(VLOOKUP(A31,'Sales Order'!A:C,3,FALSE),Employee!A:E,5,FALSE)&amp;" "&amp;VLOOKUP(VLOOKUP(A31,'Sales Order'!A:C,3,FALSE),Employee!A:C,3,FALSE)&amp;" "&amp;VLOOKUP(VLOOKUP(A31,'Sales Order'!A:C,3,FALSE),Employee!A:B,2,FALSE),"Not Specified")</f>
        <v>Ms. Sara Davis</v>
      </c>
      <c r="I31" t="str">
        <f>IFERROR(VLOOKUP(VLOOKUP(A31,'Sales Order'!A:C,3,FALSE),Employee!A:J,10,FALSE),"Not Specified")</f>
        <v>WA</v>
      </c>
      <c r="J31" t="str">
        <f>VLOOKUP(B31,Product!A:B,2,FALSE)</f>
        <v>Product RECZE</v>
      </c>
      <c r="K31" t="str">
        <f>VLOOKUP(VLOOKUP(B31,Product!A:D,4,FALSE),Category!A:B,2,FALSE)</f>
        <v>Beverages</v>
      </c>
      <c r="L31" s="24">
        <f>IFERROR(VLOOKUP(A31,'Sales Order'!A:D,4,FALSE),"")</f>
        <v>38915</v>
      </c>
      <c r="M31" s="24">
        <f>IFERROR(VLOOKUP(A31,'Sales Order'!A:F,6,FALSE),"")</f>
        <v>38921</v>
      </c>
      <c r="N31" t="str">
        <f>IFERROR(VLOOKUP(VLOOKUP(A31,'Sales Order'!A:G,7,FALSE),Shipper!A:B,2,FALSE),"Not Specified")</f>
        <v>Shipper GVSUA</v>
      </c>
      <c r="O31" t="str">
        <f>IFERROR(VLOOKUP(A31,'Sales Order'!A:I,9,FALSE),"Not Specified")</f>
        <v>Destination RVDMF</v>
      </c>
      <c r="P31" t="str">
        <f>IFERROR(VLOOKUP(A31,'Sales Order'!A:N,14,FALSE),"Not Specified")</f>
        <v>Austria</v>
      </c>
      <c r="Q31" t="str">
        <f>VLOOKUP(VLOOKUP(B31,Product!A:C,3,FALSE),Supplier!A:B,2,FALSE)</f>
        <v>Supplier SWRXU</v>
      </c>
      <c r="R31" t="str">
        <f>VLOOKUP(VLOOKUP(B31,Product!A:C,3,FALSE),Supplier!A:I,9,FALSE)</f>
        <v>UK</v>
      </c>
      <c r="S31" t="str">
        <f>IFERROR(IF(VLOOKUP(A31,'Sales Order'!A:H,8,FALSE)&gt;100,"High Freight","Low Freight"),"Not Specified")</f>
        <v>High Freight</v>
      </c>
      <c r="T31">
        <f t="shared" si="1"/>
        <v>608</v>
      </c>
    </row>
    <row r="32" spans="1:20">
      <c r="A32" s="9">
        <v>10258</v>
      </c>
      <c r="B32" s="6">
        <v>5</v>
      </c>
      <c r="C32" s="6">
        <v>17</v>
      </c>
      <c r="D32" s="6">
        <v>65</v>
      </c>
      <c r="E32" s="18">
        <v>0.2</v>
      </c>
      <c r="F32" s="6" t="str">
        <f>IFERROR(VLOOKUP(VLOOKUP(A32,'Sales Order'!A:B,2,FALSE),Customer!A:C,3,FALSE),"Not Specified")</f>
        <v>Kane, John</v>
      </c>
      <c r="G32" s="6" t="str">
        <f t="shared" si="0"/>
        <v>Kane John</v>
      </c>
      <c r="H32" s="22" t="str">
        <f>IFERROR(VLOOKUP(VLOOKUP(A32,'Sales Order'!A:C,3,FALSE),Employee!A:E,5,FALSE)&amp;" "&amp;VLOOKUP(VLOOKUP(A32,'Sales Order'!A:C,3,FALSE),Employee!A:C,3,FALSE)&amp;" "&amp;VLOOKUP(VLOOKUP(A32,'Sales Order'!A:C,3,FALSE),Employee!A:B,2,FALSE),"Not Specified")</f>
        <v>Ms. Sara Davis</v>
      </c>
      <c r="I32" t="str">
        <f>IFERROR(VLOOKUP(VLOOKUP(A32,'Sales Order'!A:C,3,FALSE),Employee!A:J,10,FALSE),"Not Specified")</f>
        <v>WA</v>
      </c>
      <c r="J32" t="str">
        <f>VLOOKUP(B32,Product!A:B,2,FALSE)</f>
        <v>Product EPEIM</v>
      </c>
      <c r="K32" t="str">
        <f>VLOOKUP(VLOOKUP(B32,Product!A:D,4,FALSE),Category!A:B,2,FALSE)</f>
        <v>Condiments</v>
      </c>
      <c r="L32" s="24">
        <f>IFERROR(VLOOKUP(A32,'Sales Order'!A:D,4,FALSE),"")</f>
        <v>38915</v>
      </c>
      <c r="M32" s="24">
        <f>IFERROR(VLOOKUP(A32,'Sales Order'!A:F,6,FALSE),"")</f>
        <v>38921</v>
      </c>
      <c r="N32" t="str">
        <f>IFERROR(VLOOKUP(VLOOKUP(A32,'Sales Order'!A:G,7,FALSE),Shipper!A:B,2,FALSE),"Not Specified")</f>
        <v>Shipper GVSUA</v>
      </c>
      <c r="O32" t="str">
        <f>IFERROR(VLOOKUP(A32,'Sales Order'!A:I,9,FALSE),"Not Specified")</f>
        <v>Destination RVDMF</v>
      </c>
      <c r="P32" t="str">
        <f>IFERROR(VLOOKUP(A32,'Sales Order'!A:N,14,FALSE),"Not Specified")</f>
        <v>Austria</v>
      </c>
      <c r="Q32" t="str">
        <f>VLOOKUP(VLOOKUP(B32,Product!A:C,3,FALSE),Supplier!A:B,2,FALSE)</f>
        <v>Supplier VHQZD</v>
      </c>
      <c r="R32" t="str">
        <f>VLOOKUP(VLOOKUP(B32,Product!A:C,3,FALSE),Supplier!A:I,9,FALSE)</f>
        <v>USA</v>
      </c>
      <c r="S32" t="str">
        <f>IFERROR(IF(VLOOKUP(A32,'Sales Order'!A:H,8,FALSE)&gt;100,"High Freight","Low Freight"),"Not Specified")</f>
        <v>High Freight</v>
      </c>
      <c r="T32">
        <f t="shared" si="1"/>
        <v>884</v>
      </c>
    </row>
    <row r="33" spans="1:20">
      <c r="A33" s="9">
        <v>10258</v>
      </c>
      <c r="B33" s="6">
        <v>32</v>
      </c>
      <c r="C33" s="6">
        <v>25.6</v>
      </c>
      <c r="D33" s="6">
        <v>6</v>
      </c>
      <c r="E33" s="18">
        <v>0.2</v>
      </c>
      <c r="F33" s="6" t="str">
        <f>IFERROR(VLOOKUP(VLOOKUP(A33,'Sales Order'!A:B,2,FALSE),Customer!A:C,3,FALSE),"Not Specified")</f>
        <v>Kane, John</v>
      </c>
      <c r="G33" s="6" t="str">
        <f t="shared" si="0"/>
        <v>Kane John</v>
      </c>
      <c r="H33" s="22" t="str">
        <f>IFERROR(VLOOKUP(VLOOKUP(A33,'Sales Order'!A:C,3,FALSE),Employee!A:E,5,FALSE)&amp;" "&amp;VLOOKUP(VLOOKUP(A33,'Sales Order'!A:C,3,FALSE),Employee!A:C,3,FALSE)&amp;" "&amp;VLOOKUP(VLOOKUP(A33,'Sales Order'!A:C,3,FALSE),Employee!A:B,2,FALSE),"Not Specified")</f>
        <v>Ms. Sara Davis</v>
      </c>
      <c r="I33" t="str">
        <f>IFERROR(VLOOKUP(VLOOKUP(A33,'Sales Order'!A:C,3,FALSE),Employee!A:J,10,FALSE),"Not Specified")</f>
        <v>WA</v>
      </c>
      <c r="J33" t="str">
        <f>VLOOKUP(B33,Product!A:B,2,FALSE)</f>
        <v>Product NUNAW</v>
      </c>
      <c r="K33" t="str">
        <f>VLOOKUP(VLOOKUP(B33,Product!A:D,4,FALSE),Category!A:B,2,FALSE)</f>
        <v>Dairy Product</v>
      </c>
      <c r="L33" s="24">
        <f>IFERROR(VLOOKUP(A33,'Sales Order'!A:D,4,FALSE),"")</f>
        <v>38915</v>
      </c>
      <c r="M33" s="24">
        <f>IFERROR(VLOOKUP(A33,'Sales Order'!A:F,6,FALSE),"")</f>
        <v>38921</v>
      </c>
      <c r="N33" t="str">
        <f>IFERROR(VLOOKUP(VLOOKUP(A33,'Sales Order'!A:G,7,FALSE),Shipper!A:B,2,FALSE),"Not Specified")</f>
        <v>Shipper GVSUA</v>
      </c>
      <c r="O33" t="str">
        <f>IFERROR(VLOOKUP(A33,'Sales Order'!A:I,9,FALSE),"Not Specified")</f>
        <v>Destination RVDMF</v>
      </c>
      <c r="P33" t="str">
        <f>IFERROR(VLOOKUP(A33,'Sales Order'!A:N,14,FALSE),"Not Specified")</f>
        <v>Austria</v>
      </c>
      <c r="Q33" t="str">
        <f>VLOOKUP(VLOOKUP(B33,Product!A:C,3,FALSE),Supplier!A:B,2,FALSE)</f>
        <v>Supplier KEREV</v>
      </c>
      <c r="R33" t="str">
        <f>VLOOKUP(VLOOKUP(B33,Product!A:C,3,FALSE),Supplier!A:I,9,FALSE)</f>
        <v>Italy</v>
      </c>
      <c r="S33" t="str">
        <f>IFERROR(IF(VLOOKUP(A33,'Sales Order'!A:H,8,FALSE)&gt;100,"High Freight","Low Freight"),"Not Specified")</f>
        <v>High Freight</v>
      </c>
      <c r="T33">
        <f t="shared" si="1"/>
        <v>122.88000000000002</v>
      </c>
    </row>
    <row r="34" spans="1:20">
      <c r="A34" s="9">
        <v>10259</v>
      </c>
      <c r="B34" s="6">
        <v>21</v>
      </c>
      <c r="C34" s="6">
        <v>8</v>
      </c>
      <c r="D34" s="6">
        <v>10</v>
      </c>
      <c r="E34" s="18">
        <v>0</v>
      </c>
      <c r="F34" s="6" t="str">
        <f>IFERROR(VLOOKUP(VLOOKUP(A34,'Sales Order'!A:B,2,FALSE),Customer!A:C,3,FALSE),"Not Specified")</f>
        <v>Benito, Almudena</v>
      </c>
      <c r="G34" s="6" t="str">
        <f t="shared" si="0"/>
        <v>Benito Almudena</v>
      </c>
      <c r="H34" s="22" t="str">
        <f>IFERROR(VLOOKUP(VLOOKUP(A34,'Sales Order'!A:C,3,FALSE),Employee!A:E,5,FALSE)&amp;" "&amp;VLOOKUP(VLOOKUP(A34,'Sales Order'!A:C,3,FALSE),Employee!A:C,3,FALSE)&amp;" "&amp;VLOOKUP(VLOOKUP(A34,'Sales Order'!A:C,3,FALSE),Employee!A:B,2,FALSE),"Not Specified")</f>
        <v>Mrs. Yael Peled</v>
      </c>
      <c r="I34" t="str">
        <f>IFERROR(VLOOKUP(VLOOKUP(A34,'Sales Order'!A:C,3,FALSE),Employee!A:J,10,FALSE),"Not Specified")</f>
        <v>WA</v>
      </c>
      <c r="J34" t="str">
        <f>VLOOKUP(B34,Product!A:B,2,FALSE)</f>
        <v>Product VJZZH</v>
      </c>
      <c r="K34" t="str">
        <f>VLOOKUP(VLOOKUP(B34,Product!A:D,4,FALSE),Category!A:B,2,FALSE)</f>
        <v>Confections</v>
      </c>
      <c r="L34" s="24">
        <f>IFERROR(VLOOKUP(A34,'Sales Order'!A:D,4,FALSE),"")</f>
        <v>38916</v>
      </c>
      <c r="M34" s="24">
        <f>IFERROR(VLOOKUP(A34,'Sales Order'!A:F,6,FALSE),"")</f>
        <v>38923</v>
      </c>
      <c r="N34" t="str">
        <f>IFERROR(VLOOKUP(VLOOKUP(A34,'Sales Order'!A:G,7,FALSE),Shipper!A:B,2,FALSE),"Not Specified")</f>
        <v>Shipper ZHISN</v>
      </c>
      <c r="O34" t="str">
        <f>IFERROR(VLOOKUP(A34,'Sales Order'!A:I,9,FALSE),"Not Specified")</f>
        <v>Destination LGGCH</v>
      </c>
      <c r="P34" t="str">
        <f>IFERROR(VLOOKUP(A34,'Sales Order'!A:N,14,FALSE),"Not Specified")</f>
        <v>Mexico</v>
      </c>
      <c r="Q34" t="str">
        <f>VLOOKUP(VLOOKUP(B34,Product!A:C,3,FALSE),Supplier!A:B,2,FALSE)</f>
        <v>Supplier BWGYE</v>
      </c>
      <c r="R34" t="str">
        <f>VLOOKUP(VLOOKUP(B34,Product!A:C,3,FALSE),Supplier!A:I,9,FALSE)</f>
        <v>UK</v>
      </c>
      <c r="S34" t="str">
        <f>IFERROR(IF(VLOOKUP(A34,'Sales Order'!A:H,8,FALSE)&gt;100,"High Freight","Low Freight"),"Not Specified")</f>
        <v>Low Freight</v>
      </c>
      <c r="T34">
        <f t="shared" si="1"/>
        <v>80</v>
      </c>
    </row>
    <row r="35" spans="1:20">
      <c r="A35" s="9">
        <v>10259</v>
      </c>
      <c r="B35" s="6">
        <v>37</v>
      </c>
      <c r="C35" s="6">
        <v>20.8</v>
      </c>
      <c r="D35" s="6">
        <v>1</v>
      </c>
      <c r="E35" s="18">
        <v>0</v>
      </c>
      <c r="F35" s="6" t="str">
        <f>IFERROR(VLOOKUP(VLOOKUP(A35,'Sales Order'!A:B,2,FALSE),Customer!A:C,3,FALSE),"Not Specified")</f>
        <v>Benito, Almudena</v>
      </c>
      <c r="G35" s="6" t="str">
        <f t="shared" si="0"/>
        <v>Benito Almudena</v>
      </c>
      <c r="H35" s="22" t="str">
        <f>IFERROR(VLOOKUP(VLOOKUP(A35,'Sales Order'!A:C,3,FALSE),Employee!A:E,5,FALSE)&amp;" "&amp;VLOOKUP(VLOOKUP(A35,'Sales Order'!A:C,3,FALSE),Employee!A:C,3,FALSE)&amp;" "&amp;VLOOKUP(VLOOKUP(A35,'Sales Order'!A:C,3,FALSE),Employee!A:B,2,FALSE),"Not Specified")</f>
        <v>Mrs. Yael Peled</v>
      </c>
      <c r="I35" t="str">
        <f>IFERROR(VLOOKUP(VLOOKUP(A35,'Sales Order'!A:C,3,FALSE),Employee!A:J,10,FALSE),"Not Specified")</f>
        <v>WA</v>
      </c>
      <c r="J35" t="str">
        <f>VLOOKUP(B35,Product!A:B,2,FALSE)</f>
        <v>Product EVFFA</v>
      </c>
      <c r="K35" t="str">
        <f>VLOOKUP(VLOOKUP(B35,Product!A:D,4,FALSE),Category!A:B,2,FALSE)</f>
        <v>Seafood</v>
      </c>
      <c r="L35" s="24">
        <f>IFERROR(VLOOKUP(A35,'Sales Order'!A:D,4,FALSE),"")</f>
        <v>38916</v>
      </c>
      <c r="M35" s="24">
        <f>IFERROR(VLOOKUP(A35,'Sales Order'!A:F,6,FALSE),"")</f>
        <v>38923</v>
      </c>
      <c r="N35" t="str">
        <f>IFERROR(VLOOKUP(VLOOKUP(A35,'Sales Order'!A:G,7,FALSE),Shipper!A:B,2,FALSE),"Not Specified")</f>
        <v>Shipper ZHISN</v>
      </c>
      <c r="O35" t="str">
        <f>IFERROR(VLOOKUP(A35,'Sales Order'!A:I,9,FALSE),"Not Specified")</f>
        <v>Destination LGGCH</v>
      </c>
      <c r="P35" t="str">
        <f>IFERROR(VLOOKUP(A35,'Sales Order'!A:N,14,FALSE),"Not Specified")</f>
        <v>Mexico</v>
      </c>
      <c r="Q35" t="str">
        <f>VLOOKUP(VLOOKUP(B35,Product!A:C,3,FALSE),Supplier!A:B,2,FALSE)</f>
        <v>Supplier QZGUF</v>
      </c>
      <c r="R35" t="str">
        <f>VLOOKUP(VLOOKUP(B35,Product!A:C,3,FALSE),Supplier!A:I,9,FALSE)</f>
        <v>Sweden</v>
      </c>
      <c r="S35" t="str">
        <f>IFERROR(IF(VLOOKUP(A35,'Sales Order'!A:H,8,FALSE)&gt;100,"High Freight","Low Freight"),"Not Specified")</f>
        <v>Low Freight</v>
      </c>
      <c r="T35">
        <f t="shared" si="1"/>
        <v>20.8</v>
      </c>
    </row>
    <row r="36" spans="1:20">
      <c r="A36" s="9">
        <v>10260</v>
      </c>
      <c r="B36" s="6">
        <v>41</v>
      </c>
      <c r="C36" s="6">
        <v>7.7</v>
      </c>
      <c r="D36" s="6">
        <v>16</v>
      </c>
      <c r="E36" s="18">
        <v>0.25</v>
      </c>
      <c r="F36" s="6" t="str">
        <f>IFERROR(VLOOKUP(VLOOKUP(A36,'Sales Order'!A:B,2,FALSE),Customer!A:C,3,FALSE),"Not Specified")</f>
        <v>Marinova, Nadejda</v>
      </c>
      <c r="G36" s="6" t="str">
        <f t="shared" si="0"/>
        <v>Marinova Nadejda</v>
      </c>
      <c r="H36" s="22" t="str">
        <f>IFERROR(VLOOKUP(VLOOKUP(A36,'Sales Order'!A:C,3,FALSE),Employee!A:E,5,FALSE)&amp;" "&amp;VLOOKUP(VLOOKUP(A36,'Sales Order'!A:C,3,FALSE),Employee!A:C,3,FALSE)&amp;" "&amp;VLOOKUP(VLOOKUP(A36,'Sales Order'!A:C,3,FALSE),Employee!A:B,2,FALSE),"Not Specified")</f>
        <v>Mrs. Yael Peled</v>
      </c>
      <c r="I36" t="str">
        <f>IFERROR(VLOOKUP(VLOOKUP(A36,'Sales Order'!A:C,3,FALSE),Employee!A:J,10,FALSE),"Not Specified")</f>
        <v>WA</v>
      </c>
      <c r="J36" t="str">
        <f>VLOOKUP(B36,Product!A:B,2,FALSE)</f>
        <v>Product TTEEX</v>
      </c>
      <c r="K36" t="str">
        <f>VLOOKUP(VLOOKUP(B36,Product!A:D,4,FALSE),Category!A:B,2,FALSE)</f>
        <v>Seafood</v>
      </c>
      <c r="L36" s="24">
        <f>IFERROR(VLOOKUP(A36,'Sales Order'!A:D,4,FALSE),"")</f>
        <v>38917</v>
      </c>
      <c r="M36" s="24">
        <f>IFERROR(VLOOKUP(A36,'Sales Order'!A:F,6,FALSE),"")</f>
        <v>38927</v>
      </c>
      <c r="N36" t="str">
        <f>IFERROR(VLOOKUP(VLOOKUP(A36,'Sales Order'!A:G,7,FALSE),Shipper!A:B,2,FALSE),"Not Specified")</f>
        <v>Shipper GVSUA</v>
      </c>
      <c r="O36" t="str">
        <f>IFERROR(VLOOKUP(A36,'Sales Order'!A:I,9,FALSE),"Not Specified")</f>
        <v>Ship to 56-A</v>
      </c>
      <c r="P36" t="str">
        <f>IFERROR(VLOOKUP(A36,'Sales Order'!A:N,14,FALSE),"Not Specified")</f>
        <v>Germany</v>
      </c>
      <c r="Q36" t="str">
        <f>VLOOKUP(VLOOKUP(B36,Product!A:C,3,FALSE),Supplier!A:B,2,FALSE)</f>
        <v>Supplier JDNUG</v>
      </c>
      <c r="R36" t="str">
        <f>VLOOKUP(VLOOKUP(B36,Product!A:C,3,FALSE),Supplier!A:I,9,FALSE)</f>
        <v>USA</v>
      </c>
      <c r="S36" t="str">
        <f>IFERROR(IF(VLOOKUP(A36,'Sales Order'!A:H,8,FALSE)&gt;100,"High Freight","Low Freight"),"Not Specified")</f>
        <v>Low Freight</v>
      </c>
      <c r="T36">
        <f t="shared" si="1"/>
        <v>92.4</v>
      </c>
    </row>
    <row r="37" spans="1:20">
      <c r="A37" s="9">
        <v>10260</v>
      </c>
      <c r="B37" s="6">
        <v>57</v>
      </c>
      <c r="C37" s="6">
        <v>15.6</v>
      </c>
      <c r="D37" s="6">
        <v>50</v>
      </c>
      <c r="E37" s="18">
        <v>0</v>
      </c>
      <c r="F37" s="6" t="str">
        <f>IFERROR(VLOOKUP(VLOOKUP(A37,'Sales Order'!A:B,2,FALSE),Customer!A:C,3,FALSE),"Not Specified")</f>
        <v>Marinova, Nadejda</v>
      </c>
      <c r="G37" s="6" t="str">
        <f t="shared" si="0"/>
        <v>Marinova Nadejda</v>
      </c>
      <c r="H37" s="22" t="str">
        <f>IFERROR(VLOOKUP(VLOOKUP(A37,'Sales Order'!A:C,3,FALSE),Employee!A:E,5,FALSE)&amp;" "&amp;VLOOKUP(VLOOKUP(A37,'Sales Order'!A:C,3,FALSE),Employee!A:C,3,FALSE)&amp;" "&amp;VLOOKUP(VLOOKUP(A37,'Sales Order'!A:C,3,FALSE),Employee!A:B,2,FALSE),"Not Specified")</f>
        <v>Mrs. Yael Peled</v>
      </c>
      <c r="I37" t="str">
        <f>IFERROR(VLOOKUP(VLOOKUP(A37,'Sales Order'!A:C,3,FALSE),Employee!A:J,10,FALSE),"Not Specified")</f>
        <v>WA</v>
      </c>
      <c r="J37" t="str">
        <f>VLOOKUP(B37,Product!A:B,2,FALSE)</f>
        <v>Product OVLQI</v>
      </c>
      <c r="K37" t="str">
        <f>VLOOKUP(VLOOKUP(B37,Product!A:D,4,FALSE),Category!A:B,2,FALSE)</f>
        <v>Grains/Cereals</v>
      </c>
      <c r="L37" s="24">
        <f>IFERROR(VLOOKUP(A37,'Sales Order'!A:D,4,FALSE),"")</f>
        <v>38917</v>
      </c>
      <c r="M37" s="24">
        <f>IFERROR(VLOOKUP(A37,'Sales Order'!A:F,6,FALSE),"")</f>
        <v>38927</v>
      </c>
      <c r="N37" t="str">
        <f>IFERROR(VLOOKUP(VLOOKUP(A37,'Sales Order'!A:G,7,FALSE),Shipper!A:B,2,FALSE),"Not Specified")</f>
        <v>Shipper GVSUA</v>
      </c>
      <c r="O37" t="str">
        <f>IFERROR(VLOOKUP(A37,'Sales Order'!A:I,9,FALSE),"Not Specified")</f>
        <v>Ship to 56-A</v>
      </c>
      <c r="P37" t="str">
        <f>IFERROR(VLOOKUP(A37,'Sales Order'!A:N,14,FALSE),"Not Specified")</f>
        <v>Germany</v>
      </c>
      <c r="Q37" t="str">
        <f>VLOOKUP(VLOOKUP(B37,Product!A:C,3,FALSE),Supplier!A:B,2,FALSE)</f>
        <v>Supplier ZWZDM</v>
      </c>
      <c r="R37" t="str">
        <f>VLOOKUP(VLOOKUP(B37,Product!A:C,3,FALSE),Supplier!A:I,9,FALSE)</f>
        <v>Italy</v>
      </c>
      <c r="S37" t="str">
        <f>IFERROR(IF(VLOOKUP(A37,'Sales Order'!A:H,8,FALSE)&gt;100,"High Freight","Low Freight"),"Not Specified")</f>
        <v>Low Freight</v>
      </c>
      <c r="T37">
        <f t="shared" si="1"/>
        <v>780</v>
      </c>
    </row>
    <row r="38" spans="1:20">
      <c r="A38" s="9">
        <v>10260</v>
      </c>
      <c r="B38" s="6">
        <v>62</v>
      </c>
      <c r="C38" s="6">
        <v>39.4</v>
      </c>
      <c r="D38" s="6">
        <v>15</v>
      </c>
      <c r="E38" s="18">
        <v>0.25</v>
      </c>
      <c r="F38" s="6" t="str">
        <f>IFERROR(VLOOKUP(VLOOKUP(A38,'Sales Order'!A:B,2,FALSE),Customer!A:C,3,FALSE),"Not Specified")</f>
        <v>Marinova, Nadejda</v>
      </c>
      <c r="G38" s="6" t="str">
        <f t="shared" si="0"/>
        <v>Marinova Nadejda</v>
      </c>
      <c r="H38" s="22" t="str">
        <f>IFERROR(VLOOKUP(VLOOKUP(A38,'Sales Order'!A:C,3,FALSE),Employee!A:E,5,FALSE)&amp;" "&amp;VLOOKUP(VLOOKUP(A38,'Sales Order'!A:C,3,FALSE),Employee!A:C,3,FALSE)&amp;" "&amp;VLOOKUP(VLOOKUP(A38,'Sales Order'!A:C,3,FALSE),Employee!A:B,2,FALSE),"Not Specified")</f>
        <v>Mrs. Yael Peled</v>
      </c>
      <c r="I38" t="str">
        <f>IFERROR(VLOOKUP(VLOOKUP(A38,'Sales Order'!A:C,3,FALSE),Employee!A:J,10,FALSE),"Not Specified")</f>
        <v>WA</v>
      </c>
      <c r="J38" t="str">
        <f>VLOOKUP(B38,Product!A:B,2,FALSE)</f>
        <v>Product WUXYK</v>
      </c>
      <c r="K38" t="str">
        <f>VLOOKUP(VLOOKUP(B38,Product!A:D,4,FALSE),Category!A:B,2,FALSE)</f>
        <v>Confections</v>
      </c>
      <c r="L38" s="24">
        <f>IFERROR(VLOOKUP(A38,'Sales Order'!A:D,4,FALSE),"")</f>
        <v>38917</v>
      </c>
      <c r="M38" s="24">
        <f>IFERROR(VLOOKUP(A38,'Sales Order'!A:F,6,FALSE),"")</f>
        <v>38927</v>
      </c>
      <c r="N38" t="str">
        <f>IFERROR(VLOOKUP(VLOOKUP(A38,'Sales Order'!A:G,7,FALSE),Shipper!A:B,2,FALSE),"Not Specified")</f>
        <v>Shipper GVSUA</v>
      </c>
      <c r="O38" t="str">
        <f>IFERROR(VLOOKUP(A38,'Sales Order'!A:I,9,FALSE),"Not Specified")</f>
        <v>Ship to 56-A</v>
      </c>
      <c r="P38" t="str">
        <f>IFERROR(VLOOKUP(A38,'Sales Order'!A:N,14,FALSE),"Not Specified")</f>
        <v>Germany</v>
      </c>
      <c r="Q38" t="str">
        <f>VLOOKUP(VLOOKUP(B38,Product!A:C,3,FALSE),Supplier!A:B,2,FALSE)</f>
        <v>Supplier OGLRK</v>
      </c>
      <c r="R38" t="str">
        <f>VLOOKUP(VLOOKUP(B38,Product!A:C,3,FALSE),Supplier!A:I,9,FALSE)</f>
        <v>Canada</v>
      </c>
      <c r="S38" t="str">
        <f>IFERROR(IF(VLOOKUP(A38,'Sales Order'!A:H,8,FALSE)&gt;100,"High Freight","Low Freight"),"Not Specified")</f>
        <v>Low Freight</v>
      </c>
      <c r="T38">
        <f t="shared" si="1"/>
        <v>443.25</v>
      </c>
    </row>
    <row r="39" spans="1:20">
      <c r="A39" s="9">
        <v>10260</v>
      </c>
      <c r="B39" s="6">
        <v>70</v>
      </c>
      <c r="C39" s="6">
        <v>12</v>
      </c>
      <c r="D39" s="6">
        <v>21</v>
      </c>
      <c r="E39" s="18">
        <v>0.25</v>
      </c>
      <c r="F39" s="6" t="str">
        <f>IFERROR(VLOOKUP(VLOOKUP(A39,'Sales Order'!A:B,2,FALSE),Customer!A:C,3,FALSE),"Not Specified")</f>
        <v>Marinova, Nadejda</v>
      </c>
      <c r="G39" s="6" t="str">
        <f t="shared" si="0"/>
        <v>Marinova Nadejda</v>
      </c>
      <c r="H39" s="22" t="str">
        <f>IFERROR(VLOOKUP(VLOOKUP(A39,'Sales Order'!A:C,3,FALSE),Employee!A:E,5,FALSE)&amp;" "&amp;VLOOKUP(VLOOKUP(A39,'Sales Order'!A:C,3,FALSE),Employee!A:C,3,FALSE)&amp;" "&amp;VLOOKUP(VLOOKUP(A39,'Sales Order'!A:C,3,FALSE),Employee!A:B,2,FALSE),"Not Specified")</f>
        <v>Mrs. Yael Peled</v>
      </c>
      <c r="I39" t="str">
        <f>IFERROR(VLOOKUP(VLOOKUP(A39,'Sales Order'!A:C,3,FALSE),Employee!A:J,10,FALSE),"Not Specified")</f>
        <v>WA</v>
      </c>
      <c r="J39" t="str">
        <f>VLOOKUP(B39,Product!A:B,2,FALSE)</f>
        <v>Product TOONT</v>
      </c>
      <c r="K39" t="str">
        <f>VLOOKUP(VLOOKUP(B39,Product!A:D,4,FALSE),Category!A:B,2,FALSE)</f>
        <v>Beverages</v>
      </c>
      <c r="L39" s="24">
        <f>IFERROR(VLOOKUP(A39,'Sales Order'!A:D,4,FALSE),"")</f>
        <v>38917</v>
      </c>
      <c r="M39" s="24">
        <f>IFERROR(VLOOKUP(A39,'Sales Order'!A:F,6,FALSE),"")</f>
        <v>38927</v>
      </c>
      <c r="N39" t="str">
        <f>IFERROR(VLOOKUP(VLOOKUP(A39,'Sales Order'!A:G,7,FALSE),Shipper!A:B,2,FALSE),"Not Specified")</f>
        <v>Shipper GVSUA</v>
      </c>
      <c r="O39" t="str">
        <f>IFERROR(VLOOKUP(A39,'Sales Order'!A:I,9,FALSE),"Not Specified")</f>
        <v>Ship to 56-A</v>
      </c>
      <c r="P39" t="str">
        <f>IFERROR(VLOOKUP(A39,'Sales Order'!A:N,14,FALSE),"Not Specified")</f>
        <v>Germany</v>
      </c>
      <c r="Q39" t="str">
        <f>VLOOKUP(VLOOKUP(B39,Product!A:C,3,FALSE),Supplier!A:B,2,FALSE)</f>
        <v>Supplier GQRCV</v>
      </c>
      <c r="R39" t="str">
        <f>VLOOKUP(VLOOKUP(B39,Product!A:C,3,FALSE),Supplier!A:I,9,FALSE)</f>
        <v>Australia</v>
      </c>
      <c r="S39" t="str">
        <f>IFERROR(IF(VLOOKUP(A39,'Sales Order'!A:H,8,FALSE)&gt;100,"High Freight","Low Freight"),"Not Specified")</f>
        <v>Low Freight</v>
      </c>
      <c r="T39">
        <f t="shared" si="1"/>
        <v>189</v>
      </c>
    </row>
    <row r="40" spans="1:20">
      <c r="A40" s="9">
        <v>10261</v>
      </c>
      <c r="B40" s="6">
        <v>21</v>
      </c>
      <c r="C40" s="6">
        <v>8</v>
      </c>
      <c r="D40" s="6">
        <v>20</v>
      </c>
      <c r="E40" s="18">
        <v>0</v>
      </c>
      <c r="F40" s="6" t="str">
        <f>IFERROR(VLOOKUP(VLOOKUP(A40,'Sales Order'!A:B,2,FALSE),Customer!A:C,3,FALSE),"Not Specified")</f>
        <v>Florczyk, Krzysztof</v>
      </c>
      <c r="G40" s="6" t="str">
        <f t="shared" si="0"/>
        <v>Florczyk Krzysztof</v>
      </c>
      <c r="H40" s="22" t="str">
        <f>IFERROR(VLOOKUP(VLOOKUP(A40,'Sales Order'!A:C,3,FALSE),Employee!A:E,5,FALSE)&amp;" "&amp;VLOOKUP(VLOOKUP(A40,'Sales Order'!A:C,3,FALSE),Employee!A:C,3,FALSE)&amp;" "&amp;VLOOKUP(VLOOKUP(A40,'Sales Order'!A:C,3,FALSE),Employee!A:B,2,FALSE),"Not Specified")</f>
        <v>Mrs. Yael Peled</v>
      </c>
      <c r="I40" t="str">
        <f>IFERROR(VLOOKUP(VLOOKUP(A40,'Sales Order'!A:C,3,FALSE),Employee!A:J,10,FALSE),"Not Specified")</f>
        <v>WA</v>
      </c>
      <c r="J40" t="str">
        <f>VLOOKUP(B40,Product!A:B,2,FALSE)</f>
        <v>Product VJZZH</v>
      </c>
      <c r="K40" t="str">
        <f>VLOOKUP(VLOOKUP(B40,Product!A:D,4,FALSE),Category!A:B,2,FALSE)</f>
        <v>Confections</v>
      </c>
      <c r="L40" s="24">
        <f>IFERROR(VLOOKUP(A40,'Sales Order'!A:D,4,FALSE),"")</f>
        <v>38917</v>
      </c>
      <c r="M40" s="24">
        <f>IFERROR(VLOOKUP(A40,'Sales Order'!A:F,6,FALSE),"")</f>
        <v>38928</v>
      </c>
      <c r="N40" t="str">
        <f>IFERROR(VLOOKUP(VLOOKUP(A40,'Sales Order'!A:G,7,FALSE),Shipper!A:B,2,FALSE),"Not Specified")</f>
        <v>Shipper ETYNR</v>
      </c>
      <c r="O40" t="str">
        <f>IFERROR(VLOOKUP(A40,'Sales Order'!A:I,9,FALSE),"Not Specified")</f>
        <v>Ship to 61-B</v>
      </c>
      <c r="P40" t="str">
        <f>IFERROR(VLOOKUP(A40,'Sales Order'!A:N,14,FALSE),"Not Specified")</f>
        <v>Brazil</v>
      </c>
      <c r="Q40" t="str">
        <f>VLOOKUP(VLOOKUP(B40,Product!A:C,3,FALSE),Supplier!A:B,2,FALSE)</f>
        <v>Supplier BWGYE</v>
      </c>
      <c r="R40" t="str">
        <f>VLOOKUP(VLOOKUP(B40,Product!A:C,3,FALSE),Supplier!A:I,9,FALSE)</f>
        <v>UK</v>
      </c>
      <c r="S40" t="str">
        <f>IFERROR(IF(VLOOKUP(A40,'Sales Order'!A:H,8,FALSE)&gt;100,"High Freight","Low Freight"),"Not Specified")</f>
        <v>Low Freight</v>
      </c>
      <c r="T40">
        <f t="shared" si="1"/>
        <v>160</v>
      </c>
    </row>
    <row r="41" spans="1:20">
      <c r="A41" s="9">
        <v>10261</v>
      </c>
      <c r="B41" s="6">
        <v>35</v>
      </c>
      <c r="C41" s="6">
        <v>14.4</v>
      </c>
      <c r="D41" s="6">
        <v>20</v>
      </c>
      <c r="E41" s="18">
        <v>0</v>
      </c>
      <c r="F41" s="6" t="str">
        <f>IFERROR(VLOOKUP(VLOOKUP(A41,'Sales Order'!A:B,2,FALSE),Customer!A:C,3,FALSE),"Not Specified")</f>
        <v>Florczyk, Krzysztof</v>
      </c>
      <c r="G41" s="6" t="str">
        <f t="shared" si="0"/>
        <v>Florczyk Krzysztof</v>
      </c>
      <c r="H41" s="22" t="str">
        <f>IFERROR(VLOOKUP(VLOOKUP(A41,'Sales Order'!A:C,3,FALSE),Employee!A:E,5,FALSE)&amp;" "&amp;VLOOKUP(VLOOKUP(A41,'Sales Order'!A:C,3,FALSE),Employee!A:C,3,FALSE)&amp;" "&amp;VLOOKUP(VLOOKUP(A41,'Sales Order'!A:C,3,FALSE),Employee!A:B,2,FALSE),"Not Specified")</f>
        <v>Mrs. Yael Peled</v>
      </c>
      <c r="I41" t="str">
        <f>IFERROR(VLOOKUP(VLOOKUP(A41,'Sales Order'!A:C,3,FALSE),Employee!A:J,10,FALSE),"Not Specified")</f>
        <v>WA</v>
      </c>
      <c r="J41" t="str">
        <f>VLOOKUP(B41,Product!A:B,2,FALSE)</f>
        <v>Product NEVTJ</v>
      </c>
      <c r="K41" t="str">
        <f>VLOOKUP(VLOOKUP(B41,Product!A:D,4,FALSE),Category!A:B,2,FALSE)</f>
        <v>Beverages</v>
      </c>
      <c r="L41" s="24">
        <f>IFERROR(VLOOKUP(A41,'Sales Order'!A:D,4,FALSE),"")</f>
        <v>38917</v>
      </c>
      <c r="M41" s="24">
        <f>IFERROR(VLOOKUP(A41,'Sales Order'!A:F,6,FALSE),"")</f>
        <v>38928</v>
      </c>
      <c r="N41" t="str">
        <f>IFERROR(VLOOKUP(VLOOKUP(A41,'Sales Order'!A:G,7,FALSE),Shipper!A:B,2,FALSE),"Not Specified")</f>
        <v>Shipper ETYNR</v>
      </c>
      <c r="O41" t="str">
        <f>IFERROR(VLOOKUP(A41,'Sales Order'!A:I,9,FALSE),"Not Specified")</f>
        <v>Ship to 61-B</v>
      </c>
      <c r="P41" t="str">
        <f>IFERROR(VLOOKUP(A41,'Sales Order'!A:N,14,FALSE),"Not Specified")</f>
        <v>Brazil</v>
      </c>
      <c r="Q41" t="str">
        <f>VLOOKUP(VLOOKUP(B41,Product!A:C,3,FALSE),Supplier!A:B,2,FALSE)</f>
        <v>Supplier UHZRG</v>
      </c>
      <c r="R41" t="str">
        <f>VLOOKUP(VLOOKUP(B41,Product!A:C,3,FALSE),Supplier!A:I,9,FALSE)</f>
        <v>USA</v>
      </c>
      <c r="S41" t="str">
        <f>IFERROR(IF(VLOOKUP(A41,'Sales Order'!A:H,8,FALSE)&gt;100,"High Freight","Low Freight"),"Not Specified")</f>
        <v>Low Freight</v>
      </c>
      <c r="T41">
        <f t="shared" si="1"/>
        <v>288</v>
      </c>
    </row>
    <row r="42" spans="1:20">
      <c r="A42" s="9">
        <v>10262</v>
      </c>
      <c r="B42" s="6">
        <v>5</v>
      </c>
      <c r="C42" s="6">
        <v>17</v>
      </c>
      <c r="D42" s="6">
        <v>12</v>
      </c>
      <c r="E42" s="18">
        <v>0.2</v>
      </c>
      <c r="F42" s="6" t="str">
        <f>IFERROR(VLOOKUP(VLOOKUP(A42,'Sales Order'!A:B,2,FALSE),Customer!A:C,3,FALSE),"Not Specified")</f>
        <v>Moore, Michael</v>
      </c>
      <c r="G42" s="6" t="str">
        <f t="shared" si="0"/>
        <v>Moore Michael</v>
      </c>
      <c r="H42" s="22" t="str">
        <f>IFERROR(VLOOKUP(VLOOKUP(A42,'Sales Order'!A:C,3,FALSE),Employee!A:E,5,FALSE)&amp;" "&amp;VLOOKUP(VLOOKUP(A42,'Sales Order'!A:C,3,FALSE),Employee!A:C,3,FALSE)&amp;" "&amp;VLOOKUP(VLOOKUP(A42,'Sales Order'!A:C,3,FALSE),Employee!A:B,2,FALSE),"Not Specified")</f>
        <v>Ms. Maria Cameron</v>
      </c>
      <c r="I42" t="str">
        <f>IFERROR(VLOOKUP(VLOOKUP(A42,'Sales Order'!A:C,3,FALSE),Employee!A:J,10,FALSE),"Not Specified")</f>
        <v>WA</v>
      </c>
      <c r="J42" t="str">
        <f>VLOOKUP(B42,Product!A:B,2,FALSE)</f>
        <v>Product EPEIM</v>
      </c>
      <c r="K42" t="str">
        <f>VLOOKUP(VLOOKUP(B42,Product!A:D,4,FALSE),Category!A:B,2,FALSE)</f>
        <v>Condiments</v>
      </c>
      <c r="L42" s="24">
        <f>IFERROR(VLOOKUP(A42,'Sales Order'!A:D,4,FALSE),"")</f>
        <v>38920</v>
      </c>
      <c r="M42" s="24">
        <f>IFERROR(VLOOKUP(A42,'Sales Order'!A:F,6,FALSE),"")</f>
        <v>38923</v>
      </c>
      <c r="N42" t="str">
        <f>IFERROR(VLOOKUP(VLOOKUP(A42,'Sales Order'!A:G,7,FALSE),Shipper!A:B,2,FALSE),"Not Specified")</f>
        <v>Shipper ZHISN</v>
      </c>
      <c r="O42" t="str">
        <f>IFERROR(VLOOKUP(A42,'Sales Order'!A:I,9,FALSE),"Not Specified")</f>
        <v>Ship to 65-B</v>
      </c>
      <c r="P42" t="str">
        <f>IFERROR(VLOOKUP(A42,'Sales Order'!A:N,14,FALSE),"Not Specified")</f>
        <v>USA</v>
      </c>
      <c r="Q42" t="str">
        <f>VLOOKUP(VLOOKUP(B42,Product!A:C,3,FALSE),Supplier!A:B,2,FALSE)</f>
        <v>Supplier VHQZD</v>
      </c>
      <c r="R42" t="str">
        <f>VLOOKUP(VLOOKUP(B42,Product!A:C,3,FALSE),Supplier!A:I,9,FALSE)</f>
        <v>USA</v>
      </c>
      <c r="S42" t="str">
        <f>IFERROR(IF(VLOOKUP(A42,'Sales Order'!A:H,8,FALSE)&gt;100,"High Freight","Low Freight"),"Not Specified")</f>
        <v>Low Freight</v>
      </c>
      <c r="T42">
        <f t="shared" si="1"/>
        <v>163.20000000000002</v>
      </c>
    </row>
    <row r="43" spans="1:20">
      <c r="A43" s="9">
        <v>10262</v>
      </c>
      <c r="B43" s="6">
        <v>7</v>
      </c>
      <c r="C43" s="6">
        <v>24</v>
      </c>
      <c r="D43" s="6">
        <v>15</v>
      </c>
      <c r="E43" s="18">
        <v>0</v>
      </c>
      <c r="F43" s="6" t="str">
        <f>IFERROR(VLOOKUP(VLOOKUP(A43,'Sales Order'!A:B,2,FALSE),Customer!A:C,3,FALSE),"Not Specified")</f>
        <v>Moore, Michael</v>
      </c>
      <c r="G43" s="6" t="str">
        <f t="shared" si="0"/>
        <v>Moore Michael</v>
      </c>
      <c r="H43" s="22" t="str">
        <f>IFERROR(VLOOKUP(VLOOKUP(A43,'Sales Order'!A:C,3,FALSE),Employee!A:E,5,FALSE)&amp;" "&amp;VLOOKUP(VLOOKUP(A43,'Sales Order'!A:C,3,FALSE),Employee!A:C,3,FALSE)&amp;" "&amp;VLOOKUP(VLOOKUP(A43,'Sales Order'!A:C,3,FALSE),Employee!A:B,2,FALSE),"Not Specified")</f>
        <v>Ms. Maria Cameron</v>
      </c>
      <c r="I43" t="str">
        <f>IFERROR(VLOOKUP(VLOOKUP(A43,'Sales Order'!A:C,3,FALSE),Employee!A:J,10,FALSE),"Not Specified")</f>
        <v>WA</v>
      </c>
      <c r="J43" t="str">
        <f>VLOOKUP(B43,Product!A:B,2,FALSE)</f>
        <v>Product HMLNI</v>
      </c>
      <c r="K43" t="str">
        <f>VLOOKUP(VLOOKUP(B43,Product!A:D,4,FALSE),Category!A:B,2,FALSE)</f>
        <v>Produce</v>
      </c>
      <c r="L43" s="24">
        <f>IFERROR(VLOOKUP(A43,'Sales Order'!A:D,4,FALSE),"")</f>
        <v>38920</v>
      </c>
      <c r="M43" s="24">
        <f>IFERROR(VLOOKUP(A43,'Sales Order'!A:F,6,FALSE),"")</f>
        <v>38923</v>
      </c>
      <c r="N43" t="str">
        <f>IFERROR(VLOOKUP(VLOOKUP(A43,'Sales Order'!A:G,7,FALSE),Shipper!A:B,2,FALSE),"Not Specified")</f>
        <v>Shipper ZHISN</v>
      </c>
      <c r="O43" t="str">
        <f>IFERROR(VLOOKUP(A43,'Sales Order'!A:I,9,FALSE),"Not Specified")</f>
        <v>Ship to 65-B</v>
      </c>
      <c r="P43" t="str">
        <f>IFERROR(VLOOKUP(A43,'Sales Order'!A:N,14,FALSE),"Not Specified")</f>
        <v>USA</v>
      </c>
      <c r="Q43" t="str">
        <f>VLOOKUP(VLOOKUP(B43,Product!A:C,3,FALSE),Supplier!A:B,2,FALSE)</f>
        <v>Supplier STUAZ</v>
      </c>
      <c r="R43" t="str">
        <f>VLOOKUP(VLOOKUP(B43,Product!A:C,3,FALSE),Supplier!A:I,9,FALSE)</f>
        <v>USA</v>
      </c>
      <c r="S43" t="str">
        <f>IFERROR(IF(VLOOKUP(A43,'Sales Order'!A:H,8,FALSE)&gt;100,"High Freight","Low Freight"),"Not Specified")</f>
        <v>Low Freight</v>
      </c>
      <c r="T43">
        <f t="shared" si="1"/>
        <v>360</v>
      </c>
    </row>
    <row r="44" spans="1:20">
      <c r="A44" s="9">
        <v>10262</v>
      </c>
      <c r="B44" s="6">
        <v>56</v>
      </c>
      <c r="C44" s="6">
        <v>30.4</v>
      </c>
      <c r="D44" s="6">
        <v>2</v>
      </c>
      <c r="E44" s="18">
        <v>0</v>
      </c>
      <c r="F44" s="6" t="str">
        <f>IFERROR(VLOOKUP(VLOOKUP(A44,'Sales Order'!A:B,2,FALSE),Customer!A:C,3,FALSE),"Not Specified")</f>
        <v>Moore, Michael</v>
      </c>
      <c r="G44" s="6" t="str">
        <f t="shared" si="0"/>
        <v>Moore Michael</v>
      </c>
      <c r="H44" s="22" t="str">
        <f>IFERROR(VLOOKUP(VLOOKUP(A44,'Sales Order'!A:C,3,FALSE),Employee!A:E,5,FALSE)&amp;" "&amp;VLOOKUP(VLOOKUP(A44,'Sales Order'!A:C,3,FALSE),Employee!A:C,3,FALSE)&amp;" "&amp;VLOOKUP(VLOOKUP(A44,'Sales Order'!A:C,3,FALSE),Employee!A:B,2,FALSE),"Not Specified")</f>
        <v>Ms. Maria Cameron</v>
      </c>
      <c r="I44" t="str">
        <f>IFERROR(VLOOKUP(VLOOKUP(A44,'Sales Order'!A:C,3,FALSE),Employee!A:J,10,FALSE),"Not Specified")</f>
        <v>WA</v>
      </c>
      <c r="J44" t="str">
        <f>VLOOKUP(B44,Product!A:B,2,FALSE)</f>
        <v>Product VKCMF</v>
      </c>
      <c r="K44" t="str">
        <f>VLOOKUP(VLOOKUP(B44,Product!A:D,4,FALSE),Category!A:B,2,FALSE)</f>
        <v>Grains/Cereals</v>
      </c>
      <c r="L44" s="24">
        <f>IFERROR(VLOOKUP(A44,'Sales Order'!A:D,4,FALSE),"")</f>
        <v>38920</v>
      </c>
      <c r="M44" s="24">
        <f>IFERROR(VLOOKUP(A44,'Sales Order'!A:F,6,FALSE),"")</f>
        <v>38923</v>
      </c>
      <c r="N44" t="str">
        <f>IFERROR(VLOOKUP(VLOOKUP(A44,'Sales Order'!A:G,7,FALSE),Shipper!A:B,2,FALSE),"Not Specified")</f>
        <v>Shipper ZHISN</v>
      </c>
      <c r="O44" t="str">
        <f>IFERROR(VLOOKUP(A44,'Sales Order'!A:I,9,FALSE),"Not Specified")</f>
        <v>Ship to 65-B</v>
      </c>
      <c r="P44" t="str">
        <f>IFERROR(VLOOKUP(A44,'Sales Order'!A:N,14,FALSE),"Not Specified")</f>
        <v>USA</v>
      </c>
      <c r="Q44" t="str">
        <f>VLOOKUP(VLOOKUP(B44,Product!A:C,3,FALSE),Supplier!A:B,2,FALSE)</f>
        <v>Supplier ZWZDM</v>
      </c>
      <c r="R44" t="str">
        <f>VLOOKUP(VLOOKUP(B44,Product!A:C,3,FALSE),Supplier!A:I,9,FALSE)</f>
        <v>Italy</v>
      </c>
      <c r="S44" t="str">
        <f>IFERROR(IF(VLOOKUP(A44,'Sales Order'!A:H,8,FALSE)&gt;100,"High Freight","Low Freight"),"Not Specified")</f>
        <v>Low Freight</v>
      </c>
      <c r="T44">
        <f t="shared" si="1"/>
        <v>60.8</v>
      </c>
    </row>
    <row r="45" spans="1:20">
      <c r="A45" s="9">
        <v>10263</v>
      </c>
      <c r="B45" s="6">
        <v>16</v>
      </c>
      <c r="C45" s="6">
        <v>13.9</v>
      </c>
      <c r="D45" s="6">
        <v>60</v>
      </c>
      <c r="E45" s="18">
        <v>0.25</v>
      </c>
      <c r="F45" s="6" t="str">
        <f>IFERROR(VLOOKUP(VLOOKUP(A45,'Sales Order'!A:B,2,FALSE),Customer!A:C,3,FALSE),"Not Specified")</f>
        <v>Kane, John</v>
      </c>
      <c r="G45" s="6" t="str">
        <f t="shared" si="0"/>
        <v>Kane John</v>
      </c>
      <c r="H45" s="22" t="str">
        <f>IFERROR(VLOOKUP(VLOOKUP(A45,'Sales Order'!A:C,3,FALSE),Employee!A:E,5,FALSE)&amp;" "&amp;VLOOKUP(VLOOKUP(A45,'Sales Order'!A:C,3,FALSE),Employee!A:C,3,FALSE)&amp;" "&amp;VLOOKUP(VLOOKUP(A45,'Sales Order'!A:C,3,FALSE),Employee!A:B,2,FALSE),"Not Specified")</f>
        <v>Ms. Zoya Dolgopyatova</v>
      </c>
      <c r="I45">
        <f>IFERROR(VLOOKUP(VLOOKUP(A45,'Sales Order'!A:C,3,FALSE),Employee!A:J,10,FALSE),"Not Specified")</f>
        <v>0</v>
      </c>
      <c r="J45" t="str">
        <f>VLOOKUP(B45,Product!A:B,2,FALSE)</f>
        <v>Product PAFRH</v>
      </c>
      <c r="K45" t="str">
        <f>VLOOKUP(VLOOKUP(B45,Product!A:D,4,FALSE),Category!A:B,2,FALSE)</f>
        <v>Confections</v>
      </c>
      <c r="L45" s="24">
        <f>IFERROR(VLOOKUP(A45,'Sales Order'!A:D,4,FALSE),"")</f>
        <v>38921</v>
      </c>
      <c r="M45" s="24">
        <f>IFERROR(VLOOKUP(A45,'Sales Order'!A:F,6,FALSE),"")</f>
        <v>38929</v>
      </c>
      <c r="N45" t="str">
        <f>IFERROR(VLOOKUP(VLOOKUP(A45,'Sales Order'!A:G,7,FALSE),Shipper!A:B,2,FALSE),"Not Specified")</f>
        <v>Shipper ZHISN</v>
      </c>
      <c r="O45" t="str">
        <f>IFERROR(VLOOKUP(A45,'Sales Order'!A:I,9,FALSE),"Not Specified")</f>
        <v>Destination FFXKT</v>
      </c>
      <c r="P45" t="str">
        <f>IFERROR(VLOOKUP(A45,'Sales Order'!A:N,14,FALSE),"Not Specified")</f>
        <v>Austria</v>
      </c>
      <c r="Q45" t="str">
        <f>VLOOKUP(VLOOKUP(B45,Product!A:C,3,FALSE),Supplier!A:B,2,FALSE)</f>
        <v>Supplier GQRCV</v>
      </c>
      <c r="R45" t="str">
        <f>VLOOKUP(VLOOKUP(B45,Product!A:C,3,FALSE),Supplier!A:I,9,FALSE)</f>
        <v>Australia</v>
      </c>
      <c r="S45" t="str">
        <f>IFERROR(IF(VLOOKUP(A45,'Sales Order'!A:H,8,FALSE)&gt;100,"High Freight","Low Freight"),"Not Specified")</f>
        <v>High Freight</v>
      </c>
      <c r="T45">
        <f t="shared" si="1"/>
        <v>625.5</v>
      </c>
    </row>
    <row r="46" spans="1:20">
      <c r="A46" s="9">
        <v>10263</v>
      </c>
      <c r="B46" s="6">
        <v>24</v>
      </c>
      <c r="C46" s="6">
        <v>3.6</v>
      </c>
      <c r="D46" s="6">
        <v>28</v>
      </c>
      <c r="E46" s="18">
        <v>0</v>
      </c>
      <c r="F46" s="6" t="str">
        <f>IFERROR(VLOOKUP(VLOOKUP(A46,'Sales Order'!A:B,2,FALSE),Customer!A:C,3,FALSE),"Not Specified")</f>
        <v>Kane, John</v>
      </c>
      <c r="G46" s="6" t="str">
        <f t="shared" si="0"/>
        <v>Kane John</v>
      </c>
      <c r="H46" s="22" t="str">
        <f>IFERROR(VLOOKUP(VLOOKUP(A46,'Sales Order'!A:C,3,FALSE),Employee!A:E,5,FALSE)&amp;" "&amp;VLOOKUP(VLOOKUP(A46,'Sales Order'!A:C,3,FALSE),Employee!A:C,3,FALSE)&amp;" "&amp;VLOOKUP(VLOOKUP(A46,'Sales Order'!A:C,3,FALSE),Employee!A:B,2,FALSE),"Not Specified")</f>
        <v>Ms. Zoya Dolgopyatova</v>
      </c>
      <c r="I46">
        <f>IFERROR(VLOOKUP(VLOOKUP(A46,'Sales Order'!A:C,3,FALSE),Employee!A:J,10,FALSE),"Not Specified")</f>
        <v>0</v>
      </c>
      <c r="J46" t="str">
        <f>VLOOKUP(B46,Product!A:B,2,FALSE)</f>
        <v>Product QOGNU</v>
      </c>
      <c r="K46" t="str">
        <f>VLOOKUP(VLOOKUP(B46,Product!A:D,4,FALSE),Category!A:B,2,FALSE)</f>
        <v>Beverages</v>
      </c>
      <c r="L46" s="24">
        <f>IFERROR(VLOOKUP(A46,'Sales Order'!A:D,4,FALSE),"")</f>
        <v>38921</v>
      </c>
      <c r="M46" s="24">
        <f>IFERROR(VLOOKUP(A46,'Sales Order'!A:F,6,FALSE),"")</f>
        <v>38929</v>
      </c>
      <c r="N46" t="str">
        <f>IFERROR(VLOOKUP(VLOOKUP(A46,'Sales Order'!A:G,7,FALSE),Shipper!A:B,2,FALSE),"Not Specified")</f>
        <v>Shipper ZHISN</v>
      </c>
      <c r="O46" t="str">
        <f>IFERROR(VLOOKUP(A46,'Sales Order'!A:I,9,FALSE),"Not Specified")</f>
        <v>Destination FFXKT</v>
      </c>
      <c r="P46" t="str">
        <f>IFERROR(VLOOKUP(A46,'Sales Order'!A:N,14,FALSE),"Not Specified")</f>
        <v>Austria</v>
      </c>
      <c r="Q46" t="str">
        <f>VLOOKUP(VLOOKUP(B46,Product!A:C,3,FALSE),Supplier!A:B,2,FALSE)</f>
        <v>Supplier UNAHG</v>
      </c>
      <c r="R46" t="str">
        <f>VLOOKUP(VLOOKUP(B46,Product!A:C,3,FALSE),Supplier!A:I,9,FALSE)</f>
        <v>Brazil</v>
      </c>
      <c r="S46" t="str">
        <f>IFERROR(IF(VLOOKUP(A46,'Sales Order'!A:H,8,FALSE)&gt;100,"High Freight","Low Freight"),"Not Specified")</f>
        <v>High Freight</v>
      </c>
      <c r="T46">
        <f t="shared" si="1"/>
        <v>100.8</v>
      </c>
    </row>
    <row r="47" spans="1:20">
      <c r="A47" s="9">
        <v>10263</v>
      </c>
      <c r="B47" s="6">
        <v>30</v>
      </c>
      <c r="C47" s="6">
        <v>20.7</v>
      </c>
      <c r="D47" s="6">
        <v>60</v>
      </c>
      <c r="E47" s="18">
        <v>0.25</v>
      </c>
      <c r="F47" s="6" t="str">
        <f>IFERROR(VLOOKUP(VLOOKUP(A47,'Sales Order'!A:B,2,FALSE),Customer!A:C,3,FALSE),"Not Specified")</f>
        <v>Kane, John</v>
      </c>
      <c r="G47" s="6" t="str">
        <f t="shared" si="0"/>
        <v>Kane John</v>
      </c>
      <c r="H47" s="22" t="str">
        <f>IFERROR(VLOOKUP(VLOOKUP(A47,'Sales Order'!A:C,3,FALSE),Employee!A:E,5,FALSE)&amp;" "&amp;VLOOKUP(VLOOKUP(A47,'Sales Order'!A:C,3,FALSE),Employee!A:C,3,FALSE)&amp;" "&amp;VLOOKUP(VLOOKUP(A47,'Sales Order'!A:C,3,FALSE),Employee!A:B,2,FALSE),"Not Specified")</f>
        <v>Ms. Zoya Dolgopyatova</v>
      </c>
      <c r="I47">
        <f>IFERROR(VLOOKUP(VLOOKUP(A47,'Sales Order'!A:C,3,FALSE),Employee!A:J,10,FALSE),"Not Specified")</f>
        <v>0</v>
      </c>
      <c r="J47" t="str">
        <f>VLOOKUP(B47,Product!A:B,2,FALSE)</f>
        <v>Product LYERX</v>
      </c>
      <c r="K47" t="str">
        <f>VLOOKUP(VLOOKUP(B47,Product!A:D,4,FALSE),Category!A:B,2,FALSE)</f>
        <v>Seafood</v>
      </c>
      <c r="L47" s="24">
        <f>IFERROR(VLOOKUP(A47,'Sales Order'!A:D,4,FALSE),"")</f>
        <v>38921</v>
      </c>
      <c r="M47" s="24">
        <f>IFERROR(VLOOKUP(A47,'Sales Order'!A:F,6,FALSE),"")</f>
        <v>38929</v>
      </c>
      <c r="N47" t="str">
        <f>IFERROR(VLOOKUP(VLOOKUP(A47,'Sales Order'!A:G,7,FALSE),Shipper!A:B,2,FALSE),"Not Specified")</f>
        <v>Shipper ZHISN</v>
      </c>
      <c r="O47" t="str">
        <f>IFERROR(VLOOKUP(A47,'Sales Order'!A:I,9,FALSE),"Not Specified")</f>
        <v>Destination FFXKT</v>
      </c>
      <c r="P47" t="str">
        <f>IFERROR(VLOOKUP(A47,'Sales Order'!A:N,14,FALSE),"Not Specified")</f>
        <v>Austria</v>
      </c>
      <c r="Q47" t="str">
        <f>VLOOKUP(VLOOKUP(B47,Product!A:C,3,FALSE),Supplier!A:B,2,FALSE)</f>
        <v>Supplier TEGSC</v>
      </c>
      <c r="R47" t="str">
        <f>VLOOKUP(VLOOKUP(B47,Product!A:C,3,FALSE),Supplier!A:I,9,FALSE)</f>
        <v>Germany</v>
      </c>
      <c r="S47" t="str">
        <f>IFERROR(IF(VLOOKUP(A47,'Sales Order'!A:H,8,FALSE)&gt;100,"High Freight","Low Freight"),"Not Specified")</f>
        <v>High Freight</v>
      </c>
      <c r="T47">
        <f t="shared" si="1"/>
        <v>931.5</v>
      </c>
    </row>
    <row r="48" spans="1:20">
      <c r="A48" s="9">
        <v>10263</v>
      </c>
      <c r="B48" s="6">
        <v>74</v>
      </c>
      <c r="C48" s="6">
        <v>8</v>
      </c>
      <c r="D48" s="6">
        <v>36</v>
      </c>
      <c r="E48" s="18">
        <v>0.25</v>
      </c>
      <c r="F48" s="6" t="str">
        <f>IFERROR(VLOOKUP(VLOOKUP(A48,'Sales Order'!A:B,2,FALSE),Customer!A:C,3,FALSE),"Not Specified")</f>
        <v>Kane, John</v>
      </c>
      <c r="G48" s="6" t="str">
        <f t="shared" si="0"/>
        <v>Kane John</v>
      </c>
      <c r="H48" s="22" t="str">
        <f>IFERROR(VLOOKUP(VLOOKUP(A48,'Sales Order'!A:C,3,FALSE),Employee!A:E,5,FALSE)&amp;" "&amp;VLOOKUP(VLOOKUP(A48,'Sales Order'!A:C,3,FALSE),Employee!A:C,3,FALSE)&amp;" "&amp;VLOOKUP(VLOOKUP(A48,'Sales Order'!A:C,3,FALSE),Employee!A:B,2,FALSE),"Not Specified")</f>
        <v>Ms. Zoya Dolgopyatova</v>
      </c>
      <c r="I48">
        <f>IFERROR(VLOOKUP(VLOOKUP(A48,'Sales Order'!A:C,3,FALSE),Employee!A:J,10,FALSE),"Not Specified")</f>
        <v>0</v>
      </c>
      <c r="J48" t="str">
        <f>VLOOKUP(B48,Product!A:B,2,FALSE)</f>
        <v>Product BKAZJ</v>
      </c>
      <c r="K48" t="str">
        <f>VLOOKUP(VLOOKUP(B48,Product!A:D,4,FALSE),Category!A:B,2,FALSE)</f>
        <v>Produce</v>
      </c>
      <c r="L48" s="24">
        <f>IFERROR(VLOOKUP(A48,'Sales Order'!A:D,4,FALSE),"")</f>
        <v>38921</v>
      </c>
      <c r="M48" s="24">
        <f>IFERROR(VLOOKUP(A48,'Sales Order'!A:F,6,FALSE),"")</f>
        <v>38929</v>
      </c>
      <c r="N48" t="str">
        <f>IFERROR(VLOOKUP(VLOOKUP(A48,'Sales Order'!A:G,7,FALSE),Shipper!A:B,2,FALSE),"Not Specified")</f>
        <v>Shipper ZHISN</v>
      </c>
      <c r="O48" t="str">
        <f>IFERROR(VLOOKUP(A48,'Sales Order'!A:I,9,FALSE),"Not Specified")</f>
        <v>Destination FFXKT</v>
      </c>
      <c r="P48" t="str">
        <f>IFERROR(VLOOKUP(A48,'Sales Order'!A:N,14,FALSE),"Not Specified")</f>
        <v>Austria</v>
      </c>
      <c r="Q48" t="str">
        <f>VLOOKUP(VLOOKUP(B48,Product!A:C,3,FALSE),Supplier!A:B,2,FALSE)</f>
        <v>Supplier QOVFD</v>
      </c>
      <c r="R48" t="str">
        <f>VLOOKUP(VLOOKUP(B48,Product!A:C,3,FALSE),Supplier!A:I,9,FALSE)</f>
        <v>Japan</v>
      </c>
      <c r="S48" t="str">
        <f>IFERROR(IF(VLOOKUP(A48,'Sales Order'!A:H,8,FALSE)&gt;100,"High Freight","Low Freight"),"Not Specified")</f>
        <v>High Freight</v>
      </c>
      <c r="T48">
        <f t="shared" si="1"/>
        <v>216</v>
      </c>
    </row>
    <row r="49" spans="1:20">
      <c r="A49" s="9">
        <v>10264</v>
      </c>
      <c r="B49" s="6">
        <v>2</v>
      </c>
      <c r="C49" s="6">
        <v>15.2</v>
      </c>
      <c r="D49" s="6">
        <v>35</v>
      </c>
      <c r="E49" s="18">
        <v>0</v>
      </c>
      <c r="F49" s="6" t="str">
        <f>IFERROR(VLOOKUP(VLOOKUP(A49,'Sales Order'!A:B,2,FALSE),Customer!A:C,3,FALSE),"Not Specified")</f>
        <v>San Juan, Patricia</v>
      </c>
      <c r="G49" s="6" t="str">
        <f t="shared" si="0"/>
        <v>San Juan Patricia</v>
      </c>
      <c r="H49" s="22" t="str">
        <f>IFERROR(VLOOKUP(VLOOKUP(A49,'Sales Order'!A:C,3,FALSE),Employee!A:E,5,FALSE)&amp;" "&amp;VLOOKUP(VLOOKUP(A49,'Sales Order'!A:C,3,FALSE),Employee!A:C,3,FALSE)&amp;" "&amp;VLOOKUP(VLOOKUP(A49,'Sales Order'!A:C,3,FALSE),Employee!A:B,2,FALSE),"Not Specified")</f>
        <v>Mr. Paul Suurs</v>
      </c>
      <c r="I49">
        <f>IFERROR(VLOOKUP(VLOOKUP(A49,'Sales Order'!A:C,3,FALSE),Employee!A:J,10,FALSE),"Not Specified")</f>
        <v>0</v>
      </c>
      <c r="J49" t="str">
        <f>VLOOKUP(B49,Product!A:B,2,FALSE)</f>
        <v>Product RECZE</v>
      </c>
      <c r="K49" t="str">
        <f>VLOOKUP(VLOOKUP(B49,Product!A:D,4,FALSE),Category!A:B,2,FALSE)</f>
        <v>Beverages</v>
      </c>
      <c r="L49" s="24">
        <f>IFERROR(VLOOKUP(A49,'Sales Order'!A:D,4,FALSE),"")</f>
        <v>38922</v>
      </c>
      <c r="M49" s="24">
        <f>IFERROR(VLOOKUP(A49,'Sales Order'!A:F,6,FALSE),"")</f>
        <v>38952</v>
      </c>
      <c r="N49" t="str">
        <f>IFERROR(VLOOKUP(VLOOKUP(A49,'Sales Order'!A:G,7,FALSE),Shipper!A:B,2,FALSE),"Not Specified")</f>
        <v>Shipper ZHISN</v>
      </c>
      <c r="O49" t="str">
        <f>IFERROR(VLOOKUP(A49,'Sales Order'!A:I,9,FALSE),"Not Specified")</f>
        <v>Destination KBSBN</v>
      </c>
      <c r="P49" t="str">
        <f>IFERROR(VLOOKUP(A49,'Sales Order'!A:N,14,FALSE),"Not Specified")</f>
        <v>Sweden</v>
      </c>
      <c r="Q49" t="str">
        <f>VLOOKUP(VLOOKUP(B49,Product!A:C,3,FALSE),Supplier!A:B,2,FALSE)</f>
        <v>Supplier SWRXU</v>
      </c>
      <c r="R49" t="str">
        <f>VLOOKUP(VLOOKUP(B49,Product!A:C,3,FALSE),Supplier!A:I,9,FALSE)</f>
        <v>UK</v>
      </c>
      <c r="S49" t="str">
        <f>IFERROR(IF(VLOOKUP(A49,'Sales Order'!A:H,8,FALSE)&gt;100,"High Freight","Low Freight"),"Not Specified")</f>
        <v>Low Freight</v>
      </c>
      <c r="T49">
        <f t="shared" si="1"/>
        <v>532</v>
      </c>
    </row>
    <row r="50" spans="1:20">
      <c r="A50" s="9">
        <v>10264</v>
      </c>
      <c r="B50" s="6">
        <v>41</v>
      </c>
      <c r="C50" s="6">
        <v>7.7</v>
      </c>
      <c r="D50" s="6">
        <v>25</v>
      </c>
      <c r="E50" s="18">
        <v>0.15</v>
      </c>
      <c r="F50" s="6" t="str">
        <f>IFERROR(VLOOKUP(VLOOKUP(A50,'Sales Order'!A:B,2,FALSE),Customer!A:C,3,FALSE),"Not Specified")</f>
        <v>San Juan, Patricia</v>
      </c>
      <c r="G50" s="6" t="str">
        <f t="shared" si="0"/>
        <v>San Juan Patricia</v>
      </c>
      <c r="H50" s="22" t="str">
        <f>IFERROR(VLOOKUP(VLOOKUP(A50,'Sales Order'!A:C,3,FALSE),Employee!A:E,5,FALSE)&amp;" "&amp;VLOOKUP(VLOOKUP(A50,'Sales Order'!A:C,3,FALSE),Employee!A:C,3,FALSE)&amp;" "&amp;VLOOKUP(VLOOKUP(A50,'Sales Order'!A:C,3,FALSE),Employee!A:B,2,FALSE),"Not Specified")</f>
        <v>Mr. Paul Suurs</v>
      </c>
      <c r="I50">
        <f>IFERROR(VLOOKUP(VLOOKUP(A50,'Sales Order'!A:C,3,FALSE),Employee!A:J,10,FALSE),"Not Specified")</f>
        <v>0</v>
      </c>
      <c r="J50" t="str">
        <f>VLOOKUP(B50,Product!A:B,2,FALSE)</f>
        <v>Product TTEEX</v>
      </c>
      <c r="K50" t="str">
        <f>VLOOKUP(VLOOKUP(B50,Product!A:D,4,FALSE),Category!A:B,2,FALSE)</f>
        <v>Seafood</v>
      </c>
      <c r="L50" s="24">
        <f>IFERROR(VLOOKUP(A50,'Sales Order'!A:D,4,FALSE),"")</f>
        <v>38922</v>
      </c>
      <c r="M50" s="24">
        <f>IFERROR(VLOOKUP(A50,'Sales Order'!A:F,6,FALSE),"")</f>
        <v>38952</v>
      </c>
      <c r="N50" t="str">
        <f>IFERROR(VLOOKUP(VLOOKUP(A50,'Sales Order'!A:G,7,FALSE),Shipper!A:B,2,FALSE),"Not Specified")</f>
        <v>Shipper ZHISN</v>
      </c>
      <c r="O50" t="str">
        <f>IFERROR(VLOOKUP(A50,'Sales Order'!A:I,9,FALSE),"Not Specified")</f>
        <v>Destination KBSBN</v>
      </c>
      <c r="P50" t="str">
        <f>IFERROR(VLOOKUP(A50,'Sales Order'!A:N,14,FALSE),"Not Specified")</f>
        <v>Sweden</v>
      </c>
      <c r="Q50" t="str">
        <f>VLOOKUP(VLOOKUP(B50,Product!A:C,3,FALSE),Supplier!A:B,2,FALSE)</f>
        <v>Supplier JDNUG</v>
      </c>
      <c r="R50" t="str">
        <f>VLOOKUP(VLOOKUP(B50,Product!A:C,3,FALSE),Supplier!A:I,9,FALSE)</f>
        <v>USA</v>
      </c>
      <c r="S50" t="str">
        <f>IFERROR(IF(VLOOKUP(A50,'Sales Order'!A:H,8,FALSE)&gt;100,"High Freight","Low Freight"),"Not Specified")</f>
        <v>Low Freight</v>
      </c>
      <c r="T50">
        <f t="shared" si="1"/>
        <v>163.625</v>
      </c>
    </row>
    <row r="51" spans="1:20">
      <c r="A51" s="9">
        <v>10265</v>
      </c>
      <c r="B51" s="6">
        <v>17</v>
      </c>
      <c r="C51" s="6">
        <v>31.2</v>
      </c>
      <c r="D51" s="6">
        <v>30</v>
      </c>
      <c r="E51" s="18">
        <v>0</v>
      </c>
      <c r="F51" s="6" t="str">
        <f>IFERROR(VLOOKUP(VLOOKUP(A51,'Sales Order'!A:B,2,FALSE),Customer!A:C,3,FALSE),"Not Specified")</f>
        <v>Bansal, Dushyant</v>
      </c>
      <c r="G51" s="6" t="str">
        <f t="shared" si="0"/>
        <v>Bansal Dushyant</v>
      </c>
      <c r="H51" s="22" t="str">
        <f>IFERROR(VLOOKUP(VLOOKUP(A51,'Sales Order'!A:C,3,FALSE),Employee!A:E,5,FALSE)&amp;" "&amp;VLOOKUP(VLOOKUP(A51,'Sales Order'!A:C,3,FALSE),Employee!A:C,3,FALSE)&amp;" "&amp;VLOOKUP(VLOOKUP(A51,'Sales Order'!A:C,3,FALSE),Employee!A:B,2,FALSE),"Not Specified")</f>
        <v>Dr. Don Funk</v>
      </c>
      <c r="I51" t="str">
        <f>IFERROR(VLOOKUP(VLOOKUP(A51,'Sales Order'!A:C,3,FALSE),Employee!A:J,10,FALSE),"Not Specified")</f>
        <v>WA</v>
      </c>
      <c r="J51" t="str">
        <f>VLOOKUP(B51,Product!A:B,2,FALSE)</f>
        <v>Product BLCAX</v>
      </c>
      <c r="K51" t="str">
        <f>VLOOKUP(VLOOKUP(B51,Product!A:D,4,FALSE),Category!A:B,2,FALSE)</f>
        <v>Meat/Poultry</v>
      </c>
      <c r="L51" s="24">
        <f>IFERROR(VLOOKUP(A51,'Sales Order'!A:D,4,FALSE),"")</f>
        <v>38923</v>
      </c>
      <c r="M51" s="24">
        <f>IFERROR(VLOOKUP(A51,'Sales Order'!A:F,6,FALSE),"")</f>
        <v>38941</v>
      </c>
      <c r="N51" t="str">
        <f>IFERROR(VLOOKUP(VLOOKUP(A51,'Sales Order'!A:G,7,FALSE),Shipper!A:B,2,FALSE),"Not Specified")</f>
        <v>Shipper GVSUA</v>
      </c>
      <c r="O51" t="str">
        <f>IFERROR(VLOOKUP(A51,'Sales Order'!A:I,9,FALSE),"Not Specified")</f>
        <v>Ship to 7-A</v>
      </c>
      <c r="P51" t="str">
        <f>IFERROR(VLOOKUP(A51,'Sales Order'!A:N,14,FALSE),"Not Specified")</f>
        <v>France</v>
      </c>
      <c r="Q51" t="str">
        <f>VLOOKUP(VLOOKUP(B51,Product!A:C,3,FALSE),Supplier!A:B,2,FALSE)</f>
        <v>Supplier GQRCV</v>
      </c>
      <c r="R51" t="str">
        <f>VLOOKUP(VLOOKUP(B51,Product!A:C,3,FALSE),Supplier!A:I,9,FALSE)</f>
        <v>Australia</v>
      </c>
      <c r="S51" t="str">
        <f>IFERROR(IF(VLOOKUP(A51,'Sales Order'!A:H,8,FALSE)&gt;100,"High Freight","Low Freight"),"Not Specified")</f>
        <v>Low Freight</v>
      </c>
      <c r="T51">
        <f t="shared" si="1"/>
        <v>936</v>
      </c>
    </row>
    <row r="52" spans="1:20">
      <c r="A52" s="9">
        <v>10265</v>
      </c>
      <c r="B52" s="6">
        <v>70</v>
      </c>
      <c r="C52" s="6">
        <v>12</v>
      </c>
      <c r="D52" s="6">
        <v>20</v>
      </c>
      <c r="E52" s="18">
        <v>0</v>
      </c>
      <c r="F52" s="6" t="str">
        <f>IFERROR(VLOOKUP(VLOOKUP(A52,'Sales Order'!A:B,2,FALSE),Customer!A:C,3,FALSE),"Not Specified")</f>
        <v>Bansal, Dushyant</v>
      </c>
      <c r="G52" s="6" t="str">
        <f t="shared" si="0"/>
        <v>Bansal Dushyant</v>
      </c>
      <c r="H52" s="22" t="str">
        <f>IFERROR(VLOOKUP(VLOOKUP(A52,'Sales Order'!A:C,3,FALSE),Employee!A:E,5,FALSE)&amp;" "&amp;VLOOKUP(VLOOKUP(A52,'Sales Order'!A:C,3,FALSE),Employee!A:C,3,FALSE)&amp;" "&amp;VLOOKUP(VLOOKUP(A52,'Sales Order'!A:C,3,FALSE),Employee!A:B,2,FALSE),"Not Specified")</f>
        <v>Dr. Don Funk</v>
      </c>
      <c r="I52" t="str">
        <f>IFERROR(VLOOKUP(VLOOKUP(A52,'Sales Order'!A:C,3,FALSE),Employee!A:J,10,FALSE),"Not Specified")</f>
        <v>WA</v>
      </c>
      <c r="J52" t="str">
        <f>VLOOKUP(B52,Product!A:B,2,FALSE)</f>
        <v>Product TOONT</v>
      </c>
      <c r="K52" t="str">
        <f>VLOOKUP(VLOOKUP(B52,Product!A:D,4,FALSE),Category!A:B,2,FALSE)</f>
        <v>Beverages</v>
      </c>
      <c r="L52" s="24">
        <f>IFERROR(VLOOKUP(A52,'Sales Order'!A:D,4,FALSE),"")</f>
        <v>38923</v>
      </c>
      <c r="M52" s="24">
        <f>IFERROR(VLOOKUP(A52,'Sales Order'!A:F,6,FALSE),"")</f>
        <v>38941</v>
      </c>
      <c r="N52" t="str">
        <f>IFERROR(VLOOKUP(VLOOKUP(A52,'Sales Order'!A:G,7,FALSE),Shipper!A:B,2,FALSE),"Not Specified")</f>
        <v>Shipper GVSUA</v>
      </c>
      <c r="O52" t="str">
        <f>IFERROR(VLOOKUP(A52,'Sales Order'!A:I,9,FALSE),"Not Specified")</f>
        <v>Ship to 7-A</v>
      </c>
      <c r="P52" t="str">
        <f>IFERROR(VLOOKUP(A52,'Sales Order'!A:N,14,FALSE),"Not Specified")</f>
        <v>France</v>
      </c>
      <c r="Q52" t="str">
        <f>VLOOKUP(VLOOKUP(B52,Product!A:C,3,FALSE),Supplier!A:B,2,FALSE)</f>
        <v>Supplier GQRCV</v>
      </c>
      <c r="R52" t="str">
        <f>VLOOKUP(VLOOKUP(B52,Product!A:C,3,FALSE),Supplier!A:I,9,FALSE)</f>
        <v>Australia</v>
      </c>
      <c r="S52" t="str">
        <f>IFERROR(IF(VLOOKUP(A52,'Sales Order'!A:H,8,FALSE)&gt;100,"High Freight","Low Freight"),"Not Specified")</f>
        <v>Low Freight</v>
      </c>
      <c r="T52">
        <f t="shared" si="1"/>
        <v>240</v>
      </c>
    </row>
    <row r="53" spans="1:20">
      <c r="A53" s="9">
        <v>10266</v>
      </c>
      <c r="B53" s="6">
        <v>12</v>
      </c>
      <c r="C53" s="6">
        <v>30.4</v>
      </c>
      <c r="D53" s="6">
        <v>12</v>
      </c>
      <c r="E53" s="18">
        <v>0.05</v>
      </c>
      <c r="F53" s="6" t="str">
        <f>IFERROR(VLOOKUP(VLOOKUP(A53,'Sales Order'!A:B,2,FALSE),Customer!A:C,3,FALSE),"Not Specified")</f>
        <v>Ludwig, Michael</v>
      </c>
      <c r="G53" s="6" t="str">
        <f t="shared" si="0"/>
        <v>Ludwig Michael</v>
      </c>
      <c r="H53" s="22" t="str">
        <f>IFERROR(VLOOKUP(VLOOKUP(A53,'Sales Order'!A:C,3,FALSE),Employee!A:E,5,FALSE)&amp;" "&amp;VLOOKUP(VLOOKUP(A53,'Sales Order'!A:C,3,FALSE),Employee!A:C,3,FALSE)&amp;" "&amp;VLOOKUP(VLOOKUP(A53,'Sales Order'!A:C,3,FALSE),Employee!A:B,2,FALSE),"Not Specified")</f>
        <v>Ms. Judy Lew</v>
      </c>
      <c r="I53" t="str">
        <f>IFERROR(VLOOKUP(VLOOKUP(A53,'Sales Order'!A:C,3,FALSE),Employee!A:J,10,FALSE),"Not Specified")</f>
        <v>WA</v>
      </c>
      <c r="J53" t="str">
        <f>VLOOKUP(B53,Product!A:B,2,FALSE)</f>
        <v>Product OSFNS</v>
      </c>
      <c r="K53" t="str">
        <f>VLOOKUP(VLOOKUP(B53,Product!A:D,4,FALSE),Category!A:B,2,FALSE)</f>
        <v>Dairy Product</v>
      </c>
      <c r="L53" s="24">
        <f>IFERROR(VLOOKUP(A53,'Sales Order'!A:D,4,FALSE),"")</f>
        <v>38924</v>
      </c>
      <c r="M53" s="24">
        <f>IFERROR(VLOOKUP(A53,'Sales Order'!A:F,6,FALSE),"")</f>
        <v>38929</v>
      </c>
      <c r="N53" t="str">
        <f>IFERROR(VLOOKUP(VLOOKUP(A53,'Sales Order'!A:G,7,FALSE),Shipper!A:B,2,FALSE),"Not Specified")</f>
        <v>Shipper ZHISN</v>
      </c>
      <c r="O53" t="str">
        <f>IFERROR(VLOOKUP(A53,'Sales Order'!A:I,9,FALSE),"Not Specified")</f>
        <v>Ship to 87-B</v>
      </c>
      <c r="P53" t="str">
        <f>IFERROR(VLOOKUP(A53,'Sales Order'!A:N,14,FALSE),"Not Specified")</f>
        <v>Finland</v>
      </c>
      <c r="Q53" t="str">
        <f>VLOOKUP(VLOOKUP(B53,Product!A:C,3,FALSE),Supplier!A:B,2,FALSE)</f>
        <v>Supplier EQPNC</v>
      </c>
      <c r="R53" t="str">
        <f>VLOOKUP(VLOOKUP(B53,Product!A:C,3,FALSE),Supplier!A:I,9,FALSE)</f>
        <v>Spain</v>
      </c>
      <c r="S53" t="str">
        <f>IFERROR(IF(VLOOKUP(A53,'Sales Order'!A:H,8,FALSE)&gt;100,"High Freight","Low Freight"),"Not Specified")</f>
        <v>Low Freight</v>
      </c>
      <c r="T53">
        <f t="shared" si="1"/>
        <v>346.55999999999995</v>
      </c>
    </row>
    <row r="54" spans="1:20">
      <c r="A54" s="9">
        <v>10267</v>
      </c>
      <c r="B54" s="6">
        <v>40</v>
      </c>
      <c r="C54" s="6">
        <v>14.7</v>
      </c>
      <c r="D54" s="6">
        <v>50</v>
      </c>
      <c r="E54" s="18">
        <v>0</v>
      </c>
      <c r="F54" s="6" t="str">
        <f>IFERROR(VLOOKUP(VLOOKUP(A54,'Sales Order'!A:B,2,FALSE),Customer!A:C,3,FALSE),"Not Specified")</f>
        <v>Carlson, Jason</v>
      </c>
      <c r="G54" s="6" t="str">
        <f t="shared" si="0"/>
        <v>Carlson Jason</v>
      </c>
      <c r="H54" s="22" t="str">
        <f>IFERROR(VLOOKUP(VLOOKUP(A54,'Sales Order'!A:C,3,FALSE),Employee!A:E,5,FALSE)&amp;" "&amp;VLOOKUP(VLOOKUP(A54,'Sales Order'!A:C,3,FALSE),Employee!A:C,3,FALSE)&amp;" "&amp;VLOOKUP(VLOOKUP(A54,'Sales Order'!A:C,3,FALSE),Employee!A:B,2,FALSE),"Not Specified")</f>
        <v>Mrs. Yael Peled</v>
      </c>
      <c r="I54" t="str">
        <f>IFERROR(VLOOKUP(VLOOKUP(A54,'Sales Order'!A:C,3,FALSE),Employee!A:J,10,FALSE),"Not Specified")</f>
        <v>WA</v>
      </c>
      <c r="J54" t="str">
        <f>VLOOKUP(B54,Product!A:B,2,FALSE)</f>
        <v>Product YZIXQ</v>
      </c>
      <c r="K54" t="str">
        <f>VLOOKUP(VLOOKUP(B54,Product!A:D,4,FALSE),Category!A:B,2,FALSE)</f>
        <v>Seafood</v>
      </c>
      <c r="L54" s="24">
        <f>IFERROR(VLOOKUP(A54,'Sales Order'!A:D,4,FALSE),"")</f>
        <v>38927</v>
      </c>
      <c r="M54" s="24">
        <f>IFERROR(VLOOKUP(A54,'Sales Order'!A:F,6,FALSE),"")</f>
        <v>38935</v>
      </c>
      <c r="N54" t="str">
        <f>IFERROR(VLOOKUP(VLOOKUP(A54,'Sales Order'!A:G,7,FALSE),Shipper!A:B,2,FALSE),"Not Specified")</f>
        <v>Shipper GVSUA</v>
      </c>
      <c r="O54" t="str">
        <f>IFERROR(VLOOKUP(A54,'Sales Order'!A:I,9,FALSE),"Not Specified")</f>
        <v>Destination VAPXU</v>
      </c>
      <c r="P54" t="str">
        <f>IFERROR(VLOOKUP(A54,'Sales Order'!A:N,14,FALSE),"Not Specified")</f>
        <v>Germany</v>
      </c>
      <c r="Q54" t="str">
        <f>VLOOKUP(VLOOKUP(B54,Product!A:C,3,FALSE),Supplier!A:B,2,FALSE)</f>
        <v>Supplier JDNUG</v>
      </c>
      <c r="R54" t="str">
        <f>VLOOKUP(VLOOKUP(B54,Product!A:C,3,FALSE),Supplier!A:I,9,FALSE)</f>
        <v>USA</v>
      </c>
      <c r="S54" t="str">
        <f>IFERROR(IF(VLOOKUP(A54,'Sales Order'!A:H,8,FALSE)&gt;100,"High Freight","Low Freight"),"Not Specified")</f>
        <v>High Freight</v>
      </c>
      <c r="T54">
        <f t="shared" si="1"/>
        <v>735</v>
      </c>
    </row>
    <row r="55" spans="1:20">
      <c r="A55" s="9">
        <v>10267</v>
      </c>
      <c r="B55" s="6">
        <v>59</v>
      </c>
      <c r="C55" s="6">
        <v>44</v>
      </c>
      <c r="D55" s="6">
        <v>70</v>
      </c>
      <c r="E55" s="18">
        <v>0.15</v>
      </c>
      <c r="F55" s="6" t="str">
        <f>IFERROR(VLOOKUP(VLOOKUP(A55,'Sales Order'!A:B,2,FALSE),Customer!A:C,3,FALSE),"Not Specified")</f>
        <v>Carlson, Jason</v>
      </c>
      <c r="G55" s="6" t="str">
        <f t="shared" si="0"/>
        <v>Carlson Jason</v>
      </c>
      <c r="H55" s="22" t="str">
        <f>IFERROR(VLOOKUP(VLOOKUP(A55,'Sales Order'!A:C,3,FALSE),Employee!A:E,5,FALSE)&amp;" "&amp;VLOOKUP(VLOOKUP(A55,'Sales Order'!A:C,3,FALSE),Employee!A:C,3,FALSE)&amp;" "&amp;VLOOKUP(VLOOKUP(A55,'Sales Order'!A:C,3,FALSE),Employee!A:B,2,FALSE),"Not Specified")</f>
        <v>Mrs. Yael Peled</v>
      </c>
      <c r="I55" t="str">
        <f>IFERROR(VLOOKUP(VLOOKUP(A55,'Sales Order'!A:C,3,FALSE),Employee!A:J,10,FALSE),"Not Specified")</f>
        <v>WA</v>
      </c>
      <c r="J55" t="str">
        <f>VLOOKUP(B55,Product!A:B,2,FALSE)</f>
        <v>Product UKXRI</v>
      </c>
      <c r="K55" t="str">
        <f>VLOOKUP(VLOOKUP(B55,Product!A:D,4,FALSE),Category!A:B,2,FALSE)</f>
        <v>Dairy Product</v>
      </c>
      <c r="L55" s="24">
        <f>IFERROR(VLOOKUP(A55,'Sales Order'!A:D,4,FALSE),"")</f>
        <v>38927</v>
      </c>
      <c r="M55" s="24">
        <f>IFERROR(VLOOKUP(A55,'Sales Order'!A:F,6,FALSE),"")</f>
        <v>38935</v>
      </c>
      <c r="N55" t="str">
        <f>IFERROR(VLOOKUP(VLOOKUP(A55,'Sales Order'!A:G,7,FALSE),Shipper!A:B,2,FALSE),"Not Specified")</f>
        <v>Shipper GVSUA</v>
      </c>
      <c r="O55" t="str">
        <f>IFERROR(VLOOKUP(A55,'Sales Order'!A:I,9,FALSE),"Not Specified")</f>
        <v>Destination VAPXU</v>
      </c>
      <c r="P55" t="str">
        <f>IFERROR(VLOOKUP(A55,'Sales Order'!A:N,14,FALSE),"Not Specified")</f>
        <v>Germany</v>
      </c>
      <c r="Q55" t="str">
        <f>VLOOKUP(VLOOKUP(B55,Product!A:C,3,FALSE),Supplier!A:B,2,FALSE)</f>
        <v>Supplier OAVQT</v>
      </c>
      <c r="R55" t="str">
        <f>VLOOKUP(VLOOKUP(B55,Product!A:C,3,FALSE),Supplier!A:I,9,FALSE)</f>
        <v>France</v>
      </c>
      <c r="S55" t="str">
        <f>IFERROR(IF(VLOOKUP(A55,'Sales Order'!A:H,8,FALSE)&gt;100,"High Freight","Low Freight"),"Not Specified")</f>
        <v>High Freight</v>
      </c>
      <c r="T55">
        <f t="shared" si="1"/>
        <v>2618</v>
      </c>
    </row>
    <row r="56" spans="1:20">
      <c r="A56" s="9">
        <v>10267</v>
      </c>
      <c r="B56" s="6">
        <v>76</v>
      </c>
      <c r="C56" s="6">
        <v>14.4</v>
      </c>
      <c r="D56" s="6">
        <v>15</v>
      </c>
      <c r="E56" s="18">
        <v>0.15</v>
      </c>
      <c r="F56" s="6" t="str">
        <f>IFERROR(VLOOKUP(VLOOKUP(A56,'Sales Order'!A:B,2,FALSE),Customer!A:C,3,FALSE),"Not Specified")</f>
        <v>Carlson, Jason</v>
      </c>
      <c r="G56" s="6" t="str">
        <f t="shared" si="0"/>
        <v>Carlson Jason</v>
      </c>
      <c r="H56" s="22" t="str">
        <f>IFERROR(VLOOKUP(VLOOKUP(A56,'Sales Order'!A:C,3,FALSE),Employee!A:E,5,FALSE)&amp;" "&amp;VLOOKUP(VLOOKUP(A56,'Sales Order'!A:C,3,FALSE),Employee!A:C,3,FALSE)&amp;" "&amp;VLOOKUP(VLOOKUP(A56,'Sales Order'!A:C,3,FALSE),Employee!A:B,2,FALSE),"Not Specified")</f>
        <v>Mrs. Yael Peled</v>
      </c>
      <c r="I56" t="str">
        <f>IFERROR(VLOOKUP(VLOOKUP(A56,'Sales Order'!A:C,3,FALSE),Employee!A:J,10,FALSE),"Not Specified")</f>
        <v>WA</v>
      </c>
      <c r="J56" t="str">
        <f>VLOOKUP(B56,Product!A:B,2,FALSE)</f>
        <v>Product JYGFE</v>
      </c>
      <c r="K56" t="str">
        <f>VLOOKUP(VLOOKUP(B56,Product!A:D,4,FALSE),Category!A:B,2,FALSE)</f>
        <v>Beverages</v>
      </c>
      <c r="L56" s="24">
        <f>IFERROR(VLOOKUP(A56,'Sales Order'!A:D,4,FALSE),"")</f>
        <v>38927</v>
      </c>
      <c r="M56" s="24">
        <f>IFERROR(VLOOKUP(A56,'Sales Order'!A:F,6,FALSE),"")</f>
        <v>38935</v>
      </c>
      <c r="N56" t="str">
        <f>IFERROR(VLOOKUP(VLOOKUP(A56,'Sales Order'!A:G,7,FALSE),Shipper!A:B,2,FALSE),"Not Specified")</f>
        <v>Shipper GVSUA</v>
      </c>
      <c r="O56" t="str">
        <f>IFERROR(VLOOKUP(A56,'Sales Order'!A:I,9,FALSE),"Not Specified")</f>
        <v>Destination VAPXU</v>
      </c>
      <c r="P56" t="str">
        <f>IFERROR(VLOOKUP(A56,'Sales Order'!A:N,14,FALSE),"Not Specified")</f>
        <v>Germany</v>
      </c>
      <c r="Q56" t="str">
        <f>VLOOKUP(VLOOKUP(B56,Product!A:C,3,FALSE),Supplier!A:B,2,FALSE)</f>
        <v>Supplier ELCRN</v>
      </c>
      <c r="R56" t="str">
        <f>VLOOKUP(VLOOKUP(B56,Product!A:C,3,FALSE),Supplier!A:I,9,FALSE)</f>
        <v>Finland</v>
      </c>
      <c r="S56" t="str">
        <f>IFERROR(IF(VLOOKUP(A56,'Sales Order'!A:H,8,FALSE)&gt;100,"High Freight","Low Freight"),"Not Specified")</f>
        <v>High Freight</v>
      </c>
      <c r="T56">
        <f t="shared" si="1"/>
        <v>183.6</v>
      </c>
    </row>
    <row r="57" spans="1:20">
      <c r="A57" s="9">
        <v>10268</v>
      </c>
      <c r="B57" s="6">
        <v>29</v>
      </c>
      <c r="C57" s="6">
        <v>99</v>
      </c>
      <c r="D57" s="6">
        <v>10</v>
      </c>
      <c r="E57" s="18">
        <v>0</v>
      </c>
      <c r="F57" s="6" t="str">
        <f>IFERROR(VLOOKUP(VLOOKUP(A57,'Sales Order'!A:B,2,FALSE),Customer!A:C,3,FALSE),"Not Specified")</f>
        <v>Sigurdarson, Hallur</v>
      </c>
      <c r="G57" s="6" t="str">
        <f t="shared" si="0"/>
        <v>Sigurdarson Hallur</v>
      </c>
      <c r="H57" s="22" t="str">
        <f>IFERROR(VLOOKUP(VLOOKUP(A57,'Sales Order'!A:C,3,FALSE),Employee!A:E,5,FALSE)&amp;" "&amp;VLOOKUP(VLOOKUP(A57,'Sales Order'!A:C,3,FALSE),Employee!A:C,3,FALSE)&amp;" "&amp;VLOOKUP(VLOOKUP(A57,'Sales Order'!A:C,3,FALSE),Employee!A:B,2,FALSE),"Not Specified")</f>
        <v>Ms. Maria Cameron</v>
      </c>
      <c r="I57" t="str">
        <f>IFERROR(VLOOKUP(VLOOKUP(A57,'Sales Order'!A:C,3,FALSE),Employee!A:J,10,FALSE),"Not Specified")</f>
        <v>WA</v>
      </c>
      <c r="J57" t="str">
        <f>VLOOKUP(B57,Product!A:B,2,FALSE)</f>
        <v>Product VJXYN</v>
      </c>
      <c r="K57" t="str">
        <f>VLOOKUP(VLOOKUP(B57,Product!A:D,4,FALSE),Category!A:B,2,FALSE)</f>
        <v>Meat/Poultry</v>
      </c>
      <c r="L57" s="24">
        <f>IFERROR(VLOOKUP(A57,'Sales Order'!A:D,4,FALSE),"")</f>
        <v>38928</v>
      </c>
      <c r="M57" s="24">
        <f>IFERROR(VLOOKUP(A57,'Sales Order'!A:F,6,FALSE),"")</f>
        <v>38931</v>
      </c>
      <c r="N57" t="str">
        <f>IFERROR(VLOOKUP(VLOOKUP(A57,'Sales Order'!A:G,7,FALSE),Shipper!A:B,2,FALSE),"Not Specified")</f>
        <v>Shipper ZHISN</v>
      </c>
      <c r="O57" t="str">
        <f>IFERROR(VLOOKUP(A57,'Sales Order'!A:I,9,FALSE),"Not Specified")</f>
        <v>Destination QJVQH</v>
      </c>
      <c r="P57" t="str">
        <f>IFERROR(VLOOKUP(A57,'Sales Order'!A:N,14,FALSE),"Not Specified")</f>
        <v>Venezuela</v>
      </c>
      <c r="Q57" t="str">
        <f>VLOOKUP(VLOOKUP(B57,Product!A:C,3,FALSE),Supplier!A:B,2,FALSE)</f>
        <v>Supplier SVIYA</v>
      </c>
      <c r="R57" t="str">
        <f>VLOOKUP(VLOOKUP(B57,Product!A:C,3,FALSE),Supplier!A:I,9,FALSE)</f>
        <v>Germany</v>
      </c>
      <c r="S57" t="str">
        <f>IFERROR(IF(VLOOKUP(A57,'Sales Order'!A:H,8,FALSE)&gt;100,"High Freight","Low Freight"),"Not Specified")</f>
        <v>Low Freight</v>
      </c>
      <c r="T57">
        <f t="shared" si="1"/>
        <v>990</v>
      </c>
    </row>
    <row r="58" spans="1:20">
      <c r="A58" s="9">
        <v>10268</v>
      </c>
      <c r="B58" s="6">
        <v>72</v>
      </c>
      <c r="C58" s="6">
        <v>27.8</v>
      </c>
      <c r="D58" s="6">
        <v>4</v>
      </c>
      <c r="E58" s="18">
        <v>0</v>
      </c>
      <c r="F58" s="6" t="str">
        <f>IFERROR(VLOOKUP(VLOOKUP(A58,'Sales Order'!A:B,2,FALSE),Customer!A:C,3,FALSE),"Not Specified")</f>
        <v>Sigurdarson, Hallur</v>
      </c>
      <c r="G58" s="6" t="str">
        <f t="shared" si="0"/>
        <v>Sigurdarson Hallur</v>
      </c>
      <c r="H58" s="22" t="str">
        <f>IFERROR(VLOOKUP(VLOOKUP(A58,'Sales Order'!A:C,3,FALSE),Employee!A:E,5,FALSE)&amp;" "&amp;VLOOKUP(VLOOKUP(A58,'Sales Order'!A:C,3,FALSE),Employee!A:C,3,FALSE)&amp;" "&amp;VLOOKUP(VLOOKUP(A58,'Sales Order'!A:C,3,FALSE),Employee!A:B,2,FALSE),"Not Specified")</f>
        <v>Ms. Maria Cameron</v>
      </c>
      <c r="I58" t="str">
        <f>IFERROR(VLOOKUP(VLOOKUP(A58,'Sales Order'!A:C,3,FALSE),Employee!A:J,10,FALSE),"Not Specified")</f>
        <v>WA</v>
      </c>
      <c r="J58" t="str">
        <f>VLOOKUP(B58,Product!A:B,2,FALSE)</f>
        <v>Product GEEOO</v>
      </c>
      <c r="K58" t="str">
        <f>VLOOKUP(VLOOKUP(B58,Product!A:D,4,FALSE),Category!A:B,2,FALSE)</f>
        <v>Dairy Product</v>
      </c>
      <c r="L58" s="24">
        <f>IFERROR(VLOOKUP(A58,'Sales Order'!A:D,4,FALSE),"")</f>
        <v>38928</v>
      </c>
      <c r="M58" s="24">
        <f>IFERROR(VLOOKUP(A58,'Sales Order'!A:F,6,FALSE),"")</f>
        <v>38931</v>
      </c>
      <c r="N58" t="str">
        <f>IFERROR(VLOOKUP(VLOOKUP(A58,'Sales Order'!A:G,7,FALSE),Shipper!A:B,2,FALSE),"Not Specified")</f>
        <v>Shipper ZHISN</v>
      </c>
      <c r="O58" t="str">
        <f>IFERROR(VLOOKUP(A58,'Sales Order'!A:I,9,FALSE),"Not Specified")</f>
        <v>Destination QJVQH</v>
      </c>
      <c r="P58" t="str">
        <f>IFERROR(VLOOKUP(A58,'Sales Order'!A:N,14,FALSE),"Not Specified")</f>
        <v>Venezuela</v>
      </c>
      <c r="Q58" t="str">
        <f>VLOOKUP(VLOOKUP(B58,Product!A:C,3,FALSE),Supplier!A:B,2,FALSE)</f>
        <v>Supplier KEREV</v>
      </c>
      <c r="R58" t="str">
        <f>VLOOKUP(VLOOKUP(B58,Product!A:C,3,FALSE),Supplier!A:I,9,FALSE)</f>
        <v>Italy</v>
      </c>
      <c r="S58" t="str">
        <f>IFERROR(IF(VLOOKUP(A58,'Sales Order'!A:H,8,FALSE)&gt;100,"High Freight","Low Freight"),"Not Specified")</f>
        <v>Low Freight</v>
      </c>
      <c r="T58">
        <f t="shared" si="1"/>
        <v>111.2</v>
      </c>
    </row>
    <row r="59" spans="1:20">
      <c r="A59" s="9">
        <v>10269</v>
      </c>
      <c r="B59" s="6">
        <v>33</v>
      </c>
      <c r="C59" s="6">
        <v>2</v>
      </c>
      <c r="D59" s="6">
        <v>60</v>
      </c>
      <c r="E59" s="18">
        <v>0.05</v>
      </c>
      <c r="F59" s="6" t="str">
        <f>IFERROR(VLOOKUP(VLOOKUP(A59,'Sales Order'!A:B,2,FALSE),Customer!A:C,3,FALSE),"Not Specified")</f>
        <v>Smith Jr., Ronaldo</v>
      </c>
      <c r="G59" s="6" t="str">
        <f t="shared" si="0"/>
        <v>Smith Jr. Ronaldo</v>
      </c>
      <c r="H59" s="22" t="str">
        <f>IFERROR(VLOOKUP(VLOOKUP(A59,'Sales Order'!A:C,3,FALSE),Employee!A:E,5,FALSE)&amp;" "&amp;VLOOKUP(VLOOKUP(A59,'Sales Order'!A:C,3,FALSE),Employee!A:C,3,FALSE)&amp;" "&amp;VLOOKUP(VLOOKUP(A59,'Sales Order'!A:C,3,FALSE),Employee!A:B,2,FALSE),"Not Specified")</f>
        <v>Mr. Sven Buck</v>
      </c>
      <c r="I59">
        <f>IFERROR(VLOOKUP(VLOOKUP(A59,'Sales Order'!A:C,3,FALSE),Employee!A:J,10,FALSE),"Not Specified")</f>
        <v>0</v>
      </c>
      <c r="J59" t="str">
        <f>VLOOKUP(B59,Product!A:B,2,FALSE)</f>
        <v>Product ASTMN</v>
      </c>
      <c r="K59" t="str">
        <f>VLOOKUP(VLOOKUP(B59,Product!A:D,4,FALSE),Category!A:B,2,FALSE)</f>
        <v>Dairy Product</v>
      </c>
      <c r="L59" s="24">
        <f>IFERROR(VLOOKUP(A59,'Sales Order'!A:D,4,FALSE),"")</f>
        <v>38929</v>
      </c>
      <c r="M59" s="24">
        <f>IFERROR(VLOOKUP(A59,'Sales Order'!A:F,6,FALSE),"")</f>
        <v>38938</v>
      </c>
      <c r="N59" t="str">
        <f>IFERROR(VLOOKUP(VLOOKUP(A59,'Sales Order'!A:G,7,FALSE),Shipper!A:B,2,FALSE),"Not Specified")</f>
        <v>Shipper GVSUA</v>
      </c>
      <c r="O59" t="str">
        <f>IFERROR(VLOOKUP(A59,'Sales Order'!A:I,9,FALSE),"Not Specified")</f>
        <v>Ship to 89-B</v>
      </c>
      <c r="P59" t="str">
        <f>IFERROR(VLOOKUP(A59,'Sales Order'!A:N,14,FALSE),"Not Specified")</f>
        <v>USA</v>
      </c>
      <c r="Q59" t="str">
        <f>VLOOKUP(VLOOKUP(B59,Product!A:C,3,FALSE),Supplier!A:B,2,FALSE)</f>
        <v>Supplier NZLIF</v>
      </c>
      <c r="R59" t="str">
        <f>VLOOKUP(VLOOKUP(B59,Product!A:C,3,FALSE),Supplier!A:I,9,FALSE)</f>
        <v>Norway</v>
      </c>
      <c r="S59" t="str">
        <f>IFERROR(IF(VLOOKUP(A59,'Sales Order'!A:H,8,FALSE)&gt;100,"High Freight","Low Freight"),"Not Specified")</f>
        <v>Low Freight</v>
      </c>
      <c r="T59">
        <f t="shared" si="1"/>
        <v>114</v>
      </c>
    </row>
    <row r="60" spans="1:20">
      <c r="A60" s="9">
        <v>10269</v>
      </c>
      <c r="B60" s="6">
        <v>72</v>
      </c>
      <c r="C60" s="6">
        <v>27.8</v>
      </c>
      <c r="D60" s="6">
        <v>20</v>
      </c>
      <c r="E60" s="18">
        <v>0.05</v>
      </c>
      <c r="F60" s="6" t="str">
        <f>IFERROR(VLOOKUP(VLOOKUP(A60,'Sales Order'!A:B,2,FALSE),Customer!A:C,3,FALSE),"Not Specified")</f>
        <v>Smith Jr., Ronaldo</v>
      </c>
      <c r="G60" s="6" t="str">
        <f t="shared" si="0"/>
        <v>Smith Jr. Ronaldo</v>
      </c>
      <c r="H60" s="22" t="str">
        <f>IFERROR(VLOOKUP(VLOOKUP(A60,'Sales Order'!A:C,3,FALSE),Employee!A:E,5,FALSE)&amp;" "&amp;VLOOKUP(VLOOKUP(A60,'Sales Order'!A:C,3,FALSE),Employee!A:C,3,FALSE)&amp;" "&amp;VLOOKUP(VLOOKUP(A60,'Sales Order'!A:C,3,FALSE),Employee!A:B,2,FALSE),"Not Specified")</f>
        <v>Mr. Sven Buck</v>
      </c>
      <c r="I60">
        <f>IFERROR(VLOOKUP(VLOOKUP(A60,'Sales Order'!A:C,3,FALSE),Employee!A:J,10,FALSE),"Not Specified")</f>
        <v>0</v>
      </c>
      <c r="J60" t="str">
        <f>VLOOKUP(B60,Product!A:B,2,FALSE)</f>
        <v>Product GEEOO</v>
      </c>
      <c r="K60" t="str">
        <f>VLOOKUP(VLOOKUP(B60,Product!A:D,4,FALSE),Category!A:B,2,FALSE)</f>
        <v>Dairy Product</v>
      </c>
      <c r="L60" s="24">
        <f>IFERROR(VLOOKUP(A60,'Sales Order'!A:D,4,FALSE),"")</f>
        <v>38929</v>
      </c>
      <c r="M60" s="24">
        <f>IFERROR(VLOOKUP(A60,'Sales Order'!A:F,6,FALSE),"")</f>
        <v>38938</v>
      </c>
      <c r="N60" t="str">
        <f>IFERROR(VLOOKUP(VLOOKUP(A60,'Sales Order'!A:G,7,FALSE),Shipper!A:B,2,FALSE),"Not Specified")</f>
        <v>Shipper GVSUA</v>
      </c>
      <c r="O60" t="str">
        <f>IFERROR(VLOOKUP(A60,'Sales Order'!A:I,9,FALSE),"Not Specified")</f>
        <v>Ship to 89-B</v>
      </c>
      <c r="P60" t="str">
        <f>IFERROR(VLOOKUP(A60,'Sales Order'!A:N,14,FALSE),"Not Specified")</f>
        <v>USA</v>
      </c>
      <c r="Q60" t="str">
        <f>VLOOKUP(VLOOKUP(B60,Product!A:C,3,FALSE),Supplier!A:B,2,FALSE)</f>
        <v>Supplier KEREV</v>
      </c>
      <c r="R60" t="str">
        <f>VLOOKUP(VLOOKUP(B60,Product!A:C,3,FALSE),Supplier!A:I,9,FALSE)</f>
        <v>Italy</v>
      </c>
      <c r="S60" t="str">
        <f>IFERROR(IF(VLOOKUP(A60,'Sales Order'!A:H,8,FALSE)&gt;100,"High Freight","Low Freight"),"Not Specified")</f>
        <v>Low Freight</v>
      </c>
      <c r="T60">
        <f t="shared" si="1"/>
        <v>528.19999999999993</v>
      </c>
    </row>
    <row r="61" spans="1:20">
      <c r="A61" s="9">
        <v>10270</v>
      </c>
      <c r="B61" s="6">
        <v>36</v>
      </c>
      <c r="C61" s="6">
        <v>15.2</v>
      </c>
      <c r="D61" s="6">
        <v>30</v>
      </c>
      <c r="E61" s="18">
        <v>0</v>
      </c>
      <c r="F61" s="6" t="str">
        <f>IFERROR(VLOOKUP(VLOOKUP(A61,'Sales Order'!A:B,2,FALSE),Customer!A:C,3,FALSE),"Not Specified")</f>
        <v>Ludwig, Michael</v>
      </c>
      <c r="G61" s="6" t="str">
        <f t="shared" si="0"/>
        <v>Ludwig Michael</v>
      </c>
      <c r="H61" s="22" t="str">
        <f>IFERROR(VLOOKUP(VLOOKUP(A61,'Sales Order'!A:C,3,FALSE),Employee!A:E,5,FALSE)&amp;" "&amp;VLOOKUP(VLOOKUP(A61,'Sales Order'!A:C,3,FALSE),Employee!A:C,3,FALSE)&amp;" "&amp;VLOOKUP(VLOOKUP(A61,'Sales Order'!A:C,3,FALSE),Employee!A:B,2,FALSE),"Not Specified")</f>
        <v>Ms. Sara Davis</v>
      </c>
      <c r="I61" t="str">
        <f>IFERROR(VLOOKUP(VLOOKUP(A61,'Sales Order'!A:C,3,FALSE),Employee!A:J,10,FALSE),"Not Specified")</f>
        <v>WA</v>
      </c>
      <c r="J61" t="str">
        <f>VLOOKUP(B61,Product!A:B,2,FALSE)</f>
        <v>Product GMKIJ</v>
      </c>
      <c r="K61" t="str">
        <f>VLOOKUP(VLOOKUP(B61,Product!A:D,4,FALSE),Category!A:B,2,FALSE)</f>
        <v>Seafood</v>
      </c>
      <c r="L61" s="24">
        <f>IFERROR(VLOOKUP(A61,'Sales Order'!A:D,4,FALSE),"")</f>
        <v>38930</v>
      </c>
      <c r="M61" s="24">
        <f>IFERROR(VLOOKUP(A61,'Sales Order'!A:F,6,FALSE),"")</f>
        <v>38931</v>
      </c>
      <c r="N61" t="str">
        <f>IFERROR(VLOOKUP(VLOOKUP(A61,'Sales Order'!A:G,7,FALSE),Shipper!A:B,2,FALSE),"Not Specified")</f>
        <v>Shipper GVSUA</v>
      </c>
      <c r="O61" t="str">
        <f>IFERROR(VLOOKUP(A61,'Sales Order'!A:I,9,FALSE),"Not Specified")</f>
        <v>Ship to 87-B</v>
      </c>
      <c r="P61" t="str">
        <f>IFERROR(VLOOKUP(A61,'Sales Order'!A:N,14,FALSE),"Not Specified")</f>
        <v>Finland</v>
      </c>
      <c r="Q61" t="str">
        <f>VLOOKUP(VLOOKUP(B61,Product!A:C,3,FALSE),Supplier!A:B,2,FALSE)</f>
        <v>Supplier QZGUF</v>
      </c>
      <c r="R61" t="str">
        <f>VLOOKUP(VLOOKUP(B61,Product!A:C,3,FALSE),Supplier!A:I,9,FALSE)</f>
        <v>Sweden</v>
      </c>
      <c r="S61" t="str">
        <f>IFERROR(IF(VLOOKUP(A61,'Sales Order'!A:H,8,FALSE)&gt;100,"High Freight","Low Freight"),"Not Specified")</f>
        <v>High Freight</v>
      </c>
      <c r="T61">
        <f t="shared" si="1"/>
        <v>456</v>
      </c>
    </row>
    <row r="62" spans="1:20">
      <c r="A62" s="9">
        <v>10270</v>
      </c>
      <c r="B62" s="6">
        <v>43</v>
      </c>
      <c r="C62" s="6">
        <v>36.799999999999997</v>
      </c>
      <c r="D62" s="6">
        <v>25</v>
      </c>
      <c r="E62" s="18">
        <v>0</v>
      </c>
      <c r="F62" s="6" t="str">
        <f>IFERROR(VLOOKUP(VLOOKUP(A62,'Sales Order'!A:B,2,FALSE),Customer!A:C,3,FALSE),"Not Specified")</f>
        <v>Ludwig, Michael</v>
      </c>
      <c r="G62" s="6" t="str">
        <f t="shared" si="0"/>
        <v>Ludwig Michael</v>
      </c>
      <c r="H62" s="22" t="str">
        <f>IFERROR(VLOOKUP(VLOOKUP(A62,'Sales Order'!A:C,3,FALSE),Employee!A:E,5,FALSE)&amp;" "&amp;VLOOKUP(VLOOKUP(A62,'Sales Order'!A:C,3,FALSE),Employee!A:C,3,FALSE)&amp;" "&amp;VLOOKUP(VLOOKUP(A62,'Sales Order'!A:C,3,FALSE),Employee!A:B,2,FALSE),"Not Specified")</f>
        <v>Ms. Sara Davis</v>
      </c>
      <c r="I62" t="str">
        <f>IFERROR(VLOOKUP(VLOOKUP(A62,'Sales Order'!A:C,3,FALSE),Employee!A:J,10,FALSE),"Not Specified")</f>
        <v>WA</v>
      </c>
      <c r="J62" t="str">
        <f>VLOOKUP(B62,Product!A:B,2,FALSE)</f>
        <v>Product ZZZHR</v>
      </c>
      <c r="K62" t="str">
        <f>VLOOKUP(VLOOKUP(B62,Product!A:D,4,FALSE),Category!A:B,2,FALSE)</f>
        <v>Beverages</v>
      </c>
      <c r="L62" s="24">
        <f>IFERROR(VLOOKUP(A62,'Sales Order'!A:D,4,FALSE),"")</f>
        <v>38930</v>
      </c>
      <c r="M62" s="24">
        <f>IFERROR(VLOOKUP(A62,'Sales Order'!A:F,6,FALSE),"")</f>
        <v>38931</v>
      </c>
      <c r="N62" t="str">
        <f>IFERROR(VLOOKUP(VLOOKUP(A62,'Sales Order'!A:G,7,FALSE),Shipper!A:B,2,FALSE),"Not Specified")</f>
        <v>Shipper GVSUA</v>
      </c>
      <c r="O62" t="str">
        <f>IFERROR(VLOOKUP(A62,'Sales Order'!A:I,9,FALSE),"Not Specified")</f>
        <v>Ship to 87-B</v>
      </c>
      <c r="P62" t="str">
        <f>IFERROR(VLOOKUP(A62,'Sales Order'!A:N,14,FALSE),"Not Specified")</f>
        <v>Finland</v>
      </c>
      <c r="Q62" t="str">
        <f>VLOOKUP(VLOOKUP(B62,Product!A:C,3,FALSE),Supplier!A:B,2,FALSE)</f>
        <v>Supplier CIYNM</v>
      </c>
      <c r="R62" t="str">
        <f>VLOOKUP(VLOOKUP(B62,Product!A:C,3,FALSE),Supplier!A:I,9,FALSE)</f>
        <v>Singapore</v>
      </c>
      <c r="S62" t="str">
        <f>IFERROR(IF(VLOOKUP(A62,'Sales Order'!A:H,8,FALSE)&gt;100,"High Freight","Low Freight"),"Not Specified")</f>
        <v>High Freight</v>
      </c>
      <c r="T62">
        <f t="shared" si="1"/>
        <v>919.99999999999989</v>
      </c>
    </row>
    <row r="63" spans="1:20">
      <c r="A63" s="9">
        <v>10271</v>
      </c>
      <c r="B63" s="6">
        <v>33</v>
      </c>
      <c r="C63" s="6">
        <v>2</v>
      </c>
      <c r="D63" s="6">
        <v>24</v>
      </c>
      <c r="E63" s="18">
        <v>0</v>
      </c>
      <c r="F63" s="6" t="str">
        <f>IFERROR(VLOOKUP(VLOOKUP(A63,'Sales Order'!A:B,2,FALSE),Customer!A:C,3,FALSE),"Not Specified")</f>
        <v>Wojciechowska, Agnieszka</v>
      </c>
      <c r="G63" s="6" t="str">
        <f t="shared" si="0"/>
        <v>Wojciechowska Agnieszka</v>
      </c>
      <c r="H63" s="22" t="str">
        <f>IFERROR(VLOOKUP(VLOOKUP(A63,'Sales Order'!A:C,3,FALSE),Employee!A:E,5,FALSE)&amp;" "&amp;VLOOKUP(VLOOKUP(A63,'Sales Order'!A:C,3,FALSE),Employee!A:C,3,FALSE)&amp;" "&amp;VLOOKUP(VLOOKUP(A63,'Sales Order'!A:C,3,FALSE),Employee!A:B,2,FALSE),"Not Specified")</f>
        <v>Mr. Paul Suurs</v>
      </c>
      <c r="I63">
        <f>IFERROR(VLOOKUP(VLOOKUP(A63,'Sales Order'!A:C,3,FALSE),Employee!A:J,10,FALSE),"Not Specified")</f>
        <v>0</v>
      </c>
      <c r="J63" t="str">
        <f>VLOOKUP(B63,Product!A:B,2,FALSE)</f>
        <v>Product ASTMN</v>
      </c>
      <c r="K63" t="str">
        <f>VLOOKUP(VLOOKUP(B63,Product!A:D,4,FALSE),Category!A:B,2,FALSE)</f>
        <v>Dairy Product</v>
      </c>
      <c r="L63" s="24">
        <f>IFERROR(VLOOKUP(A63,'Sales Order'!A:D,4,FALSE),"")</f>
        <v>38930</v>
      </c>
      <c r="M63" s="24">
        <f>IFERROR(VLOOKUP(A63,'Sales Order'!A:F,6,FALSE),"")</f>
        <v>38959</v>
      </c>
      <c r="N63" t="str">
        <f>IFERROR(VLOOKUP(VLOOKUP(A63,'Sales Order'!A:G,7,FALSE),Shipper!A:B,2,FALSE),"Not Specified")</f>
        <v>Shipper ETYNR</v>
      </c>
      <c r="O63" t="str">
        <f>IFERROR(VLOOKUP(A63,'Sales Order'!A:I,9,FALSE),"Not Specified")</f>
        <v>Ship to 75-C</v>
      </c>
      <c r="P63" t="str">
        <f>IFERROR(VLOOKUP(A63,'Sales Order'!A:N,14,FALSE),"Not Specified")</f>
        <v>USA</v>
      </c>
      <c r="Q63" t="str">
        <f>VLOOKUP(VLOOKUP(B63,Product!A:C,3,FALSE),Supplier!A:B,2,FALSE)</f>
        <v>Supplier NZLIF</v>
      </c>
      <c r="R63" t="str">
        <f>VLOOKUP(VLOOKUP(B63,Product!A:C,3,FALSE),Supplier!A:I,9,FALSE)</f>
        <v>Norway</v>
      </c>
      <c r="S63" t="str">
        <f>IFERROR(IF(VLOOKUP(A63,'Sales Order'!A:H,8,FALSE)&gt;100,"High Freight","Low Freight"),"Not Specified")</f>
        <v>Low Freight</v>
      </c>
      <c r="T63">
        <f t="shared" si="1"/>
        <v>48</v>
      </c>
    </row>
    <row r="64" spans="1:20">
      <c r="A64" s="9">
        <v>10272</v>
      </c>
      <c r="B64" s="6">
        <v>20</v>
      </c>
      <c r="C64" s="6">
        <v>64.8</v>
      </c>
      <c r="D64" s="6">
        <v>6</v>
      </c>
      <c r="E64" s="18">
        <v>0</v>
      </c>
      <c r="F64" s="6" t="str">
        <f>IFERROR(VLOOKUP(VLOOKUP(A64,'Sales Order'!A:B,2,FALSE),Customer!A:C,3,FALSE),"Not Specified")</f>
        <v>Moore, Michael</v>
      </c>
      <c r="G64" s="6" t="str">
        <f t="shared" si="0"/>
        <v>Moore Michael</v>
      </c>
      <c r="H64" s="22" t="str">
        <f>IFERROR(VLOOKUP(VLOOKUP(A64,'Sales Order'!A:C,3,FALSE),Employee!A:E,5,FALSE)&amp;" "&amp;VLOOKUP(VLOOKUP(A64,'Sales Order'!A:C,3,FALSE),Employee!A:C,3,FALSE)&amp;" "&amp;VLOOKUP(VLOOKUP(A64,'Sales Order'!A:C,3,FALSE),Employee!A:B,2,FALSE),"Not Specified")</f>
        <v>Mr. Paul Suurs</v>
      </c>
      <c r="I64">
        <f>IFERROR(VLOOKUP(VLOOKUP(A64,'Sales Order'!A:C,3,FALSE),Employee!A:J,10,FALSE),"Not Specified")</f>
        <v>0</v>
      </c>
      <c r="J64" t="str">
        <f>VLOOKUP(B64,Product!A:B,2,FALSE)</f>
        <v>Product QHFFP</v>
      </c>
      <c r="K64" t="str">
        <f>VLOOKUP(VLOOKUP(B64,Product!A:D,4,FALSE),Category!A:B,2,FALSE)</f>
        <v>Confections</v>
      </c>
      <c r="L64" s="24">
        <f>IFERROR(VLOOKUP(A64,'Sales Order'!A:D,4,FALSE),"")</f>
        <v>38931</v>
      </c>
      <c r="M64" s="24">
        <f>IFERROR(VLOOKUP(A64,'Sales Order'!A:F,6,FALSE),"")</f>
        <v>38935</v>
      </c>
      <c r="N64" t="str">
        <f>IFERROR(VLOOKUP(VLOOKUP(A64,'Sales Order'!A:G,7,FALSE),Shipper!A:B,2,FALSE),"Not Specified")</f>
        <v>Shipper ETYNR</v>
      </c>
      <c r="O64" t="str">
        <f>IFERROR(VLOOKUP(A64,'Sales Order'!A:I,9,FALSE),"Not Specified")</f>
        <v>Ship to 65-A</v>
      </c>
      <c r="P64" t="str">
        <f>IFERROR(VLOOKUP(A64,'Sales Order'!A:N,14,FALSE),"Not Specified")</f>
        <v>USA</v>
      </c>
      <c r="Q64" t="str">
        <f>VLOOKUP(VLOOKUP(B64,Product!A:C,3,FALSE),Supplier!A:B,2,FALSE)</f>
        <v>Supplier BWGYE</v>
      </c>
      <c r="R64" t="str">
        <f>VLOOKUP(VLOOKUP(B64,Product!A:C,3,FALSE),Supplier!A:I,9,FALSE)</f>
        <v>UK</v>
      </c>
      <c r="S64" t="str">
        <f>IFERROR(IF(VLOOKUP(A64,'Sales Order'!A:H,8,FALSE)&gt;100,"High Freight","Low Freight"),"Not Specified")</f>
        <v>Low Freight</v>
      </c>
      <c r="T64">
        <f t="shared" si="1"/>
        <v>388.79999999999995</v>
      </c>
    </row>
    <row r="65" spans="1:20">
      <c r="A65" s="9">
        <v>10272</v>
      </c>
      <c r="B65" s="6">
        <v>31</v>
      </c>
      <c r="C65" s="6">
        <v>10</v>
      </c>
      <c r="D65" s="6">
        <v>40</v>
      </c>
      <c r="E65" s="18">
        <v>0</v>
      </c>
      <c r="F65" s="6" t="str">
        <f>IFERROR(VLOOKUP(VLOOKUP(A65,'Sales Order'!A:B,2,FALSE),Customer!A:C,3,FALSE),"Not Specified")</f>
        <v>Moore, Michael</v>
      </c>
      <c r="G65" s="6" t="str">
        <f t="shared" si="0"/>
        <v>Moore Michael</v>
      </c>
      <c r="H65" s="22" t="str">
        <f>IFERROR(VLOOKUP(VLOOKUP(A65,'Sales Order'!A:C,3,FALSE),Employee!A:E,5,FALSE)&amp;" "&amp;VLOOKUP(VLOOKUP(A65,'Sales Order'!A:C,3,FALSE),Employee!A:C,3,FALSE)&amp;" "&amp;VLOOKUP(VLOOKUP(A65,'Sales Order'!A:C,3,FALSE),Employee!A:B,2,FALSE),"Not Specified")</f>
        <v>Mr. Paul Suurs</v>
      </c>
      <c r="I65">
        <f>IFERROR(VLOOKUP(VLOOKUP(A65,'Sales Order'!A:C,3,FALSE),Employee!A:J,10,FALSE),"Not Specified")</f>
        <v>0</v>
      </c>
      <c r="J65" t="str">
        <f>VLOOKUP(B65,Product!A:B,2,FALSE)</f>
        <v>Product XWOXC</v>
      </c>
      <c r="K65" t="str">
        <f>VLOOKUP(VLOOKUP(B65,Product!A:D,4,FALSE),Category!A:B,2,FALSE)</f>
        <v>Dairy Product</v>
      </c>
      <c r="L65" s="24">
        <f>IFERROR(VLOOKUP(A65,'Sales Order'!A:D,4,FALSE),"")</f>
        <v>38931</v>
      </c>
      <c r="M65" s="24">
        <f>IFERROR(VLOOKUP(A65,'Sales Order'!A:F,6,FALSE),"")</f>
        <v>38935</v>
      </c>
      <c r="N65" t="str">
        <f>IFERROR(VLOOKUP(VLOOKUP(A65,'Sales Order'!A:G,7,FALSE),Shipper!A:B,2,FALSE),"Not Specified")</f>
        <v>Shipper ETYNR</v>
      </c>
      <c r="O65" t="str">
        <f>IFERROR(VLOOKUP(A65,'Sales Order'!A:I,9,FALSE),"Not Specified")</f>
        <v>Ship to 65-A</v>
      </c>
      <c r="P65" t="str">
        <f>IFERROR(VLOOKUP(A65,'Sales Order'!A:N,14,FALSE),"Not Specified")</f>
        <v>USA</v>
      </c>
      <c r="Q65" t="str">
        <f>VLOOKUP(VLOOKUP(B65,Product!A:C,3,FALSE),Supplier!A:B,2,FALSE)</f>
        <v>Supplier KEREV</v>
      </c>
      <c r="R65" t="str">
        <f>VLOOKUP(VLOOKUP(B65,Product!A:C,3,FALSE),Supplier!A:I,9,FALSE)</f>
        <v>Italy</v>
      </c>
      <c r="S65" t="str">
        <f>IFERROR(IF(VLOOKUP(A65,'Sales Order'!A:H,8,FALSE)&gt;100,"High Freight","Low Freight"),"Not Specified")</f>
        <v>Low Freight</v>
      </c>
      <c r="T65">
        <f t="shared" si="1"/>
        <v>400</v>
      </c>
    </row>
    <row r="66" spans="1:20">
      <c r="A66" s="9">
        <v>10272</v>
      </c>
      <c r="B66" s="6">
        <v>72</v>
      </c>
      <c r="C66" s="6">
        <v>27.8</v>
      </c>
      <c r="D66" s="6">
        <v>24</v>
      </c>
      <c r="E66" s="18">
        <v>0</v>
      </c>
      <c r="F66" s="6" t="str">
        <f>IFERROR(VLOOKUP(VLOOKUP(A66,'Sales Order'!A:B,2,FALSE),Customer!A:C,3,FALSE),"Not Specified")</f>
        <v>Moore, Michael</v>
      </c>
      <c r="G66" s="6" t="str">
        <f t="shared" si="0"/>
        <v>Moore Michael</v>
      </c>
      <c r="H66" s="22" t="str">
        <f>IFERROR(VLOOKUP(VLOOKUP(A66,'Sales Order'!A:C,3,FALSE),Employee!A:E,5,FALSE)&amp;" "&amp;VLOOKUP(VLOOKUP(A66,'Sales Order'!A:C,3,FALSE),Employee!A:C,3,FALSE)&amp;" "&amp;VLOOKUP(VLOOKUP(A66,'Sales Order'!A:C,3,FALSE),Employee!A:B,2,FALSE),"Not Specified")</f>
        <v>Mr. Paul Suurs</v>
      </c>
      <c r="I66">
        <f>IFERROR(VLOOKUP(VLOOKUP(A66,'Sales Order'!A:C,3,FALSE),Employee!A:J,10,FALSE),"Not Specified")</f>
        <v>0</v>
      </c>
      <c r="J66" t="str">
        <f>VLOOKUP(B66,Product!A:B,2,FALSE)</f>
        <v>Product GEEOO</v>
      </c>
      <c r="K66" t="str">
        <f>VLOOKUP(VLOOKUP(B66,Product!A:D,4,FALSE),Category!A:B,2,FALSE)</f>
        <v>Dairy Product</v>
      </c>
      <c r="L66" s="24">
        <f>IFERROR(VLOOKUP(A66,'Sales Order'!A:D,4,FALSE),"")</f>
        <v>38931</v>
      </c>
      <c r="M66" s="24">
        <f>IFERROR(VLOOKUP(A66,'Sales Order'!A:F,6,FALSE),"")</f>
        <v>38935</v>
      </c>
      <c r="N66" t="str">
        <f>IFERROR(VLOOKUP(VLOOKUP(A66,'Sales Order'!A:G,7,FALSE),Shipper!A:B,2,FALSE),"Not Specified")</f>
        <v>Shipper ETYNR</v>
      </c>
      <c r="O66" t="str">
        <f>IFERROR(VLOOKUP(A66,'Sales Order'!A:I,9,FALSE),"Not Specified")</f>
        <v>Ship to 65-A</v>
      </c>
      <c r="P66" t="str">
        <f>IFERROR(VLOOKUP(A66,'Sales Order'!A:N,14,FALSE),"Not Specified")</f>
        <v>USA</v>
      </c>
      <c r="Q66" t="str">
        <f>VLOOKUP(VLOOKUP(B66,Product!A:C,3,FALSE),Supplier!A:B,2,FALSE)</f>
        <v>Supplier KEREV</v>
      </c>
      <c r="R66" t="str">
        <f>VLOOKUP(VLOOKUP(B66,Product!A:C,3,FALSE),Supplier!A:I,9,FALSE)</f>
        <v>Italy</v>
      </c>
      <c r="S66" t="str">
        <f>IFERROR(IF(VLOOKUP(A66,'Sales Order'!A:H,8,FALSE)&gt;100,"High Freight","Low Freight"),"Not Specified")</f>
        <v>Low Freight</v>
      </c>
      <c r="T66">
        <f t="shared" si="1"/>
        <v>667.2</v>
      </c>
    </row>
    <row r="67" spans="1:20">
      <c r="A67" s="9">
        <v>10273</v>
      </c>
      <c r="B67" s="6">
        <v>10</v>
      </c>
      <c r="C67" s="6">
        <v>24.8</v>
      </c>
      <c r="D67" s="6">
        <v>24</v>
      </c>
      <c r="E67" s="18">
        <v>0.05</v>
      </c>
      <c r="F67" s="6" t="str">
        <f>IFERROR(VLOOKUP(VLOOKUP(A67,'Sales Order'!A:B,2,FALSE),Customer!A:C,3,FALSE),"Not Specified")</f>
        <v>Veronesi, Giorgio</v>
      </c>
      <c r="G67" s="6" t="str">
        <f t="shared" ref="G67:G130" si="2">SUBSTITUTE(F67,",","",1)</f>
        <v>Veronesi Giorgio</v>
      </c>
      <c r="H67" s="22" t="str">
        <f>IFERROR(VLOOKUP(VLOOKUP(A67,'Sales Order'!A:C,3,FALSE),Employee!A:E,5,FALSE)&amp;" "&amp;VLOOKUP(VLOOKUP(A67,'Sales Order'!A:C,3,FALSE),Employee!A:C,3,FALSE)&amp;" "&amp;VLOOKUP(VLOOKUP(A67,'Sales Order'!A:C,3,FALSE),Employee!A:B,2,FALSE),"Not Specified")</f>
        <v>Ms. Judy Lew</v>
      </c>
      <c r="I67" t="str">
        <f>IFERROR(VLOOKUP(VLOOKUP(A67,'Sales Order'!A:C,3,FALSE),Employee!A:J,10,FALSE),"Not Specified")</f>
        <v>WA</v>
      </c>
      <c r="J67" t="str">
        <f>VLOOKUP(B67,Product!A:B,2,FALSE)</f>
        <v>Product YHXGE</v>
      </c>
      <c r="K67" t="str">
        <f>VLOOKUP(VLOOKUP(B67,Product!A:D,4,FALSE),Category!A:B,2,FALSE)</f>
        <v>Seafood</v>
      </c>
      <c r="L67" s="24">
        <f>IFERROR(VLOOKUP(A67,'Sales Order'!A:D,4,FALSE),"")</f>
        <v>38934</v>
      </c>
      <c r="M67" s="24">
        <f>IFERROR(VLOOKUP(A67,'Sales Order'!A:F,6,FALSE),"")</f>
        <v>38941</v>
      </c>
      <c r="N67" t="str">
        <f>IFERROR(VLOOKUP(VLOOKUP(A67,'Sales Order'!A:G,7,FALSE),Shipper!A:B,2,FALSE),"Not Specified")</f>
        <v>Shipper ZHISN</v>
      </c>
      <c r="O67" t="str">
        <f>IFERROR(VLOOKUP(A67,'Sales Order'!A:I,9,FALSE),"Not Specified")</f>
        <v>Ship to 63-A</v>
      </c>
      <c r="P67" t="str">
        <f>IFERROR(VLOOKUP(A67,'Sales Order'!A:N,14,FALSE),"Not Specified")</f>
        <v>Germany</v>
      </c>
      <c r="Q67" t="str">
        <f>VLOOKUP(VLOOKUP(B67,Product!A:C,3,FALSE),Supplier!A:B,2,FALSE)</f>
        <v>Supplier QOVFD</v>
      </c>
      <c r="R67" t="str">
        <f>VLOOKUP(VLOOKUP(B67,Product!A:C,3,FALSE),Supplier!A:I,9,FALSE)</f>
        <v>Japan</v>
      </c>
      <c r="S67" t="str">
        <f>IFERROR(IF(VLOOKUP(A67,'Sales Order'!A:H,8,FALSE)&gt;100,"High Freight","Low Freight"),"Not Specified")</f>
        <v>Low Freight</v>
      </c>
      <c r="T67">
        <f t="shared" ref="T67:T130" si="3">C67*D67*(1-E67)</f>
        <v>565.44000000000005</v>
      </c>
    </row>
    <row r="68" spans="1:20">
      <c r="A68" s="9">
        <v>10273</v>
      </c>
      <c r="B68" s="6">
        <v>31</v>
      </c>
      <c r="C68" s="6">
        <v>10</v>
      </c>
      <c r="D68" s="6">
        <v>15</v>
      </c>
      <c r="E68" s="18">
        <v>0.05</v>
      </c>
      <c r="F68" s="6" t="str">
        <f>IFERROR(VLOOKUP(VLOOKUP(A68,'Sales Order'!A:B,2,FALSE),Customer!A:C,3,FALSE),"Not Specified")</f>
        <v>Veronesi, Giorgio</v>
      </c>
      <c r="G68" s="6" t="str">
        <f t="shared" si="2"/>
        <v>Veronesi Giorgio</v>
      </c>
      <c r="H68" s="22" t="str">
        <f>IFERROR(VLOOKUP(VLOOKUP(A68,'Sales Order'!A:C,3,FALSE),Employee!A:E,5,FALSE)&amp;" "&amp;VLOOKUP(VLOOKUP(A68,'Sales Order'!A:C,3,FALSE),Employee!A:C,3,FALSE)&amp;" "&amp;VLOOKUP(VLOOKUP(A68,'Sales Order'!A:C,3,FALSE),Employee!A:B,2,FALSE),"Not Specified")</f>
        <v>Ms. Judy Lew</v>
      </c>
      <c r="I68" t="str">
        <f>IFERROR(VLOOKUP(VLOOKUP(A68,'Sales Order'!A:C,3,FALSE),Employee!A:J,10,FALSE),"Not Specified")</f>
        <v>WA</v>
      </c>
      <c r="J68" t="str">
        <f>VLOOKUP(B68,Product!A:B,2,FALSE)</f>
        <v>Product XWOXC</v>
      </c>
      <c r="K68" t="str">
        <f>VLOOKUP(VLOOKUP(B68,Product!A:D,4,FALSE),Category!A:B,2,FALSE)</f>
        <v>Dairy Product</v>
      </c>
      <c r="L68" s="24">
        <f>IFERROR(VLOOKUP(A68,'Sales Order'!A:D,4,FALSE),"")</f>
        <v>38934</v>
      </c>
      <c r="M68" s="24">
        <f>IFERROR(VLOOKUP(A68,'Sales Order'!A:F,6,FALSE),"")</f>
        <v>38941</v>
      </c>
      <c r="N68" t="str">
        <f>IFERROR(VLOOKUP(VLOOKUP(A68,'Sales Order'!A:G,7,FALSE),Shipper!A:B,2,FALSE),"Not Specified")</f>
        <v>Shipper ZHISN</v>
      </c>
      <c r="O68" t="str">
        <f>IFERROR(VLOOKUP(A68,'Sales Order'!A:I,9,FALSE),"Not Specified")</f>
        <v>Ship to 63-A</v>
      </c>
      <c r="P68" t="str">
        <f>IFERROR(VLOOKUP(A68,'Sales Order'!A:N,14,FALSE),"Not Specified")</f>
        <v>Germany</v>
      </c>
      <c r="Q68" t="str">
        <f>VLOOKUP(VLOOKUP(B68,Product!A:C,3,FALSE),Supplier!A:B,2,FALSE)</f>
        <v>Supplier KEREV</v>
      </c>
      <c r="R68" t="str">
        <f>VLOOKUP(VLOOKUP(B68,Product!A:C,3,FALSE),Supplier!A:I,9,FALSE)</f>
        <v>Italy</v>
      </c>
      <c r="S68" t="str">
        <f>IFERROR(IF(VLOOKUP(A68,'Sales Order'!A:H,8,FALSE)&gt;100,"High Freight","Low Freight"),"Not Specified")</f>
        <v>Low Freight</v>
      </c>
      <c r="T68">
        <f t="shared" si="3"/>
        <v>142.5</v>
      </c>
    </row>
    <row r="69" spans="1:20">
      <c r="A69" s="9">
        <v>10273</v>
      </c>
      <c r="B69" s="6">
        <v>33</v>
      </c>
      <c r="C69" s="6">
        <v>2</v>
      </c>
      <c r="D69" s="6">
        <v>20</v>
      </c>
      <c r="E69" s="18">
        <v>0</v>
      </c>
      <c r="F69" s="6" t="str">
        <f>IFERROR(VLOOKUP(VLOOKUP(A69,'Sales Order'!A:B,2,FALSE),Customer!A:C,3,FALSE),"Not Specified")</f>
        <v>Veronesi, Giorgio</v>
      </c>
      <c r="G69" s="6" t="str">
        <f t="shared" si="2"/>
        <v>Veronesi Giorgio</v>
      </c>
      <c r="H69" s="22" t="str">
        <f>IFERROR(VLOOKUP(VLOOKUP(A69,'Sales Order'!A:C,3,FALSE),Employee!A:E,5,FALSE)&amp;" "&amp;VLOOKUP(VLOOKUP(A69,'Sales Order'!A:C,3,FALSE),Employee!A:C,3,FALSE)&amp;" "&amp;VLOOKUP(VLOOKUP(A69,'Sales Order'!A:C,3,FALSE),Employee!A:B,2,FALSE),"Not Specified")</f>
        <v>Ms. Judy Lew</v>
      </c>
      <c r="I69" t="str">
        <f>IFERROR(VLOOKUP(VLOOKUP(A69,'Sales Order'!A:C,3,FALSE),Employee!A:J,10,FALSE),"Not Specified")</f>
        <v>WA</v>
      </c>
      <c r="J69" t="str">
        <f>VLOOKUP(B69,Product!A:B,2,FALSE)</f>
        <v>Product ASTMN</v>
      </c>
      <c r="K69" t="str">
        <f>VLOOKUP(VLOOKUP(B69,Product!A:D,4,FALSE),Category!A:B,2,FALSE)</f>
        <v>Dairy Product</v>
      </c>
      <c r="L69" s="24">
        <f>IFERROR(VLOOKUP(A69,'Sales Order'!A:D,4,FALSE),"")</f>
        <v>38934</v>
      </c>
      <c r="M69" s="24">
        <f>IFERROR(VLOOKUP(A69,'Sales Order'!A:F,6,FALSE),"")</f>
        <v>38941</v>
      </c>
      <c r="N69" t="str">
        <f>IFERROR(VLOOKUP(VLOOKUP(A69,'Sales Order'!A:G,7,FALSE),Shipper!A:B,2,FALSE),"Not Specified")</f>
        <v>Shipper ZHISN</v>
      </c>
      <c r="O69" t="str">
        <f>IFERROR(VLOOKUP(A69,'Sales Order'!A:I,9,FALSE),"Not Specified")</f>
        <v>Ship to 63-A</v>
      </c>
      <c r="P69" t="str">
        <f>IFERROR(VLOOKUP(A69,'Sales Order'!A:N,14,FALSE),"Not Specified")</f>
        <v>Germany</v>
      </c>
      <c r="Q69" t="str">
        <f>VLOOKUP(VLOOKUP(B69,Product!A:C,3,FALSE),Supplier!A:B,2,FALSE)</f>
        <v>Supplier NZLIF</v>
      </c>
      <c r="R69" t="str">
        <f>VLOOKUP(VLOOKUP(B69,Product!A:C,3,FALSE),Supplier!A:I,9,FALSE)</f>
        <v>Norway</v>
      </c>
      <c r="S69" t="str">
        <f>IFERROR(IF(VLOOKUP(A69,'Sales Order'!A:H,8,FALSE)&gt;100,"High Freight","Low Freight"),"Not Specified")</f>
        <v>Low Freight</v>
      </c>
      <c r="T69">
        <f t="shared" si="3"/>
        <v>40</v>
      </c>
    </row>
    <row r="70" spans="1:20">
      <c r="A70" s="9">
        <v>10273</v>
      </c>
      <c r="B70" s="6">
        <v>40</v>
      </c>
      <c r="C70" s="6">
        <v>14.7</v>
      </c>
      <c r="D70" s="6">
        <v>60</v>
      </c>
      <c r="E70" s="18">
        <v>0.05</v>
      </c>
      <c r="F70" s="6" t="str">
        <f>IFERROR(VLOOKUP(VLOOKUP(A70,'Sales Order'!A:B,2,FALSE),Customer!A:C,3,FALSE),"Not Specified")</f>
        <v>Veronesi, Giorgio</v>
      </c>
      <c r="G70" s="6" t="str">
        <f t="shared" si="2"/>
        <v>Veronesi Giorgio</v>
      </c>
      <c r="H70" s="22" t="str">
        <f>IFERROR(VLOOKUP(VLOOKUP(A70,'Sales Order'!A:C,3,FALSE),Employee!A:E,5,FALSE)&amp;" "&amp;VLOOKUP(VLOOKUP(A70,'Sales Order'!A:C,3,FALSE),Employee!A:C,3,FALSE)&amp;" "&amp;VLOOKUP(VLOOKUP(A70,'Sales Order'!A:C,3,FALSE),Employee!A:B,2,FALSE),"Not Specified")</f>
        <v>Ms. Judy Lew</v>
      </c>
      <c r="I70" t="str">
        <f>IFERROR(VLOOKUP(VLOOKUP(A70,'Sales Order'!A:C,3,FALSE),Employee!A:J,10,FALSE),"Not Specified")</f>
        <v>WA</v>
      </c>
      <c r="J70" t="str">
        <f>VLOOKUP(B70,Product!A:B,2,FALSE)</f>
        <v>Product YZIXQ</v>
      </c>
      <c r="K70" t="str">
        <f>VLOOKUP(VLOOKUP(B70,Product!A:D,4,FALSE),Category!A:B,2,FALSE)</f>
        <v>Seafood</v>
      </c>
      <c r="L70" s="24">
        <f>IFERROR(VLOOKUP(A70,'Sales Order'!A:D,4,FALSE),"")</f>
        <v>38934</v>
      </c>
      <c r="M70" s="24">
        <f>IFERROR(VLOOKUP(A70,'Sales Order'!A:F,6,FALSE),"")</f>
        <v>38941</v>
      </c>
      <c r="N70" t="str">
        <f>IFERROR(VLOOKUP(VLOOKUP(A70,'Sales Order'!A:G,7,FALSE),Shipper!A:B,2,FALSE),"Not Specified")</f>
        <v>Shipper ZHISN</v>
      </c>
      <c r="O70" t="str">
        <f>IFERROR(VLOOKUP(A70,'Sales Order'!A:I,9,FALSE),"Not Specified")</f>
        <v>Ship to 63-A</v>
      </c>
      <c r="P70" t="str">
        <f>IFERROR(VLOOKUP(A70,'Sales Order'!A:N,14,FALSE),"Not Specified")</f>
        <v>Germany</v>
      </c>
      <c r="Q70" t="str">
        <f>VLOOKUP(VLOOKUP(B70,Product!A:C,3,FALSE),Supplier!A:B,2,FALSE)</f>
        <v>Supplier JDNUG</v>
      </c>
      <c r="R70" t="str">
        <f>VLOOKUP(VLOOKUP(B70,Product!A:C,3,FALSE),Supplier!A:I,9,FALSE)</f>
        <v>USA</v>
      </c>
      <c r="S70" t="str">
        <f>IFERROR(IF(VLOOKUP(A70,'Sales Order'!A:H,8,FALSE)&gt;100,"High Freight","Low Freight"),"Not Specified")</f>
        <v>Low Freight</v>
      </c>
      <c r="T70">
        <f t="shared" si="3"/>
        <v>837.9</v>
      </c>
    </row>
    <row r="71" spans="1:20">
      <c r="A71" s="9">
        <v>10273</v>
      </c>
      <c r="B71" s="6">
        <v>76</v>
      </c>
      <c r="C71" s="6">
        <v>14.4</v>
      </c>
      <c r="D71" s="6">
        <v>33</v>
      </c>
      <c r="E71" s="18">
        <v>0.05</v>
      </c>
      <c r="F71" s="6" t="str">
        <f>IFERROR(VLOOKUP(VLOOKUP(A71,'Sales Order'!A:B,2,FALSE),Customer!A:C,3,FALSE),"Not Specified")</f>
        <v>Veronesi, Giorgio</v>
      </c>
      <c r="G71" s="6" t="str">
        <f t="shared" si="2"/>
        <v>Veronesi Giorgio</v>
      </c>
      <c r="H71" s="22" t="str">
        <f>IFERROR(VLOOKUP(VLOOKUP(A71,'Sales Order'!A:C,3,FALSE),Employee!A:E,5,FALSE)&amp;" "&amp;VLOOKUP(VLOOKUP(A71,'Sales Order'!A:C,3,FALSE),Employee!A:C,3,FALSE)&amp;" "&amp;VLOOKUP(VLOOKUP(A71,'Sales Order'!A:C,3,FALSE),Employee!A:B,2,FALSE),"Not Specified")</f>
        <v>Ms. Judy Lew</v>
      </c>
      <c r="I71" t="str">
        <f>IFERROR(VLOOKUP(VLOOKUP(A71,'Sales Order'!A:C,3,FALSE),Employee!A:J,10,FALSE),"Not Specified")</f>
        <v>WA</v>
      </c>
      <c r="J71" t="str">
        <f>VLOOKUP(B71,Product!A:B,2,FALSE)</f>
        <v>Product JYGFE</v>
      </c>
      <c r="K71" t="str">
        <f>VLOOKUP(VLOOKUP(B71,Product!A:D,4,FALSE),Category!A:B,2,FALSE)</f>
        <v>Beverages</v>
      </c>
      <c r="L71" s="24">
        <f>IFERROR(VLOOKUP(A71,'Sales Order'!A:D,4,FALSE),"")</f>
        <v>38934</v>
      </c>
      <c r="M71" s="24">
        <f>IFERROR(VLOOKUP(A71,'Sales Order'!A:F,6,FALSE),"")</f>
        <v>38941</v>
      </c>
      <c r="N71" t="str">
        <f>IFERROR(VLOOKUP(VLOOKUP(A71,'Sales Order'!A:G,7,FALSE),Shipper!A:B,2,FALSE),"Not Specified")</f>
        <v>Shipper ZHISN</v>
      </c>
      <c r="O71" t="str">
        <f>IFERROR(VLOOKUP(A71,'Sales Order'!A:I,9,FALSE),"Not Specified")</f>
        <v>Ship to 63-A</v>
      </c>
      <c r="P71" t="str">
        <f>IFERROR(VLOOKUP(A71,'Sales Order'!A:N,14,FALSE),"Not Specified")</f>
        <v>Germany</v>
      </c>
      <c r="Q71" t="str">
        <f>VLOOKUP(VLOOKUP(B71,Product!A:C,3,FALSE),Supplier!A:B,2,FALSE)</f>
        <v>Supplier ELCRN</v>
      </c>
      <c r="R71" t="str">
        <f>VLOOKUP(VLOOKUP(B71,Product!A:C,3,FALSE),Supplier!A:I,9,FALSE)</f>
        <v>Finland</v>
      </c>
      <c r="S71" t="str">
        <f>IFERROR(IF(VLOOKUP(A71,'Sales Order'!A:H,8,FALSE)&gt;100,"High Freight","Low Freight"),"Not Specified")</f>
        <v>Low Freight</v>
      </c>
      <c r="T71">
        <f t="shared" si="3"/>
        <v>451.43999999999994</v>
      </c>
    </row>
    <row r="72" spans="1:20">
      <c r="A72" s="9">
        <v>10274</v>
      </c>
      <c r="B72" s="6">
        <v>71</v>
      </c>
      <c r="C72" s="6">
        <v>17.2</v>
      </c>
      <c r="D72" s="6">
        <v>20</v>
      </c>
      <c r="E72" s="18">
        <v>0</v>
      </c>
      <c r="F72" s="6" t="str">
        <f>IFERROR(VLOOKUP(VLOOKUP(A72,'Sales Order'!A:B,2,FALSE),Customer!A:C,3,FALSE),"Not Specified")</f>
        <v>McLin, Nkenge</v>
      </c>
      <c r="G72" s="6" t="str">
        <f t="shared" si="2"/>
        <v>McLin Nkenge</v>
      </c>
      <c r="H72" s="22" t="str">
        <f>IFERROR(VLOOKUP(VLOOKUP(A72,'Sales Order'!A:C,3,FALSE),Employee!A:E,5,FALSE)&amp;" "&amp;VLOOKUP(VLOOKUP(A72,'Sales Order'!A:C,3,FALSE),Employee!A:C,3,FALSE)&amp;" "&amp;VLOOKUP(VLOOKUP(A72,'Sales Order'!A:C,3,FALSE),Employee!A:B,2,FALSE),"Not Specified")</f>
        <v>Mr. Paul Suurs</v>
      </c>
      <c r="I72">
        <f>IFERROR(VLOOKUP(VLOOKUP(A72,'Sales Order'!A:C,3,FALSE),Employee!A:J,10,FALSE),"Not Specified")</f>
        <v>0</v>
      </c>
      <c r="J72" t="str">
        <f>VLOOKUP(B72,Product!A:B,2,FALSE)</f>
        <v>Product MYMOI</v>
      </c>
      <c r="K72" t="str">
        <f>VLOOKUP(VLOOKUP(B72,Product!A:D,4,FALSE),Category!A:B,2,FALSE)</f>
        <v>Dairy Product</v>
      </c>
      <c r="L72" s="24">
        <f>IFERROR(VLOOKUP(A72,'Sales Order'!A:D,4,FALSE),"")</f>
        <v>38935</v>
      </c>
      <c r="M72" s="24">
        <f>IFERROR(VLOOKUP(A72,'Sales Order'!A:F,6,FALSE),"")</f>
        <v>38945</v>
      </c>
      <c r="N72" t="str">
        <f>IFERROR(VLOOKUP(VLOOKUP(A72,'Sales Order'!A:G,7,FALSE),Shipper!A:B,2,FALSE),"Not Specified")</f>
        <v>Shipper GVSUA</v>
      </c>
      <c r="O72" t="str">
        <f>IFERROR(VLOOKUP(A72,'Sales Order'!A:I,9,FALSE),"Not Specified")</f>
        <v>Ship to 85-B</v>
      </c>
      <c r="P72" t="str">
        <f>IFERROR(VLOOKUP(A72,'Sales Order'!A:N,14,FALSE),"Not Specified")</f>
        <v>France</v>
      </c>
      <c r="Q72" t="str">
        <f>VLOOKUP(VLOOKUP(B72,Product!A:C,3,FALSE),Supplier!A:B,2,FALSE)</f>
        <v>Supplier NZLIF</v>
      </c>
      <c r="R72" t="str">
        <f>VLOOKUP(VLOOKUP(B72,Product!A:C,3,FALSE),Supplier!A:I,9,FALSE)</f>
        <v>Norway</v>
      </c>
      <c r="S72" t="str">
        <f>IFERROR(IF(VLOOKUP(A72,'Sales Order'!A:H,8,FALSE)&gt;100,"High Freight","Low Freight"),"Not Specified")</f>
        <v>Low Freight</v>
      </c>
      <c r="T72">
        <f t="shared" si="3"/>
        <v>344</v>
      </c>
    </row>
    <row r="73" spans="1:20">
      <c r="A73" s="9">
        <v>10274</v>
      </c>
      <c r="B73" s="6">
        <v>72</v>
      </c>
      <c r="C73" s="6">
        <v>27.8</v>
      </c>
      <c r="D73" s="6">
        <v>7</v>
      </c>
      <c r="E73" s="18">
        <v>0</v>
      </c>
      <c r="F73" s="6" t="str">
        <f>IFERROR(VLOOKUP(VLOOKUP(A73,'Sales Order'!A:B,2,FALSE),Customer!A:C,3,FALSE),"Not Specified")</f>
        <v>McLin, Nkenge</v>
      </c>
      <c r="G73" s="6" t="str">
        <f t="shared" si="2"/>
        <v>McLin Nkenge</v>
      </c>
      <c r="H73" s="22" t="str">
        <f>IFERROR(VLOOKUP(VLOOKUP(A73,'Sales Order'!A:C,3,FALSE),Employee!A:E,5,FALSE)&amp;" "&amp;VLOOKUP(VLOOKUP(A73,'Sales Order'!A:C,3,FALSE),Employee!A:C,3,FALSE)&amp;" "&amp;VLOOKUP(VLOOKUP(A73,'Sales Order'!A:C,3,FALSE),Employee!A:B,2,FALSE),"Not Specified")</f>
        <v>Mr. Paul Suurs</v>
      </c>
      <c r="I73">
        <f>IFERROR(VLOOKUP(VLOOKUP(A73,'Sales Order'!A:C,3,FALSE),Employee!A:J,10,FALSE),"Not Specified")</f>
        <v>0</v>
      </c>
      <c r="J73" t="str">
        <f>VLOOKUP(B73,Product!A:B,2,FALSE)</f>
        <v>Product GEEOO</v>
      </c>
      <c r="K73" t="str">
        <f>VLOOKUP(VLOOKUP(B73,Product!A:D,4,FALSE),Category!A:B,2,FALSE)</f>
        <v>Dairy Product</v>
      </c>
      <c r="L73" s="24">
        <f>IFERROR(VLOOKUP(A73,'Sales Order'!A:D,4,FALSE),"")</f>
        <v>38935</v>
      </c>
      <c r="M73" s="24">
        <f>IFERROR(VLOOKUP(A73,'Sales Order'!A:F,6,FALSE),"")</f>
        <v>38945</v>
      </c>
      <c r="N73" t="str">
        <f>IFERROR(VLOOKUP(VLOOKUP(A73,'Sales Order'!A:G,7,FALSE),Shipper!A:B,2,FALSE),"Not Specified")</f>
        <v>Shipper GVSUA</v>
      </c>
      <c r="O73" t="str">
        <f>IFERROR(VLOOKUP(A73,'Sales Order'!A:I,9,FALSE),"Not Specified")</f>
        <v>Ship to 85-B</v>
      </c>
      <c r="P73" t="str">
        <f>IFERROR(VLOOKUP(A73,'Sales Order'!A:N,14,FALSE),"Not Specified")</f>
        <v>France</v>
      </c>
      <c r="Q73" t="str">
        <f>VLOOKUP(VLOOKUP(B73,Product!A:C,3,FALSE),Supplier!A:B,2,FALSE)</f>
        <v>Supplier KEREV</v>
      </c>
      <c r="R73" t="str">
        <f>VLOOKUP(VLOOKUP(B73,Product!A:C,3,FALSE),Supplier!A:I,9,FALSE)</f>
        <v>Italy</v>
      </c>
      <c r="S73" t="str">
        <f>IFERROR(IF(VLOOKUP(A73,'Sales Order'!A:H,8,FALSE)&gt;100,"High Freight","Low Freight"),"Not Specified")</f>
        <v>Low Freight</v>
      </c>
      <c r="T73">
        <f t="shared" si="3"/>
        <v>194.6</v>
      </c>
    </row>
    <row r="74" spans="1:20">
      <c r="A74" s="9">
        <v>10275</v>
      </c>
      <c r="B74" s="6">
        <v>24</v>
      </c>
      <c r="C74" s="6">
        <v>3.6</v>
      </c>
      <c r="D74" s="6">
        <v>12</v>
      </c>
      <c r="E74" s="18">
        <v>0.05</v>
      </c>
      <c r="F74" s="6" t="str">
        <f>IFERROR(VLOOKUP(VLOOKUP(A74,'Sales Order'!A:B,2,FALSE),Customer!A:C,3,FALSE),"Not Specified")</f>
        <v>Duerr, Bernard</v>
      </c>
      <c r="G74" s="6" t="str">
        <f t="shared" si="2"/>
        <v>Duerr Bernard</v>
      </c>
      <c r="H74" s="22" t="str">
        <f>IFERROR(VLOOKUP(VLOOKUP(A74,'Sales Order'!A:C,3,FALSE),Employee!A:E,5,FALSE)&amp;" "&amp;VLOOKUP(VLOOKUP(A74,'Sales Order'!A:C,3,FALSE),Employee!A:C,3,FALSE)&amp;" "&amp;VLOOKUP(VLOOKUP(A74,'Sales Order'!A:C,3,FALSE),Employee!A:B,2,FALSE),"Not Specified")</f>
        <v>Ms. Sara Davis</v>
      </c>
      <c r="I74" t="str">
        <f>IFERROR(VLOOKUP(VLOOKUP(A74,'Sales Order'!A:C,3,FALSE),Employee!A:J,10,FALSE),"Not Specified")</f>
        <v>WA</v>
      </c>
      <c r="J74" t="str">
        <f>VLOOKUP(B74,Product!A:B,2,FALSE)</f>
        <v>Product QOGNU</v>
      </c>
      <c r="K74" t="str">
        <f>VLOOKUP(VLOOKUP(B74,Product!A:D,4,FALSE),Category!A:B,2,FALSE)</f>
        <v>Beverages</v>
      </c>
      <c r="L74" s="24">
        <f>IFERROR(VLOOKUP(A74,'Sales Order'!A:D,4,FALSE),"")</f>
        <v>38936</v>
      </c>
      <c r="M74" s="24">
        <f>IFERROR(VLOOKUP(A74,'Sales Order'!A:F,6,FALSE),"")</f>
        <v>38938</v>
      </c>
      <c r="N74" t="str">
        <f>IFERROR(VLOOKUP(VLOOKUP(A74,'Sales Order'!A:G,7,FALSE),Shipper!A:B,2,FALSE),"Not Specified")</f>
        <v>Shipper GVSUA</v>
      </c>
      <c r="O74" t="str">
        <f>IFERROR(VLOOKUP(A74,'Sales Order'!A:I,9,FALSE),"Not Specified")</f>
        <v>Ship to 49-A</v>
      </c>
      <c r="P74" t="str">
        <f>IFERROR(VLOOKUP(A74,'Sales Order'!A:N,14,FALSE),"Not Specified")</f>
        <v>Italy</v>
      </c>
      <c r="Q74" t="str">
        <f>VLOOKUP(VLOOKUP(B74,Product!A:C,3,FALSE),Supplier!A:B,2,FALSE)</f>
        <v>Supplier UNAHG</v>
      </c>
      <c r="R74" t="str">
        <f>VLOOKUP(VLOOKUP(B74,Product!A:C,3,FALSE),Supplier!A:I,9,FALSE)</f>
        <v>Brazil</v>
      </c>
      <c r="S74" t="str">
        <f>IFERROR(IF(VLOOKUP(A74,'Sales Order'!A:H,8,FALSE)&gt;100,"High Freight","Low Freight"),"Not Specified")</f>
        <v>Low Freight</v>
      </c>
      <c r="T74">
        <f t="shared" si="3"/>
        <v>41.04</v>
      </c>
    </row>
    <row r="75" spans="1:20">
      <c r="A75" s="9">
        <v>10275</v>
      </c>
      <c r="B75" s="6">
        <v>59</v>
      </c>
      <c r="C75" s="6">
        <v>44</v>
      </c>
      <c r="D75" s="6">
        <v>6</v>
      </c>
      <c r="E75" s="18">
        <v>0.05</v>
      </c>
      <c r="F75" s="6" t="str">
        <f>IFERROR(VLOOKUP(VLOOKUP(A75,'Sales Order'!A:B,2,FALSE),Customer!A:C,3,FALSE),"Not Specified")</f>
        <v>Duerr, Bernard</v>
      </c>
      <c r="G75" s="6" t="str">
        <f t="shared" si="2"/>
        <v>Duerr Bernard</v>
      </c>
      <c r="H75" s="22" t="str">
        <f>IFERROR(VLOOKUP(VLOOKUP(A75,'Sales Order'!A:C,3,FALSE),Employee!A:E,5,FALSE)&amp;" "&amp;VLOOKUP(VLOOKUP(A75,'Sales Order'!A:C,3,FALSE),Employee!A:C,3,FALSE)&amp;" "&amp;VLOOKUP(VLOOKUP(A75,'Sales Order'!A:C,3,FALSE),Employee!A:B,2,FALSE),"Not Specified")</f>
        <v>Ms. Sara Davis</v>
      </c>
      <c r="I75" t="str">
        <f>IFERROR(VLOOKUP(VLOOKUP(A75,'Sales Order'!A:C,3,FALSE),Employee!A:J,10,FALSE),"Not Specified")</f>
        <v>WA</v>
      </c>
      <c r="J75" t="str">
        <f>VLOOKUP(B75,Product!A:B,2,FALSE)</f>
        <v>Product UKXRI</v>
      </c>
      <c r="K75" t="str">
        <f>VLOOKUP(VLOOKUP(B75,Product!A:D,4,FALSE),Category!A:B,2,FALSE)</f>
        <v>Dairy Product</v>
      </c>
      <c r="L75" s="24">
        <f>IFERROR(VLOOKUP(A75,'Sales Order'!A:D,4,FALSE),"")</f>
        <v>38936</v>
      </c>
      <c r="M75" s="24">
        <f>IFERROR(VLOOKUP(A75,'Sales Order'!A:F,6,FALSE),"")</f>
        <v>38938</v>
      </c>
      <c r="N75" t="str">
        <f>IFERROR(VLOOKUP(VLOOKUP(A75,'Sales Order'!A:G,7,FALSE),Shipper!A:B,2,FALSE),"Not Specified")</f>
        <v>Shipper GVSUA</v>
      </c>
      <c r="O75" t="str">
        <f>IFERROR(VLOOKUP(A75,'Sales Order'!A:I,9,FALSE),"Not Specified")</f>
        <v>Ship to 49-A</v>
      </c>
      <c r="P75" t="str">
        <f>IFERROR(VLOOKUP(A75,'Sales Order'!A:N,14,FALSE),"Not Specified")</f>
        <v>Italy</v>
      </c>
      <c r="Q75" t="str">
        <f>VLOOKUP(VLOOKUP(B75,Product!A:C,3,FALSE),Supplier!A:B,2,FALSE)</f>
        <v>Supplier OAVQT</v>
      </c>
      <c r="R75" t="str">
        <f>VLOOKUP(VLOOKUP(B75,Product!A:C,3,FALSE),Supplier!A:I,9,FALSE)</f>
        <v>France</v>
      </c>
      <c r="S75" t="str">
        <f>IFERROR(IF(VLOOKUP(A75,'Sales Order'!A:H,8,FALSE)&gt;100,"High Freight","Low Freight"),"Not Specified")</f>
        <v>Low Freight</v>
      </c>
      <c r="T75">
        <f t="shared" si="3"/>
        <v>250.79999999999998</v>
      </c>
    </row>
    <row r="76" spans="1:20">
      <c r="A76" s="9">
        <v>10276</v>
      </c>
      <c r="B76" s="6">
        <v>10</v>
      </c>
      <c r="C76" s="6">
        <v>24.8</v>
      </c>
      <c r="D76" s="6">
        <v>15</v>
      </c>
      <c r="E76" s="18">
        <v>0</v>
      </c>
      <c r="F76" s="6" t="str">
        <f>IFERROR(VLOOKUP(VLOOKUP(A76,'Sales Order'!A:B,2,FALSE),Customer!A:C,3,FALSE),"Not Specified")</f>
        <v>Geschwandtner, Jens</v>
      </c>
      <c r="G76" s="6" t="str">
        <f t="shared" si="2"/>
        <v>Geschwandtner Jens</v>
      </c>
      <c r="H76" s="22" t="str">
        <f>IFERROR(VLOOKUP(VLOOKUP(A76,'Sales Order'!A:C,3,FALSE),Employee!A:E,5,FALSE)&amp;" "&amp;VLOOKUP(VLOOKUP(A76,'Sales Order'!A:C,3,FALSE),Employee!A:C,3,FALSE)&amp;" "&amp;VLOOKUP(VLOOKUP(A76,'Sales Order'!A:C,3,FALSE),Employee!A:B,2,FALSE),"Not Specified")</f>
        <v>Ms. Maria Cameron</v>
      </c>
      <c r="I76" t="str">
        <f>IFERROR(VLOOKUP(VLOOKUP(A76,'Sales Order'!A:C,3,FALSE),Employee!A:J,10,FALSE),"Not Specified")</f>
        <v>WA</v>
      </c>
      <c r="J76" t="str">
        <f>VLOOKUP(B76,Product!A:B,2,FALSE)</f>
        <v>Product YHXGE</v>
      </c>
      <c r="K76" t="str">
        <f>VLOOKUP(VLOOKUP(B76,Product!A:D,4,FALSE),Category!A:B,2,FALSE)</f>
        <v>Seafood</v>
      </c>
      <c r="L76" s="24">
        <f>IFERROR(VLOOKUP(A76,'Sales Order'!A:D,4,FALSE),"")</f>
        <v>38937</v>
      </c>
      <c r="M76" s="24">
        <f>IFERROR(VLOOKUP(A76,'Sales Order'!A:F,6,FALSE),"")</f>
        <v>38943</v>
      </c>
      <c r="N76" t="str">
        <f>IFERROR(VLOOKUP(VLOOKUP(A76,'Sales Order'!A:G,7,FALSE),Shipper!A:B,2,FALSE),"Not Specified")</f>
        <v>Shipper ZHISN</v>
      </c>
      <c r="O76" t="str">
        <f>IFERROR(VLOOKUP(A76,'Sales Order'!A:I,9,FALSE),"Not Specified")</f>
        <v>Ship to 80-C</v>
      </c>
      <c r="P76" t="str">
        <f>IFERROR(VLOOKUP(A76,'Sales Order'!A:N,14,FALSE),"Not Specified")</f>
        <v>Mexico</v>
      </c>
      <c r="Q76" t="str">
        <f>VLOOKUP(VLOOKUP(B76,Product!A:C,3,FALSE),Supplier!A:B,2,FALSE)</f>
        <v>Supplier QOVFD</v>
      </c>
      <c r="R76" t="str">
        <f>VLOOKUP(VLOOKUP(B76,Product!A:C,3,FALSE),Supplier!A:I,9,FALSE)</f>
        <v>Japan</v>
      </c>
      <c r="S76" t="str">
        <f>IFERROR(IF(VLOOKUP(A76,'Sales Order'!A:H,8,FALSE)&gt;100,"High Freight","Low Freight"),"Not Specified")</f>
        <v>Low Freight</v>
      </c>
      <c r="T76">
        <f t="shared" si="3"/>
        <v>372</v>
      </c>
    </row>
    <row r="77" spans="1:20">
      <c r="A77" s="9">
        <v>10276</v>
      </c>
      <c r="B77" s="6">
        <v>13</v>
      </c>
      <c r="C77" s="6">
        <v>4.8</v>
      </c>
      <c r="D77" s="6">
        <v>10</v>
      </c>
      <c r="E77" s="18">
        <v>0</v>
      </c>
      <c r="F77" s="6" t="str">
        <f>IFERROR(VLOOKUP(VLOOKUP(A77,'Sales Order'!A:B,2,FALSE),Customer!A:C,3,FALSE),"Not Specified")</f>
        <v>Geschwandtner, Jens</v>
      </c>
      <c r="G77" s="6" t="str">
        <f t="shared" si="2"/>
        <v>Geschwandtner Jens</v>
      </c>
      <c r="H77" s="22" t="str">
        <f>IFERROR(VLOOKUP(VLOOKUP(A77,'Sales Order'!A:C,3,FALSE),Employee!A:E,5,FALSE)&amp;" "&amp;VLOOKUP(VLOOKUP(A77,'Sales Order'!A:C,3,FALSE),Employee!A:C,3,FALSE)&amp;" "&amp;VLOOKUP(VLOOKUP(A77,'Sales Order'!A:C,3,FALSE),Employee!A:B,2,FALSE),"Not Specified")</f>
        <v>Ms. Maria Cameron</v>
      </c>
      <c r="I77" t="str">
        <f>IFERROR(VLOOKUP(VLOOKUP(A77,'Sales Order'!A:C,3,FALSE),Employee!A:J,10,FALSE),"Not Specified")</f>
        <v>WA</v>
      </c>
      <c r="J77" t="str">
        <f>VLOOKUP(B77,Product!A:B,2,FALSE)</f>
        <v>Product POXFU</v>
      </c>
      <c r="K77" t="str">
        <f>VLOOKUP(VLOOKUP(B77,Product!A:D,4,FALSE),Category!A:B,2,FALSE)</f>
        <v>Seafood</v>
      </c>
      <c r="L77" s="24">
        <f>IFERROR(VLOOKUP(A77,'Sales Order'!A:D,4,FALSE),"")</f>
        <v>38937</v>
      </c>
      <c r="M77" s="24">
        <f>IFERROR(VLOOKUP(A77,'Sales Order'!A:F,6,FALSE),"")</f>
        <v>38943</v>
      </c>
      <c r="N77" t="str">
        <f>IFERROR(VLOOKUP(VLOOKUP(A77,'Sales Order'!A:G,7,FALSE),Shipper!A:B,2,FALSE),"Not Specified")</f>
        <v>Shipper ZHISN</v>
      </c>
      <c r="O77" t="str">
        <f>IFERROR(VLOOKUP(A77,'Sales Order'!A:I,9,FALSE),"Not Specified")</f>
        <v>Ship to 80-C</v>
      </c>
      <c r="P77" t="str">
        <f>IFERROR(VLOOKUP(A77,'Sales Order'!A:N,14,FALSE),"Not Specified")</f>
        <v>Mexico</v>
      </c>
      <c r="Q77" t="str">
        <f>VLOOKUP(VLOOKUP(B77,Product!A:C,3,FALSE),Supplier!A:B,2,FALSE)</f>
        <v>Supplier QWUSF</v>
      </c>
      <c r="R77" t="str">
        <f>VLOOKUP(VLOOKUP(B77,Product!A:C,3,FALSE),Supplier!A:I,9,FALSE)</f>
        <v>Japan</v>
      </c>
      <c r="S77" t="str">
        <f>IFERROR(IF(VLOOKUP(A77,'Sales Order'!A:H,8,FALSE)&gt;100,"High Freight","Low Freight"),"Not Specified")</f>
        <v>Low Freight</v>
      </c>
      <c r="T77">
        <f t="shared" si="3"/>
        <v>48</v>
      </c>
    </row>
    <row r="78" spans="1:20">
      <c r="A78" s="9">
        <v>10277</v>
      </c>
      <c r="B78" s="6">
        <v>28</v>
      </c>
      <c r="C78" s="6">
        <v>36.4</v>
      </c>
      <c r="D78" s="6">
        <v>20</v>
      </c>
      <c r="E78" s="18">
        <v>0</v>
      </c>
      <c r="F78" s="6" t="str">
        <f>IFERROR(VLOOKUP(VLOOKUP(A78,'Sales Order'!A:B,2,FALSE),Customer!A:C,3,FALSE),"Not Specified")</f>
        <v>Dupont-Roc, Patrice</v>
      </c>
      <c r="G78" s="6" t="str">
        <f t="shared" si="2"/>
        <v>Dupont-Roc Patrice</v>
      </c>
      <c r="H78" s="22" t="str">
        <f>IFERROR(VLOOKUP(VLOOKUP(A78,'Sales Order'!A:C,3,FALSE),Employee!A:E,5,FALSE)&amp;" "&amp;VLOOKUP(VLOOKUP(A78,'Sales Order'!A:C,3,FALSE),Employee!A:C,3,FALSE)&amp;" "&amp;VLOOKUP(VLOOKUP(A78,'Sales Order'!A:C,3,FALSE),Employee!A:B,2,FALSE),"Not Specified")</f>
        <v>Dr. Don Funk</v>
      </c>
      <c r="I78" t="str">
        <f>IFERROR(VLOOKUP(VLOOKUP(A78,'Sales Order'!A:C,3,FALSE),Employee!A:J,10,FALSE),"Not Specified")</f>
        <v>WA</v>
      </c>
      <c r="J78" t="str">
        <f>VLOOKUP(B78,Product!A:B,2,FALSE)</f>
        <v>Product OFBNT</v>
      </c>
      <c r="K78" t="str">
        <f>VLOOKUP(VLOOKUP(B78,Product!A:D,4,FALSE),Category!A:B,2,FALSE)</f>
        <v>Produce</v>
      </c>
      <c r="L78" s="24">
        <f>IFERROR(VLOOKUP(A78,'Sales Order'!A:D,4,FALSE),"")</f>
        <v>38938</v>
      </c>
      <c r="M78" s="24">
        <f>IFERROR(VLOOKUP(A78,'Sales Order'!A:F,6,FALSE),"")</f>
        <v>38942</v>
      </c>
      <c r="N78" t="str">
        <f>IFERROR(VLOOKUP(VLOOKUP(A78,'Sales Order'!A:G,7,FALSE),Shipper!A:B,2,FALSE),"Not Specified")</f>
        <v>Shipper ZHISN</v>
      </c>
      <c r="O78" t="str">
        <f>IFERROR(VLOOKUP(A78,'Sales Order'!A:I,9,FALSE),"Not Specified")</f>
        <v>Ship to 52-A</v>
      </c>
      <c r="P78" t="str">
        <f>IFERROR(VLOOKUP(A78,'Sales Order'!A:N,14,FALSE),"Not Specified")</f>
        <v>Germany</v>
      </c>
      <c r="Q78" t="str">
        <f>VLOOKUP(VLOOKUP(B78,Product!A:C,3,FALSE),Supplier!A:B,2,FALSE)</f>
        <v>Supplier SVIYA</v>
      </c>
      <c r="R78" t="str">
        <f>VLOOKUP(VLOOKUP(B78,Product!A:C,3,FALSE),Supplier!A:I,9,FALSE)</f>
        <v>Germany</v>
      </c>
      <c r="S78" t="str">
        <f>IFERROR(IF(VLOOKUP(A78,'Sales Order'!A:H,8,FALSE)&gt;100,"High Freight","Low Freight"),"Not Specified")</f>
        <v>High Freight</v>
      </c>
      <c r="T78">
        <f t="shared" si="3"/>
        <v>728</v>
      </c>
    </row>
    <row r="79" spans="1:20">
      <c r="A79" s="9">
        <v>10277</v>
      </c>
      <c r="B79" s="6">
        <v>62</v>
      </c>
      <c r="C79" s="6">
        <v>39.4</v>
      </c>
      <c r="D79" s="6">
        <v>12</v>
      </c>
      <c r="E79" s="18">
        <v>0</v>
      </c>
      <c r="F79" s="6" t="str">
        <f>IFERROR(VLOOKUP(VLOOKUP(A79,'Sales Order'!A:B,2,FALSE),Customer!A:C,3,FALSE),"Not Specified")</f>
        <v>Dupont-Roc, Patrice</v>
      </c>
      <c r="G79" s="6" t="str">
        <f t="shared" si="2"/>
        <v>Dupont-Roc Patrice</v>
      </c>
      <c r="H79" s="22" t="str">
        <f>IFERROR(VLOOKUP(VLOOKUP(A79,'Sales Order'!A:C,3,FALSE),Employee!A:E,5,FALSE)&amp;" "&amp;VLOOKUP(VLOOKUP(A79,'Sales Order'!A:C,3,FALSE),Employee!A:C,3,FALSE)&amp;" "&amp;VLOOKUP(VLOOKUP(A79,'Sales Order'!A:C,3,FALSE),Employee!A:B,2,FALSE),"Not Specified")</f>
        <v>Dr. Don Funk</v>
      </c>
      <c r="I79" t="str">
        <f>IFERROR(VLOOKUP(VLOOKUP(A79,'Sales Order'!A:C,3,FALSE),Employee!A:J,10,FALSE),"Not Specified")</f>
        <v>WA</v>
      </c>
      <c r="J79" t="str">
        <f>VLOOKUP(B79,Product!A:B,2,FALSE)</f>
        <v>Product WUXYK</v>
      </c>
      <c r="K79" t="str">
        <f>VLOOKUP(VLOOKUP(B79,Product!A:D,4,FALSE),Category!A:B,2,FALSE)</f>
        <v>Confections</v>
      </c>
      <c r="L79" s="24">
        <f>IFERROR(VLOOKUP(A79,'Sales Order'!A:D,4,FALSE),"")</f>
        <v>38938</v>
      </c>
      <c r="M79" s="24">
        <f>IFERROR(VLOOKUP(A79,'Sales Order'!A:F,6,FALSE),"")</f>
        <v>38942</v>
      </c>
      <c r="N79" t="str">
        <f>IFERROR(VLOOKUP(VLOOKUP(A79,'Sales Order'!A:G,7,FALSE),Shipper!A:B,2,FALSE),"Not Specified")</f>
        <v>Shipper ZHISN</v>
      </c>
      <c r="O79" t="str">
        <f>IFERROR(VLOOKUP(A79,'Sales Order'!A:I,9,FALSE),"Not Specified")</f>
        <v>Ship to 52-A</v>
      </c>
      <c r="P79" t="str">
        <f>IFERROR(VLOOKUP(A79,'Sales Order'!A:N,14,FALSE),"Not Specified")</f>
        <v>Germany</v>
      </c>
      <c r="Q79" t="str">
        <f>VLOOKUP(VLOOKUP(B79,Product!A:C,3,FALSE),Supplier!A:B,2,FALSE)</f>
        <v>Supplier OGLRK</v>
      </c>
      <c r="R79" t="str">
        <f>VLOOKUP(VLOOKUP(B79,Product!A:C,3,FALSE),Supplier!A:I,9,FALSE)</f>
        <v>Canada</v>
      </c>
      <c r="S79" t="str">
        <f>IFERROR(IF(VLOOKUP(A79,'Sales Order'!A:H,8,FALSE)&gt;100,"High Freight","Low Freight"),"Not Specified")</f>
        <v>High Freight</v>
      </c>
      <c r="T79">
        <f t="shared" si="3"/>
        <v>472.79999999999995</v>
      </c>
    </row>
    <row r="80" spans="1:20">
      <c r="A80" s="9">
        <v>10278</v>
      </c>
      <c r="B80" s="6">
        <v>44</v>
      </c>
      <c r="C80" s="6">
        <v>15.5</v>
      </c>
      <c r="D80" s="6">
        <v>16</v>
      </c>
      <c r="E80" s="18">
        <v>0</v>
      </c>
      <c r="F80" s="6" t="str">
        <f>IFERROR(VLOOKUP(VLOOKUP(A80,'Sales Order'!A:B,2,FALSE),Customer!A:C,3,FALSE),"Not Specified")</f>
        <v>Higginbotham, Tom</v>
      </c>
      <c r="G80" s="6" t="str">
        <f t="shared" si="2"/>
        <v>Higginbotham Tom</v>
      </c>
      <c r="H80" s="22" t="str">
        <f>IFERROR(VLOOKUP(VLOOKUP(A80,'Sales Order'!A:C,3,FALSE),Employee!A:E,5,FALSE)&amp;" "&amp;VLOOKUP(VLOOKUP(A80,'Sales Order'!A:C,3,FALSE),Employee!A:C,3,FALSE)&amp;" "&amp;VLOOKUP(VLOOKUP(A80,'Sales Order'!A:C,3,FALSE),Employee!A:B,2,FALSE),"Not Specified")</f>
        <v>Ms. Maria Cameron</v>
      </c>
      <c r="I80" t="str">
        <f>IFERROR(VLOOKUP(VLOOKUP(A80,'Sales Order'!A:C,3,FALSE),Employee!A:J,10,FALSE),"Not Specified")</f>
        <v>WA</v>
      </c>
      <c r="J80" t="str">
        <f>VLOOKUP(B80,Product!A:B,2,FALSE)</f>
        <v>Product VJIEO</v>
      </c>
      <c r="K80" t="str">
        <f>VLOOKUP(VLOOKUP(B80,Product!A:D,4,FALSE),Category!A:B,2,FALSE)</f>
        <v>Condiments</v>
      </c>
      <c r="L80" s="24">
        <f>IFERROR(VLOOKUP(A80,'Sales Order'!A:D,4,FALSE),"")</f>
        <v>38941</v>
      </c>
      <c r="M80" s="24">
        <f>IFERROR(VLOOKUP(A80,'Sales Order'!A:F,6,FALSE),"")</f>
        <v>38945</v>
      </c>
      <c r="N80" t="str">
        <f>IFERROR(VLOOKUP(VLOOKUP(A80,'Sales Order'!A:G,7,FALSE),Shipper!A:B,2,FALSE),"Not Specified")</f>
        <v>Shipper ETYNR</v>
      </c>
      <c r="O80" t="str">
        <f>IFERROR(VLOOKUP(A80,'Sales Order'!A:I,9,FALSE),"Not Specified")</f>
        <v>Ship to 5-C</v>
      </c>
      <c r="P80" t="str">
        <f>IFERROR(VLOOKUP(A80,'Sales Order'!A:N,14,FALSE),"Not Specified")</f>
        <v>Sweden</v>
      </c>
      <c r="Q80" t="str">
        <f>VLOOKUP(VLOOKUP(B80,Product!A:C,3,FALSE),Supplier!A:B,2,FALSE)</f>
        <v>Supplier CIYNM</v>
      </c>
      <c r="R80" t="str">
        <f>VLOOKUP(VLOOKUP(B80,Product!A:C,3,FALSE),Supplier!A:I,9,FALSE)</f>
        <v>Singapore</v>
      </c>
      <c r="S80" t="str">
        <f>IFERROR(IF(VLOOKUP(A80,'Sales Order'!A:H,8,FALSE)&gt;100,"High Freight","Low Freight"),"Not Specified")</f>
        <v>Low Freight</v>
      </c>
      <c r="T80">
        <f t="shared" si="3"/>
        <v>248</v>
      </c>
    </row>
    <row r="81" spans="1:20">
      <c r="A81" s="9">
        <v>10278</v>
      </c>
      <c r="B81" s="6">
        <v>59</v>
      </c>
      <c r="C81" s="6">
        <v>44</v>
      </c>
      <c r="D81" s="6">
        <v>15</v>
      </c>
      <c r="E81" s="18">
        <v>0</v>
      </c>
      <c r="F81" s="6" t="str">
        <f>IFERROR(VLOOKUP(VLOOKUP(A81,'Sales Order'!A:B,2,FALSE),Customer!A:C,3,FALSE),"Not Specified")</f>
        <v>Higginbotham, Tom</v>
      </c>
      <c r="G81" s="6" t="str">
        <f t="shared" si="2"/>
        <v>Higginbotham Tom</v>
      </c>
      <c r="H81" s="22" t="str">
        <f>IFERROR(VLOOKUP(VLOOKUP(A81,'Sales Order'!A:C,3,FALSE),Employee!A:E,5,FALSE)&amp;" "&amp;VLOOKUP(VLOOKUP(A81,'Sales Order'!A:C,3,FALSE),Employee!A:C,3,FALSE)&amp;" "&amp;VLOOKUP(VLOOKUP(A81,'Sales Order'!A:C,3,FALSE),Employee!A:B,2,FALSE),"Not Specified")</f>
        <v>Ms. Maria Cameron</v>
      </c>
      <c r="I81" t="str">
        <f>IFERROR(VLOOKUP(VLOOKUP(A81,'Sales Order'!A:C,3,FALSE),Employee!A:J,10,FALSE),"Not Specified")</f>
        <v>WA</v>
      </c>
      <c r="J81" t="str">
        <f>VLOOKUP(B81,Product!A:B,2,FALSE)</f>
        <v>Product UKXRI</v>
      </c>
      <c r="K81" t="str">
        <f>VLOOKUP(VLOOKUP(B81,Product!A:D,4,FALSE),Category!A:B,2,FALSE)</f>
        <v>Dairy Product</v>
      </c>
      <c r="L81" s="24">
        <f>IFERROR(VLOOKUP(A81,'Sales Order'!A:D,4,FALSE),"")</f>
        <v>38941</v>
      </c>
      <c r="M81" s="24">
        <f>IFERROR(VLOOKUP(A81,'Sales Order'!A:F,6,FALSE),"")</f>
        <v>38945</v>
      </c>
      <c r="N81" t="str">
        <f>IFERROR(VLOOKUP(VLOOKUP(A81,'Sales Order'!A:G,7,FALSE),Shipper!A:B,2,FALSE),"Not Specified")</f>
        <v>Shipper ETYNR</v>
      </c>
      <c r="O81" t="str">
        <f>IFERROR(VLOOKUP(A81,'Sales Order'!A:I,9,FALSE),"Not Specified")</f>
        <v>Ship to 5-C</v>
      </c>
      <c r="P81" t="str">
        <f>IFERROR(VLOOKUP(A81,'Sales Order'!A:N,14,FALSE),"Not Specified")</f>
        <v>Sweden</v>
      </c>
      <c r="Q81" t="str">
        <f>VLOOKUP(VLOOKUP(B81,Product!A:C,3,FALSE),Supplier!A:B,2,FALSE)</f>
        <v>Supplier OAVQT</v>
      </c>
      <c r="R81" t="str">
        <f>VLOOKUP(VLOOKUP(B81,Product!A:C,3,FALSE),Supplier!A:I,9,FALSE)</f>
        <v>France</v>
      </c>
      <c r="S81" t="str">
        <f>IFERROR(IF(VLOOKUP(A81,'Sales Order'!A:H,8,FALSE)&gt;100,"High Freight","Low Freight"),"Not Specified")</f>
        <v>Low Freight</v>
      </c>
      <c r="T81">
        <f t="shared" si="3"/>
        <v>660</v>
      </c>
    </row>
    <row r="82" spans="1:20">
      <c r="A82" s="9">
        <v>10278</v>
      </c>
      <c r="B82" s="6">
        <v>63</v>
      </c>
      <c r="C82" s="6">
        <v>35.1</v>
      </c>
      <c r="D82" s="6">
        <v>8</v>
      </c>
      <c r="E82" s="18">
        <v>0</v>
      </c>
      <c r="F82" s="6" t="str">
        <f>IFERROR(VLOOKUP(VLOOKUP(A82,'Sales Order'!A:B,2,FALSE),Customer!A:C,3,FALSE),"Not Specified")</f>
        <v>Higginbotham, Tom</v>
      </c>
      <c r="G82" s="6" t="str">
        <f t="shared" si="2"/>
        <v>Higginbotham Tom</v>
      </c>
      <c r="H82" s="22" t="str">
        <f>IFERROR(VLOOKUP(VLOOKUP(A82,'Sales Order'!A:C,3,FALSE),Employee!A:E,5,FALSE)&amp;" "&amp;VLOOKUP(VLOOKUP(A82,'Sales Order'!A:C,3,FALSE),Employee!A:C,3,FALSE)&amp;" "&amp;VLOOKUP(VLOOKUP(A82,'Sales Order'!A:C,3,FALSE),Employee!A:B,2,FALSE),"Not Specified")</f>
        <v>Ms. Maria Cameron</v>
      </c>
      <c r="I82" t="str">
        <f>IFERROR(VLOOKUP(VLOOKUP(A82,'Sales Order'!A:C,3,FALSE),Employee!A:J,10,FALSE),"Not Specified")</f>
        <v>WA</v>
      </c>
      <c r="J82" t="str">
        <f>VLOOKUP(B82,Product!A:B,2,FALSE)</f>
        <v>Product ICKNK</v>
      </c>
      <c r="K82" t="str">
        <f>VLOOKUP(VLOOKUP(B82,Product!A:D,4,FALSE),Category!A:B,2,FALSE)</f>
        <v>Condiments</v>
      </c>
      <c r="L82" s="24">
        <f>IFERROR(VLOOKUP(A82,'Sales Order'!A:D,4,FALSE),"")</f>
        <v>38941</v>
      </c>
      <c r="M82" s="24">
        <f>IFERROR(VLOOKUP(A82,'Sales Order'!A:F,6,FALSE),"")</f>
        <v>38945</v>
      </c>
      <c r="N82" t="str">
        <f>IFERROR(VLOOKUP(VLOOKUP(A82,'Sales Order'!A:G,7,FALSE),Shipper!A:B,2,FALSE),"Not Specified")</f>
        <v>Shipper ETYNR</v>
      </c>
      <c r="O82" t="str">
        <f>IFERROR(VLOOKUP(A82,'Sales Order'!A:I,9,FALSE),"Not Specified")</f>
        <v>Ship to 5-C</v>
      </c>
      <c r="P82" t="str">
        <f>IFERROR(VLOOKUP(A82,'Sales Order'!A:N,14,FALSE),"Not Specified")</f>
        <v>Sweden</v>
      </c>
      <c r="Q82" t="str">
        <f>VLOOKUP(VLOOKUP(B82,Product!A:C,3,FALSE),Supplier!A:B,2,FALSE)</f>
        <v>Supplier GQRCV</v>
      </c>
      <c r="R82" t="str">
        <f>VLOOKUP(VLOOKUP(B82,Product!A:C,3,FALSE),Supplier!A:I,9,FALSE)</f>
        <v>Australia</v>
      </c>
      <c r="S82" t="str">
        <f>IFERROR(IF(VLOOKUP(A82,'Sales Order'!A:H,8,FALSE)&gt;100,"High Freight","Low Freight"),"Not Specified")</f>
        <v>Low Freight</v>
      </c>
      <c r="T82">
        <f t="shared" si="3"/>
        <v>280.8</v>
      </c>
    </row>
    <row r="83" spans="1:20">
      <c r="A83" s="9">
        <v>10278</v>
      </c>
      <c r="B83" s="6">
        <v>73</v>
      </c>
      <c r="C83" s="6">
        <v>12</v>
      </c>
      <c r="D83" s="6">
        <v>25</v>
      </c>
      <c r="E83" s="18">
        <v>0</v>
      </c>
      <c r="F83" s="6" t="str">
        <f>IFERROR(VLOOKUP(VLOOKUP(A83,'Sales Order'!A:B,2,FALSE),Customer!A:C,3,FALSE),"Not Specified")</f>
        <v>Higginbotham, Tom</v>
      </c>
      <c r="G83" s="6" t="str">
        <f t="shared" si="2"/>
        <v>Higginbotham Tom</v>
      </c>
      <c r="H83" s="22" t="str">
        <f>IFERROR(VLOOKUP(VLOOKUP(A83,'Sales Order'!A:C,3,FALSE),Employee!A:E,5,FALSE)&amp;" "&amp;VLOOKUP(VLOOKUP(A83,'Sales Order'!A:C,3,FALSE),Employee!A:C,3,FALSE)&amp;" "&amp;VLOOKUP(VLOOKUP(A83,'Sales Order'!A:C,3,FALSE),Employee!A:B,2,FALSE),"Not Specified")</f>
        <v>Ms. Maria Cameron</v>
      </c>
      <c r="I83" t="str">
        <f>IFERROR(VLOOKUP(VLOOKUP(A83,'Sales Order'!A:C,3,FALSE),Employee!A:J,10,FALSE),"Not Specified")</f>
        <v>WA</v>
      </c>
      <c r="J83" t="str">
        <f>VLOOKUP(B83,Product!A:B,2,FALSE)</f>
        <v>Product WEUJZ</v>
      </c>
      <c r="K83" t="str">
        <f>VLOOKUP(VLOOKUP(B83,Product!A:D,4,FALSE),Category!A:B,2,FALSE)</f>
        <v>Seafood</v>
      </c>
      <c r="L83" s="24">
        <f>IFERROR(VLOOKUP(A83,'Sales Order'!A:D,4,FALSE),"")</f>
        <v>38941</v>
      </c>
      <c r="M83" s="24">
        <f>IFERROR(VLOOKUP(A83,'Sales Order'!A:F,6,FALSE),"")</f>
        <v>38945</v>
      </c>
      <c r="N83" t="str">
        <f>IFERROR(VLOOKUP(VLOOKUP(A83,'Sales Order'!A:G,7,FALSE),Shipper!A:B,2,FALSE),"Not Specified")</f>
        <v>Shipper ETYNR</v>
      </c>
      <c r="O83" t="str">
        <f>IFERROR(VLOOKUP(A83,'Sales Order'!A:I,9,FALSE),"Not Specified")</f>
        <v>Ship to 5-C</v>
      </c>
      <c r="P83" t="str">
        <f>IFERROR(VLOOKUP(A83,'Sales Order'!A:N,14,FALSE),"Not Specified")</f>
        <v>Sweden</v>
      </c>
      <c r="Q83" t="str">
        <f>VLOOKUP(VLOOKUP(B83,Product!A:C,3,FALSE),Supplier!A:B,2,FALSE)</f>
        <v>Supplier QZGUF</v>
      </c>
      <c r="R83" t="str">
        <f>VLOOKUP(VLOOKUP(B83,Product!A:C,3,FALSE),Supplier!A:I,9,FALSE)</f>
        <v>Sweden</v>
      </c>
      <c r="S83" t="str">
        <f>IFERROR(IF(VLOOKUP(A83,'Sales Order'!A:H,8,FALSE)&gt;100,"High Freight","Low Freight"),"Not Specified")</f>
        <v>Low Freight</v>
      </c>
      <c r="T83">
        <f t="shared" si="3"/>
        <v>300</v>
      </c>
    </row>
    <row r="84" spans="1:20">
      <c r="A84" s="9">
        <v>10279</v>
      </c>
      <c r="B84" s="6">
        <v>17</v>
      </c>
      <c r="C84" s="6">
        <v>31.2</v>
      </c>
      <c r="D84" s="6">
        <v>15</v>
      </c>
      <c r="E84" s="18">
        <v>0.25</v>
      </c>
      <c r="F84" s="6" t="str">
        <f>IFERROR(VLOOKUP(VLOOKUP(A84,'Sales Order'!A:B,2,FALSE),Customer!A:C,3,FALSE),"Not Specified")</f>
        <v>Louverdis, George</v>
      </c>
      <c r="G84" s="6" t="str">
        <f t="shared" si="2"/>
        <v>Louverdis George</v>
      </c>
      <c r="H84" s="22" t="str">
        <f>IFERROR(VLOOKUP(VLOOKUP(A84,'Sales Order'!A:C,3,FALSE),Employee!A:E,5,FALSE)&amp;" "&amp;VLOOKUP(VLOOKUP(A84,'Sales Order'!A:C,3,FALSE),Employee!A:C,3,FALSE)&amp;" "&amp;VLOOKUP(VLOOKUP(A84,'Sales Order'!A:C,3,FALSE),Employee!A:B,2,FALSE),"Not Specified")</f>
        <v>Ms. Maria Cameron</v>
      </c>
      <c r="I84" t="str">
        <f>IFERROR(VLOOKUP(VLOOKUP(A84,'Sales Order'!A:C,3,FALSE),Employee!A:J,10,FALSE),"Not Specified")</f>
        <v>WA</v>
      </c>
      <c r="J84" t="str">
        <f>VLOOKUP(B84,Product!A:B,2,FALSE)</f>
        <v>Product BLCAX</v>
      </c>
      <c r="K84" t="str">
        <f>VLOOKUP(VLOOKUP(B84,Product!A:D,4,FALSE),Category!A:B,2,FALSE)</f>
        <v>Meat/Poultry</v>
      </c>
      <c r="L84" s="24">
        <f>IFERROR(VLOOKUP(A84,'Sales Order'!A:D,4,FALSE),"")</f>
        <v>38942</v>
      </c>
      <c r="M84" s="24">
        <f>IFERROR(VLOOKUP(A84,'Sales Order'!A:F,6,FALSE),"")</f>
        <v>38945</v>
      </c>
      <c r="N84" t="str">
        <f>IFERROR(VLOOKUP(VLOOKUP(A84,'Sales Order'!A:G,7,FALSE),Shipper!A:B,2,FALSE),"Not Specified")</f>
        <v>Shipper ETYNR</v>
      </c>
      <c r="O84" t="str">
        <f>IFERROR(VLOOKUP(A84,'Sales Order'!A:I,9,FALSE),"Not Specified")</f>
        <v>Ship to 44-A</v>
      </c>
      <c r="P84" t="str">
        <f>IFERROR(VLOOKUP(A84,'Sales Order'!A:N,14,FALSE),"Not Specified")</f>
        <v>Germany</v>
      </c>
      <c r="Q84" t="str">
        <f>VLOOKUP(VLOOKUP(B84,Product!A:C,3,FALSE),Supplier!A:B,2,FALSE)</f>
        <v>Supplier GQRCV</v>
      </c>
      <c r="R84" t="str">
        <f>VLOOKUP(VLOOKUP(B84,Product!A:C,3,FALSE),Supplier!A:I,9,FALSE)</f>
        <v>Australia</v>
      </c>
      <c r="S84" t="str">
        <f>IFERROR(IF(VLOOKUP(A84,'Sales Order'!A:H,8,FALSE)&gt;100,"High Freight","Low Freight"),"Not Specified")</f>
        <v>Low Freight</v>
      </c>
      <c r="T84">
        <f t="shared" si="3"/>
        <v>351</v>
      </c>
    </row>
    <row r="85" spans="1:20">
      <c r="A85" s="9">
        <v>10280</v>
      </c>
      <c r="B85" s="6">
        <v>24</v>
      </c>
      <c r="C85" s="6">
        <v>3.6</v>
      </c>
      <c r="D85" s="6">
        <v>12</v>
      </c>
      <c r="E85" s="18">
        <v>0</v>
      </c>
      <c r="F85" s="6" t="str">
        <f>IFERROR(VLOOKUP(VLOOKUP(A85,'Sales Order'!A:B,2,FALSE),Customer!A:C,3,FALSE),"Not Specified")</f>
        <v>Higginbotham, Tom</v>
      </c>
      <c r="G85" s="6" t="str">
        <f t="shared" si="2"/>
        <v>Higginbotham Tom</v>
      </c>
      <c r="H85" s="22" t="str">
        <f>IFERROR(VLOOKUP(VLOOKUP(A85,'Sales Order'!A:C,3,FALSE),Employee!A:E,5,FALSE)&amp;" "&amp;VLOOKUP(VLOOKUP(A85,'Sales Order'!A:C,3,FALSE),Employee!A:C,3,FALSE)&amp;" "&amp;VLOOKUP(VLOOKUP(A85,'Sales Order'!A:C,3,FALSE),Employee!A:B,2,FALSE),"Not Specified")</f>
        <v>Dr. Don Funk</v>
      </c>
      <c r="I85" t="str">
        <f>IFERROR(VLOOKUP(VLOOKUP(A85,'Sales Order'!A:C,3,FALSE),Employee!A:J,10,FALSE),"Not Specified")</f>
        <v>WA</v>
      </c>
      <c r="J85" t="str">
        <f>VLOOKUP(B85,Product!A:B,2,FALSE)</f>
        <v>Product QOGNU</v>
      </c>
      <c r="K85" t="str">
        <f>VLOOKUP(VLOOKUP(B85,Product!A:D,4,FALSE),Category!A:B,2,FALSE)</f>
        <v>Beverages</v>
      </c>
      <c r="L85" s="24">
        <f>IFERROR(VLOOKUP(A85,'Sales Order'!A:D,4,FALSE),"")</f>
        <v>38943</v>
      </c>
      <c r="M85" s="24">
        <f>IFERROR(VLOOKUP(A85,'Sales Order'!A:F,6,FALSE),"")</f>
        <v>38972</v>
      </c>
      <c r="N85" t="str">
        <f>IFERROR(VLOOKUP(VLOOKUP(A85,'Sales Order'!A:G,7,FALSE),Shipper!A:B,2,FALSE),"Not Specified")</f>
        <v>Shipper GVSUA</v>
      </c>
      <c r="O85" t="str">
        <f>IFERROR(VLOOKUP(A85,'Sales Order'!A:I,9,FALSE),"Not Specified")</f>
        <v>Ship to 5-B</v>
      </c>
      <c r="P85" t="str">
        <f>IFERROR(VLOOKUP(A85,'Sales Order'!A:N,14,FALSE),"Not Specified")</f>
        <v>Sweden</v>
      </c>
      <c r="Q85" t="str">
        <f>VLOOKUP(VLOOKUP(B85,Product!A:C,3,FALSE),Supplier!A:B,2,FALSE)</f>
        <v>Supplier UNAHG</v>
      </c>
      <c r="R85" t="str">
        <f>VLOOKUP(VLOOKUP(B85,Product!A:C,3,FALSE),Supplier!A:I,9,FALSE)</f>
        <v>Brazil</v>
      </c>
      <c r="S85" t="str">
        <f>IFERROR(IF(VLOOKUP(A85,'Sales Order'!A:H,8,FALSE)&gt;100,"High Freight","Low Freight"),"Not Specified")</f>
        <v>Low Freight</v>
      </c>
      <c r="T85">
        <f t="shared" si="3"/>
        <v>43.2</v>
      </c>
    </row>
    <row r="86" spans="1:20">
      <c r="A86" s="9">
        <v>10280</v>
      </c>
      <c r="B86" s="6">
        <v>55</v>
      </c>
      <c r="C86" s="6">
        <v>19.2</v>
      </c>
      <c r="D86" s="6">
        <v>20</v>
      </c>
      <c r="E86" s="18">
        <v>0</v>
      </c>
      <c r="F86" s="6" t="str">
        <f>IFERROR(VLOOKUP(VLOOKUP(A86,'Sales Order'!A:B,2,FALSE),Customer!A:C,3,FALSE),"Not Specified")</f>
        <v>Higginbotham, Tom</v>
      </c>
      <c r="G86" s="6" t="str">
        <f t="shared" si="2"/>
        <v>Higginbotham Tom</v>
      </c>
      <c r="H86" s="22" t="str">
        <f>IFERROR(VLOOKUP(VLOOKUP(A86,'Sales Order'!A:C,3,FALSE),Employee!A:E,5,FALSE)&amp;" "&amp;VLOOKUP(VLOOKUP(A86,'Sales Order'!A:C,3,FALSE),Employee!A:C,3,FALSE)&amp;" "&amp;VLOOKUP(VLOOKUP(A86,'Sales Order'!A:C,3,FALSE),Employee!A:B,2,FALSE),"Not Specified")</f>
        <v>Dr. Don Funk</v>
      </c>
      <c r="I86" t="str">
        <f>IFERROR(VLOOKUP(VLOOKUP(A86,'Sales Order'!A:C,3,FALSE),Employee!A:J,10,FALSE),"Not Specified")</f>
        <v>WA</v>
      </c>
      <c r="J86" t="str">
        <f>VLOOKUP(B86,Product!A:B,2,FALSE)</f>
        <v>Product YYWRT</v>
      </c>
      <c r="K86" t="str">
        <f>VLOOKUP(VLOOKUP(B86,Product!A:D,4,FALSE),Category!A:B,2,FALSE)</f>
        <v>Meat/Poultry</v>
      </c>
      <c r="L86" s="24">
        <f>IFERROR(VLOOKUP(A86,'Sales Order'!A:D,4,FALSE),"")</f>
        <v>38943</v>
      </c>
      <c r="M86" s="24">
        <f>IFERROR(VLOOKUP(A86,'Sales Order'!A:F,6,FALSE),"")</f>
        <v>38972</v>
      </c>
      <c r="N86" t="str">
        <f>IFERROR(VLOOKUP(VLOOKUP(A86,'Sales Order'!A:G,7,FALSE),Shipper!A:B,2,FALSE),"Not Specified")</f>
        <v>Shipper GVSUA</v>
      </c>
      <c r="O86" t="str">
        <f>IFERROR(VLOOKUP(A86,'Sales Order'!A:I,9,FALSE),"Not Specified")</f>
        <v>Ship to 5-B</v>
      </c>
      <c r="P86" t="str">
        <f>IFERROR(VLOOKUP(A86,'Sales Order'!A:N,14,FALSE),"Not Specified")</f>
        <v>Sweden</v>
      </c>
      <c r="Q86" t="str">
        <f>VLOOKUP(VLOOKUP(B86,Product!A:C,3,FALSE),Supplier!A:B,2,FALSE)</f>
        <v>Supplier ERVYZ</v>
      </c>
      <c r="R86" t="str">
        <f>VLOOKUP(VLOOKUP(B86,Product!A:C,3,FALSE),Supplier!A:I,9,FALSE)</f>
        <v>Canada</v>
      </c>
      <c r="S86" t="str">
        <f>IFERROR(IF(VLOOKUP(A86,'Sales Order'!A:H,8,FALSE)&gt;100,"High Freight","Low Freight"),"Not Specified")</f>
        <v>Low Freight</v>
      </c>
      <c r="T86">
        <f t="shared" si="3"/>
        <v>384</v>
      </c>
    </row>
    <row r="87" spans="1:20">
      <c r="A87" s="9">
        <v>10280</v>
      </c>
      <c r="B87" s="6">
        <v>75</v>
      </c>
      <c r="C87" s="6">
        <v>6.2</v>
      </c>
      <c r="D87" s="6">
        <v>30</v>
      </c>
      <c r="E87" s="18">
        <v>0</v>
      </c>
      <c r="F87" s="6" t="str">
        <f>IFERROR(VLOOKUP(VLOOKUP(A87,'Sales Order'!A:B,2,FALSE),Customer!A:C,3,FALSE),"Not Specified")</f>
        <v>Higginbotham, Tom</v>
      </c>
      <c r="G87" s="6" t="str">
        <f t="shared" si="2"/>
        <v>Higginbotham Tom</v>
      </c>
      <c r="H87" s="22" t="str">
        <f>IFERROR(VLOOKUP(VLOOKUP(A87,'Sales Order'!A:C,3,FALSE),Employee!A:E,5,FALSE)&amp;" "&amp;VLOOKUP(VLOOKUP(A87,'Sales Order'!A:C,3,FALSE),Employee!A:C,3,FALSE)&amp;" "&amp;VLOOKUP(VLOOKUP(A87,'Sales Order'!A:C,3,FALSE),Employee!A:B,2,FALSE),"Not Specified")</f>
        <v>Dr. Don Funk</v>
      </c>
      <c r="I87" t="str">
        <f>IFERROR(VLOOKUP(VLOOKUP(A87,'Sales Order'!A:C,3,FALSE),Employee!A:J,10,FALSE),"Not Specified")</f>
        <v>WA</v>
      </c>
      <c r="J87" t="str">
        <f>VLOOKUP(B87,Product!A:B,2,FALSE)</f>
        <v>Product BWRLG</v>
      </c>
      <c r="K87" t="str">
        <f>VLOOKUP(VLOOKUP(B87,Product!A:D,4,FALSE),Category!A:B,2,FALSE)</f>
        <v>Beverages</v>
      </c>
      <c r="L87" s="24">
        <f>IFERROR(VLOOKUP(A87,'Sales Order'!A:D,4,FALSE),"")</f>
        <v>38943</v>
      </c>
      <c r="M87" s="24">
        <f>IFERROR(VLOOKUP(A87,'Sales Order'!A:F,6,FALSE),"")</f>
        <v>38972</v>
      </c>
      <c r="N87" t="str">
        <f>IFERROR(VLOOKUP(VLOOKUP(A87,'Sales Order'!A:G,7,FALSE),Shipper!A:B,2,FALSE),"Not Specified")</f>
        <v>Shipper GVSUA</v>
      </c>
      <c r="O87" t="str">
        <f>IFERROR(VLOOKUP(A87,'Sales Order'!A:I,9,FALSE),"Not Specified")</f>
        <v>Ship to 5-B</v>
      </c>
      <c r="P87" t="str">
        <f>IFERROR(VLOOKUP(A87,'Sales Order'!A:N,14,FALSE),"Not Specified")</f>
        <v>Sweden</v>
      </c>
      <c r="Q87" t="str">
        <f>VLOOKUP(VLOOKUP(B87,Product!A:C,3,FALSE),Supplier!A:B,2,FALSE)</f>
        <v>Supplier SVIYA</v>
      </c>
      <c r="R87" t="str">
        <f>VLOOKUP(VLOOKUP(B87,Product!A:C,3,FALSE),Supplier!A:I,9,FALSE)</f>
        <v>Germany</v>
      </c>
      <c r="S87" t="str">
        <f>IFERROR(IF(VLOOKUP(A87,'Sales Order'!A:H,8,FALSE)&gt;100,"High Freight","Low Freight"),"Not Specified")</f>
        <v>Low Freight</v>
      </c>
      <c r="T87">
        <f t="shared" si="3"/>
        <v>186</v>
      </c>
    </row>
    <row r="88" spans="1:20">
      <c r="A88" s="9">
        <v>10281</v>
      </c>
      <c r="B88" s="6">
        <v>19</v>
      </c>
      <c r="C88" s="6">
        <v>7.3</v>
      </c>
      <c r="D88" s="6">
        <v>1</v>
      </c>
      <c r="E88" s="18">
        <v>0</v>
      </c>
      <c r="F88" s="6" t="str">
        <f>IFERROR(VLOOKUP(VLOOKUP(A88,'Sales Order'!A:B,2,FALSE),Customer!A:C,3,FALSE),"Not Specified")</f>
        <v>Watters, Jason M.</v>
      </c>
      <c r="G88" s="6" t="str">
        <f t="shared" si="2"/>
        <v>Watters Jason M.</v>
      </c>
      <c r="H88" s="22" t="str">
        <f>IFERROR(VLOOKUP(VLOOKUP(A88,'Sales Order'!A:C,3,FALSE),Employee!A:E,5,FALSE)&amp;" "&amp;VLOOKUP(VLOOKUP(A88,'Sales Order'!A:C,3,FALSE),Employee!A:C,3,FALSE)&amp;" "&amp;VLOOKUP(VLOOKUP(A88,'Sales Order'!A:C,3,FALSE),Employee!A:B,2,FALSE),"Not Specified")</f>
        <v>Mrs. Yael Peled</v>
      </c>
      <c r="I88" t="str">
        <f>IFERROR(VLOOKUP(VLOOKUP(A88,'Sales Order'!A:C,3,FALSE),Employee!A:J,10,FALSE),"Not Specified")</f>
        <v>WA</v>
      </c>
      <c r="J88" t="str">
        <f>VLOOKUP(B88,Product!A:B,2,FALSE)</f>
        <v>Product XKXDO</v>
      </c>
      <c r="K88" t="str">
        <f>VLOOKUP(VLOOKUP(B88,Product!A:D,4,FALSE),Category!A:B,2,FALSE)</f>
        <v>Confections</v>
      </c>
      <c r="L88" s="24">
        <f>IFERROR(VLOOKUP(A88,'Sales Order'!A:D,4,FALSE),"")</f>
        <v>38943</v>
      </c>
      <c r="M88" s="24">
        <f>IFERROR(VLOOKUP(A88,'Sales Order'!A:F,6,FALSE),"")</f>
        <v>38950</v>
      </c>
      <c r="N88" t="str">
        <f>IFERROR(VLOOKUP(VLOOKUP(A88,'Sales Order'!A:G,7,FALSE),Shipper!A:B,2,FALSE),"Not Specified")</f>
        <v>Shipper GVSUA</v>
      </c>
      <c r="O88" t="str">
        <f>IFERROR(VLOOKUP(A88,'Sales Order'!A:I,9,FALSE),"Not Specified")</f>
        <v>Ship to 69-A</v>
      </c>
      <c r="P88" t="str">
        <f>IFERROR(VLOOKUP(A88,'Sales Order'!A:N,14,FALSE),"Not Specified")</f>
        <v>Spain</v>
      </c>
      <c r="Q88" t="str">
        <f>VLOOKUP(VLOOKUP(B88,Product!A:C,3,FALSE),Supplier!A:B,2,FALSE)</f>
        <v>Supplier BWGYE</v>
      </c>
      <c r="R88" t="str">
        <f>VLOOKUP(VLOOKUP(B88,Product!A:C,3,FALSE),Supplier!A:I,9,FALSE)</f>
        <v>UK</v>
      </c>
      <c r="S88" t="str">
        <f>IFERROR(IF(VLOOKUP(A88,'Sales Order'!A:H,8,FALSE)&gt;100,"High Freight","Low Freight"),"Not Specified")</f>
        <v>Low Freight</v>
      </c>
      <c r="T88">
        <f t="shared" si="3"/>
        <v>7.3</v>
      </c>
    </row>
    <row r="89" spans="1:20">
      <c r="A89" s="9">
        <v>10281</v>
      </c>
      <c r="B89" s="6">
        <v>24</v>
      </c>
      <c r="C89" s="6">
        <v>3.6</v>
      </c>
      <c r="D89" s="6">
        <v>6</v>
      </c>
      <c r="E89" s="18">
        <v>0</v>
      </c>
      <c r="F89" s="6" t="str">
        <f>IFERROR(VLOOKUP(VLOOKUP(A89,'Sales Order'!A:B,2,FALSE),Customer!A:C,3,FALSE),"Not Specified")</f>
        <v>Watters, Jason M.</v>
      </c>
      <c r="G89" s="6" t="str">
        <f t="shared" si="2"/>
        <v>Watters Jason M.</v>
      </c>
      <c r="H89" s="22" t="str">
        <f>IFERROR(VLOOKUP(VLOOKUP(A89,'Sales Order'!A:C,3,FALSE),Employee!A:E,5,FALSE)&amp;" "&amp;VLOOKUP(VLOOKUP(A89,'Sales Order'!A:C,3,FALSE),Employee!A:C,3,FALSE)&amp;" "&amp;VLOOKUP(VLOOKUP(A89,'Sales Order'!A:C,3,FALSE),Employee!A:B,2,FALSE),"Not Specified")</f>
        <v>Mrs. Yael Peled</v>
      </c>
      <c r="I89" t="str">
        <f>IFERROR(VLOOKUP(VLOOKUP(A89,'Sales Order'!A:C,3,FALSE),Employee!A:J,10,FALSE),"Not Specified")</f>
        <v>WA</v>
      </c>
      <c r="J89" t="str">
        <f>VLOOKUP(B89,Product!A:B,2,FALSE)</f>
        <v>Product QOGNU</v>
      </c>
      <c r="K89" t="str">
        <f>VLOOKUP(VLOOKUP(B89,Product!A:D,4,FALSE),Category!A:B,2,FALSE)</f>
        <v>Beverages</v>
      </c>
      <c r="L89" s="24">
        <f>IFERROR(VLOOKUP(A89,'Sales Order'!A:D,4,FALSE),"")</f>
        <v>38943</v>
      </c>
      <c r="M89" s="24">
        <f>IFERROR(VLOOKUP(A89,'Sales Order'!A:F,6,FALSE),"")</f>
        <v>38950</v>
      </c>
      <c r="N89" t="str">
        <f>IFERROR(VLOOKUP(VLOOKUP(A89,'Sales Order'!A:G,7,FALSE),Shipper!A:B,2,FALSE),"Not Specified")</f>
        <v>Shipper GVSUA</v>
      </c>
      <c r="O89" t="str">
        <f>IFERROR(VLOOKUP(A89,'Sales Order'!A:I,9,FALSE),"Not Specified")</f>
        <v>Ship to 69-A</v>
      </c>
      <c r="P89" t="str">
        <f>IFERROR(VLOOKUP(A89,'Sales Order'!A:N,14,FALSE),"Not Specified")</f>
        <v>Spain</v>
      </c>
      <c r="Q89" t="str">
        <f>VLOOKUP(VLOOKUP(B89,Product!A:C,3,FALSE),Supplier!A:B,2,FALSE)</f>
        <v>Supplier UNAHG</v>
      </c>
      <c r="R89" t="str">
        <f>VLOOKUP(VLOOKUP(B89,Product!A:C,3,FALSE),Supplier!A:I,9,FALSE)</f>
        <v>Brazil</v>
      </c>
      <c r="S89" t="str">
        <f>IFERROR(IF(VLOOKUP(A89,'Sales Order'!A:H,8,FALSE)&gt;100,"High Freight","Low Freight"),"Not Specified")</f>
        <v>Low Freight</v>
      </c>
      <c r="T89">
        <f t="shared" si="3"/>
        <v>21.6</v>
      </c>
    </row>
    <row r="90" spans="1:20">
      <c r="A90" s="9">
        <v>10281</v>
      </c>
      <c r="B90" s="6">
        <v>35</v>
      </c>
      <c r="C90" s="6">
        <v>14.4</v>
      </c>
      <c r="D90" s="6">
        <v>4</v>
      </c>
      <c r="E90" s="18">
        <v>0</v>
      </c>
      <c r="F90" s="6" t="str">
        <f>IFERROR(VLOOKUP(VLOOKUP(A90,'Sales Order'!A:B,2,FALSE),Customer!A:C,3,FALSE),"Not Specified")</f>
        <v>Watters, Jason M.</v>
      </c>
      <c r="G90" s="6" t="str">
        <f t="shared" si="2"/>
        <v>Watters Jason M.</v>
      </c>
      <c r="H90" s="22" t="str">
        <f>IFERROR(VLOOKUP(VLOOKUP(A90,'Sales Order'!A:C,3,FALSE),Employee!A:E,5,FALSE)&amp;" "&amp;VLOOKUP(VLOOKUP(A90,'Sales Order'!A:C,3,FALSE),Employee!A:C,3,FALSE)&amp;" "&amp;VLOOKUP(VLOOKUP(A90,'Sales Order'!A:C,3,FALSE),Employee!A:B,2,FALSE),"Not Specified")</f>
        <v>Mrs. Yael Peled</v>
      </c>
      <c r="I90" t="str">
        <f>IFERROR(VLOOKUP(VLOOKUP(A90,'Sales Order'!A:C,3,FALSE),Employee!A:J,10,FALSE),"Not Specified")</f>
        <v>WA</v>
      </c>
      <c r="J90" t="str">
        <f>VLOOKUP(B90,Product!A:B,2,FALSE)</f>
        <v>Product NEVTJ</v>
      </c>
      <c r="K90" t="str">
        <f>VLOOKUP(VLOOKUP(B90,Product!A:D,4,FALSE),Category!A:B,2,FALSE)</f>
        <v>Beverages</v>
      </c>
      <c r="L90" s="24">
        <f>IFERROR(VLOOKUP(A90,'Sales Order'!A:D,4,FALSE),"")</f>
        <v>38943</v>
      </c>
      <c r="M90" s="24">
        <f>IFERROR(VLOOKUP(A90,'Sales Order'!A:F,6,FALSE),"")</f>
        <v>38950</v>
      </c>
      <c r="N90" t="str">
        <f>IFERROR(VLOOKUP(VLOOKUP(A90,'Sales Order'!A:G,7,FALSE),Shipper!A:B,2,FALSE),"Not Specified")</f>
        <v>Shipper GVSUA</v>
      </c>
      <c r="O90" t="str">
        <f>IFERROR(VLOOKUP(A90,'Sales Order'!A:I,9,FALSE),"Not Specified")</f>
        <v>Ship to 69-A</v>
      </c>
      <c r="P90" t="str">
        <f>IFERROR(VLOOKUP(A90,'Sales Order'!A:N,14,FALSE),"Not Specified")</f>
        <v>Spain</v>
      </c>
      <c r="Q90" t="str">
        <f>VLOOKUP(VLOOKUP(B90,Product!A:C,3,FALSE),Supplier!A:B,2,FALSE)</f>
        <v>Supplier UHZRG</v>
      </c>
      <c r="R90" t="str">
        <f>VLOOKUP(VLOOKUP(B90,Product!A:C,3,FALSE),Supplier!A:I,9,FALSE)</f>
        <v>USA</v>
      </c>
      <c r="S90" t="str">
        <f>IFERROR(IF(VLOOKUP(A90,'Sales Order'!A:H,8,FALSE)&gt;100,"High Freight","Low Freight"),"Not Specified")</f>
        <v>Low Freight</v>
      </c>
      <c r="T90">
        <f t="shared" si="3"/>
        <v>57.6</v>
      </c>
    </row>
    <row r="91" spans="1:20">
      <c r="A91" s="9">
        <v>10282</v>
      </c>
      <c r="B91" s="6">
        <v>30</v>
      </c>
      <c r="C91" s="6">
        <v>20.7</v>
      </c>
      <c r="D91" s="6">
        <v>6</v>
      </c>
      <c r="E91" s="18">
        <v>0</v>
      </c>
      <c r="F91" s="6" t="str">
        <f>IFERROR(VLOOKUP(VLOOKUP(A91,'Sales Order'!A:B,2,FALSE),Customer!A:C,3,FALSE),"Not Specified")</f>
        <v>Watters, Jason M.</v>
      </c>
      <c r="G91" s="6" t="str">
        <f t="shared" si="2"/>
        <v>Watters Jason M.</v>
      </c>
      <c r="H91" s="22" t="str">
        <f>IFERROR(VLOOKUP(VLOOKUP(A91,'Sales Order'!A:C,3,FALSE),Employee!A:E,5,FALSE)&amp;" "&amp;VLOOKUP(VLOOKUP(A91,'Sales Order'!A:C,3,FALSE),Employee!A:C,3,FALSE)&amp;" "&amp;VLOOKUP(VLOOKUP(A91,'Sales Order'!A:C,3,FALSE),Employee!A:B,2,FALSE),"Not Specified")</f>
        <v>Mrs. Yael Peled</v>
      </c>
      <c r="I91" t="str">
        <f>IFERROR(VLOOKUP(VLOOKUP(A91,'Sales Order'!A:C,3,FALSE),Employee!A:J,10,FALSE),"Not Specified")</f>
        <v>WA</v>
      </c>
      <c r="J91" t="str">
        <f>VLOOKUP(B91,Product!A:B,2,FALSE)</f>
        <v>Product LYERX</v>
      </c>
      <c r="K91" t="str">
        <f>VLOOKUP(VLOOKUP(B91,Product!A:D,4,FALSE),Category!A:B,2,FALSE)</f>
        <v>Seafood</v>
      </c>
      <c r="L91" s="24">
        <f>IFERROR(VLOOKUP(A91,'Sales Order'!A:D,4,FALSE),"")</f>
        <v>38944</v>
      </c>
      <c r="M91" s="24">
        <f>IFERROR(VLOOKUP(A91,'Sales Order'!A:F,6,FALSE),"")</f>
        <v>38950</v>
      </c>
      <c r="N91" t="str">
        <f>IFERROR(VLOOKUP(VLOOKUP(A91,'Sales Order'!A:G,7,FALSE),Shipper!A:B,2,FALSE),"Not Specified")</f>
        <v>Shipper GVSUA</v>
      </c>
      <c r="O91" t="str">
        <f>IFERROR(VLOOKUP(A91,'Sales Order'!A:I,9,FALSE),"Not Specified")</f>
        <v>Ship to 69-B</v>
      </c>
      <c r="P91" t="str">
        <f>IFERROR(VLOOKUP(A91,'Sales Order'!A:N,14,FALSE),"Not Specified")</f>
        <v>Spain</v>
      </c>
      <c r="Q91" t="str">
        <f>VLOOKUP(VLOOKUP(B91,Product!A:C,3,FALSE),Supplier!A:B,2,FALSE)</f>
        <v>Supplier TEGSC</v>
      </c>
      <c r="R91" t="str">
        <f>VLOOKUP(VLOOKUP(B91,Product!A:C,3,FALSE),Supplier!A:I,9,FALSE)</f>
        <v>Germany</v>
      </c>
      <c r="S91" t="str">
        <f>IFERROR(IF(VLOOKUP(A91,'Sales Order'!A:H,8,FALSE)&gt;100,"High Freight","Low Freight"),"Not Specified")</f>
        <v>Low Freight</v>
      </c>
      <c r="T91">
        <f t="shared" si="3"/>
        <v>124.19999999999999</v>
      </c>
    </row>
    <row r="92" spans="1:20">
      <c r="A92" s="9">
        <v>10282</v>
      </c>
      <c r="B92" s="6">
        <v>57</v>
      </c>
      <c r="C92" s="6">
        <v>15.6</v>
      </c>
      <c r="D92" s="6">
        <v>2</v>
      </c>
      <c r="E92" s="18">
        <v>0</v>
      </c>
      <c r="F92" s="6" t="str">
        <f>IFERROR(VLOOKUP(VLOOKUP(A92,'Sales Order'!A:B,2,FALSE),Customer!A:C,3,FALSE),"Not Specified")</f>
        <v>Watters, Jason M.</v>
      </c>
      <c r="G92" s="6" t="str">
        <f t="shared" si="2"/>
        <v>Watters Jason M.</v>
      </c>
      <c r="H92" s="22" t="str">
        <f>IFERROR(VLOOKUP(VLOOKUP(A92,'Sales Order'!A:C,3,FALSE),Employee!A:E,5,FALSE)&amp;" "&amp;VLOOKUP(VLOOKUP(A92,'Sales Order'!A:C,3,FALSE),Employee!A:C,3,FALSE)&amp;" "&amp;VLOOKUP(VLOOKUP(A92,'Sales Order'!A:C,3,FALSE),Employee!A:B,2,FALSE),"Not Specified")</f>
        <v>Mrs. Yael Peled</v>
      </c>
      <c r="I92" t="str">
        <f>IFERROR(VLOOKUP(VLOOKUP(A92,'Sales Order'!A:C,3,FALSE),Employee!A:J,10,FALSE),"Not Specified")</f>
        <v>WA</v>
      </c>
      <c r="J92" t="str">
        <f>VLOOKUP(B92,Product!A:B,2,FALSE)</f>
        <v>Product OVLQI</v>
      </c>
      <c r="K92" t="str">
        <f>VLOOKUP(VLOOKUP(B92,Product!A:D,4,FALSE),Category!A:B,2,FALSE)</f>
        <v>Grains/Cereals</v>
      </c>
      <c r="L92" s="24">
        <f>IFERROR(VLOOKUP(A92,'Sales Order'!A:D,4,FALSE),"")</f>
        <v>38944</v>
      </c>
      <c r="M92" s="24">
        <f>IFERROR(VLOOKUP(A92,'Sales Order'!A:F,6,FALSE),"")</f>
        <v>38950</v>
      </c>
      <c r="N92" t="str">
        <f>IFERROR(VLOOKUP(VLOOKUP(A92,'Sales Order'!A:G,7,FALSE),Shipper!A:B,2,FALSE),"Not Specified")</f>
        <v>Shipper GVSUA</v>
      </c>
      <c r="O92" t="str">
        <f>IFERROR(VLOOKUP(A92,'Sales Order'!A:I,9,FALSE),"Not Specified")</f>
        <v>Ship to 69-B</v>
      </c>
      <c r="P92" t="str">
        <f>IFERROR(VLOOKUP(A92,'Sales Order'!A:N,14,FALSE),"Not Specified")</f>
        <v>Spain</v>
      </c>
      <c r="Q92" t="str">
        <f>VLOOKUP(VLOOKUP(B92,Product!A:C,3,FALSE),Supplier!A:B,2,FALSE)</f>
        <v>Supplier ZWZDM</v>
      </c>
      <c r="R92" t="str">
        <f>VLOOKUP(VLOOKUP(B92,Product!A:C,3,FALSE),Supplier!A:I,9,FALSE)</f>
        <v>Italy</v>
      </c>
      <c r="S92" t="str">
        <f>IFERROR(IF(VLOOKUP(A92,'Sales Order'!A:H,8,FALSE)&gt;100,"High Freight","Low Freight"),"Not Specified")</f>
        <v>Low Freight</v>
      </c>
      <c r="T92">
        <f t="shared" si="3"/>
        <v>31.2</v>
      </c>
    </row>
    <row r="93" spans="1:20">
      <c r="A93" s="9">
        <v>10283</v>
      </c>
      <c r="B93" s="6">
        <v>15</v>
      </c>
      <c r="C93" s="6">
        <v>12.4</v>
      </c>
      <c r="D93" s="6">
        <v>20</v>
      </c>
      <c r="E93" s="18">
        <v>0</v>
      </c>
      <c r="F93" s="6" t="str">
        <f>IFERROR(VLOOKUP(VLOOKUP(A93,'Sales Order'!A:B,2,FALSE),Customer!A:C,3,FALSE),"Not Specified")</f>
        <v>Dressler, Marlies</v>
      </c>
      <c r="G93" s="6" t="str">
        <f t="shared" si="2"/>
        <v>Dressler Marlies</v>
      </c>
      <c r="H93" s="22" t="str">
        <f>IFERROR(VLOOKUP(VLOOKUP(A93,'Sales Order'!A:C,3,FALSE),Employee!A:E,5,FALSE)&amp;" "&amp;VLOOKUP(VLOOKUP(A93,'Sales Order'!A:C,3,FALSE),Employee!A:C,3,FALSE)&amp;" "&amp;VLOOKUP(VLOOKUP(A93,'Sales Order'!A:C,3,FALSE),Employee!A:B,2,FALSE),"Not Specified")</f>
        <v>Ms. Judy Lew</v>
      </c>
      <c r="I93" t="str">
        <f>IFERROR(VLOOKUP(VLOOKUP(A93,'Sales Order'!A:C,3,FALSE),Employee!A:J,10,FALSE),"Not Specified")</f>
        <v>WA</v>
      </c>
      <c r="J93" t="str">
        <f>VLOOKUP(B93,Product!A:B,2,FALSE)</f>
        <v>Product KSZOI</v>
      </c>
      <c r="K93" t="str">
        <f>VLOOKUP(VLOOKUP(B93,Product!A:D,4,FALSE),Category!A:B,2,FALSE)</f>
        <v>Condiments</v>
      </c>
      <c r="L93" s="24">
        <f>IFERROR(VLOOKUP(A93,'Sales Order'!A:D,4,FALSE),"")</f>
        <v>38945</v>
      </c>
      <c r="M93" s="24">
        <f>IFERROR(VLOOKUP(A93,'Sales Order'!A:F,6,FALSE),"")</f>
        <v>38952</v>
      </c>
      <c r="N93" t="str">
        <f>IFERROR(VLOOKUP(VLOOKUP(A93,'Sales Order'!A:G,7,FALSE),Shipper!A:B,2,FALSE),"Not Specified")</f>
        <v>Shipper ZHISN</v>
      </c>
      <c r="O93" t="str">
        <f>IFERROR(VLOOKUP(A93,'Sales Order'!A:I,9,FALSE),"Not Specified")</f>
        <v>Ship to 46-A</v>
      </c>
      <c r="P93" t="str">
        <f>IFERROR(VLOOKUP(A93,'Sales Order'!A:N,14,FALSE),"Not Specified")</f>
        <v>Venezuela</v>
      </c>
      <c r="Q93" t="str">
        <f>VLOOKUP(VLOOKUP(B93,Product!A:C,3,FALSE),Supplier!A:B,2,FALSE)</f>
        <v>Supplier QWUSF</v>
      </c>
      <c r="R93" t="str">
        <f>VLOOKUP(VLOOKUP(B93,Product!A:C,3,FALSE),Supplier!A:I,9,FALSE)</f>
        <v>Japan</v>
      </c>
      <c r="S93" t="str">
        <f>IFERROR(IF(VLOOKUP(A93,'Sales Order'!A:H,8,FALSE)&gt;100,"High Freight","Low Freight"),"Not Specified")</f>
        <v>Low Freight</v>
      </c>
      <c r="T93">
        <f t="shared" si="3"/>
        <v>248</v>
      </c>
    </row>
    <row r="94" spans="1:20">
      <c r="A94" s="9">
        <v>10283</v>
      </c>
      <c r="B94" s="6">
        <v>19</v>
      </c>
      <c r="C94" s="6">
        <v>7.3</v>
      </c>
      <c r="D94" s="6">
        <v>18</v>
      </c>
      <c r="E94" s="18">
        <v>0</v>
      </c>
      <c r="F94" s="6" t="str">
        <f>IFERROR(VLOOKUP(VLOOKUP(A94,'Sales Order'!A:B,2,FALSE),Customer!A:C,3,FALSE),"Not Specified")</f>
        <v>Dressler, Marlies</v>
      </c>
      <c r="G94" s="6" t="str">
        <f t="shared" si="2"/>
        <v>Dressler Marlies</v>
      </c>
      <c r="H94" s="22" t="str">
        <f>IFERROR(VLOOKUP(VLOOKUP(A94,'Sales Order'!A:C,3,FALSE),Employee!A:E,5,FALSE)&amp;" "&amp;VLOOKUP(VLOOKUP(A94,'Sales Order'!A:C,3,FALSE),Employee!A:C,3,FALSE)&amp;" "&amp;VLOOKUP(VLOOKUP(A94,'Sales Order'!A:C,3,FALSE),Employee!A:B,2,FALSE),"Not Specified")</f>
        <v>Ms. Judy Lew</v>
      </c>
      <c r="I94" t="str">
        <f>IFERROR(VLOOKUP(VLOOKUP(A94,'Sales Order'!A:C,3,FALSE),Employee!A:J,10,FALSE),"Not Specified")</f>
        <v>WA</v>
      </c>
      <c r="J94" t="str">
        <f>VLOOKUP(B94,Product!A:B,2,FALSE)</f>
        <v>Product XKXDO</v>
      </c>
      <c r="K94" t="str">
        <f>VLOOKUP(VLOOKUP(B94,Product!A:D,4,FALSE),Category!A:B,2,FALSE)</f>
        <v>Confections</v>
      </c>
      <c r="L94" s="24">
        <f>IFERROR(VLOOKUP(A94,'Sales Order'!A:D,4,FALSE),"")</f>
        <v>38945</v>
      </c>
      <c r="M94" s="24">
        <f>IFERROR(VLOOKUP(A94,'Sales Order'!A:F,6,FALSE),"")</f>
        <v>38952</v>
      </c>
      <c r="N94" t="str">
        <f>IFERROR(VLOOKUP(VLOOKUP(A94,'Sales Order'!A:G,7,FALSE),Shipper!A:B,2,FALSE),"Not Specified")</f>
        <v>Shipper ZHISN</v>
      </c>
      <c r="O94" t="str">
        <f>IFERROR(VLOOKUP(A94,'Sales Order'!A:I,9,FALSE),"Not Specified")</f>
        <v>Ship to 46-A</v>
      </c>
      <c r="P94" t="str">
        <f>IFERROR(VLOOKUP(A94,'Sales Order'!A:N,14,FALSE),"Not Specified")</f>
        <v>Venezuela</v>
      </c>
      <c r="Q94" t="str">
        <f>VLOOKUP(VLOOKUP(B94,Product!A:C,3,FALSE),Supplier!A:B,2,FALSE)</f>
        <v>Supplier BWGYE</v>
      </c>
      <c r="R94" t="str">
        <f>VLOOKUP(VLOOKUP(B94,Product!A:C,3,FALSE),Supplier!A:I,9,FALSE)</f>
        <v>UK</v>
      </c>
      <c r="S94" t="str">
        <f>IFERROR(IF(VLOOKUP(A94,'Sales Order'!A:H,8,FALSE)&gt;100,"High Freight","Low Freight"),"Not Specified")</f>
        <v>Low Freight</v>
      </c>
      <c r="T94">
        <f t="shared" si="3"/>
        <v>131.4</v>
      </c>
    </row>
    <row r="95" spans="1:20">
      <c r="A95" s="9">
        <v>10283</v>
      </c>
      <c r="B95" s="6">
        <v>60</v>
      </c>
      <c r="C95" s="6">
        <v>27.2</v>
      </c>
      <c r="D95" s="6">
        <v>35</v>
      </c>
      <c r="E95" s="18">
        <v>0</v>
      </c>
      <c r="F95" s="6" t="str">
        <f>IFERROR(VLOOKUP(VLOOKUP(A95,'Sales Order'!A:B,2,FALSE),Customer!A:C,3,FALSE),"Not Specified")</f>
        <v>Dressler, Marlies</v>
      </c>
      <c r="G95" s="6" t="str">
        <f t="shared" si="2"/>
        <v>Dressler Marlies</v>
      </c>
      <c r="H95" s="22" t="str">
        <f>IFERROR(VLOOKUP(VLOOKUP(A95,'Sales Order'!A:C,3,FALSE),Employee!A:E,5,FALSE)&amp;" "&amp;VLOOKUP(VLOOKUP(A95,'Sales Order'!A:C,3,FALSE),Employee!A:C,3,FALSE)&amp;" "&amp;VLOOKUP(VLOOKUP(A95,'Sales Order'!A:C,3,FALSE),Employee!A:B,2,FALSE),"Not Specified")</f>
        <v>Ms. Judy Lew</v>
      </c>
      <c r="I95" t="str">
        <f>IFERROR(VLOOKUP(VLOOKUP(A95,'Sales Order'!A:C,3,FALSE),Employee!A:J,10,FALSE),"Not Specified")</f>
        <v>WA</v>
      </c>
      <c r="J95" t="str">
        <f>VLOOKUP(B95,Product!A:B,2,FALSE)</f>
        <v>Product WHBYK</v>
      </c>
      <c r="K95" t="str">
        <f>VLOOKUP(VLOOKUP(B95,Product!A:D,4,FALSE),Category!A:B,2,FALSE)</f>
        <v>Dairy Product</v>
      </c>
      <c r="L95" s="24">
        <f>IFERROR(VLOOKUP(A95,'Sales Order'!A:D,4,FALSE),"")</f>
        <v>38945</v>
      </c>
      <c r="M95" s="24">
        <f>IFERROR(VLOOKUP(A95,'Sales Order'!A:F,6,FALSE),"")</f>
        <v>38952</v>
      </c>
      <c r="N95" t="str">
        <f>IFERROR(VLOOKUP(VLOOKUP(A95,'Sales Order'!A:G,7,FALSE),Shipper!A:B,2,FALSE),"Not Specified")</f>
        <v>Shipper ZHISN</v>
      </c>
      <c r="O95" t="str">
        <f>IFERROR(VLOOKUP(A95,'Sales Order'!A:I,9,FALSE),"Not Specified")</f>
        <v>Ship to 46-A</v>
      </c>
      <c r="P95" t="str">
        <f>IFERROR(VLOOKUP(A95,'Sales Order'!A:N,14,FALSE),"Not Specified")</f>
        <v>Venezuela</v>
      </c>
      <c r="Q95" t="str">
        <f>VLOOKUP(VLOOKUP(B95,Product!A:C,3,FALSE),Supplier!A:B,2,FALSE)</f>
        <v>Supplier OAVQT</v>
      </c>
      <c r="R95" t="str">
        <f>VLOOKUP(VLOOKUP(B95,Product!A:C,3,FALSE),Supplier!A:I,9,FALSE)</f>
        <v>France</v>
      </c>
      <c r="S95" t="str">
        <f>IFERROR(IF(VLOOKUP(A95,'Sales Order'!A:H,8,FALSE)&gt;100,"High Freight","Low Freight"),"Not Specified")</f>
        <v>Low Freight</v>
      </c>
      <c r="T95">
        <f t="shared" si="3"/>
        <v>952</v>
      </c>
    </row>
    <row r="96" spans="1:20">
      <c r="A96" s="9">
        <v>10283</v>
      </c>
      <c r="B96" s="6">
        <v>72</v>
      </c>
      <c r="C96" s="6">
        <v>27.8</v>
      </c>
      <c r="D96" s="6">
        <v>3</v>
      </c>
      <c r="E96" s="18">
        <v>0</v>
      </c>
      <c r="F96" s="6" t="str">
        <f>IFERROR(VLOOKUP(VLOOKUP(A96,'Sales Order'!A:B,2,FALSE),Customer!A:C,3,FALSE),"Not Specified")</f>
        <v>Dressler, Marlies</v>
      </c>
      <c r="G96" s="6" t="str">
        <f t="shared" si="2"/>
        <v>Dressler Marlies</v>
      </c>
      <c r="H96" s="22" t="str">
        <f>IFERROR(VLOOKUP(VLOOKUP(A96,'Sales Order'!A:C,3,FALSE),Employee!A:E,5,FALSE)&amp;" "&amp;VLOOKUP(VLOOKUP(A96,'Sales Order'!A:C,3,FALSE),Employee!A:C,3,FALSE)&amp;" "&amp;VLOOKUP(VLOOKUP(A96,'Sales Order'!A:C,3,FALSE),Employee!A:B,2,FALSE),"Not Specified")</f>
        <v>Ms. Judy Lew</v>
      </c>
      <c r="I96" t="str">
        <f>IFERROR(VLOOKUP(VLOOKUP(A96,'Sales Order'!A:C,3,FALSE),Employee!A:J,10,FALSE),"Not Specified")</f>
        <v>WA</v>
      </c>
      <c r="J96" t="str">
        <f>VLOOKUP(B96,Product!A:B,2,FALSE)</f>
        <v>Product GEEOO</v>
      </c>
      <c r="K96" t="str">
        <f>VLOOKUP(VLOOKUP(B96,Product!A:D,4,FALSE),Category!A:B,2,FALSE)</f>
        <v>Dairy Product</v>
      </c>
      <c r="L96" s="24">
        <f>IFERROR(VLOOKUP(A96,'Sales Order'!A:D,4,FALSE),"")</f>
        <v>38945</v>
      </c>
      <c r="M96" s="24">
        <f>IFERROR(VLOOKUP(A96,'Sales Order'!A:F,6,FALSE),"")</f>
        <v>38952</v>
      </c>
      <c r="N96" t="str">
        <f>IFERROR(VLOOKUP(VLOOKUP(A96,'Sales Order'!A:G,7,FALSE),Shipper!A:B,2,FALSE),"Not Specified")</f>
        <v>Shipper ZHISN</v>
      </c>
      <c r="O96" t="str">
        <f>IFERROR(VLOOKUP(A96,'Sales Order'!A:I,9,FALSE),"Not Specified")</f>
        <v>Ship to 46-A</v>
      </c>
      <c r="P96" t="str">
        <f>IFERROR(VLOOKUP(A96,'Sales Order'!A:N,14,FALSE),"Not Specified")</f>
        <v>Venezuela</v>
      </c>
      <c r="Q96" t="str">
        <f>VLOOKUP(VLOOKUP(B96,Product!A:C,3,FALSE),Supplier!A:B,2,FALSE)</f>
        <v>Supplier KEREV</v>
      </c>
      <c r="R96" t="str">
        <f>VLOOKUP(VLOOKUP(B96,Product!A:C,3,FALSE),Supplier!A:I,9,FALSE)</f>
        <v>Italy</v>
      </c>
      <c r="S96" t="str">
        <f>IFERROR(IF(VLOOKUP(A96,'Sales Order'!A:H,8,FALSE)&gt;100,"High Freight","Low Freight"),"Not Specified")</f>
        <v>Low Freight</v>
      </c>
      <c r="T96">
        <f t="shared" si="3"/>
        <v>83.4</v>
      </c>
    </row>
    <row r="97" spans="1:20">
      <c r="A97" s="9">
        <v>10284</v>
      </c>
      <c r="B97" s="6">
        <v>27</v>
      </c>
      <c r="C97" s="6">
        <v>35.1</v>
      </c>
      <c r="D97" s="6">
        <v>15</v>
      </c>
      <c r="E97" s="18">
        <v>0.25</v>
      </c>
      <c r="F97" s="6" t="str">
        <f>IFERROR(VLOOKUP(VLOOKUP(A97,'Sales Order'!A:B,2,FALSE),Customer!A:C,3,FALSE),"Not Specified")</f>
        <v>Louverdis, George</v>
      </c>
      <c r="G97" s="6" t="str">
        <f t="shared" si="2"/>
        <v>Louverdis George</v>
      </c>
      <c r="H97" s="22" t="str">
        <f>IFERROR(VLOOKUP(VLOOKUP(A97,'Sales Order'!A:C,3,FALSE),Employee!A:E,5,FALSE)&amp;" "&amp;VLOOKUP(VLOOKUP(A97,'Sales Order'!A:C,3,FALSE),Employee!A:C,3,FALSE)&amp;" "&amp;VLOOKUP(VLOOKUP(A97,'Sales Order'!A:C,3,FALSE),Employee!A:B,2,FALSE),"Not Specified")</f>
        <v>Mrs. Yael Peled</v>
      </c>
      <c r="I97" t="str">
        <f>IFERROR(VLOOKUP(VLOOKUP(A97,'Sales Order'!A:C,3,FALSE),Employee!A:J,10,FALSE),"Not Specified")</f>
        <v>WA</v>
      </c>
      <c r="J97" t="str">
        <f>VLOOKUP(B97,Product!A:B,2,FALSE)</f>
        <v>Product SMIOH</v>
      </c>
      <c r="K97" t="str">
        <f>VLOOKUP(VLOOKUP(B97,Product!A:D,4,FALSE),Category!A:B,2,FALSE)</f>
        <v>Confections</v>
      </c>
      <c r="L97" s="24">
        <f>IFERROR(VLOOKUP(A97,'Sales Order'!A:D,4,FALSE),"")</f>
        <v>38948</v>
      </c>
      <c r="M97" s="24">
        <f>IFERROR(VLOOKUP(A97,'Sales Order'!A:F,6,FALSE),"")</f>
        <v>38956</v>
      </c>
      <c r="N97" t="str">
        <f>IFERROR(VLOOKUP(VLOOKUP(A97,'Sales Order'!A:G,7,FALSE),Shipper!A:B,2,FALSE),"Not Specified")</f>
        <v>Shipper GVSUA</v>
      </c>
      <c r="O97" t="str">
        <f>IFERROR(VLOOKUP(A97,'Sales Order'!A:I,9,FALSE),"Not Specified")</f>
        <v>Ship to 44-A</v>
      </c>
      <c r="P97" t="str">
        <f>IFERROR(VLOOKUP(A97,'Sales Order'!A:N,14,FALSE),"Not Specified")</f>
        <v>Germany</v>
      </c>
      <c r="Q97" t="str">
        <f>VLOOKUP(VLOOKUP(B97,Product!A:C,3,FALSE),Supplier!A:B,2,FALSE)</f>
        <v>Supplier ZPYVS</v>
      </c>
      <c r="R97" t="str">
        <f>VLOOKUP(VLOOKUP(B97,Product!A:C,3,FALSE),Supplier!A:I,9,FALSE)</f>
        <v>Germany</v>
      </c>
      <c r="S97" t="str">
        <f>IFERROR(IF(VLOOKUP(A97,'Sales Order'!A:H,8,FALSE)&gt;100,"High Freight","Low Freight"),"Not Specified")</f>
        <v>Low Freight</v>
      </c>
      <c r="T97">
        <f t="shared" si="3"/>
        <v>394.875</v>
      </c>
    </row>
    <row r="98" spans="1:20">
      <c r="A98" s="9">
        <v>10284</v>
      </c>
      <c r="B98" s="6">
        <v>44</v>
      </c>
      <c r="C98" s="6">
        <v>15.5</v>
      </c>
      <c r="D98" s="6">
        <v>21</v>
      </c>
      <c r="E98" s="18">
        <v>0</v>
      </c>
      <c r="F98" s="6" t="str">
        <f>IFERROR(VLOOKUP(VLOOKUP(A98,'Sales Order'!A:B,2,FALSE),Customer!A:C,3,FALSE),"Not Specified")</f>
        <v>Louverdis, George</v>
      </c>
      <c r="G98" s="6" t="str">
        <f t="shared" si="2"/>
        <v>Louverdis George</v>
      </c>
      <c r="H98" s="22" t="str">
        <f>IFERROR(VLOOKUP(VLOOKUP(A98,'Sales Order'!A:C,3,FALSE),Employee!A:E,5,FALSE)&amp;" "&amp;VLOOKUP(VLOOKUP(A98,'Sales Order'!A:C,3,FALSE),Employee!A:C,3,FALSE)&amp;" "&amp;VLOOKUP(VLOOKUP(A98,'Sales Order'!A:C,3,FALSE),Employee!A:B,2,FALSE),"Not Specified")</f>
        <v>Mrs. Yael Peled</v>
      </c>
      <c r="I98" t="str">
        <f>IFERROR(VLOOKUP(VLOOKUP(A98,'Sales Order'!A:C,3,FALSE),Employee!A:J,10,FALSE),"Not Specified")</f>
        <v>WA</v>
      </c>
      <c r="J98" t="str">
        <f>VLOOKUP(B98,Product!A:B,2,FALSE)</f>
        <v>Product VJIEO</v>
      </c>
      <c r="K98" t="str">
        <f>VLOOKUP(VLOOKUP(B98,Product!A:D,4,FALSE),Category!A:B,2,FALSE)</f>
        <v>Condiments</v>
      </c>
      <c r="L98" s="24">
        <f>IFERROR(VLOOKUP(A98,'Sales Order'!A:D,4,FALSE),"")</f>
        <v>38948</v>
      </c>
      <c r="M98" s="24">
        <f>IFERROR(VLOOKUP(A98,'Sales Order'!A:F,6,FALSE),"")</f>
        <v>38956</v>
      </c>
      <c r="N98" t="str">
        <f>IFERROR(VLOOKUP(VLOOKUP(A98,'Sales Order'!A:G,7,FALSE),Shipper!A:B,2,FALSE),"Not Specified")</f>
        <v>Shipper GVSUA</v>
      </c>
      <c r="O98" t="str">
        <f>IFERROR(VLOOKUP(A98,'Sales Order'!A:I,9,FALSE),"Not Specified")</f>
        <v>Ship to 44-A</v>
      </c>
      <c r="P98" t="str">
        <f>IFERROR(VLOOKUP(A98,'Sales Order'!A:N,14,FALSE),"Not Specified")</f>
        <v>Germany</v>
      </c>
      <c r="Q98" t="str">
        <f>VLOOKUP(VLOOKUP(B98,Product!A:C,3,FALSE),Supplier!A:B,2,FALSE)</f>
        <v>Supplier CIYNM</v>
      </c>
      <c r="R98" t="str">
        <f>VLOOKUP(VLOOKUP(B98,Product!A:C,3,FALSE),Supplier!A:I,9,FALSE)</f>
        <v>Singapore</v>
      </c>
      <c r="S98" t="str">
        <f>IFERROR(IF(VLOOKUP(A98,'Sales Order'!A:H,8,FALSE)&gt;100,"High Freight","Low Freight"),"Not Specified")</f>
        <v>Low Freight</v>
      </c>
      <c r="T98">
        <f t="shared" si="3"/>
        <v>325.5</v>
      </c>
    </row>
    <row r="99" spans="1:20">
      <c r="A99" s="9">
        <v>10284</v>
      </c>
      <c r="B99" s="6">
        <v>60</v>
      </c>
      <c r="C99" s="6">
        <v>27.2</v>
      </c>
      <c r="D99" s="6">
        <v>20</v>
      </c>
      <c r="E99" s="18">
        <v>0.25</v>
      </c>
      <c r="F99" s="6" t="str">
        <f>IFERROR(VLOOKUP(VLOOKUP(A99,'Sales Order'!A:B,2,FALSE),Customer!A:C,3,FALSE),"Not Specified")</f>
        <v>Louverdis, George</v>
      </c>
      <c r="G99" s="6" t="str">
        <f t="shared" si="2"/>
        <v>Louverdis George</v>
      </c>
      <c r="H99" s="22" t="str">
        <f>IFERROR(VLOOKUP(VLOOKUP(A99,'Sales Order'!A:C,3,FALSE),Employee!A:E,5,FALSE)&amp;" "&amp;VLOOKUP(VLOOKUP(A99,'Sales Order'!A:C,3,FALSE),Employee!A:C,3,FALSE)&amp;" "&amp;VLOOKUP(VLOOKUP(A99,'Sales Order'!A:C,3,FALSE),Employee!A:B,2,FALSE),"Not Specified")</f>
        <v>Mrs. Yael Peled</v>
      </c>
      <c r="I99" t="str">
        <f>IFERROR(VLOOKUP(VLOOKUP(A99,'Sales Order'!A:C,3,FALSE),Employee!A:J,10,FALSE),"Not Specified")</f>
        <v>WA</v>
      </c>
      <c r="J99" t="str">
        <f>VLOOKUP(B99,Product!A:B,2,FALSE)</f>
        <v>Product WHBYK</v>
      </c>
      <c r="K99" t="str">
        <f>VLOOKUP(VLOOKUP(B99,Product!A:D,4,FALSE),Category!A:B,2,FALSE)</f>
        <v>Dairy Product</v>
      </c>
      <c r="L99" s="24">
        <f>IFERROR(VLOOKUP(A99,'Sales Order'!A:D,4,FALSE),"")</f>
        <v>38948</v>
      </c>
      <c r="M99" s="24">
        <f>IFERROR(VLOOKUP(A99,'Sales Order'!A:F,6,FALSE),"")</f>
        <v>38956</v>
      </c>
      <c r="N99" t="str">
        <f>IFERROR(VLOOKUP(VLOOKUP(A99,'Sales Order'!A:G,7,FALSE),Shipper!A:B,2,FALSE),"Not Specified")</f>
        <v>Shipper GVSUA</v>
      </c>
      <c r="O99" t="str">
        <f>IFERROR(VLOOKUP(A99,'Sales Order'!A:I,9,FALSE),"Not Specified")</f>
        <v>Ship to 44-A</v>
      </c>
      <c r="P99" t="str">
        <f>IFERROR(VLOOKUP(A99,'Sales Order'!A:N,14,FALSE),"Not Specified")</f>
        <v>Germany</v>
      </c>
      <c r="Q99" t="str">
        <f>VLOOKUP(VLOOKUP(B99,Product!A:C,3,FALSE),Supplier!A:B,2,FALSE)</f>
        <v>Supplier OAVQT</v>
      </c>
      <c r="R99" t="str">
        <f>VLOOKUP(VLOOKUP(B99,Product!A:C,3,FALSE),Supplier!A:I,9,FALSE)</f>
        <v>France</v>
      </c>
      <c r="S99" t="str">
        <f>IFERROR(IF(VLOOKUP(A99,'Sales Order'!A:H,8,FALSE)&gt;100,"High Freight","Low Freight"),"Not Specified")</f>
        <v>Low Freight</v>
      </c>
      <c r="T99">
        <f t="shared" si="3"/>
        <v>408</v>
      </c>
    </row>
    <row r="100" spans="1:20">
      <c r="A100" s="9">
        <v>10284</v>
      </c>
      <c r="B100" s="6">
        <v>67</v>
      </c>
      <c r="C100" s="6">
        <v>11.2</v>
      </c>
      <c r="D100" s="6">
        <v>5</v>
      </c>
      <c r="E100" s="18">
        <v>0.25</v>
      </c>
      <c r="F100" s="6" t="str">
        <f>IFERROR(VLOOKUP(VLOOKUP(A100,'Sales Order'!A:B,2,FALSE),Customer!A:C,3,FALSE),"Not Specified")</f>
        <v>Louverdis, George</v>
      </c>
      <c r="G100" s="6" t="str">
        <f t="shared" si="2"/>
        <v>Louverdis George</v>
      </c>
      <c r="H100" s="22" t="str">
        <f>IFERROR(VLOOKUP(VLOOKUP(A100,'Sales Order'!A:C,3,FALSE),Employee!A:E,5,FALSE)&amp;" "&amp;VLOOKUP(VLOOKUP(A100,'Sales Order'!A:C,3,FALSE),Employee!A:C,3,FALSE)&amp;" "&amp;VLOOKUP(VLOOKUP(A100,'Sales Order'!A:C,3,FALSE),Employee!A:B,2,FALSE),"Not Specified")</f>
        <v>Mrs. Yael Peled</v>
      </c>
      <c r="I100" t="str">
        <f>IFERROR(VLOOKUP(VLOOKUP(A100,'Sales Order'!A:C,3,FALSE),Employee!A:J,10,FALSE),"Not Specified")</f>
        <v>WA</v>
      </c>
      <c r="J100" t="str">
        <f>VLOOKUP(B100,Product!A:B,2,FALSE)</f>
        <v>Product XLXQF</v>
      </c>
      <c r="K100" t="str">
        <f>VLOOKUP(VLOOKUP(B100,Product!A:D,4,FALSE),Category!A:B,2,FALSE)</f>
        <v>Beverages</v>
      </c>
      <c r="L100" s="24">
        <f>IFERROR(VLOOKUP(A100,'Sales Order'!A:D,4,FALSE),"")</f>
        <v>38948</v>
      </c>
      <c r="M100" s="24">
        <f>IFERROR(VLOOKUP(A100,'Sales Order'!A:F,6,FALSE),"")</f>
        <v>38956</v>
      </c>
      <c r="N100" t="str">
        <f>IFERROR(VLOOKUP(VLOOKUP(A100,'Sales Order'!A:G,7,FALSE),Shipper!A:B,2,FALSE),"Not Specified")</f>
        <v>Shipper GVSUA</v>
      </c>
      <c r="O100" t="str">
        <f>IFERROR(VLOOKUP(A100,'Sales Order'!A:I,9,FALSE),"Not Specified")</f>
        <v>Ship to 44-A</v>
      </c>
      <c r="P100" t="str">
        <f>IFERROR(VLOOKUP(A100,'Sales Order'!A:N,14,FALSE),"Not Specified")</f>
        <v>Germany</v>
      </c>
      <c r="Q100" t="str">
        <f>VLOOKUP(VLOOKUP(B100,Product!A:C,3,FALSE),Supplier!A:B,2,FALSE)</f>
        <v>Supplier UHZRG</v>
      </c>
      <c r="R100" t="str">
        <f>VLOOKUP(VLOOKUP(B100,Product!A:C,3,FALSE),Supplier!A:I,9,FALSE)</f>
        <v>USA</v>
      </c>
      <c r="S100" t="str">
        <f>IFERROR(IF(VLOOKUP(A100,'Sales Order'!A:H,8,FALSE)&gt;100,"High Freight","Low Freight"),"Not Specified")</f>
        <v>Low Freight</v>
      </c>
      <c r="T100">
        <f t="shared" si="3"/>
        <v>42</v>
      </c>
    </row>
    <row r="101" spans="1:20">
      <c r="A101" s="9">
        <v>10285</v>
      </c>
      <c r="B101" s="6">
        <v>1</v>
      </c>
      <c r="C101" s="6">
        <v>14.4</v>
      </c>
      <c r="D101" s="6">
        <v>45</v>
      </c>
      <c r="E101" s="18">
        <v>0.2</v>
      </c>
      <c r="F101" s="6" t="str">
        <f>IFERROR(VLOOKUP(VLOOKUP(A101,'Sales Order'!A:B,2,FALSE),Customer!A:C,3,FALSE),"Not Specified")</f>
        <v>Veronesi, Giorgio</v>
      </c>
      <c r="G101" s="6" t="str">
        <f t="shared" si="2"/>
        <v>Veronesi Giorgio</v>
      </c>
      <c r="H101" s="22" t="str">
        <f>IFERROR(VLOOKUP(VLOOKUP(A101,'Sales Order'!A:C,3,FALSE),Employee!A:E,5,FALSE)&amp;" "&amp;VLOOKUP(VLOOKUP(A101,'Sales Order'!A:C,3,FALSE),Employee!A:C,3,FALSE)&amp;" "&amp;VLOOKUP(VLOOKUP(A101,'Sales Order'!A:C,3,FALSE),Employee!A:B,2,FALSE),"Not Specified")</f>
        <v>Ms. Sara Davis</v>
      </c>
      <c r="I101" t="str">
        <f>IFERROR(VLOOKUP(VLOOKUP(A101,'Sales Order'!A:C,3,FALSE),Employee!A:J,10,FALSE),"Not Specified")</f>
        <v>WA</v>
      </c>
      <c r="J101" t="str">
        <f>VLOOKUP(B101,Product!A:B,2,FALSE)</f>
        <v>Product HHYDP</v>
      </c>
      <c r="K101" t="str">
        <f>VLOOKUP(VLOOKUP(B101,Product!A:D,4,FALSE),Category!A:B,2,FALSE)</f>
        <v>Beverages</v>
      </c>
      <c r="L101" s="24">
        <f>IFERROR(VLOOKUP(A101,'Sales Order'!A:D,4,FALSE),"")</f>
        <v>38949</v>
      </c>
      <c r="M101" s="24">
        <f>IFERROR(VLOOKUP(A101,'Sales Order'!A:F,6,FALSE),"")</f>
        <v>38955</v>
      </c>
      <c r="N101" t="str">
        <f>IFERROR(VLOOKUP(VLOOKUP(A101,'Sales Order'!A:G,7,FALSE),Shipper!A:B,2,FALSE),"Not Specified")</f>
        <v>Shipper ETYNR</v>
      </c>
      <c r="O101" t="str">
        <f>IFERROR(VLOOKUP(A101,'Sales Order'!A:I,9,FALSE),"Not Specified")</f>
        <v>Ship to 63-B</v>
      </c>
      <c r="P101" t="str">
        <f>IFERROR(VLOOKUP(A101,'Sales Order'!A:N,14,FALSE),"Not Specified")</f>
        <v>Germany</v>
      </c>
      <c r="Q101" t="str">
        <f>VLOOKUP(VLOOKUP(B101,Product!A:C,3,FALSE),Supplier!A:B,2,FALSE)</f>
        <v>Supplier SWRXU</v>
      </c>
      <c r="R101" t="str">
        <f>VLOOKUP(VLOOKUP(B101,Product!A:C,3,FALSE),Supplier!A:I,9,FALSE)</f>
        <v>UK</v>
      </c>
      <c r="S101" t="str">
        <f>IFERROR(IF(VLOOKUP(A101,'Sales Order'!A:H,8,FALSE)&gt;100,"High Freight","Low Freight"),"Not Specified")</f>
        <v>Low Freight</v>
      </c>
      <c r="T101">
        <f t="shared" si="3"/>
        <v>518.4</v>
      </c>
    </row>
    <row r="102" spans="1:20">
      <c r="A102" s="9">
        <v>10285</v>
      </c>
      <c r="B102" s="6">
        <v>40</v>
      </c>
      <c r="C102" s="6">
        <v>14.7</v>
      </c>
      <c r="D102" s="6">
        <v>40</v>
      </c>
      <c r="E102" s="18">
        <v>0.2</v>
      </c>
      <c r="F102" s="6" t="str">
        <f>IFERROR(VLOOKUP(VLOOKUP(A102,'Sales Order'!A:B,2,FALSE),Customer!A:C,3,FALSE),"Not Specified")</f>
        <v>Veronesi, Giorgio</v>
      </c>
      <c r="G102" s="6" t="str">
        <f t="shared" si="2"/>
        <v>Veronesi Giorgio</v>
      </c>
      <c r="H102" s="22" t="str">
        <f>IFERROR(VLOOKUP(VLOOKUP(A102,'Sales Order'!A:C,3,FALSE),Employee!A:E,5,FALSE)&amp;" "&amp;VLOOKUP(VLOOKUP(A102,'Sales Order'!A:C,3,FALSE),Employee!A:C,3,FALSE)&amp;" "&amp;VLOOKUP(VLOOKUP(A102,'Sales Order'!A:C,3,FALSE),Employee!A:B,2,FALSE),"Not Specified")</f>
        <v>Ms. Sara Davis</v>
      </c>
      <c r="I102" t="str">
        <f>IFERROR(VLOOKUP(VLOOKUP(A102,'Sales Order'!A:C,3,FALSE),Employee!A:J,10,FALSE),"Not Specified")</f>
        <v>WA</v>
      </c>
      <c r="J102" t="str">
        <f>VLOOKUP(B102,Product!A:B,2,FALSE)</f>
        <v>Product YZIXQ</v>
      </c>
      <c r="K102" t="str">
        <f>VLOOKUP(VLOOKUP(B102,Product!A:D,4,FALSE),Category!A:B,2,FALSE)</f>
        <v>Seafood</v>
      </c>
      <c r="L102" s="24">
        <f>IFERROR(VLOOKUP(A102,'Sales Order'!A:D,4,FALSE),"")</f>
        <v>38949</v>
      </c>
      <c r="M102" s="24">
        <f>IFERROR(VLOOKUP(A102,'Sales Order'!A:F,6,FALSE),"")</f>
        <v>38955</v>
      </c>
      <c r="N102" t="str">
        <f>IFERROR(VLOOKUP(VLOOKUP(A102,'Sales Order'!A:G,7,FALSE),Shipper!A:B,2,FALSE),"Not Specified")</f>
        <v>Shipper ETYNR</v>
      </c>
      <c r="O102" t="str">
        <f>IFERROR(VLOOKUP(A102,'Sales Order'!A:I,9,FALSE),"Not Specified")</f>
        <v>Ship to 63-B</v>
      </c>
      <c r="P102" t="str">
        <f>IFERROR(VLOOKUP(A102,'Sales Order'!A:N,14,FALSE),"Not Specified")</f>
        <v>Germany</v>
      </c>
      <c r="Q102" t="str">
        <f>VLOOKUP(VLOOKUP(B102,Product!A:C,3,FALSE),Supplier!A:B,2,FALSE)</f>
        <v>Supplier JDNUG</v>
      </c>
      <c r="R102" t="str">
        <f>VLOOKUP(VLOOKUP(B102,Product!A:C,3,FALSE),Supplier!A:I,9,FALSE)</f>
        <v>USA</v>
      </c>
      <c r="S102" t="str">
        <f>IFERROR(IF(VLOOKUP(A102,'Sales Order'!A:H,8,FALSE)&gt;100,"High Freight","Low Freight"),"Not Specified")</f>
        <v>Low Freight</v>
      </c>
      <c r="T102">
        <f t="shared" si="3"/>
        <v>470.40000000000003</v>
      </c>
    </row>
    <row r="103" spans="1:20">
      <c r="A103" s="9">
        <v>10285</v>
      </c>
      <c r="B103" s="6">
        <v>53</v>
      </c>
      <c r="C103" s="6">
        <v>26.2</v>
      </c>
      <c r="D103" s="6">
        <v>36</v>
      </c>
      <c r="E103" s="18">
        <v>0.2</v>
      </c>
      <c r="F103" s="6" t="str">
        <f>IFERROR(VLOOKUP(VLOOKUP(A103,'Sales Order'!A:B,2,FALSE),Customer!A:C,3,FALSE),"Not Specified")</f>
        <v>Veronesi, Giorgio</v>
      </c>
      <c r="G103" s="6" t="str">
        <f t="shared" si="2"/>
        <v>Veronesi Giorgio</v>
      </c>
      <c r="H103" s="22" t="str">
        <f>IFERROR(VLOOKUP(VLOOKUP(A103,'Sales Order'!A:C,3,FALSE),Employee!A:E,5,FALSE)&amp;" "&amp;VLOOKUP(VLOOKUP(A103,'Sales Order'!A:C,3,FALSE),Employee!A:C,3,FALSE)&amp;" "&amp;VLOOKUP(VLOOKUP(A103,'Sales Order'!A:C,3,FALSE),Employee!A:B,2,FALSE),"Not Specified")</f>
        <v>Ms. Sara Davis</v>
      </c>
      <c r="I103" t="str">
        <f>IFERROR(VLOOKUP(VLOOKUP(A103,'Sales Order'!A:C,3,FALSE),Employee!A:J,10,FALSE),"Not Specified")</f>
        <v>WA</v>
      </c>
      <c r="J103" t="str">
        <f>VLOOKUP(B103,Product!A:B,2,FALSE)</f>
        <v>Product BKGEA</v>
      </c>
      <c r="K103" t="str">
        <f>VLOOKUP(VLOOKUP(B103,Product!A:D,4,FALSE),Category!A:B,2,FALSE)</f>
        <v>Meat/Poultry</v>
      </c>
      <c r="L103" s="24">
        <f>IFERROR(VLOOKUP(A103,'Sales Order'!A:D,4,FALSE),"")</f>
        <v>38949</v>
      </c>
      <c r="M103" s="24">
        <f>IFERROR(VLOOKUP(A103,'Sales Order'!A:F,6,FALSE),"")</f>
        <v>38955</v>
      </c>
      <c r="N103" t="str">
        <f>IFERROR(VLOOKUP(VLOOKUP(A103,'Sales Order'!A:G,7,FALSE),Shipper!A:B,2,FALSE),"Not Specified")</f>
        <v>Shipper ETYNR</v>
      </c>
      <c r="O103" t="str">
        <f>IFERROR(VLOOKUP(A103,'Sales Order'!A:I,9,FALSE),"Not Specified")</f>
        <v>Ship to 63-B</v>
      </c>
      <c r="P103" t="str">
        <f>IFERROR(VLOOKUP(A103,'Sales Order'!A:N,14,FALSE),"Not Specified")</f>
        <v>Germany</v>
      </c>
      <c r="Q103" t="str">
        <f>VLOOKUP(VLOOKUP(B103,Product!A:C,3,FALSE),Supplier!A:B,2,FALSE)</f>
        <v>Supplier JNNES</v>
      </c>
      <c r="R103" t="str">
        <f>VLOOKUP(VLOOKUP(B103,Product!A:C,3,FALSE),Supplier!A:I,9,FALSE)</f>
        <v>Australia</v>
      </c>
      <c r="S103" t="str">
        <f>IFERROR(IF(VLOOKUP(A103,'Sales Order'!A:H,8,FALSE)&gt;100,"High Freight","Low Freight"),"Not Specified")</f>
        <v>Low Freight</v>
      </c>
      <c r="T103">
        <f t="shared" si="3"/>
        <v>754.56</v>
      </c>
    </row>
    <row r="104" spans="1:20">
      <c r="A104" s="9">
        <v>10286</v>
      </c>
      <c r="B104" s="6">
        <v>35</v>
      </c>
      <c r="C104" s="6">
        <v>14.4</v>
      </c>
      <c r="D104" s="6">
        <v>100</v>
      </c>
      <c r="E104" s="18">
        <v>0</v>
      </c>
      <c r="F104" s="6" t="str">
        <f>IFERROR(VLOOKUP(VLOOKUP(A104,'Sales Order'!A:B,2,FALSE),Customer!A:C,3,FALSE),"Not Specified")</f>
        <v>Veronesi, Giorgio</v>
      </c>
      <c r="G104" s="6" t="str">
        <f t="shared" si="2"/>
        <v>Veronesi Giorgio</v>
      </c>
      <c r="H104" s="22" t="str">
        <f>IFERROR(VLOOKUP(VLOOKUP(A104,'Sales Order'!A:C,3,FALSE),Employee!A:E,5,FALSE)&amp;" "&amp;VLOOKUP(VLOOKUP(A104,'Sales Order'!A:C,3,FALSE),Employee!A:C,3,FALSE)&amp;" "&amp;VLOOKUP(VLOOKUP(A104,'Sales Order'!A:C,3,FALSE),Employee!A:B,2,FALSE),"Not Specified")</f>
        <v>Ms. Maria Cameron</v>
      </c>
      <c r="I104" t="str">
        <f>IFERROR(VLOOKUP(VLOOKUP(A104,'Sales Order'!A:C,3,FALSE),Employee!A:J,10,FALSE),"Not Specified")</f>
        <v>WA</v>
      </c>
      <c r="J104" t="str">
        <f>VLOOKUP(B104,Product!A:B,2,FALSE)</f>
        <v>Product NEVTJ</v>
      </c>
      <c r="K104" t="str">
        <f>VLOOKUP(VLOOKUP(B104,Product!A:D,4,FALSE),Category!A:B,2,FALSE)</f>
        <v>Beverages</v>
      </c>
      <c r="L104" s="24">
        <f>IFERROR(VLOOKUP(A104,'Sales Order'!A:D,4,FALSE),"")</f>
        <v>38950</v>
      </c>
      <c r="M104" s="24">
        <f>IFERROR(VLOOKUP(A104,'Sales Order'!A:F,6,FALSE),"")</f>
        <v>38959</v>
      </c>
      <c r="N104" t="str">
        <f>IFERROR(VLOOKUP(VLOOKUP(A104,'Sales Order'!A:G,7,FALSE),Shipper!A:B,2,FALSE),"Not Specified")</f>
        <v>Shipper ZHISN</v>
      </c>
      <c r="O104" t="str">
        <f>IFERROR(VLOOKUP(A104,'Sales Order'!A:I,9,FALSE),"Not Specified")</f>
        <v>Ship to 63-B</v>
      </c>
      <c r="P104" t="str">
        <f>IFERROR(VLOOKUP(A104,'Sales Order'!A:N,14,FALSE),"Not Specified")</f>
        <v>Germany</v>
      </c>
      <c r="Q104" t="str">
        <f>VLOOKUP(VLOOKUP(B104,Product!A:C,3,FALSE),Supplier!A:B,2,FALSE)</f>
        <v>Supplier UHZRG</v>
      </c>
      <c r="R104" t="str">
        <f>VLOOKUP(VLOOKUP(B104,Product!A:C,3,FALSE),Supplier!A:I,9,FALSE)</f>
        <v>USA</v>
      </c>
      <c r="S104" t="str">
        <f>IFERROR(IF(VLOOKUP(A104,'Sales Order'!A:H,8,FALSE)&gt;100,"High Freight","Low Freight"),"Not Specified")</f>
        <v>High Freight</v>
      </c>
      <c r="T104">
        <f t="shared" si="3"/>
        <v>1440</v>
      </c>
    </row>
    <row r="105" spans="1:20">
      <c r="A105" s="9">
        <v>10286</v>
      </c>
      <c r="B105" s="6">
        <v>62</v>
      </c>
      <c r="C105" s="6">
        <v>39.4</v>
      </c>
      <c r="D105" s="6">
        <v>40</v>
      </c>
      <c r="E105" s="18">
        <v>0</v>
      </c>
      <c r="F105" s="6" t="str">
        <f>IFERROR(VLOOKUP(VLOOKUP(A105,'Sales Order'!A:B,2,FALSE),Customer!A:C,3,FALSE),"Not Specified")</f>
        <v>Veronesi, Giorgio</v>
      </c>
      <c r="G105" s="6" t="str">
        <f t="shared" si="2"/>
        <v>Veronesi Giorgio</v>
      </c>
      <c r="H105" s="22" t="str">
        <f>IFERROR(VLOOKUP(VLOOKUP(A105,'Sales Order'!A:C,3,FALSE),Employee!A:E,5,FALSE)&amp;" "&amp;VLOOKUP(VLOOKUP(A105,'Sales Order'!A:C,3,FALSE),Employee!A:C,3,FALSE)&amp;" "&amp;VLOOKUP(VLOOKUP(A105,'Sales Order'!A:C,3,FALSE),Employee!A:B,2,FALSE),"Not Specified")</f>
        <v>Ms. Maria Cameron</v>
      </c>
      <c r="I105" t="str">
        <f>IFERROR(VLOOKUP(VLOOKUP(A105,'Sales Order'!A:C,3,FALSE),Employee!A:J,10,FALSE),"Not Specified")</f>
        <v>WA</v>
      </c>
      <c r="J105" t="str">
        <f>VLOOKUP(B105,Product!A:B,2,FALSE)</f>
        <v>Product WUXYK</v>
      </c>
      <c r="K105" t="str">
        <f>VLOOKUP(VLOOKUP(B105,Product!A:D,4,FALSE),Category!A:B,2,FALSE)</f>
        <v>Confections</v>
      </c>
      <c r="L105" s="24">
        <f>IFERROR(VLOOKUP(A105,'Sales Order'!A:D,4,FALSE),"")</f>
        <v>38950</v>
      </c>
      <c r="M105" s="24">
        <f>IFERROR(VLOOKUP(A105,'Sales Order'!A:F,6,FALSE),"")</f>
        <v>38959</v>
      </c>
      <c r="N105" t="str">
        <f>IFERROR(VLOOKUP(VLOOKUP(A105,'Sales Order'!A:G,7,FALSE),Shipper!A:B,2,FALSE),"Not Specified")</f>
        <v>Shipper ZHISN</v>
      </c>
      <c r="O105" t="str">
        <f>IFERROR(VLOOKUP(A105,'Sales Order'!A:I,9,FALSE),"Not Specified")</f>
        <v>Ship to 63-B</v>
      </c>
      <c r="P105" t="str">
        <f>IFERROR(VLOOKUP(A105,'Sales Order'!A:N,14,FALSE),"Not Specified")</f>
        <v>Germany</v>
      </c>
      <c r="Q105" t="str">
        <f>VLOOKUP(VLOOKUP(B105,Product!A:C,3,FALSE),Supplier!A:B,2,FALSE)</f>
        <v>Supplier OGLRK</v>
      </c>
      <c r="R105" t="str">
        <f>VLOOKUP(VLOOKUP(B105,Product!A:C,3,FALSE),Supplier!A:I,9,FALSE)</f>
        <v>Canada</v>
      </c>
      <c r="S105" t="str">
        <f>IFERROR(IF(VLOOKUP(A105,'Sales Order'!A:H,8,FALSE)&gt;100,"High Freight","Low Freight"),"Not Specified")</f>
        <v>High Freight</v>
      </c>
      <c r="T105">
        <f t="shared" si="3"/>
        <v>1576</v>
      </c>
    </row>
    <row r="106" spans="1:20">
      <c r="A106" s="9">
        <v>10287</v>
      </c>
      <c r="B106" s="6">
        <v>16</v>
      </c>
      <c r="C106" s="6">
        <v>13.9</v>
      </c>
      <c r="D106" s="6">
        <v>40</v>
      </c>
      <c r="E106" s="18">
        <v>0.15</v>
      </c>
      <c r="F106" s="6" t="str">
        <f>IFERROR(VLOOKUP(VLOOKUP(A106,'Sales Order'!A:B,2,FALSE),Customer!A:C,3,FALSE),"Not Specified")</f>
        <v>Garden, Euan</v>
      </c>
      <c r="G106" s="6" t="str">
        <f t="shared" si="2"/>
        <v>Garden Euan</v>
      </c>
      <c r="H106" s="22" t="str">
        <f>IFERROR(VLOOKUP(VLOOKUP(A106,'Sales Order'!A:C,3,FALSE),Employee!A:E,5,FALSE)&amp;" "&amp;VLOOKUP(VLOOKUP(A106,'Sales Order'!A:C,3,FALSE),Employee!A:C,3,FALSE)&amp;" "&amp;VLOOKUP(VLOOKUP(A106,'Sales Order'!A:C,3,FALSE),Employee!A:B,2,FALSE),"Not Specified")</f>
        <v>Ms. Maria Cameron</v>
      </c>
      <c r="I106" t="str">
        <f>IFERROR(VLOOKUP(VLOOKUP(A106,'Sales Order'!A:C,3,FALSE),Employee!A:J,10,FALSE),"Not Specified")</f>
        <v>WA</v>
      </c>
      <c r="J106" t="str">
        <f>VLOOKUP(B106,Product!A:B,2,FALSE)</f>
        <v>Product PAFRH</v>
      </c>
      <c r="K106" t="str">
        <f>VLOOKUP(VLOOKUP(B106,Product!A:D,4,FALSE),Category!A:B,2,FALSE)</f>
        <v>Confections</v>
      </c>
      <c r="L106" s="24">
        <f>IFERROR(VLOOKUP(A106,'Sales Order'!A:D,4,FALSE),"")</f>
        <v>38951</v>
      </c>
      <c r="M106" s="24">
        <f>IFERROR(VLOOKUP(A106,'Sales Order'!A:F,6,FALSE),"")</f>
        <v>38957</v>
      </c>
      <c r="N106" t="str">
        <f>IFERROR(VLOOKUP(VLOOKUP(A106,'Sales Order'!A:G,7,FALSE),Shipper!A:B,2,FALSE),"Not Specified")</f>
        <v>Shipper ZHISN</v>
      </c>
      <c r="O106" t="str">
        <f>IFERROR(VLOOKUP(A106,'Sales Order'!A:I,9,FALSE),"Not Specified")</f>
        <v>Ship to 67-A</v>
      </c>
      <c r="P106" t="str">
        <f>IFERROR(VLOOKUP(A106,'Sales Order'!A:N,14,FALSE),"Not Specified")</f>
        <v>Brazil</v>
      </c>
      <c r="Q106" t="str">
        <f>VLOOKUP(VLOOKUP(B106,Product!A:C,3,FALSE),Supplier!A:B,2,FALSE)</f>
        <v>Supplier GQRCV</v>
      </c>
      <c r="R106" t="str">
        <f>VLOOKUP(VLOOKUP(B106,Product!A:C,3,FALSE),Supplier!A:I,9,FALSE)</f>
        <v>Australia</v>
      </c>
      <c r="S106" t="str">
        <f>IFERROR(IF(VLOOKUP(A106,'Sales Order'!A:H,8,FALSE)&gt;100,"High Freight","Low Freight"),"Not Specified")</f>
        <v>Low Freight</v>
      </c>
      <c r="T106">
        <f t="shared" si="3"/>
        <v>472.59999999999997</v>
      </c>
    </row>
    <row r="107" spans="1:20">
      <c r="A107" s="9">
        <v>10287</v>
      </c>
      <c r="B107" s="6">
        <v>34</v>
      </c>
      <c r="C107" s="6">
        <v>11.2</v>
      </c>
      <c r="D107" s="6">
        <v>20</v>
      </c>
      <c r="E107" s="18">
        <v>0</v>
      </c>
      <c r="F107" s="6" t="str">
        <f>IFERROR(VLOOKUP(VLOOKUP(A107,'Sales Order'!A:B,2,FALSE),Customer!A:C,3,FALSE),"Not Specified")</f>
        <v>Garden, Euan</v>
      </c>
      <c r="G107" s="6" t="str">
        <f t="shared" si="2"/>
        <v>Garden Euan</v>
      </c>
      <c r="H107" s="22" t="str">
        <f>IFERROR(VLOOKUP(VLOOKUP(A107,'Sales Order'!A:C,3,FALSE),Employee!A:E,5,FALSE)&amp;" "&amp;VLOOKUP(VLOOKUP(A107,'Sales Order'!A:C,3,FALSE),Employee!A:C,3,FALSE)&amp;" "&amp;VLOOKUP(VLOOKUP(A107,'Sales Order'!A:C,3,FALSE),Employee!A:B,2,FALSE),"Not Specified")</f>
        <v>Ms. Maria Cameron</v>
      </c>
      <c r="I107" t="str">
        <f>IFERROR(VLOOKUP(VLOOKUP(A107,'Sales Order'!A:C,3,FALSE),Employee!A:J,10,FALSE),"Not Specified")</f>
        <v>WA</v>
      </c>
      <c r="J107" t="str">
        <f>VLOOKUP(B107,Product!A:B,2,FALSE)</f>
        <v>Product SWNJY</v>
      </c>
      <c r="K107" t="str">
        <f>VLOOKUP(VLOOKUP(B107,Product!A:D,4,FALSE),Category!A:B,2,FALSE)</f>
        <v>Beverages</v>
      </c>
      <c r="L107" s="24">
        <f>IFERROR(VLOOKUP(A107,'Sales Order'!A:D,4,FALSE),"")</f>
        <v>38951</v>
      </c>
      <c r="M107" s="24">
        <f>IFERROR(VLOOKUP(A107,'Sales Order'!A:F,6,FALSE),"")</f>
        <v>38957</v>
      </c>
      <c r="N107" t="str">
        <f>IFERROR(VLOOKUP(VLOOKUP(A107,'Sales Order'!A:G,7,FALSE),Shipper!A:B,2,FALSE),"Not Specified")</f>
        <v>Shipper ZHISN</v>
      </c>
      <c r="O107" t="str">
        <f>IFERROR(VLOOKUP(A107,'Sales Order'!A:I,9,FALSE),"Not Specified")</f>
        <v>Ship to 67-A</v>
      </c>
      <c r="P107" t="str">
        <f>IFERROR(VLOOKUP(A107,'Sales Order'!A:N,14,FALSE),"Not Specified")</f>
        <v>Brazil</v>
      </c>
      <c r="Q107" t="str">
        <f>VLOOKUP(VLOOKUP(B107,Product!A:C,3,FALSE),Supplier!A:B,2,FALSE)</f>
        <v>Supplier UHZRG</v>
      </c>
      <c r="R107" t="str">
        <f>VLOOKUP(VLOOKUP(B107,Product!A:C,3,FALSE),Supplier!A:I,9,FALSE)</f>
        <v>USA</v>
      </c>
      <c r="S107" t="str">
        <f>IFERROR(IF(VLOOKUP(A107,'Sales Order'!A:H,8,FALSE)&gt;100,"High Freight","Low Freight"),"Not Specified")</f>
        <v>Low Freight</v>
      </c>
      <c r="T107">
        <f t="shared" si="3"/>
        <v>224</v>
      </c>
    </row>
    <row r="108" spans="1:20">
      <c r="A108" s="9">
        <v>10287</v>
      </c>
      <c r="B108" s="6">
        <v>46</v>
      </c>
      <c r="C108" s="6">
        <v>9.6</v>
      </c>
      <c r="D108" s="6">
        <v>15</v>
      </c>
      <c r="E108" s="18">
        <v>0.15</v>
      </c>
      <c r="F108" s="6" t="str">
        <f>IFERROR(VLOOKUP(VLOOKUP(A108,'Sales Order'!A:B,2,FALSE),Customer!A:C,3,FALSE),"Not Specified")</f>
        <v>Garden, Euan</v>
      </c>
      <c r="G108" s="6" t="str">
        <f t="shared" si="2"/>
        <v>Garden Euan</v>
      </c>
      <c r="H108" s="22" t="str">
        <f>IFERROR(VLOOKUP(VLOOKUP(A108,'Sales Order'!A:C,3,FALSE),Employee!A:E,5,FALSE)&amp;" "&amp;VLOOKUP(VLOOKUP(A108,'Sales Order'!A:C,3,FALSE),Employee!A:C,3,FALSE)&amp;" "&amp;VLOOKUP(VLOOKUP(A108,'Sales Order'!A:C,3,FALSE),Employee!A:B,2,FALSE),"Not Specified")</f>
        <v>Ms. Maria Cameron</v>
      </c>
      <c r="I108" t="str">
        <f>IFERROR(VLOOKUP(VLOOKUP(A108,'Sales Order'!A:C,3,FALSE),Employee!A:J,10,FALSE),"Not Specified")</f>
        <v>WA</v>
      </c>
      <c r="J108" t="str">
        <f>VLOOKUP(B108,Product!A:B,2,FALSE)</f>
        <v>Product CBRRL</v>
      </c>
      <c r="K108" t="str">
        <f>VLOOKUP(VLOOKUP(B108,Product!A:D,4,FALSE),Category!A:B,2,FALSE)</f>
        <v>Seafood</v>
      </c>
      <c r="L108" s="24">
        <f>IFERROR(VLOOKUP(A108,'Sales Order'!A:D,4,FALSE),"")</f>
        <v>38951</v>
      </c>
      <c r="M108" s="24">
        <f>IFERROR(VLOOKUP(A108,'Sales Order'!A:F,6,FALSE),"")</f>
        <v>38957</v>
      </c>
      <c r="N108" t="str">
        <f>IFERROR(VLOOKUP(VLOOKUP(A108,'Sales Order'!A:G,7,FALSE),Shipper!A:B,2,FALSE),"Not Specified")</f>
        <v>Shipper ZHISN</v>
      </c>
      <c r="O108" t="str">
        <f>IFERROR(VLOOKUP(A108,'Sales Order'!A:I,9,FALSE),"Not Specified")</f>
        <v>Ship to 67-A</v>
      </c>
      <c r="P108" t="str">
        <f>IFERROR(VLOOKUP(A108,'Sales Order'!A:N,14,FALSE),"Not Specified")</f>
        <v>Brazil</v>
      </c>
      <c r="Q108" t="str">
        <f>VLOOKUP(VLOOKUP(B108,Product!A:C,3,FALSE),Supplier!A:B,2,FALSE)</f>
        <v>Supplier XOXZA</v>
      </c>
      <c r="R108" t="str">
        <f>VLOOKUP(VLOOKUP(B108,Product!A:C,3,FALSE),Supplier!A:I,9,FALSE)</f>
        <v>Denmark</v>
      </c>
      <c r="S108" t="str">
        <f>IFERROR(IF(VLOOKUP(A108,'Sales Order'!A:H,8,FALSE)&gt;100,"High Freight","Low Freight"),"Not Specified")</f>
        <v>Low Freight</v>
      </c>
      <c r="T108">
        <f t="shared" si="3"/>
        <v>122.39999999999999</v>
      </c>
    </row>
    <row r="109" spans="1:20">
      <c r="A109" s="9">
        <v>10288</v>
      </c>
      <c r="B109" s="6">
        <v>54</v>
      </c>
      <c r="C109" s="6">
        <v>5.9</v>
      </c>
      <c r="D109" s="6">
        <v>10</v>
      </c>
      <c r="E109" s="18">
        <v>0.1</v>
      </c>
      <c r="F109" s="6" t="str">
        <f>IFERROR(VLOOKUP(VLOOKUP(A109,'Sales Order'!A:B,2,FALSE),Customer!A:C,3,FALSE),"Not Specified")</f>
        <v>Voss, Florian</v>
      </c>
      <c r="G109" s="6" t="str">
        <f t="shared" si="2"/>
        <v>Voss Florian</v>
      </c>
      <c r="H109" s="22" t="str">
        <f>IFERROR(VLOOKUP(VLOOKUP(A109,'Sales Order'!A:C,3,FALSE),Employee!A:E,5,FALSE)&amp;" "&amp;VLOOKUP(VLOOKUP(A109,'Sales Order'!A:C,3,FALSE),Employee!A:C,3,FALSE)&amp;" "&amp;VLOOKUP(VLOOKUP(A109,'Sales Order'!A:C,3,FALSE),Employee!A:B,2,FALSE),"Not Specified")</f>
        <v>Mrs. Yael Peled</v>
      </c>
      <c r="I109" t="str">
        <f>IFERROR(VLOOKUP(VLOOKUP(A109,'Sales Order'!A:C,3,FALSE),Employee!A:J,10,FALSE),"Not Specified")</f>
        <v>WA</v>
      </c>
      <c r="J109" t="str">
        <f>VLOOKUP(B109,Product!A:B,2,FALSE)</f>
        <v>Product QAQRL</v>
      </c>
      <c r="K109" t="str">
        <f>VLOOKUP(VLOOKUP(B109,Product!A:D,4,FALSE),Category!A:B,2,FALSE)</f>
        <v>Meat/Poultry</v>
      </c>
      <c r="L109" s="24">
        <f>IFERROR(VLOOKUP(A109,'Sales Order'!A:D,4,FALSE),"")</f>
        <v>38952</v>
      </c>
      <c r="M109" s="24">
        <f>IFERROR(VLOOKUP(A109,'Sales Order'!A:F,6,FALSE),"")</f>
        <v>38963</v>
      </c>
      <c r="N109" t="str">
        <f>IFERROR(VLOOKUP(VLOOKUP(A109,'Sales Order'!A:G,7,FALSE),Shipper!A:B,2,FALSE),"Not Specified")</f>
        <v>Shipper GVSUA</v>
      </c>
      <c r="O109" t="str">
        <f>IFERROR(VLOOKUP(A109,'Sales Order'!A:I,9,FALSE),"Not Specified")</f>
        <v>Ship to 66-C</v>
      </c>
      <c r="P109" t="str">
        <f>IFERROR(VLOOKUP(A109,'Sales Order'!A:N,14,FALSE),"Not Specified")</f>
        <v>Italy</v>
      </c>
      <c r="Q109" t="str">
        <f>VLOOKUP(VLOOKUP(B109,Product!A:C,3,FALSE),Supplier!A:B,2,FALSE)</f>
        <v>Supplier ERVYZ</v>
      </c>
      <c r="R109" t="str">
        <f>VLOOKUP(VLOOKUP(B109,Product!A:C,3,FALSE),Supplier!A:I,9,FALSE)</f>
        <v>Canada</v>
      </c>
      <c r="S109" t="str">
        <f>IFERROR(IF(VLOOKUP(A109,'Sales Order'!A:H,8,FALSE)&gt;100,"High Freight","Low Freight"),"Not Specified")</f>
        <v>Low Freight</v>
      </c>
      <c r="T109">
        <f t="shared" si="3"/>
        <v>53.1</v>
      </c>
    </row>
    <row r="110" spans="1:20">
      <c r="A110" s="9">
        <v>10288</v>
      </c>
      <c r="B110" s="6">
        <v>68</v>
      </c>
      <c r="C110" s="6">
        <v>10</v>
      </c>
      <c r="D110" s="6">
        <v>3</v>
      </c>
      <c r="E110" s="18">
        <v>0.1</v>
      </c>
      <c r="F110" s="6" t="str">
        <f>IFERROR(VLOOKUP(VLOOKUP(A110,'Sales Order'!A:B,2,FALSE),Customer!A:C,3,FALSE),"Not Specified")</f>
        <v>Voss, Florian</v>
      </c>
      <c r="G110" s="6" t="str">
        <f t="shared" si="2"/>
        <v>Voss Florian</v>
      </c>
      <c r="H110" s="22" t="str">
        <f>IFERROR(VLOOKUP(VLOOKUP(A110,'Sales Order'!A:C,3,FALSE),Employee!A:E,5,FALSE)&amp;" "&amp;VLOOKUP(VLOOKUP(A110,'Sales Order'!A:C,3,FALSE),Employee!A:C,3,FALSE)&amp;" "&amp;VLOOKUP(VLOOKUP(A110,'Sales Order'!A:C,3,FALSE),Employee!A:B,2,FALSE),"Not Specified")</f>
        <v>Mrs. Yael Peled</v>
      </c>
      <c r="I110" t="str">
        <f>IFERROR(VLOOKUP(VLOOKUP(A110,'Sales Order'!A:C,3,FALSE),Employee!A:J,10,FALSE),"Not Specified")</f>
        <v>WA</v>
      </c>
      <c r="J110" t="str">
        <f>VLOOKUP(B110,Product!A:B,2,FALSE)</f>
        <v>Product TBTBL</v>
      </c>
      <c r="K110" t="str">
        <f>VLOOKUP(VLOOKUP(B110,Product!A:D,4,FALSE),Category!A:B,2,FALSE)</f>
        <v>Confections</v>
      </c>
      <c r="L110" s="24">
        <f>IFERROR(VLOOKUP(A110,'Sales Order'!A:D,4,FALSE),"")</f>
        <v>38952</v>
      </c>
      <c r="M110" s="24">
        <f>IFERROR(VLOOKUP(A110,'Sales Order'!A:F,6,FALSE),"")</f>
        <v>38963</v>
      </c>
      <c r="N110" t="str">
        <f>IFERROR(VLOOKUP(VLOOKUP(A110,'Sales Order'!A:G,7,FALSE),Shipper!A:B,2,FALSE),"Not Specified")</f>
        <v>Shipper GVSUA</v>
      </c>
      <c r="O110" t="str">
        <f>IFERROR(VLOOKUP(A110,'Sales Order'!A:I,9,FALSE),"Not Specified")</f>
        <v>Ship to 66-C</v>
      </c>
      <c r="P110" t="str">
        <f>IFERROR(VLOOKUP(A110,'Sales Order'!A:N,14,FALSE),"Not Specified")</f>
        <v>Italy</v>
      </c>
      <c r="Q110" t="str">
        <f>VLOOKUP(VLOOKUP(B110,Product!A:C,3,FALSE),Supplier!A:B,2,FALSE)</f>
        <v>Supplier BWGYE</v>
      </c>
      <c r="R110" t="str">
        <f>VLOOKUP(VLOOKUP(B110,Product!A:C,3,FALSE),Supplier!A:I,9,FALSE)</f>
        <v>UK</v>
      </c>
      <c r="S110" t="str">
        <f>IFERROR(IF(VLOOKUP(A110,'Sales Order'!A:H,8,FALSE)&gt;100,"High Freight","Low Freight"),"Not Specified")</f>
        <v>Low Freight</v>
      </c>
      <c r="T110">
        <f t="shared" si="3"/>
        <v>27</v>
      </c>
    </row>
    <row r="111" spans="1:20">
      <c r="A111" s="9">
        <v>10289</v>
      </c>
      <c r="B111" s="6">
        <v>3</v>
      </c>
      <c r="C111" s="6">
        <v>8</v>
      </c>
      <c r="D111" s="6">
        <v>30</v>
      </c>
      <c r="E111" s="18">
        <v>0</v>
      </c>
      <c r="F111" s="6" t="str">
        <f>IFERROR(VLOOKUP(VLOOKUP(A111,'Sales Order'!A:B,2,FALSE),Customer!A:C,3,FALSE),"Not Specified")</f>
        <v>Jaffe, David</v>
      </c>
      <c r="G111" s="6" t="str">
        <f t="shared" si="2"/>
        <v>Jaffe David</v>
      </c>
      <c r="H111" s="22" t="str">
        <f>IFERROR(VLOOKUP(VLOOKUP(A111,'Sales Order'!A:C,3,FALSE),Employee!A:E,5,FALSE)&amp;" "&amp;VLOOKUP(VLOOKUP(A111,'Sales Order'!A:C,3,FALSE),Employee!A:C,3,FALSE)&amp;" "&amp;VLOOKUP(VLOOKUP(A111,'Sales Order'!A:C,3,FALSE),Employee!A:B,2,FALSE),"Not Specified")</f>
        <v>Mr. Russell King</v>
      </c>
      <c r="I111">
        <f>IFERROR(VLOOKUP(VLOOKUP(A111,'Sales Order'!A:C,3,FALSE),Employee!A:J,10,FALSE),"Not Specified")</f>
        <v>0</v>
      </c>
      <c r="J111" t="str">
        <f>VLOOKUP(B111,Product!A:B,2,FALSE)</f>
        <v>Product IMEHJ</v>
      </c>
      <c r="K111" t="str">
        <f>VLOOKUP(VLOOKUP(B111,Product!A:D,4,FALSE),Category!A:B,2,FALSE)</f>
        <v>Condiments</v>
      </c>
      <c r="L111" s="24">
        <f>IFERROR(VLOOKUP(A111,'Sales Order'!A:D,4,FALSE),"")</f>
        <v>38955</v>
      </c>
      <c r="M111" s="24">
        <f>IFERROR(VLOOKUP(A111,'Sales Order'!A:F,6,FALSE),"")</f>
        <v>38957</v>
      </c>
      <c r="N111" t="str">
        <f>IFERROR(VLOOKUP(VLOOKUP(A111,'Sales Order'!A:G,7,FALSE),Shipper!A:B,2,FALSE),"Not Specified")</f>
        <v>Shipper ZHISN</v>
      </c>
      <c r="O111" t="str">
        <f>IFERROR(VLOOKUP(A111,'Sales Order'!A:I,9,FALSE),"Not Specified")</f>
        <v>Destination DLEUN</v>
      </c>
      <c r="P111" t="str">
        <f>IFERROR(VLOOKUP(A111,'Sales Order'!A:N,14,FALSE),"Not Specified")</f>
        <v>UK</v>
      </c>
      <c r="Q111" t="str">
        <f>VLOOKUP(VLOOKUP(B111,Product!A:C,3,FALSE),Supplier!A:B,2,FALSE)</f>
        <v>Supplier SWRXU</v>
      </c>
      <c r="R111" t="str">
        <f>VLOOKUP(VLOOKUP(B111,Product!A:C,3,FALSE),Supplier!A:I,9,FALSE)</f>
        <v>UK</v>
      </c>
      <c r="S111" t="str">
        <f>IFERROR(IF(VLOOKUP(A111,'Sales Order'!A:H,8,FALSE)&gt;100,"High Freight","Low Freight"),"Not Specified")</f>
        <v>Low Freight</v>
      </c>
      <c r="T111">
        <f t="shared" si="3"/>
        <v>240</v>
      </c>
    </row>
    <row r="112" spans="1:20">
      <c r="A112" s="9">
        <v>10289</v>
      </c>
      <c r="B112" s="6">
        <v>64</v>
      </c>
      <c r="C112" s="6">
        <v>26.6</v>
      </c>
      <c r="D112" s="6">
        <v>9</v>
      </c>
      <c r="E112" s="18">
        <v>0</v>
      </c>
      <c r="F112" s="6" t="str">
        <f>IFERROR(VLOOKUP(VLOOKUP(A112,'Sales Order'!A:B,2,FALSE),Customer!A:C,3,FALSE),"Not Specified")</f>
        <v>Jaffe, David</v>
      </c>
      <c r="G112" s="6" t="str">
        <f t="shared" si="2"/>
        <v>Jaffe David</v>
      </c>
      <c r="H112" s="22" t="str">
        <f>IFERROR(VLOOKUP(VLOOKUP(A112,'Sales Order'!A:C,3,FALSE),Employee!A:E,5,FALSE)&amp;" "&amp;VLOOKUP(VLOOKUP(A112,'Sales Order'!A:C,3,FALSE),Employee!A:C,3,FALSE)&amp;" "&amp;VLOOKUP(VLOOKUP(A112,'Sales Order'!A:C,3,FALSE),Employee!A:B,2,FALSE),"Not Specified")</f>
        <v>Mr. Russell King</v>
      </c>
      <c r="I112">
        <f>IFERROR(VLOOKUP(VLOOKUP(A112,'Sales Order'!A:C,3,FALSE),Employee!A:J,10,FALSE),"Not Specified")</f>
        <v>0</v>
      </c>
      <c r="J112" t="str">
        <f>VLOOKUP(B112,Product!A:B,2,FALSE)</f>
        <v>Product HCQDE</v>
      </c>
      <c r="K112" t="str">
        <f>VLOOKUP(VLOOKUP(B112,Product!A:D,4,FALSE),Category!A:B,2,FALSE)</f>
        <v>Grains/Cereals</v>
      </c>
      <c r="L112" s="24">
        <f>IFERROR(VLOOKUP(A112,'Sales Order'!A:D,4,FALSE),"")</f>
        <v>38955</v>
      </c>
      <c r="M112" s="24">
        <f>IFERROR(VLOOKUP(A112,'Sales Order'!A:F,6,FALSE),"")</f>
        <v>38957</v>
      </c>
      <c r="N112" t="str">
        <f>IFERROR(VLOOKUP(VLOOKUP(A112,'Sales Order'!A:G,7,FALSE),Shipper!A:B,2,FALSE),"Not Specified")</f>
        <v>Shipper ZHISN</v>
      </c>
      <c r="O112" t="str">
        <f>IFERROR(VLOOKUP(A112,'Sales Order'!A:I,9,FALSE),"Not Specified")</f>
        <v>Destination DLEUN</v>
      </c>
      <c r="P112" t="str">
        <f>IFERROR(VLOOKUP(A112,'Sales Order'!A:N,14,FALSE),"Not Specified")</f>
        <v>UK</v>
      </c>
      <c r="Q112" t="str">
        <f>VLOOKUP(VLOOKUP(B112,Product!A:C,3,FALSE),Supplier!A:B,2,FALSE)</f>
        <v>Supplier SVIYA</v>
      </c>
      <c r="R112" t="str">
        <f>VLOOKUP(VLOOKUP(B112,Product!A:C,3,FALSE),Supplier!A:I,9,FALSE)</f>
        <v>Germany</v>
      </c>
      <c r="S112" t="str">
        <f>IFERROR(IF(VLOOKUP(A112,'Sales Order'!A:H,8,FALSE)&gt;100,"High Freight","Low Freight"),"Not Specified")</f>
        <v>Low Freight</v>
      </c>
      <c r="T112">
        <f t="shared" si="3"/>
        <v>239.4</v>
      </c>
    </row>
    <row r="113" spans="1:20">
      <c r="A113" s="9">
        <v>10290</v>
      </c>
      <c r="B113" s="6">
        <v>5</v>
      </c>
      <c r="C113" s="6">
        <v>17</v>
      </c>
      <c r="D113" s="6">
        <v>20</v>
      </c>
      <c r="E113" s="18">
        <v>0</v>
      </c>
      <c r="F113" s="6" t="str">
        <f>IFERROR(VLOOKUP(VLOOKUP(A113,'Sales Order'!A:B,2,FALSE),Customer!A:C,3,FALSE),"Not Specified")</f>
        <v>Richardson, Shawn</v>
      </c>
      <c r="G113" s="6" t="str">
        <f t="shared" si="2"/>
        <v>Richardson Shawn</v>
      </c>
      <c r="H113" s="22" t="str">
        <f>IFERROR(VLOOKUP(VLOOKUP(A113,'Sales Order'!A:C,3,FALSE),Employee!A:E,5,FALSE)&amp;" "&amp;VLOOKUP(VLOOKUP(A113,'Sales Order'!A:C,3,FALSE),Employee!A:C,3,FALSE)&amp;" "&amp;VLOOKUP(VLOOKUP(A113,'Sales Order'!A:C,3,FALSE),Employee!A:B,2,FALSE),"Not Specified")</f>
        <v>Ms. Maria Cameron</v>
      </c>
      <c r="I113" t="str">
        <f>IFERROR(VLOOKUP(VLOOKUP(A113,'Sales Order'!A:C,3,FALSE),Employee!A:J,10,FALSE),"Not Specified")</f>
        <v>WA</v>
      </c>
      <c r="J113" t="str">
        <f>VLOOKUP(B113,Product!A:B,2,FALSE)</f>
        <v>Product EPEIM</v>
      </c>
      <c r="K113" t="str">
        <f>VLOOKUP(VLOOKUP(B113,Product!A:D,4,FALSE),Category!A:B,2,FALSE)</f>
        <v>Condiments</v>
      </c>
      <c r="L113" s="24">
        <f>IFERROR(VLOOKUP(A113,'Sales Order'!A:D,4,FALSE),"")</f>
        <v>38956</v>
      </c>
      <c r="M113" s="24">
        <f>IFERROR(VLOOKUP(A113,'Sales Order'!A:F,6,FALSE),"")</f>
        <v>38963</v>
      </c>
      <c r="N113" t="str">
        <f>IFERROR(VLOOKUP(VLOOKUP(A113,'Sales Order'!A:G,7,FALSE),Shipper!A:B,2,FALSE),"Not Specified")</f>
        <v>Shipper GVSUA</v>
      </c>
      <c r="O113" t="str">
        <f>IFERROR(VLOOKUP(A113,'Sales Order'!A:I,9,FALSE),"Not Specified")</f>
        <v>Destination HQZHO</v>
      </c>
      <c r="P113" t="str">
        <f>IFERROR(VLOOKUP(A113,'Sales Order'!A:N,14,FALSE),"Not Specified")</f>
        <v>Brazil</v>
      </c>
      <c r="Q113" t="str">
        <f>VLOOKUP(VLOOKUP(B113,Product!A:C,3,FALSE),Supplier!A:B,2,FALSE)</f>
        <v>Supplier VHQZD</v>
      </c>
      <c r="R113" t="str">
        <f>VLOOKUP(VLOOKUP(B113,Product!A:C,3,FALSE),Supplier!A:I,9,FALSE)</f>
        <v>USA</v>
      </c>
      <c r="S113" t="str">
        <f>IFERROR(IF(VLOOKUP(A113,'Sales Order'!A:H,8,FALSE)&gt;100,"High Freight","Low Freight"),"Not Specified")</f>
        <v>Low Freight</v>
      </c>
      <c r="T113">
        <f t="shared" si="3"/>
        <v>340</v>
      </c>
    </row>
    <row r="114" spans="1:20">
      <c r="A114" s="9">
        <v>10290</v>
      </c>
      <c r="B114" s="6">
        <v>29</v>
      </c>
      <c r="C114" s="6">
        <v>99</v>
      </c>
      <c r="D114" s="6">
        <v>15</v>
      </c>
      <c r="E114" s="18">
        <v>0</v>
      </c>
      <c r="F114" s="6" t="str">
        <f>IFERROR(VLOOKUP(VLOOKUP(A114,'Sales Order'!A:B,2,FALSE),Customer!A:C,3,FALSE),"Not Specified")</f>
        <v>Richardson, Shawn</v>
      </c>
      <c r="G114" s="6" t="str">
        <f t="shared" si="2"/>
        <v>Richardson Shawn</v>
      </c>
      <c r="H114" s="22" t="str">
        <f>IFERROR(VLOOKUP(VLOOKUP(A114,'Sales Order'!A:C,3,FALSE),Employee!A:E,5,FALSE)&amp;" "&amp;VLOOKUP(VLOOKUP(A114,'Sales Order'!A:C,3,FALSE),Employee!A:C,3,FALSE)&amp;" "&amp;VLOOKUP(VLOOKUP(A114,'Sales Order'!A:C,3,FALSE),Employee!A:B,2,FALSE),"Not Specified")</f>
        <v>Ms. Maria Cameron</v>
      </c>
      <c r="I114" t="str">
        <f>IFERROR(VLOOKUP(VLOOKUP(A114,'Sales Order'!A:C,3,FALSE),Employee!A:J,10,FALSE),"Not Specified")</f>
        <v>WA</v>
      </c>
      <c r="J114" t="str">
        <f>VLOOKUP(B114,Product!A:B,2,FALSE)</f>
        <v>Product VJXYN</v>
      </c>
      <c r="K114" t="str">
        <f>VLOOKUP(VLOOKUP(B114,Product!A:D,4,FALSE),Category!A:B,2,FALSE)</f>
        <v>Meat/Poultry</v>
      </c>
      <c r="L114" s="24">
        <f>IFERROR(VLOOKUP(A114,'Sales Order'!A:D,4,FALSE),"")</f>
        <v>38956</v>
      </c>
      <c r="M114" s="24">
        <f>IFERROR(VLOOKUP(A114,'Sales Order'!A:F,6,FALSE),"")</f>
        <v>38963</v>
      </c>
      <c r="N114" t="str">
        <f>IFERROR(VLOOKUP(VLOOKUP(A114,'Sales Order'!A:G,7,FALSE),Shipper!A:B,2,FALSE),"Not Specified")</f>
        <v>Shipper GVSUA</v>
      </c>
      <c r="O114" t="str">
        <f>IFERROR(VLOOKUP(A114,'Sales Order'!A:I,9,FALSE),"Not Specified")</f>
        <v>Destination HQZHO</v>
      </c>
      <c r="P114" t="str">
        <f>IFERROR(VLOOKUP(A114,'Sales Order'!A:N,14,FALSE),"Not Specified")</f>
        <v>Brazil</v>
      </c>
      <c r="Q114" t="str">
        <f>VLOOKUP(VLOOKUP(B114,Product!A:C,3,FALSE),Supplier!A:B,2,FALSE)</f>
        <v>Supplier SVIYA</v>
      </c>
      <c r="R114" t="str">
        <f>VLOOKUP(VLOOKUP(B114,Product!A:C,3,FALSE),Supplier!A:I,9,FALSE)</f>
        <v>Germany</v>
      </c>
      <c r="S114" t="str">
        <f>IFERROR(IF(VLOOKUP(A114,'Sales Order'!A:H,8,FALSE)&gt;100,"High Freight","Low Freight"),"Not Specified")</f>
        <v>Low Freight</v>
      </c>
      <c r="T114">
        <f t="shared" si="3"/>
        <v>1485</v>
      </c>
    </row>
    <row r="115" spans="1:20">
      <c r="A115" s="9">
        <v>10290</v>
      </c>
      <c r="B115" s="6">
        <v>49</v>
      </c>
      <c r="C115" s="6">
        <v>16</v>
      </c>
      <c r="D115" s="6">
        <v>15</v>
      </c>
      <c r="E115" s="18">
        <v>0</v>
      </c>
      <c r="F115" s="6" t="str">
        <f>IFERROR(VLOOKUP(VLOOKUP(A115,'Sales Order'!A:B,2,FALSE),Customer!A:C,3,FALSE),"Not Specified")</f>
        <v>Richardson, Shawn</v>
      </c>
      <c r="G115" s="6" t="str">
        <f t="shared" si="2"/>
        <v>Richardson Shawn</v>
      </c>
      <c r="H115" s="22" t="str">
        <f>IFERROR(VLOOKUP(VLOOKUP(A115,'Sales Order'!A:C,3,FALSE),Employee!A:E,5,FALSE)&amp;" "&amp;VLOOKUP(VLOOKUP(A115,'Sales Order'!A:C,3,FALSE),Employee!A:C,3,FALSE)&amp;" "&amp;VLOOKUP(VLOOKUP(A115,'Sales Order'!A:C,3,FALSE),Employee!A:B,2,FALSE),"Not Specified")</f>
        <v>Ms. Maria Cameron</v>
      </c>
      <c r="I115" t="str">
        <f>IFERROR(VLOOKUP(VLOOKUP(A115,'Sales Order'!A:C,3,FALSE),Employee!A:J,10,FALSE),"Not Specified")</f>
        <v>WA</v>
      </c>
      <c r="J115" t="str">
        <f>VLOOKUP(B115,Product!A:B,2,FALSE)</f>
        <v>Product FPYPN</v>
      </c>
      <c r="K115" t="str">
        <f>VLOOKUP(VLOOKUP(B115,Product!A:D,4,FALSE),Category!A:B,2,FALSE)</f>
        <v>Confections</v>
      </c>
      <c r="L115" s="24">
        <f>IFERROR(VLOOKUP(A115,'Sales Order'!A:D,4,FALSE),"")</f>
        <v>38956</v>
      </c>
      <c r="M115" s="24">
        <f>IFERROR(VLOOKUP(A115,'Sales Order'!A:F,6,FALSE),"")</f>
        <v>38963</v>
      </c>
      <c r="N115" t="str">
        <f>IFERROR(VLOOKUP(VLOOKUP(A115,'Sales Order'!A:G,7,FALSE),Shipper!A:B,2,FALSE),"Not Specified")</f>
        <v>Shipper GVSUA</v>
      </c>
      <c r="O115" t="str">
        <f>IFERROR(VLOOKUP(A115,'Sales Order'!A:I,9,FALSE),"Not Specified")</f>
        <v>Destination HQZHO</v>
      </c>
      <c r="P115" t="str">
        <f>IFERROR(VLOOKUP(A115,'Sales Order'!A:N,14,FALSE),"Not Specified")</f>
        <v>Brazil</v>
      </c>
      <c r="Q115" t="str">
        <f>VLOOKUP(VLOOKUP(B115,Product!A:C,3,FALSE),Supplier!A:B,2,FALSE)</f>
        <v>Supplier ELCRN</v>
      </c>
      <c r="R115" t="str">
        <f>VLOOKUP(VLOOKUP(B115,Product!A:C,3,FALSE),Supplier!A:I,9,FALSE)</f>
        <v>Finland</v>
      </c>
      <c r="S115" t="str">
        <f>IFERROR(IF(VLOOKUP(A115,'Sales Order'!A:H,8,FALSE)&gt;100,"High Freight","Low Freight"),"Not Specified")</f>
        <v>Low Freight</v>
      </c>
      <c r="T115">
        <f t="shared" si="3"/>
        <v>240</v>
      </c>
    </row>
    <row r="116" spans="1:20">
      <c r="A116" s="9">
        <v>10290</v>
      </c>
      <c r="B116" s="6">
        <v>77</v>
      </c>
      <c r="C116" s="6">
        <v>10.4</v>
      </c>
      <c r="D116" s="6">
        <v>10</v>
      </c>
      <c r="E116" s="18">
        <v>0</v>
      </c>
      <c r="F116" s="6" t="str">
        <f>IFERROR(VLOOKUP(VLOOKUP(A116,'Sales Order'!A:B,2,FALSE),Customer!A:C,3,FALSE),"Not Specified")</f>
        <v>Richardson, Shawn</v>
      </c>
      <c r="G116" s="6" t="str">
        <f t="shared" si="2"/>
        <v>Richardson Shawn</v>
      </c>
      <c r="H116" s="22" t="str">
        <f>IFERROR(VLOOKUP(VLOOKUP(A116,'Sales Order'!A:C,3,FALSE),Employee!A:E,5,FALSE)&amp;" "&amp;VLOOKUP(VLOOKUP(A116,'Sales Order'!A:C,3,FALSE),Employee!A:C,3,FALSE)&amp;" "&amp;VLOOKUP(VLOOKUP(A116,'Sales Order'!A:C,3,FALSE),Employee!A:B,2,FALSE),"Not Specified")</f>
        <v>Ms. Maria Cameron</v>
      </c>
      <c r="I116" t="str">
        <f>IFERROR(VLOOKUP(VLOOKUP(A116,'Sales Order'!A:C,3,FALSE),Employee!A:J,10,FALSE),"Not Specified")</f>
        <v>WA</v>
      </c>
      <c r="J116" t="str">
        <f>VLOOKUP(B116,Product!A:B,2,FALSE)</f>
        <v>Product LUNZZ</v>
      </c>
      <c r="K116" t="str">
        <f>VLOOKUP(VLOOKUP(B116,Product!A:D,4,FALSE),Category!A:B,2,FALSE)</f>
        <v>Condiments</v>
      </c>
      <c r="L116" s="24">
        <f>IFERROR(VLOOKUP(A116,'Sales Order'!A:D,4,FALSE),"")</f>
        <v>38956</v>
      </c>
      <c r="M116" s="24">
        <f>IFERROR(VLOOKUP(A116,'Sales Order'!A:F,6,FALSE),"")</f>
        <v>38963</v>
      </c>
      <c r="N116" t="str">
        <f>IFERROR(VLOOKUP(VLOOKUP(A116,'Sales Order'!A:G,7,FALSE),Shipper!A:B,2,FALSE),"Not Specified")</f>
        <v>Shipper GVSUA</v>
      </c>
      <c r="O116" t="str">
        <f>IFERROR(VLOOKUP(A116,'Sales Order'!A:I,9,FALSE),"Not Specified")</f>
        <v>Destination HQZHO</v>
      </c>
      <c r="P116" t="str">
        <f>IFERROR(VLOOKUP(A116,'Sales Order'!A:N,14,FALSE),"Not Specified")</f>
        <v>Brazil</v>
      </c>
      <c r="Q116" t="str">
        <f>VLOOKUP(VLOOKUP(B116,Product!A:C,3,FALSE),Supplier!A:B,2,FALSE)</f>
        <v>Supplier SVIYA</v>
      </c>
      <c r="R116" t="str">
        <f>VLOOKUP(VLOOKUP(B116,Product!A:C,3,FALSE),Supplier!A:I,9,FALSE)</f>
        <v>Germany</v>
      </c>
      <c r="S116" t="str">
        <f>IFERROR(IF(VLOOKUP(A116,'Sales Order'!A:H,8,FALSE)&gt;100,"High Freight","Low Freight"),"Not Specified")</f>
        <v>Low Freight</v>
      </c>
      <c r="T116">
        <f t="shared" si="3"/>
        <v>104</v>
      </c>
    </row>
    <row r="117" spans="1:20">
      <c r="A117" s="9">
        <v>10291</v>
      </c>
      <c r="B117" s="6">
        <v>13</v>
      </c>
      <c r="C117" s="6">
        <v>4.8</v>
      </c>
      <c r="D117" s="6">
        <v>20</v>
      </c>
      <c r="E117" s="18">
        <v>0.1</v>
      </c>
      <c r="F117" s="6" t="str">
        <f>IFERROR(VLOOKUP(VLOOKUP(A117,'Sales Order'!A:B,2,FALSE),Customer!A:C,3,FALSE),"Not Specified")</f>
        <v>Florczyk, Krzysztof</v>
      </c>
      <c r="G117" s="6" t="str">
        <f t="shared" si="2"/>
        <v>Florczyk Krzysztof</v>
      </c>
      <c r="H117" s="22" t="str">
        <f>IFERROR(VLOOKUP(VLOOKUP(A117,'Sales Order'!A:C,3,FALSE),Employee!A:E,5,FALSE)&amp;" "&amp;VLOOKUP(VLOOKUP(A117,'Sales Order'!A:C,3,FALSE),Employee!A:C,3,FALSE)&amp;" "&amp;VLOOKUP(VLOOKUP(A117,'Sales Order'!A:C,3,FALSE),Employee!A:B,2,FALSE),"Not Specified")</f>
        <v>Mr. Paul Suurs</v>
      </c>
      <c r="I117">
        <f>IFERROR(VLOOKUP(VLOOKUP(A117,'Sales Order'!A:C,3,FALSE),Employee!A:J,10,FALSE),"Not Specified")</f>
        <v>0</v>
      </c>
      <c r="J117" t="str">
        <f>VLOOKUP(B117,Product!A:B,2,FALSE)</f>
        <v>Product POXFU</v>
      </c>
      <c r="K117" t="str">
        <f>VLOOKUP(VLOOKUP(B117,Product!A:D,4,FALSE),Category!A:B,2,FALSE)</f>
        <v>Seafood</v>
      </c>
      <c r="L117" s="24">
        <f>IFERROR(VLOOKUP(A117,'Sales Order'!A:D,4,FALSE),"")</f>
        <v>38956</v>
      </c>
      <c r="M117" s="24">
        <f>IFERROR(VLOOKUP(A117,'Sales Order'!A:F,6,FALSE),"")</f>
        <v>38964</v>
      </c>
      <c r="N117" t="str">
        <f>IFERROR(VLOOKUP(VLOOKUP(A117,'Sales Order'!A:G,7,FALSE),Shipper!A:B,2,FALSE),"Not Specified")</f>
        <v>Shipper ETYNR</v>
      </c>
      <c r="O117" t="str">
        <f>IFERROR(VLOOKUP(A117,'Sales Order'!A:I,9,FALSE),"Not Specified")</f>
        <v>Ship to 61-A</v>
      </c>
      <c r="P117" t="str">
        <f>IFERROR(VLOOKUP(A117,'Sales Order'!A:N,14,FALSE),"Not Specified")</f>
        <v>Brazil</v>
      </c>
      <c r="Q117" t="str">
        <f>VLOOKUP(VLOOKUP(B117,Product!A:C,3,FALSE),Supplier!A:B,2,FALSE)</f>
        <v>Supplier QWUSF</v>
      </c>
      <c r="R117" t="str">
        <f>VLOOKUP(VLOOKUP(B117,Product!A:C,3,FALSE),Supplier!A:I,9,FALSE)</f>
        <v>Japan</v>
      </c>
      <c r="S117" t="str">
        <f>IFERROR(IF(VLOOKUP(A117,'Sales Order'!A:H,8,FALSE)&gt;100,"High Freight","Low Freight"),"Not Specified")</f>
        <v>Low Freight</v>
      </c>
      <c r="T117">
        <f t="shared" si="3"/>
        <v>86.4</v>
      </c>
    </row>
    <row r="118" spans="1:20">
      <c r="A118" s="9">
        <v>10291</v>
      </c>
      <c r="B118" s="6">
        <v>44</v>
      </c>
      <c r="C118" s="6">
        <v>15.5</v>
      </c>
      <c r="D118" s="6">
        <v>24</v>
      </c>
      <c r="E118" s="18">
        <v>0.1</v>
      </c>
      <c r="F118" s="6" t="str">
        <f>IFERROR(VLOOKUP(VLOOKUP(A118,'Sales Order'!A:B,2,FALSE),Customer!A:C,3,FALSE),"Not Specified")</f>
        <v>Florczyk, Krzysztof</v>
      </c>
      <c r="G118" s="6" t="str">
        <f t="shared" si="2"/>
        <v>Florczyk Krzysztof</v>
      </c>
      <c r="H118" s="22" t="str">
        <f>IFERROR(VLOOKUP(VLOOKUP(A118,'Sales Order'!A:C,3,FALSE),Employee!A:E,5,FALSE)&amp;" "&amp;VLOOKUP(VLOOKUP(A118,'Sales Order'!A:C,3,FALSE),Employee!A:C,3,FALSE)&amp;" "&amp;VLOOKUP(VLOOKUP(A118,'Sales Order'!A:C,3,FALSE),Employee!A:B,2,FALSE),"Not Specified")</f>
        <v>Mr. Paul Suurs</v>
      </c>
      <c r="I118">
        <f>IFERROR(VLOOKUP(VLOOKUP(A118,'Sales Order'!A:C,3,FALSE),Employee!A:J,10,FALSE),"Not Specified")</f>
        <v>0</v>
      </c>
      <c r="J118" t="str">
        <f>VLOOKUP(B118,Product!A:B,2,FALSE)</f>
        <v>Product VJIEO</v>
      </c>
      <c r="K118" t="str">
        <f>VLOOKUP(VLOOKUP(B118,Product!A:D,4,FALSE),Category!A:B,2,FALSE)</f>
        <v>Condiments</v>
      </c>
      <c r="L118" s="24">
        <f>IFERROR(VLOOKUP(A118,'Sales Order'!A:D,4,FALSE),"")</f>
        <v>38956</v>
      </c>
      <c r="M118" s="24">
        <f>IFERROR(VLOOKUP(A118,'Sales Order'!A:F,6,FALSE),"")</f>
        <v>38964</v>
      </c>
      <c r="N118" t="str">
        <f>IFERROR(VLOOKUP(VLOOKUP(A118,'Sales Order'!A:G,7,FALSE),Shipper!A:B,2,FALSE),"Not Specified")</f>
        <v>Shipper ETYNR</v>
      </c>
      <c r="O118" t="str">
        <f>IFERROR(VLOOKUP(A118,'Sales Order'!A:I,9,FALSE),"Not Specified")</f>
        <v>Ship to 61-A</v>
      </c>
      <c r="P118" t="str">
        <f>IFERROR(VLOOKUP(A118,'Sales Order'!A:N,14,FALSE),"Not Specified")</f>
        <v>Brazil</v>
      </c>
      <c r="Q118" t="str">
        <f>VLOOKUP(VLOOKUP(B118,Product!A:C,3,FALSE),Supplier!A:B,2,FALSE)</f>
        <v>Supplier CIYNM</v>
      </c>
      <c r="R118" t="str">
        <f>VLOOKUP(VLOOKUP(B118,Product!A:C,3,FALSE),Supplier!A:I,9,FALSE)</f>
        <v>Singapore</v>
      </c>
      <c r="S118" t="str">
        <f>IFERROR(IF(VLOOKUP(A118,'Sales Order'!A:H,8,FALSE)&gt;100,"High Freight","Low Freight"),"Not Specified")</f>
        <v>Low Freight</v>
      </c>
      <c r="T118">
        <f t="shared" si="3"/>
        <v>334.8</v>
      </c>
    </row>
    <row r="119" spans="1:20">
      <c r="A119" s="9">
        <v>10291</v>
      </c>
      <c r="B119" s="6">
        <v>51</v>
      </c>
      <c r="C119" s="6">
        <v>42.4</v>
      </c>
      <c r="D119" s="6">
        <v>2</v>
      </c>
      <c r="E119" s="18">
        <v>0.1</v>
      </c>
      <c r="F119" s="6" t="str">
        <f>IFERROR(VLOOKUP(VLOOKUP(A119,'Sales Order'!A:B,2,FALSE),Customer!A:C,3,FALSE),"Not Specified")</f>
        <v>Florczyk, Krzysztof</v>
      </c>
      <c r="G119" s="6" t="str">
        <f t="shared" si="2"/>
        <v>Florczyk Krzysztof</v>
      </c>
      <c r="H119" s="22" t="str">
        <f>IFERROR(VLOOKUP(VLOOKUP(A119,'Sales Order'!A:C,3,FALSE),Employee!A:E,5,FALSE)&amp;" "&amp;VLOOKUP(VLOOKUP(A119,'Sales Order'!A:C,3,FALSE),Employee!A:C,3,FALSE)&amp;" "&amp;VLOOKUP(VLOOKUP(A119,'Sales Order'!A:C,3,FALSE),Employee!A:B,2,FALSE),"Not Specified")</f>
        <v>Mr. Paul Suurs</v>
      </c>
      <c r="I119">
        <f>IFERROR(VLOOKUP(VLOOKUP(A119,'Sales Order'!A:C,3,FALSE),Employee!A:J,10,FALSE),"Not Specified")</f>
        <v>0</v>
      </c>
      <c r="J119" t="str">
        <f>VLOOKUP(B119,Product!A:B,2,FALSE)</f>
        <v>Product APITJ</v>
      </c>
      <c r="K119" t="str">
        <f>VLOOKUP(VLOOKUP(B119,Product!A:D,4,FALSE),Category!A:B,2,FALSE)</f>
        <v>Produce</v>
      </c>
      <c r="L119" s="24">
        <f>IFERROR(VLOOKUP(A119,'Sales Order'!A:D,4,FALSE),"")</f>
        <v>38956</v>
      </c>
      <c r="M119" s="24">
        <f>IFERROR(VLOOKUP(A119,'Sales Order'!A:F,6,FALSE),"")</f>
        <v>38964</v>
      </c>
      <c r="N119" t="str">
        <f>IFERROR(VLOOKUP(VLOOKUP(A119,'Sales Order'!A:G,7,FALSE),Shipper!A:B,2,FALSE),"Not Specified")</f>
        <v>Shipper ETYNR</v>
      </c>
      <c r="O119" t="str">
        <f>IFERROR(VLOOKUP(A119,'Sales Order'!A:I,9,FALSE),"Not Specified")</f>
        <v>Ship to 61-A</v>
      </c>
      <c r="P119" t="str">
        <f>IFERROR(VLOOKUP(A119,'Sales Order'!A:N,14,FALSE),"Not Specified")</f>
        <v>Brazil</v>
      </c>
      <c r="Q119" t="str">
        <f>VLOOKUP(VLOOKUP(B119,Product!A:C,3,FALSE),Supplier!A:B,2,FALSE)</f>
        <v>Supplier JNNES</v>
      </c>
      <c r="R119" t="str">
        <f>VLOOKUP(VLOOKUP(B119,Product!A:C,3,FALSE),Supplier!A:I,9,FALSE)</f>
        <v>Australia</v>
      </c>
      <c r="S119" t="str">
        <f>IFERROR(IF(VLOOKUP(A119,'Sales Order'!A:H,8,FALSE)&gt;100,"High Freight","Low Freight"),"Not Specified")</f>
        <v>Low Freight</v>
      </c>
      <c r="T119">
        <f t="shared" si="3"/>
        <v>76.319999999999993</v>
      </c>
    </row>
    <row r="120" spans="1:20">
      <c r="A120" s="9">
        <v>10292</v>
      </c>
      <c r="B120" s="6">
        <v>20</v>
      </c>
      <c r="C120" s="6">
        <v>64.8</v>
      </c>
      <c r="D120" s="6">
        <v>20</v>
      </c>
      <c r="E120" s="18">
        <v>0</v>
      </c>
      <c r="F120" s="6" t="str">
        <f>IFERROR(VLOOKUP(VLOOKUP(A120,'Sales Order'!A:B,2,FALSE),Customer!A:C,3,FALSE),"Not Specified")</f>
        <v>Nagel, Jean-Philippe</v>
      </c>
      <c r="G120" s="6" t="str">
        <f t="shared" si="2"/>
        <v>Nagel Jean-Philippe</v>
      </c>
      <c r="H120" s="22" t="str">
        <f>IFERROR(VLOOKUP(VLOOKUP(A120,'Sales Order'!A:C,3,FALSE),Employee!A:E,5,FALSE)&amp;" "&amp;VLOOKUP(VLOOKUP(A120,'Sales Order'!A:C,3,FALSE),Employee!A:C,3,FALSE)&amp;" "&amp;VLOOKUP(VLOOKUP(A120,'Sales Order'!A:C,3,FALSE),Employee!A:B,2,FALSE),"Not Specified")</f>
        <v>Ms. Sara Davis</v>
      </c>
      <c r="I120" t="str">
        <f>IFERROR(VLOOKUP(VLOOKUP(A120,'Sales Order'!A:C,3,FALSE),Employee!A:J,10,FALSE),"Not Specified")</f>
        <v>WA</v>
      </c>
      <c r="J120" t="str">
        <f>VLOOKUP(B120,Product!A:B,2,FALSE)</f>
        <v>Product QHFFP</v>
      </c>
      <c r="K120" t="str">
        <f>VLOOKUP(VLOOKUP(B120,Product!A:D,4,FALSE),Category!A:B,2,FALSE)</f>
        <v>Confections</v>
      </c>
      <c r="L120" s="24">
        <f>IFERROR(VLOOKUP(A120,'Sales Order'!A:D,4,FALSE),"")</f>
        <v>38957</v>
      </c>
      <c r="M120" s="24">
        <f>IFERROR(VLOOKUP(A120,'Sales Order'!A:F,6,FALSE),"")</f>
        <v>38962</v>
      </c>
      <c r="N120" t="str">
        <f>IFERROR(VLOOKUP(VLOOKUP(A120,'Sales Order'!A:G,7,FALSE),Shipper!A:B,2,FALSE),"Not Specified")</f>
        <v>Shipper ETYNR</v>
      </c>
      <c r="O120" t="str">
        <f>IFERROR(VLOOKUP(A120,'Sales Order'!A:I,9,FALSE),"Not Specified")</f>
        <v>Ship to 81-A</v>
      </c>
      <c r="P120" t="str">
        <f>IFERROR(VLOOKUP(A120,'Sales Order'!A:N,14,FALSE),"Not Specified")</f>
        <v>Brazil</v>
      </c>
      <c r="Q120" t="str">
        <f>VLOOKUP(VLOOKUP(B120,Product!A:C,3,FALSE),Supplier!A:B,2,FALSE)</f>
        <v>Supplier BWGYE</v>
      </c>
      <c r="R120" t="str">
        <f>VLOOKUP(VLOOKUP(B120,Product!A:C,3,FALSE),Supplier!A:I,9,FALSE)</f>
        <v>UK</v>
      </c>
      <c r="S120" t="str">
        <f>IFERROR(IF(VLOOKUP(A120,'Sales Order'!A:H,8,FALSE)&gt;100,"High Freight","Low Freight"),"Not Specified")</f>
        <v>Low Freight</v>
      </c>
      <c r="T120">
        <f t="shared" si="3"/>
        <v>1296</v>
      </c>
    </row>
    <row r="121" spans="1:20">
      <c r="A121" s="9">
        <v>10293</v>
      </c>
      <c r="B121" s="6">
        <v>18</v>
      </c>
      <c r="C121" s="6">
        <v>50</v>
      </c>
      <c r="D121" s="6">
        <v>12</v>
      </c>
      <c r="E121" s="18">
        <v>0</v>
      </c>
      <c r="F121" s="6" t="str">
        <f>IFERROR(VLOOKUP(VLOOKUP(A121,'Sales Order'!A:B,2,FALSE),Customer!A:C,3,FALSE),"Not Specified")</f>
        <v>Geschwandtner, Jens</v>
      </c>
      <c r="G121" s="6" t="str">
        <f t="shared" si="2"/>
        <v>Geschwandtner Jens</v>
      </c>
      <c r="H121" s="22" t="str">
        <f>IFERROR(VLOOKUP(VLOOKUP(A121,'Sales Order'!A:C,3,FALSE),Employee!A:E,5,FALSE)&amp;" "&amp;VLOOKUP(VLOOKUP(A121,'Sales Order'!A:C,3,FALSE),Employee!A:C,3,FALSE)&amp;" "&amp;VLOOKUP(VLOOKUP(A121,'Sales Order'!A:C,3,FALSE),Employee!A:B,2,FALSE),"Not Specified")</f>
        <v>Ms. Sara Davis</v>
      </c>
      <c r="I121" t="str">
        <f>IFERROR(VLOOKUP(VLOOKUP(A121,'Sales Order'!A:C,3,FALSE),Employee!A:J,10,FALSE),"Not Specified")</f>
        <v>WA</v>
      </c>
      <c r="J121" t="str">
        <f>VLOOKUP(B121,Product!A:B,2,FALSE)</f>
        <v>Product CKEDC</v>
      </c>
      <c r="K121" t="str">
        <f>VLOOKUP(VLOOKUP(B121,Product!A:D,4,FALSE),Category!A:B,2,FALSE)</f>
        <v>Seafood</v>
      </c>
      <c r="L121" s="24">
        <f>IFERROR(VLOOKUP(A121,'Sales Order'!A:D,4,FALSE),"")</f>
        <v>38958</v>
      </c>
      <c r="M121" s="24">
        <f>IFERROR(VLOOKUP(A121,'Sales Order'!A:F,6,FALSE),"")</f>
        <v>38971</v>
      </c>
      <c r="N121" t="str">
        <f>IFERROR(VLOOKUP(VLOOKUP(A121,'Sales Order'!A:G,7,FALSE),Shipper!A:B,2,FALSE),"Not Specified")</f>
        <v>Shipper ZHISN</v>
      </c>
      <c r="O121" t="str">
        <f>IFERROR(VLOOKUP(A121,'Sales Order'!A:I,9,FALSE),"Not Specified")</f>
        <v>Ship to 80-B</v>
      </c>
      <c r="P121" t="str">
        <f>IFERROR(VLOOKUP(A121,'Sales Order'!A:N,14,FALSE),"Not Specified")</f>
        <v>Mexico</v>
      </c>
      <c r="Q121" t="str">
        <f>VLOOKUP(VLOOKUP(B121,Product!A:C,3,FALSE),Supplier!A:B,2,FALSE)</f>
        <v>Supplier GQRCV</v>
      </c>
      <c r="R121" t="str">
        <f>VLOOKUP(VLOOKUP(B121,Product!A:C,3,FALSE),Supplier!A:I,9,FALSE)</f>
        <v>Australia</v>
      </c>
      <c r="S121" t="str">
        <f>IFERROR(IF(VLOOKUP(A121,'Sales Order'!A:H,8,FALSE)&gt;100,"High Freight","Low Freight"),"Not Specified")</f>
        <v>Low Freight</v>
      </c>
      <c r="T121">
        <f t="shared" si="3"/>
        <v>600</v>
      </c>
    </row>
    <row r="122" spans="1:20">
      <c r="A122" s="9">
        <v>10293</v>
      </c>
      <c r="B122" s="6">
        <v>24</v>
      </c>
      <c r="C122" s="6">
        <v>3.6</v>
      </c>
      <c r="D122" s="6">
        <v>10</v>
      </c>
      <c r="E122" s="18">
        <v>0</v>
      </c>
      <c r="F122" s="6" t="str">
        <f>IFERROR(VLOOKUP(VLOOKUP(A122,'Sales Order'!A:B,2,FALSE),Customer!A:C,3,FALSE),"Not Specified")</f>
        <v>Geschwandtner, Jens</v>
      </c>
      <c r="G122" s="6" t="str">
        <f t="shared" si="2"/>
        <v>Geschwandtner Jens</v>
      </c>
      <c r="H122" s="22" t="str">
        <f>IFERROR(VLOOKUP(VLOOKUP(A122,'Sales Order'!A:C,3,FALSE),Employee!A:E,5,FALSE)&amp;" "&amp;VLOOKUP(VLOOKUP(A122,'Sales Order'!A:C,3,FALSE),Employee!A:C,3,FALSE)&amp;" "&amp;VLOOKUP(VLOOKUP(A122,'Sales Order'!A:C,3,FALSE),Employee!A:B,2,FALSE),"Not Specified")</f>
        <v>Ms. Sara Davis</v>
      </c>
      <c r="I122" t="str">
        <f>IFERROR(VLOOKUP(VLOOKUP(A122,'Sales Order'!A:C,3,FALSE),Employee!A:J,10,FALSE),"Not Specified")</f>
        <v>WA</v>
      </c>
      <c r="J122" t="str">
        <f>VLOOKUP(B122,Product!A:B,2,FALSE)</f>
        <v>Product QOGNU</v>
      </c>
      <c r="K122" t="str">
        <f>VLOOKUP(VLOOKUP(B122,Product!A:D,4,FALSE),Category!A:B,2,FALSE)</f>
        <v>Beverages</v>
      </c>
      <c r="L122" s="24">
        <f>IFERROR(VLOOKUP(A122,'Sales Order'!A:D,4,FALSE),"")</f>
        <v>38958</v>
      </c>
      <c r="M122" s="24">
        <f>IFERROR(VLOOKUP(A122,'Sales Order'!A:F,6,FALSE),"")</f>
        <v>38971</v>
      </c>
      <c r="N122" t="str">
        <f>IFERROR(VLOOKUP(VLOOKUP(A122,'Sales Order'!A:G,7,FALSE),Shipper!A:B,2,FALSE),"Not Specified")</f>
        <v>Shipper ZHISN</v>
      </c>
      <c r="O122" t="str">
        <f>IFERROR(VLOOKUP(A122,'Sales Order'!A:I,9,FALSE),"Not Specified")</f>
        <v>Ship to 80-B</v>
      </c>
      <c r="P122" t="str">
        <f>IFERROR(VLOOKUP(A122,'Sales Order'!A:N,14,FALSE),"Not Specified")</f>
        <v>Mexico</v>
      </c>
      <c r="Q122" t="str">
        <f>VLOOKUP(VLOOKUP(B122,Product!A:C,3,FALSE),Supplier!A:B,2,FALSE)</f>
        <v>Supplier UNAHG</v>
      </c>
      <c r="R122" t="str">
        <f>VLOOKUP(VLOOKUP(B122,Product!A:C,3,FALSE),Supplier!A:I,9,FALSE)</f>
        <v>Brazil</v>
      </c>
      <c r="S122" t="str">
        <f>IFERROR(IF(VLOOKUP(A122,'Sales Order'!A:H,8,FALSE)&gt;100,"High Freight","Low Freight"),"Not Specified")</f>
        <v>Low Freight</v>
      </c>
      <c r="T122">
        <f t="shared" si="3"/>
        <v>36</v>
      </c>
    </row>
    <row r="123" spans="1:20">
      <c r="A123" s="9">
        <v>10293</v>
      </c>
      <c r="B123" s="6">
        <v>63</v>
      </c>
      <c r="C123" s="6">
        <v>35.1</v>
      </c>
      <c r="D123" s="6">
        <v>5</v>
      </c>
      <c r="E123" s="18">
        <v>0</v>
      </c>
      <c r="F123" s="6" t="str">
        <f>IFERROR(VLOOKUP(VLOOKUP(A123,'Sales Order'!A:B,2,FALSE),Customer!A:C,3,FALSE),"Not Specified")</f>
        <v>Geschwandtner, Jens</v>
      </c>
      <c r="G123" s="6" t="str">
        <f t="shared" si="2"/>
        <v>Geschwandtner Jens</v>
      </c>
      <c r="H123" s="22" t="str">
        <f>IFERROR(VLOOKUP(VLOOKUP(A123,'Sales Order'!A:C,3,FALSE),Employee!A:E,5,FALSE)&amp;" "&amp;VLOOKUP(VLOOKUP(A123,'Sales Order'!A:C,3,FALSE),Employee!A:C,3,FALSE)&amp;" "&amp;VLOOKUP(VLOOKUP(A123,'Sales Order'!A:C,3,FALSE),Employee!A:B,2,FALSE),"Not Specified")</f>
        <v>Ms. Sara Davis</v>
      </c>
      <c r="I123" t="str">
        <f>IFERROR(VLOOKUP(VLOOKUP(A123,'Sales Order'!A:C,3,FALSE),Employee!A:J,10,FALSE),"Not Specified")</f>
        <v>WA</v>
      </c>
      <c r="J123" t="str">
        <f>VLOOKUP(B123,Product!A:B,2,FALSE)</f>
        <v>Product ICKNK</v>
      </c>
      <c r="K123" t="str">
        <f>VLOOKUP(VLOOKUP(B123,Product!A:D,4,FALSE),Category!A:B,2,FALSE)</f>
        <v>Condiments</v>
      </c>
      <c r="L123" s="24">
        <f>IFERROR(VLOOKUP(A123,'Sales Order'!A:D,4,FALSE),"")</f>
        <v>38958</v>
      </c>
      <c r="M123" s="24">
        <f>IFERROR(VLOOKUP(A123,'Sales Order'!A:F,6,FALSE),"")</f>
        <v>38971</v>
      </c>
      <c r="N123" t="str">
        <f>IFERROR(VLOOKUP(VLOOKUP(A123,'Sales Order'!A:G,7,FALSE),Shipper!A:B,2,FALSE),"Not Specified")</f>
        <v>Shipper ZHISN</v>
      </c>
      <c r="O123" t="str">
        <f>IFERROR(VLOOKUP(A123,'Sales Order'!A:I,9,FALSE),"Not Specified")</f>
        <v>Ship to 80-B</v>
      </c>
      <c r="P123" t="str">
        <f>IFERROR(VLOOKUP(A123,'Sales Order'!A:N,14,FALSE),"Not Specified")</f>
        <v>Mexico</v>
      </c>
      <c r="Q123" t="str">
        <f>VLOOKUP(VLOOKUP(B123,Product!A:C,3,FALSE),Supplier!A:B,2,FALSE)</f>
        <v>Supplier GQRCV</v>
      </c>
      <c r="R123" t="str">
        <f>VLOOKUP(VLOOKUP(B123,Product!A:C,3,FALSE),Supplier!A:I,9,FALSE)</f>
        <v>Australia</v>
      </c>
      <c r="S123" t="str">
        <f>IFERROR(IF(VLOOKUP(A123,'Sales Order'!A:H,8,FALSE)&gt;100,"High Freight","Low Freight"),"Not Specified")</f>
        <v>Low Freight</v>
      </c>
      <c r="T123">
        <f t="shared" si="3"/>
        <v>175.5</v>
      </c>
    </row>
    <row r="124" spans="1:20">
      <c r="A124" s="9">
        <v>10293</v>
      </c>
      <c r="B124" s="6">
        <v>75</v>
      </c>
      <c r="C124" s="6">
        <v>6.2</v>
      </c>
      <c r="D124" s="6">
        <v>6</v>
      </c>
      <c r="E124" s="18">
        <v>0</v>
      </c>
      <c r="F124" s="6" t="str">
        <f>IFERROR(VLOOKUP(VLOOKUP(A124,'Sales Order'!A:B,2,FALSE),Customer!A:C,3,FALSE),"Not Specified")</f>
        <v>Geschwandtner, Jens</v>
      </c>
      <c r="G124" s="6" t="str">
        <f t="shared" si="2"/>
        <v>Geschwandtner Jens</v>
      </c>
      <c r="H124" s="22" t="str">
        <f>IFERROR(VLOOKUP(VLOOKUP(A124,'Sales Order'!A:C,3,FALSE),Employee!A:E,5,FALSE)&amp;" "&amp;VLOOKUP(VLOOKUP(A124,'Sales Order'!A:C,3,FALSE),Employee!A:C,3,FALSE)&amp;" "&amp;VLOOKUP(VLOOKUP(A124,'Sales Order'!A:C,3,FALSE),Employee!A:B,2,FALSE),"Not Specified")</f>
        <v>Ms. Sara Davis</v>
      </c>
      <c r="I124" t="str">
        <f>IFERROR(VLOOKUP(VLOOKUP(A124,'Sales Order'!A:C,3,FALSE),Employee!A:J,10,FALSE),"Not Specified")</f>
        <v>WA</v>
      </c>
      <c r="J124" t="str">
        <f>VLOOKUP(B124,Product!A:B,2,FALSE)</f>
        <v>Product BWRLG</v>
      </c>
      <c r="K124" t="str">
        <f>VLOOKUP(VLOOKUP(B124,Product!A:D,4,FALSE),Category!A:B,2,FALSE)</f>
        <v>Beverages</v>
      </c>
      <c r="L124" s="24">
        <f>IFERROR(VLOOKUP(A124,'Sales Order'!A:D,4,FALSE),"")</f>
        <v>38958</v>
      </c>
      <c r="M124" s="24">
        <f>IFERROR(VLOOKUP(A124,'Sales Order'!A:F,6,FALSE),"")</f>
        <v>38971</v>
      </c>
      <c r="N124" t="str">
        <f>IFERROR(VLOOKUP(VLOOKUP(A124,'Sales Order'!A:G,7,FALSE),Shipper!A:B,2,FALSE),"Not Specified")</f>
        <v>Shipper ZHISN</v>
      </c>
      <c r="O124" t="str">
        <f>IFERROR(VLOOKUP(A124,'Sales Order'!A:I,9,FALSE),"Not Specified")</f>
        <v>Ship to 80-B</v>
      </c>
      <c r="P124" t="str">
        <f>IFERROR(VLOOKUP(A124,'Sales Order'!A:N,14,FALSE),"Not Specified")</f>
        <v>Mexico</v>
      </c>
      <c r="Q124" t="str">
        <f>VLOOKUP(VLOOKUP(B124,Product!A:C,3,FALSE),Supplier!A:B,2,FALSE)</f>
        <v>Supplier SVIYA</v>
      </c>
      <c r="R124" t="str">
        <f>VLOOKUP(VLOOKUP(B124,Product!A:C,3,FALSE),Supplier!A:I,9,FALSE)</f>
        <v>Germany</v>
      </c>
      <c r="S124" t="str">
        <f>IFERROR(IF(VLOOKUP(A124,'Sales Order'!A:H,8,FALSE)&gt;100,"High Freight","Low Freight"),"Not Specified")</f>
        <v>Low Freight</v>
      </c>
      <c r="T124">
        <f t="shared" si="3"/>
        <v>37.200000000000003</v>
      </c>
    </row>
    <row r="125" spans="1:20">
      <c r="A125" s="9">
        <v>10294</v>
      </c>
      <c r="B125" s="6">
        <v>1</v>
      </c>
      <c r="C125" s="6">
        <v>14.4</v>
      </c>
      <c r="D125" s="6">
        <v>18</v>
      </c>
      <c r="E125" s="18">
        <v>0</v>
      </c>
      <c r="F125" s="6" t="str">
        <f>IFERROR(VLOOKUP(VLOOKUP(A125,'Sales Order'!A:B,2,FALSE),Customer!A:C,3,FALSE),"Not Specified")</f>
        <v>Moore, Michael</v>
      </c>
      <c r="G125" s="6" t="str">
        <f t="shared" si="2"/>
        <v>Moore Michael</v>
      </c>
      <c r="H125" s="22" t="str">
        <f>IFERROR(VLOOKUP(VLOOKUP(A125,'Sales Order'!A:C,3,FALSE),Employee!A:E,5,FALSE)&amp;" "&amp;VLOOKUP(VLOOKUP(A125,'Sales Order'!A:C,3,FALSE),Employee!A:C,3,FALSE)&amp;" "&amp;VLOOKUP(VLOOKUP(A125,'Sales Order'!A:C,3,FALSE),Employee!A:B,2,FALSE),"Not Specified")</f>
        <v>Mrs. Yael Peled</v>
      </c>
      <c r="I125" t="str">
        <f>IFERROR(VLOOKUP(VLOOKUP(A125,'Sales Order'!A:C,3,FALSE),Employee!A:J,10,FALSE),"Not Specified")</f>
        <v>WA</v>
      </c>
      <c r="J125" t="str">
        <f>VLOOKUP(B125,Product!A:B,2,FALSE)</f>
        <v>Product HHYDP</v>
      </c>
      <c r="K125" t="str">
        <f>VLOOKUP(VLOOKUP(B125,Product!A:D,4,FALSE),Category!A:B,2,FALSE)</f>
        <v>Beverages</v>
      </c>
      <c r="L125" s="24">
        <f>IFERROR(VLOOKUP(A125,'Sales Order'!A:D,4,FALSE),"")</f>
        <v>38959</v>
      </c>
      <c r="M125" s="24">
        <f>IFERROR(VLOOKUP(A125,'Sales Order'!A:F,6,FALSE),"")</f>
        <v>38965</v>
      </c>
      <c r="N125" t="str">
        <f>IFERROR(VLOOKUP(VLOOKUP(A125,'Sales Order'!A:G,7,FALSE),Shipper!A:B,2,FALSE),"Not Specified")</f>
        <v>Shipper ETYNR</v>
      </c>
      <c r="O125" t="str">
        <f>IFERROR(VLOOKUP(A125,'Sales Order'!A:I,9,FALSE),"Not Specified")</f>
        <v>Ship to 65-A</v>
      </c>
      <c r="P125" t="str">
        <f>IFERROR(VLOOKUP(A125,'Sales Order'!A:N,14,FALSE),"Not Specified")</f>
        <v>USA</v>
      </c>
      <c r="Q125" t="str">
        <f>VLOOKUP(VLOOKUP(B125,Product!A:C,3,FALSE),Supplier!A:B,2,FALSE)</f>
        <v>Supplier SWRXU</v>
      </c>
      <c r="R125" t="str">
        <f>VLOOKUP(VLOOKUP(B125,Product!A:C,3,FALSE),Supplier!A:I,9,FALSE)</f>
        <v>UK</v>
      </c>
      <c r="S125" t="str">
        <f>IFERROR(IF(VLOOKUP(A125,'Sales Order'!A:H,8,FALSE)&gt;100,"High Freight","Low Freight"),"Not Specified")</f>
        <v>High Freight</v>
      </c>
      <c r="T125">
        <f t="shared" si="3"/>
        <v>259.2</v>
      </c>
    </row>
    <row r="126" spans="1:20">
      <c r="A126" s="9">
        <v>10294</v>
      </c>
      <c r="B126" s="6">
        <v>17</v>
      </c>
      <c r="C126" s="6">
        <v>31.2</v>
      </c>
      <c r="D126" s="6">
        <v>15</v>
      </c>
      <c r="E126" s="18">
        <v>0</v>
      </c>
      <c r="F126" s="6" t="str">
        <f>IFERROR(VLOOKUP(VLOOKUP(A126,'Sales Order'!A:B,2,FALSE),Customer!A:C,3,FALSE),"Not Specified")</f>
        <v>Moore, Michael</v>
      </c>
      <c r="G126" s="6" t="str">
        <f t="shared" si="2"/>
        <v>Moore Michael</v>
      </c>
      <c r="H126" s="22" t="str">
        <f>IFERROR(VLOOKUP(VLOOKUP(A126,'Sales Order'!A:C,3,FALSE),Employee!A:E,5,FALSE)&amp;" "&amp;VLOOKUP(VLOOKUP(A126,'Sales Order'!A:C,3,FALSE),Employee!A:C,3,FALSE)&amp;" "&amp;VLOOKUP(VLOOKUP(A126,'Sales Order'!A:C,3,FALSE),Employee!A:B,2,FALSE),"Not Specified")</f>
        <v>Mrs. Yael Peled</v>
      </c>
      <c r="I126" t="str">
        <f>IFERROR(VLOOKUP(VLOOKUP(A126,'Sales Order'!A:C,3,FALSE),Employee!A:J,10,FALSE),"Not Specified")</f>
        <v>WA</v>
      </c>
      <c r="J126" t="str">
        <f>VLOOKUP(B126,Product!A:B,2,FALSE)</f>
        <v>Product BLCAX</v>
      </c>
      <c r="K126" t="str">
        <f>VLOOKUP(VLOOKUP(B126,Product!A:D,4,FALSE),Category!A:B,2,FALSE)</f>
        <v>Meat/Poultry</v>
      </c>
      <c r="L126" s="24">
        <f>IFERROR(VLOOKUP(A126,'Sales Order'!A:D,4,FALSE),"")</f>
        <v>38959</v>
      </c>
      <c r="M126" s="24">
        <f>IFERROR(VLOOKUP(A126,'Sales Order'!A:F,6,FALSE),"")</f>
        <v>38965</v>
      </c>
      <c r="N126" t="str">
        <f>IFERROR(VLOOKUP(VLOOKUP(A126,'Sales Order'!A:G,7,FALSE),Shipper!A:B,2,FALSE),"Not Specified")</f>
        <v>Shipper ETYNR</v>
      </c>
      <c r="O126" t="str">
        <f>IFERROR(VLOOKUP(A126,'Sales Order'!A:I,9,FALSE),"Not Specified")</f>
        <v>Ship to 65-A</v>
      </c>
      <c r="P126" t="str">
        <f>IFERROR(VLOOKUP(A126,'Sales Order'!A:N,14,FALSE),"Not Specified")</f>
        <v>USA</v>
      </c>
      <c r="Q126" t="str">
        <f>VLOOKUP(VLOOKUP(B126,Product!A:C,3,FALSE),Supplier!A:B,2,FALSE)</f>
        <v>Supplier GQRCV</v>
      </c>
      <c r="R126" t="str">
        <f>VLOOKUP(VLOOKUP(B126,Product!A:C,3,FALSE),Supplier!A:I,9,FALSE)</f>
        <v>Australia</v>
      </c>
      <c r="S126" t="str">
        <f>IFERROR(IF(VLOOKUP(A126,'Sales Order'!A:H,8,FALSE)&gt;100,"High Freight","Low Freight"),"Not Specified")</f>
        <v>High Freight</v>
      </c>
      <c r="T126">
        <f t="shared" si="3"/>
        <v>468</v>
      </c>
    </row>
    <row r="127" spans="1:20">
      <c r="A127" s="9">
        <v>10294</v>
      </c>
      <c r="B127" s="6">
        <v>43</v>
      </c>
      <c r="C127" s="6">
        <v>36.799999999999997</v>
      </c>
      <c r="D127" s="6">
        <v>15</v>
      </c>
      <c r="E127" s="18">
        <v>0</v>
      </c>
      <c r="F127" s="6" t="str">
        <f>IFERROR(VLOOKUP(VLOOKUP(A127,'Sales Order'!A:B,2,FALSE),Customer!A:C,3,FALSE),"Not Specified")</f>
        <v>Moore, Michael</v>
      </c>
      <c r="G127" s="6" t="str">
        <f t="shared" si="2"/>
        <v>Moore Michael</v>
      </c>
      <c r="H127" s="22" t="str">
        <f>IFERROR(VLOOKUP(VLOOKUP(A127,'Sales Order'!A:C,3,FALSE),Employee!A:E,5,FALSE)&amp;" "&amp;VLOOKUP(VLOOKUP(A127,'Sales Order'!A:C,3,FALSE),Employee!A:C,3,FALSE)&amp;" "&amp;VLOOKUP(VLOOKUP(A127,'Sales Order'!A:C,3,FALSE),Employee!A:B,2,FALSE),"Not Specified")</f>
        <v>Mrs. Yael Peled</v>
      </c>
      <c r="I127" t="str">
        <f>IFERROR(VLOOKUP(VLOOKUP(A127,'Sales Order'!A:C,3,FALSE),Employee!A:J,10,FALSE),"Not Specified")</f>
        <v>WA</v>
      </c>
      <c r="J127" t="str">
        <f>VLOOKUP(B127,Product!A:B,2,FALSE)</f>
        <v>Product ZZZHR</v>
      </c>
      <c r="K127" t="str">
        <f>VLOOKUP(VLOOKUP(B127,Product!A:D,4,FALSE),Category!A:B,2,FALSE)</f>
        <v>Beverages</v>
      </c>
      <c r="L127" s="24">
        <f>IFERROR(VLOOKUP(A127,'Sales Order'!A:D,4,FALSE),"")</f>
        <v>38959</v>
      </c>
      <c r="M127" s="24">
        <f>IFERROR(VLOOKUP(A127,'Sales Order'!A:F,6,FALSE),"")</f>
        <v>38965</v>
      </c>
      <c r="N127" t="str">
        <f>IFERROR(VLOOKUP(VLOOKUP(A127,'Sales Order'!A:G,7,FALSE),Shipper!A:B,2,FALSE),"Not Specified")</f>
        <v>Shipper ETYNR</v>
      </c>
      <c r="O127" t="str">
        <f>IFERROR(VLOOKUP(A127,'Sales Order'!A:I,9,FALSE),"Not Specified")</f>
        <v>Ship to 65-A</v>
      </c>
      <c r="P127" t="str">
        <f>IFERROR(VLOOKUP(A127,'Sales Order'!A:N,14,FALSE),"Not Specified")</f>
        <v>USA</v>
      </c>
      <c r="Q127" t="str">
        <f>VLOOKUP(VLOOKUP(B127,Product!A:C,3,FALSE),Supplier!A:B,2,FALSE)</f>
        <v>Supplier CIYNM</v>
      </c>
      <c r="R127" t="str">
        <f>VLOOKUP(VLOOKUP(B127,Product!A:C,3,FALSE),Supplier!A:I,9,FALSE)</f>
        <v>Singapore</v>
      </c>
      <c r="S127" t="str">
        <f>IFERROR(IF(VLOOKUP(A127,'Sales Order'!A:H,8,FALSE)&gt;100,"High Freight","Low Freight"),"Not Specified")</f>
        <v>High Freight</v>
      </c>
      <c r="T127">
        <f t="shared" si="3"/>
        <v>552</v>
      </c>
    </row>
    <row r="128" spans="1:20">
      <c r="A128" s="9">
        <v>10294</v>
      </c>
      <c r="B128" s="6">
        <v>60</v>
      </c>
      <c r="C128" s="6">
        <v>27.2</v>
      </c>
      <c r="D128" s="6">
        <v>21</v>
      </c>
      <c r="E128" s="18">
        <v>0</v>
      </c>
      <c r="F128" s="6" t="str">
        <f>IFERROR(VLOOKUP(VLOOKUP(A128,'Sales Order'!A:B,2,FALSE),Customer!A:C,3,FALSE),"Not Specified")</f>
        <v>Moore, Michael</v>
      </c>
      <c r="G128" s="6" t="str">
        <f t="shared" si="2"/>
        <v>Moore Michael</v>
      </c>
      <c r="H128" s="22" t="str">
        <f>IFERROR(VLOOKUP(VLOOKUP(A128,'Sales Order'!A:C,3,FALSE),Employee!A:E,5,FALSE)&amp;" "&amp;VLOOKUP(VLOOKUP(A128,'Sales Order'!A:C,3,FALSE),Employee!A:C,3,FALSE)&amp;" "&amp;VLOOKUP(VLOOKUP(A128,'Sales Order'!A:C,3,FALSE),Employee!A:B,2,FALSE),"Not Specified")</f>
        <v>Mrs. Yael Peled</v>
      </c>
      <c r="I128" t="str">
        <f>IFERROR(VLOOKUP(VLOOKUP(A128,'Sales Order'!A:C,3,FALSE),Employee!A:J,10,FALSE),"Not Specified")</f>
        <v>WA</v>
      </c>
      <c r="J128" t="str">
        <f>VLOOKUP(B128,Product!A:B,2,FALSE)</f>
        <v>Product WHBYK</v>
      </c>
      <c r="K128" t="str">
        <f>VLOOKUP(VLOOKUP(B128,Product!A:D,4,FALSE),Category!A:B,2,FALSE)</f>
        <v>Dairy Product</v>
      </c>
      <c r="L128" s="24">
        <f>IFERROR(VLOOKUP(A128,'Sales Order'!A:D,4,FALSE),"")</f>
        <v>38959</v>
      </c>
      <c r="M128" s="24">
        <f>IFERROR(VLOOKUP(A128,'Sales Order'!A:F,6,FALSE),"")</f>
        <v>38965</v>
      </c>
      <c r="N128" t="str">
        <f>IFERROR(VLOOKUP(VLOOKUP(A128,'Sales Order'!A:G,7,FALSE),Shipper!A:B,2,FALSE),"Not Specified")</f>
        <v>Shipper ETYNR</v>
      </c>
      <c r="O128" t="str">
        <f>IFERROR(VLOOKUP(A128,'Sales Order'!A:I,9,FALSE),"Not Specified")</f>
        <v>Ship to 65-A</v>
      </c>
      <c r="P128" t="str">
        <f>IFERROR(VLOOKUP(A128,'Sales Order'!A:N,14,FALSE),"Not Specified")</f>
        <v>USA</v>
      </c>
      <c r="Q128" t="str">
        <f>VLOOKUP(VLOOKUP(B128,Product!A:C,3,FALSE),Supplier!A:B,2,FALSE)</f>
        <v>Supplier OAVQT</v>
      </c>
      <c r="R128" t="str">
        <f>VLOOKUP(VLOOKUP(B128,Product!A:C,3,FALSE),Supplier!A:I,9,FALSE)</f>
        <v>France</v>
      </c>
      <c r="S128" t="str">
        <f>IFERROR(IF(VLOOKUP(A128,'Sales Order'!A:H,8,FALSE)&gt;100,"High Freight","Low Freight"),"Not Specified")</f>
        <v>High Freight</v>
      </c>
      <c r="T128">
        <f t="shared" si="3"/>
        <v>571.19999999999993</v>
      </c>
    </row>
    <row r="129" spans="1:20">
      <c r="A129" s="9">
        <v>10294</v>
      </c>
      <c r="B129" s="6">
        <v>75</v>
      </c>
      <c r="C129" s="6">
        <v>6.2</v>
      </c>
      <c r="D129" s="6">
        <v>6</v>
      </c>
      <c r="E129" s="18">
        <v>0</v>
      </c>
      <c r="F129" s="6" t="str">
        <f>IFERROR(VLOOKUP(VLOOKUP(A129,'Sales Order'!A:B,2,FALSE),Customer!A:C,3,FALSE),"Not Specified")</f>
        <v>Moore, Michael</v>
      </c>
      <c r="G129" s="6" t="str">
        <f t="shared" si="2"/>
        <v>Moore Michael</v>
      </c>
      <c r="H129" s="22" t="str">
        <f>IFERROR(VLOOKUP(VLOOKUP(A129,'Sales Order'!A:C,3,FALSE),Employee!A:E,5,FALSE)&amp;" "&amp;VLOOKUP(VLOOKUP(A129,'Sales Order'!A:C,3,FALSE),Employee!A:C,3,FALSE)&amp;" "&amp;VLOOKUP(VLOOKUP(A129,'Sales Order'!A:C,3,FALSE),Employee!A:B,2,FALSE),"Not Specified")</f>
        <v>Mrs. Yael Peled</v>
      </c>
      <c r="I129" t="str">
        <f>IFERROR(VLOOKUP(VLOOKUP(A129,'Sales Order'!A:C,3,FALSE),Employee!A:J,10,FALSE),"Not Specified")</f>
        <v>WA</v>
      </c>
      <c r="J129" t="str">
        <f>VLOOKUP(B129,Product!A:B,2,FALSE)</f>
        <v>Product BWRLG</v>
      </c>
      <c r="K129" t="str">
        <f>VLOOKUP(VLOOKUP(B129,Product!A:D,4,FALSE),Category!A:B,2,FALSE)</f>
        <v>Beverages</v>
      </c>
      <c r="L129" s="24">
        <f>IFERROR(VLOOKUP(A129,'Sales Order'!A:D,4,FALSE),"")</f>
        <v>38959</v>
      </c>
      <c r="M129" s="24">
        <f>IFERROR(VLOOKUP(A129,'Sales Order'!A:F,6,FALSE),"")</f>
        <v>38965</v>
      </c>
      <c r="N129" t="str">
        <f>IFERROR(VLOOKUP(VLOOKUP(A129,'Sales Order'!A:G,7,FALSE),Shipper!A:B,2,FALSE),"Not Specified")</f>
        <v>Shipper ETYNR</v>
      </c>
      <c r="O129" t="str">
        <f>IFERROR(VLOOKUP(A129,'Sales Order'!A:I,9,FALSE),"Not Specified")</f>
        <v>Ship to 65-A</v>
      </c>
      <c r="P129" t="str">
        <f>IFERROR(VLOOKUP(A129,'Sales Order'!A:N,14,FALSE),"Not Specified")</f>
        <v>USA</v>
      </c>
      <c r="Q129" t="str">
        <f>VLOOKUP(VLOOKUP(B129,Product!A:C,3,FALSE),Supplier!A:B,2,FALSE)</f>
        <v>Supplier SVIYA</v>
      </c>
      <c r="R129" t="str">
        <f>VLOOKUP(VLOOKUP(B129,Product!A:C,3,FALSE),Supplier!A:I,9,FALSE)</f>
        <v>Germany</v>
      </c>
      <c r="S129" t="str">
        <f>IFERROR(IF(VLOOKUP(A129,'Sales Order'!A:H,8,FALSE)&gt;100,"High Freight","Low Freight"),"Not Specified")</f>
        <v>High Freight</v>
      </c>
      <c r="T129">
        <f t="shared" si="3"/>
        <v>37.200000000000003</v>
      </c>
    </row>
    <row r="130" spans="1:20">
      <c r="A130" s="9">
        <v>10295</v>
      </c>
      <c r="B130" s="6">
        <v>56</v>
      </c>
      <c r="C130" s="6">
        <v>30.4</v>
      </c>
      <c r="D130" s="6">
        <v>4</v>
      </c>
      <c r="E130" s="18">
        <v>0</v>
      </c>
      <c r="F130" s="6" t="str">
        <f>IFERROR(VLOOKUP(VLOOKUP(A130,'Sales Order'!A:B,2,FALSE),Customer!A:C,3,FALSE),"Not Specified")</f>
        <v>McLin, Nkenge</v>
      </c>
      <c r="G130" s="6" t="str">
        <f t="shared" si="2"/>
        <v>McLin Nkenge</v>
      </c>
      <c r="H130" s="22" t="str">
        <f>IFERROR(VLOOKUP(VLOOKUP(A130,'Sales Order'!A:C,3,FALSE),Employee!A:E,5,FALSE)&amp;" "&amp;VLOOKUP(VLOOKUP(A130,'Sales Order'!A:C,3,FALSE),Employee!A:C,3,FALSE)&amp;" "&amp;VLOOKUP(VLOOKUP(A130,'Sales Order'!A:C,3,FALSE),Employee!A:B,2,FALSE),"Not Specified")</f>
        <v>Dr. Don Funk</v>
      </c>
      <c r="I130" t="str">
        <f>IFERROR(VLOOKUP(VLOOKUP(A130,'Sales Order'!A:C,3,FALSE),Employee!A:J,10,FALSE),"Not Specified")</f>
        <v>WA</v>
      </c>
      <c r="J130" t="str">
        <f>VLOOKUP(B130,Product!A:B,2,FALSE)</f>
        <v>Product VKCMF</v>
      </c>
      <c r="K130" t="str">
        <f>VLOOKUP(VLOOKUP(B130,Product!A:D,4,FALSE),Category!A:B,2,FALSE)</f>
        <v>Grains/Cereals</v>
      </c>
      <c r="L130" s="24">
        <f>IFERROR(VLOOKUP(A130,'Sales Order'!A:D,4,FALSE),"")</f>
        <v>38962</v>
      </c>
      <c r="M130" s="24">
        <f>IFERROR(VLOOKUP(A130,'Sales Order'!A:F,6,FALSE),"")</f>
        <v>38970</v>
      </c>
      <c r="N130" t="str">
        <f>IFERROR(VLOOKUP(VLOOKUP(A130,'Sales Order'!A:G,7,FALSE),Shipper!A:B,2,FALSE),"Not Specified")</f>
        <v>Shipper ETYNR</v>
      </c>
      <c r="O130" t="str">
        <f>IFERROR(VLOOKUP(A130,'Sales Order'!A:I,9,FALSE),"Not Specified")</f>
        <v>Ship to 85-C</v>
      </c>
      <c r="P130" t="str">
        <f>IFERROR(VLOOKUP(A130,'Sales Order'!A:N,14,FALSE),"Not Specified")</f>
        <v>France</v>
      </c>
      <c r="Q130" t="str">
        <f>VLOOKUP(VLOOKUP(B130,Product!A:C,3,FALSE),Supplier!A:B,2,FALSE)</f>
        <v>Supplier ZWZDM</v>
      </c>
      <c r="R130" t="str">
        <f>VLOOKUP(VLOOKUP(B130,Product!A:C,3,FALSE),Supplier!A:I,9,FALSE)</f>
        <v>Italy</v>
      </c>
      <c r="S130" t="str">
        <f>IFERROR(IF(VLOOKUP(A130,'Sales Order'!A:H,8,FALSE)&gt;100,"High Freight","Low Freight"),"Not Specified")</f>
        <v>Low Freight</v>
      </c>
      <c r="T130">
        <f t="shared" si="3"/>
        <v>121.6</v>
      </c>
    </row>
    <row r="131" spans="1:20">
      <c r="A131" s="9">
        <v>10296</v>
      </c>
      <c r="B131" s="6">
        <v>11</v>
      </c>
      <c r="C131" s="6">
        <v>16.8</v>
      </c>
      <c r="D131" s="6">
        <v>12</v>
      </c>
      <c r="E131" s="18">
        <v>0</v>
      </c>
      <c r="F131" s="6" t="str">
        <f>IFERROR(VLOOKUP(VLOOKUP(A131,'Sales Order'!A:B,2,FALSE),Customer!A:C,3,FALSE),"Not Specified")</f>
        <v>Dressler, Marlies</v>
      </c>
      <c r="G131" s="6" t="str">
        <f t="shared" ref="G131:G194" si="4">SUBSTITUTE(F131,",","",1)</f>
        <v>Dressler Marlies</v>
      </c>
      <c r="H131" s="22" t="str">
        <f>IFERROR(VLOOKUP(VLOOKUP(A131,'Sales Order'!A:C,3,FALSE),Employee!A:E,5,FALSE)&amp;" "&amp;VLOOKUP(VLOOKUP(A131,'Sales Order'!A:C,3,FALSE),Employee!A:C,3,FALSE)&amp;" "&amp;VLOOKUP(VLOOKUP(A131,'Sales Order'!A:C,3,FALSE),Employee!A:B,2,FALSE),"Not Specified")</f>
        <v>Mr. Paul Suurs</v>
      </c>
      <c r="I131">
        <f>IFERROR(VLOOKUP(VLOOKUP(A131,'Sales Order'!A:C,3,FALSE),Employee!A:J,10,FALSE),"Not Specified")</f>
        <v>0</v>
      </c>
      <c r="J131" t="str">
        <f>VLOOKUP(B131,Product!A:B,2,FALSE)</f>
        <v>Product QMVUN</v>
      </c>
      <c r="K131" t="str">
        <f>VLOOKUP(VLOOKUP(B131,Product!A:D,4,FALSE),Category!A:B,2,FALSE)</f>
        <v>Dairy Product</v>
      </c>
      <c r="L131" s="24">
        <f>IFERROR(VLOOKUP(A131,'Sales Order'!A:D,4,FALSE),"")</f>
        <v>38963</v>
      </c>
      <c r="M131" s="24">
        <f>IFERROR(VLOOKUP(A131,'Sales Order'!A:F,6,FALSE),"")</f>
        <v>38971</v>
      </c>
      <c r="N131" t="str">
        <f>IFERROR(VLOOKUP(VLOOKUP(A131,'Sales Order'!A:G,7,FALSE),Shipper!A:B,2,FALSE),"Not Specified")</f>
        <v>Shipper GVSUA</v>
      </c>
      <c r="O131" t="str">
        <f>IFERROR(VLOOKUP(A131,'Sales Order'!A:I,9,FALSE),"Not Specified")</f>
        <v>Ship to 46-C</v>
      </c>
      <c r="P131" t="str">
        <f>IFERROR(VLOOKUP(A131,'Sales Order'!A:N,14,FALSE),"Not Specified")</f>
        <v>Venezuela</v>
      </c>
      <c r="Q131" t="str">
        <f>VLOOKUP(VLOOKUP(B131,Product!A:C,3,FALSE),Supplier!A:B,2,FALSE)</f>
        <v>Supplier EQPNC</v>
      </c>
      <c r="R131" t="str">
        <f>VLOOKUP(VLOOKUP(B131,Product!A:C,3,FALSE),Supplier!A:I,9,FALSE)</f>
        <v>Spain</v>
      </c>
      <c r="S131" t="str">
        <f>IFERROR(IF(VLOOKUP(A131,'Sales Order'!A:H,8,FALSE)&gt;100,"High Freight","Low Freight"),"Not Specified")</f>
        <v>Low Freight</v>
      </c>
      <c r="T131">
        <f t="shared" ref="T131:T194" si="5">C131*D131*(1-E131)</f>
        <v>201.60000000000002</v>
      </c>
    </row>
    <row r="132" spans="1:20">
      <c r="A132" s="9">
        <v>10296</v>
      </c>
      <c r="B132" s="6">
        <v>16</v>
      </c>
      <c r="C132" s="6">
        <v>13.9</v>
      </c>
      <c r="D132" s="6">
        <v>30</v>
      </c>
      <c r="E132" s="18">
        <v>0</v>
      </c>
      <c r="F132" s="6" t="str">
        <f>IFERROR(VLOOKUP(VLOOKUP(A132,'Sales Order'!A:B,2,FALSE),Customer!A:C,3,FALSE),"Not Specified")</f>
        <v>Dressler, Marlies</v>
      </c>
      <c r="G132" s="6" t="str">
        <f t="shared" si="4"/>
        <v>Dressler Marlies</v>
      </c>
      <c r="H132" s="22" t="str">
        <f>IFERROR(VLOOKUP(VLOOKUP(A132,'Sales Order'!A:C,3,FALSE),Employee!A:E,5,FALSE)&amp;" "&amp;VLOOKUP(VLOOKUP(A132,'Sales Order'!A:C,3,FALSE),Employee!A:C,3,FALSE)&amp;" "&amp;VLOOKUP(VLOOKUP(A132,'Sales Order'!A:C,3,FALSE),Employee!A:B,2,FALSE),"Not Specified")</f>
        <v>Mr. Paul Suurs</v>
      </c>
      <c r="I132">
        <f>IFERROR(VLOOKUP(VLOOKUP(A132,'Sales Order'!A:C,3,FALSE),Employee!A:J,10,FALSE),"Not Specified")</f>
        <v>0</v>
      </c>
      <c r="J132" t="str">
        <f>VLOOKUP(B132,Product!A:B,2,FALSE)</f>
        <v>Product PAFRH</v>
      </c>
      <c r="K132" t="str">
        <f>VLOOKUP(VLOOKUP(B132,Product!A:D,4,FALSE),Category!A:B,2,FALSE)</f>
        <v>Confections</v>
      </c>
      <c r="L132" s="24">
        <f>IFERROR(VLOOKUP(A132,'Sales Order'!A:D,4,FALSE),"")</f>
        <v>38963</v>
      </c>
      <c r="M132" s="24">
        <f>IFERROR(VLOOKUP(A132,'Sales Order'!A:F,6,FALSE),"")</f>
        <v>38971</v>
      </c>
      <c r="N132" t="str">
        <f>IFERROR(VLOOKUP(VLOOKUP(A132,'Sales Order'!A:G,7,FALSE),Shipper!A:B,2,FALSE),"Not Specified")</f>
        <v>Shipper GVSUA</v>
      </c>
      <c r="O132" t="str">
        <f>IFERROR(VLOOKUP(A132,'Sales Order'!A:I,9,FALSE),"Not Specified")</f>
        <v>Ship to 46-C</v>
      </c>
      <c r="P132" t="str">
        <f>IFERROR(VLOOKUP(A132,'Sales Order'!A:N,14,FALSE),"Not Specified")</f>
        <v>Venezuela</v>
      </c>
      <c r="Q132" t="str">
        <f>VLOOKUP(VLOOKUP(B132,Product!A:C,3,FALSE),Supplier!A:B,2,FALSE)</f>
        <v>Supplier GQRCV</v>
      </c>
      <c r="R132" t="str">
        <f>VLOOKUP(VLOOKUP(B132,Product!A:C,3,FALSE),Supplier!A:I,9,FALSE)</f>
        <v>Australia</v>
      </c>
      <c r="S132" t="str">
        <f>IFERROR(IF(VLOOKUP(A132,'Sales Order'!A:H,8,FALSE)&gt;100,"High Freight","Low Freight"),"Not Specified")</f>
        <v>Low Freight</v>
      </c>
      <c r="T132">
        <f t="shared" si="5"/>
        <v>417</v>
      </c>
    </row>
    <row r="133" spans="1:20">
      <c r="A133" s="9">
        <v>10296</v>
      </c>
      <c r="B133" s="6">
        <v>69</v>
      </c>
      <c r="C133" s="6">
        <v>28.8</v>
      </c>
      <c r="D133" s="6">
        <v>15</v>
      </c>
      <c r="E133" s="18">
        <v>0</v>
      </c>
      <c r="F133" s="6" t="str">
        <f>IFERROR(VLOOKUP(VLOOKUP(A133,'Sales Order'!A:B,2,FALSE),Customer!A:C,3,FALSE),"Not Specified")</f>
        <v>Dressler, Marlies</v>
      </c>
      <c r="G133" s="6" t="str">
        <f t="shared" si="4"/>
        <v>Dressler Marlies</v>
      </c>
      <c r="H133" s="22" t="str">
        <f>IFERROR(VLOOKUP(VLOOKUP(A133,'Sales Order'!A:C,3,FALSE),Employee!A:E,5,FALSE)&amp;" "&amp;VLOOKUP(VLOOKUP(A133,'Sales Order'!A:C,3,FALSE),Employee!A:C,3,FALSE)&amp;" "&amp;VLOOKUP(VLOOKUP(A133,'Sales Order'!A:C,3,FALSE),Employee!A:B,2,FALSE),"Not Specified")</f>
        <v>Mr. Paul Suurs</v>
      </c>
      <c r="I133">
        <f>IFERROR(VLOOKUP(VLOOKUP(A133,'Sales Order'!A:C,3,FALSE),Employee!A:J,10,FALSE),"Not Specified")</f>
        <v>0</v>
      </c>
      <c r="J133" t="str">
        <f>VLOOKUP(B133,Product!A:B,2,FALSE)</f>
        <v>Product COAXA</v>
      </c>
      <c r="K133" t="str">
        <f>VLOOKUP(VLOOKUP(B133,Product!A:D,4,FALSE),Category!A:B,2,FALSE)</f>
        <v>Dairy Product</v>
      </c>
      <c r="L133" s="24">
        <f>IFERROR(VLOOKUP(A133,'Sales Order'!A:D,4,FALSE),"")</f>
        <v>38963</v>
      </c>
      <c r="M133" s="24">
        <f>IFERROR(VLOOKUP(A133,'Sales Order'!A:F,6,FALSE),"")</f>
        <v>38971</v>
      </c>
      <c r="N133" t="str">
        <f>IFERROR(VLOOKUP(VLOOKUP(A133,'Sales Order'!A:G,7,FALSE),Shipper!A:B,2,FALSE),"Not Specified")</f>
        <v>Shipper GVSUA</v>
      </c>
      <c r="O133" t="str">
        <f>IFERROR(VLOOKUP(A133,'Sales Order'!A:I,9,FALSE),"Not Specified")</f>
        <v>Ship to 46-C</v>
      </c>
      <c r="P133" t="str">
        <f>IFERROR(VLOOKUP(A133,'Sales Order'!A:N,14,FALSE),"Not Specified")</f>
        <v>Venezuela</v>
      </c>
      <c r="Q133" t="str">
        <f>VLOOKUP(VLOOKUP(B133,Product!A:C,3,FALSE),Supplier!A:B,2,FALSE)</f>
        <v>Supplier NZLIF</v>
      </c>
      <c r="R133" t="str">
        <f>VLOOKUP(VLOOKUP(B133,Product!A:C,3,FALSE),Supplier!A:I,9,FALSE)</f>
        <v>Norway</v>
      </c>
      <c r="S133" t="str">
        <f>IFERROR(IF(VLOOKUP(A133,'Sales Order'!A:H,8,FALSE)&gt;100,"High Freight","Low Freight"),"Not Specified")</f>
        <v>Low Freight</v>
      </c>
      <c r="T133">
        <f t="shared" si="5"/>
        <v>432</v>
      </c>
    </row>
    <row r="134" spans="1:20">
      <c r="A134" s="9">
        <v>10297</v>
      </c>
      <c r="B134" s="6">
        <v>39</v>
      </c>
      <c r="C134" s="6">
        <v>14.4</v>
      </c>
      <c r="D134" s="6">
        <v>60</v>
      </c>
      <c r="E134" s="18">
        <v>0</v>
      </c>
      <c r="F134" s="6" t="str">
        <f>IFERROR(VLOOKUP(VLOOKUP(A134,'Sales Order'!A:B,2,FALSE),Customer!A:C,3,FALSE),"Not Specified")</f>
        <v>Bansal, Dushyant</v>
      </c>
      <c r="G134" s="6" t="str">
        <f t="shared" si="4"/>
        <v>Bansal Dushyant</v>
      </c>
      <c r="H134" s="22" t="str">
        <f>IFERROR(VLOOKUP(VLOOKUP(A134,'Sales Order'!A:C,3,FALSE),Employee!A:E,5,FALSE)&amp;" "&amp;VLOOKUP(VLOOKUP(A134,'Sales Order'!A:C,3,FALSE),Employee!A:C,3,FALSE)&amp;" "&amp;VLOOKUP(VLOOKUP(A134,'Sales Order'!A:C,3,FALSE),Employee!A:B,2,FALSE),"Not Specified")</f>
        <v>Mr. Sven Buck</v>
      </c>
      <c r="I134">
        <f>IFERROR(VLOOKUP(VLOOKUP(A134,'Sales Order'!A:C,3,FALSE),Employee!A:J,10,FALSE),"Not Specified")</f>
        <v>0</v>
      </c>
      <c r="J134" t="str">
        <f>VLOOKUP(B134,Product!A:B,2,FALSE)</f>
        <v>Product LSOFL</v>
      </c>
      <c r="K134" t="str">
        <f>VLOOKUP(VLOOKUP(B134,Product!A:D,4,FALSE),Category!A:B,2,FALSE)</f>
        <v>Beverages</v>
      </c>
      <c r="L134" s="24">
        <f>IFERROR(VLOOKUP(A134,'Sales Order'!A:D,4,FALSE),"")</f>
        <v>38964</v>
      </c>
      <c r="M134" s="24">
        <f>IFERROR(VLOOKUP(A134,'Sales Order'!A:F,6,FALSE),"")</f>
        <v>38970</v>
      </c>
      <c r="N134" t="str">
        <f>IFERROR(VLOOKUP(VLOOKUP(A134,'Sales Order'!A:G,7,FALSE),Shipper!A:B,2,FALSE),"Not Specified")</f>
        <v>Shipper ETYNR</v>
      </c>
      <c r="O134" t="str">
        <f>IFERROR(VLOOKUP(A134,'Sales Order'!A:I,9,FALSE),"Not Specified")</f>
        <v>Ship to 7-C</v>
      </c>
      <c r="P134" t="str">
        <f>IFERROR(VLOOKUP(A134,'Sales Order'!A:N,14,FALSE),"Not Specified")</f>
        <v>France</v>
      </c>
      <c r="Q134" t="str">
        <f>VLOOKUP(VLOOKUP(B134,Product!A:C,3,FALSE),Supplier!A:B,2,FALSE)</f>
        <v>Supplier LVJUA</v>
      </c>
      <c r="R134" t="str">
        <f>VLOOKUP(VLOOKUP(B134,Product!A:C,3,FALSE),Supplier!A:I,9,FALSE)</f>
        <v>France</v>
      </c>
      <c r="S134" t="str">
        <f>IFERROR(IF(VLOOKUP(A134,'Sales Order'!A:H,8,FALSE)&gt;100,"High Freight","Low Freight"),"Not Specified")</f>
        <v>Low Freight</v>
      </c>
      <c r="T134">
        <f t="shared" si="5"/>
        <v>864</v>
      </c>
    </row>
    <row r="135" spans="1:20">
      <c r="A135" s="9">
        <v>10297</v>
      </c>
      <c r="B135" s="6">
        <v>72</v>
      </c>
      <c r="C135" s="6">
        <v>27.8</v>
      </c>
      <c r="D135" s="6">
        <v>20</v>
      </c>
      <c r="E135" s="18">
        <v>0</v>
      </c>
      <c r="F135" s="6" t="str">
        <f>IFERROR(VLOOKUP(VLOOKUP(A135,'Sales Order'!A:B,2,FALSE),Customer!A:C,3,FALSE),"Not Specified")</f>
        <v>Bansal, Dushyant</v>
      </c>
      <c r="G135" s="6" t="str">
        <f t="shared" si="4"/>
        <v>Bansal Dushyant</v>
      </c>
      <c r="H135" s="22" t="str">
        <f>IFERROR(VLOOKUP(VLOOKUP(A135,'Sales Order'!A:C,3,FALSE),Employee!A:E,5,FALSE)&amp;" "&amp;VLOOKUP(VLOOKUP(A135,'Sales Order'!A:C,3,FALSE),Employee!A:C,3,FALSE)&amp;" "&amp;VLOOKUP(VLOOKUP(A135,'Sales Order'!A:C,3,FALSE),Employee!A:B,2,FALSE),"Not Specified")</f>
        <v>Mr. Sven Buck</v>
      </c>
      <c r="I135">
        <f>IFERROR(VLOOKUP(VLOOKUP(A135,'Sales Order'!A:C,3,FALSE),Employee!A:J,10,FALSE),"Not Specified")</f>
        <v>0</v>
      </c>
      <c r="J135" t="str">
        <f>VLOOKUP(B135,Product!A:B,2,FALSE)</f>
        <v>Product GEEOO</v>
      </c>
      <c r="K135" t="str">
        <f>VLOOKUP(VLOOKUP(B135,Product!A:D,4,FALSE),Category!A:B,2,FALSE)</f>
        <v>Dairy Product</v>
      </c>
      <c r="L135" s="24">
        <f>IFERROR(VLOOKUP(A135,'Sales Order'!A:D,4,FALSE),"")</f>
        <v>38964</v>
      </c>
      <c r="M135" s="24">
        <f>IFERROR(VLOOKUP(A135,'Sales Order'!A:F,6,FALSE),"")</f>
        <v>38970</v>
      </c>
      <c r="N135" t="str">
        <f>IFERROR(VLOOKUP(VLOOKUP(A135,'Sales Order'!A:G,7,FALSE),Shipper!A:B,2,FALSE),"Not Specified")</f>
        <v>Shipper ETYNR</v>
      </c>
      <c r="O135" t="str">
        <f>IFERROR(VLOOKUP(A135,'Sales Order'!A:I,9,FALSE),"Not Specified")</f>
        <v>Ship to 7-C</v>
      </c>
      <c r="P135" t="str">
        <f>IFERROR(VLOOKUP(A135,'Sales Order'!A:N,14,FALSE),"Not Specified")</f>
        <v>France</v>
      </c>
      <c r="Q135" t="str">
        <f>VLOOKUP(VLOOKUP(B135,Product!A:C,3,FALSE),Supplier!A:B,2,FALSE)</f>
        <v>Supplier KEREV</v>
      </c>
      <c r="R135" t="str">
        <f>VLOOKUP(VLOOKUP(B135,Product!A:C,3,FALSE),Supplier!A:I,9,FALSE)</f>
        <v>Italy</v>
      </c>
      <c r="S135" t="str">
        <f>IFERROR(IF(VLOOKUP(A135,'Sales Order'!A:H,8,FALSE)&gt;100,"High Freight","Low Freight"),"Not Specified")</f>
        <v>Low Freight</v>
      </c>
      <c r="T135">
        <f t="shared" si="5"/>
        <v>556</v>
      </c>
    </row>
    <row r="136" spans="1:20">
      <c r="A136" s="9">
        <v>10298</v>
      </c>
      <c r="B136" s="6">
        <v>2</v>
      </c>
      <c r="C136" s="6">
        <v>15.2</v>
      </c>
      <c r="D136" s="6">
        <v>40</v>
      </c>
      <c r="E136" s="18">
        <v>0</v>
      </c>
      <c r="F136" s="6" t="str">
        <f>IFERROR(VLOOKUP(VLOOKUP(A136,'Sales Order'!A:B,2,FALSE),Customer!A:C,3,FALSE),"Not Specified")</f>
        <v>Crăciun, Ovidiu V.</v>
      </c>
      <c r="G136" s="6" t="str">
        <f t="shared" si="4"/>
        <v>Crăciun Ovidiu V.</v>
      </c>
      <c r="H136" s="22" t="str">
        <f>IFERROR(VLOOKUP(VLOOKUP(A136,'Sales Order'!A:C,3,FALSE),Employee!A:E,5,FALSE)&amp;" "&amp;VLOOKUP(VLOOKUP(A136,'Sales Order'!A:C,3,FALSE),Employee!A:C,3,FALSE)&amp;" "&amp;VLOOKUP(VLOOKUP(A136,'Sales Order'!A:C,3,FALSE),Employee!A:B,2,FALSE),"Not Specified")</f>
        <v>Mr. Paul Suurs</v>
      </c>
      <c r="I136">
        <f>IFERROR(VLOOKUP(VLOOKUP(A136,'Sales Order'!A:C,3,FALSE),Employee!A:J,10,FALSE),"Not Specified")</f>
        <v>0</v>
      </c>
      <c r="J136" t="str">
        <f>VLOOKUP(B136,Product!A:B,2,FALSE)</f>
        <v>Product RECZE</v>
      </c>
      <c r="K136" t="str">
        <f>VLOOKUP(VLOOKUP(B136,Product!A:D,4,FALSE),Category!A:B,2,FALSE)</f>
        <v>Beverages</v>
      </c>
      <c r="L136" s="24">
        <f>IFERROR(VLOOKUP(A136,'Sales Order'!A:D,4,FALSE),"")</f>
        <v>38965</v>
      </c>
      <c r="M136" s="24">
        <f>IFERROR(VLOOKUP(A136,'Sales Order'!A:F,6,FALSE),"")</f>
        <v>38971</v>
      </c>
      <c r="N136" t="str">
        <f>IFERROR(VLOOKUP(VLOOKUP(A136,'Sales Order'!A:G,7,FALSE),Shipper!A:B,2,FALSE),"Not Specified")</f>
        <v>Shipper ETYNR</v>
      </c>
      <c r="O136" t="str">
        <f>IFERROR(VLOOKUP(A136,'Sales Order'!A:I,9,FALSE),"Not Specified")</f>
        <v>Destination ATSOA</v>
      </c>
      <c r="P136" t="str">
        <f>IFERROR(VLOOKUP(A136,'Sales Order'!A:N,14,FALSE),"Not Specified")</f>
        <v>Ireland</v>
      </c>
      <c r="Q136" t="str">
        <f>VLOOKUP(VLOOKUP(B136,Product!A:C,3,FALSE),Supplier!A:B,2,FALSE)</f>
        <v>Supplier SWRXU</v>
      </c>
      <c r="R136" t="str">
        <f>VLOOKUP(VLOOKUP(B136,Product!A:C,3,FALSE),Supplier!A:I,9,FALSE)</f>
        <v>UK</v>
      </c>
      <c r="S136" t="str">
        <f>IFERROR(IF(VLOOKUP(A136,'Sales Order'!A:H,8,FALSE)&gt;100,"High Freight","Low Freight"),"Not Specified")</f>
        <v>High Freight</v>
      </c>
      <c r="T136">
        <f t="shared" si="5"/>
        <v>608</v>
      </c>
    </row>
    <row r="137" spans="1:20">
      <c r="A137" s="9">
        <v>10298</v>
      </c>
      <c r="B137" s="6">
        <v>36</v>
      </c>
      <c r="C137" s="6">
        <v>15.2</v>
      </c>
      <c r="D137" s="6">
        <v>40</v>
      </c>
      <c r="E137" s="18">
        <v>0.25</v>
      </c>
      <c r="F137" s="6" t="str">
        <f>IFERROR(VLOOKUP(VLOOKUP(A137,'Sales Order'!A:B,2,FALSE),Customer!A:C,3,FALSE),"Not Specified")</f>
        <v>Crăciun, Ovidiu V.</v>
      </c>
      <c r="G137" s="6" t="str">
        <f t="shared" si="4"/>
        <v>Crăciun Ovidiu V.</v>
      </c>
      <c r="H137" s="22" t="str">
        <f>IFERROR(VLOOKUP(VLOOKUP(A137,'Sales Order'!A:C,3,FALSE),Employee!A:E,5,FALSE)&amp;" "&amp;VLOOKUP(VLOOKUP(A137,'Sales Order'!A:C,3,FALSE),Employee!A:C,3,FALSE)&amp;" "&amp;VLOOKUP(VLOOKUP(A137,'Sales Order'!A:C,3,FALSE),Employee!A:B,2,FALSE),"Not Specified")</f>
        <v>Mr. Paul Suurs</v>
      </c>
      <c r="I137">
        <f>IFERROR(VLOOKUP(VLOOKUP(A137,'Sales Order'!A:C,3,FALSE),Employee!A:J,10,FALSE),"Not Specified")</f>
        <v>0</v>
      </c>
      <c r="J137" t="str">
        <f>VLOOKUP(B137,Product!A:B,2,FALSE)</f>
        <v>Product GMKIJ</v>
      </c>
      <c r="K137" t="str">
        <f>VLOOKUP(VLOOKUP(B137,Product!A:D,4,FALSE),Category!A:B,2,FALSE)</f>
        <v>Seafood</v>
      </c>
      <c r="L137" s="24">
        <f>IFERROR(VLOOKUP(A137,'Sales Order'!A:D,4,FALSE),"")</f>
        <v>38965</v>
      </c>
      <c r="M137" s="24">
        <f>IFERROR(VLOOKUP(A137,'Sales Order'!A:F,6,FALSE),"")</f>
        <v>38971</v>
      </c>
      <c r="N137" t="str">
        <f>IFERROR(VLOOKUP(VLOOKUP(A137,'Sales Order'!A:G,7,FALSE),Shipper!A:B,2,FALSE),"Not Specified")</f>
        <v>Shipper ETYNR</v>
      </c>
      <c r="O137" t="str">
        <f>IFERROR(VLOOKUP(A137,'Sales Order'!A:I,9,FALSE),"Not Specified")</f>
        <v>Destination ATSOA</v>
      </c>
      <c r="P137" t="str">
        <f>IFERROR(VLOOKUP(A137,'Sales Order'!A:N,14,FALSE),"Not Specified")</f>
        <v>Ireland</v>
      </c>
      <c r="Q137" t="str">
        <f>VLOOKUP(VLOOKUP(B137,Product!A:C,3,FALSE),Supplier!A:B,2,FALSE)</f>
        <v>Supplier QZGUF</v>
      </c>
      <c r="R137" t="str">
        <f>VLOOKUP(VLOOKUP(B137,Product!A:C,3,FALSE),Supplier!A:I,9,FALSE)</f>
        <v>Sweden</v>
      </c>
      <c r="S137" t="str">
        <f>IFERROR(IF(VLOOKUP(A137,'Sales Order'!A:H,8,FALSE)&gt;100,"High Freight","Low Freight"),"Not Specified")</f>
        <v>High Freight</v>
      </c>
      <c r="T137">
        <f t="shared" si="5"/>
        <v>456</v>
      </c>
    </row>
    <row r="138" spans="1:20">
      <c r="A138" s="9">
        <v>10298</v>
      </c>
      <c r="B138" s="6">
        <v>59</v>
      </c>
      <c r="C138" s="6">
        <v>44</v>
      </c>
      <c r="D138" s="6">
        <v>30</v>
      </c>
      <c r="E138" s="18">
        <v>0.25</v>
      </c>
      <c r="F138" s="6" t="str">
        <f>IFERROR(VLOOKUP(VLOOKUP(A138,'Sales Order'!A:B,2,FALSE),Customer!A:C,3,FALSE),"Not Specified")</f>
        <v>Crăciun, Ovidiu V.</v>
      </c>
      <c r="G138" s="6" t="str">
        <f t="shared" si="4"/>
        <v>Crăciun Ovidiu V.</v>
      </c>
      <c r="H138" s="22" t="str">
        <f>IFERROR(VLOOKUP(VLOOKUP(A138,'Sales Order'!A:C,3,FALSE),Employee!A:E,5,FALSE)&amp;" "&amp;VLOOKUP(VLOOKUP(A138,'Sales Order'!A:C,3,FALSE),Employee!A:C,3,FALSE)&amp;" "&amp;VLOOKUP(VLOOKUP(A138,'Sales Order'!A:C,3,FALSE),Employee!A:B,2,FALSE),"Not Specified")</f>
        <v>Mr. Paul Suurs</v>
      </c>
      <c r="I138">
        <f>IFERROR(VLOOKUP(VLOOKUP(A138,'Sales Order'!A:C,3,FALSE),Employee!A:J,10,FALSE),"Not Specified")</f>
        <v>0</v>
      </c>
      <c r="J138" t="str">
        <f>VLOOKUP(B138,Product!A:B,2,FALSE)</f>
        <v>Product UKXRI</v>
      </c>
      <c r="K138" t="str">
        <f>VLOOKUP(VLOOKUP(B138,Product!A:D,4,FALSE),Category!A:B,2,FALSE)</f>
        <v>Dairy Product</v>
      </c>
      <c r="L138" s="24">
        <f>IFERROR(VLOOKUP(A138,'Sales Order'!A:D,4,FALSE),"")</f>
        <v>38965</v>
      </c>
      <c r="M138" s="24">
        <f>IFERROR(VLOOKUP(A138,'Sales Order'!A:F,6,FALSE),"")</f>
        <v>38971</v>
      </c>
      <c r="N138" t="str">
        <f>IFERROR(VLOOKUP(VLOOKUP(A138,'Sales Order'!A:G,7,FALSE),Shipper!A:B,2,FALSE),"Not Specified")</f>
        <v>Shipper ETYNR</v>
      </c>
      <c r="O138" t="str">
        <f>IFERROR(VLOOKUP(A138,'Sales Order'!A:I,9,FALSE),"Not Specified")</f>
        <v>Destination ATSOA</v>
      </c>
      <c r="P138" t="str">
        <f>IFERROR(VLOOKUP(A138,'Sales Order'!A:N,14,FALSE),"Not Specified")</f>
        <v>Ireland</v>
      </c>
      <c r="Q138" t="str">
        <f>VLOOKUP(VLOOKUP(B138,Product!A:C,3,FALSE),Supplier!A:B,2,FALSE)</f>
        <v>Supplier OAVQT</v>
      </c>
      <c r="R138" t="str">
        <f>VLOOKUP(VLOOKUP(B138,Product!A:C,3,FALSE),Supplier!A:I,9,FALSE)</f>
        <v>France</v>
      </c>
      <c r="S138" t="str">
        <f>IFERROR(IF(VLOOKUP(A138,'Sales Order'!A:H,8,FALSE)&gt;100,"High Freight","Low Freight"),"Not Specified")</f>
        <v>High Freight</v>
      </c>
      <c r="T138">
        <f t="shared" si="5"/>
        <v>990</v>
      </c>
    </row>
    <row r="139" spans="1:20">
      <c r="A139" s="9">
        <v>10298</v>
      </c>
      <c r="B139" s="6">
        <v>62</v>
      </c>
      <c r="C139" s="6">
        <v>39.4</v>
      </c>
      <c r="D139" s="6">
        <v>15</v>
      </c>
      <c r="E139" s="18">
        <v>0</v>
      </c>
      <c r="F139" s="6" t="str">
        <f>IFERROR(VLOOKUP(VLOOKUP(A139,'Sales Order'!A:B,2,FALSE),Customer!A:C,3,FALSE),"Not Specified")</f>
        <v>Crăciun, Ovidiu V.</v>
      </c>
      <c r="G139" s="6" t="str">
        <f t="shared" si="4"/>
        <v>Crăciun Ovidiu V.</v>
      </c>
      <c r="H139" s="22" t="str">
        <f>IFERROR(VLOOKUP(VLOOKUP(A139,'Sales Order'!A:C,3,FALSE),Employee!A:E,5,FALSE)&amp;" "&amp;VLOOKUP(VLOOKUP(A139,'Sales Order'!A:C,3,FALSE),Employee!A:C,3,FALSE)&amp;" "&amp;VLOOKUP(VLOOKUP(A139,'Sales Order'!A:C,3,FALSE),Employee!A:B,2,FALSE),"Not Specified")</f>
        <v>Mr. Paul Suurs</v>
      </c>
      <c r="I139">
        <f>IFERROR(VLOOKUP(VLOOKUP(A139,'Sales Order'!A:C,3,FALSE),Employee!A:J,10,FALSE),"Not Specified")</f>
        <v>0</v>
      </c>
      <c r="J139" t="str">
        <f>VLOOKUP(B139,Product!A:B,2,FALSE)</f>
        <v>Product WUXYK</v>
      </c>
      <c r="K139" t="str">
        <f>VLOOKUP(VLOOKUP(B139,Product!A:D,4,FALSE),Category!A:B,2,FALSE)</f>
        <v>Confections</v>
      </c>
      <c r="L139" s="24">
        <f>IFERROR(VLOOKUP(A139,'Sales Order'!A:D,4,FALSE),"")</f>
        <v>38965</v>
      </c>
      <c r="M139" s="24">
        <f>IFERROR(VLOOKUP(A139,'Sales Order'!A:F,6,FALSE),"")</f>
        <v>38971</v>
      </c>
      <c r="N139" t="str">
        <f>IFERROR(VLOOKUP(VLOOKUP(A139,'Sales Order'!A:G,7,FALSE),Shipper!A:B,2,FALSE),"Not Specified")</f>
        <v>Shipper ETYNR</v>
      </c>
      <c r="O139" t="str">
        <f>IFERROR(VLOOKUP(A139,'Sales Order'!A:I,9,FALSE),"Not Specified")</f>
        <v>Destination ATSOA</v>
      </c>
      <c r="P139" t="str">
        <f>IFERROR(VLOOKUP(A139,'Sales Order'!A:N,14,FALSE),"Not Specified")</f>
        <v>Ireland</v>
      </c>
      <c r="Q139" t="str">
        <f>VLOOKUP(VLOOKUP(B139,Product!A:C,3,FALSE),Supplier!A:B,2,FALSE)</f>
        <v>Supplier OGLRK</v>
      </c>
      <c r="R139" t="str">
        <f>VLOOKUP(VLOOKUP(B139,Product!A:C,3,FALSE),Supplier!A:I,9,FALSE)</f>
        <v>Canada</v>
      </c>
      <c r="S139" t="str">
        <f>IFERROR(IF(VLOOKUP(A139,'Sales Order'!A:H,8,FALSE)&gt;100,"High Freight","Low Freight"),"Not Specified")</f>
        <v>High Freight</v>
      </c>
      <c r="T139">
        <f t="shared" si="5"/>
        <v>591</v>
      </c>
    </row>
    <row r="140" spans="1:20">
      <c r="A140" s="9">
        <v>10299</v>
      </c>
      <c r="B140" s="6">
        <v>19</v>
      </c>
      <c r="C140" s="6">
        <v>7.3</v>
      </c>
      <c r="D140" s="6">
        <v>15</v>
      </c>
      <c r="E140" s="18">
        <v>0</v>
      </c>
      <c r="F140" s="6" t="str">
        <f>IFERROR(VLOOKUP(VLOOKUP(A140,'Sales Order'!A:B,2,FALSE),Customer!A:C,3,FALSE),"Not Specified")</f>
        <v>Garden, Euan</v>
      </c>
      <c r="G140" s="6" t="str">
        <f t="shared" si="4"/>
        <v>Garden Euan</v>
      </c>
      <c r="H140" s="22" t="str">
        <f>IFERROR(VLOOKUP(VLOOKUP(A140,'Sales Order'!A:C,3,FALSE),Employee!A:E,5,FALSE)&amp;" "&amp;VLOOKUP(VLOOKUP(A140,'Sales Order'!A:C,3,FALSE),Employee!A:C,3,FALSE)&amp;" "&amp;VLOOKUP(VLOOKUP(A140,'Sales Order'!A:C,3,FALSE),Employee!A:B,2,FALSE),"Not Specified")</f>
        <v>Mrs. Yael Peled</v>
      </c>
      <c r="I140" t="str">
        <f>IFERROR(VLOOKUP(VLOOKUP(A140,'Sales Order'!A:C,3,FALSE),Employee!A:J,10,FALSE),"Not Specified")</f>
        <v>WA</v>
      </c>
      <c r="J140" t="str">
        <f>VLOOKUP(B140,Product!A:B,2,FALSE)</f>
        <v>Product XKXDO</v>
      </c>
      <c r="K140" t="str">
        <f>VLOOKUP(VLOOKUP(B140,Product!A:D,4,FALSE),Category!A:B,2,FALSE)</f>
        <v>Confections</v>
      </c>
      <c r="L140" s="24">
        <f>IFERROR(VLOOKUP(A140,'Sales Order'!A:D,4,FALSE),"")</f>
        <v>38966</v>
      </c>
      <c r="M140" s="24">
        <f>IFERROR(VLOOKUP(A140,'Sales Order'!A:F,6,FALSE),"")</f>
        <v>38973</v>
      </c>
      <c r="N140" t="str">
        <f>IFERROR(VLOOKUP(VLOOKUP(A140,'Sales Order'!A:G,7,FALSE),Shipper!A:B,2,FALSE),"Not Specified")</f>
        <v>Shipper ETYNR</v>
      </c>
      <c r="O140" t="str">
        <f>IFERROR(VLOOKUP(A140,'Sales Order'!A:I,9,FALSE),"Not Specified")</f>
        <v>Ship to 67-A</v>
      </c>
      <c r="P140" t="str">
        <f>IFERROR(VLOOKUP(A140,'Sales Order'!A:N,14,FALSE),"Not Specified")</f>
        <v>Brazil</v>
      </c>
      <c r="Q140" t="str">
        <f>VLOOKUP(VLOOKUP(B140,Product!A:C,3,FALSE),Supplier!A:B,2,FALSE)</f>
        <v>Supplier BWGYE</v>
      </c>
      <c r="R140" t="str">
        <f>VLOOKUP(VLOOKUP(B140,Product!A:C,3,FALSE),Supplier!A:I,9,FALSE)</f>
        <v>UK</v>
      </c>
      <c r="S140" t="str">
        <f>IFERROR(IF(VLOOKUP(A140,'Sales Order'!A:H,8,FALSE)&gt;100,"High Freight","Low Freight"),"Not Specified")</f>
        <v>Low Freight</v>
      </c>
      <c r="T140">
        <f t="shared" si="5"/>
        <v>109.5</v>
      </c>
    </row>
    <row r="141" spans="1:20">
      <c r="A141" s="9">
        <v>10299</v>
      </c>
      <c r="B141" s="6">
        <v>70</v>
      </c>
      <c r="C141" s="6">
        <v>12</v>
      </c>
      <c r="D141" s="6">
        <v>20</v>
      </c>
      <c r="E141" s="18">
        <v>0</v>
      </c>
      <c r="F141" s="6" t="str">
        <f>IFERROR(VLOOKUP(VLOOKUP(A141,'Sales Order'!A:B,2,FALSE),Customer!A:C,3,FALSE),"Not Specified")</f>
        <v>Garden, Euan</v>
      </c>
      <c r="G141" s="6" t="str">
        <f t="shared" si="4"/>
        <v>Garden Euan</v>
      </c>
      <c r="H141" s="22" t="str">
        <f>IFERROR(VLOOKUP(VLOOKUP(A141,'Sales Order'!A:C,3,FALSE),Employee!A:E,5,FALSE)&amp;" "&amp;VLOOKUP(VLOOKUP(A141,'Sales Order'!A:C,3,FALSE),Employee!A:C,3,FALSE)&amp;" "&amp;VLOOKUP(VLOOKUP(A141,'Sales Order'!A:C,3,FALSE),Employee!A:B,2,FALSE),"Not Specified")</f>
        <v>Mrs. Yael Peled</v>
      </c>
      <c r="I141" t="str">
        <f>IFERROR(VLOOKUP(VLOOKUP(A141,'Sales Order'!A:C,3,FALSE),Employee!A:J,10,FALSE),"Not Specified")</f>
        <v>WA</v>
      </c>
      <c r="J141" t="str">
        <f>VLOOKUP(B141,Product!A:B,2,FALSE)</f>
        <v>Product TOONT</v>
      </c>
      <c r="K141" t="str">
        <f>VLOOKUP(VLOOKUP(B141,Product!A:D,4,FALSE),Category!A:B,2,FALSE)</f>
        <v>Beverages</v>
      </c>
      <c r="L141" s="24">
        <f>IFERROR(VLOOKUP(A141,'Sales Order'!A:D,4,FALSE),"")</f>
        <v>38966</v>
      </c>
      <c r="M141" s="24">
        <f>IFERROR(VLOOKUP(A141,'Sales Order'!A:F,6,FALSE),"")</f>
        <v>38973</v>
      </c>
      <c r="N141" t="str">
        <f>IFERROR(VLOOKUP(VLOOKUP(A141,'Sales Order'!A:G,7,FALSE),Shipper!A:B,2,FALSE),"Not Specified")</f>
        <v>Shipper ETYNR</v>
      </c>
      <c r="O141" t="str">
        <f>IFERROR(VLOOKUP(A141,'Sales Order'!A:I,9,FALSE),"Not Specified")</f>
        <v>Ship to 67-A</v>
      </c>
      <c r="P141" t="str">
        <f>IFERROR(VLOOKUP(A141,'Sales Order'!A:N,14,FALSE),"Not Specified")</f>
        <v>Brazil</v>
      </c>
      <c r="Q141" t="str">
        <f>VLOOKUP(VLOOKUP(B141,Product!A:C,3,FALSE),Supplier!A:B,2,FALSE)</f>
        <v>Supplier GQRCV</v>
      </c>
      <c r="R141" t="str">
        <f>VLOOKUP(VLOOKUP(B141,Product!A:C,3,FALSE),Supplier!A:I,9,FALSE)</f>
        <v>Australia</v>
      </c>
      <c r="S141" t="str">
        <f>IFERROR(IF(VLOOKUP(A141,'Sales Order'!A:H,8,FALSE)&gt;100,"High Freight","Low Freight"),"Not Specified")</f>
        <v>Low Freight</v>
      </c>
      <c r="T141">
        <f t="shared" si="5"/>
        <v>240</v>
      </c>
    </row>
    <row r="142" spans="1:20">
      <c r="A142" s="9">
        <v>10300</v>
      </c>
      <c r="B142" s="6">
        <v>66</v>
      </c>
      <c r="C142" s="6">
        <v>13.6</v>
      </c>
      <c r="D142" s="6">
        <v>30</v>
      </c>
      <c r="E142" s="18">
        <v>0</v>
      </c>
      <c r="F142" s="6" t="str">
        <f>IFERROR(VLOOKUP(VLOOKUP(A142,'Sales Order'!A:B,2,FALSE),Customer!A:C,3,FALSE),"Not Specified")</f>
        <v>Duerr, Bernard</v>
      </c>
      <c r="G142" s="6" t="str">
        <f t="shared" si="4"/>
        <v>Duerr Bernard</v>
      </c>
      <c r="H142" s="22" t="str">
        <f>IFERROR(VLOOKUP(VLOOKUP(A142,'Sales Order'!A:C,3,FALSE),Employee!A:E,5,FALSE)&amp;" "&amp;VLOOKUP(VLOOKUP(A142,'Sales Order'!A:C,3,FALSE),Employee!A:C,3,FALSE)&amp;" "&amp;VLOOKUP(VLOOKUP(A142,'Sales Order'!A:C,3,FALSE),Employee!A:B,2,FALSE),"Not Specified")</f>
        <v>Dr. Don Funk</v>
      </c>
      <c r="I142" t="str">
        <f>IFERROR(VLOOKUP(VLOOKUP(A142,'Sales Order'!A:C,3,FALSE),Employee!A:J,10,FALSE),"Not Specified")</f>
        <v>WA</v>
      </c>
      <c r="J142" t="str">
        <f>VLOOKUP(B142,Product!A:B,2,FALSE)</f>
        <v>Product LQMGN</v>
      </c>
      <c r="K142" t="str">
        <f>VLOOKUP(VLOOKUP(B142,Product!A:D,4,FALSE),Category!A:B,2,FALSE)</f>
        <v>Condiments</v>
      </c>
      <c r="L142" s="24">
        <f>IFERROR(VLOOKUP(A142,'Sales Order'!A:D,4,FALSE),"")</f>
        <v>38969</v>
      </c>
      <c r="M142" s="24">
        <f>IFERROR(VLOOKUP(A142,'Sales Order'!A:F,6,FALSE),"")</f>
        <v>38978</v>
      </c>
      <c r="N142" t="str">
        <f>IFERROR(VLOOKUP(VLOOKUP(A142,'Sales Order'!A:G,7,FALSE),Shipper!A:B,2,FALSE),"Not Specified")</f>
        <v>Shipper ETYNR</v>
      </c>
      <c r="O142" t="str">
        <f>IFERROR(VLOOKUP(A142,'Sales Order'!A:I,9,FALSE),"Not Specified")</f>
        <v>Ship to 49-A</v>
      </c>
      <c r="P142" t="str">
        <f>IFERROR(VLOOKUP(A142,'Sales Order'!A:N,14,FALSE),"Not Specified")</f>
        <v>Italy</v>
      </c>
      <c r="Q142" t="str">
        <f>VLOOKUP(VLOOKUP(B142,Product!A:C,3,FALSE),Supplier!A:B,2,FALSE)</f>
        <v>Supplier VHQZD</v>
      </c>
      <c r="R142" t="str">
        <f>VLOOKUP(VLOOKUP(B142,Product!A:C,3,FALSE),Supplier!A:I,9,FALSE)</f>
        <v>USA</v>
      </c>
      <c r="S142" t="str">
        <f>IFERROR(IF(VLOOKUP(A142,'Sales Order'!A:H,8,FALSE)&gt;100,"High Freight","Low Freight"),"Not Specified")</f>
        <v>Low Freight</v>
      </c>
      <c r="T142">
        <f t="shared" si="5"/>
        <v>408</v>
      </c>
    </row>
    <row r="143" spans="1:20">
      <c r="A143" s="9">
        <v>10300</v>
      </c>
      <c r="B143" s="6">
        <v>68</v>
      </c>
      <c r="C143" s="6">
        <v>10</v>
      </c>
      <c r="D143" s="6">
        <v>20</v>
      </c>
      <c r="E143" s="18">
        <v>0</v>
      </c>
      <c r="F143" s="6" t="str">
        <f>IFERROR(VLOOKUP(VLOOKUP(A143,'Sales Order'!A:B,2,FALSE),Customer!A:C,3,FALSE),"Not Specified")</f>
        <v>Duerr, Bernard</v>
      </c>
      <c r="G143" s="6" t="str">
        <f t="shared" si="4"/>
        <v>Duerr Bernard</v>
      </c>
      <c r="H143" s="22" t="str">
        <f>IFERROR(VLOOKUP(VLOOKUP(A143,'Sales Order'!A:C,3,FALSE),Employee!A:E,5,FALSE)&amp;" "&amp;VLOOKUP(VLOOKUP(A143,'Sales Order'!A:C,3,FALSE),Employee!A:C,3,FALSE)&amp;" "&amp;VLOOKUP(VLOOKUP(A143,'Sales Order'!A:C,3,FALSE),Employee!A:B,2,FALSE),"Not Specified")</f>
        <v>Dr. Don Funk</v>
      </c>
      <c r="I143" t="str">
        <f>IFERROR(VLOOKUP(VLOOKUP(A143,'Sales Order'!A:C,3,FALSE),Employee!A:J,10,FALSE),"Not Specified")</f>
        <v>WA</v>
      </c>
      <c r="J143" t="str">
        <f>VLOOKUP(B143,Product!A:B,2,FALSE)</f>
        <v>Product TBTBL</v>
      </c>
      <c r="K143" t="str">
        <f>VLOOKUP(VLOOKUP(B143,Product!A:D,4,FALSE),Category!A:B,2,FALSE)</f>
        <v>Confections</v>
      </c>
      <c r="L143" s="24">
        <f>IFERROR(VLOOKUP(A143,'Sales Order'!A:D,4,FALSE),"")</f>
        <v>38969</v>
      </c>
      <c r="M143" s="24">
        <f>IFERROR(VLOOKUP(A143,'Sales Order'!A:F,6,FALSE),"")</f>
        <v>38978</v>
      </c>
      <c r="N143" t="str">
        <f>IFERROR(VLOOKUP(VLOOKUP(A143,'Sales Order'!A:G,7,FALSE),Shipper!A:B,2,FALSE),"Not Specified")</f>
        <v>Shipper ETYNR</v>
      </c>
      <c r="O143" t="str">
        <f>IFERROR(VLOOKUP(A143,'Sales Order'!A:I,9,FALSE),"Not Specified")</f>
        <v>Ship to 49-A</v>
      </c>
      <c r="P143" t="str">
        <f>IFERROR(VLOOKUP(A143,'Sales Order'!A:N,14,FALSE),"Not Specified")</f>
        <v>Italy</v>
      </c>
      <c r="Q143" t="str">
        <f>VLOOKUP(VLOOKUP(B143,Product!A:C,3,FALSE),Supplier!A:B,2,FALSE)</f>
        <v>Supplier BWGYE</v>
      </c>
      <c r="R143" t="str">
        <f>VLOOKUP(VLOOKUP(B143,Product!A:C,3,FALSE),Supplier!A:I,9,FALSE)</f>
        <v>UK</v>
      </c>
      <c r="S143" t="str">
        <f>IFERROR(IF(VLOOKUP(A143,'Sales Order'!A:H,8,FALSE)&gt;100,"High Freight","Low Freight"),"Not Specified")</f>
        <v>Low Freight</v>
      </c>
      <c r="T143">
        <f t="shared" si="5"/>
        <v>200</v>
      </c>
    </row>
    <row r="144" spans="1:20">
      <c r="A144" s="9">
        <v>10301</v>
      </c>
      <c r="B144" s="6">
        <v>40</v>
      </c>
      <c r="C144" s="6">
        <v>14.7</v>
      </c>
      <c r="D144" s="6">
        <v>10</v>
      </c>
      <c r="E144" s="18">
        <v>0</v>
      </c>
      <c r="F144" s="6" t="str">
        <f>IFERROR(VLOOKUP(VLOOKUP(A144,'Sales Order'!A:B,2,FALSE),Customer!A:C,3,FALSE),"Not Specified")</f>
        <v>Syamala, Manoj</v>
      </c>
      <c r="G144" s="6" t="str">
        <f t="shared" si="4"/>
        <v>Syamala Manoj</v>
      </c>
      <c r="H144" s="22" t="str">
        <f>IFERROR(VLOOKUP(VLOOKUP(A144,'Sales Order'!A:C,3,FALSE),Employee!A:E,5,FALSE)&amp;" "&amp;VLOOKUP(VLOOKUP(A144,'Sales Order'!A:C,3,FALSE),Employee!A:C,3,FALSE)&amp;" "&amp;VLOOKUP(VLOOKUP(A144,'Sales Order'!A:C,3,FALSE),Employee!A:B,2,FALSE),"Not Specified")</f>
        <v>Ms. Maria Cameron</v>
      </c>
      <c r="I144" t="str">
        <f>IFERROR(VLOOKUP(VLOOKUP(A144,'Sales Order'!A:C,3,FALSE),Employee!A:J,10,FALSE),"Not Specified")</f>
        <v>WA</v>
      </c>
      <c r="J144" t="str">
        <f>VLOOKUP(B144,Product!A:B,2,FALSE)</f>
        <v>Product YZIXQ</v>
      </c>
      <c r="K144" t="str">
        <f>VLOOKUP(VLOOKUP(B144,Product!A:D,4,FALSE),Category!A:B,2,FALSE)</f>
        <v>Seafood</v>
      </c>
      <c r="L144" s="24">
        <f>IFERROR(VLOOKUP(A144,'Sales Order'!A:D,4,FALSE),"")</f>
        <v>38969</v>
      </c>
      <c r="M144" s="24">
        <f>IFERROR(VLOOKUP(A144,'Sales Order'!A:F,6,FALSE),"")</f>
        <v>38977</v>
      </c>
      <c r="N144" t="str">
        <f>IFERROR(VLOOKUP(VLOOKUP(A144,'Sales Order'!A:G,7,FALSE),Shipper!A:B,2,FALSE),"Not Specified")</f>
        <v>Shipper ETYNR</v>
      </c>
      <c r="O144" t="str">
        <f>IFERROR(VLOOKUP(A144,'Sales Order'!A:I,9,FALSE),"Not Specified")</f>
        <v>Ship to 86-A</v>
      </c>
      <c r="P144" t="str">
        <f>IFERROR(VLOOKUP(A144,'Sales Order'!A:N,14,FALSE),"Not Specified")</f>
        <v>Germany</v>
      </c>
      <c r="Q144" t="str">
        <f>VLOOKUP(VLOOKUP(B144,Product!A:C,3,FALSE),Supplier!A:B,2,FALSE)</f>
        <v>Supplier JDNUG</v>
      </c>
      <c r="R144" t="str">
        <f>VLOOKUP(VLOOKUP(B144,Product!A:C,3,FALSE),Supplier!A:I,9,FALSE)</f>
        <v>USA</v>
      </c>
      <c r="S144" t="str">
        <f>IFERROR(IF(VLOOKUP(A144,'Sales Order'!A:H,8,FALSE)&gt;100,"High Freight","Low Freight"),"Not Specified")</f>
        <v>Low Freight</v>
      </c>
      <c r="T144">
        <f t="shared" si="5"/>
        <v>147</v>
      </c>
    </row>
    <row r="145" spans="1:20">
      <c r="A145" s="9">
        <v>10301</v>
      </c>
      <c r="B145" s="6">
        <v>56</v>
      </c>
      <c r="C145" s="6">
        <v>30.4</v>
      </c>
      <c r="D145" s="6">
        <v>20</v>
      </c>
      <c r="E145" s="18">
        <v>0</v>
      </c>
      <c r="F145" s="6" t="str">
        <f>IFERROR(VLOOKUP(VLOOKUP(A145,'Sales Order'!A:B,2,FALSE),Customer!A:C,3,FALSE),"Not Specified")</f>
        <v>Syamala, Manoj</v>
      </c>
      <c r="G145" s="6" t="str">
        <f t="shared" si="4"/>
        <v>Syamala Manoj</v>
      </c>
      <c r="H145" s="22" t="str">
        <f>IFERROR(VLOOKUP(VLOOKUP(A145,'Sales Order'!A:C,3,FALSE),Employee!A:E,5,FALSE)&amp;" "&amp;VLOOKUP(VLOOKUP(A145,'Sales Order'!A:C,3,FALSE),Employee!A:C,3,FALSE)&amp;" "&amp;VLOOKUP(VLOOKUP(A145,'Sales Order'!A:C,3,FALSE),Employee!A:B,2,FALSE),"Not Specified")</f>
        <v>Ms. Maria Cameron</v>
      </c>
      <c r="I145" t="str">
        <f>IFERROR(VLOOKUP(VLOOKUP(A145,'Sales Order'!A:C,3,FALSE),Employee!A:J,10,FALSE),"Not Specified")</f>
        <v>WA</v>
      </c>
      <c r="J145" t="str">
        <f>VLOOKUP(B145,Product!A:B,2,FALSE)</f>
        <v>Product VKCMF</v>
      </c>
      <c r="K145" t="str">
        <f>VLOOKUP(VLOOKUP(B145,Product!A:D,4,FALSE),Category!A:B,2,FALSE)</f>
        <v>Grains/Cereals</v>
      </c>
      <c r="L145" s="24">
        <f>IFERROR(VLOOKUP(A145,'Sales Order'!A:D,4,FALSE),"")</f>
        <v>38969</v>
      </c>
      <c r="M145" s="24">
        <f>IFERROR(VLOOKUP(A145,'Sales Order'!A:F,6,FALSE),"")</f>
        <v>38977</v>
      </c>
      <c r="N145" t="str">
        <f>IFERROR(VLOOKUP(VLOOKUP(A145,'Sales Order'!A:G,7,FALSE),Shipper!A:B,2,FALSE),"Not Specified")</f>
        <v>Shipper ETYNR</v>
      </c>
      <c r="O145" t="str">
        <f>IFERROR(VLOOKUP(A145,'Sales Order'!A:I,9,FALSE),"Not Specified")</f>
        <v>Ship to 86-A</v>
      </c>
      <c r="P145" t="str">
        <f>IFERROR(VLOOKUP(A145,'Sales Order'!A:N,14,FALSE),"Not Specified")</f>
        <v>Germany</v>
      </c>
      <c r="Q145" t="str">
        <f>VLOOKUP(VLOOKUP(B145,Product!A:C,3,FALSE),Supplier!A:B,2,FALSE)</f>
        <v>Supplier ZWZDM</v>
      </c>
      <c r="R145" t="str">
        <f>VLOOKUP(VLOOKUP(B145,Product!A:C,3,FALSE),Supplier!A:I,9,FALSE)</f>
        <v>Italy</v>
      </c>
      <c r="S145" t="str">
        <f>IFERROR(IF(VLOOKUP(A145,'Sales Order'!A:H,8,FALSE)&gt;100,"High Freight","Low Freight"),"Not Specified")</f>
        <v>Low Freight</v>
      </c>
      <c r="T145">
        <f t="shared" si="5"/>
        <v>608</v>
      </c>
    </row>
    <row r="146" spans="1:20">
      <c r="A146" s="9">
        <v>10302</v>
      </c>
      <c r="B146" s="6">
        <v>17</v>
      </c>
      <c r="C146" s="6">
        <v>31.2</v>
      </c>
      <c r="D146" s="6">
        <v>40</v>
      </c>
      <c r="E146" s="18">
        <v>0</v>
      </c>
      <c r="F146" s="6" t="str">
        <f>IFERROR(VLOOKUP(VLOOKUP(A146,'Sales Order'!A:B,2,FALSE),Customer!A:C,3,FALSE),"Not Specified")</f>
        <v>Gulbis, Katrin</v>
      </c>
      <c r="G146" s="6" t="str">
        <f t="shared" si="4"/>
        <v>Gulbis Katrin</v>
      </c>
      <c r="H146" s="22" t="str">
        <f>IFERROR(VLOOKUP(VLOOKUP(A146,'Sales Order'!A:C,3,FALSE),Employee!A:E,5,FALSE)&amp;" "&amp;VLOOKUP(VLOOKUP(A146,'Sales Order'!A:C,3,FALSE),Employee!A:C,3,FALSE)&amp;" "&amp;VLOOKUP(VLOOKUP(A146,'Sales Order'!A:C,3,FALSE),Employee!A:B,2,FALSE),"Not Specified")</f>
        <v>Mrs. Yael Peled</v>
      </c>
      <c r="I146" t="str">
        <f>IFERROR(VLOOKUP(VLOOKUP(A146,'Sales Order'!A:C,3,FALSE),Employee!A:J,10,FALSE),"Not Specified")</f>
        <v>WA</v>
      </c>
      <c r="J146" t="str">
        <f>VLOOKUP(B146,Product!A:B,2,FALSE)</f>
        <v>Product BLCAX</v>
      </c>
      <c r="K146" t="str">
        <f>VLOOKUP(VLOOKUP(B146,Product!A:D,4,FALSE),Category!A:B,2,FALSE)</f>
        <v>Meat/Poultry</v>
      </c>
      <c r="L146" s="24">
        <f>IFERROR(VLOOKUP(A146,'Sales Order'!A:D,4,FALSE),"")</f>
        <v>38970</v>
      </c>
      <c r="M146" s="24">
        <f>IFERROR(VLOOKUP(A146,'Sales Order'!A:F,6,FALSE),"")</f>
        <v>38999</v>
      </c>
      <c r="N146" t="str">
        <f>IFERROR(VLOOKUP(VLOOKUP(A146,'Sales Order'!A:G,7,FALSE),Shipper!A:B,2,FALSE),"Not Specified")</f>
        <v>Shipper ETYNR</v>
      </c>
      <c r="O146" t="str">
        <f>IFERROR(VLOOKUP(A146,'Sales Order'!A:I,9,FALSE),"Not Specified")</f>
        <v>Ship to 76-B</v>
      </c>
      <c r="P146" t="str">
        <f>IFERROR(VLOOKUP(A146,'Sales Order'!A:N,14,FALSE),"Not Specified")</f>
        <v>Belgium</v>
      </c>
      <c r="Q146" t="str">
        <f>VLOOKUP(VLOOKUP(B146,Product!A:C,3,FALSE),Supplier!A:B,2,FALSE)</f>
        <v>Supplier GQRCV</v>
      </c>
      <c r="R146" t="str">
        <f>VLOOKUP(VLOOKUP(B146,Product!A:C,3,FALSE),Supplier!A:I,9,FALSE)</f>
        <v>Australia</v>
      </c>
      <c r="S146" t="str">
        <f>IFERROR(IF(VLOOKUP(A146,'Sales Order'!A:H,8,FALSE)&gt;100,"High Freight","Low Freight"),"Not Specified")</f>
        <v>Low Freight</v>
      </c>
      <c r="T146">
        <f t="shared" si="5"/>
        <v>1248</v>
      </c>
    </row>
    <row r="147" spans="1:20">
      <c r="A147" s="9">
        <v>10302</v>
      </c>
      <c r="B147" s="6">
        <v>28</v>
      </c>
      <c r="C147" s="6">
        <v>36.4</v>
      </c>
      <c r="D147" s="6">
        <v>28</v>
      </c>
      <c r="E147" s="18">
        <v>0</v>
      </c>
      <c r="F147" s="6" t="str">
        <f>IFERROR(VLOOKUP(VLOOKUP(A147,'Sales Order'!A:B,2,FALSE),Customer!A:C,3,FALSE),"Not Specified")</f>
        <v>Gulbis, Katrin</v>
      </c>
      <c r="G147" s="6" t="str">
        <f t="shared" si="4"/>
        <v>Gulbis Katrin</v>
      </c>
      <c r="H147" s="22" t="str">
        <f>IFERROR(VLOOKUP(VLOOKUP(A147,'Sales Order'!A:C,3,FALSE),Employee!A:E,5,FALSE)&amp;" "&amp;VLOOKUP(VLOOKUP(A147,'Sales Order'!A:C,3,FALSE),Employee!A:C,3,FALSE)&amp;" "&amp;VLOOKUP(VLOOKUP(A147,'Sales Order'!A:C,3,FALSE),Employee!A:B,2,FALSE),"Not Specified")</f>
        <v>Mrs. Yael Peled</v>
      </c>
      <c r="I147" t="str">
        <f>IFERROR(VLOOKUP(VLOOKUP(A147,'Sales Order'!A:C,3,FALSE),Employee!A:J,10,FALSE),"Not Specified")</f>
        <v>WA</v>
      </c>
      <c r="J147" t="str">
        <f>VLOOKUP(B147,Product!A:B,2,FALSE)</f>
        <v>Product OFBNT</v>
      </c>
      <c r="K147" t="str">
        <f>VLOOKUP(VLOOKUP(B147,Product!A:D,4,FALSE),Category!A:B,2,FALSE)</f>
        <v>Produce</v>
      </c>
      <c r="L147" s="24">
        <f>IFERROR(VLOOKUP(A147,'Sales Order'!A:D,4,FALSE),"")</f>
        <v>38970</v>
      </c>
      <c r="M147" s="24">
        <f>IFERROR(VLOOKUP(A147,'Sales Order'!A:F,6,FALSE),"")</f>
        <v>38999</v>
      </c>
      <c r="N147" t="str">
        <f>IFERROR(VLOOKUP(VLOOKUP(A147,'Sales Order'!A:G,7,FALSE),Shipper!A:B,2,FALSE),"Not Specified")</f>
        <v>Shipper ETYNR</v>
      </c>
      <c r="O147" t="str">
        <f>IFERROR(VLOOKUP(A147,'Sales Order'!A:I,9,FALSE),"Not Specified")</f>
        <v>Ship to 76-B</v>
      </c>
      <c r="P147" t="str">
        <f>IFERROR(VLOOKUP(A147,'Sales Order'!A:N,14,FALSE),"Not Specified")</f>
        <v>Belgium</v>
      </c>
      <c r="Q147" t="str">
        <f>VLOOKUP(VLOOKUP(B147,Product!A:C,3,FALSE),Supplier!A:B,2,FALSE)</f>
        <v>Supplier SVIYA</v>
      </c>
      <c r="R147" t="str">
        <f>VLOOKUP(VLOOKUP(B147,Product!A:C,3,FALSE),Supplier!A:I,9,FALSE)</f>
        <v>Germany</v>
      </c>
      <c r="S147" t="str">
        <f>IFERROR(IF(VLOOKUP(A147,'Sales Order'!A:H,8,FALSE)&gt;100,"High Freight","Low Freight"),"Not Specified")</f>
        <v>Low Freight</v>
      </c>
      <c r="T147">
        <f t="shared" si="5"/>
        <v>1019.1999999999999</v>
      </c>
    </row>
    <row r="148" spans="1:20">
      <c r="A148" s="9">
        <v>10302</v>
      </c>
      <c r="B148" s="6">
        <v>43</v>
      </c>
      <c r="C148" s="6">
        <v>36.799999999999997</v>
      </c>
      <c r="D148" s="6">
        <v>12</v>
      </c>
      <c r="E148" s="18">
        <v>0</v>
      </c>
      <c r="F148" s="6" t="str">
        <f>IFERROR(VLOOKUP(VLOOKUP(A148,'Sales Order'!A:B,2,FALSE),Customer!A:C,3,FALSE),"Not Specified")</f>
        <v>Gulbis, Katrin</v>
      </c>
      <c r="G148" s="6" t="str">
        <f t="shared" si="4"/>
        <v>Gulbis Katrin</v>
      </c>
      <c r="H148" s="22" t="str">
        <f>IFERROR(VLOOKUP(VLOOKUP(A148,'Sales Order'!A:C,3,FALSE),Employee!A:E,5,FALSE)&amp;" "&amp;VLOOKUP(VLOOKUP(A148,'Sales Order'!A:C,3,FALSE),Employee!A:C,3,FALSE)&amp;" "&amp;VLOOKUP(VLOOKUP(A148,'Sales Order'!A:C,3,FALSE),Employee!A:B,2,FALSE),"Not Specified")</f>
        <v>Mrs. Yael Peled</v>
      </c>
      <c r="I148" t="str">
        <f>IFERROR(VLOOKUP(VLOOKUP(A148,'Sales Order'!A:C,3,FALSE),Employee!A:J,10,FALSE),"Not Specified")</f>
        <v>WA</v>
      </c>
      <c r="J148" t="str">
        <f>VLOOKUP(B148,Product!A:B,2,FALSE)</f>
        <v>Product ZZZHR</v>
      </c>
      <c r="K148" t="str">
        <f>VLOOKUP(VLOOKUP(B148,Product!A:D,4,FALSE),Category!A:B,2,FALSE)</f>
        <v>Beverages</v>
      </c>
      <c r="L148" s="24">
        <f>IFERROR(VLOOKUP(A148,'Sales Order'!A:D,4,FALSE),"")</f>
        <v>38970</v>
      </c>
      <c r="M148" s="24">
        <f>IFERROR(VLOOKUP(A148,'Sales Order'!A:F,6,FALSE),"")</f>
        <v>38999</v>
      </c>
      <c r="N148" t="str">
        <f>IFERROR(VLOOKUP(VLOOKUP(A148,'Sales Order'!A:G,7,FALSE),Shipper!A:B,2,FALSE),"Not Specified")</f>
        <v>Shipper ETYNR</v>
      </c>
      <c r="O148" t="str">
        <f>IFERROR(VLOOKUP(A148,'Sales Order'!A:I,9,FALSE),"Not Specified")</f>
        <v>Ship to 76-B</v>
      </c>
      <c r="P148" t="str">
        <f>IFERROR(VLOOKUP(A148,'Sales Order'!A:N,14,FALSE),"Not Specified")</f>
        <v>Belgium</v>
      </c>
      <c r="Q148" t="str">
        <f>VLOOKUP(VLOOKUP(B148,Product!A:C,3,FALSE),Supplier!A:B,2,FALSE)</f>
        <v>Supplier CIYNM</v>
      </c>
      <c r="R148" t="str">
        <f>VLOOKUP(VLOOKUP(B148,Product!A:C,3,FALSE),Supplier!A:I,9,FALSE)</f>
        <v>Singapore</v>
      </c>
      <c r="S148" t="str">
        <f>IFERROR(IF(VLOOKUP(A148,'Sales Order'!A:H,8,FALSE)&gt;100,"High Freight","Low Freight"),"Not Specified")</f>
        <v>Low Freight</v>
      </c>
      <c r="T148">
        <f t="shared" si="5"/>
        <v>441.59999999999997</v>
      </c>
    </row>
    <row r="149" spans="1:20">
      <c r="A149" s="9">
        <v>10303</v>
      </c>
      <c r="B149" s="6">
        <v>40</v>
      </c>
      <c r="C149" s="6">
        <v>14.7</v>
      </c>
      <c r="D149" s="6">
        <v>40</v>
      </c>
      <c r="E149" s="18">
        <v>0.1</v>
      </c>
      <c r="F149" s="6" t="str">
        <f>IFERROR(VLOOKUP(VLOOKUP(A149,'Sales Order'!A:B,2,FALSE),Customer!A:C,3,FALSE),"Not Specified")</f>
        <v>Shabalin, Rostislav</v>
      </c>
      <c r="G149" s="6" t="str">
        <f t="shared" si="4"/>
        <v>Shabalin Rostislav</v>
      </c>
      <c r="H149" s="22" t="str">
        <f>IFERROR(VLOOKUP(VLOOKUP(A149,'Sales Order'!A:C,3,FALSE),Employee!A:E,5,FALSE)&amp;" "&amp;VLOOKUP(VLOOKUP(A149,'Sales Order'!A:C,3,FALSE),Employee!A:C,3,FALSE)&amp;" "&amp;VLOOKUP(VLOOKUP(A149,'Sales Order'!A:C,3,FALSE),Employee!A:B,2,FALSE),"Not Specified")</f>
        <v>Mr. Russell King</v>
      </c>
      <c r="I149">
        <f>IFERROR(VLOOKUP(VLOOKUP(A149,'Sales Order'!A:C,3,FALSE),Employee!A:J,10,FALSE),"Not Specified")</f>
        <v>0</v>
      </c>
      <c r="J149" t="str">
        <f>VLOOKUP(B149,Product!A:B,2,FALSE)</f>
        <v>Product YZIXQ</v>
      </c>
      <c r="K149" t="str">
        <f>VLOOKUP(VLOOKUP(B149,Product!A:D,4,FALSE),Category!A:B,2,FALSE)</f>
        <v>Seafood</v>
      </c>
      <c r="L149" s="24">
        <f>IFERROR(VLOOKUP(A149,'Sales Order'!A:D,4,FALSE),"")</f>
        <v>38971</v>
      </c>
      <c r="M149" s="24">
        <f>IFERROR(VLOOKUP(A149,'Sales Order'!A:F,6,FALSE),"")</f>
        <v>38978</v>
      </c>
      <c r="N149" t="str">
        <f>IFERROR(VLOOKUP(VLOOKUP(A149,'Sales Order'!A:G,7,FALSE),Shipper!A:B,2,FALSE),"Not Specified")</f>
        <v>Shipper ETYNR</v>
      </c>
      <c r="O149" t="str">
        <f>IFERROR(VLOOKUP(A149,'Sales Order'!A:I,9,FALSE),"Not Specified")</f>
        <v>Destination IIYDD</v>
      </c>
      <c r="P149" t="str">
        <f>IFERROR(VLOOKUP(A149,'Sales Order'!A:N,14,FALSE),"Not Specified")</f>
        <v>Spain</v>
      </c>
      <c r="Q149" t="str">
        <f>VLOOKUP(VLOOKUP(B149,Product!A:C,3,FALSE),Supplier!A:B,2,FALSE)</f>
        <v>Supplier JDNUG</v>
      </c>
      <c r="R149" t="str">
        <f>VLOOKUP(VLOOKUP(B149,Product!A:C,3,FALSE),Supplier!A:I,9,FALSE)</f>
        <v>USA</v>
      </c>
      <c r="S149" t="str">
        <f>IFERROR(IF(VLOOKUP(A149,'Sales Order'!A:H,8,FALSE)&gt;100,"High Freight","Low Freight"),"Not Specified")</f>
        <v>High Freight</v>
      </c>
      <c r="T149">
        <f t="shared" si="5"/>
        <v>529.20000000000005</v>
      </c>
    </row>
    <row r="150" spans="1:20">
      <c r="A150" s="9">
        <v>10303</v>
      </c>
      <c r="B150" s="6">
        <v>65</v>
      </c>
      <c r="C150" s="6">
        <v>16.8</v>
      </c>
      <c r="D150" s="6">
        <v>30</v>
      </c>
      <c r="E150" s="18">
        <v>0.1</v>
      </c>
      <c r="F150" s="6" t="str">
        <f>IFERROR(VLOOKUP(VLOOKUP(A150,'Sales Order'!A:B,2,FALSE),Customer!A:C,3,FALSE),"Not Specified")</f>
        <v>Shabalin, Rostislav</v>
      </c>
      <c r="G150" s="6" t="str">
        <f t="shared" si="4"/>
        <v>Shabalin Rostislav</v>
      </c>
      <c r="H150" s="22" t="str">
        <f>IFERROR(VLOOKUP(VLOOKUP(A150,'Sales Order'!A:C,3,FALSE),Employee!A:E,5,FALSE)&amp;" "&amp;VLOOKUP(VLOOKUP(A150,'Sales Order'!A:C,3,FALSE),Employee!A:C,3,FALSE)&amp;" "&amp;VLOOKUP(VLOOKUP(A150,'Sales Order'!A:C,3,FALSE),Employee!A:B,2,FALSE),"Not Specified")</f>
        <v>Mr. Russell King</v>
      </c>
      <c r="I150">
        <f>IFERROR(VLOOKUP(VLOOKUP(A150,'Sales Order'!A:C,3,FALSE),Employee!A:J,10,FALSE),"Not Specified")</f>
        <v>0</v>
      </c>
      <c r="J150" t="str">
        <f>VLOOKUP(B150,Product!A:B,2,FALSE)</f>
        <v>Product XYWBZ</v>
      </c>
      <c r="K150" t="str">
        <f>VLOOKUP(VLOOKUP(B150,Product!A:D,4,FALSE),Category!A:B,2,FALSE)</f>
        <v>Condiments</v>
      </c>
      <c r="L150" s="24">
        <f>IFERROR(VLOOKUP(A150,'Sales Order'!A:D,4,FALSE),"")</f>
        <v>38971</v>
      </c>
      <c r="M150" s="24">
        <f>IFERROR(VLOOKUP(A150,'Sales Order'!A:F,6,FALSE),"")</f>
        <v>38978</v>
      </c>
      <c r="N150" t="str">
        <f>IFERROR(VLOOKUP(VLOOKUP(A150,'Sales Order'!A:G,7,FALSE),Shipper!A:B,2,FALSE),"Not Specified")</f>
        <v>Shipper ETYNR</v>
      </c>
      <c r="O150" t="str">
        <f>IFERROR(VLOOKUP(A150,'Sales Order'!A:I,9,FALSE),"Not Specified")</f>
        <v>Destination IIYDD</v>
      </c>
      <c r="P150" t="str">
        <f>IFERROR(VLOOKUP(A150,'Sales Order'!A:N,14,FALSE),"Not Specified")</f>
        <v>Spain</v>
      </c>
      <c r="Q150" t="str">
        <f>VLOOKUP(VLOOKUP(B150,Product!A:C,3,FALSE),Supplier!A:B,2,FALSE)</f>
        <v>Supplier VHQZD</v>
      </c>
      <c r="R150" t="str">
        <f>VLOOKUP(VLOOKUP(B150,Product!A:C,3,FALSE),Supplier!A:I,9,FALSE)</f>
        <v>USA</v>
      </c>
      <c r="S150" t="str">
        <f>IFERROR(IF(VLOOKUP(A150,'Sales Order'!A:H,8,FALSE)&gt;100,"High Freight","Low Freight"),"Not Specified")</f>
        <v>High Freight</v>
      </c>
      <c r="T150">
        <f t="shared" si="5"/>
        <v>453.6</v>
      </c>
    </row>
    <row r="151" spans="1:20">
      <c r="A151" s="9">
        <v>10303</v>
      </c>
      <c r="B151" s="6">
        <v>68</v>
      </c>
      <c r="C151" s="6">
        <v>10</v>
      </c>
      <c r="D151" s="6">
        <v>15</v>
      </c>
      <c r="E151" s="18">
        <v>0.1</v>
      </c>
      <c r="F151" s="6" t="str">
        <f>IFERROR(VLOOKUP(VLOOKUP(A151,'Sales Order'!A:B,2,FALSE),Customer!A:C,3,FALSE),"Not Specified")</f>
        <v>Shabalin, Rostislav</v>
      </c>
      <c r="G151" s="6" t="str">
        <f t="shared" si="4"/>
        <v>Shabalin Rostislav</v>
      </c>
      <c r="H151" s="22" t="str">
        <f>IFERROR(VLOOKUP(VLOOKUP(A151,'Sales Order'!A:C,3,FALSE),Employee!A:E,5,FALSE)&amp;" "&amp;VLOOKUP(VLOOKUP(A151,'Sales Order'!A:C,3,FALSE),Employee!A:C,3,FALSE)&amp;" "&amp;VLOOKUP(VLOOKUP(A151,'Sales Order'!A:C,3,FALSE),Employee!A:B,2,FALSE),"Not Specified")</f>
        <v>Mr. Russell King</v>
      </c>
      <c r="I151">
        <f>IFERROR(VLOOKUP(VLOOKUP(A151,'Sales Order'!A:C,3,FALSE),Employee!A:J,10,FALSE),"Not Specified")</f>
        <v>0</v>
      </c>
      <c r="J151" t="str">
        <f>VLOOKUP(B151,Product!A:B,2,FALSE)</f>
        <v>Product TBTBL</v>
      </c>
      <c r="K151" t="str">
        <f>VLOOKUP(VLOOKUP(B151,Product!A:D,4,FALSE),Category!A:B,2,FALSE)</f>
        <v>Confections</v>
      </c>
      <c r="L151" s="24">
        <f>IFERROR(VLOOKUP(A151,'Sales Order'!A:D,4,FALSE),"")</f>
        <v>38971</v>
      </c>
      <c r="M151" s="24">
        <f>IFERROR(VLOOKUP(A151,'Sales Order'!A:F,6,FALSE),"")</f>
        <v>38978</v>
      </c>
      <c r="N151" t="str">
        <f>IFERROR(VLOOKUP(VLOOKUP(A151,'Sales Order'!A:G,7,FALSE),Shipper!A:B,2,FALSE),"Not Specified")</f>
        <v>Shipper ETYNR</v>
      </c>
      <c r="O151" t="str">
        <f>IFERROR(VLOOKUP(A151,'Sales Order'!A:I,9,FALSE),"Not Specified")</f>
        <v>Destination IIYDD</v>
      </c>
      <c r="P151" t="str">
        <f>IFERROR(VLOOKUP(A151,'Sales Order'!A:N,14,FALSE),"Not Specified")</f>
        <v>Spain</v>
      </c>
      <c r="Q151" t="str">
        <f>VLOOKUP(VLOOKUP(B151,Product!A:C,3,FALSE),Supplier!A:B,2,FALSE)</f>
        <v>Supplier BWGYE</v>
      </c>
      <c r="R151" t="str">
        <f>VLOOKUP(VLOOKUP(B151,Product!A:C,3,FALSE),Supplier!A:I,9,FALSE)</f>
        <v>UK</v>
      </c>
      <c r="S151" t="str">
        <f>IFERROR(IF(VLOOKUP(A151,'Sales Order'!A:H,8,FALSE)&gt;100,"High Freight","Low Freight"),"Not Specified")</f>
        <v>High Freight</v>
      </c>
      <c r="T151">
        <f t="shared" si="5"/>
        <v>135</v>
      </c>
    </row>
    <row r="152" spans="1:20">
      <c r="A152" s="9">
        <v>10304</v>
      </c>
      <c r="B152" s="6">
        <v>49</v>
      </c>
      <c r="C152" s="6">
        <v>16</v>
      </c>
      <c r="D152" s="6">
        <v>30</v>
      </c>
      <c r="E152" s="18">
        <v>0</v>
      </c>
      <c r="F152" s="6" t="str">
        <f>IFERROR(VLOOKUP(VLOOKUP(A152,'Sales Order'!A:B,2,FALSE),Customer!A:C,3,FALSE),"Not Specified")</f>
        <v>Geschwandtner, Jens</v>
      </c>
      <c r="G152" s="6" t="str">
        <f t="shared" si="4"/>
        <v>Geschwandtner Jens</v>
      </c>
      <c r="H152" s="22" t="str">
        <f>IFERROR(VLOOKUP(VLOOKUP(A152,'Sales Order'!A:C,3,FALSE),Employee!A:E,5,FALSE)&amp;" "&amp;VLOOKUP(VLOOKUP(A152,'Sales Order'!A:C,3,FALSE),Employee!A:C,3,FALSE)&amp;" "&amp;VLOOKUP(VLOOKUP(A152,'Sales Order'!A:C,3,FALSE),Employee!A:B,2,FALSE),"Not Specified")</f>
        <v>Ms. Sara Davis</v>
      </c>
      <c r="I152" t="str">
        <f>IFERROR(VLOOKUP(VLOOKUP(A152,'Sales Order'!A:C,3,FALSE),Employee!A:J,10,FALSE),"Not Specified")</f>
        <v>WA</v>
      </c>
      <c r="J152" t="str">
        <f>VLOOKUP(B152,Product!A:B,2,FALSE)</f>
        <v>Product FPYPN</v>
      </c>
      <c r="K152" t="str">
        <f>VLOOKUP(VLOOKUP(B152,Product!A:D,4,FALSE),Category!A:B,2,FALSE)</f>
        <v>Confections</v>
      </c>
      <c r="L152" s="24">
        <f>IFERROR(VLOOKUP(A152,'Sales Order'!A:D,4,FALSE),"")</f>
        <v>38972</v>
      </c>
      <c r="M152" s="24">
        <f>IFERROR(VLOOKUP(A152,'Sales Order'!A:F,6,FALSE),"")</f>
        <v>38977</v>
      </c>
      <c r="N152" t="str">
        <f>IFERROR(VLOOKUP(VLOOKUP(A152,'Sales Order'!A:G,7,FALSE),Shipper!A:B,2,FALSE),"Not Specified")</f>
        <v>Shipper ETYNR</v>
      </c>
      <c r="O152" t="str">
        <f>IFERROR(VLOOKUP(A152,'Sales Order'!A:I,9,FALSE),"Not Specified")</f>
        <v>Ship to 80-C</v>
      </c>
      <c r="P152" t="str">
        <f>IFERROR(VLOOKUP(A152,'Sales Order'!A:N,14,FALSE),"Not Specified")</f>
        <v>Mexico</v>
      </c>
      <c r="Q152" t="str">
        <f>VLOOKUP(VLOOKUP(B152,Product!A:C,3,FALSE),Supplier!A:B,2,FALSE)</f>
        <v>Supplier ELCRN</v>
      </c>
      <c r="R152" t="str">
        <f>VLOOKUP(VLOOKUP(B152,Product!A:C,3,FALSE),Supplier!A:I,9,FALSE)</f>
        <v>Finland</v>
      </c>
      <c r="S152" t="str">
        <f>IFERROR(IF(VLOOKUP(A152,'Sales Order'!A:H,8,FALSE)&gt;100,"High Freight","Low Freight"),"Not Specified")</f>
        <v>Low Freight</v>
      </c>
      <c r="T152">
        <f t="shared" si="5"/>
        <v>480</v>
      </c>
    </row>
    <row r="153" spans="1:20">
      <c r="A153" s="9">
        <v>10304</v>
      </c>
      <c r="B153" s="6">
        <v>59</v>
      </c>
      <c r="C153" s="6">
        <v>44</v>
      </c>
      <c r="D153" s="6">
        <v>10</v>
      </c>
      <c r="E153" s="18">
        <v>0</v>
      </c>
      <c r="F153" s="6" t="str">
        <f>IFERROR(VLOOKUP(VLOOKUP(A153,'Sales Order'!A:B,2,FALSE),Customer!A:C,3,FALSE),"Not Specified")</f>
        <v>Geschwandtner, Jens</v>
      </c>
      <c r="G153" s="6" t="str">
        <f t="shared" si="4"/>
        <v>Geschwandtner Jens</v>
      </c>
      <c r="H153" s="22" t="str">
        <f>IFERROR(VLOOKUP(VLOOKUP(A153,'Sales Order'!A:C,3,FALSE),Employee!A:E,5,FALSE)&amp;" "&amp;VLOOKUP(VLOOKUP(A153,'Sales Order'!A:C,3,FALSE),Employee!A:C,3,FALSE)&amp;" "&amp;VLOOKUP(VLOOKUP(A153,'Sales Order'!A:C,3,FALSE),Employee!A:B,2,FALSE),"Not Specified")</f>
        <v>Ms. Sara Davis</v>
      </c>
      <c r="I153" t="str">
        <f>IFERROR(VLOOKUP(VLOOKUP(A153,'Sales Order'!A:C,3,FALSE),Employee!A:J,10,FALSE),"Not Specified")</f>
        <v>WA</v>
      </c>
      <c r="J153" t="str">
        <f>VLOOKUP(B153,Product!A:B,2,FALSE)</f>
        <v>Product UKXRI</v>
      </c>
      <c r="K153" t="str">
        <f>VLOOKUP(VLOOKUP(B153,Product!A:D,4,FALSE),Category!A:B,2,FALSE)</f>
        <v>Dairy Product</v>
      </c>
      <c r="L153" s="24">
        <f>IFERROR(VLOOKUP(A153,'Sales Order'!A:D,4,FALSE),"")</f>
        <v>38972</v>
      </c>
      <c r="M153" s="24">
        <f>IFERROR(VLOOKUP(A153,'Sales Order'!A:F,6,FALSE),"")</f>
        <v>38977</v>
      </c>
      <c r="N153" t="str">
        <f>IFERROR(VLOOKUP(VLOOKUP(A153,'Sales Order'!A:G,7,FALSE),Shipper!A:B,2,FALSE),"Not Specified")</f>
        <v>Shipper ETYNR</v>
      </c>
      <c r="O153" t="str">
        <f>IFERROR(VLOOKUP(A153,'Sales Order'!A:I,9,FALSE),"Not Specified")</f>
        <v>Ship to 80-C</v>
      </c>
      <c r="P153" t="str">
        <f>IFERROR(VLOOKUP(A153,'Sales Order'!A:N,14,FALSE),"Not Specified")</f>
        <v>Mexico</v>
      </c>
      <c r="Q153" t="str">
        <f>VLOOKUP(VLOOKUP(B153,Product!A:C,3,FALSE),Supplier!A:B,2,FALSE)</f>
        <v>Supplier OAVQT</v>
      </c>
      <c r="R153" t="str">
        <f>VLOOKUP(VLOOKUP(B153,Product!A:C,3,FALSE),Supplier!A:I,9,FALSE)</f>
        <v>France</v>
      </c>
      <c r="S153" t="str">
        <f>IFERROR(IF(VLOOKUP(A153,'Sales Order'!A:H,8,FALSE)&gt;100,"High Freight","Low Freight"),"Not Specified")</f>
        <v>Low Freight</v>
      </c>
      <c r="T153">
        <f t="shared" si="5"/>
        <v>440</v>
      </c>
    </row>
    <row r="154" spans="1:20">
      <c r="A154" s="9">
        <v>10304</v>
      </c>
      <c r="B154" s="6">
        <v>71</v>
      </c>
      <c r="C154" s="6">
        <v>17.2</v>
      </c>
      <c r="D154" s="6">
        <v>2</v>
      </c>
      <c r="E154" s="18">
        <v>0</v>
      </c>
      <c r="F154" s="6" t="str">
        <f>IFERROR(VLOOKUP(VLOOKUP(A154,'Sales Order'!A:B,2,FALSE),Customer!A:C,3,FALSE),"Not Specified")</f>
        <v>Geschwandtner, Jens</v>
      </c>
      <c r="G154" s="6" t="str">
        <f t="shared" si="4"/>
        <v>Geschwandtner Jens</v>
      </c>
      <c r="H154" s="22" t="str">
        <f>IFERROR(VLOOKUP(VLOOKUP(A154,'Sales Order'!A:C,3,FALSE),Employee!A:E,5,FALSE)&amp;" "&amp;VLOOKUP(VLOOKUP(A154,'Sales Order'!A:C,3,FALSE),Employee!A:C,3,FALSE)&amp;" "&amp;VLOOKUP(VLOOKUP(A154,'Sales Order'!A:C,3,FALSE),Employee!A:B,2,FALSE),"Not Specified")</f>
        <v>Ms. Sara Davis</v>
      </c>
      <c r="I154" t="str">
        <f>IFERROR(VLOOKUP(VLOOKUP(A154,'Sales Order'!A:C,3,FALSE),Employee!A:J,10,FALSE),"Not Specified")</f>
        <v>WA</v>
      </c>
      <c r="J154" t="str">
        <f>VLOOKUP(B154,Product!A:B,2,FALSE)</f>
        <v>Product MYMOI</v>
      </c>
      <c r="K154" t="str">
        <f>VLOOKUP(VLOOKUP(B154,Product!A:D,4,FALSE),Category!A:B,2,FALSE)</f>
        <v>Dairy Product</v>
      </c>
      <c r="L154" s="24">
        <f>IFERROR(VLOOKUP(A154,'Sales Order'!A:D,4,FALSE),"")</f>
        <v>38972</v>
      </c>
      <c r="M154" s="24">
        <f>IFERROR(VLOOKUP(A154,'Sales Order'!A:F,6,FALSE),"")</f>
        <v>38977</v>
      </c>
      <c r="N154" t="str">
        <f>IFERROR(VLOOKUP(VLOOKUP(A154,'Sales Order'!A:G,7,FALSE),Shipper!A:B,2,FALSE),"Not Specified")</f>
        <v>Shipper ETYNR</v>
      </c>
      <c r="O154" t="str">
        <f>IFERROR(VLOOKUP(A154,'Sales Order'!A:I,9,FALSE),"Not Specified")</f>
        <v>Ship to 80-C</v>
      </c>
      <c r="P154" t="str">
        <f>IFERROR(VLOOKUP(A154,'Sales Order'!A:N,14,FALSE),"Not Specified")</f>
        <v>Mexico</v>
      </c>
      <c r="Q154" t="str">
        <f>VLOOKUP(VLOOKUP(B154,Product!A:C,3,FALSE),Supplier!A:B,2,FALSE)</f>
        <v>Supplier NZLIF</v>
      </c>
      <c r="R154" t="str">
        <f>VLOOKUP(VLOOKUP(B154,Product!A:C,3,FALSE),Supplier!A:I,9,FALSE)</f>
        <v>Norway</v>
      </c>
      <c r="S154" t="str">
        <f>IFERROR(IF(VLOOKUP(A154,'Sales Order'!A:H,8,FALSE)&gt;100,"High Freight","Low Freight"),"Not Specified")</f>
        <v>Low Freight</v>
      </c>
      <c r="T154">
        <f t="shared" si="5"/>
        <v>34.4</v>
      </c>
    </row>
    <row r="155" spans="1:20">
      <c r="A155" s="9">
        <v>10305</v>
      </c>
      <c r="B155" s="6">
        <v>18</v>
      </c>
      <c r="C155" s="6">
        <v>50</v>
      </c>
      <c r="D155" s="6">
        <v>25</v>
      </c>
      <c r="E155" s="18">
        <v>0.1</v>
      </c>
      <c r="F155" s="6" t="str">
        <f>IFERROR(VLOOKUP(VLOOKUP(A155,'Sales Order'!A:B,2,FALSE),Customer!A:C,3,FALSE),"Not Specified")</f>
        <v>Egelund-Muller, Anja</v>
      </c>
      <c r="G155" s="6" t="str">
        <f t="shared" si="4"/>
        <v>Egelund-Muller Anja</v>
      </c>
      <c r="H155" s="22" t="str">
        <f>IFERROR(VLOOKUP(VLOOKUP(A155,'Sales Order'!A:C,3,FALSE),Employee!A:E,5,FALSE)&amp;" "&amp;VLOOKUP(VLOOKUP(A155,'Sales Order'!A:C,3,FALSE),Employee!A:C,3,FALSE)&amp;" "&amp;VLOOKUP(VLOOKUP(A155,'Sales Order'!A:C,3,FALSE),Employee!A:B,2,FALSE),"Not Specified")</f>
        <v>Ms. Maria Cameron</v>
      </c>
      <c r="I155" t="str">
        <f>IFERROR(VLOOKUP(VLOOKUP(A155,'Sales Order'!A:C,3,FALSE),Employee!A:J,10,FALSE),"Not Specified")</f>
        <v>WA</v>
      </c>
      <c r="J155" t="str">
        <f>VLOOKUP(B155,Product!A:B,2,FALSE)</f>
        <v>Product CKEDC</v>
      </c>
      <c r="K155" t="str">
        <f>VLOOKUP(VLOOKUP(B155,Product!A:D,4,FALSE),Category!A:B,2,FALSE)</f>
        <v>Seafood</v>
      </c>
      <c r="L155" s="24">
        <f>IFERROR(VLOOKUP(A155,'Sales Order'!A:D,4,FALSE),"")</f>
        <v>38973</v>
      </c>
      <c r="M155" s="24">
        <f>IFERROR(VLOOKUP(A155,'Sales Order'!A:F,6,FALSE),"")</f>
        <v>38999</v>
      </c>
      <c r="N155" t="str">
        <f>IFERROR(VLOOKUP(VLOOKUP(A155,'Sales Order'!A:G,7,FALSE),Shipper!A:B,2,FALSE),"Not Specified")</f>
        <v>Shipper ZHISN</v>
      </c>
      <c r="O155" t="str">
        <f>IFERROR(VLOOKUP(A155,'Sales Order'!A:I,9,FALSE),"Not Specified")</f>
        <v>Ship to 55-B</v>
      </c>
      <c r="P155" t="str">
        <f>IFERROR(VLOOKUP(A155,'Sales Order'!A:N,14,FALSE),"Not Specified")</f>
        <v>USA</v>
      </c>
      <c r="Q155" t="str">
        <f>VLOOKUP(VLOOKUP(B155,Product!A:C,3,FALSE),Supplier!A:B,2,FALSE)</f>
        <v>Supplier GQRCV</v>
      </c>
      <c r="R155" t="str">
        <f>VLOOKUP(VLOOKUP(B155,Product!A:C,3,FALSE),Supplier!A:I,9,FALSE)</f>
        <v>Australia</v>
      </c>
      <c r="S155" t="str">
        <f>IFERROR(IF(VLOOKUP(A155,'Sales Order'!A:H,8,FALSE)&gt;100,"High Freight","Low Freight"),"Not Specified")</f>
        <v>High Freight</v>
      </c>
      <c r="T155">
        <f t="shared" si="5"/>
        <v>1125</v>
      </c>
    </row>
    <row r="156" spans="1:20">
      <c r="A156" s="9">
        <v>10305</v>
      </c>
      <c r="B156" s="6">
        <v>29</v>
      </c>
      <c r="C156" s="6">
        <v>99</v>
      </c>
      <c r="D156" s="6">
        <v>25</v>
      </c>
      <c r="E156" s="18">
        <v>0.1</v>
      </c>
      <c r="F156" s="6" t="str">
        <f>IFERROR(VLOOKUP(VLOOKUP(A156,'Sales Order'!A:B,2,FALSE),Customer!A:C,3,FALSE),"Not Specified")</f>
        <v>Egelund-Muller, Anja</v>
      </c>
      <c r="G156" s="6" t="str">
        <f t="shared" si="4"/>
        <v>Egelund-Muller Anja</v>
      </c>
      <c r="H156" s="22" t="str">
        <f>IFERROR(VLOOKUP(VLOOKUP(A156,'Sales Order'!A:C,3,FALSE),Employee!A:E,5,FALSE)&amp;" "&amp;VLOOKUP(VLOOKUP(A156,'Sales Order'!A:C,3,FALSE),Employee!A:C,3,FALSE)&amp;" "&amp;VLOOKUP(VLOOKUP(A156,'Sales Order'!A:C,3,FALSE),Employee!A:B,2,FALSE),"Not Specified")</f>
        <v>Ms. Maria Cameron</v>
      </c>
      <c r="I156" t="str">
        <f>IFERROR(VLOOKUP(VLOOKUP(A156,'Sales Order'!A:C,3,FALSE),Employee!A:J,10,FALSE),"Not Specified")</f>
        <v>WA</v>
      </c>
      <c r="J156" t="str">
        <f>VLOOKUP(B156,Product!A:B,2,FALSE)</f>
        <v>Product VJXYN</v>
      </c>
      <c r="K156" t="str">
        <f>VLOOKUP(VLOOKUP(B156,Product!A:D,4,FALSE),Category!A:B,2,FALSE)</f>
        <v>Meat/Poultry</v>
      </c>
      <c r="L156" s="24">
        <f>IFERROR(VLOOKUP(A156,'Sales Order'!A:D,4,FALSE),"")</f>
        <v>38973</v>
      </c>
      <c r="M156" s="24">
        <f>IFERROR(VLOOKUP(A156,'Sales Order'!A:F,6,FALSE),"")</f>
        <v>38999</v>
      </c>
      <c r="N156" t="str">
        <f>IFERROR(VLOOKUP(VLOOKUP(A156,'Sales Order'!A:G,7,FALSE),Shipper!A:B,2,FALSE),"Not Specified")</f>
        <v>Shipper ZHISN</v>
      </c>
      <c r="O156" t="str">
        <f>IFERROR(VLOOKUP(A156,'Sales Order'!A:I,9,FALSE),"Not Specified")</f>
        <v>Ship to 55-B</v>
      </c>
      <c r="P156" t="str">
        <f>IFERROR(VLOOKUP(A156,'Sales Order'!A:N,14,FALSE),"Not Specified")</f>
        <v>USA</v>
      </c>
      <c r="Q156" t="str">
        <f>VLOOKUP(VLOOKUP(B156,Product!A:C,3,FALSE),Supplier!A:B,2,FALSE)</f>
        <v>Supplier SVIYA</v>
      </c>
      <c r="R156" t="str">
        <f>VLOOKUP(VLOOKUP(B156,Product!A:C,3,FALSE),Supplier!A:I,9,FALSE)</f>
        <v>Germany</v>
      </c>
      <c r="S156" t="str">
        <f>IFERROR(IF(VLOOKUP(A156,'Sales Order'!A:H,8,FALSE)&gt;100,"High Freight","Low Freight"),"Not Specified")</f>
        <v>High Freight</v>
      </c>
      <c r="T156">
        <f t="shared" si="5"/>
        <v>2227.5</v>
      </c>
    </row>
    <row r="157" spans="1:20">
      <c r="A157" s="9">
        <v>10305</v>
      </c>
      <c r="B157" s="6">
        <v>39</v>
      </c>
      <c r="C157" s="6">
        <v>14.4</v>
      </c>
      <c r="D157" s="6">
        <v>30</v>
      </c>
      <c r="E157" s="18">
        <v>0.1</v>
      </c>
      <c r="F157" s="6" t="str">
        <f>IFERROR(VLOOKUP(VLOOKUP(A157,'Sales Order'!A:B,2,FALSE),Customer!A:C,3,FALSE),"Not Specified")</f>
        <v>Egelund-Muller, Anja</v>
      </c>
      <c r="G157" s="6" t="str">
        <f t="shared" si="4"/>
        <v>Egelund-Muller Anja</v>
      </c>
      <c r="H157" s="22" t="str">
        <f>IFERROR(VLOOKUP(VLOOKUP(A157,'Sales Order'!A:C,3,FALSE),Employee!A:E,5,FALSE)&amp;" "&amp;VLOOKUP(VLOOKUP(A157,'Sales Order'!A:C,3,FALSE),Employee!A:C,3,FALSE)&amp;" "&amp;VLOOKUP(VLOOKUP(A157,'Sales Order'!A:C,3,FALSE),Employee!A:B,2,FALSE),"Not Specified")</f>
        <v>Ms. Maria Cameron</v>
      </c>
      <c r="I157" t="str">
        <f>IFERROR(VLOOKUP(VLOOKUP(A157,'Sales Order'!A:C,3,FALSE),Employee!A:J,10,FALSE),"Not Specified")</f>
        <v>WA</v>
      </c>
      <c r="J157" t="str">
        <f>VLOOKUP(B157,Product!A:B,2,FALSE)</f>
        <v>Product LSOFL</v>
      </c>
      <c r="K157" t="str">
        <f>VLOOKUP(VLOOKUP(B157,Product!A:D,4,FALSE),Category!A:B,2,FALSE)</f>
        <v>Beverages</v>
      </c>
      <c r="L157" s="24">
        <f>IFERROR(VLOOKUP(A157,'Sales Order'!A:D,4,FALSE),"")</f>
        <v>38973</v>
      </c>
      <c r="M157" s="24">
        <f>IFERROR(VLOOKUP(A157,'Sales Order'!A:F,6,FALSE),"")</f>
        <v>38999</v>
      </c>
      <c r="N157" t="str">
        <f>IFERROR(VLOOKUP(VLOOKUP(A157,'Sales Order'!A:G,7,FALSE),Shipper!A:B,2,FALSE),"Not Specified")</f>
        <v>Shipper ZHISN</v>
      </c>
      <c r="O157" t="str">
        <f>IFERROR(VLOOKUP(A157,'Sales Order'!A:I,9,FALSE),"Not Specified")</f>
        <v>Ship to 55-B</v>
      </c>
      <c r="P157" t="str">
        <f>IFERROR(VLOOKUP(A157,'Sales Order'!A:N,14,FALSE),"Not Specified")</f>
        <v>USA</v>
      </c>
      <c r="Q157" t="str">
        <f>VLOOKUP(VLOOKUP(B157,Product!A:C,3,FALSE),Supplier!A:B,2,FALSE)</f>
        <v>Supplier LVJUA</v>
      </c>
      <c r="R157" t="str">
        <f>VLOOKUP(VLOOKUP(B157,Product!A:C,3,FALSE),Supplier!A:I,9,FALSE)</f>
        <v>France</v>
      </c>
      <c r="S157" t="str">
        <f>IFERROR(IF(VLOOKUP(A157,'Sales Order'!A:H,8,FALSE)&gt;100,"High Freight","Low Freight"),"Not Specified")</f>
        <v>High Freight</v>
      </c>
      <c r="T157">
        <f t="shared" si="5"/>
        <v>388.8</v>
      </c>
    </row>
    <row r="158" spans="1:20">
      <c r="A158" s="9">
        <v>10306</v>
      </c>
      <c r="B158" s="6">
        <v>30</v>
      </c>
      <c r="C158" s="6">
        <v>20.7</v>
      </c>
      <c r="D158" s="6">
        <v>10</v>
      </c>
      <c r="E158" s="18">
        <v>0</v>
      </c>
      <c r="F158" s="6" t="str">
        <f>IFERROR(VLOOKUP(VLOOKUP(A158,'Sales Order'!A:B,2,FALSE),Customer!A:C,3,FALSE),"Not Specified")</f>
        <v>Watters, Jason M.</v>
      </c>
      <c r="G158" s="6" t="str">
        <f t="shared" si="4"/>
        <v>Watters Jason M.</v>
      </c>
      <c r="H158" s="22" t="str">
        <f>IFERROR(VLOOKUP(VLOOKUP(A158,'Sales Order'!A:C,3,FALSE),Employee!A:E,5,FALSE)&amp;" "&amp;VLOOKUP(VLOOKUP(A158,'Sales Order'!A:C,3,FALSE),Employee!A:C,3,FALSE)&amp;" "&amp;VLOOKUP(VLOOKUP(A158,'Sales Order'!A:C,3,FALSE),Employee!A:B,2,FALSE),"Not Specified")</f>
        <v>Ms. Sara Davis</v>
      </c>
      <c r="I158" t="str">
        <f>IFERROR(VLOOKUP(VLOOKUP(A158,'Sales Order'!A:C,3,FALSE),Employee!A:J,10,FALSE),"Not Specified")</f>
        <v>WA</v>
      </c>
      <c r="J158" t="str">
        <f>VLOOKUP(B158,Product!A:B,2,FALSE)</f>
        <v>Product LYERX</v>
      </c>
      <c r="K158" t="str">
        <f>VLOOKUP(VLOOKUP(B158,Product!A:D,4,FALSE),Category!A:B,2,FALSE)</f>
        <v>Seafood</v>
      </c>
      <c r="L158" s="24">
        <f>IFERROR(VLOOKUP(A158,'Sales Order'!A:D,4,FALSE),"")</f>
        <v>38976</v>
      </c>
      <c r="M158" s="24">
        <f>IFERROR(VLOOKUP(A158,'Sales Order'!A:F,6,FALSE),"")</f>
        <v>38983</v>
      </c>
      <c r="N158" t="str">
        <f>IFERROR(VLOOKUP(VLOOKUP(A158,'Sales Order'!A:G,7,FALSE),Shipper!A:B,2,FALSE),"Not Specified")</f>
        <v>Shipper ZHISN</v>
      </c>
      <c r="O158" t="str">
        <f>IFERROR(VLOOKUP(A158,'Sales Order'!A:I,9,FALSE),"Not Specified")</f>
        <v>Ship to 69-B</v>
      </c>
      <c r="P158" t="str">
        <f>IFERROR(VLOOKUP(A158,'Sales Order'!A:N,14,FALSE),"Not Specified")</f>
        <v>Spain</v>
      </c>
      <c r="Q158" t="str">
        <f>VLOOKUP(VLOOKUP(B158,Product!A:C,3,FALSE),Supplier!A:B,2,FALSE)</f>
        <v>Supplier TEGSC</v>
      </c>
      <c r="R158" t="str">
        <f>VLOOKUP(VLOOKUP(B158,Product!A:C,3,FALSE),Supplier!A:I,9,FALSE)</f>
        <v>Germany</v>
      </c>
      <c r="S158" t="str">
        <f>IFERROR(IF(VLOOKUP(A158,'Sales Order'!A:H,8,FALSE)&gt;100,"High Freight","Low Freight"),"Not Specified")</f>
        <v>Low Freight</v>
      </c>
      <c r="T158">
        <f t="shared" si="5"/>
        <v>207</v>
      </c>
    </row>
    <row r="159" spans="1:20">
      <c r="A159" s="9">
        <v>10306</v>
      </c>
      <c r="B159" s="6">
        <v>53</v>
      </c>
      <c r="C159" s="6">
        <v>26.2</v>
      </c>
      <c r="D159" s="6">
        <v>10</v>
      </c>
      <c r="E159" s="18">
        <v>0</v>
      </c>
      <c r="F159" s="6" t="str">
        <f>IFERROR(VLOOKUP(VLOOKUP(A159,'Sales Order'!A:B,2,FALSE),Customer!A:C,3,FALSE),"Not Specified")</f>
        <v>Watters, Jason M.</v>
      </c>
      <c r="G159" s="6" t="str">
        <f t="shared" si="4"/>
        <v>Watters Jason M.</v>
      </c>
      <c r="H159" s="22" t="str">
        <f>IFERROR(VLOOKUP(VLOOKUP(A159,'Sales Order'!A:C,3,FALSE),Employee!A:E,5,FALSE)&amp;" "&amp;VLOOKUP(VLOOKUP(A159,'Sales Order'!A:C,3,FALSE),Employee!A:C,3,FALSE)&amp;" "&amp;VLOOKUP(VLOOKUP(A159,'Sales Order'!A:C,3,FALSE),Employee!A:B,2,FALSE),"Not Specified")</f>
        <v>Ms. Sara Davis</v>
      </c>
      <c r="I159" t="str">
        <f>IFERROR(VLOOKUP(VLOOKUP(A159,'Sales Order'!A:C,3,FALSE),Employee!A:J,10,FALSE),"Not Specified")</f>
        <v>WA</v>
      </c>
      <c r="J159" t="str">
        <f>VLOOKUP(B159,Product!A:B,2,FALSE)</f>
        <v>Product BKGEA</v>
      </c>
      <c r="K159" t="str">
        <f>VLOOKUP(VLOOKUP(B159,Product!A:D,4,FALSE),Category!A:B,2,FALSE)</f>
        <v>Meat/Poultry</v>
      </c>
      <c r="L159" s="24">
        <f>IFERROR(VLOOKUP(A159,'Sales Order'!A:D,4,FALSE),"")</f>
        <v>38976</v>
      </c>
      <c r="M159" s="24">
        <f>IFERROR(VLOOKUP(A159,'Sales Order'!A:F,6,FALSE),"")</f>
        <v>38983</v>
      </c>
      <c r="N159" t="str">
        <f>IFERROR(VLOOKUP(VLOOKUP(A159,'Sales Order'!A:G,7,FALSE),Shipper!A:B,2,FALSE),"Not Specified")</f>
        <v>Shipper ZHISN</v>
      </c>
      <c r="O159" t="str">
        <f>IFERROR(VLOOKUP(A159,'Sales Order'!A:I,9,FALSE),"Not Specified")</f>
        <v>Ship to 69-B</v>
      </c>
      <c r="P159" t="str">
        <f>IFERROR(VLOOKUP(A159,'Sales Order'!A:N,14,FALSE),"Not Specified")</f>
        <v>Spain</v>
      </c>
      <c r="Q159" t="str">
        <f>VLOOKUP(VLOOKUP(B159,Product!A:C,3,FALSE),Supplier!A:B,2,FALSE)</f>
        <v>Supplier JNNES</v>
      </c>
      <c r="R159" t="str">
        <f>VLOOKUP(VLOOKUP(B159,Product!A:C,3,FALSE),Supplier!A:I,9,FALSE)</f>
        <v>Australia</v>
      </c>
      <c r="S159" t="str">
        <f>IFERROR(IF(VLOOKUP(A159,'Sales Order'!A:H,8,FALSE)&gt;100,"High Freight","Low Freight"),"Not Specified")</f>
        <v>Low Freight</v>
      </c>
      <c r="T159">
        <f t="shared" si="5"/>
        <v>262</v>
      </c>
    </row>
    <row r="160" spans="1:20">
      <c r="A160" s="9">
        <v>10306</v>
      </c>
      <c r="B160" s="6">
        <v>54</v>
      </c>
      <c r="C160" s="6">
        <v>5.9</v>
      </c>
      <c r="D160" s="6">
        <v>5</v>
      </c>
      <c r="E160" s="18">
        <v>0</v>
      </c>
      <c r="F160" s="6" t="str">
        <f>IFERROR(VLOOKUP(VLOOKUP(A160,'Sales Order'!A:B,2,FALSE),Customer!A:C,3,FALSE),"Not Specified")</f>
        <v>Watters, Jason M.</v>
      </c>
      <c r="G160" s="6" t="str">
        <f t="shared" si="4"/>
        <v>Watters Jason M.</v>
      </c>
      <c r="H160" s="22" t="str">
        <f>IFERROR(VLOOKUP(VLOOKUP(A160,'Sales Order'!A:C,3,FALSE),Employee!A:E,5,FALSE)&amp;" "&amp;VLOOKUP(VLOOKUP(A160,'Sales Order'!A:C,3,FALSE),Employee!A:C,3,FALSE)&amp;" "&amp;VLOOKUP(VLOOKUP(A160,'Sales Order'!A:C,3,FALSE),Employee!A:B,2,FALSE),"Not Specified")</f>
        <v>Ms. Sara Davis</v>
      </c>
      <c r="I160" t="str">
        <f>IFERROR(VLOOKUP(VLOOKUP(A160,'Sales Order'!A:C,3,FALSE),Employee!A:J,10,FALSE),"Not Specified")</f>
        <v>WA</v>
      </c>
      <c r="J160" t="str">
        <f>VLOOKUP(B160,Product!A:B,2,FALSE)</f>
        <v>Product QAQRL</v>
      </c>
      <c r="K160" t="str">
        <f>VLOOKUP(VLOOKUP(B160,Product!A:D,4,FALSE),Category!A:B,2,FALSE)</f>
        <v>Meat/Poultry</v>
      </c>
      <c r="L160" s="24">
        <f>IFERROR(VLOOKUP(A160,'Sales Order'!A:D,4,FALSE),"")</f>
        <v>38976</v>
      </c>
      <c r="M160" s="24">
        <f>IFERROR(VLOOKUP(A160,'Sales Order'!A:F,6,FALSE),"")</f>
        <v>38983</v>
      </c>
      <c r="N160" t="str">
        <f>IFERROR(VLOOKUP(VLOOKUP(A160,'Sales Order'!A:G,7,FALSE),Shipper!A:B,2,FALSE),"Not Specified")</f>
        <v>Shipper ZHISN</v>
      </c>
      <c r="O160" t="str">
        <f>IFERROR(VLOOKUP(A160,'Sales Order'!A:I,9,FALSE),"Not Specified")</f>
        <v>Ship to 69-B</v>
      </c>
      <c r="P160" t="str">
        <f>IFERROR(VLOOKUP(A160,'Sales Order'!A:N,14,FALSE),"Not Specified")</f>
        <v>Spain</v>
      </c>
      <c r="Q160" t="str">
        <f>VLOOKUP(VLOOKUP(B160,Product!A:C,3,FALSE),Supplier!A:B,2,FALSE)</f>
        <v>Supplier ERVYZ</v>
      </c>
      <c r="R160" t="str">
        <f>VLOOKUP(VLOOKUP(B160,Product!A:C,3,FALSE),Supplier!A:I,9,FALSE)</f>
        <v>Canada</v>
      </c>
      <c r="S160" t="str">
        <f>IFERROR(IF(VLOOKUP(A160,'Sales Order'!A:H,8,FALSE)&gt;100,"High Freight","Low Freight"),"Not Specified")</f>
        <v>Low Freight</v>
      </c>
      <c r="T160">
        <f t="shared" si="5"/>
        <v>29.5</v>
      </c>
    </row>
    <row r="161" spans="1:20">
      <c r="A161" s="9">
        <v>10307</v>
      </c>
      <c r="B161" s="6">
        <v>62</v>
      </c>
      <c r="C161" s="6">
        <v>39.4</v>
      </c>
      <c r="D161" s="6">
        <v>10</v>
      </c>
      <c r="E161" s="18">
        <v>0</v>
      </c>
      <c r="F161" s="6" t="str">
        <f>IFERROR(VLOOKUP(VLOOKUP(A161,'Sales Order'!A:B,2,FALSE),Customer!A:C,3,FALSE),"Not Specified")</f>
        <v>Szymczak, Radosław</v>
      </c>
      <c r="G161" s="6" t="str">
        <f t="shared" si="4"/>
        <v>Szymczak Radosław</v>
      </c>
      <c r="H161" s="22" t="str">
        <f>IFERROR(VLOOKUP(VLOOKUP(A161,'Sales Order'!A:C,3,FALSE),Employee!A:E,5,FALSE)&amp;" "&amp;VLOOKUP(VLOOKUP(A161,'Sales Order'!A:C,3,FALSE),Employee!A:C,3,FALSE)&amp;" "&amp;VLOOKUP(VLOOKUP(A161,'Sales Order'!A:C,3,FALSE),Employee!A:B,2,FALSE),"Not Specified")</f>
        <v>Dr. Don Funk</v>
      </c>
      <c r="I161" t="str">
        <f>IFERROR(VLOOKUP(VLOOKUP(A161,'Sales Order'!A:C,3,FALSE),Employee!A:J,10,FALSE),"Not Specified")</f>
        <v>WA</v>
      </c>
      <c r="J161" t="str">
        <f>VLOOKUP(B161,Product!A:B,2,FALSE)</f>
        <v>Product WUXYK</v>
      </c>
      <c r="K161" t="str">
        <f>VLOOKUP(VLOOKUP(B161,Product!A:D,4,FALSE),Category!A:B,2,FALSE)</f>
        <v>Confections</v>
      </c>
      <c r="L161" s="24">
        <f>IFERROR(VLOOKUP(A161,'Sales Order'!A:D,4,FALSE),"")</f>
        <v>38977</v>
      </c>
      <c r="M161" s="24">
        <f>IFERROR(VLOOKUP(A161,'Sales Order'!A:F,6,FALSE),"")</f>
        <v>38985</v>
      </c>
      <c r="N161" t="str">
        <f>IFERROR(VLOOKUP(VLOOKUP(A161,'Sales Order'!A:G,7,FALSE),Shipper!A:B,2,FALSE),"Not Specified")</f>
        <v>Shipper ETYNR</v>
      </c>
      <c r="O161" t="str">
        <f>IFERROR(VLOOKUP(A161,'Sales Order'!A:I,9,FALSE),"Not Specified")</f>
        <v>Ship to 48-B</v>
      </c>
      <c r="P161" t="str">
        <f>IFERROR(VLOOKUP(A161,'Sales Order'!A:N,14,FALSE),"Not Specified")</f>
        <v>USA</v>
      </c>
      <c r="Q161" t="str">
        <f>VLOOKUP(VLOOKUP(B161,Product!A:C,3,FALSE),Supplier!A:B,2,FALSE)</f>
        <v>Supplier OGLRK</v>
      </c>
      <c r="R161" t="str">
        <f>VLOOKUP(VLOOKUP(B161,Product!A:C,3,FALSE),Supplier!A:I,9,FALSE)</f>
        <v>Canada</v>
      </c>
      <c r="S161" t="str">
        <f>IFERROR(IF(VLOOKUP(A161,'Sales Order'!A:H,8,FALSE)&gt;100,"High Freight","Low Freight"),"Not Specified")</f>
        <v>Low Freight</v>
      </c>
      <c r="T161">
        <f t="shared" si="5"/>
        <v>394</v>
      </c>
    </row>
    <row r="162" spans="1:20">
      <c r="A162" s="9">
        <v>10307</v>
      </c>
      <c r="B162" s="6">
        <v>68</v>
      </c>
      <c r="C162" s="6">
        <v>10</v>
      </c>
      <c r="D162" s="6">
        <v>3</v>
      </c>
      <c r="E162" s="18">
        <v>0</v>
      </c>
      <c r="F162" s="6" t="str">
        <f>IFERROR(VLOOKUP(VLOOKUP(A162,'Sales Order'!A:B,2,FALSE),Customer!A:C,3,FALSE),"Not Specified")</f>
        <v>Szymczak, Radosław</v>
      </c>
      <c r="G162" s="6" t="str">
        <f t="shared" si="4"/>
        <v>Szymczak Radosław</v>
      </c>
      <c r="H162" s="22" t="str">
        <f>IFERROR(VLOOKUP(VLOOKUP(A162,'Sales Order'!A:C,3,FALSE),Employee!A:E,5,FALSE)&amp;" "&amp;VLOOKUP(VLOOKUP(A162,'Sales Order'!A:C,3,FALSE),Employee!A:C,3,FALSE)&amp;" "&amp;VLOOKUP(VLOOKUP(A162,'Sales Order'!A:C,3,FALSE),Employee!A:B,2,FALSE),"Not Specified")</f>
        <v>Dr. Don Funk</v>
      </c>
      <c r="I162" t="str">
        <f>IFERROR(VLOOKUP(VLOOKUP(A162,'Sales Order'!A:C,3,FALSE),Employee!A:J,10,FALSE),"Not Specified")</f>
        <v>WA</v>
      </c>
      <c r="J162" t="str">
        <f>VLOOKUP(B162,Product!A:B,2,FALSE)</f>
        <v>Product TBTBL</v>
      </c>
      <c r="K162" t="str">
        <f>VLOOKUP(VLOOKUP(B162,Product!A:D,4,FALSE),Category!A:B,2,FALSE)</f>
        <v>Confections</v>
      </c>
      <c r="L162" s="24">
        <f>IFERROR(VLOOKUP(A162,'Sales Order'!A:D,4,FALSE),"")</f>
        <v>38977</v>
      </c>
      <c r="M162" s="24">
        <f>IFERROR(VLOOKUP(A162,'Sales Order'!A:F,6,FALSE),"")</f>
        <v>38985</v>
      </c>
      <c r="N162" t="str">
        <f>IFERROR(VLOOKUP(VLOOKUP(A162,'Sales Order'!A:G,7,FALSE),Shipper!A:B,2,FALSE),"Not Specified")</f>
        <v>Shipper ETYNR</v>
      </c>
      <c r="O162" t="str">
        <f>IFERROR(VLOOKUP(A162,'Sales Order'!A:I,9,FALSE),"Not Specified")</f>
        <v>Ship to 48-B</v>
      </c>
      <c r="P162" t="str">
        <f>IFERROR(VLOOKUP(A162,'Sales Order'!A:N,14,FALSE),"Not Specified")</f>
        <v>USA</v>
      </c>
      <c r="Q162" t="str">
        <f>VLOOKUP(VLOOKUP(B162,Product!A:C,3,FALSE),Supplier!A:B,2,FALSE)</f>
        <v>Supplier BWGYE</v>
      </c>
      <c r="R162" t="str">
        <f>VLOOKUP(VLOOKUP(B162,Product!A:C,3,FALSE),Supplier!A:I,9,FALSE)</f>
        <v>UK</v>
      </c>
      <c r="S162" t="str">
        <f>IFERROR(IF(VLOOKUP(A162,'Sales Order'!A:H,8,FALSE)&gt;100,"High Freight","Low Freight"),"Not Specified")</f>
        <v>Low Freight</v>
      </c>
      <c r="T162">
        <f t="shared" si="5"/>
        <v>30</v>
      </c>
    </row>
    <row r="163" spans="1:20">
      <c r="A163" s="9">
        <v>10308</v>
      </c>
      <c r="B163" s="6">
        <v>69</v>
      </c>
      <c r="C163" s="6">
        <v>28.8</v>
      </c>
      <c r="D163" s="6">
        <v>1</v>
      </c>
      <c r="E163" s="18">
        <v>0</v>
      </c>
      <c r="F163" s="6" t="str">
        <f>IFERROR(VLOOKUP(VLOOKUP(A163,'Sales Order'!A:B,2,FALSE),Customer!A:C,3,FALSE),"Not Specified")</f>
        <v>Hassall, Mark</v>
      </c>
      <c r="G163" s="6" t="str">
        <f t="shared" si="4"/>
        <v>Hassall Mark</v>
      </c>
      <c r="H163" s="22" t="str">
        <f>IFERROR(VLOOKUP(VLOOKUP(A163,'Sales Order'!A:C,3,FALSE),Employee!A:E,5,FALSE)&amp;" "&amp;VLOOKUP(VLOOKUP(A163,'Sales Order'!A:C,3,FALSE),Employee!A:C,3,FALSE)&amp;" "&amp;VLOOKUP(VLOOKUP(A163,'Sales Order'!A:C,3,FALSE),Employee!A:B,2,FALSE),"Not Specified")</f>
        <v>Mr. Russell King</v>
      </c>
      <c r="I163">
        <f>IFERROR(VLOOKUP(VLOOKUP(A163,'Sales Order'!A:C,3,FALSE),Employee!A:J,10,FALSE),"Not Specified")</f>
        <v>0</v>
      </c>
      <c r="J163" t="str">
        <f>VLOOKUP(B163,Product!A:B,2,FALSE)</f>
        <v>Product COAXA</v>
      </c>
      <c r="K163" t="str">
        <f>VLOOKUP(VLOOKUP(B163,Product!A:D,4,FALSE),Category!A:B,2,FALSE)</f>
        <v>Dairy Product</v>
      </c>
      <c r="L163" s="24">
        <f>IFERROR(VLOOKUP(A163,'Sales Order'!A:D,4,FALSE),"")</f>
        <v>38978</v>
      </c>
      <c r="M163" s="24">
        <f>IFERROR(VLOOKUP(A163,'Sales Order'!A:F,6,FALSE),"")</f>
        <v>38984</v>
      </c>
      <c r="N163" t="str">
        <f>IFERROR(VLOOKUP(VLOOKUP(A163,'Sales Order'!A:G,7,FALSE),Shipper!A:B,2,FALSE),"Not Specified")</f>
        <v>Shipper ZHISN</v>
      </c>
      <c r="O163" t="str">
        <f>IFERROR(VLOOKUP(A163,'Sales Order'!A:I,9,FALSE),"Not Specified")</f>
        <v>Destination QMVCI</v>
      </c>
      <c r="P163" t="str">
        <f>IFERROR(VLOOKUP(A163,'Sales Order'!A:N,14,FALSE),"Not Specified")</f>
        <v>Mexico</v>
      </c>
      <c r="Q163" t="str">
        <f>VLOOKUP(VLOOKUP(B163,Product!A:C,3,FALSE),Supplier!A:B,2,FALSE)</f>
        <v>Supplier NZLIF</v>
      </c>
      <c r="R163" t="str">
        <f>VLOOKUP(VLOOKUP(B163,Product!A:C,3,FALSE),Supplier!A:I,9,FALSE)</f>
        <v>Norway</v>
      </c>
      <c r="S163" t="str">
        <f>IFERROR(IF(VLOOKUP(A163,'Sales Order'!A:H,8,FALSE)&gt;100,"High Freight","Low Freight"),"Not Specified")</f>
        <v>Low Freight</v>
      </c>
      <c r="T163">
        <f t="shared" si="5"/>
        <v>28.8</v>
      </c>
    </row>
    <row r="164" spans="1:20">
      <c r="A164" s="9">
        <v>10308</v>
      </c>
      <c r="B164" s="6">
        <v>70</v>
      </c>
      <c r="C164" s="6">
        <v>12</v>
      </c>
      <c r="D164" s="6">
        <v>5</v>
      </c>
      <c r="E164" s="18">
        <v>0</v>
      </c>
      <c r="F164" s="6" t="str">
        <f>IFERROR(VLOOKUP(VLOOKUP(A164,'Sales Order'!A:B,2,FALSE),Customer!A:C,3,FALSE),"Not Specified")</f>
        <v>Hassall, Mark</v>
      </c>
      <c r="G164" s="6" t="str">
        <f t="shared" si="4"/>
        <v>Hassall Mark</v>
      </c>
      <c r="H164" s="22" t="str">
        <f>IFERROR(VLOOKUP(VLOOKUP(A164,'Sales Order'!A:C,3,FALSE),Employee!A:E,5,FALSE)&amp;" "&amp;VLOOKUP(VLOOKUP(A164,'Sales Order'!A:C,3,FALSE),Employee!A:C,3,FALSE)&amp;" "&amp;VLOOKUP(VLOOKUP(A164,'Sales Order'!A:C,3,FALSE),Employee!A:B,2,FALSE),"Not Specified")</f>
        <v>Mr. Russell King</v>
      </c>
      <c r="I164">
        <f>IFERROR(VLOOKUP(VLOOKUP(A164,'Sales Order'!A:C,3,FALSE),Employee!A:J,10,FALSE),"Not Specified")</f>
        <v>0</v>
      </c>
      <c r="J164" t="str">
        <f>VLOOKUP(B164,Product!A:B,2,FALSE)</f>
        <v>Product TOONT</v>
      </c>
      <c r="K164" t="str">
        <f>VLOOKUP(VLOOKUP(B164,Product!A:D,4,FALSE),Category!A:B,2,FALSE)</f>
        <v>Beverages</v>
      </c>
      <c r="L164" s="24">
        <f>IFERROR(VLOOKUP(A164,'Sales Order'!A:D,4,FALSE),"")</f>
        <v>38978</v>
      </c>
      <c r="M164" s="24">
        <f>IFERROR(VLOOKUP(A164,'Sales Order'!A:F,6,FALSE),"")</f>
        <v>38984</v>
      </c>
      <c r="N164" t="str">
        <f>IFERROR(VLOOKUP(VLOOKUP(A164,'Sales Order'!A:G,7,FALSE),Shipper!A:B,2,FALSE),"Not Specified")</f>
        <v>Shipper ZHISN</v>
      </c>
      <c r="O164" t="str">
        <f>IFERROR(VLOOKUP(A164,'Sales Order'!A:I,9,FALSE),"Not Specified")</f>
        <v>Destination QMVCI</v>
      </c>
      <c r="P164" t="str">
        <f>IFERROR(VLOOKUP(A164,'Sales Order'!A:N,14,FALSE),"Not Specified")</f>
        <v>Mexico</v>
      </c>
      <c r="Q164" t="str">
        <f>VLOOKUP(VLOOKUP(B164,Product!A:C,3,FALSE),Supplier!A:B,2,FALSE)</f>
        <v>Supplier GQRCV</v>
      </c>
      <c r="R164" t="str">
        <f>VLOOKUP(VLOOKUP(B164,Product!A:C,3,FALSE),Supplier!A:I,9,FALSE)</f>
        <v>Australia</v>
      </c>
      <c r="S164" t="str">
        <f>IFERROR(IF(VLOOKUP(A164,'Sales Order'!A:H,8,FALSE)&gt;100,"High Freight","Low Freight"),"Not Specified")</f>
        <v>Low Freight</v>
      </c>
      <c r="T164">
        <f t="shared" si="5"/>
        <v>60</v>
      </c>
    </row>
    <row r="165" spans="1:20">
      <c r="A165" s="9">
        <v>10309</v>
      </c>
      <c r="B165" s="6">
        <v>4</v>
      </c>
      <c r="C165" s="6">
        <v>17.600000000000001</v>
      </c>
      <c r="D165" s="6">
        <v>20</v>
      </c>
      <c r="E165" s="18">
        <v>0</v>
      </c>
      <c r="F165" s="6" t="str">
        <f>IFERROR(VLOOKUP(VLOOKUP(A165,'Sales Order'!A:B,2,FALSE),Customer!A:C,3,FALSE),"Not Specified")</f>
        <v>Crăciun, Ovidiu V.</v>
      </c>
      <c r="G165" s="6" t="str">
        <f t="shared" si="4"/>
        <v>Crăciun Ovidiu V.</v>
      </c>
      <c r="H165" s="22" t="str">
        <f>IFERROR(VLOOKUP(VLOOKUP(A165,'Sales Order'!A:C,3,FALSE),Employee!A:E,5,FALSE)&amp;" "&amp;VLOOKUP(VLOOKUP(A165,'Sales Order'!A:C,3,FALSE),Employee!A:C,3,FALSE)&amp;" "&amp;VLOOKUP(VLOOKUP(A165,'Sales Order'!A:C,3,FALSE),Employee!A:B,2,FALSE),"Not Specified")</f>
        <v>Ms. Judy Lew</v>
      </c>
      <c r="I165" t="str">
        <f>IFERROR(VLOOKUP(VLOOKUP(A165,'Sales Order'!A:C,3,FALSE),Employee!A:J,10,FALSE),"Not Specified")</f>
        <v>WA</v>
      </c>
      <c r="J165" t="str">
        <f>VLOOKUP(B165,Product!A:B,2,FALSE)</f>
        <v>Product KSBRM</v>
      </c>
      <c r="K165" t="str">
        <f>VLOOKUP(VLOOKUP(B165,Product!A:D,4,FALSE),Category!A:B,2,FALSE)</f>
        <v>Condiments</v>
      </c>
      <c r="L165" s="24">
        <f>IFERROR(VLOOKUP(A165,'Sales Order'!A:D,4,FALSE),"")</f>
        <v>38979</v>
      </c>
      <c r="M165" s="24">
        <f>IFERROR(VLOOKUP(A165,'Sales Order'!A:F,6,FALSE),"")</f>
        <v>39013</v>
      </c>
      <c r="N165" t="str">
        <f>IFERROR(VLOOKUP(VLOOKUP(A165,'Sales Order'!A:G,7,FALSE),Shipper!A:B,2,FALSE),"Not Specified")</f>
        <v>Shipper GVSUA</v>
      </c>
      <c r="O165" t="str">
        <f>IFERROR(VLOOKUP(A165,'Sales Order'!A:I,9,FALSE),"Not Specified")</f>
        <v>Destination ATSOA</v>
      </c>
      <c r="P165" t="str">
        <f>IFERROR(VLOOKUP(A165,'Sales Order'!A:N,14,FALSE),"Not Specified")</f>
        <v>Ireland</v>
      </c>
      <c r="Q165" t="str">
        <f>VLOOKUP(VLOOKUP(B165,Product!A:C,3,FALSE),Supplier!A:B,2,FALSE)</f>
        <v>Supplier VHQZD</v>
      </c>
      <c r="R165" t="str">
        <f>VLOOKUP(VLOOKUP(B165,Product!A:C,3,FALSE),Supplier!A:I,9,FALSE)</f>
        <v>USA</v>
      </c>
      <c r="S165" t="str">
        <f>IFERROR(IF(VLOOKUP(A165,'Sales Order'!A:H,8,FALSE)&gt;100,"High Freight","Low Freight"),"Not Specified")</f>
        <v>Low Freight</v>
      </c>
      <c r="T165">
        <f t="shared" si="5"/>
        <v>352</v>
      </c>
    </row>
    <row r="166" spans="1:20">
      <c r="A166" s="9">
        <v>10309</v>
      </c>
      <c r="B166" s="6">
        <v>6</v>
      </c>
      <c r="C166" s="6">
        <v>20</v>
      </c>
      <c r="D166" s="6">
        <v>30</v>
      </c>
      <c r="E166" s="18">
        <v>0</v>
      </c>
      <c r="F166" s="6" t="str">
        <f>IFERROR(VLOOKUP(VLOOKUP(A166,'Sales Order'!A:B,2,FALSE),Customer!A:C,3,FALSE),"Not Specified")</f>
        <v>Crăciun, Ovidiu V.</v>
      </c>
      <c r="G166" s="6" t="str">
        <f t="shared" si="4"/>
        <v>Crăciun Ovidiu V.</v>
      </c>
      <c r="H166" s="22" t="str">
        <f>IFERROR(VLOOKUP(VLOOKUP(A166,'Sales Order'!A:C,3,FALSE),Employee!A:E,5,FALSE)&amp;" "&amp;VLOOKUP(VLOOKUP(A166,'Sales Order'!A:C,3,FALSE),Employee!A:C,3,FALSE)&amp;" "&amp;VLOOKUP(VLOOKUP(A166,'Sales Order'!A:C,3,FALSE),Employee!A:B,2,FALSE),"Not Specified")</f>
        <v>Ms. Judy Lew</v>
      </c>
      <c r="I166" t="str">
        <f>IFERROR(VLOOKUP(VLOOKUP(A166,'Sales Order'!A:C,3,FALSE),Employee!A:J,10,FALSE),"Not Specified")</f>
        <v>WA</v>
      </c>
      <c r="J166" t="str">
        <f>VLOOKUP(B166,Product!A:B,2,FALSE)</f>
        <v>Product VAIIV</v>
      </c>
      <c r="K166" t="str">
        <f>VLOOKUP(VLOOKUP(B166,Product!A:D,4,FALSE),Category!A:B,2,FALSE)</f>
        <v>Condiments</v>
      </c>
      <c r="L166" s="24">
        <f>IFERROR(VLOOKUP(A166,'Sales Order'!A:D,4,FALSE),"")</f>
        <v>38979</v>
      </c>
      <c r="M166" s="24">
        <f>IFERROR(VLOOKUP(A166,'Sales Order'!A:F,6,FALSE),"")</f>
        <v>39013</v>
      </c>
      <c r="N166" t="str">
        <f>IFERROR(VLOOKUP(VLOOKUP(A166,'Sales Order'!A:G,7,FALSE),Shipper!A:B,2,FALSE),"Not Specified")</f>
        <v>Shipper GVSUA</v>
      </c>
      <c r="O166" t="str">
        <f>IFERROR(VLOOKUP(A166,'Sales Order'!A:I,9,FALSE),"Not Specified")</f>
        <v>Destination ATSOA</v>
      </c>
      <c r="P166" t="str">
        <f>IFERROR(VLOOKUP(A166,'Sales Order'!A:N,14,FALSE),"Not Specified")</f>
        <v>Ireland</v>
      </c>
      <c r="Q166" t="str">
        <f>VLOOKUP(VLOOKUP(B166,Product!A:C,3,FALSE),Supplier!A:B,2,FALSE)</f>
        <v>Supplier STUAZ</v>
      </c>
      <c r="R166" t="str">
        <f>VLOOKUP(VLOOKUP(B166,Product!A:C,3,FALSE),Supplier!A:I,9,FALSE)</f>
        <v>USA</v>
      </c>
      <c r="S166" t="str">
        <f>IFERROR(IF(VLOOKUP(A166,'Sales Order'!A:H,8,FALSE)&gt;100,"High Freight","Low Freight"),"Not Specified")</f>
        <v>Low Freight</v>
      </c>
      <c r="T166">
        <f t="shared" si="5"/>
        <v>600</v>
      </c>
    </row>
    <row r="167" spans="1:20">
      <c r="A167" s="9">
        <v>10309</v>
      </c>
      <c r="B167" s="6">
        <v>42</v>
      </c>
      <c r="C167" s="6">
        <v>11.2</v>
      </c>
      <c r="D167" s="6">
        <v>2</v>
      </c>
      <c r="E167" s="18">
        <v>0</v>
      </c>
      <c r="F167" s="6" t="str">
        <f>IFERROR(VLOOKUP(VLOOKUP(A167,'Sales Order'!A:B,2,FALSE),Customer!A:C,3,FALSE),"Not Specified")</f>
        <v>Crăciun, Ovidiu V.</v>
      </c>
      <c r="G167" s="6" t="str">
        <f t="shared" si="4"/>
        <v>Crăciun Ovidiu V.</v>
      </c>
      <c r="H167" s="22" t="str">
        <f>IFERROR(VLOOKUP(VLOOKUP(A167,'Sales Order'!A:C,3,FALSE),Employee!A:E,5,FALSE)&amp;" "&amp;VLOOKUP(VLOOKUP(A167,'Sales Order'!A:C,3,FALSE),Employee!A:C,3,FALSE)&amp;" "&amp;VLOOKUP(VLOOKUP(A167,'Sales Order'!A:C,3,FALSE),Employee!A:B,2,FALSE),"Not Specified")</f>
        <v>Ms. Judy Lew</v>
      </c>
      <c r="I167" t="str">
        <f>IFERROR(VLOOKUP(VLOOKUP(A167,'Sales Order'!A:C,3,FALSE),Employee!A:J,10,FALSE),"Not Specified")</f>
        <v>WA</v>
      </c>
      <c r="J167" t="str">
        <f>VLOOKUP(B167,Product!A:B,2,FALSE)</f>
        <v>Product RJVNM</v>
      </c>
      <c r="K167" t="str">
        <f>VLOOKUP(VLOOKUP(B167,Product!A:D,4,FALSE),Category!A:B,2,FALSE)</f>
        <v>Grains/Cereals</v>
      </c>
      <c r="L167" s="24">
        <f>IFERROR(VLOOKUP(A167,'Sales Order'!A:D,4,FALSE),"")</f>
        <v>38979</v>
      </c>
      <c r="M167" s="24">
        <f>IFERROR(VLOOKUP(A167,'Sales Order'!A:F,6,FALSE),"")</f>
        <v>39013</v>
      </c>
      <c r="N167" t="str">
        <f>IFERROR(VLOOKUP(VLOOKUP(A167,'Sales Order'!A:G,7,FALSE),Shipper!A:B,2,FALSE),"Not Specified")</f>
        <v>Shipper GVSUA</v>
      </c>
      <c r="O167" t="str">
        <f>IFERROR(VLOOKUP(A167,'Sales Order'!A:I,9,FALSE),"Not Specified")</f>
        <v>Destination ATSOA</v>
      </c>
      <c r="P167" t="str">
        <f>IFERROR(VLOOKUP(A167,'Sales Order'!A:N,14,FALSE),"Not Specified")</f>
        <v>Ireland</v>
      </c>
      <c r="Q167" t="str">
        <f>VLOOKUP(VLOOKUP(B167,Product!A:C,3,FALSE),Supplier!A:B,2,FALSE)</f>
        <v>Supplier CIYNM</v>
      </c>
      <c r="R167" t="str">
        <f>VLOOKUP(VLOOKUP(B167,Product!A:C,3,FALSE),Supplier!A:I,9,FALSE)</f>
        <v>Singapore</v>
      </c>
      <c r="S167" t="str">
        <f>IFERROR(IF(VLOOKUP(A167,'Sales Order'!A:H,8,FALSE)&gt;100,"High Freight","Low Freight"),"Not Specified")</f>
        <v>Low Freight</v>
      </c>
      <c r="T167">
        <f t="shared" si="5"/>
        <v>22.4</v>
      </c>
    </row>
    <row r="168" spans="1:20">
      <c r="A168" s="9">
        <v>10309</v>
      </c>
      <c r="B168" s="6">
        <v>43</v>
      </c>
      <c r="C168" s="6">
        <v>36.799999999999997</v>
      </c>
      <c r="D168" s="6">
        <v>20</v>
      </c>
      <c r="E168" s="18">
        <v>0</v>
      </c>
      <c r="F168" s="6" t="str">
        <f>IFERROR(VLOOKUP(VLOOKUP(A168,'Sales Order'!A:B,2,FALSE),Customer!A:C,3,FALSE),"Not Specified")</f>
        <v>Crăciun, Ovidiu V.</v>
      </c>
      <c r="G168" s="6" t="str">
        <f t="shared" si="4"/>
        <v>Crăciun Ovidiu V.</v>
      </c>
      <c r="H168" s="22" t="str">
        <f>IFERROR(VLOOKUP(VLOOKUP(A168,'Sales Order'!A:C,3,FALSE),Employee!A:E,5,FALSE)&amp;" "&amp;VLOOKUP(VLOOKUP(A168,'Sales Order'!A:C,3,FALSE),Employee!A:C,3,FALSE)&amp;" "&amp;VLOOKUP(VLOOKUP(A168,'Sales Order'!A:C,3,FALSE),Employee!A:B,2,FALSE),"Not Specified")</f>
        <v>Ms. Judy Lew</v>
      </c>
      <c r="I168" t="str">
        <f>IFERROR(VLOOKUP(VLOOKUP(A168,'Sales Order'!A:C,3,FALSE),Employee!A:J,10,FALSE),"Not Specified")</f>
        <v>WA</v>
      </c>
      <c r="J168" t="str">
        <f>VLOOKUP(B168,Product!A:B,2,FALSE)</f>
        <v>Product ZZZHR</v>
      </c>
      <c r="K168" t="str">
        <f>VLOOKUP(VLOOKUP(B168,Product!A:D,4,FALSE),Category!A:B,2,FALSE)</f>
        <v>Beverages</v>
      </c>
      <c r="L168" s="24">
        <f>IFERROR(VLOOKUP(A168,'Sales Order'!A:D,4,FALSE),"")</f>
        <v>38979</v>
      </c>
      <c r="M168" s="24">
        <f>IFERROR(VLOOKUP(A168,'Sales Order'!A:F,6,FALSE),"")</f>
        <v>39013</v>
      </c>
      <c r="N168" t="str">
        <f>IFERROR(VLOOKUP(VLOOKUP(A168,'Sales Order'!A:G,7,FALSE),Shipper!A:B,2,FALSE),"Not Specified")</f>
        <v>Shipper GVSUA</v>
      </c>
      <c r="O168" t="str">
        <f>IFERROR(VLOOKUP(A168,'Sales Order'!A:I,9,FALSE),"Not Specified")</f>
        <v>Destination ATSOA</v>
      </c>
      <c r="P168" t="str">
        <f>IFERROR(VLOOKUP(A168,'Sales Order'!A:N,14,FALSE),"Not Specified")</f>
        <v>Ireland</v>
      </c>
      <c r="Q168" t="str">
        <f>VLOOKUP(VLOOKUP(B168,Product!A:C,3,FALSE),Supplier!A:B,2,FALSE)</f>
        <v>Supplier CIYNM</v>
      </c>
      <c r="R168" t="str">
        <f>VLOOKUP(VLOOKUP(B168,Product!A:C,3,FALSE),Supplier!A:I,9,FALSE)</f>
        <v>Singapore</v>
      </c>
      <c r="S168" t="str">
        <f>IFERROR(IF(VLOOKUP(A168,'Sales Order'!A:H,8,FALSE)&gt;100,"High Freight","Low Freight"),"Not Specified")</f>
        <v>Low Freight</v>
      </c>
      <c r="T168">
        <f t="shared" si="5"/>
        <v>736</v>
      </c>
    </row>
    <row r="169" spans="1:20">
      <c r="A169" s="9">
        <v>10309</v>
      </c>
      <c r="B169" s="6">
        <v>71</v>
      </c>
      <c r="C169" s="6">
        <v>17.2</v>
      </c>
      <c r="D169" s="6">
        <v>3</v>
      </c>
      <c r="E169" s="18">
        <v>0</v>
      </c>
      <c r="F169" s="6" t="str">
        <f>IFERROR(VLOOKUP(VLOOKUP(A169,'Sales Order'!A:B,2,FALSE),Customer!A:C,3,FALSE),"Not Specified")</f>
        <v>Crăciun, Ovidiu V.</v>
      </c>
      <c r="G169" s="6" t="str">
        <f t="shared" si="4"/>
        <v>Crăciun Ovidiu V.</v>
      </c>
      <c r="H169" s="22" t="str">
        <f>IFERROR(VLOOKUP(VLOOKUP(A169,'Sales Order'!A:C,3,FALSE),Employee!A:E,5,FALSE)&amp;" "&amp;VLOOKUP(VLOOKUP(A169,'Sales Order'!A:C,3,FALSE),Employee!A:C,3,FALSE)&amp;" "&amp;VLOOKUP(VLOOKUP(A169,'Sales Order'!A:C,3,FALSE),Employee!A:B,2,FALSE),"Not Specified")</f>
        <v>Ms. Judy Lew</v>
      </c>
      <c r="I169" t="str">
        <f>IFERROR(VLOOKUP(VLOOKUP(A169,'Sales Order'!A:C,3,FALSE),Employee!A:J,10,FALSE),"Not Specified")</f>
        <v>WA</v>
      </c>
      <c r="J169" t="str">
        <f>VLOOKUP(B169,Product!A:B,2,FALSE)</f>
        <v>Product MYMOI</v>
      </c>
      <c r="K169" t="str">
        <f>VLOOKUP(VLOOKUP(B169,Product!A:D,4,FALSE),Category!A:B,2,FALSE)</f>
        <v>Dairy Product</v>
      </c>
      <c r="L169" s="24">
        <f>IFERROR(VLOOKUP(A169,'Sales Order'!A:D,4,FALSE),"")</f>
        <v>38979</v>
      </c>
      <c r="M169" s="24">
        <f>IFERROR(VLOOKUP(A169,'Sales Order'!A:F,6,FALSE),"")</f>
        <v>39013</v>
      </c>
      <c r="N169" t="str">
        <f>IFERROR(VLOOKUP(VLOOKUP(A169,'Sales Order'!A:G,7,FALSE),Shipper!A:B,2,FALSE),"Not Specified")</f>
        <v>Shipper GVSUA</v>
      </c>
      <c r="O169" t="str">
        <f>IFERROR(VLOOKUP(A169,'Sales Order'!A:I,9,FALSE),"Not Specified")</f>
        <v>Destination ATSOA</v>
      </c>
      <c r="P169" t="str">
        <f>IFERROR(VLOOKUP(A169,'Sales Order'!A:N,14,FALSE),"Not Specified")</f>
        <v>Ireland</v>
      </c>
      <c r="Q169" t="str">
        <f>VLOOKUP(VLOOKUP(B169,Product!A:C,3,FALSE),Supplier!A:B,2,FALSE)</f>
        <v>Supplier NZLIF</v>
      </c>
      <c r="R169" t="str">
        <f>VLOOKUP(VLOOKUP(B169,Product!A:C,3,FALSE),Supplier!A:I,9,FALSE)</f>
        <v>Norway</v>
      </c>
      <c r="S169" t="str">
        <f>IFERROR(IF(VLOOKUP(A169,'Sales Order'!A:H,8,FALSE)&gt;100,"High Freight","Low Freight"),"Not Specified")</f>
        <v>Low Freight</v>
      </c>
      <c r="T169">
        <f t="shared" si="5"/>
        <v>51.599999999999994</v>
      </c>
    </row>
    <row r="170" spans="1:20">
      <c r="A170" s="9">
        <v>10310</v>
      </c>
      <c r="B170" s="6">
        <v>16</v>
      </c>
      <c r="C170" s="6">
        <v>13.9</v>
      </c>
      <c r="D170" s="6">
        <v>10</v>
      </c>
      <c r="E170" s="18">
        <v>0</v>
      </c>
      <c r="F170" s="6" t="str">
        <f>IFERROR(VLOOKUP(VLOOKUP(A170,'Sales Order'!A:B,2,FALSE),Customer!A:C,3,FALSE),"Not Specified")</f>
        <v>Osorio, Cristian</v>
      </c>
      <c r="G170" s="6" t="str">
        <f t="shared" si="4"/>
        <v>Osorio Cristian</v>
      </c>
      <c r="H170" s="22" t="str">
        <f>IFERROR(VLOOKUP(VLOOKUP(A170,'Sales Order'!A:C,3,FALSE),Employee!A:E,5,FALSE)&amp;" "&amp;VLOOKUP(VLOOKUP(A170,'Sales Order'!A:C,3,FALSE),Employee!A:C,3,FALSE)&amp;" "&amp;VLOOKUP(VLOOKUP(A170,'Sales Order'!A:C,3,FALSE),Employee!A:B,2,FALSE),"Not Specified")</f>
        <v>Ms. Maria Cameron</v>
      </c>
      <c r="I170" t="str">
        <f>IFERROR(VLOOKUP(VLOOKUP(A170,'Sales Order'!A:C,3,FALSE),Employee!A:J,10,FALSE),"Not Specified")</f>
        <v>WA</v>
      </c>
      <c r="J170" t="str">
        <f>VLOOKUP(B170,Product!A:B,2,FALSE)</f>
        <v>Product PAFRH</v>
      </c>
      <c r="K170" t="str">
        <f>VLOOKUP(VLOOKUP(B170,Product!A:D,4,FALSE),Category!A:B,2,FALSE)</f>
        <v>Confections</v>
      </c>
      <c r="L170" s="24">
        <f>IFERROR(VLOOKUP(A170,'Sales Order'!A:D,4,FALSE),"")</f>
        <v>38980</v>
      </c>
      <c r="M170" s="24">
        <f>IFERROR(VLOOKUP(A170,'Sales Order'!A:F,6,FALSE),"")</f>
        <v>38987</v>
      </c>
      <c r="N170" t="str">
        <f>IFERROR(VLOOKUP(VLOOKUP(A170,'Sales Order'!A:G,7,FALSE),Shipper!A:B,2,FALSE),"Not Specified")</f>
        <v>Shipper ETYNR</v>
      </c>
      <c r="O170" t="str">
        <f>IFERROR(VLOOKUP(A170,'Sales Order'!A:I,9,FALSE),"Not Specified")</f>
        <v>Ship to 77-B</v>
      </c>
      <c r="P170" t="str">
        <f>IFERROR(VLOOKUP(A170,'Sales Order'!A:N,14,FALSE),"Not Specified")</f>
        <v>USA</v>
      </c>
      <c r="Q170" t="str">
        <f>VLOOKUP(VLOOKUP(B170,Product!A:C,3,FALSE),Supplier!A:B,2,FALSE)</f>
        <v>Supplier GQRCV</v>
      </c>
      <c r="R170" t="str">
        <f>VLOOKUP(VLOOKUP(B170,Product!A:C,3,FALSE),Supplier!A:I,9,FALSE)</f>
        <v>Australia</v>
      </c>
      <c r="S170" t="str">
        <f>IFERROR(IF(VLOOKUP(A170,'Sales Order'!A:H,8,FALSE)&gt;100,"High Freight","Low Freight"),"Not Specified")</f>
        <v>Low Freight</v>
      </c>
      <c r="T170">
        <f t="shared" si="5"/>
        <v>139</v>
      </c>
    </row>
    <row r="171" spans="1:20">
      <c r="A171" s="9">
        <v>10310</v>
      </c>
      <c r="B171" s="6">
        <v>62</v>
      </c>
      <c r="C171" s="6">
        <v>39.4</v>
      </c>
      <c r="D171" s="6">
        <v>5</v>
      </c>
      <c r="E171" s="18">
        <v>0</v>
      </c>
      <c r="F171" s="6" t="str">
        <f>IFERROR(VLOOKUP(VLOOKUP(A171,'Sales Order'!A:B,2,FALSE),Customer!A:C,3,FALSE),"Not Specified")</f>
        <v>Osorio, Cristian</v>
      </c>
      <c r="G171" s="6" t="str">
        <f t="shared" si="4"/>
        <v>Osorio Cristian</v>
      </c>
      <c r="H171" s="22" t="str">
        <f>IFERROR(VLOOKUP(VLOOKUP(A171,'Sales Order'!A:C,3,FALSE),Employee!A:E,5,FALSE)&amp;" "&amp;VLOOKUP(VLOOKUP(A171,'Sales Order'!A:C,3,FALSE),Employee!A:C,3,FALSE)&amp;" "&amp;VLOOKUP(VLOOKUP(A171,'Sales Order'!A:C,3,FALSE),Employee!A:B,2,FALSE),"Not Specified")</f>
        <v>Ms. Maria Cameron</v>
      </c>
      <c r="I171" t="str">
        <f>IFERROR(VLOOKUP(VLOOKUP(A171,'Sales Order'!A:C,3,FALSE),Employee!A:J,10,FALSE),"Not Specified")</f>
        <v>WA</v>
      </c>
      <c r="J171" t="str">
        <f>VLOOKUP(B171,Product!A:B,2,FALSE)</f>
        <v>Product WUXYK</v>
      </c>
      <c r="K171" t="str">
        <f>VLOOKUP(VLOOKUP(B171,Product!A:D,4,FALSE),Category!A:B,2,FALSE)</f>
        <v>Confections</v>
      </c>
      <c r="L171" s="24">
        <f>IFERROR(VLOOKUP(A171,'Sales Order'!A:D,4,FALSE),"")</f>
        <v>38980</v>
      </c>
      <c r="M171" s="24">
        <f>IFERROR(VLOOKUP(A171,'Sales Order'!A:F,6,FALSE),"")</f>
        <v>38987</v>
      </c>
      <c r="N171" t="str">
        <f>IFERROR(VLOOKUP(VLOOKUP(A171,'Sales Order'!A:G,7,FALSE),Shipper!A:B,2,FALSE),"Not Specified")</f>
        <v>Shipper ETYNR</v>
      </c>
      <c r="O171" t="str">
        <f>IFERROR(VLOOKUP(A171,'Sales Order'!A:I,9,FALSE),"Not Specified")</f>
        <v>Ship to 77-B</v>
      </c>
      <c r="P171" t="str">
        <f>IFERROR(VLOOKUP(A171,'Sales Order'!A:N,14,FALSE),"Not Specified")</f>
        <v>USA</v>
      </c>
      <c r="Q171" t="str">
        <f>VLOOKUP(VLOOKUP(B171,Product!A:C,3,FALSE),Supplier!A:B,2,FALSE)</f>
        <v>Supplier OGLRK</v>
      </c>
      <c r="R171" t="str">
        <f>VLOOKUP(VLOOKUP(B171,Product!A:C,3,FALSE),Supplier!A:I,9,FALSE)</f>
        <v>Canada</v>
      </c>
      <c r="S171" t="str">
        <f>IFERROR(IF(VLOOKUP(A171,'Sales Order'!A:H,8,FALSE)&gt;100,"High Freight","Low Freight"),"Not Specified")</f>
        <v>Low Freight</v>
      </c>
      <c r="T171">
        <f t="shared" si="5"/>
        <v>197</v>
      </c>
    </row>
    <row r="172" spans="1:20">
      <c r="A172" s="9">
        <v>10311</v>
      </c>
      <c r="B172" s="6">
        <v>42</v>
      </c>
      <c r="C172" s="6">
        <v>11.2</v>
      </c>
      <c r="D172" s="6">
        <v>6</v>
      </c>
      <c r="E172" s="18">
        <v>0</v>
      </c>
      <c r="F172" s="6" t="str">
        <f>IFERROR(VLOOKUP(VLOOKUP(A172,'Sales Order'!A:B,2,FALSE),Customer!A:C,3,FALSE),"Not Specified")</f>
        <v>Rizaldy, Arif</v>
      </c>
      <c r="G172" s="6" t="str">
        <f t="shared" si="4"/>
        <v>Rizaldy Arif</v>
      </c>
      <c r="H172" s="22" t="str">
        <f>IFERROR(VLOOKUP(VLOOKUP(A172,'Sales Order'!A:C,3,FALSE),Employee!A:E,5,FALSE)&amp;" "&amp;VLOOKUP(VLOOKUP(A172,'Sales Order'!A:C,3,FALSE),Employee!A:C,3,FALSE)&amp;" "&amp;VLOOKUP(VLOOKUP(A172,'Sales Order'!A:C,3,FALSE),Employee!A:B,2,FALSE),"Not Specified")</f>
        <v>Ms. Sara Davis</v>
      </c>
      <c r="I172" t="str">
        <f>IFERROR(VLOOKUP(VLOOKUP(A172,'Sales Order'!A:C,3,FALSE),Employee!A:J,10,FALSE),"Not Specified")</f>
        <v>WA</v>
      </c>
      <c r="J172" t="str">
        <f>VLOOKUP(B172,Product!A:B,2,FALSE)</f>
        <v>Product RJVNM</v>
      </c>
      <c r="K172" t="str">
        <f>VLOOKUP(VLOOKUP(B172,Product!A:D,4,FALSE),Category!A:B,2,FALSE)</f>
        <v>Grains/Cereals</v>
      </c>
      <c r="L172" s="24">
        <f>IFERROR(VLOOKUP(A172,'Sales Order'!A:D,4,FALSE),"")</f>
        <v>38980</v>
      </c>
      <c r="M172" s="24">
        <f>IFERROR(VLOOKUP(A172,'Sales Order'!A:F,6,FALSE),"")</f>
        <v>38986</v>
      </c>
      <c r="N172" t="str">
        <f>IFERROR(VLOOKUP(VLOOKUP(A172,'Sales Order'!A:G,7,FALSE),Shipper!A:B,2,FALSE),"Not Specified")</f>
        <v>Shipper ZHISN</v>
      </c>
      <c r="O172" t="str">
        <f>IFERROR(VLOOKUP(A172,'Sales Order'!A:I,9,FALSE),"Not Specified")</f>
        <v>Destination SNPXM</v>
      </c>
      <c r="P172" t="str">
        <f>IFERROR(VLOOKUP(A172,'Sales Order'!A:N,14,FALSE),"Not Specified")</f>
        <v>France</v>
      </c>
      <c r="Q172" t="str">
        <f>VLOOKUP(VLOOKUP(B172,Product!A:C,3,FALSE),Supplier!A:B,2,FALSE)</f>
        <v>Supplier CIYNM</v>
      </c>
      <c r="R172" t="str">
        <f>VLOOKUP(VLOOKUP(B172,Product!A:C,3,FALSE),Supplier!A:I,9,FALSE)</f>
        <v>Singapore</v>
      </c>
      <c r="S172" t="str">
        <f>IFERROR(IF(VLOOKUP(A172,'Sales Order'!A:H,8,FALSE)&gt;100,"High Freight","Low Freight"),"Not Specified")</f>
        <v>Low Freight</v>
      </c>
      <c r="T172">
        <f t="shared" si="5"/>
        <v>67.199999999999989</v>
      </c>
    </row>
    <row r="173" spans="1:20">
      <c r="A173" s="9">
        <v>10311</v>
      </c>
      <c r="B173" s="6">
        <v>69</v>
      </c>
      <c r="C173" s="6">
        <v>28.8</v>
      </c>
      <c r="D173" s="6">
        <v>7</v>
      </c>
      <c r="E173" s="18">
        <v>0</v>
      </c>
      <c r="F173" s="6" t="str">
        <f>IFERROR(VLOOKUP(VLOOKUP(A173,'Sales Order'!A:B,2,FALSE),Customer!A:C,3,FALSE),"Not Specified")</f>
        <v>Rizaldy, Arif</v>
      </c>
      <c r="G173" s="6" t="str">
        <f t="shared" si="4"/>
        <v>Rizaldy Arif</v>
      </c>
      <c r="H173" s="22" t="str">
        <f>IFERROR(VLOOKUP(VLOOKUP(A173,'Sales Order'!A:C,3,FALSE),Employee!A:E,5,FALSE)&amp;" "&amp;VLOOKUP(VLOOKUP(A173,'Sales Order'!A:C,3,FALSE),Employee!A:C,3,FALSE)&amp;" "&amp;VLOOKUP(VLOOKUP(A173,'Sales Order'!A:C,3,FALSE),Employee!A:B,2,FALSE),"Not Specified")</f>
        <v>Ms. Sara Davis</v>
      </c>
      <c r="I173" t="str">
        <f>IFERROR(VLOOKUP(VLOOKUP(A173,'Sales Order'!A:C,3,FALSE),Employee!A:J,10,FALSE),"Not Specified")</f>
        <v>WA</v>
      </c>
      <c r="J173" t="str">
        <f>VLOOKUP(B173,Product!A:B,2,FALSE)</f>
        <v>Product COAXA</v>
      </c>
      <c r="K173" t="str">
        <f>VLOOKUP(VLOOKUP(B173,Product!A:D,4,FALSE),Category!A:B,2,FALSE)</f>
        <v>Dairy Product</v>
      </c>
      <c r="L173" s="24">
        <f>IFERROR(VLOOKUP(A173,'Sales Order'!A:D,4,FALSE),"")</f>
        <v>38980</v>
      </c>
      <c r="M173" s="24">
        <f>IFERROR(VLOOKUP(A173,'Sales Order'!A:F,6,FALSE),"")</f>
        <v>38986</v>
      </c>
      <c r="N173" t="str">
        <f>IFERROR(VLOOKUP(VLOOKUP(A173,'Sales Order'!A:G,7,FALSE),Shipper!A:B,2,FALSE),"Not Specified")</f>
        <v>Shipper ZHISN</v>
      </c>
      <c r="O173" t="str">
        <f>IFERROR(VLOOKUP(A173,'Sales Order'!A:I,9,FALSE),"Not Specified")</f>
        <v>Destination SNPXM</v>
      </c>
      <c r="P173" t="str">
        <f>IFERROR(VLOOKUP(A173,'Sales Order'!A:N,14,FALSE),"Not Specified")</f>
        <v>France</v>
      </c>
      <c r="Q173" t="str">
        <f>VLOOKUP(VLOOKUP(B173,Product!A:C,3,FALSE),Supplier!A:B,2,FALSE)</f>
        <v>Supplier NZLIF</v>
      </c>
      <c r="R173" t="str">
        <f>VLOOKUP(VLOOKUP(B173,Product!A:C,3,FALSE),Supplier!A:I,9,FALSE)</f>
        <v>Norway</v>
      </c>
      <c r="S173" t="str">
        <f>IFERROR(IF(VLOOKUP(A173,'Sales Order'!A:H,8,FALSE)&gt;100,"High Freight","Low Freight"),"Not Specified")</f>
        <v>Low Freight</v>
      </c>
      <c r="T173">
        <f t="shared" si="5"/>
        <v>201.6</v>
      </c>
    </row>
    <row r="174" spans="1:20">
      <c r="A174" s="9">
        <v>10312</v>
      </c>
      <c r="B174" s="6">
        <v>28</v>
      </c>
      <c r="C174" s="6">
        <v>36.4</v>
      </c>
      <c r="D174" s="6">
        <v>4</v>
      </c>
      <c r="E174" s="18">
        <v>0</v>
      </c>
      <c r="F174" s="6" t="str">
        <f>IFERROR(VLOOKUP(VLOOKUP(A174,'Sales Order'!A:B,2,FALSE),Customer!A:C,3,FALSE),"Not Specified")</f>
        <v>Syamala, Manoj</v>
      </c>
      <c r="G174" s="6" t="str">
        <f t="shared" si="4"/>
        <v>Syamala Manoj</v>
      </c>
      <c r="H174" s="22" t="str">
        <f>IFERROR(VLOOKUP(VLOOKUP(A174,'Sales Order'!A:C,3,FALSE),Employee!A:E,5,FALSE)&amp;" "&amp;VLOOKUP(VLOOKUP(A174,'Sales Order'!A:C,3,FALSE),Employee!A:C,3,FALSE)&amp;" "&amp;VLOOKUP(VLOOKUP(A174,'Sales Order'!A:C,3,FALSE),Employee!A:B,2,FALSE),"Not Specified")</f>
        <v>Dr. Don Funk</v>
      </c>
      <c r="I174" t="str">
        <f>IFERROR(VLOOKUP(VLOOKUP(A174,'Sales Order'!A:C,3,FALSE),Employee!A:J,10,FALSE),"Not Specified")</f>
        <v>WA</v>
      </c>
      <c r="J174" t="str">
        <f>VLOOKUP(B174,Product!A:B,2,FALSE)</f>
        <v>Product OFBNT</v>
      </c>
      <c r="K174" t="str">
        <f>VLOOKUP(VLOOKUP(B174,Product!A:D,4,FALSE),Category!A:B,2,FALSE)</f>
        <v>Produce</v>
      </c>
      <c r="L174" s="24">
        <f>IFERROR(VLOOKUP(A174,'Sales Order'!A:D,4,FALSE),"")</f>
        <v>38983</v>
      </c>
      <c r="M174" s="24">
        <f>IFERROR(VLOOKUP(A174,'Sales Order'!A:F,6,FALSE),"")</f>
        <v>38993</v>
      </c>
      <c r="N174" t="str">
        <f>IFERROR(VLOOKUP(VLOOKUP(A174,'Sales Order'!A:G,7,FALSE),Shipper!A:B,2,FALSE),"Not Specified")</f>
        <v>Shipper ETYNR</v>
      </c>
      <c r="O174" t="str">
        <f>IFERROR(VLOOKUP(A174,'Sales Order'!A:I,9,FALSE),"Not Specified")</f>
        <v>Ship to 86-B</v>
      </c>
      <c r="P174" t="str">
        <f>IFERROR(VLOOKUP(A174,'Sales Order'!A:N,14,FALSE),"Not Specified")</f>
        <v>Germany</v>
      </c>
      <c r="Q174" t="str">
        <f>VLOOKUP(VLOOKUP(B174,Product!A:C,3,FALSE),Supplier!A:B,2,FALSE)</f>
        <v>Supplier SVIYA</v>
      </c>
      <c r="R174" t="str">
        <f>VLOOKUP(VLOOKUP(B174,Product!A:C,3,FALSE),Supplier!A:I,9,FALSE)</f>
        <v>Germany</v>
      </c>
      <c r="S174" t="str">
        <f>IFERROR(IF(VLOOKUP(A174,'Sales Order'!A:H,8,FALSE)&gt;100,"High Freight","Low Freight"),"Not Specified")</f>
        <v>Low Freight</v>
      </c>
      <c r="T174">
        <f t="shared" si="5"/>
        <v>145.6</v>
      </c>
    </row>
    <row r="175" spans="1:20">
      <c r="A175" s="9">
        <v>10312</v>
      </c>
      <c r="B175" s="6">
        <v>43</v>
      </c>
      <c r="C175" s="6">
        <v>36.799999999999997</v>
      </c>
      <c r="D175" s="6">
        <v>24</v>
      </c>
      <c r="E175" s="18">
        <v>0</v>
      </c>
      <c r="F175" s="6" t="str">
        <f>IFERROR(VLOOKUP(VLOOKUP(A175,'Sales Order'!A:B,2,FALSE),Customer!A:C,3,FALSE),"Not Specified")</f>
        <v>Syamala, Manoj</v>
      </c>
      <c r="G175" s="6" t="str">
        <f t="shared" si="4"/>
        <v>Syamala Manoj</v>
      </c>
      <c r="H175" s="22" t="str">
        <f>IFERROR(VLOOKUP(VLOOKUP(A175,'Sales Order'!A:C,3,FALSE),Employee!A:E,5,FALSE)&amp;" "&amp;VLOOKUP(VLOOKUP(A175,'Sales Order'!A:C,3,FALSE),Employee!A:C,3,FALSE)&amp;" "&amp;VLOOKUP(VLOOKUP(A175,'Sales Order'!A:C,3,FALSE),Employee!A:B,2,FALSE),"Not Specified")</f>
        <v>Dr. Don Funk</v>
      </c>
      <c r="I175" t="str">
        <f>IFERROR(VLOOKUP(VLOOKUP(A175,'Sales Order'!A:C,3,FALSE),Employee!A:J,10,FALSE),"Not Specified")</f>
        <v>WA</v>
      </c>
      <c r="J175" t="str">
        <f>VLOOKUP(B175,Product!A:B,2,FALSE)</f>
        <v>Product ZZZHR</v>
      </c>
      <c r="K175" t="str">
        <f>VLOOKUP(VLOOKUP(B175,Product!A:D,4,FALSE),Category!A:B,2,FALSE)</f>
        <v>Beverages</v>
      </c>
      <c r="L175" s="24">
        <f>IFERROR(VLOOKUP(A175,'Sales Order'!A:D,4,FALSE),"")</f>
        <v>38983</v>
      </c>
      <c r="M175" s="24">
        <f>IFERROR(VLOOKUP(A175,'Sales Order'!A:F,6,FALSE),"")</f>
        <v>38993</v>
      </c>
      <c r="N175" t="str">
        <f>IFERROR(VLOOKUP(VLOOKUP(A175,'Sales Order'!A:G,7,FALSE),Shipper!A:B,2,FALSE),"Not Specified")</f>
        <v>Shipper ETYNR</v>
      </c>
      <c r="O175" t="str">
        <f>IFERROR(VLOOKUP(A175,'Sales Order'!A:I,9,FALSE),"Not Specified")</f>
        <v>Ship to 86-B</v>
      </c>
      <c r="P175" t="str">
        <f>IFERROR(VLOOKUP(A175,'Sales Order'!A:N,14,FALSE),"Not Specified")</f>
        <v>Germany</v>
      </c>
      <c r="Q175" t="str">
        <f>VLOOKUP(VLOOKUP(B175,Product!A:C,3,FALSE),Supplier!A:B,2,FALSE)</f>
        <v>Supplier CIYNM</v>
      </c>
      <c r="R175" t="str">
        <f>VLOOKUP(VLOOKUP(B175,Product!A:C,3,FALSE),Supplier!A:I,9,FALSE)</f>
        <v>Singapore</v>
      </c>
      <c r="S175" t="str">
        <f>IFERROR(IF(VLOOKUP(A175,'Sales Order'!A:H,8,FALSE)&gt;100,"High Freight","Low Freight"),"Not Specified")</f>
        <v>Low Freight</v>
      </c>
      <c r="T175">
        <f t="shared" si="5"/>
        <v>883.19999999999993</v>
      </c>
    </row>
    <row r="176" spans="1:20">
      <c r="A176" s="9">
        <v>10312</v>
      </c>
      <c r="B176" s="6">
        <v>53</v>
      </c>
      <c r="C176" s="6">
        <v>26.2</v>
      </c>
      <c r="D176" s="6">
        <v>20</v>
      </c>
      <c r="E176" s="18">
        <v>0</v>
      </c>
      <c r="F176" s="6" t="str">
        <f>IFERROR(VLOOKUP(VLOOKUP(A176,'Sales Order'!A:B,2,FALSE),Customer!A:C,3,FALSE),"Not Specified")</f>
        <v>Syamala, Manoj</v>
      </c>
      <c r="G176" s="6" t="str">
        <f t="shared" si="4"/>
        <v>Syamala Manoj</v>
      </c>
      <c r="H176" s="22" t="str">
        <f>IFERROR(VLOOKUP(VLOOKUP(A176,'Sales Order'!A:C,3,FALSE),Employee!A:E,5,FALSE)&amp;" "&amp;VLOOKUP(VLOOKUP(A176,'Sales Order'!A:C,3,FALSE),Employee!A:C,3,FALSE)&amp;" "&amp;VLOOKUP(VLOOKUP(A176,'Sales Order'!A:C,3,FALSE),Employee!A:B,2,FALSE),"Not Specified")</f>
        <v>Dr. Don Funk</v>
      </c>
      <c r="I176" t="str">
        <f>IFERROR(VLOOKUP(VLOOKUP(A176,'Sales Order'!A:C,3,FALSE),Employee!A:J,10,FALSE),"Not Specified")</f>
        <v>WA</v>
      </c>
      <c r="J176" t="str">
        <f>VLOOKUP(B176,Product!A:B,2,FALSE)</f>
        <v>Product BKGEA</v>
      </c>
      <c r="K176" t="str">
        <f>VLOOKUP(VLOOKUP(B176,Product!A:D,4,FALSE),Category!A:B,2,FALSE)</f>
        <v>Meat/Poultry</v>
      </c>
      <c r="L176" s="24">
        <f>IFERROR(VLOOKUP(A176,'Sales Order'!A:D,4,FALSE),"")</f>
        <v>38983</v>
      </c>
      <c r="M176" s="24">
        <f>IFERROR(VLOOKUP(A176,'Sales Order'!A:F,6,FALSE),"")</f>
        <v>38993</v>
      </c>
      <c r="N176" t="str">
        <f>IFERROR(VLOOKUP(VLOOKUP(A176,'Sales Order'!A:G,7,FALSE),Shipper!A:B,2,FALSE),"Not Specified")</f>
        <v>Shipper ETYNR</v>
      </c>
      <c r="O176" t="str">
        <f>IFERROR(VLOOKUP(A176,'Sales Order'!A:I,9,FALSE),"Not Specified")</f>
        <v>Ship to 86-B</v>
      </c>
      <c r="P176" t="str">
        <f>IFERROR(VLOOKUP(A176,'Sales Order'!A:N,14,FALSE),"Not Specified")</f>
        <v>Germany</v>
      </c>
      <c r="Q176" t="str">
        <f>VLOOKUP(VLOOKUP(B176,Product!A:C,3,FALSE),Supplier!A:B,2,FALSE)</f>
        <v>Supplier JNNES</v>
      </c>
      <c r="R176" t="str">
        <f>VLOOKUP(VLOOKUP(B176,Product!A:C,3,FALSE),Supplier!A:I,9,FALSE)</f>
        <v>Australia</v>
      </c>
      <c r="S176" t="str">
        <f>IFERROR(IF(VLOOKUP(A176,'Sales Order'!A:H,8,FALSE)&gt;100,"High Freight","Low Freight"),"Not Specified")</f>
        <v>Low Freight</v>
      </c>
      <c r="T176">
        <f t="shared" si="5"/>
        <v>524</v>
      </c>
    </row>
    <row r="177" spans="1:20">
      <c r="A177" s="9">
        <v>10312</v>
      </c>
      <c r="B177" s="6">
        <v>75</v>
      </c>
      <c r="C177" s="6">
        <v>6.2</v>
      </c>
      <c r="D177" s="6">
        <v>10</v>
      </c>
      <c r="E177" s="18">
        <v>0</v>
      </c>
      <c r="F177" s="6" t="str">
        <f>IFERROR(VLOOKUP(VLOOKUP(A177,'Sales Order'!A:B,2,FALSE),Customer!A:C,3,FALSE),"Not Specified")</f>
        <v>Syamala, Manoj</v>
      </c>
      <c r="G177" s="6" t="str">
        <f t="shared" si="4"/>
        <v>Syamala Manoj</v>
      </c>
      <c r="H177" s="22" t="str">
        <f>IFERROR(VLOOKUP(VLOOKUP(A177,'Sales Order'!A:C,3,FALSE),Employee!A:E,5,FALSE)&amp;" "&amp;VLOOKUP(VLOOKUP(A177,'Sales Order'!A:C,3,FALSE),Employee!A:C,3,FALSE)&amp;" "&amp;VLOOKUP(VLOOKUP(A177,'Sales Order'!A:C,3,FALSE),Employee!A:B,2,FALSE),"Not Specified")</f>
        <v>Dr. Don Funk</v>
      </c>
      <c r="I177" t="str">
        <f>IFERROR(VLOOKUP(VLOOKUP(A177,'Sales Order'!A:C,3,FALSE),Employee!A:J,10,FALSE),"Not Specified")</f>
        <v>WA</v>
      </c>
      <c r="J177" t="str">
        <f>VLOOKUP(B177,Product!A:B,2,FALSE)</f>
        <v>Product BWRLG</v>
      </c>
      <c r="K177" t="str">
        <f>VLOOKUP(VLOOKUP(B177,Product!A:D,4,FALSE),Category!A:B,2,FALSE)</f>
        <v>Beverages</v>
      </c>
      <c r="L177" s="24">
        <f>IFERROR(VLOOKUP(A177,'Sales Order'!A:D,4,FALSE),"")</f>
        <v>38983</v>
      </c>
      <c r="M177" s="24">
        <f>IFERROR(VLOOKUP(A177,'Sales Order'!A:F,6,FALSE),"")</f>
        <v>38993</v>
      </c>
      <c r="N177" t="str">
        <f>IFERROR(VLOOKUP(VLOOKUP(A177,'Sales Order'!A:G,7,FALSE),Shipper!A:B,2,FALSE),"Not Specified")</f>
        <v>Shipper ETYNR</v>
      </c>
      <c r="O177" t="str">
        <f>IFERROR(VLOOKUP(A177,'Sales Order'!A:I,9,FALSE),"Not Specified")</f>
        <v>Ship to 86-B</v>
      </c>
      <c r="P177" t="str">
        <f>IFERROR(VLOOKUP(A177,'Sales Order'!A:N,14,FALSE),"Not Specified")</f>
        <v>Germany</v>
      </c>
      <c r="Q177" t="str">
        <f>VLOOKUP(VLOOKUP(B177,Product!A:C,3,FALSE),Supplier!A:B,2,FALSE)</f>
        <v>Supplier SVIYA</v>
      </c>
      <c r="R177" t="str">
        <f>VLOOKUP(VLOOKUP(B177,Product!A:C,3,FALSE),Supplier!A:I,9,FALSE)</f>
        <v>Germany</v>
      </c>
      <c r="S177" t="str">
        <f>IFERROR(IF(VLOOKUP(A177,'Sales Order'!A:H,8,FALSE)&gt;100,"High Freight","Low Freight"),"Not Specified")</f>
        <v>Low Freight</v>
      </c>
      <c r="T177">
        <f t="shared" si="5"/>
        <v>62</v>
      </c>
    </row>
    <row r="178" spans="1:20">
      <c r="A178" s="9">
        <v>10313</v>
      </c>
      <c r="B178" s="6">
        <v>36</v>
      </c>
      <c r="C178" s="6">
        <v>15.2</v>
      </c>
      <c r="D178" s="6">
        <v>12</v>
      </c>
      <c r="E178" s="18">
        <v>0</v>
      </c>
      <c r="F178" s="6" t="str">
        <f>IFERROR(VLOOKUP(VLOOKUP(A178,'Sales Order'!A:B,2,FALSE),Customer!A:C,3,FALSE),"Not Specified")</f>
        <v>Veronesi, Giorgio</v>
      </c>
      <c r="G178" s="6" t="str">
        <f t="shared" si="4"/>
        <v>Veronesi Giorgio</v>
      </c>
      <c r="H178" s="22" t="str">
        <f>IFERROR(VLOOKUP(VLOOKUP(A178,'Sales Order'!A:C,3,FALSE),Employee!A:E,5,FALSE)&amp;" "&amp;VLOOKUP(VLOOKUP(A178,'Sales Order'!A:C,3,FALSE),Employee!A:C,3,FALSE)&amp;" "&amp;VLOOKUP(VLOOKUP(A178,'Sales Order'!A:C,3,FALSE),Employee!A:B,2,FALSE),"Not Specified")</f>
        <v>Dr. Don Funk</v>
      </c>
      <c r="I178" t="str">
        <f>IFERROR(VLOOKUP(VLOOKUP(A178,'Sales Order'!A:C,3,FALSE),Employee!A:J,10,FALSE),"Not Specified")</f>
        <v>WA</v>
      </c>
      <c r="J178" t="str">
        <f>VLOOKUP(B178,Product!A:B,2,FALSE)</f>
        <v>Product GMKIJ</v>
      </c>
      <c r="K178" t="str">
        <f>VLOOKUP(VLOOKUP(B178,Product!A:D,4,FALSE),Category!A:B,2,FALSE)</f>
        <v>Seafood</v>
      </c>
      <c r="L178" s="24">
        <f>IFERROR(VLOOKUP(A178,'Sales Order'!A:D,4,FALSE),"")</f>
        <v>38984</v>
      </c>
      <c r="M178" s="24">
        <f>IFERROR(VLOOKUP(A178,'Sales Order'!A:F,6,FALSE),"")</f>
        <v>38994</v>
      </c>
      <c r="N178" t="str">
        <f>IFERROR(VLOOKUP(VLOOKUP(A178,'Sales Order'!A:G,7,FALSE),Shipper!A:B,2,FALSE),"Not Specified")</f>
        <v>Shipper ETYNR</v>
      </c>
      <c r="O178" t="str">
        <f>IFERROR(VLOOKUP(A178,'Sales Order'!A:I,9,FALSE),"Not Specified")</f>
        <v>Ship to 63-A</v>
      </c>
      <c r="P178" t="str">
        <f>IFERROR(VLOOKUP(A178,'Sales Order'!A:N,14,FALSE),"Not Specified")</f>
        <v>Germany</v>
      </c>
      <c r="Q178" t="str">
        <f>VLOOKUP(VLOOKUP(B178,Product!A:C,3,FALSE),Supplier!A:B,2,FALSE)</f>
        <v>Supplier QZGUF</v>
      </c>
      <c r="R178" t="str">
        <f>VLOOKUP(VLOOKUP(B178,Product!A:C,3,FALSE),Supplier!A:I,9,FALSE)</f>
        <v>Sweden</v>
      </c>
      <c r="S178" t="str">
        <f>IFERROR(IF(VLOOKUP(A178,'Sales Order'!A:H,8,FALSE)&gt;100,"High Freight","Low Freight"),"Not Specified")</f>
        <v>Low Freight</v>
      </c>
      <c r="T178">
        <f t="shared" si="5"/>
        <v>182.39999999999998</v>
      </c>
    </row>
    <row r="179" spans="1:20">
      <c r="A179" s="9">
        <v>10314</v>
      </c>
      <c r="B179" s="6">
        <v>32</v>
      </c>
      <c r="C179" s="6">
        <v>25.6</v>
      </c>
      <c r="D179" s="6">
        <v>40</v>
      </c>
      <c r="E179" s="18">
        <v>0.1</v>
      </c>
      <c r="F179" s="6" t="str">
        <f>IFERROR(VLOOKUP(VLOOKUP(A179,'Sales Order'!A:B,2,FALSE),Customer!A:C,3,FALSE),"Not Specified")</f>
        <v>Moore, Michael</v>
      </c>
      <c r="G179" s="6" t="str">
        <f t="shared" si="4"/>
        <v>Moore Michael</v>
      </c>
      <c r="H179" s="22" t="str">
        <f>IFERROR(VLOOKUP(VLOOKUP(A179,'Sales Order'!A:C,3,FALSE),Employee!A:E,5,FALSE)&amp;" "&amp;VLOOKUP(VLOOKUP(A179,'Sales Order'!A:C,3,FALSE),Employee!A:C,3,FALSE)&amp;" "&amp;VLOOKUP(VLOOKUP(A179,'Sales Order'!A:C,3,FALSE),Employee!A:B,2,FALSE),"Not Specified")</f>
        <v>Ms. Sara Davis</v>
      </c>
      <c r="I179" t="str">
        <f>IFERROR(VLOOKUP(VLOOKUP(A179,'Sales Order'!A:C,3,FALSE),Employee!A:J,10,FALSE),"Not Specified")</f>
        <v>WA</v>
      </c>
      <c r="J179" t="str">
        <f>VLOOKUP(B179,Product!A:B,2,FALSE)</f>
        <v>Product NUNAW</v>
      </c>
      <c r="K179" t="str">
        <f>VLOOKUP(VLOOKUP(B179,Product!A:D,4,FALSE),Category!A:B,2,FALSE)</f>
        <v>Dairy Product</v>
      </c>
      <c r="L179" s="24">
        <f>IFERROR(VLOOKUP(A179,'Sales Order'!A:D,4,FALSE),"")</f>
        <v>38985</v>
      </c>
      <c r="M179" s="24">
        <f>IFERROR(VLOOKUP(A179,'Sales Order'!A:F,6,FALSE),"")</f>
        <v>38994</v>
      </c>
      <c r="N179" t="str">
        <f>IFERROR(VLOOKUP(VLOOKUP(A179,'Sales Order'!A:G,7,FALSE),Shipper!A:B,2,FALSE),"Not Specified")</f>
        <v>Shipper ETYNR</v>
      </c>
      <c r="O179" t="str">
        <f>IFERROR(VLOOKUP(A179,'Sales Order'!A:I,9,FALSE),"Not Specified")</f>
        <v>Ship to 65-A</v>
      </c>
      <c r="P179" t="str">
        <f>IFERROR(VLOOKUP(A179,'Sales Order'!A:N,14,FALSE),"Not Specified")</f>
        <v>USA</v>
      </c>
      <c r="Q179" t="str">
        <f>VLOOKUP(VLOOKUP(B179,Product!A:C,3,FALSE),Supplier!A:B,2,FALSE)</f>
        <v>Supplier KEREV</v>
      </c>
      <c r="R179" t="str">
        <f>VLOOKUP(VLOOKUP(B179,Product!A:C,3,FALSE),Supplier!A:I,9,FALSE)</f>
        <v>Italy</v>
      </c>
      <c r="S179" t="str">
        <f>IFERROR(IF(VLOOKUP(A179,'Sales Order'!A:H,8,FALSE)&gt;100,"High Freight","Low Freight"),"Not Specified")</f>
        <v>Low Freight</v>
      </c>
      <c r="T179">
        <f t="shared" si="5"/>
        <v>921.6</v>
      </c>
    </row>
    <row r="180" spans="1:20">
      <c r="A180" s="9">
        <v>10314</v>
      </c>
      <c r="B180" s="6">
        <v>58</v>
      </c>
      <c r="C180" s="6">
        <v>10.6</v>
      </c>
      <c r="D180" s="6">
        <v>30</v>
      </c>
      <c r="E180" s="18">
        <v>0.1</v>
      </c>
      <c r="F180" s="6" t="str">
        <f>IFERROR(VLOOKUP(VLOOKUP(A180,'Sales Order'!A:B,2,FALSE),Customer!A:C,3,FALSE),"Not Specified")</f>
        <v>Moore, Michael</v>
      </c>
      <c r="G180" s="6" t="str">
        <f t="shared" si="4"/>
        <v>Moore Michael</v>
      </c>
      <c r="H180" s="22" t="str">
        <f>IFERROR(VLOOKUP(VLOOKUP(A180,'Sales Order'!A:C,3,FALSE),Employee!A:E,5,FALSE)&amp;" "&amp;VLOOKUP(VLOOKUP(A180,'Sales Order'!A:C,3,FALSE),Employee!A:C,3,FALSE)&amp;" "&amp;VLOOKUP(VLOOKUP(A180,'Sales Order'!A:C,3,FALSE),Employee!A:B,2,FALSE),"Not Specified")</f>
        <v>Ms. Sara Davis</v>
      </c>
      <c r="I180" t="str">
        <f>IFERROR(VLOOKUP(VLOOKUP(A180,'Sales Order'!A:C,3,FALSE),Employee!A:J,10,FALSE),"Not Specified")</f>
        <v>WA</v>
      </c>
      <c r="J180" t="str">
        <f>VLOOKUP(B180,Product!A:B,2,FALSE)</f>
        <v>Product ACRVI</v>
      </c>
      <c r="K180" t="str">
        <f>VLOOKUP(VLOOKUP(B180,Product!A:D,4,FALSE),Category!A:B,2,FALSE)</f>
        <v>Seafood</v>
      </c>
      <c r="L180" s="24">
        <f>IFERROR(VLOOKUP(A180,'Sales Order'!A:D,4,FALSE),"")</f>
        <v>38985</v>
      </c>
      <c r="M180" s="24">
        <f>IFERROR(VLOOKUP(A180,'Sales Order'!A:F,6,FALSE),"")</f>
        <v>38994</v>
      </c>
      <c r="N180" t="str">
        <f>IFERROR(VLOOKUP(VLOOKUP(A180,'Sales Order'!A:G,7,FALSE),Shipper!A:B,2,FALSE),"Not Specified")</f>
        <v>Shipper ETYNR</v>
      </c>
      <c r="O180" t="str">
        <f>IFERROR(VLOOKUP(A180,'Sales Order'!A:I,9,FALSE),"Not Specified")</f>
        <v>Ship to 65-A</v>
      </c>
      <c r="P180" t="str">
        <f>IFERROR(VLOOKUP(A180,'Sales Order'!A:N,14,FALSE),"Not Specified")</f>
        <v>USA</v>
      </c>
      <c r="Q180" t="str">
        <f>VLOOKUP(VLOOKUP(B180,Product!A:C,3,FALSE),Supplier!A:B,2,FALSE)</f>
        <v>Supplier ZRYDZ</v>
      </c>
      <c r="R180" t="str">
        <f>VLOOKUP(VLOOKUP(B180,Product!A:C,3,FALSE),Supplier!A:I,9,FALSE)</f>
        <v>France</v>
      </c>
      <c r="S180" t="str">
        <f>IFERROR(IF(VLOOKUP(A180,'Sales Order'!A:H,8,FALSE)&gt;100,"High Freight","Low Freight"),"Not Specified")</f>
        <v>Low Freight</v>
      </c>
      <c r="T180">
        <f t="shared" si="5"/>
        <v>286.2</v>
      </c>
    </row>
    <row r="181" spans="1:20">
      <c r="A181" s="9">
        <v>10314</v>
      </c>
      <c r="B181" s="6">
        <v>62</v>
      </c>
      <c r="C181" s="6">
        <v>39.4</v>
      </c>
      <c r="D181" s="6">
        <v>25</v>
      </c>
      <c r="E181" s="18">
        <v>0.1</v>
      </c>
      <c r="F181" s="6" t="str">
        <f>IFERROR(VLOOKUP(VLOOKUP(A181,'Sales Order'!A:B,2,FALSE),Customer!A:C,3,FALSE),"Not Specified")</f>
        <v>Moore, Michael</v>
      </c>
      <c r="G181" s="6" t="str">
        <f t="shared" si="4"/>
        <v>Moore Michael</v>
      </c>
      <c r="H181" s="22" t="str">
        <f>IFERROR(VLOOKUP(VLOOKUP(A181,'Sales Order'!A:C,3,FALSE),Employee!A:E,5,FALSE)&amp;" "&amp;VLOOKUP(VLOOKUP(A181,'Sales Order'!A:C,3,FALSE),Employee!A:C,3,FALSE)&amp;" "&amp;VLOOKUP(VLOOKUP(A181,'Sales Order'!A:C,3,FALSE),Employee!A:B,2,FALSE),"Not Specified")</f>
        <v>Ms. Sara Davis</v>
      </c>
      <c r="I181" t="str">
        <f>IFERROR(VLOOKUP(VLOOKUP(A181,'Sales Order'!A:C,3,FALSE),Employee!A:J,10,FALSE),"Not Specified")</f>
        <v>WA</v>
      </c>
      <c r="J181" t="str">
        <f>VLOOKUP(B181,Product!A:B,2,FALSE)</f>
        <v>Product WUXYK</v>
      </c>
      <c r="K181" t="str">
        <f>VLOOKUP(VLOOKUP(B181,Product!A:D,4,FALSE),Category!A:B,2,FALSE)</f>
        <v>Confections</v>
      </c>
      <c r="L181" s="24">
        <f>IFERROR(VLOOKUP(A181,'Sales Order'!A:D,4,FALSE),"")</f>
        <v>38985</v>
      </c>
      <c r="M181" s="24">
        <f>IFERROR(VLOOKUP(A181,'Sales Order'!A:F,6,FALSE),"")</f>
        <v>38994</v>
      </c>
      <c r="N181" t="str">
        <f>IFERROR(VLOOKUP(VLOOKUP(A181,'Sales Order'!A:G,7,FALSE),Shipper!A:B,2,FALSE),"Not Specified")</f>
        <v>Shipper ETYNR</v>
      </c>
      <c r="O181" t="str">
        <f>IFERROR(VLOOKUP(A181,'Sales Order'!A:I,9,FALSE),"Not Specified")</f>
        <v>Ship to 65-A</v>
      </c>
      <c r="P181" t="str">
        <f>IFERROR(VLOOKUP(A181,'Sales Order'!A:N,14,FALSE),"Not Specified")</f>
        <v>USA</v>
      </c>
      <c r="Q181" t="str">
        <f>VLOOKUP(VLOOKUP(B181,Product!A:C,3,FALSE),Supplier!A:B,2,FALSE)</f>
        <v>Supplier OGLRK</v>
      </c>
      <c r="R181" t="str">
        <f>VLOOKUP(VLOOKUP(B181,Product!A:C,3,FALSE),Supplier!A:I,9,FALSE)</f>
        <v>Canada</v>
      </c>
      <c r="S181" t="str">
        <f>IFERROR(IF(VLOOKUP(A181,'Sales Order'!A:H,8,FALSE)&gt;100,"High Freight","Low Freight"),"Not Specified")</f>
        <v>Low Freight</v>
      </c>
      <c r="T181">
        <f t="shared" si="5"/>
        <v>886.5</v>
      </c>
    </row>
    <row r="182" spans="1:20">
      <c r="A182" s="9">
        <v>10315</v>
      </c>
      <c r="B182" s="6">
        <v>34</v>
      </c>
      <c r="C182" s="6">
        <v>11.2</v>
      </c>
      <c r="D182" s="6">
        <v>14</v>
      </c>
      <c r="E182" s="18">
        <v>0</v>
      </c>
      <c r="F182" s="6" t="str">
        <f>IFERROR(VLOOKUP(VLOOKUP(A182,'Sales Order'!A:B,2,FALSE),Customer!A:C,3,FALSE),"Not Specified")</f>
        <v>Lee, Frank</v>
      </c>
      <c r="G182" s="6" t="str">
        <f t="shared" si="4"/>
        <v>Lee Frank</v>
      </c>
      <c r="H182" s="22" t="str">
        <f>IFERROR(VLOOKUP(VLOOKUP(A182,'Sales Order'!A:C,3,FALSE),Employee!A:E,5,FALSE)&amp;" "&amp;VLOOKUP(VLOOKUP(A182,'Sales Order'!A:C,3,FALSE),Employee!A:C,3,FALSE)&amp;" "&amp;VLOOKUP(VLOOKUP(A182,'Sales Order'!A:C,3,FALSE),Employee!A:B,2,FALSE),"Not Specified")</f>
        <v>Mrs. Yael Peled</v>
      </c>
      <c r="I182" t="str">
        <f>IFERROR(VLOOKUP(VLOOKUP(A182,'Sales Order'!A:C,3,FALSE),Employee!A:J,10,FALSE),"Not Specified")</f>
        <v>WA</v>
      </c>
      <c r="J182" t="str">
        <f>VLOOKUP(B182,Product!A:B,2,FALSE)</f>
        <v>Product SWNJY</v>
      </c>
      <c r="K182" t="str">
        <f>VLOOKUP(VLOOKUP(B182,Product!A:D,4,FALSE),Category!A:B,2,FALSE)</f>
        <v>Beverages</v>
      </c>
      <c r="L182" s="24">
        <f>IFERROR(VLOOKUP(A182,'Sales Order'!A:D,4,FALSE),"")</f>
        <v>38986</v>
      </c>
      <c r="M182" s="24">
        <f>IFERROR(VLOOKUP(A182,'Sales Order'!A:F,6,FALSE),"")</f>
        <v>38993</v>
      </c>
      <c r="N182" t="str">
        <f>IFERROR(VLOOKUP(VLOOKUP(A182,'Sales Order'!A:G,7,FALSE),Shipper!A:B,2,FALSE),"Not Specified")</f>
        <v>Shipper ETYNR</v>
      </c>
      <c r="O182" t="str">
        <f>IFERROR(VLOOKUP(A182,'Sales Order'!A:I,9,FALSE),"Not Specified")</f>
        <v>Destination AXVHD</v>
      </c>
      <c r="P182" t="str">
        <f>IFERROR(VLOOKUP(A182,'Sales Order'!A:N,14,FALSE),"Not Specified")</f>
        <v>UK</v>
      </c>
      <c r="Q182" t="str">
        <f>VLOOKUP(VLOOKUP(B182,Product!A:C,3,FALSE),Supplier!A:B,2,FALSE)</f>
        <v>Supplier UHZRG</v>
      </c>
      <c r="R182" t="str">
        <f>VLOOKUP(VLOOKUP(B182,Product!A:C,3,FALSE),Supplier!A:I,9,FALSE)</f>
        <v>USA</v>
      </c>
      <c r="S182" t="str">
        <f>IFERROR(IF(VLOOKUP(A182,'Sales Order'!A:H,8,FALSE)&gt;100,"High Freight","Low Freight"),"Not Specified")</f>
        <v>Low Freight</v>
      </c>
      <c r="T182">
        <f t="shared" si="5"/>
        <v>156.79999999999998</v>
      </c>
    </row>
    <row r="183" spans="1:20">
      <c r="A183" s="9">
        <v>10315</v>
      </c>
      <c r="B183" s="6">
        <v>70</v>
      </c>
      <c r="C183" s="6">
        <v>12</v>
      </c>
      <c r="D183" s="6">
        <v>30</v>
      </c>
      <c r="E183" s="18">
        <v>0</v>
      </c>
      <c r="F183" s="6" t="str">
        <f>IFERROR(VLOOKUP(VLOOKUP(A183,'Sales Order'!A:B,2,FALSE),Customer!A:C,3,FALSE),"Not Specified")</f>
        <v>Lee, Frank</v>
      </c>
      <c r="G183" s="6" t="str">
        <f t="shared" si="4"/>
        <v>Lee Frank</v>
      </c>
      <c r="H183" s="22" t="str">
        <f>IFERROR(VLOOKUP(VLOOKUP(A183,'Sales Order'!A:C,3,FALSE),Employee!A:E,5,FALSE)&amp;" "&amp;VLOOKUP(VLOOKUP(A183,'Sales Order'!A:C,3,FALSE),Employee!A:C,3,FALSE)&amp;" "&amp;VLOOKUP(VLOOKUP(A183,'Sales Order'!A:C,3,FALSE),Employee!A:B,2,FALSE),"Not Specified")</f>
        <v>Mrs. Yael Peled</v>
      </c>
      <c r="I183" t="str">
        <f>IFERROR(VLOOKUP(VLOOKUP(A183,'Sales Order'!A:C,3,FALSE),Employee!A:J,10,FALSE),"Not Specified")</f>
        <v>WA</v>
      </c>
      <c r="J183" t="str">
        <f>VLOOKUP(B183,Product!A:B,2,FALSE)</f>
        <v>Product TOONT</v>
      </c>
      <c r="K183" t="str">
        <f>VLOOKUP(VLOOKUP(B183,Product!A:D,4,FALSE),Category!A:B,2,FALSE)</f>
        <v>Beverages</v>
      </c>
      <c r="L183" s="24">
        <f>IFERROR(VLOOKUP(A183,'Sales Order'!A:D,4,FALSE),"")</f>
        <v>38986</v>
      </c>
      <c r="M183" s="24">
        <f>IFERROR(VLOOKUP(A183,'Sales Order'!A:F,6,FALSE),"")</f>
        <v>38993</v>
      </c>
      <c r="N183" t="str">
        <f>IFERROR(VLOOKUP(VLOOKUP(A183,'Sales Order'!A:G,7,FALSE),Shipper!A:B,2,FALSE),"Not Specified")</f>
        <v>Shipper ETYNR</v>
      </c>
      <c r="O183" t="str">
        <f>IFERROR(VLOOKUP(A183,'Sales Order'!A:I,9,FALSE),"Not Specified")</f>
        <v>Destination AXVHD</v>
      </c>
      <c r="P183" t="str">
        <f>IFERROR(VLOOKUP(A183,'Sales Order'!A:N,14,FALSE),"Not Specified")</f>
        <v>UK</v>
      </c>
      <c r="Q183" t="str">
        <f>VLOOKUP(VLOOKUP(B183,Product!A:C,3,FALSE),Supplier!A:B,2,FALSE)</f>
        <v>Supplier GQRCV</v>
      </c>
      <c r="R183" t="str">
        <f>VLOOKUP(VLOOKUP(B183,Product!A:C,3,FALSE),Supplier!A:I,9,FALSE)</f>
        <v>Australia</v>
      </c>
      <c r="S183" t="str">
        <f>IFERROR(IF(VLOOKUP(A183,'Sales Order'!A:H,8,FALSE)&gt;100,"High Freight","Low Freight"),"Not Specified")</f>
        <v>Low Freight</v>
      </c>
      <c r="T183">
        <f t="shared" si="5"/>
        <v>360</v>
      </c>
    </row>
    <row r="184" spans="1:20">
      <c r="A184" s="9">
        <v>10316</v>
      </c>
      <c r="B184" s="6">
        <v>41</v>
      </c>
      <c r="C184" s="6">
        <v>7.7</v>
      </c>
      <c r="D184" s="6">
        <v>10</v>
      </c>
      <c r="E184" s="18">
        <v>0</v>
      </c>
      <c r="F184" s="6" t="str">
        <f>IFERROR(VLOOKUP(VLOOKUP(A184,'Sales Order'!A:B,2,FALSE),Customer!A:C,3,FALSE),"Not Specified")</f>
        <v>Moore, Michael</v>
      </c>
      <c r="G184" s="6" t="str">
        <f t="shared" si="4"/>
        <v>Moore Michael</v>
      </c>
      <c r="H184" s="22" t="str">
        <f>IFERROR(VLOOKUP(VLOOKUP(A184,'Sales Order'!A:C,3,FALSE),Employee!A:E,5,FALSE)&amp;" "&amp;VLOOKUP(VLOOKUP(A184,'Sales Order'!A:C,3,FALSE),Employee!A:C,3,FALSE)&amp;" "&amp;VLOOKUP(VLOOKUP(A184,'Sales Order'!A:C,3,FALSE),Employee!A:B,2,FALSE),"Not Specified")</f>
        <v>Ms. Sara Davis</v>
      </c>
      <c r="I184" t="str">
        <f>IFERROR(VLOOKUP(VLOOKUP(A184,'Sales Order'!A:C,3,FALSE),Employee!A:J,10,FALSE),"Not Specified")</f>
        <v>WA</v>
      </c>
      <c r="J184" t="str">
        <f>VLOOKUP(B184,Product!A:B,2,FALSE)</f>
        <v>Product TTEEX</v>
      </c>
      <c r="K184" t="str">
        <f>VLOOKUP(VLOOKUP(B184,Product!A:D,4,FALSE),Category!A:B,2,FALSE)</f>
        <v>Seafood</v>
      </c>
      <c r="L184" s="24">
        <f>IFERROR(VLOOKUP(A184,'Sales Order'!A:D,4,FALSE),"")</f>
        <v>38987</v>
      </c>
      <c r="M184" s="24">
        <f>IFERROR(VLOOKUP(A184,'Sales Order'!A:F,6,FALSE),"")</f>
        <v>38998</v>
      </c>
      <c r="N184" t="str">
        <f>IFERROR(VLOOKUP(VLOOKUP(A184,'Sales Order'!A:G,7,FALSE),Shipper!A:B,2,FALSE),"Not Specified")</f>
        <v>Shipper ZHISN</v>
      </c>
      <c r="O184" t="str">
        <f>IFERROR(VLOOKUP(A184,'Sales Order'!A:I,9,FALSE),"Not Specified")</f>
        <v>Ship to 65-B</v>
      </c>
      <c r="P184" t="str">
        <f>IFERROR(VLOOKUP(A184,'Sales Order'!A:N,14,FALSE),"Not Specified")</f>
        <v>USA</v>
      </c>
      <c r="Q184" t="str">
        <f>VLOOKUP(VLOOKUP(B184,Product!A:C,3,FALSE),Supplier!A:B,2,FALSE)</f>
        <v>Supplier JDNUG</v>
      </c>
      <c r="R184" t="str">
        <f>VLOOKUP(VLOOKUP(B184,Product!A:C,3,FALSE),Supplier!A:I,9,FALSE)</f>
        <v>USA</v>
      </c>
      <c r="S184" t="str">
        <f>IFERROR(IF(VLOOKUP(A184,'Sales Order'!A:H,8,FALSE)&gt;100,"High Freight","Low Freight"),"Not Specified")</f>
        <v>High Freight</v>
      </c>
      <c r="T184">
        <f t="shared" si="5"/>
        <v>77</v>
      </c>
    </row>
    <row r="185" spans="1:20">
      <c r="A185" s="9">
        <v>10316</v>
      </c>
      <c r="B185" s="6">
        <v>62</v>
      </c>
      <c r="C185" s="6">
        <v>39.4</v>
      </c>
      <c r="D185" s="6">
        <v>70</v>
      </c>
      <c r="E185" s="18">
        <v>0</v>
      </c>
      <c r="F185" s="6" t="str">
        <f>IFERROR(VLOOKUP(VLOOKUP(A185,'Sales Order'!A:B,2,FALSE),Customer!A:C,3,FALSE),"Not Specified")</f>
        <v>Moore, Michael</v>
      </c>
      <c r="G185" s="6" t="str">
        <f t="shared" si="4"/>
        <v>Moore Michael</v>
      </c>
      <c r="H185" s="22" t="str">
        <f>IFERROR(VLOOKUP(VLOOKUP(A185,'Sales Order'!A:C,3,FALSE),Employee!A:E,5,FALSE)&amp;" "&amp;VLOOKUP(VLOOKUP(A185,'Sales Order'!A:C,3,FALSE),Employee!A:C,3,FALSE)&amp;" "&amp;VLOOKUP(VLOOKUP(A185,'Sales Order'!A:C,3,FALSE),Employee!A:B,2,FALSE),"Not Specified")</f>
        <v>Ms. Sara Davis</v>
      </c>
      <c r="I185" t="str">
        <f>IFERROR(VLOOKUP(VLOOKUP(A185,'Sales Order'!A:C,3,FALSE),Employee!A:J,10,FALSE),"Not Specified")</f>
        <v>WA</v>
      </c>
      <c r="J185" t="str">
        <f>VLOOKUP(B185,Product!A:B,2,FALSE)</f>
        <v>Product WUXYK</v>
      </c>
      <c r="K185" t="str">
        <f>VLOOKUP(VLOOKUP(B185,Product!A:D,4,FALSE),Category!A:B,2,FALSE)</f>
        <v>Confections</v>
      </c>
      <c r="L185" s="24">
        <f>IFERROR(VLOOKUP(A185,'Sales Order'!A:D,4,FALSE),"")</f>
        <v>38987</v>
      </c>
      <c r="M185" s="24">
        <f>IFERROR(VLOOKUP(A185,'Sales Order'!A:F,6,FALSE),"")</f>
        <v>38998</v>
      </c>
      <c r="N185" t="str">
        <f>IFERROR(VLOOKUP(VLOOKUP(A185,'Sales Order'!A:G,7,FALSE),Shipper!A:B,2,FALSE),"Not Specified")</f>
        <v>Shipper ZHISN</v>
      </c>
      <c r="O185" t="str">
        <f>IFERROR(VLOOKUP(A185,'Sales Order'!A:I,9,FALSE),"Not Specified")</f>
        <v>Ship to 65-B</v>
      </c>
      <c r="P185" t="str">
        <f>IFERROR(VLOOKUP(A185,'Sales Order'!A:N,14,FALSE),"Not Specified")</f>
        <v>USA</v>
      </c>
      <c r="Q185" t="str">
        <f>VLOOKUP(VLOOKUP(B185,Product!A:C,3,FALSE),Supplier!A:B,2,FALSE)</f>
        <v>Supplier OGLRK</v>
      </c>
      <c r="R185" t="str">
        <f>VLOOKUP(VLOOKUP(B185,Product!A:C,3,FALSE),Supplier!A:I,9,FALSE)</f>
        <v>Canada</v>
      </c>
      <c r="S185" t="str">
        <f>IFERROR(IF(VLOOKUP(A185,'Sales Order'!A:H,8,FALSE)&gt;100,"High Freight","Low Freight"),"Not Specified")</f>
        <v>High Freight</v>
      </c>
      <c r="T185">
        <f t="shared" si="5"/>
        <v>2758</v>
      </c>
    </row>
    <row r="186" spans="1:20">
      <c r="A186" s="9">
        <v>10317</v>
      </c>
      <c r="B186" s="6">
        <v>1</v>
      </c>
      <c r="C186" s="6">
        <v>14.4</v>
      </c>
      <c r="D186" s="6">
        <v>20</v>
      </c>
      <c r="E186" s="18">
        <v>0</v>
      </c>
      <c r="F186" s="6" t="str">
        <f>IFERROR(VLOOKUP(VLOOKUP(A186,'Sales Order'!A:B,2,FALSE),Customer!A:C,3,FALSE),"Not Specified")</f>
        <v>Szymczak, Radosław</v>
      </c>
      <c r="G186" s="6" t="str">
        <f t="shared" si="4"/>
        <v>Szymczak Radosław</v>
      </c>
      <c r="H186" s="22" t="str">
        <f>IFERROR(VLOOKUP(VLOOKUP(A186,'Sales Order'!A:C,3,FALSE),Employee!A:E,5,FALSE)&amp;" "&amp;VLOOKUP(VLOOKUP(A186,'Sales Order'!A:C,3,FALSE),Employee!A:C,3,FALSE)&amp;" "&amp;VLOOKUP(VLOOKUP(A186,'Sales Order'!A:C,3,FALSE),Employee!A:B,2,FALSE),"Not Specified")</f>
        <v>Mr. Paul Suurs</v>
      </c>
      <c r="I186">
        <f>IFERROR(VLOOKUP(VLOOKUP(A186,'Sales Order'!A:C,3,FALSE),Employee!A:J,10,FALSE),"Not Specified")</f>
        <v>0</v>
      </c>
      <c r="J186" t="str">
        <f>VLOOKUP(B186,Product!A:B,2,FALSE)</f>
        <v>Product HHYDP</v>
      </c>
      <c r="K186" t="str">
        <f>VLOOKUP(VLOOKUP(B186,Product!A:D,4,FALSE),Category!A:B,2,FALSE)</f>
        <v>Beverages</v>
      </c>
      <c r="L186" s="24">
        <f>IFERROR(VLOOKUP(A186,'Sales Order'!A:D,4,FALSE),"")</f>
        <v>38990</v>
      </c>
      <c r="M186" s="24">
        <f>IFERROR(VLOOKUP(A186,'Sales Order'!A:F,6,FALSE),"")</f>
        <v>39000</v>
      </c>
      <c r="N186" t="str">
        <f>IFERROR(VLOOKUP(VLOOKUP(A186,'Sales Order'!A:G,7,FALSE),Shipper!A:B,2,FALSE),"Not Specified")</f>
        <v>Shipper GVSUA</v>
      </c>
      <c r="O186" t="str">
        <f>IFERROR(VLOOKUP(A186,'Sales Order'!A:I,9,FALSE),"Not Specified")</f>
        <v>Ship to 48-B</v>
      </c>
      <c r="P186" t="str">
        <f>IFERROR(VLOOKUP(A186,'Sales Order'!A:N,14,FALSE),"Not Specified")</f>
        <v>USA</v>
      </c>
      <c r="Q186" t="str">
        <f>VLOOKUP(VLOOKUP(B186,Product!A:C,3,FALSE),Supplier!A:B,2,FALSE)</f>
        <v>Supplier SWRXU</v>
      </c>
      <c r="R186" t="str">
        <f>VLOOKUP(VLOOKUP(B186,Product!A:C,3,FALSE),Supplier!A:I,9,FALSE)</f>
        <v>UK</v>
      </c>
      <c r="S186" t="str">
        <f>IFERROR(IF(VLOOKUP(A186,'Sales Order'!A:H,8,FALSE)&gt;100,"High Freight","Low Freight"),"Not Specified")</f>
        <v>Low Freight</v>
      </c>
      <c r="T186">
        <f t="shared" si="5"/>
        <v>288</v>
      </c>
    </row>
    <row r="187" spans="1:20">
      <c r="A187" s="9">
        <v>10318</v>
      </c>
      <c r="B187" s="6">
        <v>41</v>
      </c>
      <c r="C187" s="6">
        <v>7.7</v>
      </c>
      <c r="D187" s="6">
        <v>20</v>
      </c>
      <c r="E187" s="18">
        <v>0</v>
      </c>
      <c r="F187" s="6" t="str">
        <f>IFERROR(VLOOKUP(VLOOKUP(A187,'Sales Order'!A:B,2,FALSE),Customer!A:C,3,FALSE),"Not Specified")</f>
        <v>Lee, Frank</v>
      </c>
      <c r="G187" s="6" t="str">
        <f t="shared" si="4"/>
        <v>Lee Frank</v>
      </c>
      <c r="H187" s="22" t="str">
        <f>IFERROR(VLOOKUP(VLOOKUP(A187,'Sales Order'!A:C,3,FALSE),Employee!A:E,5,FALSE)&amp;" "&amp;VLOOKUP(VLOOKUP(A187,'Sales Order'!A:C,3,FALSE),Employee!A:C,3,FALSE)&amp;" "&amp;VLOOKUP(VLOOKUP(A187,'Sales Order'!A:C,3,FALSE),Employee!A:B,2,FALSE),"Not Specified")</f>
        <v>Ms. Maria Cameron</v>
      </c>
      <c r="I187" t="str">
        <f>IFERROR(VLOOKUP(VLOOKUP(A187,'Sales Order'!A:C,3,FALSE),Employee!A:J,10,FALSE),"Not Specified")</f>
        <v>WA</v>
      </c>
      <c r="J187" t="str">
        <f>VLOOKUP(B187,Product!A:B,2,FALSE)</f>
        <v>Product TTEEX</v>
      </c>
      <c r="K187" t="str">
        <f>VLOOKUP(VLOOKUP(B187,Product!A:D,4,FALSE),Category!A:B,2,FALSE)</f>
        <v>Seafood</v>
      </c>
      <c r="L187" s="24">
        <f>IFERROR(VLOOKUP(A187,'Sales Order'!A:D,4,FALSE),"")</f>
        <v>38991</v>
      </c>
      <c r="M187" s="24">
        <f>IFERROR(VLOOKUP(A187,'Sales Order'!A:F,6,FALSE),"")</f>
        <v>38994</v>
      </c>
      <c r="N187" t="str">
        <f>IFERROR(VLOOKUP(VLOOKUP(A187,'Sales Order'!A:G,7,FALSE),Shipper!A:B,2,FALSE),"Not Specified")</f>
        <v>Shipper ETYNR</v>
      </c>
      <c r="O187" t="str">
        <f>IFERROR(VLOOKUP(A187,'Sales Order'!A:I,9,FALSE),"Not Specified")</f>
        <v>Destination AXVHD</v>
      </c>
      <c r="P187" t="str">
        <f>IFERROR(VLOOKUP(A187,'Sales Order'!A:N,14,FALSE),"Not Specified")</f>
        <v>UK</v>
      </c>
      <c r="Q187" t="str">
        <f>VLOOKUP(VLOOKUP(B187,Product!A:C,3,FALSE),Supplier!A:B,2,FALSE)</f>
        <v>Supplier JDNUG</v>
      </c>
      <c r="R187" t="str">
        <f>VLOOKUP(VLOOKUP(B187,Product!A:C,3,FALSE),Supplier!A:I,9,FALSE)</f>
        <v>USA</v>
      </c>
      <c r="S187" t="str">
        <f>IFERROR(IF(VLOOKUP(A187,'Sales Order'!A:H,8,FALSE)&gt;100,"High Freight","Low Freight"),"Not Specified")</f>
        <v>Low Freight</v>
      </c>
      <c r="T187">
        <f t="shared" si="5"/>
        <v>154</v>
      </c>
    </row>
    <row r="188" spans="1:20">
      <c r="A188" s="9">
        <v>10318</v>
      </c>
      <c r="B188" s="6">
        <v>76</v>
      </c>
      <c r="C188" s="6">
        <v>14.4</v>
      </c>
      <c r="D188" s="6">
        <v>6</v>
      </c>
      <c r="E188" s="18">
        <v>0</v>
      </c>
      <c r="F188" s="6" t="str">
        <f>IFERROR(VLOOKUP(VLOOKUP(A188,'Sales Order'!A:B,2,FALSE),Customer!A:C,3,FALSE),"Not Specified")</f>
        <v>Lee, Frank</v>
      </c>
      <c r="G188" s="6" t="str">
        <f t="shared" si="4"/>
        <v>Lee Frank</v>
      </c>
      <c r="H188" s="22" t="str">
        <f>IFERROR(VLOOKUP(VLOOKUP(A188,'Sales Order'!A:C,3,FALSE),Employee!A:E,5,FALSE)&amp;" "&amp;VLOOKUP(VLOOKUP(A188,'Sales Order'!A:C,3,FALSE),Employee!A:C,3,FALSE)&amp;" "&amp;VLOOKUP(VLOOKUP(A188,'Sales Order'!A:C,3,FALSE),Employee!A:B,2,FALSE),"Not Specified")</f>
        <v>Ms. Maria Cameron</v>
      </c>
      <c r="I188" t="str">
        <f>IFERROR(VLOOKUP(VLOOKUP(A188,'Sales Order'!A:C,3,FALSE),Employee!A:J,10,FALSE),"Not Specified")</f>
        <v>WA</v>
      </c>
      <c r="J188" t="str">
        <f>VLOOKUP(B188,Product!A:B,2,FALSE)</f>
        <v>Product JYGFE</v>
      </c>
      <c r="K188" t="str">
        <f>VLOOKUP(VLOOKUP(B188,Product!A:D,4,FALSE),Category!A:B,2,FALSE)</f>
        <v>Beverages</v>
      </c>
      <c r="L188" s="24">
        <f>IFERROR(VLOOKUP(A188,'Sales Order'!A:D,4,FALSE),"")</f>
        <v>38991</v>
      </c>
      <c r="M188" s="24">
        <f>IFERROR(VLOOKUP(A188,'Sales Order'!A:F,6,FALSE),"")</f>
        <v>38994</v>
      </c>
      <c r="N188" t="str">
        <f>IFERROR(VLOOKUP(VLOOKUP(A188,'Sales Order'!A:G,7,FALSE),Shipper!A:B,2,FALSE),"Not Specified")</f>
        <v>Shipper ETYNR</v>
      </c>
      <c r="O188" t="str">
        <f>IFERROR(VLOOKUP(A188,'Sales Order'!A:I,9,FALSE),"Not Specified")</f>
        <v>Destination AXVHD</v>
      </c>
      <c r="P188" t="str">
        <f>IFERROR(VLOOKUP(A188,'Sales Order'!A:N,14,FALSE),"Not Specified")</f>
        <v>UK</v>
      </c>
      <c r="Q188" t="str">
        <f>VLOOKUP(VLOOKUP(B188,Product!A:C,3,FALSE),Supplier!A:B,2,FALSE)</f>
        <v>Supplier ELCRN</v>
      </c>
      <c r="R188" t="str">
        <f>VLOOKUP(VLOOKUP(B188,Product!A:C,3,FALSE),Supplier!A:I,9,FALSE)</f>
        <v>Finland</v>
      </c>
      <c r="S188" t="str">
        <f>IFERROR(IF(VLOOKUP(A188,'Sales Order'!A:H,8,FALSE)&gt;100,"High Freight","Low Freight"),"Not Specified")</f>
        <v>Low Freight</v>
      </c>
      <c r="T188">
        <f t="shared" si="5"/>
        <v>86.4</v>
      </c>
    </row>
    <row r="189" spans="1:20">
      <c r="A189" s="9">
        <v>10319</v>
      </c>
      <c r="B189" s="6">
        <v>17</v>
      </c>
      <c r="C189" s="6">
        <v>31.2</v>
      </c>
      <c r="D189" s="6">
        <v>8</v>
      </c>
      <c r="E189" s="18">
        <v>0</v>
      </c>
      <c r="F189" s="6" t="str">
        <f>IFERROR(VLOOKUP(VLOOKUP(A189,'Sales Order'!A:B,2,FALSE),Customer!A:C,3,FALSE),"Not Specified")</f>
        <v>Geschwandtner, Jens</v>
      </c>
      <c r="G189" s="6" t="str">
        <f t="shared" si="4"/>
        <v>Geschwandtner Jens</v>
      </c>
      <c r="H189" s="22" t="str">
        <f>IFERROR(VLOOKUP(VLOOKUP(A189,'Sales Order'!A:C,3,FALSE),Employee!A:E,5,FALSE)&amp;" "&amp;VLOOKUP(VLOOKUP(A189,'Sales Order'!A:C,3,FALSE),Employee!A:C,3,FALSE)&amp;" "&amp;VLOOKUP(VLOOKUP(A189,'Sales Order'!A:C,3,FALSE),Employee!A:B,2,FALSE),"Not Specified")</f>
        <v>Mr. Russell King</v>
      </c>
      <c r="I189">
        <f>IFERROR(VLOOKUP(VLOOKUP(A189,'Sales Order'!A:C,3,FALSE),Employee!A:J,10,FALSE),"Not Specified")</f>
        <v>0</v>
      </c>
      <c r="J189" t="str">
        <f>VLOOKUP(B189,Product!A:B,2,FALSE)</f>
        <v>Product BLCAX</v>
      </c>
      <c r="K189" t="str">
        <f>VLOOKUP(VLOOKUP(B189,Product!A:D,4,FALSE),Category!A:B,2,FALSE)</f>
        <v>Meat/Poultry</v>
      </c>
      <c r="L189" s="24">
        <f>IFERROR(VLOOKUP(A189,'Sales Order'!A:D,4,FALSE),"")</f>
        <v>38992</v>
      </c>
      <c r="M189" s="24">
        <f>IFERROR(VLOOKUP(A189,'Sales Order'!A:F,6,FALSE),"")</f>
        <v>39001</v>
      </c>
      <c r="N189" t="str">
        <f>IFERROR(VLOOKUP(VLOOKUP(A189,'Sales Order'!A:G,7,FALSE),Shipper!A:B,2,FALSE),"Not Specified")</f>
        <v>Shipper ZHISN</v>
      </c>
      <c r="O189" t="str">
        <f>IFERROR(VLOOKUP(A189,'Sales Order'!A:I,9,FALSE),"Not Specified")</f>
        <v>Ship to 80-B</v>
      </c>
      <c r="P189" t="str">
        <f>IFERROR(VLOOKUP(A189,'Sales Order'!A:N,14,FALSE),"Not Specified")</f>
        <v>Mexico</v>
      </c>
      <c r="Q189" t="str">
        <f>VLOOKUP(VLOOKUP(B189,Product!A:C,3,FALSE),Supplier!A:B,2,FALSE)</f>
        <v>Supplier GQRCV</v>
      </c>
      <c r="R189" t="str">
        <f>VLOOKUP(VLOOKUP(B189,Product!A:C,3,FALSE),Supplier!A:I,9,FALSE)</f>
        <v>Australia</v>
      </c>
      <c r="S189" t="str">
        <f>IFERROR(IF(VLOOKUP(A189,'Sales Order'!A:H,8,FALSE)&gt;100,"High Freight","Low Freight"),"Not Specified")</f>
        <v>Low Freight</v>
      </c>
      <c r="T189">
        <f t="shared" si="5"/>
        <v>249.6</v>
      </c>
    </row>
    <row r="190" spans="1:20">
      <c r="A190" s="9">
        <v>10319</v>
      </c>
      <c r="B190" s="6">
        <v>28</v>
      </c>
      <c r="C190" s="6">
        <v>36.4</v>
      </c>
      <c r="D190" s="6">
        <v>14</v>
      </c>
      <c r="E190" s="18">
        <v>0</v>
      </c>
      <c r="F190" s="6" t="str">
        <f>IFERROR(VLOOKUP(VLOOKUP(A190,'Sales Order'!A:B,2,FALSE),Customer!A:C,3,FALSE),"Not Specified")</f>
        <v>Geschwandtner, Jens</v>
      </c>
      <c r="G190" s="6" t="str">
        <f t="shared" si="4"/>
        <v>Geschwandtner Jens</v>
      </c>
      <c r="H190" s="22" t="str">
        <f>IFERROR(VLOOKUP(VLOOKUP(A190,'Sales Order'!A:C,3,FALSE),Employee!A:E,5,FALSE)&amp;" "&amp;VLOOKUP(VLOOKUP(A190,'Sales Order'!A:C,3,FALSE),Employee!A:C,3,FALSE)&amp;" "&amp;VLOOKUP(VLOOKUP(A190,'Sales Order'!A:C,3,FALSE),Employee!A:B,2,FALSE),"Not Specified")</f>
        <v>Mr. Russell King</v>
      </c>
      <c r="I190">
        <f>IFERROR(VLOOKUP(VLOOKUP(A190,'Sales Order'!A:C,3,FALSE),Employee!A:J,10,FALSE),"Not Specified")</f>
        <v>0</v>
      </c>
      <c r="J190" t="str">
        <f>VLOOKUP(B190,Product!A:B,2,FALSE)</f>
        <v>Product OFBNT</v>
      </c>
      <c r="K190" t="str">
        <f>VLOOKUP(VLOOKUP(B190,Product!A:D,4,FALSE),Category!A:B,2,FALSE)</f>
        <v>Produce</v>
      </c>
      <c r="L190" s="24">
        <f>IFERROR(VLOOKUP(A190,'Sales Order'!A:D,4,FALSE),"")</f>
        <v>38992</v>
      </c>
      <c r="M190" s="24">
        <f>IFERROR(VLOOKUP(A190,'Sales Order'!A:F,6,FALSE),"")</f>
        <v>39001</v>
      </c>
      <c r="N190" t="str">
        <f>IFERROR(VLOOKUP(VLOOKUP(A190,'Sales Order'!A:G,7,FALSE),Shipper!A:B,2,FALSE),"Not Specified")</f>
        <v>Shipper ZHISN</v>
      </c>
      <c r="O190" t="str">
        <f>IFERROR(VLOOKUP(A190,'Sales Order'!A:I,9,FALSE),"Not Specified")</f>
        <v>Ship to 80-B</v>
      </c>
      <c r="P190" t="str">
        <f>IFERROR(VLOOKUP(A190,'Sales Order'!A:N,14,FALSE),"Not Specified")</f>
        <v>Mexico</v>
      </c>
      <c r="Q190" t="str">
        <f>VLOOKUP(VLOOKUP(B190,Product!A:C,3,FALSE),Supplier!A:B,2,FALSE)</f>
        <v>Supplier SVIYA</v>
      </c>
      <c r="R190" t="str">
        <f>VLOOKUP(VLOOKUP(B190,Product!A:C,3,FALSE),Supplier!A:I,9,FALSE)</f>
        <v>Germany</v>
      </c>
      <c r="S190" t="str">
        <f>IFERROR(IF(VLOOKUP(A190,'Sales Order'!A:H,8,FALSE)&gt;100,"High Freight","Low Freight"),"Not Specified")</f>
        <v>Low Freight</v>
      </c>
      <c r="T190">
        <f t="shared" si="5"/>
        <v>509.59999999999997</v>
      </c>
    </row>
    <row r="191" spans="1:20">
      <c r="A191" s="9">
        <v>10319</v>
      </c>
      <c r="B191" s="6">
        <v>76</v>
      </c>
      <c r="C191" s="6">
        <v>14.4</v>
      </c>
      <c r="D191" s="6">
        <v>30</v>
      </c>
      <c r="E191" s="18">
        <v>0</v>
      </c>
      <c r="F191" s="6" t="str">
        <f>IFERROR(VLOOKUP(VLOOKUP(A191,'Sales Order'!A:B,2,FALSE),Customer!A:C,3,FALSE),"Not Specified")</f>
        <v>Geschwandtner, Jens</v>
      </c>
      <c r="G191" s="6" t="str">
        <f t="shared" si="4"/>
        <v>Geschwandtner Jens</v>
      </c>
      <c r="H191" s="22" t="str">
        <f>IFERROR(VLOOKUP(VLOOKUP(A191,'Sales Order'!A:C,3,FALSE),Employee!A:E,5,FALSE)&amp;" "&amp;VLOOKUP(VLOOKUP(A191,'Sales Order'!A:C,3,FALSE),Employee!A:C,3,FALSE)&amp;" "&amp;VLOOKUP(VLOOKUP(A191,'Sales Order'!A:C,3,FALSE),Employee!A:B,2,FALSE),"Not Specified")</f>
        <v>Mr. Russell King</v>
      </c>
      <c r="I191">
        <f>IFERROR(VLOOKUP(VLOOKUP(A191,'Sales Order'!A:C,3,FALSE),Employee!A:J,10,FALSE),"Not Specified")</f>
        <v>0</v>
      </c>
      <c r="J191" t="str">
        <f>VLOOKUP(B191,Product!A:B,2,FALSE)</f>
        <v>Product JYGFE</v>
      </c>
      <c r="K191" t="str">
        <f>VLOOKUP(VLOOKUP(B191,Product!A:D,4,FALSE),Category!A:B,2,FALSE)</f>
        <v>Beverages</v>
      </c>
      <c r="L191" s="24">
        <f>IFERROR(VLOOKUP(A191,'Sales Order'!A:D,4,FALSE),"")</f>
        <v>38992</v>
      </c>
      <c r="M191" s="24">
        <f>IFERROR(VLOOKUP(A191,'Sales Order'!A:F,6,FALSE),"")</f>
        <v>39001</v>
      </c>
      <c r="N191" t="str">
        <f>IFERROR(VLOOKUP(VLOOKUP(A191,'Sales Order'!A:G,7,FALSE),Shipper!A:B,2,FALSE),"Not Specified")</f>
        <v>Shipper ZHISN</v>
      </c>
      <c r="O191" t="str">
        <f>IFERROR(VLOOKUP(A191,'Sales Order'!A:I,9,FALSE),"Not Specified")</f>
        <v>Ship to 80-B</v>
      </c>
      <c r="P191" t="str">
        <f>IFERROR(VLOOKUP(A191,'Sales Order'!A:N,14,FALSE),"Not Specified")</f>
        <v>Mexico</v>
      </c>
      <c r="Q191" t="str">
        <f>VLOOKUP(VLOOKUP(B191,Product!A:C,3,FALSE),Supplier!A:B,2,FALSE)</f>
        <v>Supplier ELCRN</v>
      </c>
      <c r="R191" t="str">
        <f>VLOOKUP(VLOOKUP(B191,Product!A:C,3,FALSE),Supplier!A:I,9,FALSE)</f>
        <v>Finland</v>
      </c>
      <c r="S191" t="str">
        <f>IFERROR(IF(VLOOKUP(A191,'Sales Order'!A:H,8,FALSE)&gt;100,"High Freight","Low Freight"),"Not Specified")</f>
        <v>Low Freight</v>
      </c>
      <c r="T191">
        <f t="shared" si="5"/>
        <v>432</v>
      </c>
    </row>
    <row r="192" spans="1:20">
      <c r="A192" s="9">
        <v>10320</v>
      </c>
      <c r="B192" s="6">
        <v>71</v>
      </c>
      <c r="C192" s="6">
        <v>17.2</v>
      </c>
      <c r="D192" s="6">
        <v>30</v>
      </c>
      <c r="E192" s="18">
        <v>0</v>
      </c>
      <c r="F192" s="6" t="str">
        <f>IFERROR(VLOOKUP(VLOOKUP(A192,'Sales Order'!A:B,2,FALSE),Customer!A:C,3,FALSE),"Not Specified")</f>
        <v>Ludwig, Michael</v>
      </c>
      <c r="G192" s="6" t="str">
        <f t="shared" si="4"/>
        <v>Ludwig Michael</v>
      </c>
      <c r="H192" s="22" t="str">
        <f>IFERROR(VLOOKUP(VLOOKUP(A192,'Sales Order'!A:C,3,FALSE),Employee!A:E,5,FALSE)&amp;" "&amp;VLOOKUP(VLOOKUP(A192,'Sales Order'!A:C,3,FALSE),Employee!A:C,3,FALSE)&amp;" "&amp;VLOOKUP(VLOOKUP(A192,'Sales Order'!A:C,3,FALSE),Employee!A:B,2,FALSE),"Not Specified")</f>
        <v>Mr. Sven Buck</v>
      </c>
      <c r="I192">
        <f>IFERROR(VLOOKUP(VLOOKUP(A192,'Sales Order'!A:C,3,FALSE),Employee!A:J,10,FALSE),"Not Specified")</f>
        <v>0</v>
      </c>
      <c r="J192" t="str">
        <f>VLOOKUP(B192,Product!A:B,2,FALSE)</f>
        <v>Product MYMOI</v>
      </c>
      <c r="K192" t="str">
        <f>VLOOKUP(VLOOKUP(B192,Product!A:D,4,FALSE),Category!A:B,2,FALSE)</f>
        <v>Dairy Product</v>
      </c>
      <c r="L192" s="24">
        <f>IFERROR(VLOOKUP(A192,'Sales Order'!A:D,4,FALSE),"")</f>
        <v>38993</v>
      </c>
      <c r="M192" s="24">
        <f>IFERROR(VLOOKUP(A192,'Sales Order'!A:F,6,FALSE),"")</f>
        <v>39008</v>
      </c>
      <c r="N192" t="str">
        <f>IFERROR(VLOOKUP(VLOOKUP(A192,'Sales Order'!A:G,7,FALSE),Shipper!A:B,2,FALSE),"Not Specified")</f>
        <v>Shipper ZHISN</v>
      </c>
      <c r="O192" t="str">
        <f>IFERROR(VLOOKUP(A192,'Sales Order'!A:I,9,FALSE),"Not Specified")</f>
        <v>Ship to 87-A</v>
      </c>
      <c r="P192" t="str">
        <f>IFERROR(VLOOKUP(A192,'Sales Order'!A:N,14,FALSE),"Not Specified")</f>
        <v>Finland</v>
      </c>
      <c r="Q192" t="str">
        <f>VLOOKUP(VLOOKUP(B192,Product!A:C,3,FALSE),Supplier!A:B,2,FALSE)</f>
        <v>Supplier NZLIF</v>
      </c>
      <c r="R192" t="str">
        <f>VLOOKUP(VLOOKUP(B192,Product!A:C,3,FALSE),Supplier!A:I,9,FALSE)</f>
        <v>Norway</v>
      </c>
      <c r="S192" t="str">
        <f>IFERROR(IF(VLOOKUP(A192,'Sales Order'!A:H,8,FALSE)&gt;100,"High Freight","Low Freight"),"Not Specified")</f>
        <v>Low Freight</v>
      </c>
      <c r="T192">
        <f t="shared" si="5"/>
        <v>516</v>
      </c>
    </row>
    <row r="193" spans="1:20">
      <c r="A193" s="9">
        <v>10321</v>
      </c>
      <c r="B193" s="6">
        <v>35</v>
      </c>
      <c r="C193" s="6">
        <v>14.4</v>
      </c>
      <c r="D193" s="6">
        <v>10</v>
      </c>
      <c r="E193" s="18">
        <v>0</v>
      </c>
      <c r="F193" s="6" t="str">
        <f>IFERROR(VLOOKUP(VLOOKUP(A193,'Sales Order'!A:B,2,FALSE),Customer!A:C,3,FALSE),"Not Specified")</f>
        <v>Lee, Frank</v>
      </c>
      <c r="G193" s="6" t="str">
        <f t="shared" si="4"/>
        <v>Lee Frank</v>
      </c>
      <c r="H193" s="22" t="str">
        <f>IFERROR(VLOOKUP(VLOOKUP(A193,'Sales Order'!A:C,3,FALSE),Employee!A:E,5,FALSE)&amp;" "&amp;VLOOKUP(VLOOKUP(A193,'Sales Order'!A:C,3,FALSE),Employee!A:C,3,FALSE)&amp;" "&amp;VLOOKUP(VLOOKUP(A193,'Sales Order'!A:C,3,FALSE),Employee!A:B,2,FALSE),"Not Specified")</f>
        <v>Ms. Judy Lew</v>
      </c>
      <c r="I193" t="str">
        <f>IFERROR(VLOOKUP(VLOOKUP(A193,'Sales Order'!A:C,3,FALSE),Employee!A:J,10,FALSE),"Not Specified")</f>
        <v>WA</v>
      </c>
      <c r="J193" t="str">
        <f>VLOOKUP(B193,Product!A:B,2,FALSE)</f>
        <v>Product NEVTJ</v>
      </c>
      <c r="K193" t="str">
        <f>VLOOKUP(VLOOKUP(B193,Product!A:D,4,FALSE),Category!A:B,2,FALSE)</f>
        <v>Beverages</v>
      </c>
      <c r="L193" s="24">
        <f>IFERROR(VLOOKUP(A193,'Sales Order'!A:D,4,FALSE),"")</f>
        <v>38993</v>
      </c>
      <c r="M193" s="24">
        <f>IFERROR(VLOOKUP(A193,'Sales Order'!A:F,6,FALSE),"")</f>
        <v>39001</v>
      </c>
      <c r="N193" t="str">
        <f>IFERROR(VLOOKUP(VLOOKUP(A193,'Sales Order'!A:G,7,FALSE),Shipper!A:B,2,FALSE),"Not Specified")</f>
        <v>Shipper ETYNR</v>
      </c>
      <c r="O193" t="str">
        <f>IFERROR(VLOOKUP(A193,'Sales Order'!A:I,9,FALSE),"Not Specified")</f>
        <v>Destination LMVGS</v>
      </c>
      <c r="P193" t="str">
        <f>IFERROR(VLOOKUP(A193,'Sales Order'!A:N,14,FALSE),"Not Specified")</f>
        <v>UK</v>
      </c>
      <c r="Q193" t="str">
        <f>VLOOKUP(VLOOKUP(B193,Product!A:C,3,FALSE),Supplier!A:B,2,FALSE)</f>
        <v>Supplier UHZRG</v>
      </c>
      <c r="R193" t="str">
        <f>VLOOKUP(VLOOKUP(B193,Product!A:C,3,FALSE),Supplier!A:I,9,FALSE)</f>
        <v>USA</v>
      </c>
      <c r="S193" t="str">
        <f>IFERROR(IF(VLOOKUP(A193,'Sales Order'!A:H,8,FALSE)&gt;100,"High Freight","Low Freight"),"Not Specified")</f>
        <v>Low Freight</v>
      </c>
      <c r="T193">
        <f t="shared" si="5"/>
        <v>144</v>
      </c>
    </row>
    <row r="194" spans="1:20">
      <c r="A194" s="9">
        <v>10322</v>
      </c>
      <c r="B194" s="6">
        <v>52</v>
      </c>
      <c r="C194" s="6">
        <v>5.6</v>
      </c>
      <c r="D194" s="6">
        <v>20</v>
      </c>
      <c r="E194" s="18">
        <v>0</v>
      </c>
      <c r="F194" s="6" t="str">
        <f>IFERROR(VLOOKUP(VLOOKUP(A194,'Sales Order'!A:B,2,FALSE),Customer!A:C,3,FALSE),"Not Specified")</f>
        <v>Fakhouri, Fadi</v>
      </c>
      <c r="G194" s="6" t="str">
        <f t="shared" si="4"/>
        <v>Fakhouri Fadi</v>
      </c>
      <c r="H194" s="22" t="str">
        <f>IFERROR(VLOOKUP(VLOOKUP(A194,'Sales Order'!A:C,3,FALSE),Employee!A:E,5,FALSE)&amp;" "&amp;VLOOKUP(VLOOKUP(A194,'Sales Order'!A:C,3,FALSE),Employee!A:C,3,FALSE)&amp;" "&amp;VLOOKUP(VLOOKUP(A194,'Sales Order'!A:C,3,FALSE),Employee!A:B,2,FALSE),"Not Specified")</f>
        <v>Mr. Russell King</v>
      </c>
      <c r="I194">
        <f>IFERROR(VLOOKUP(VLOOKUP(A194,'Sales Order'!A:C,3,FALSE),Employee!A:J,10,FALSE),"Not Specified")</f>
        <v>0</v>
      </c>
      <c r="J194" t="str">
        <f>VLOOKUP(B194,Product!A:B,2,FALSE)</f>
        <v>Product QSRXF</v>
      </c>
      <c r="K194" t="str">
        <f>VLOOKUP(VLOOKUP(B194,Product!A:D,4,FALSE),Category!A:B,2,FALSE)</f>
        <v>Grains/Cereals</v>
      </c>
      <c r="L194" s="24">
        <f>IFERROR(VLOOKUP(A194,'Sales Order'!A:D,4,FALSE),"")</f>
        <v>38994</v>
      </c>
      <c r="M194" s="24">
        <f>IFERROR(VLOOKUP(A194,'Sales Order'!A:F,6,FALSE),"")</f>
        <v>39013</v>
      </c>
      <c r="N194" t="str">
        <f>IFERROR(VLOOKUP(VLOOKUP(A194,'Sales Order'!A:G,7,FALSE),Shipper!A:B,2,FALSE),"Not Specified")</f>
        <v>Shipper ZHISN</v>
      </c>
      <c r="O194" t="str">
        <f>IFERROR(VLOOKUP(A194,'Sales Order'!A:I,9,FALSE),"Not Specified")</f>
        <v>Ship to 58-A</v>
      </c>
      <c r="P194" t="str">
        <f>IFERROR(VLOOKUP(A194,'Sales Order'!A:N,14,FALSE),"Not Specified")</f>
        <v>Mexico</v>
      </c>
      <c r="Q194" t="str">
        <f>VLOOKUP(VLOOKUP(B194,Product!A:C,3,FALSE),Supplier!A:B,2,FALSE)</f>
        <v>Supplier JNNES</v>
      </c>
      <c r="R194" t="str">
        <f>VLOOKUP(VLOOKUP(B194,Product!A:C,3,FALSE),Supplier!A:I,9,FALSE)</f>
        <v>Australia</v>
      </c>
      <c r="S194" t="str">
        <f>IFERROR(IF(VLOOKUP(A194,'Sales Order'!A:H,8,FALSE)&gt;100,"High Freight","Low Freight"),"Not Specified")</f>
        <v>Low Freight</v>
      </c>
      <c r="T194">
        <f t="shared" si="5"/>
        <v>112</v>
      </c>
    </row>
    <row r="195" spans="1:20">
      <c r="A195" s="9">
        <v>10323</v>
      </c>
      <c r="B195" s="6">
        <v>15</v>
      </c>
      <c r="C195" s="6">
        <v>12.4</v>
      </c>
      <c r="D195" s="6">
        <v>5</v>
      </c>
      <c r="E195" s="18">
        <v>0</v>
      </c>
      <c r="F195" s="6" t="str">
        <f>IFERROR(VLOOKUP(VLOOKUP(A195,'Sales Order'!A:B,2,FALSE),Customer!A:C,3,FALSE),"Not Specified")</f>
        <v>Song, Lolan</v>
      </c>
      <c r="G195" s="6" t="str">
        <f t="shared" ref="G195:G258" si="6">SUBSTITUTE(F195,",","",1)</f>
        <v>Song Lolan</v>
      </c>
      <c r="H195" s="22" t="str">
        <f>IFERROR(VLOOKUP(VLOOKUP(A195,'Sales Order'!A:C,3,FALSE),Employee!A:E,5,FALSE)&amp;" "&amp;VLOOKUP(VLOOKUP(A195,'Sales Order'!A:C,3,FALSE),Employee!A:C,3,FALSE)&amp;" "&amp;VLOOKUP(VLOOKUP(A195,'Sales Order'!A:C,3,FALSE),Employee!A:B,2,FALSE),"Not Specified")</f>
        <v>Mrs. Yael Peled</v>
      </c>
      <c r="I195" t="str">
        <f>IFERROR(VLOOKUP(VLOOKUP(A195,'Sales Order'!A:C,3,FALSE),Employee!A:J,10,FALSE),"Not Specified")</f>
        <v>WA</v>
      </c>
      <c r="J195" t="str">
        <f>VLOOKUP(B195,Product!A:B,2,FALSE)</f>
        <v>Product KSZOI</v>
      </c>
      <c r="K195" t="str">
        <f>VLOOKUP(VLOOKUP(B195,Product!A:D,4,FALSE),Category!A:B,2,FALSE)</f>
        <v>Condiments</v>
      </c>
      <c r="L195" s="24">
        <f>IFERROR(VLOOKUP(A195,'Sales Order'!A:D,4,FALSE),"")</f>
        <v>38997</v>
      </c>
      <c r="M195" s="24">
        <f>IFERROR(VLOOKUP(A195,'Sales Order'!A:F,6,FALSE),"")</f>
        <v>39004</v>
      </c>
      <c r="N195" t="str">
        <f>IFERROR(VLOOKUP(VLOOKUP(A195,'Sales Order'!A:G,7,FALSE),Shipper!A:B,2,FALSE),"Not Specified")</f>
        <v>Shipper GVSUA</v>
      </c>
      <c r="O195" t="str">
        <f>IFERROR(VLOOKUP(A195,'Sales Order'!A:I,9,FALSE),"Not Specified")</f>
        <v>Destination RMBHM</v>
      </c>
      <c r="P195" t="str">
        <f>IFERROR(VLOOKUP(A195,'Sales Order'!A:N,14,FALSE),"Not Specified")</f>
        <v>Germany</v>
      </c>
      <c r="Q195" t="str">
        <f>VLOOKUP(VLOOKUP(B195,Product!A:C,3,FALSE),Supplier!A:B,2,FALSE)</f>
        <v>Supplier QWUSF</v>
      </c>
      <c r="R195" t="str">
        <f>VLOOKUP(VLOOKUP(B195,Product!A:C,3,FALSE),Supplier!A:I,9,FALSE)</f>
        <v>Japan</v>
      </c>
      <c r="S195" t="str">
        <f>IFERROR(IF(VLOOKUP(A195,'Sales Order'!A:H,8,FALSE)&gt;100,"High Freight","Low Freight"),"Not Specified")</f>
        <v>Low Freight</v>
      </c>
      <c r="T195">
        <f t="shared" ref="T195:T258" si="7">C195*D195*(1-E195)</f>
        <v>62</v>
      </c>
    </row>
    <row r="196" spans="1:20">
      <c r="A196" s="9">
        <v>10323</v>
      </c>
      <c r="B196" s="6">
        <v>25</v>
      </c>
      <c r="C196" s="6">
        <v>11.2</v>
      </c>
      <c r="D196" s="6">
        <v>4</v>
      </c>
      <c r="E196" s="18">
        <v>0</v>
      </c>
      <c r="F196" s="6" t="str">
        <f>IFERROR(VLOOKUP(VLOOKUP(A196,'Sales Order'!A:B,2,FALSE),Customer!A:C,3,FALSE),"Not Specified")</f>
        <v>Song, Lolan</v>
      </c>
      <c r="G196" s="6" t="str">
        <f t="shared" si="6"/>
        <v>Song Lolan</v>
      </c>
      <c r="H196" s="22" t="str">
        <f>IFERROR(VLOOKUP(VLOOKUP(A196,'Sales Order'!A:C,3,FALSE),Employee!A:E,5,FALSE)&amp;" "&amp;VLOOKUP(VLOOKUP(A196,'Sales Order'!A:C,3,FALSE),Employee!A:C,3,FALSE)&amp;" "&amp;VLOOKUP(VLOOKUP(A196,'Sales Order'!A:C,3,FALSE),Employee!A:B,2,FALSE),"Not Specified")</f>
        <v>Mrs. Yael Peled</v>
      </c>
      <c r="I196" t="str">
        <f>IFERROR(VLOOKUP(VLOOKUP(A196,'Sales Order'!A:C,3,FALSE),Employee!A:J,10,FALSE),"Not Specified")</f>
        <v>WA</v>
      </c>
      <c r="J196" t="str">
        <f>VLOOKUP(B196,Product!A:B,2,FALSE)</f>
        <v>Product LYLNI</v>
      </c>
      <c r="K196" t="str">
        <f>VLOOKUP(VLOOKUP(B196,Product!A:D,4,FALSE),Category!A:B,2,FALSE)</f>
        <v>Confections</v>
      </c>
      <c r="L196" s="24">
        <f>IFERROR(VLOOKUP(A196,'Sales Order'!A:D,4,FALSE),"")</f>
        <v>38997</v>
      </c>
      <c r="M196" s="24">
        <f>IFERROR(VLOOKUP(A196,'Sales Order'!A:F,6,FALSE),"")</f>
        <v>39004</v>
      </c>
      <c r="N196" t="str">
        <f>IFERROR(VLOOKUP(VLOOKUP(A196,'Sales Order'!A:G,7,FALSE),Shipper!A:B,2,FALSE),"Not Specified")</f>
        <v>Shipper GVSUA</v>
      </c>
      <c r="O196" t="str">
        <f>IFERROR(VLOOKUP(A196,'Sales Order'!A:I,9,FALSE),"Not Specified")</f>
        <v>Destination RMBHM</v>
      </c>
      <c r="P196" t="str">
        <f>IFERROR(VLOOKUP(A196,'Sales Order'!A:N,14,FALSE),"Not Specified")</f>
        <v>Germany</v>
      </c>
      <c r="Q196" t="str">
        <f>VLOOKUP(VLOOKUP(B196,Product!A:C,3,FALSE),Supplier!A:B,2,FALSE)</f>
        <v>Supplier ZPYVS</v>
      </c>
      <c r="R196" t="str">
        <f>VLOOKUP(VLOOKUP(B196,Product!A:C,3,FALSE),Supplier!A:I,9,FALSE)</f>
        <v>Germany</v>
      </c>
      <c r="S196" t="str">
        <f>IFERROR(IF(VLOOKUP(A196,'Sales Order'!A:H,8,FALSE)&gt;100,"High Freight","Low Freight"),"Not Specified")</f>
        <v>Low Freight</v>
      </c>
      <c r="T196">
        <f t="shared" si="7"/>
        <v>44.8</v>
      </c>
    </row>
    <row r="197" spans="1:20">
      <c r="A197" s="9">
        <v>10323</v>
      </c>
      <c r="B197" s="6">
        <v>39</v>
      </c>
      <c r="C197" s="6">
        <v>14.4</v>
      </c>
      <c r="D197" s="6">
        <v>4</v>
      </c>
      <c r="E197" s="18">
        <v>0</v>
      </c>
      <c r="F197" s="6" t="str">
        <f>IFERROR(VLOOKUP(VLOOKUP(A197,'Sales Order'!A:B,2,FALSE),Customer!A:C,3,FALSE),"Not Specified")</f>
        <v>Song, Lolan</v>
      </c>
      <c r="G197" s="6" t="str">
        <f t="shared" si="6"/>
        <v>Song Lolan</v>
      </c>
      <c r="H197" s="22" t="str">
        <f>IFERROR(VLOOKUP(VLOOKUP(A197,'Sales Order'!A:C,3,FALSE),Employee!A:E,5,FALSE)&amp;" "&amp;VLOOKUP(VLOOKUP(A197,'Sales Order'!A:C,3,FALSE),Employee!A:C,3,FALSE)&amp;" "&amp;VLOOKUP(VLOOKUP(A197,'Sales Order'!A:C,3,FALSE),Employee!A:B,2,FALSE),"Not Specified")</f>
        <v>Mrs. Yael Peled</v>
      </c>
      <c r="I197" t="str">
        <f>IFERROR(VLOOKUP(VLOOKUP(A197,'Sales Order'!A:C,3,FALSE),Employee!A:J,10,FALSE),"Not Specified")</f>
        <v>WA</v>
      </c>
      <c r="J197" t="str">
        <f>VLOOKUP(B197,Product!A:B,2,FALSE)</f>
        <v>Product LSOFL</v>
      </c>
      <c r="K197" t="str">
        <f>VLOOKUP(VLOOKUP(B197,Product!A:D,4,FALSE),Category!A:B,2,FALSE)</f>
        <v>Beverages</v>
      </c>
      <c r="L197" s="24">
        <f>IFERROR(VLOOKUP(A197,'Sales Order'!A:D,4,FALSE),"")</f>
        <v>38997</v>
      </c>
      <c r="M197" s="24">
        <f>IFERROR(VLOOKUP(A197,'Sales Order'!A:F,6,FALSE),"")</f>
        <v>39004</v>
      </c>
      <c r="N197" t="str">
        <f>IFERROR(VLOOKUP(VLOOKUP(A197,'Sales Order'!A:G,7,FALSE),Shipper!A:B,2,FALSE),"Not Specified")</f>
        <v>Shipper GVSUA</v>
      </c>
      <c r="O197" t="str">
        <f>IFERROR(VLOOKUP(A197,'Sales Order'!A:I,9,FALSE),"Not Specified")</f>
        <v>Destination RMBHM</v>
      </c>
      <c r="P197" t="str">
        <f>IFERROR(VLOOKUP(A197,'Sales Order'!A:N,14,FALSE),"Not Specified")</f>
        <v>Germany</v>
      </c>
      <c r="Q197" t="str">
        <f>VLOOKUP(VLOOKUP(B197,Product!A:C,3,FALSE),Supplier!A:B,2,FALSE)</f>
        <v>Supplier LVJUA</v>
      </c>
      <c r="R197" t="str">
        <f>VLOOKUP(VLOOKUP(B197,Product!A:C,3,FALSE),Supplier!A:I,9,FALSE)</f>
        <v>France</v>
      </c>
      <c r="S197" t="str">
        <f>IFERROR(IF(VLOOKUP(A197,'Sales Order'!A:H,8,FALSE)&gt;100,"High Freight","Low Freight"),"Not Specified")</f>
        <v>Low Freight</v>
      </c>
      <c r="T197">
        <f t="shared" si="7"/>
        <v>57.6</v>
      </c>
    </row>
    <row r="198" spans="1:20">
      <c r="A198" s="9">
        <v>10324</v>
      </c>
      <c r="B198" s="6">
        <v>16</v>
      </c>
      <c r="C198" s="6">
        <v>13.9</v>
      </c>
      <c r="D198" s="6">
        <v>21</v>
      </c>
      <c r="E198" s="18">
        <v>0.15</v>
      </c>
      <c r="F198" s="6" t="str">
        <f>IFERROR(VLOOKUP(VLOOKUP(A198,'Sales Order'!A:B,2,FALSE),Customer!A:C,3,FALSE),"Not Specified")</f>
        <v>Navarro, Tomás</v>
      </c>
      <c r="G198" s="6" t="str">
        <f t="shared" si="6"/>
        <v>Navarro Tomás</v>
      </c>
      <c r="H198" s="22" t="str">
        <f>IFERROR(VLOOKUP(VLOOKUP(A198,'Sales Order'!A:C,3,FALSE),Employee!A:E,5,FALSE)&amp;" "&amp;VLOOKUP(VLOOKUP(A198,'Sales Order'!A:C,3,FALSE),Employee!A:C,3,FALSE)&amp;" "&amp;VLOOKUP(VLOOKUP(A198,'Sales Order'!A:C,3,FALSE),Employee!A:B,2,FALSE),"Not Specified")</f>
        <v>Ms. Zoya Dolgopyatova</v>
      </c>
      <c r="I198">
        <f>IFERROR(VLOOKUP(VLOOKUP(A198,'Sales Order'!A:C,3,FALSE),Employee!A:J,10,FALSE),"Not Specified")</f>
        <v>0</v>
      </c>
      <c r="J198" t="str">
        <f>VLOOKUP(B198,Product!A:B,2,FALSE)</f>
        <v>Product PAFRH</v>
      </c>
      <c r="K198" t="str">
        <f>VLOOKUP(VLOOKUP(B198,Product!A:D,4,FALSE),Category!A:B,2,FALSE)</f>
        <v>Confections</v>
      </c>
      <c r="L198" s="24">
        <f>IFERROR(VLOOKUP(A198,'Sales Order'!A:D,4,FALSE),"")</f>
        <v>38998</v>
      </c>
      <c r="M198" s="24">
        <f>IFERROR(VLOOKUP(A198,'Sales Order'!A:F,6,FALSE),"")</f>
        <v>39000</v>
      </c>
      <c r="N198" t="str">
        <f>IFERROR(VLOOKUP(VLOOKUP(A198,'Sales Order'!A:G,7,FALSE),Shipper!A:B,2,FALSE),"Not Specified")</f>
        <v>Shipper GVSUA</v>
      </c>
      <c r="O198" t="str">
        <f>IFERROR(VLOOKUP(A198,'Sales Order'!A:I,9,FALSE),"Not Specified")</f>
        <v>Ship to 71-C</v>
      </c>
      <c r="P198" t="str">
        <f>IFERROR(VLOOKUP(A198,'Sales Order'!A:N,14,FALSE),"Not Specified")</f>
        <v>USA</v>
      </c>
      <c r="Q198" t="str">
        <f>VLOOKUP(VLOOKUP(B198,Product!A:C,3,FALSE),Supplier!A:B,2,FALSE)</f>
        <v>Supplier GQRCV</v>
      </c>
      <c r="R198" t="str">
        <f>VLOOKUP(VLOOKUP(B198,Product!A:C,3,FALSE),Supplier!A:I,9,FALSE)</f>
        <v>Australia</v>
      </c>
      <c r="S198" t="str">
        <f>IFERROR(IF(VLOOKUP(A198,'Sales Order'!A:H,8,FALSE)&gt;100,"High Freight","Low Freight"),"Not Specified")</f>
        <v>High Freight</v>
      </c>
      <c r="T198">
        <f t="shared" si="7"/>
        <v>248.11500000000001</v>
      </c>
    </row>
    <row r="199" spans="1:20">
      <c r="A199" s="9">
        <v>10324</v>
      </c>
      <c r="B199" s="6">
        <v>35</v>
      </c>
      <c r="C199" s="6">
        <v>14.4</v>
      </c>
      <c r="D199" s="6">
        <v>70</v>
      </c>
      <c r="E199" s="18">
        <v>0.15</v>
      </c>
      <c r="F199" s="6" t="str">
        <f>IFERROR(VLOOKUP(VLOOKUP(A199,'Sales Order'!A:B,2,FALSE),Customer!A:C,3,FALSE),"Not Specified")</f>
        <v>Navarro, Tomás</v>
      </c>
      <c r="G199" s="6" t="str">
        <f t="shared" si="6"/>
        <v>Navarro Tomás</v>
      </c>
      <c r="H199" s="22" t="str">
        <f>IFERROR(VLOOKUP(VLOOKUP(A199,'Sales Order'!A:C,3,FALSE),Employee!A:E,5,FALSE)&amp;" "&amp;VLOOKUP(VLOOKUP(A199,'Sales Order'!A:C,3,FALSE),Employee!A:C,3,FALSE)&amp;" "&amp;VLOOKUP(VLOOKUP(A199,'Sales Order'!A:C,3,FALSE),Employee!A:B,2,FALSE),"Not Specified")</f>
        <v>Ms. Zoya Dolgopyatova</v>
      </c>
      <c r="I199">
        <f>IFERROR(VLOOKUP(VLOOKUP(A199,'Sales Order'!A:C,3,FALSE),Employee!A:J,10,FALSE),"Not Specified")</f>
        <v>0</v>
      </c>
      <c r="J199" t="str">
        <f>VLOOKUP(B199,Product!A:B,2,FALSE)</f>
        <v>Product NEVTJ</v>
      </c>
      <c r="K199" t="str">
        <f>VLOOKUP(VLOOKUP(B199,Product!A:D,4,FALSE),Category!A:B,2,FALSE)</f>
        <v>Beverages</v>
      </c>
      <c r="L199" s="24">
        <f>IFERROR(VLOOKUP(A199,'Sales Order'!A:D,4,FALSE),"")</f>
        <v>38998</v>
      </c>
      <c r="M199" s="24">
        <f>IFERROR(VLOOKUP(A199,'Sales Order'!A:F,6,FALSE),"")</f>
        <v>39000</v>
      </c>
      <c r="N199" t="str">
        <f>IFERROR(VLOOKUP(VLOOKUP(A199,'Sales Order'!A:G,7,FALSE),Shipper!A:B,2,FALSE),"Not Specified")</f>
        <v>Shipper GVSUA</v>
      </c>
      <c r="O199" t="str">
        <f>IFERROR(VLOOKUP(A199,'Sales Order'!A:I,9,FALSE),"Not Specified")</f>
        <v>Ship to 71-C</v>
      </c>
      <c r="P199" t="str">
        <f>IFERROR(VLOOKUP(A199,'Sales Order'!A:N,14,FALSE),"Not Specified")</f>
        <v>USA</v>
      </c>
      <c r="Q199" t="str">
        <f>VLOOKUP(VLOOKUP(B199,Product!A:C,3,FALSE),Supplier!A:B,2,FALSE)</f>
        <v>Supplier UHZRG</v>
      </c>
      <c r="R199" t="str">
        <f>VLOOKUP(VLOOKUP(B199,Product!A:C,3,FALSE),Supplier!A:I,9,FALSE)</f>
        <v>USA</v>
      </c>
      <c r="S199" t="str">
        <f>IFERROR(IF(VLOOKUP(A199,'Sales Order'!A:H,8,FALSE)&gt;100,"High Freight","Low Freight"),"Not Specified")</f>
        <v>High Freight</v>
      </c>
      <c r="T199">
        <f t="shared" si="7"/>
        <v>856.8</v>
      </c>
    </row>
    <row r="200" spans="1:20">
      <c r="A200" s="9">
        <v>10324</v>
      </c>
      <c r="B200" s="6">
        <v>46</v>
      </c>
      <c r="C200" s="6">
        <v>9.6</v>
      </c>
      <c r="D200" s="6">
        <v>30</v>
      </c>
      <c r="E200" s="18">
        <v>0</v>
      </c>
      <c r="F200" s="6" t="str">
        <f>IFERROR(VLOOKUP(VLOOKUP(A200,'Sales Order'!A:B,2,FALSE),Customer!A:C,3,FALSE),"Not Specified")</f>
        <v>Navarro, Tomás</v>
      </c>
      <c r="G200" s="6" t="str">
        <f t="shared" si="6"/>
        <v>Navarro Tomás</v>
      </c>
      <c r="H200" s="22" t="str">
        <f>IFERROR(VLOOKUP(VLOOKUP(A200,'Sales Order'!A:C,3,FALSE),Employee!A:E,5,FALSE)&amp;" "&amp;VLOOKUP(VLOOKUP(A200,'Sales Order'!A:C,3,FALSE),Employee!A:C,3,FALSE)&amp;" "&amp;VLOOKUP(VLOOKUP(A200,'Sales Order'!A:C,3,FALSE),Employee!A:B,2,FALSE),"Not Specified")</f>
        <v>Ms. Zoya Dolgopyatova</v>
      </c>
      <c r="I200">
        <f>IFERROR(VLOOKUP(VLOOKUP(A200,'Sales Order'!A:C,3,FALSE),Employee!A:J,10,FALSE),"Not Specified")</f>
        <v>0</v>
      </c>
      <c r="J200" t="str">
        <f>VLOOKUP(B200,Product!A:B,2,FALSE)</f>
        <v>Product CBRRL</v>
      </c>
      <c r="K200" t="str">
        <f>VLOOKUP(VLOOKUP(B200,Product!A:D,4,FALSE),Category!A:B,2,FALSE)</f>
        <v>Seafood</v>
      </c>
      <c r="L200" s="24">
        <f>IFERROR(VLOOKUP(A200,'Sales Order'!A:D,4,FALSE),"")</f>
        <v>38998</v>
      </c>
      <c r="M200" s="24">
        <f>IFERROR(VLOOKUP(A200,'Sales Order'!A:F,6,FALSE),"")</f>
        <v>39000</v>
      </c>
      <c r="N200" t="str">
        <f>IFERROR(VLOOKUP(VLOOKUP(A200,'Sales Order'!A:G,7,FALSE),Shipper!A:B,2,FALSE),"Not Specified")</f>
        <v>Shipper GVSUA</v>
      </c>
      <c r="O200" t="str">
        <f>IFERROR(VLOOKUP(A200,'Sales Order'!A:I,9,FALSE),"Not Specified")</f>
        <v>Ship to 71-C</v>
      </c>
      <c r="P200" t="str">
        <f>IFERROR(VLOOKUP(A200,'Sales Order'!A:N,14,FALSE),"Not Specified")</f>
        <v>USA</v>
      </c>
      <c r="Q200" t="str">
        <f>VLOOKUP(VLOOKUP(B200,Product!A:C,3,FALSE),Supplier!A:B,2,FALSE)</f>
        <v>Supplier XOXZA</v>
      </c>
      <c r="R200" t="str">
        <f>VLOOKUP(VLOOKUP(B200,Product!A:C,3,FALSE),Supplier!A:I,9,FALSE)</f>
        <v>Denmark</v>
      </c>
      <c r="S200" t="str">
        <f>IFERROR(IF(VLOOKUP(A200,'Sales Order'!A:H,8,FALSE)&gt;100,"High Freight","Low Freight"),"Not Specified")</f>
        <v>High Freight</v>
      </c>
      <c r="T200">
        <f t="shared" si="7"/>
        <v>288</v>
      </c>
    </row>
    <row r="201" spans="1:20">
      <c r="A201" s="9">
        <v>10324</v>
      </c>
      <c r="B201" s="6">
        <v>59</v>
      </c>
      <c r="C201" s="6">
        <v>44</v>
      </c>
      <c r="D201" s="6">
        <v>40</v>
      </c>
      <c r="E201" s="18">
        <v>0.15</v>
      </c>
      <c r="F201" s="6" t="str">
        <f>IFERROR(VLOOKUP(VLOOKUP(A201,'Sales Order'!A:B,2,FALSE),Customer!A:C,3,FALSE),"Not Specified")</f>
        <v>Navarro, Tomás</v>
      </c>
      <c r="G201" s="6" t="str">
        <f t="shared" si="6"/>
        <v>Navarro Tomás</v>
      </c>
      <c r="H201" s="22" t="str">
        <f>IFERROR(VLOOKUP(VLOOKUP(A201,'Sales Order'!A:C,3,FALSE),Employee!A:E,5,FALSE)&amp;" "&amp;VLOOKUP(VLOOKUP(A201,'Sales Order'!A:C,3,FALSE),Employee!A:C,3,FALSE)&amp;" "&amp;VLOOKUP(VLOOKUP(A201,'Sales Order'!A:C,3,FALSE),Employee!A:B,2,FALSE),"Not Specified")</f>
        <v>Ms. Zoya Dolgopyatova</v>
      </c>
      <c r="I201">
        <f>IFERROR(VLOOKUP(VLOOKUP(A201,'Sales Order'!A:C,3,FALSE),Employee!A:J,10,FALSE),"Not Specified")</f>
        <v>0</v>
      </c>
      <c r="J201" t="str">
        <f>VLOOKUP(B201,Product!A:B,2,FALSE)</f>
        <v>Product UKXRI</v>
      </c>
      <c r="K201" t="str">
        <f>VLOOKUP(VLOOKUP(B201,Product!A:D,4,FALSE),Category!A:B,2,FALSE)</f>
        <v>Dairy Product</v>
      </c>
      <c r="L201" s="24">
        <f>IFERROR(VLOOKUP(A201,'Sales Order'!A:D,4,FALSE),"")</f>
        <v>38998</v>
      </c>
      <c r="M201" s="24">
        <f>IFERROR(VLOOKUP(A201,'Sales Order'!A:F,6,FALSE),"")</f>
        <v>39000</v>
      </c>
      <c r="N201" t="str">
        <f>IFERROR(VLOOKUP(VLOOKUP(A201,'Sales Order'!A:G,7,FALSE),Shipper!A:B,2,FALSE),"Not Specified")</f>
        <v>Shipper GVSUA</v>
      </c>
      <c r="O201" t="str">
        <f>IFERROR(VLOOKUP(A201,'Sales Order'!A:I,9,FALSE),"Not Specified")</f>
        <v>Ship to 71-C</v>
      </c>
      <c r="P201" t="str">
        <f>IFERROR(VLOOKUP(A201,'Sales Order'!A:N,14,FALSE),"Not Specified")</f>
        <v>USA</v>
      </c>
      <c r="Q201" t="str">
        <f>VLOOKUP(VLOOKUP(B201,Product!A:C,3,FALSE),Supplier!A:B,2,FALSE)</f>
        <v>Supplier OAVQT</v>
      </c>
      <c r="R201" t="str">
        <f>VLOOKUP(VLOOKUP(B201,Product!A:C,3,FALSE),Supplier!A:I,9,FALSE)</f>
        <v>France</v>
      </c>
      <c r="S201" t="str">
        <f>IFERROR(IF(VLOOKUP(A201,'Sales Order'!A:H,8,FALSE)&gt;100,"High Freight","Low Freight"),"Not Specified")</f>
        <v>High Freight</v>
      </c>
      <c r="T201">
        <f t="shared" si="7"/>
        <v>1496</v>
      </c>
    </row>
    <row r="202" spans="1:20">
      <c r="A202" s="9">
        <v>10324</v>
      </c>
      <c r="B202" s="6">
        <v>63</v>
      </c>
      <c r="C202" s="6">
        <v>35.1</v>
      </c>
      <c r="D202" s="6">
        <v>80</v>
      </c>
      <c r="E202" s="18">
        <v>0.15</v>
      </c>
      <c r="F202" s="6" t="str">
        <f>IFERROR(VLOOKUP(VLOOKUP(A202,'Sales Order'!A:B,2,FALSE),Customer!A:C,3,FALSE),"Not Specified")</f>
        <v>Navarro, Tomás</v>
      </c>
      <c r="G202" s="6" t="str">
        <f t="shared" si="6"/>
        <v>Navarro Tomás</v>
      </c>
      <c r="H202" s="22" t="str">
        <f>IFERROR(VLOOKUP(VLOOKUP(A202,'Sales Order'!A:C,3,FALSE),Employee!A:E,5,FALSE)&amp;" "&amp;VLOOKUP(VLOOKUP(A202,'Sales Order'!A:C,3,FALSE),Employee!A:C,3,FALSE)&amp;" "&amp;VLOOKUP(VLOOKUP(A202,'Sales Order'!A:C,3,FALSE),Employee!A:B,2,FALSE),"Not Specified")</f>
        <v>Ms. Zoya Dolgopyatova</v>
      </c>
      <c r="I202">
        <f>IFERROR(VLOOKUP(VLOOKUP(A202,'Sales Order'!A:C,3,FALSE),Employee!A:J,10,FALSE),"Not Specified")</f>
        <v>0</v>
      </c>
      <c r="J202" t="str">
        <f>VLOOKUP(B202,Product!A:B,2,FALSE)</f>
        <v>Product ICKNK</v>
      </c>
      <c r="K202" t="str">
        <f>VLOOKUP(VLOOKUP(B202,Product!A:D,4,FALSE),Category!A:B,2,FALSE)</f>
        <v>Condiments</v>
      </c>
      <c r="L202" s="24">
        <f>IFERROR(VLOOKUP(A202,'Sales Order'!A:D,4,FALSE),"")</f>
        <v>38998</v>
      </c>
      <c r="M202" s="24">
        <f>IFERROR(VLOOKUP(A202,'Sales Order'!A:F,6,FALSE),"")</f>
        <v>39000</v>
      </c>
      <c r="N202" t="str">
        <f>IFERROR(VLOOKUP(VLOOKUP(A202,'Sales Order'!A:G,7,FALSE),Shipper!A:B,2,FALSE),"Not Specified")</f>
        <v>Shipper GVSUA</v>
      </c>
      <c r="O202" t="str">
        <f>IFERROR(VLOOKUP(A202,'Sales Order'!A:I,9,FALSE),"Not Specified")</f>
        <v>Ship to 71-C</v>
      </c>
      <c r="P202" t="str">
        <f>IFERROR(VLOOKUP(A202,'Sales Order'!A:N,14,FALSE),"Not Specified")</f>
        <v>USA</v>
      </c>
      <c r="Q202" t="str">
        <f>VLOOKUP(VLOOKUP(B202,Product!A:C,3,FALSE),Supplier!A:B,2,FALSE)</f>
        <v>Supplier GQRCV</v>
      </c>
      <c r="R202" t="str">
        <f>VLOOKUP(VLOOKUP(B202,Product!A:C,3,FALSE),Supplier!A:I,9,FALSE)</f>
        <v>Australia</v>
      </c>
      <c r="S202" t="str">
        <f>IFERROR(IF(VLOOKUP(A202,'Sales Order'!A:H,8,FALSE)&gt;100,"High Freight","Low Freight"),"Not Specified")</f>
        <v>High Freight</v>
      </c>
      <c r="T202">
        <f t="shared" si="7"/>
        <v>2386.7999999999997</v>
      </c>
    </row>
    <row r="203" spans="1:20">
      <c r="A203" s="9">
        <v>10325</v>
      </c>
      <c r="B203" s="6">
        <v>6</v>
      </c>
      <c r="C203" s="6">
        <v>20</v>
      </c>
      <c r="D203" s="6">
        <v>6</v>
      </c>
      <c r="E203" s="18">
        <v>0</v>
      </c>
      <c r="F203" s="6" t="str">
        <f>IFERROR(VLOOKUP(VLOOKUP(A203,'Sales Order'!A:B,2,FALSE),Customer!A:C,3,FALSE),"Not Specified")</f>
        <v>Song, Lolan</v>
      </c>
      <c r="G203" s="6" t="str">
        <f t="shared" si="6"/>
        <v>Song Lolan</v>
      </c>
      <c r="H203" s="22" t="str">
        <f>IFERROR(VLOOKUP(VLOOKUP(A203,'Sales Order'!A:C,3,FALSE),Employee!A:E,5,FALSE)&amp;" "&amp;VLOOKUP(VLOOKUP(A203,'Sales Order'!A:C,3,FALSE),Employee!A:C,3,FALSE)&amp;" "&amp;VLOOKUP(VLOOKUP(A203,'Sales Order'!A:C,3,FALSE),Employee!A:B,2,FALSE),"Not Specified")</f>
        <v>Ms. Sara Davis</v>
      </c>
      <c r="I203" t="str">
        <f>IFERROR(VLOOKUP(VLOOKUP(A203,'Sales Order'!A:C,3,FALSE),Employee!A:J,10,FALSE),"Not Specified")</f>
        <v>WA</v>
      </c>
      <c r="J203" t="str">
        <f>VLOOKUP(B203,Product!A:B,2,FALSE)</f>
        <v>Product VAIIV</v>
      </c>
      <c r="K203" t="str">
        <f>VLOOKUP(VLOOKUP(B203,Product!A:D,4,FALSE),Category!A:B,2,FALSE)</f>
        <v>Condiments</v>
      </c>
      <c r="L203" s="24">
        <f>IFERROR(VLOOKUP(A203,'Sales Order'!A:D,4,FALSE),"")</f>
        <v>38999</v>
      </c>
      <c r="M203" s="24">
        <f>IFERROR(VLOOKUP(A203,'Sales Order'!A:F,6,FALSE),"")</f>
        <v>39004</v>
      </c>
      <c r="N203" t="str">
        <f>IFERROR(VLOOKUP(VLOOKUP(A203,'Sales Order'!A:G,7,FALSE),Shipper!A:B,2,FALSE),"Not Specified")</f>
        <v>Shipper ZHISN</v>
      </c>
      <c r="O203" t="str">
        <f>IFERROR(VLOOKUP(A203,'Sales Order'!A:I,9,FALSE),"Not Specified")</f>
        <v>Destination RMBHM</v>
      </c>
      <c r="P203" t="str">
        <f>IFERROR(VLOOKUP(A203,'Sales Order'!A:N,14,FALSE),"Not Specified")</f>
        <v>Germany</v>
      </c>
      <c r="Q203" t="str">
        <f>VLOOKUP(VLOOKUP(B203,Product!A:C,3,FALSE),Supplier!A:B,2,FALSE)</f>
        <v>Supplier STUAZ</v>
      </c>
      <c r="R203" t="str">
        <f>VLOOKUP(VLOOKUP(B203,Product!A:C,3,FALSE),Supplier!A:I,9,FALSE)</f>
        <v>USA</v>
      </c>
      <c r="S203" t="str">
        <f>IFERROR(IF(VLOOKUP(A203,'Sales Order'!A:H,8,FALSE)&gt;100,"High Freight","Low Freight"),"Not Specified")</f>
        <v>Low Freight</v>
      </c>
      <c r="T203">
        <f t="shared" si="7"/>
        <v>120</v>
      </c>
    </row>
    <row r="204" spans="1:20">
      <c r="A204" s="9">
        <v>10325</v>
      </c>
      <c r="B204" s="6">
        <v>13</v>
      </c>
      <c r="C204" s="6">
        <v>4.8</v>
      </c>
      <c r="D204" s="6">
        <v>12</v>
      </c>
      <c r="E204" s="18">
        <v>0</v>
      </c>
      <c r="F204" s="6" t="str">
        <f>IFERROR(VLOOKUP(VLOOKUP(A204,'Sales Order'!A:B,2,FALSE),Customer!A:C,3,FALSE),"Not Specified")</f>
        <v>Song, Lolan</v>
      </c>
      <c r="G204" s="6" t="str">
        <f t="shared" si="6"/>
        <v>Song Lolan</v>
      </c>
      <c r="H204" s="22" t="str">
        <f>IFERROR(VLOOKUP(VLOOKUP(A204,'Sales Order'!A:C,3,FALSE),Employee!A:E,5,FALSE)&amp;" "&amp;VLOOKUP(VLOOKUP(A204,'Sales Order'!A:C,3,FALSE),Employee!A:C,3,FALSE)&amp;" "&amp;VLOOKUP(VLOOKUP(A204,'Sales Order'!A:C,3,FALSE),Employee!A:B,2,FALSE),"Not Specified")</f>
        <v>Ms. Sara Davis</v>
      </c>
      <c r="I204" t="str">
        <f>IFERROR(VLOOKUP(VLOOKUP(A204,'Sales Order'!A:C,3,FALSE),Employee!A:J,10,FALSE),"Not Specified")</f>
        <v>WA</v>
      </c>
      <c r="J204" t="str">
        <f>VLOOKUP(B204,Product!A:B,2,FALSE)</f>
        <v>Product POXFU</v>
      </c>
      <c r="K204" t="str">
        <f>VLOOKUP(VLOOKUP(B204,Product!A:D,4,FALSE),Category!A:B,2,FALSE)</f>
        <v>Seafood</v>
      </c>
      <c r="L204" s="24">
        <f>IFERROR(VLOOKUP(A204,'Sales Order'!A:D,4,FALSE),"")</f>
        <v>38999</v>
      </c>
      <c r="M204" s="24">
        <f>IFERROR(VLOOKUP(A204,'Sales Order'!A:F,6,FALSE),"")</f>
        <v>39004</v>
      </c>
      <c r="N204" t="str">
        <f>IFERROR(VLOOKUP(VLOOKUP(A204,'Sales Order'!A:G,7,FALSE),Shipper!A:B,2,FALSE),"Not Specified")</f>
        <v>Shipper ZHISN</v>
      </c>
      <c r="O204" t="str">
        <f>IFERROR(VLOOKUP(A204,'Sales Order'!A:I,9,FALSE),"Not Specified")</f>
        <v>Destination RMBHM</v>
      </c>
      <c r="P204" t="str">
        <f>IFERROR(VLOOKUP(A204,'Sales Order'!A:N,14,FALSE),"Not Specified")</f>
        <v>Germany</v>
      </c>
      <c r="Q204" t="str">
        <f>VLOOKUP(VLOOKUP(B204,Product!A:C,3,FALSE),Supplier!A:B,2,FALSE)</f>
        <v>Supplier QWUSF</v>
      </c>
      <c r="R204" t="str">
        <f>VLOOKUP(VLOOKUP(B204,Product!A:C,3,FALSE),Supplier!A:I,9,FALSE)</f>
        <v>Japan</v>
      </c>
      <c r="S204" t="str">
        <f>IFERROR(IF(VLOOKUP(A204,'Sales Order'!A:H,8,FALSE)&gt;100,"High Freight","Low Freight"),"Not Specified")</f>
        <v>Low Freight</v>
      </c>
      <c r="T204">
        <f t="shared" si="7"/>
        <v>57.599999999999994</v>
      </c>
    </row>
    <row r="205" spans="1:20">
      <c r="A205" s="9">
        <v>10325</v>
      </c>
      <c r="B205" s="6">
        <v>14</v>
      </c>
      <c r="C205" s="6">
        <v>18.600000000000001</v>
      </c>
      <c r="D205" s="6">
        <v>9</v>
      </c>
      <c r="E205" s="18">
        <v>0</v>
      </c>
      <c r="F205" s="6" t="str">
        <f>IFERROR(VLOOKUP(VLOOKUP(A205,'Sales Order'!A:B,2,FALSE),Customer!A:C,3,FALSE),"Not Specified")</f>
        <v>Song, Lolan</v>
      </c>
      <c r="G205" s="6" t="str">
        <f t="shared" si="6"/>
        <v>Song Lolan</v>
      </c>
      <c r="H205" s="22" t="str">
        <f>IFERROR(VLOOKUP(VLOOKUP(A205,'Sales Order'!A:C,3,FALSE),Employee!A:E,5,FALSE)&amp;" "&amp;VLOOKUP(VLOOKUP(A205,'Sales Order'!A:C,3,FALSE),Employee!A:C,3,FALSE)&amp;" "&amp;VLOOKUP(VLOOKUP(A205,'Sales Order'!A:C,3,FALSE),Employee!A:B,2,FALSE),"Not Specified")</f>
        <v>Ms. Sara Davis</v>
      </c>
      <c r="I205" t="str">
        <f>IFERROR(VLOOKUP(VLOOKUP(A205,'Sales Order'!A:C,3,FALSE),Employee!A:J,10,FALSE),"Not Specified")</f>
        <v>WA</v>
      </c>
      <c r="J205" t="str">
        <f>VLOOKUP(B205,Product!A:B,2,FALSE)</f>
        <v>Product PWCJB</v>
      </c>
      <c r="K205" t="str">
        <f>VLOOKUP(VLOOKUP(B205,Product!A:D,4,FALSE),Category!A:B,2,FALSE)</f>
        <v>Produce</v>
      </c>
      <c r="L205" s="24">
        <f>IFERROR(VLOOKUP(A205,'Sales Order'!A:D,4,FALSE),"")</f>
        <v>38999</v>
      </c>
      <c r="M205" s="24">
        <f>IFERROR(VLOOKUP(A205,'Sales Order'!A:F,6,FALSE),"")</f>
        <v>39004</v>
      </c>
      <c r="N205" t="str">
        <f>IFERROR(VLOOKUP(VLOOKUP(A205,'Sales Order'!A:G,7,FALSE),Shipper!A:B,2,FALSE),"Not Specified")</f>
        <v>Shipper ZHISN</v>
      </c>
      <c r="O205" t="str">
        <f>IFERROR(VLOOKUP(A205,'Sales Order'!A:I,9,FALSE),"Not Specified")</f>
        <v>Destination RMBHM</v>
      </c>
      <c r="P205" t="str">
        <f>IFERROR(VLOOKUP(A205,'Sales Order'!A:N,14,FALSE),"Not Specified")</f>
        <v>Germany</v>
      </c>
      <c r="Q205" t="str">
        <f>VLOOKUP(VLOOKUP(B205,Product!A:C,3,FALSE),Supplier!A:B,2,FALSE)</f>
        <v>Supplier QWUSF</v>
      </c>
      <c r="R205" t="str">
        <f>VLOOKUP(VLOOKUP(B205,Product!A:C,3,FALSE),Supplier!A:I,9,FALSE)</f>
        <v>Japan</v>
      </c>
      <c r="S205" t="str">
        <f>IFERROR(IF(VLOOKUP(A205,'Sales Order'!A:H,8,FALSE)&gt;100,"High Freight","Low Freight"),"Not Specified")</f>
        <v>Low Freight</v>
      </c>
      <c r="T205">
        <f t="shared" si="7"/>
        <v>167.4</v>
      </c>
    </row>
    <row r="206" spans="1:20">
      <c r="A206" s="9">
        <v>10325</v>
      </c>
      <c r="B206" s="6">
        <v>31</v>
      </c>
      <c r="C206" s="6">
        <v>10</v>
      </c>
      <c r="D206" s="6">
        <v>4</v>
      </c>
      <c r="E206" s="18">
        <v>0</v>
      </c>
      <c r="F206" s="6" t="str">
        <f>IFERROR(VLOOKUP(VLOOKUP(A206,'Sales Order'!A:B,2,FALSE),Customer!A:C,3,FALSE),"Not Specified")</f>
        <v>Song, Lolan</v>
      </c>
      <c r="G206" s="6" t="str">
        <f t="shared" si="6"/>
        <v>Song Lolan</v>
      </c>
      <c r="H206" s="22" t="str">
        <f>IFERROR(VLOOKUP(VLOOKUP(A206,'Sales Order'!A:C,3,FALSE),Employee!A:E,5,FALSE)&amp;" "&amp;VLOOKUP(VLOOKUP(A206,'Sales Order'!A:C,3,FALSE),Employee!A:C,3,FALSE)&amp;" "&amp;VLOOKUP(VLOOKUP(A206,'Sales Order'!A:C,3,FALSE),Employee!A:B,2,FALSE),"Not Specified")</f>
        <v>Ms. Sara Davis</v>
      </c>
      <c r="I206" t="str">
        <f>IFERROR(VLOOKUP(VLOOKUP(A206,'Sales Order'!A:C,3,FALSE),Employee!A:J,10,FALSE),"Not Specified")</f>
        <v>WA</v>
      </c>
      <c r="J206" t="str">
        <f>VLOOKUP(B206,Product!A:B,2,FALSE)</f>
        <v>Product XWOXC</v>
      </c>
      <c r="K206" t="str">
        <f>VLOOKUP(VLOOKUP(B206,Product!A:D,4,FALSE),Category!A:B,2,FALSE)</f>
        <v>Dairy Product</v>
      </c>
      <c r="L206" s="24">
        <f>IFERROR(VLOOKUP(A206,'Sales Order'!A:D,4,FALSE),"")</f>
        <v>38999</v>
      </c>
      <c r="M206" s="24">
        <f>IFERROR(VLOOKUP(A206,'Sales Order'!A:F,6,FALSE),"")</f>
        <v>39004</v>
      </c>
      <c r="N206" t="str">
        <f>IFERROR(VLOOKUP(VLOOKUP(A206,'Sales Order'!A:G,7,FALSE),Shipper!A:B,2,FALSE),"Not Specified")</f>
        <v>Shipper ZHISN</v>
      </c>
      <c r="O206" t="str">
        <f>IFERROR(VLOOKUP(A206,'Sales Order'!A:I,9,FALSE),"Not Specified")</f>
        <v>Destination RMBHM</v>
      </c>
      <c r="P206" t="str">
        <f>IFERROR(VLOOKUP(A206,'Sales Order'!A:N,14,FALSE),"Not Specified")</f>
        <v>Germany</v>
      </c>
      <c r="Q206" t="str">
        <f>VLOOKUP(VLOOKUP(B206,Product!A:C,3,FALSE),Supplier!A:B,2,FALSE)</f>
        <v>Supplier KEREV</v>
      </c>
      <c r="R206" t="str">
        <f>VLOOKUP(VLOOKUP(B206,Product!A:C,3,FALSE),Supplier!A:I,9,FALSE)</f>
        <v>Italy</v>
      </c>
      <c r="S206" t="str">
        <f>IFERROR(IF(VLOOKUP(A206,'Sales Order'!A:H,8,FALSE)&gt;100,"High Freight","Low Freight"),"Not Specified")</f>
        <v>Low Freight</v>
      </c>
      <c r="T206">
        <f t="shared" si="7"/>
        <v>40</v>
      </c>
    </row>
    <row r="207" spans="1:20">
      <c r="A207" s="9">
        <v>10325</v>
      </c>
      <c r="B207" s="6">
        <v>72</v>
      </c>
      <c r="C207" s="6">
        <v>27.8</v>
      </c>
      <c r="D207" s="6">
        <v>40</v>
      </c>
      <c r="E207" s="18">
        <v>0</v>
      </c>
      <c r="F207" s="6" t="str">
        <f>IFERROR(VLOOKUP(VLOOKUP(A207,'Sales Order'!A:B,2,FALSE),Customer!A:C,3,FALSE),"Not Specified")</f>
        <v>Song, Lolan</v>
      </c>
      <c r="G207" s="6" t="str">
        <f t="shared" si="6"/>
        <v>Song Lolan</v>
      </c>
      <c r="H207" s="22" t="str">
        <f>IFERROR(VLOOKUP(VLOOKUP(A207,'Sales Order'!A:C,3,FALSE),Employee!A:E,5,FALSE)&amp;" "&amp;VLOOKUP(VLOOKUP(A207,'Sales Order'!A:C,3,FALSE),Employee!A:C,3,FALSE)&amp;" "&amp;VLOOKUP(VLOOKUP(A207,'Sales Order'!A:C,3,FALSE),Employee!A:B,2,FALSE),"Not Specified")</f>
        <v>Ms. Sara Davis</v>
      </c>
      <c r="I207" t="str">
        <f>IFERROR(VLOOKUP(VLOOKUP(A207,'Sales Order'!A:C,3,FALSE),Employee!A:J,10,FALSE),"Not Specified")</f>
        <v>WA</v>
      </c>
      <c r="J207" t="str">
        <f>VLOOKUP(B207,Product!A:B,2,FALSE)</f>
        <v>Product GEEOO</v>
      </c>
      <c r="K207" t="str">
        <f>VLOOKUP(VLOOKUP(B207,Product!A:D,4,FALSE),Category!A:B,2,FALSE)</f>
        <v>Dairy Product</v>
      </c>
      <c r="L207" s="24">
        <f>IFERROR(VLOOKUP(A207,'Sales Order'!A:D,4,FALSE),"")</f>
        <v>38999</v>
      </c>
      <c r="M207" s="24">
        <f>IFERROR(VLOOKUP(A207,'Sales Order'!A:F,6,FALSE),"")</f>
        <v>39004</v>
      </c>
      <c r="N207" t="str">
        <f>IFERROR(VLOOKUP(VLOOKUP(A207,'Sales Order'!A:G,7,FALSE),Shipper!A:B,2,FALSE),"Not Specified")</f>
        <v>Shipper ZHISN</v>
      </c>
      <c r="O207" t="str">
        <f>IFERROR(VLOOKUP(A207,'Sales Order'!A:I,9,FALSE),"Not Specified")</f>
        <v>Destination RMBHM</v>
      </c>
      <c r="P207" t="str">
        <f>IFERROR(VLOOKUP(A207,'Sales Order'!A:N,14,FALSE),"Not Specified")</f>
        <v>Germany</v>
      </c>
      <c r="Q207" t="str">
        <f>VLOOKUP(VLOOKUP(B207,Product!A:C,3,FALSE),Supplier!A:B,2,FALSE)</f>
        <v>Supplier KEREV</v>
      </c>
      <c r="R207" t="str">
        <f>VLOOKUP(VLOOKUP(B207,Product!A:C,3,FALSE),Supplier!A:I,9,FALSE)</f>
        <v>Italy</v>
      </c>
      <c r="S207" t="str">
        <f>IFERROR(IF(VLOOKUP(A207,'Sales Order'!A:H,8,FALSE)&gt;100,"High Freight","Low Freight"),"Not Specified")</f>
        <v>Low Freight</v>
      </c>
      <c r="T207">
        <f t="shared" si="7"/>
        <v>1112</v>
      </c>
    </row>
    <row r="208" spans="1:20">
      <c r="A208" s="9">
        <v>10326</v>
      </c>
      <c r="B208" s="6">
        <v>4</v>
      </c>
      <c r="C208" s="6">
        <v>17.600000000000001</v>
      </c>
      <c r="D208" s="6">
        <v>24</v>
      </c>
      <c r="E208" s="18">
        <v>0</v>
      </c>
      <c r="F208" s="6" t="str">
        <f>IFERROR(VLOOKUP(VLOOKUP(A208,'Sales Order'!A:B,2,FALSE),Customer!A:C,3,FALSE),"Not Specified")</f>
        <v>Ilyina, Julia</v>
      </c>
      <c r="G208" s="6" t="str">
        <f t="shared" si="6"/>
        <v>Ilyina Julia</v>
      </c>
      <c r="H208" s="22" t="str">
        <f>IFERROR(VLOOKUP(VLOOKUP(A208,'Sales Order'!A:C,3,FALSE),Employee!A:E,5,FALSE)&amp;" "&amp;VLOOKUP(VLOOKUP(A208,'Sales Order'!A:C,3,FALSE),Employee!A:C,3,FALSE)&amp;" "&amp;VLOOKUP(VLOOKUP(A208,'Sales Order'!A:C,3,FALSE),Employee!A:B,2,FALSE),"Not Specified")</f>
        <v>Mrs. Yael Peled</v>
      </c>
      <c r="I208" t="str">
        <f>IFERROR(VLOOKUP(VLOOKUP(A208,'Sales Order'!A:C,3,FALSE),Employee!A:J,10,FALSE),"Not Specified")</f>
        <v>WA</v>
      </c>
      <c r="J208" t="str">
        <f>VLOOKUP(B208,Product!A:B,2,FALSE)</f>
        <v>Product KSBRM</v>
      </c>
      <c r="K208" t="str">
        <f>VLOOKUP(VLOOKUP(B208,Product!A:D,4,FALSE),Category!A:B,2,FALSE)</f>
        <v>Condiments</v>
      </c>
      <c r="L208" s="24">
        <f>IFERROR(VLOOKUP(A208,'Sales Order'!A:D,4,FALSE),"")</f>
        <v>39000</v>
      </c>
      <c r="M208" s="24">
        <f>IFERROR(VLOOKUP(A208,'Sales Order'!A:F,6,FALSE),"")</f>
        <v>39004</v>
      </c>
      <c r="N208" t="str">
        <f>IFERROR(VLOOKUP(VLOOKUP(A208,'Sales Order'!A:G,7,FALSE),Shipper!A:B,2,FALSE),"Not Specified")</f>
        <v>Shipper ETYNR</v>
      </c>
      <c r="O208" t="str">
        <f>IFERROR(VLOOKUP(A208,'Sales Order'!A:I,9,FALSE),"Not Specified")</f>
        <v>Ship to 8-A</v>
      </c>
      <c r="P208" t="str">
        <f>IFERROR(VLOOKUP(A208,'Sales Order'!A:N,14,FALSE),"Not Specified")</f>
        <v>Spain</v>
      </c>
      <c r="Q208" t="str">
        <f>VLOOKUP(VLOOKUP(B208,Product!A:C,3,FALSE),Supplier!A:B,2,FALSE)</f>
        <v>Supplier VHQZD</v>
      </c>
      <c r="R208" t="str">
        <f>VLOOKUP(VLOOKUP(B208,Product!A:C,3,FALSE),Supplier!A:I,9,FALSE)</f>
        <v>USA</v>
      </c>
      <c r="S208" t="str">
        <f>IFERROR(IF(VLOOKUP(A208,'Sales Order'!A:H,8,FALSE)&gt;100,"High Freight","Low Freight"),"Not Specified")</f>
        <v>Low Freight</v>
      </c>
      <c r="T208">
        <f t="shared" si="7"/>
        <v>422.40000000000003</v>
      </c>
    </row>
    <row r="209" spans="1:20">
      <c r="A209" s="9">
        <v>10326</v>
      </c>
      <c r="B209" s="6">
        <v>57</v>
      </c>
      <c r="C209" s="6">
        <v>15.6</v>
      </c>
      <c r="D209" s="6">
        <v>16</v>
      </c>
      <c r="E209" s="18">
        <v>0</v>
      </c>
      <c r="F209" s="6" t="str">
        <f>IFERROR(VLOOKUP(VLOOKUP(A209,'Sales Order'!A:B,2,FALSE),Customer!A:C,3,FALSE),"Not Specified")</f>
        <v>Ilyina, Julia</v>
      </c>
      <c r="G209" s="6" t="str">
        <f t="shared" si="6"/>
        <v>Ilyina Julia</v>
      </c>
      <c r="H209" s="22" t="str">
        <f>IFERROR(VLOOKUP(VLOOKUP(A209,'Sales Order'!A:C,3,FALSE),Employee!A:E,5,FALSE)&amp;" "&amp;VLOOKUP(VLOOKUP(A209,'Sales Order'!A:C,3,FALSE),Employee!A:C,3,FALSE)&amp;" "&amp;VLOOKUP(VLOOKUP(A209,'Sales Order'!A:C,3,FALSE),Employee!A:B,2,FALSE),"Not Specified")</f>
        <v>Mrs. Yael Peled</v>
      </c>
      <c r="I209" t="str">
        <f>IFERROR(VLOOKUP(VLOOKUP(A209,'Sales Order'!A:C,3,FALSE),Employee!A:J,10,FALSE),"Not Specified")</f>
        <v>WA</v>
      </c>
      <c r="J209" t="str">
        <f>VLOOKUP(B209,Product!A:B,2,FALSE)</f>
        <v>Product OVLQI</v>
      </c>
      <c r="K209" t="str">
        <f>VLOOKUP(VLOOKUP(B209,Product!A:D,4,FALSE),Category!A:B,2,FALSE)</f>
        <v>Grains/Cereals</v>
      </c>
      <c r="L209" s="24">
        <f>IFERROR(VLOOKUP(A209,'Sales Order'!A:D,4,FALSE),"")</f>
        <v>39000</v>
      </c>
      <c r="M209" s="24">
        <f>IFERROR(VLOOKUP(A209,'Sales Order'!A:F,6,FALSE),"")</f>
        <v>39004</v>
      </c>
      <c r="N209" t="str">
        <f>IFERROR(VLOOKUP(VLOOKUP(A209,'Sales Order'!A:G,7,FALSE),Shipper!A:B,2,FALSE),"Not Specified")</f>
        <v>Shipper ETYNR</v>
      </c>
      <c r="O209" t="str">
        <f>IFERROR(VLOOKUP(A209,'Sales Order'!A:I,9,FALSE),"Not Specified")</f>
        <v>Ship to 8-A</v>
      </c>
      <c r="P209" t="str">
        <f>IFERROR(VLOOKUP(A209,'Sales Order'!A:N,14,FALSE),"Not Specified")</f>
        <v>Spain</v>
      </c>
      <c r="Q209" t="str">
        <f>VLOOKUP(VLOOKUP(B209,Product!A:C,3,FALSE),Supplier!A:B,2,FALSE)</f>
        <v>Supplier ZWZDM</v>
      </c>
      <c r="R209" t="str">
        <f>VLOOKUP(VLOOKUP(B209,Product!A:C,3,FALSE),Supplier!A:I,9,FALSE)</f>
        <v>Italy</v>
      </c>
      <c r="S209" t="str">
        <f>IFERROR(IF(VLOOKUP(A209,'Sales Order'!A:H,8,FALSE)&gt;100,"High Freight","Low Freight"),"Not Specified")</f>
        <v>Low Freight</v>
      </c>
      <c r="T209">
        <f t="shared" si="7"/>
        <v>249.6</v>
      </c>
    </row>
    <row r="210" spans="1:20">
      <c r="A210" s="9">
        <v>10326</v>
      </c>
      <c r="B210" s="6">
        <v>75</v>
      </c>
      <c r="C210" s="6">
        <v>6.2</v>
      </c>
      <c r="D210" s="6">
        <v>50</v>
      </c>
      <c r="E210" s="18">
        <v>0</v>
      </c>
      <c r="F210" s="6" t="str">
        <f>IFERROR(VLOOKUP(VLOOKUP(A210,'Sales Order'!A:B,2,FALSE),Customer!A:C,3,FALSE),"Not Specified")</f>
        <v>Ilyina, Julia</v>
      </c>
      <c r="G210" s="6" t="str">
        <f t="shared" si="6"/>
        <v>Ilyina Julia</v>
      </c>
      <c r="H210" s="22" t="str">
        <f>IFERROR(VLOOKUP(VLOOKUP(A210,'Sales Order'!A:C,3,FALSE),Employee!A:E,5,FALSE)&amp;" "&amp;VLOOKUP(VLOOKUP(A210,'Sales Order'!A:C,3,FALSE),Employee!A:C,3,FALSE)&amp;" "&amp;VLOOKUP(VLOOKUP(A210,'Sales Order'!A:C,3,FALSE),Employee!A:B,2,FALSE),"Not Specified")</f>
        <v>Mrs. Yael Peled</v>
      </c>
      <c r="I210" t="str">
        <f>IFERROR(VLOOKUP(VLOOKUP(A210,'Sales Order'!A:C,3,FALSE),Employee!A:J,10,FALSE),"Not Specified")</f>
        <v>WA</v>
      </c>
      <c r="J210" t="str">
        <f>VLOOKUP(B210,Product!A:B,2,FALSE)</f>
        <v>Product BWRLG</v>
      </c>
      <c r="K210" t="str">
        <f>VLOOKUP(VLOOKUP(B210,Product!A:D,4,FALSE),Category!A:B,2,FALSE)</f>
        <v>Beverages</v>
      </c>
      <c r="L210" s="24">
        <f>IFERROR(VLOOKUP(A210,'Sales Order'!A:D,4,FALSE),"")</f>
        <v>39000</v>
      </c>
      <c r="M210" s="24">
        <f>IFERROR(VLOOKUP(A210,'Sales Order'!A:F,6,FALSE),"")</f>
        <v>39004</v>
      </c>
      <c r="N210" t="str">
        <f>IFERROR(VLOOKUP(VLOOKUP(A210,'Sales Order'!A:G,7,FALSE),Shipper!A:B,2,FALSE),"Not Specified")</f>
        <v>Shipper ETYNR</v>
      </c>
      <c r="O210" t="str">
        <f>IFERROR(VLOOKUP(A210,'Sales Order'!A:I,9,FALSE),"Not Specified")</f>
        <v>Ship to 8-A</v>
      </c>
      <c r="P210" t="str">
        <f>IFERROR(VLOOKUP(A210,'Sales Order'!A:N,14,FALSE),"Not Specified")</f>
        <v>Spain</v>
      </c>
      <c r="Q210" t="str">
        <f>VLOOKUP(VLOOKUP(B210,Product!A:C,3,FALSE),Supplier!A:B,2,FALSE)</f>
        <v>Supplier SVIYA</v>
      </c>
      <c r="R210" t="str">
        <f>VLOOKUP(VLOOKUP(B210,Product!A:C,3,FALSE),Supplier!A:I,9,FALSE)</f>
        <v>Germany</v>
      </c>
      <c r="S210" t="str">
        <f>IFERROR(IF(VLOOKUP(A210,'Sales Order'!A:H,8,FALSE)&gt;100,"High Freight","Low Freight"),"Not Specified")</f>
        <v>Low Freight</v>
      </c>
      <c r="T210">
        <f t="shared" si="7"/>
        <v>310</v>
      </c>
    </row>
    <row r="211" spans="1:20">
      <c r="A211" s="9">
        <v>10327</v>
      </c>
      <c r="B211" s="6">
        <v>2</v>
      </c>
      <c r="C211" s="6">
        <v>15.2</v>
      </c>
      <c r="D211" s="6">
        <v>25</v>
      </c>
      <c r="E211" s="18">
        <v>0.2</v>
      </c>
      <c r="F211" s="6" t="str">
        <f>IFERROR(VLOOKUP(VLOOKUP(A211,'Sales Order'!A:B,2,FALSE),Customer!A:C,3,FALSE),"Not Specified")</f>
        <v>San Juan, Patricia</v>
      </c>
      <c r="G211" s="6" t="str">
        <f t="shared" si="6"/>
        <v>San Juan Patricia</v>
      </c>
      <c r="H211" s="22" t="str">
        <f>IFERROR(VLOOKUP(VLOOKUP(A211,'Sales Order'!A:C,3,FALSE),Employee!A:E,5,FALSE)&amp;" "&amp;VLOOKUP(VLOOKUP(A211,'Sales Order'!A:C,3,FALSE),Employee!A:C,3,FALSE)&amp;" "&amp;VLOOKUP(VLOOKUP(A211,'Sales Order'!A:C,3,FALSE),Employee!A:B,2,FALSE),"Not Specified")</f>
        <v>Dr. Don Funk</v>
      </c>
      <c r="I211" t="str">
        <f>IFERROR(VLOOKUP(VLOOKUP(A211,'Sales Order'!A:C,3,FALSE),Employee!A:J,10,FALSE),"Not Specified")</f>
        <v>WA</v>
      </c>
      <c r="J211" t="str">
        <f>VLOOKUP(B211,Product!A:B,2,FALSE)</f>
        <v>Product RECZE</v>
      </c>
      <c r="K211" t="str">
        <f>VLOOKUP(VLOOKUP(B211,Product!A:D,4,FALSE),Category!A:B,2,FALSE)</f>
        <v>Beverages</v>
      </c>
      <c r="L211" s="24">
        <f>IFERROR(VLOOKUP(A211,'Sales Order'!A:D,4,FALSE),"")</f>
        <v>39001</v>
      </c>
      <c r="M211" s="24">
        <f>IFERROR(VLOOKUP(A211,'Sales Order'!A:F,6,FALSE),"")</f>
        <v>39004</v>
      </c>
      <c r="N211" t="str">
        <f>IFERROR(VLOOKUP(VLOOKUP(A211,'Sales Order'!A:G,7,FALSE),Shipper!A:B,2,FALSE),"Not Specified")</f>
        <v>Shipper GVSUA</v>
      </c>
      <c r="O211" t="str">
        <f>IFERROR(VLOOKUP(A211,'Sales Order'!A:I,9,FALSE),"Not Specified")</f>
        <v>Destination NCKKO</v>
      </c>
      <c r="P211" t="str">
        <f>IFERROR(VLOOKUP(A211,'Sales Order'!A:N,14,FALSE),"Not Specified")</f>
        <v>Sweden</v>
      </c>
      <c r="Q211" t="str">
        <f>VLOOKUP(VLOOKUP(B211,Product!A:C,3,FALSE),Supplier!A:B,2,FALSE)</f>
        <v>Supplier SWRXU</v>
      </c>
      <c r="R211" t="str">
        <f>VLOOKUP(VLOOKUP(B211,Product!A:C,3,FALSE),Supplier!A:I,9,FALSE)</f>
        <v>UK</v>
      </c>
      <c r="S211" t="str">
        <f>IFERROR(IF(VLOOKUP(A211,'Sales Order'!A:H,8,FALSE)&gt;100,"High Freight","Low Freight"),"Not Specified")</f>
        <v>Low Freight</v>
      </c>
      <c r="T211">
        <f t="shared" si="7"/>
        <v>304</v>
      </c>
    </row>
    <row r="212" spans="1:20">
      <c r="A212" s="9">
        <v>10327</v>
      </c>
      <c r="B212" s="6">
        <v>11</v>
      </c>
      <c r="C212" s="6">
        <v>16.8</v>
      </c>
      <c r="D212" s="6">
        <v>50</v>
      </c>
      <c r="E212" s="18">
        <v>0.2</v>
      </c>
      <c r="F212" s="6" t="str">
        <f>IFERROR(VLOOKUP(VLOOKUP(A212,'Sales Order'!A:B,2,FALSE),Customer!A:C,3,FALSE),"Not Specified")</f>
        <v>San Juan, Patricia</v>
      </c>
      <c r="G212" s="6" t="str">
        <f t="shared" si="6"/>
        <v>San Juan Patricia</v>
      </c>
      <c r="H212" s="22" t="str">
        <f>IFERROR(VLOOKUP(VLOOKUP(A212,'Sales Order'!A:C,3,FALSE),Employee!A:E,5,FALSE)&amp;" "&amp;VLOOKUP(VLOOKUP(A212,'Sales Order'!A:C,3,FALSE),Employee!A:C,3,FALSE)&amp;" "&amp;VLOOKUP(VLOOKUP(A212,'Sales Order'!A:C,3,FALSE),Employee!A:B,2,FALSE),"Not Specified")</f>
        <v>Dr. Don Funk</v>
      </c>
      <c r="I212" t="str">
        <f>IFERROR(VLOOKUP(VLOOKUP(A212,'Sales Order'!A:C,3,FALSE),Employee!A:J,10,FALSE),"Not Specified")</f>
        <v>WA</v>
      </c>
      <c r="J212" t="str">
        <f>VLOOKUP(B212,Product!A:B,2,FALSE)</f>
        <v>Product QMVUN</v>
      </c>
      <c r="K212" t="str">
        <f>VLOOKUP(VLOOKUP(B212,Product!A:D,4,FALSE),Category!A:B,2,FALSE)</f>
        <v>Dairy Product</v>
      </c>
      <c r="L212" s="24">
        <f>IFERROR(VLOOKUP(A212,'Sales Order'!A:D,4,FALSE),"")</f>
        <v>39001</v>
      </c>
      <c r="M212" s="24">
        <f>IFERROR(VLOOKUP(A212,'Sales Order'!A:F,6,FALSE),"")</f>
        <v>39004</v>
      </c>
      <c r="N212" t="str">
        <f>IFERROR(VLOOKUP(VLOOKUP(A212,'Sales Order'!A:G,7,FALSE),Shipper!A:B,2,FALSE),"Not Specified")</f>
        <v>Shipper GVSUA</v>
      </c>
      <c r="O212" t="str">
        <f>IFERROR(VLOOKUP(A212,'Sales Order'!A:I,9,FALSE),"Not Specified")</f>
        <v>Destination NCKKO</v>
      </c>
      <c r="P212" t="str">
        <f>IFERROR(VLOOKUP(A212,'Sales Order'!A:N,14,FALSE),"Not Specified")</f>
        <v>Sweden</v>
      </c>
      <c r="Q212" t="str">
        <f>VLOOKUP(VLOOKUP(B212,Product!A:C,3,FALSE),Supplier!A:B,2,FALSE)</f>
        <v>Supplier EQPNC</v>
      </c>
      <c r="R212" t="str">
        <f>VLOOKUP(VLOOKUP(B212,Product!A:C,3,FALSE),Supplier!A:I,9,FALSE)</f>
        <v>Spain</v>
      </c>
      <c r="S212" t="str">
        <f>IFERROR(IF(VLOOKUP(A212,'Sales Order'!A:H,8,FALSE)&gt;100,"High Freight","Low Freight"),"Not Specified")</f>
        <v>Low Freight</v>
      </c>
      <c r="T212">
        <f t="shared" si="7"/>
        <v>672</v>
      </c>
    </row>
    <row r="213" spans="1:20">
      <c r="A213" s="9">
        <v>10327</v>
      </c>
      <c r="B213" s="6">
        <v>30</v>
      </c>
      <c r="C213" s="6">
        <v>20.7</v>
      </c>
      <c r="D213" s="6">
        <v>35</v>
      </c>
      <c r="E213" s="18">
        <v>0.2</v>
      </c>
      <c r="F213" s="6" t="str">
        <f>IFERROR(VLOOKUP(VLOOKUP(A213,'Sales Order'!A:B,2,FALSE),Customer!A:C,3,FALSE),"Not Specified")</f>
        <v>San Juan, Patricia</v>
      </c>
      <c r="G213" s="6" t="str">
        <f t="shared" si="6"/>
        <v>San Juan Patricia</v>
      </c>
      <c r="H213" s="22" t="str">
        <f>IFERROR(VLOOKUP(VLOOKUP(A213,'Sales Order'!A:C,3,FALSE),Employee!A:E,5,FALSE)&amp;" "&amp;VLOOKUP(VLOOKUP(A213,'Sales Order'!A:C,3,FALSE),Employee!A:C,3,FALSE)&amp;" "&amp;VLOOKUP(VLOOKUP(A213,'Sales Order'!A:C,3,FALSE),Employee!A:B,2,FALSE),"Not Specified")</f>
        <v>Dr. Don Funk</v>
      </c>
      <c r="I213" t="str">
        <f>IFERROR(VLOOKUP(VLOOKUP(A213,'Sales Order'!A:C,3,FALSE),Employee!A:J,10,FALSE),"Not Specified")</f>
        <v>WA</v>
      </c>
      <c r="J213" t="str">
        <f>VLOOKUP(B213,Product!A:B,2,FALSE)</f>
        <v>Product LYERX</v>
      </c>
      <c r="K213" t="str">
        <f>VLOOKUP(VLOOKUP(B213,Product!A:D,4,FALSE),Category!A:B,2,FALSE)</f>
        <v>Seafood</v>
      </c>
      <c r="L213" s="24">
        <f>IFERROR(VLOOKUP(A213,'Sales Order'!A:D,4,FALSE),"")</f>
        <v>39001</v>
      </c>
      <c r="M213" s="24">
        <f>IFERROR(VLOOKUP(A213,'Sales Order'!A:F,6,FALSE),"")</f>
        <v>39004</v>
      </c>
      <c r="N213" t="str">
        <f>IFERROR(VLOOKUP(VLOOKUP(A213,'Sales Order'!A:G,7,FALSE),Shipper!A:B,2,FALSE),"Not Specified")</f>
        <v>Shipper GVSUA</v>
      </c>
      <c r="O213" t="str">
        <f>IFERROR(VLOOKUP(A213,'Sales Order'!A:I,9,FALSE),"Not Specified")</f>
        <v>Destination NCKKO</v>
      </c>
      <c r="P213" t="str">
        <f>IFERROR(VLOOKUP(A213,'Sales Order'!A:N,14,FALSE),"Not Specified")</f>
        <v>Sweden</v>
      </c>
      <c r="Q213" t="str">
        <f>VLOOKUP(VLOOKUP(B213,Product!A:C,3,FALSE),Supplier!A:B,2,FALSE)</f>
        <v>Supplier TEGSC</v>
      </c>
      <c r="R213" t="str">
        <f>VLOOKUP(VLOOKUP(B213,Product!A:C,3,FALSE),Supplier!A:I,9,FALSE)</f>
        <v>Germany</v>
      </c>
      <c r="S213" t="str">
        <f>IFERROR(IF(VLOOKUP(A213,'Sales Order'!A:H,8,FALSE)&gt;100,"High Freight","Low Freight"),"Not Specified")</f>
        <v>Low Freight</v>
      </c>
      <c r="T213">
        <f t="shared" si="7"/>
        <v>579.6</v>
      </c>
    </row>
    <row r="214" spans="1:20">
      <c r="A214" s="9">
        <v>10327</v>
      </c>
      <c r="B214" s="6">
        <v>58</v>
      </c>
      <c r="C214" s="6">
        <v>10.6</v>
      </c>
      <c r="D214" s="6">
        <v>30</v>
      </c>
      <c r="E214" s="18">
        <v>0.2</v>
      </c>
      <c r="F214" s="6" t="str">
        <f>IFERROR(VLOOKUP(VLOOKUP(A214,'Sales Order'!A:B,2,FALSE),Customer!A:C,3,FALSE),"Not Specified")</f>
        <v>San Juan, Patricia</v>
      </c>
      <c r="G214" s="6" t="str">
        <f t="shared" si="6"/>
        <v>San Juan Patricia</v>
      </c>
      <c r="H214" s="22" t="str">
        <f>IFERROR(VLOOKUP(VLOOKUP(A214,'Sales Order'!A:C,3,FALSE),Employee!A:E,5,FALSE)&amp;" "&amp;VLOOKUP(VLOOKUP(A214,'Sales Order'!A:C,3,FALSE),Employee!A:C,3,FALSE)&amp;" "&amp;VLOOKUP(VLOOKUP(A214,'Sales Order'!A:C,3,FALSE),Employee!A:B,2,FALSE),"Not Specified")</f>
        <v>Dr. Don Funk</v>
      </c>
      <c r="I214" t="str">
        <f>IFERROR(VLOOKUP(VLOOKUP(A214,'Sales Order'!A:C,3,FALSE),Employee!A:J,10,FALSE),"Not Specified")</f>
        <v>WA</v>
      </c>
      <c r="J214" t="str">
        <f>VLOOKUP(B214,Product!A:B,2,FALSE)</f>
        <v>Product ACRVI</v>
      </c>
      <c r="K214" t="str">
        <f>VLOOKUP(VLOOKUP(B214,Product!A:D,4,FALSE),Category!A:B,2,FALSE)</f>
        <v>Seafood</v>
      </c>
      <c r="L214" s="24">
        <f>IFERROR(VLOOKUP(A214,'Sales Order'!A:D,4,FALSE),"")</f>
        <v>39001</v>
      </c>
      <c r="M214" s="24">
        <f>IFERROR(VLOOKUP(A214,'Sales Order'!A:F,6,FALSE),"")</f>
        <v>39004</v>
      </c>
      <c r="N214" t="str">
        <f>IFERROR(VLOOKUP(VLOOKUP(A214,'Sales Order'!A:G,7,FALSE),Shipper!A:B,2,FALSE),"Not Specified")</f>
        <v>Shipper GVSUA</v>
      </c>
      <c r="O214" t="str">
        <f>IFERROR(VLOOKUP(A214,'Sales Order'!A:I,9,FALSE),"Not Specified")</f>
        <v>Destination NCKKO</v>
      </c>
      <c r="P214" t="str">
        <f>IFERROR(VLOOKUP(A214,'Sales Order'!A:N,14,FALSE),"Not Specified")</f>
        <v>Sweden</v>
      </c>
      <c r="Q214" t="str">
        <f>VLOOKUP(VLOOKUP(B214,Product!A:C,3,FALSE),Supplier!A:B,2,FALSE)</f>
        <v>Supplier ZRYDZ</v>
      </c>
      <c r="R214" t="str">
        <f>VLOOKUP(VLOOKUP(B214,Product!A:C,3,FALSE),Supplier!A:I,9,FALSE)</f>
        <v>France</v>
      </c>
      <c r="S214" t="str">
        <f>IFERROR(IF(VLOOKUP(A214,'Sales Order'!A:H,8,FALSE)&gt;100,"High Freight","Low Freight"),"Not Specified")</f>
        <v>Low Freight</v>
      </c>
      <c r="T214">
        <f t="shared" si="7"/>
        <v>254.4</v>
      </c>
    </row>
    <row r="215" spans="1:20">
      <c r="A215" s="9">
        <v>10328</v>
      </c>
      <c r="B215" s="6">
        <v>59</v>
      </c>
      <c r="C215" s="6">
        <v>44</v>
      </c>
      <c r="D215" s="6">
        <v>9</v>
      </c>
      <c r="E215" s="18">
        <v>0</v>
      </c>
      <c r="F215" s="6" t="str">
        <f>IFERROR(VLOOKUP(VLOOKUP(A215,'Sales Order'!A:B,2,FALSE),Customer!A:C,3,FALSE),"Not Specified")</f>
        <v>Cavaglieri, Giorgio</v>
      </c>
      <c r="G215" s="6" t="str">
        <f t="shared" si="6"/>
        <v>Cavaglieri Giorgio</v>
      </c>
      <c r="H215" s="22" t="str">
        <f>IFERROR(VLOOKUP(VLOOKUP(A215,'Sales Order'!A:C,3,FALSE),Employee!A:E,5,FALSE)&amp;" "&amp;VLOOKUP(VLOOKUP(A215,'Sales Order'!A:C,3,FALSE),Employee!A:C,3,FALSE)&amp;" "&amp;VLOOKUP(VLOOKUP(A215,'Sales Order'!A:C,3,FALSE),Employee!A:B,2,FALSE),"Not Specified")</f>
        <v>Mrs. Yael Peled</v>
      </c>
      <c r="I215" t="str">
        <f>IFERROR(VLOOKUP(VLOOKUP(A215,'Sales Order'!A:C,3,FALSE),Employee!A:J,10,FALSE),"Not Specified")</f>
        <v>WA</v>
      </c>
      <c r="J215" t="str">
        <f>VLOOKUP(B215,Product!A:B,2,FALSE)</f>
        <v>Product UKXRI</v>
      </c>
      <c r="K215" t="str">
        <f>VLOOKUP(VLOOKUP(B215,Product!A:D,4,FALSE),Category!A:B,2,FALSE)</f>
        <v>Dairy Product</v>
      </c>
      <c r="L215" s="24">
        <f>IFERROR(VLOOKUP(A215,'Sales Order'!A:D,4,FALSE),"")</f>
        <v>39004</v>
      </c>
      <c r="M215" s="24">
        <f>IFERROR(VLOOKUP(A215,'Sales Order'!A:F,6,FALSE),"")</f>
        <v>39007</v>
      </c>
      <c r="N215" t="str">
        <f>IFERROR(VLOOKUP(VLOOKUP(A215,'Sales Order'!A:G,7,FALSE),Shipper!A:B,2,FALSE),"Not Specified")</f>
        <v>Shipper ZHISN</v>
      </c>
      <c r="O215" t="str">
        <f>IFERROR(VLOOKUP(A215,'Sales Order'!A:I,9,FALSE),"Not Specified")</f>
        <v>Destination CIRQO</v>
      </c>
      <c r="P215" t="str">
        <f>IFERROR(VLOOKUP(A215,'Sales Order'!A:N,14,FALSE),"Not Specified")</f>
        <v>Portugal</v>
      </c>
      <c r="Q215" t="str">
        <f>VLOOKUP(VLOOKUP(B215,Product!A:C,3,FALSE),Supplier!A:B,2,FALSE)</f>
        <v>Supplier OAVQT</v>
      </c>
      <c r="R215" t="str">
        <f>VLOOKUP(VLOOKUP(B215,Product!A:C,3,FALSE),Supplier!A:I,9,FALSE)</f>
        <v>France</v>
      </c>
      <c r="S215" t="str">
        <f>IFERROR(IF(VLOOKUP(A215,'Sales Order'!A:H,8,FALSE)&gt;100,"High Freight","Low Freight"),"Not Specified")</f>
        <v>Low Freight</v>
      </c>
      <c r="T215">
        <f t="shared" si="7"/>
        <v>396</v>
      </c>
    </row>
    <row r="216" spans="1:20">
      <c r="A216" s="9">
        <v>10328</v>
      </c>
      <c r="B216" s="6">
        <v>65</v>
      </c>
      <c r="C216" s="6">
        <v>16.8</v>
      </c>
      <c r="D216" s="6">
        <v>40</v>
      </c>
      <c r="E216" s="18">
        <v>0</v>
      </c>
      <c r="F216" s="6" t="str">
        <f>IFERROR(VLOOKUP(VLOOKUP(A216,'Sales Order'!A:B,2,FALSE),Customer!A:C,3,FALSE),"Not Specified")</f>
        <v>Cavaglieri, Giorgio</v>
      </c>
      <c r="G216" s="6" t="str">
        <f t="shared" si="6"/>
        <v>Cavaglieri Giorgio</v>
      </c>
      <c r="H216" s="22" t="str">
        <f>IFERROR(VLOOKUP(VLOOKUP(A216,'Sales Order'!A:C,3,FALSE),Employee!A:E,5,FALSE)&amp;" "&amp;VLOOKUP(VLOOKUP(A216,'Sales Order'!A:C,3,FALSE),Employee!A:C,3,FALSE)&amp;" "&amp;VLOOKUP(VLOOKUP(A216,'Sales Order'!A:C,3,FALSE),Employee!A:B,2,FALSE),"Not Specified")</f>
        <v>Mrs. Yael Peled</v>
      </c>
      <c r="I216" t="str">
        <f>IFERROR(VLOOKUP(VLOOKUP(A216,'Sales Order'!A:C,3,FALSE),Employee!A:J,10,FALSE),"Not Specified")</f>
        <v>WA</v>
      </c>
      <c r="J216" t="str">
        <f>VLOOKUP(B216,Product!A:B,2,FALSE)</f>
        <v>Product XYWBZ</v>
      </c>
      <c r="K216" t="str">
        <f>VLOOKUP(VLOOKUP(B216,Product!A:D,4,FALSE),Category!A:B,2,FALSE)</f>
        <v>Condiments</v>
      </c>
      <c r="L216" s="24">
        <f>IFERROR(VLOOKUP(A216,'Sales Order'!A:D,4,FALSE),"")</f>
        <v>39004</v>
      </c>
      <c r="M216" s="24">
        <f>IFERROR(VLOOKUP(A216,'Sales Order'!A:F,6,FALSE),"")</f>
        <v>39007</v>
      </c>
      <c r="N216" t="str">
        <f>IFERROR(VLOOKUP(VLOOKUP(A216,'Sales Order'!A:G,7,FALSE),Shipper!A:B,2,FALSE),"Not Specified")</f>
        <v>Shipper ZHISN</v>
      </c>
      <c r="O216" t="str">
        <f>IFERROR(VLOOKUP(A216,'Sales Order'!A:I,9,FALSE),"Not Specified")</f>
        <v>Destination CIRQO</v>
      </c>
      <c r="P216" t="str">
        <f>IFERROR(VLOOKUP(A216,'Sales Order'!A:N,14,FALSE),"Not Specified")</f>
        <v>Portugal</v>
      </c>
      <c r="Q216" t="str">
        <f>VLOOKUP(VLOOKUP(B216,Product!A:C,3,FALSE),Supplier!A:B,2,FALSE)</f>
        <v>Supplier VHQZD</v>
      </c>
      <c r="R216" t="str">
        <f>VLOOKUP(VLOOKUP(B216,Product!A:C,3,FALSE),Supplier!A:I,9,FALSE)</f>
        <v>USA</v>
      </c>
      <c r="S216" t="str">
        <f>IFERROR(IF(VLOOKUP(A216,'Sales Order'!A:H,8,FALSE)&gt;100,"High Freight","Low Freight"),"Not Specified")</f>
        <v>Low Freight</v>
      </c>
      <c r="T216">
        <f t="shared" si="7"/>
        <v>672</v>
      </c>
    </row>
    <row r="217" spans="1:20">
      <c r="A217" s="9">
        <v>10328</v>
      </c>
      <c r="B217" s="6">
        <v>68</v>
      </c>
      <c r="C217" s="6">
        <v>10</v>
      </c>
      <c r="D217" s="6">
        <v>10</v>
      </c>
      <c r="E217" s="18">
        <v>0</v>
      </c>
      <c r="F217" s="6" t="str">
        <f>IFERROR(VLOOKUP(VLOOKUP(A217,'Sales Order'!A:B,2,FALSE),Customer!A:C,3,FALSE),"Not Specified")</f>
        <v>Cavaglieri, Giorgio</v>
      </c>
      <c r="G217" s="6" t="str">
        <f t="shared" si="6"/>
        <v>Cavaglieri Giorgio</v>
      </c>
      <c r="H217" s="22" t="str">
        <f>IFERROR(VLOOKUP(VLOOKUP(A217,'Sales Order'!A:C,3,FALSE),Employee!A:E,5,FALSE)&amp;" "&amp;VLOOKUP(VLOOKUP(A217,'Sales Order'!A:C,3,FALSE),Employee!A:C,3,FALSE)&amp;" "&amp;VLOOKUP(VLOOKUP(A217,'Sales Order'!A:C,3,FALSE),Employee!A:B,2,FALSE),"Not Specified")</f>
        <v>Mrs. Yael Peled</v>
      </c>
      <c r="I217" t="str">
        <f>IFERROR(VLOOKUP(VLOOKUP(A217,'Sales Order'!A:C,3,FALSE),Employee!A:J,10,FALSE),"Not Specified")</f>
        <v>WA</v>
      </c>
      <c r="J217" t="str">
        <f>VLOOKUP(B217,Product!A:B,2,FALSE)</f>
        <v>Product TBTBL</v>
      </c>
      <c r="K217" t="str">
        <f>VLOOKUP(VLOOKUP(B217,Product!A:D,4,FALSE),Category!A:B,2,FALSE)</f>
        <v>Confections</v>
      </c>
      <c r="L217" s="24">
        <f>IFERROR(VLOOKUP(A217,'Sales Order'!A:D,4,FALSE),"")</f>
        <v>39004</v>
      </c>
      <c r="M217" s="24">
        <f>IFERROR(VLOOKUP(A217,'Sales Order'!A:F,6,FALSE),"")</f>
        <v>39007</v>
      </c>
      <c r="N217" t="str">
        <f>IFERROR(VLOOKUP(VLOOKUP(A217,'Sales Order'!A:G,7,FALSE),Shipper!A:B,2,FALSE),"Not Specified")</f>
        <v>Shipper ZHISN</v>
      </c>
      <c r="O217" t="str">
        <f>IFERROR(VLOOKUP(A217,'Sales Order'!A:I,9,FALSE),"Not Specified")</f>
        <v>Destination CIRQO</v>
      </c>
      <c r="P217" t="str">
        <f>IFERROR(VLOOKUP(A217,'Sales Order'!A:N,14,FALSE),"Not Specified")</f>
        <v>Portugal</v>
      </c>
      <c r="Q217" t="str">
        <f>VLOOKUP(VLOOKUP(B217,Product!A:C,3,FALSE),Supplier!A:B,2,FALSE)</f>
        <v>Supplier BWGYE</v>
      </c>
      <c r="R217" t="str">
        <f>VLOOKUP(VLOOKUP(B217,Product!A:C,3,FALSE),Supplier!A:I,9,FALSE)</f>
        <v>UK</v>
      </c>
      <c r="S217" t="str">
        <f>IFERROR(IF(VLOOKUP(A217,'Sales Order'!A:H,8,FALSE)&gt;100,"High Freight","Low Freight"),"Not Specified")</f>
        <v>Low Freight</v>
      </c>
      <c r="T217">
        <f t="shared" si="7"/>
        <v>100</v>
      </c>
    </row>
    <row r="218" spans="1:20">
      <c r="A218" s="9">
        <v>10329</v>
      </c>
      <c r="B218" s="6">
        <v>19</v>
      </c>
      <c r="C218" s="6">
        <v>7.3</v>
      </c>
      <c r="D218" s="6">
        <v>10</v>
      </c>
      <c r="E218" s="18">
        <v>0.05</v>
      </c>
      <c r="F218" s="6" t="str">
        <f>IFERROR(VLOOKUP(VLOOKUP(A218,'Sales Order'!A:B,2,FALSE),Customer!A:C,3,FALSE),"Not Specified")</f>
        <v>Wojciechowska, Agnieszka</v>
      </c>
      <c r="G218" s="6" t="str">
        <f t="shared" si="6"/>
        <v>Wojciechowska Agnieszka</v>
      </c>
      <c r="H218" s="22" t="str">
        <f>IFERROR(VLOOKUP(VLOOKUP(A218,'Sales Order'!A:C,3,FALSE),Employee!A:E,5,FALSE)&amp;" "&amp;VLOOKUP(VLOOKUP(A218,'Sales Order'!A:C,3,FALSE),Employee!A:C,3,FALSE)&amp;" "&amp;VLOOKUP(VLOOKUP(A218,'Sales Order'!A:C,3,FALSE),Employee!A:B,2,FALSE),"Not Specified")</f>
        <v>Mrs. Yael Peled</v>
      </c>
      <c r="I218" t="str">
        <f>IFERROR(VLOOKUP(VLOOKUP(A218,'Sales Order'!A:C,3,FALSE),Employee!A:J,10,FALSE),"Not Specified")</f>
        <v>WA</v>
      </c>
      <c r="J218" t="str">
        <f>VLOOKUP(B218,Product!A:B,2,FALSE)</f>
        <v>Product XKXDO</v>
      </c>
      <c r="K218" t="str">
        <f>VLOOKUP(VLOOKUP(B218,Product!A:D,4,FALSE),Category!A:B,2,FALSE)</f>
        <v>Confections</v>
      </c>
      <c r="L218" s="24">
        <f>IFERROR(VLOOKUP(A218,'Sales Order'!A:D,4,FALSE),"")</f>
        <v>39005</v>
      </c>
      <c r="M218" s="24">
        <f>IFERROR(VLOOKUP(A218,'Sales Order'!A:F,6,FALSE),"")</f>
        <v>39013</v>
      </c>
      <c r="N218" t="str">
        <f>IFERROR(VLOOKUP(VLOOKUP(A218,'Sales Order'!A:G,7,FALSE),Shipper!A:B,2,FALSE),"Not Specified")</f>
        <v>Shipper ETYNR</v>
      </c>
      <c r="O218" t="str">
        <f>IFERROR(VLOOKUP(A218,'Sales Order'!A:I,9,FALSE),"Not Specified")</f>
        <v>Ship to 75-C</v>
      </c>
      <c r="P218" t="str">
        <f>IFERROR(VLOOKUP(A218,'Sales Order'!A:N,14,FALSE),"Not Specified")</f>
        <v>USA</v>
      </c>
      <c r="Q218" t="str">
        <f>VLOOKUP(VLOOKUP(B218,Product!A:C,3,FALSE),Supplier!A:B,2,FALSE)</f>
        <v>Supplier BWGYE</v>
      </c>
      <c r="R218" t="str">
        <f>VLOOKUP(VLOOKUP(B218,Product!A:C,3,FALSE),Supplier!A:I,9,FALSE)</f>
        <v>UK</v>
      </c>
      <c r="S218" t="str">
        <f>IFERROR(IF(VLOOKUP(A218,'Sales Order'!A:H,8,FALSE)&gt;100,"High Freight","Low Freight"),"Not Specified")</f>
        <v>High Freight</v>
      </c>
      <c r="T218">
        <f t="shared" si="7"/>
        <v>69.349999999999994</v>
      </c>
    </row>
    <row r="219" spans="1:20">
      <c r="A219" s="9">
        <v>10329</v>
      </c>
      <c r="B219" s="6">
        <v>30</v>
      </c>
      <c r="C219" s="6">
        <v>20.7</v>
      </c>
      <c r="D219" s="6">
        <v>8</v>
      </c>
      <c r="E219" s="18">
        <v>0.05</v>
      </c>
      <c r="F219" s="6" t="str">
        <f>IFERROR(VLOOKUP(VLOOKUP(A219,'Sales Order'!A:B,2,FALSE),Customer!A:C,3,FALSE),"Not Specified")</f>
        <v>Wojciechowska, Agnieszka</v>
      </c>
      <c r="G219" s="6" t="str">
        <f t="shared" si="6"/>
        <v>Wojciechowska Agnieszka</v>
      </c>
      <c r="H219" s="22" t="str">
        <f>IFERROR(VLOOKUP(VLOOKUP(A219,'Sales Order'!A:C,3,FALSE),Employee!A:E,5,FALSE)&amp;" "&amp;VLOOKUP(VLOOKUP(A219,'Sales Order'!A:C,3,FALSE),Employee!A:C,3,FALSE)&amp;" "&amp;VLOOKUP(VLOOKUP(A219,'Sales Order'!A:C,3,FALSE),Employee!A:B,2,FALSE),"Not Specified")</f>
        <v>Mrs. Yael Peled</v>
      </c>
      <c r="I219" t="str">
        <f>IFERROR(VLOOKUP(VLOOKUP(A219,'Sales Order'!A:C,3,FALSE),Employee!A:J,10,FALSE),"Not Specified")</f>
        <v>WA</v>
      </c>
      <c r="J219" t="str">
        <f>VLOOKUP(B219,Product!A:B,2,FALSE)</f>
        <v>Product LYERX</v>
      </c>
      <c r="K219" t="str">
        <f>VLOOKUP(VLOOKUP(B219,Product!A:D,4,FALSE),Category!A:B,2,FALSE)</f>
        <v>Seafood</v>
      </c>
      <c r="L219" s="24">
        <f>IFERROR(VLOOKUP(A219,'Sales Order'!A:D,4,FALSE),"")</f>
        <v>39005</v>
      </c>
      <c r="M219" s="24">
        <f>IFERROR(VLOOKUP(A219,'Sales Order'!A:F,6,FALSE),"")</f>
        <v>39013</v>
      </c>
      <c r="N219" t="str">
        <f>IFERROR(VLOOKUP(VLOOKUP(A219,'Sales Order'!A:G,7,FALSE),Shipper!A:B,2,FALSE),"Not Specified")</f>
        <v>Shipper ETYNR</v>
      </c>
      <c r="O219" t="str">
        <f>IFERROR(VLOOKUP(A219,'Sales Order'!A:I,9,FALSE),"Not Specified")</f>
        <v>Ship to 75-C</v>
      </c>
      <c r="P219" t="str">
        <f>IFERROR(VLOOKUP(A219,'Sales Order'!A:N,14,FALSE),"Not Specified")</f>
        <v>USA</v>
      </c>
      <c r="Q219" t="str">
        <f>VLOOKUP(VLOOKUP(B219,Product!A:C,3,FALSE),Supplier!A:B,2,FALSE)</f>
        <v>Supplier TEGSC</v>
      </c>
      <c r="R219" t="str">
        <f>VLOOKUP(VLOOKUP(B219,Product!A:C,3,FALSE),Supplier!A:I,9,FALSE)</f>
        <v>Germany</v>
      </c>
      <c r="S219" t="str">
        <f>IFERROR(IF(VLOOKUP(A219,'Sales Order'!A:H,8,FALSE)&gt;100,"High Freight","Low Freight"),"Not Specified")</f>
        <v>High Freight</v>
      </c>
      <c r="T219">
        <f t="shared" si="7"/>
        <v>157.32</v>
      </c>
    </row>
    <row r="220" spans="1:20">
      <c r="A220" s="9">
        <v>10329</v>
      </c>
      <c r="B220" s="6">
        <v>38</v>
      </c>
      <c r="C220" s="6">
        <v>210.8</v>
      </c>
      <c r="D220" s="6">
        <v>20</v>
      </c>
      <c r="E220" s="18">
        <v>0.05</v>
      </c>
      <c r="F220" s="6" t="str">
        <f>IFERROR(VLOOKUP(VLOOKUP(A220,'Sales Order'!A:B,2,FALSE),Customer!A:C,3,FALSE),"Not Specified")</f>
        <v>Wojciechowska, Agnieszka</v>
      </c>
      <c r="G220" s="6" t="str">
        <f t="shared" si="6"/>
        <v>Wojciechowska Agnieszka</v>
      </c>
      <c r="H220" s="22" t="str">
        <f>IFERROR(VLOOKUP(VLOOKUP(A220,'Sales Order'!A:C,3,FALSE),Employee!A:E,5,FALSE)&amp;" "&amp;VLOOKUP(VLOOKUP(A220,'Sales Order'!A:C,3,FALSE),Employee!A:C,3,FALSE)&amp;" "&amp;VLOOKUP(VLOOKUP(A220,'Sales Order'!A:C,3,FALSE),Employee!A:B,2,FALSE),"Not Specified")</f>
        <v>Mrs. Yael Peled</v>
      </c>
      <c r="I220" t="str">
        <f>IFERROR(VLOOKUP(VLOOKUP(A220,'Sales Order'!A:C,3,FALSE),Employee!A:J,10,FALSE),"Not Specified")</f>
        <v>WA</v>
      </c>
      <c r="J220" t="str">
        <f>VLOOKUP(B220,Product!A:B,2,FALSE)</f>
        <v>Product QDOMO</v>
      </c>
      <c r="K220" t="str">
        <f>VLOOKUP(VLOOKUP(B220,Product!A:D,4,FALSE),Category!A:B,2,FALSE)</f>
        <v>Beverages</v>
      </c>
      <c r="L220" s="24">
        <f>IFERROR(VLOOKUP(A220,'Sales Order'!A:D,4,FALSE),"")</f>
        <v>39005</v>
      </c>
      <c r="M220" s="24">
        <f>IFERROR(VLOOKUP(A220,'Sales Order'!A:F,6,FALSE),"")</f>
        <v>39013</v>
      </c>
      <c r="N220" t="str">
        <f>IFERROR(VLOOKUP(VLOOKUP(A220,'Sales Order'!A:G,7,FALSE),Shipper!A:B,2,FALSE),"Not Specified")</f>
        <v>Shipper ETYNR</v>
      </c>
      <c r="O220" t="str">
        <f>IFERROR(VLOOKUP(A220,'Sales Order'!A:I,9,FALSE),"Not Specified")</f>
        <v>Ship to 75-C</v>
      </c>
      <c r="P220" t="str">
        <f>IFERROR(VLOOKUP(A220,'Sales Order'!A:N,14,FALSE),"Not Specified")</f>
        <v>USA</v>
      </c>
      <c r="Q220" t="str">
        <f>VLOOKUP(VLOOKUP(B220,Product!A:C,3,FALSE),Supplier!A:B,2,FALSE)</f>
        <v>Supplier LVJUA</v>
      </c>
      <c r="R220" t="str">
        <f>VLOOKUP(VLOOKUP(B220,Product!A:C,3,FALSE),Supplier!A:I,9,FALSE)</f>
        <v>France</v>
      </c>
      <c r="S220" t="str">
        <f>IFERROR(IF(VLOOKUP(A220,'Sales Order'!A:H,8,FALSE)&gt;100,"High Freight","Low Freight"),"Not Specified")</f>
        <v>High Freight</v>
      </c>
      <c r="T220">
        <f t="shared" si="7"/>
        <v>4005.2</v>
      </c>
    </row>
    <row r="221" spans="1:20">
      <c r="A221" s="9">
        <v>10329</v>
      </c>
      <c r="B221" s="6">
        <v>56</v>
      </c>
      <c r="C221" s="6">
        <v>30.4</v>
      </c>
      <c r="D221" s="6">
        <v>12</v>
      </c>
      <c r="E221" s="18">
        <v>0.05</v>
      </c>
      <c r="F221" s="6" t="str">
        <f>IFERROR(VLOOKUP(VLOOKUP(A221,'Sales Order'!A:B,2,FALSE),Customer!A:C,3,FALSE),"Not Specified")</f>
        <v>Wojciechowska, Agnieszka</v>
      </c>
      <c r="G221" s="6" t="str">
        <f t="shared" si="6"/>
        <v>Wojciechowska Agnieszka</v>
      </c>
      <c r="H221" s="22" t="str">
        <f>IFERROR(VLOOKUP(VLOOKUP(A221,'Sales Order'!A:C,3,FALSE),Employee!A:E,5,FALSE)&amp;" "&amp;VLOOKUP(VLOOKUP(A221,'Sales Order'!A:C,3,FALSE),Employee!A:C,3,FALSE)&amp;" "&amp;VLOOKUP(VLOOKUP(A221,'Sales Order'!A:C,3,FALSE),Employee!A:B,2,FALSE),"Not Specified")</f>
        <v>Mrs. Yael Peled</v>
      </c>
      <c r="I221" t="str">
        <f>IFERROR(VLOOKUP(VLOOKUP(A221,'Sales Order'!A:C,3,FALSE),Employee!A:J,10,FALSE),"Not Specified")</f>
        <v>WA</v>
      </c>
      <c r="J221" t="str">
        <f>VLOOKUP(B221,Product!A:B,2,FALSE)</f>
        <v>Product VKCMF</v>
      </c>
      <c r="K221" t="str">
        <f>VLOOKUP(VLOOKUP(B221,Product!A:D,4,FALSE),Category!A:B,2,FALSE)</f>
        <v>Grains/Cereals</v>
      </c>
      <c r="L221" s="24">
        <f>IFERROR(VLOOKUP(A221,'Sales Order'!A:D,4,FALSE),"")</f>
        <v>39005</v>
      </c>
      <c r="M221" s="24">
        <f>IFERROR(VLOOKUP(A221,'Sales Order'!A:F,6,FALSE),"")</f>
        <v>39013</v>
      </c>
      <c r="N221" t="str">
        <f>IFERROR(VLOOKUP(VLOOKUP(A221,'Sales Order'!A:G,7,FALSE),Shipper!A:B,2,FALSE),"Not Specified")</f>
        <v>Shipper ETYNR</v>
      </c>
      <c r="O221" t="str">
        <f>IFERROR(VLOOKUP(A221,'Sales Order'!A:I,9,FALSE),"Not Specified")</f>
        <v>Ship to 75-C</v>
      </c>
      <c r="P221" t="str">
        <f>IFERROR(VLOOKUP(A221,'Sales Order'!A:N,14,FALSE),"Not Specified")</f>
        <v>USA</v>
      </c>
      <c r="Q221" t="str">
        <f>VLOOKUP(VLOOKUP(B221,Product!A:C,3,FALSE),Supplier!A:B,2,FALSE)</f>
        <v>Supplier ZWZDM</v>
      </c>
      <c r="R221" t="str">
        <f>VLOOKUP(VLOOKUP(B221,Product!A:C,3,FALSE),Supplier!A:I,9,FALSE)</f>
        <v>Italy</v>
      </c>
      <c r="S221" t="str">
        <f>IFERROR(IF(VLOOKUP(A221,'Sales Order'!A:H,8,FALSE)&gt;100,"High Freight","Low Freight"),"Not Specified")</f>
        <v>High Freight</v>
      </c>
      <c r="T221">
        <f t="shared" si="7"/>
        <v>346.55999999999995</v>
      </c>
    </row>
    <row r="222" spans="1:20">
      <c r="A222" s="9">
        <v>10330</v>
      </c>
      <c r="B222" s="6">
        <v>26</v>
      </c>
      <c r="C222" s="6">
        <v>24.9</v>
      </c>
      <c r="D222" s="6">
        <v>50</v>
      </c>
      <c r="E222" s="18">
        <v>0.15</v>
      </c>
      <c r="F222" s="6" t="str">
        <f>IFERROR(VLOOKUP(VLOOKUP(A222,'Sales Order'!A:B,2,FALSE),Customer!A:C,3,FALSE),"Not Specified")</f>
        <v>Dressler, Marlies</v>
      </c>
      <c r="G222" s="6" t="str">
        <f t="shared" si="6"/>
        <v>Dressler Marlies</v>
      </c>
      <c r="H222" s="22" t="str">
        <f>IFERROR(VLOOKUP(VLOOKUP(A222,'Sales Order'!A:C,3,FALSE),Employee!A:E,5,FALSE)&amp;" "&amp;VLOOKUP(VLOOKUP(A222,'Sales Order'!A:C,3,FALSE),Employee!A:C,3,FALSE)&amp;" "&amp;VLOOKUP(VLOOKUP(A222,'Sales Order'!A:C,3,FALSE),Employee!A:B,2,FALSE),"Not Specified")</f>
        <v>Ms. Judy Lew</v>
      </c>
      <c r="I222" t="str">
        <f>IFERROR(VLOOKUP(VLOOKUP(A222,'Sales Order'!A:C,3,FALSE),Employee!A:J,10,FALSE),"Not Specified")</f>
        <v>WA</v>
      </c>
      <c r="J222" t="str">
        <f>VLOOKUP(B222,Product!A:B,2,FALSE)</f>
        <v>Product HLGZA</v>
      </c>
      <c r="K222" t="str">
        <f>VLOOKUP(VLOOKUP(B222,Product!A:D,4,FALSE),Category!A:B,2,FALSE)</f>
        <v>Confections</v>
      </c>
      <c r="L222" s="24">
        <f>IFERROR(VLOOKUP(A222,'Sales Order'!A:D,4,FALSE),"")</f>
        <v>39006</v>
      </c>
      <c r="M222" s="24">
        <f>IFERROR(VLOOKUP(A222,'Sales Order'!A:F,6,FALSE),"")</f>
        <v>39018</v>
      </c>
      <c r="N222" t="str">
        <f>IFERROR(VLOOKUP(VLOOKUP(A222,'Sales Order'!A:G,7,FALSE),Shipper!A:B,2,FALSE),"Not Specified")</f>
        <v>Shipper GVSUA</v>
      </c>
      <c r="O222" t="str">
        <f>IFERROR(VLOOKUP(A222,'Sales Order'!A:I,9,FALSE),"Not Specified")</f>
        <v>Ship to 46-A</v>
      </c>
      <c r="P222" t="str">
        <f>IFERROR(VLOOKUP(A222,'Sales Order'!A:N,14,FALSE),"Not Specified")</f>
        <v>Venezuela</v>
      </c>
      <c r="Q222" t="str">
        <f>VLOOKUP(VLOOKUP(B222,Product!A:C,3,FALSE),Supplier!A:B,2,FALSE)</f>
        <v>Supplier ZPYVS</v>
      </c>
      <c r="R222" t="str">
        <f>VLOOKUP(VLOOKUP(B222,Product!A:C,3,FALSE),Supplier!A:I,9,FALSE)</f>
        <v>Germany</v>
      </c>
      <c r="S222" t="str">
        <f>IFERROR(IF(VLOOKUP(A222,'Sales Order'!A:H,8,FALSE)&gt;100,"High Freight","Low Freight"),"Not Specified")</f>
        <v>Low Freight</v>
      </c>
      <c r="T222">
        <f t="shared" si="7"/>
        <v>1058.25</v>
      </c>
    </row>
    <row r="223" spans="1:20">
      <c r="A223" s="9">
        <v>10330</v>
      </c>
      <c r="B223" s="6">
        <v>72</v>
      </c>
      <c r="C223" s="6">
        <v>27.8</v>
      </c>
      <c r="D223" s="6">
        <v>25</v>
      </c>
      <c r="E223" s="18">
        <v>0.15</v>
      </c>
      <c r="F223" s="6" t="str">
        <f>IFERROR(VLOOKUP(VLOOKUP(A223,'Sales Order'!A:B,2,FALSE),Customer!A:C,3,FALSE),"Not Specified")</f>
        <v>Dressler, Marlies</v>
      </c>
      <c r="G223" s="6" t="str">
        <f t="shared" si="6"/>
        <v>Dressler Marlies</v>
      </c>
      <c r="H223" s="22" t="str">
        <f>IFERROR(VLOOKUP(VLOOKUP(A223,'Sales Order'!A:C,3,FALSE),Employee!A:E,5,FALSE)&amp;" "&amp;VLOOKUP(VLOOKUP(A223,'Sales Order'!A:C,3,FALSE),Employee!A:C,3,FALSE)&amp;" "&amp;VLOOKUP(VLOOKUP(A223,'Sales Order'!A:C,3,FALSE),Employee!A:B,2,FALSE),"Not Specified")</f>
        <v>Ms. Judy Lew</v>
      </c>
      <c r="I223" t="str">
        <f>IFERROR(VLOOKUP(VLOOKUP(A223,'Sales Order'!A:C,3,FALSE),Employee!A:J,10,FALSE),"Not Specified")</f>
        <v>WA</v>
      </c>
      <c r="J223" t="str">
        <f>VLOOKUP(B223,Product!A:B,2,FALSE)</f>
        <v>Product GEEOO</v>
      </c>
      <c r="K223" t="str">
        <f>VLOOKUP(VLOOKUP(B223,Product!A:D,4,FALSE),Category!A:B,2,FALSE)</f>
        <v>Dairy Product</v>
      </c>
      <c r="L223" s="24">
        <f>IFERROR(VLOOKUP(A223,'Sales Order'!A:D,4,FALSE),"")</f>
        <v>39006</v>
      </c>
      <c r="M223" s="24">
        <f>IFERROR(VLOOKUP(A223,'Sales Order'!A:F,6,FALSE),"")</f>
        <v>39018</v>
      </c>
      <c r="N223" t="str">
        <f>IFERROR(VLOOKUP(VLOOKUP(A223,'Sales Order'!A:G,7,FALSE),Shipper!A:B,2,FALSE),"Not Specified")</f>
        <v>Shipper GVSUA</v>
      </c>
      <c r="O223" t="str">
        <f>IFERROR(VLOOKUP(A223,'Sales Order'!A:I,9,FALSE),"Not Specified")</f>
        <v>Ship to 46-A</v>
      </c>
      <c r="P223" t="str">
        <f>IFERROR(VLOOKUP(A223,'Sales Order'!A:N,14,FALSE),"Not Specified")</f>
        <v>Venezuela</v>
      </c>
      <c r="Q223" t="str">
        <f>VLOOKUP(VLOOKUP(B223,Product!A:C,3,FALSE),Supplier!A:B,2,FALSE)</f>
        <v>Supplier KEREV</v>
      </c>
      <c r="R223" t="str">
        <f>VLOOKUP(VLOOKUP(B223,Product!A:C,3,FALSE),Supplier!A:I,9,FALSE)</f>
        <v>Italy</v>
      </c>
      <c r="S223" t="str">
        <f>IFERROR(IF(VLOOKUP(A223,'Sales Order'!A:H,8,FALSE)&gt;100,"High Freight","Low Freight"),"Not Specified")</f>
        <v>Low Freight</v>
      </c>
      <c r="T223">
        <f t="shared" si="7"/>
        <v>590.75</v>
      </c>
    </row>
    <row r="224" spans="1:20">
      <c r="A224" s="9">
        <v>10331</v>
      </c>
      <c r="B224" s="6">
        <v>54</v>
      </c>
      <c r="C224" s="6">
        <v>5.9</v>
      </c>
      <c r="D224" s="6">
        <v>15</v>
      </c>
      <c r="E224" s="18">
        <v>0</v>
      </c>
      <c r="F224" s="6" t="str">
        <f>IFERROR(VLOOKUP(VLOOKUP(A224,'Sales Order'!A:B,2,FALSE),Customer!A:C,3,FALSE),"Not Specified")</f>
        <v>Raghav, Amritansh</v>
      </c>
      <c r="G224" s="6" t="str">
        <f t="shared" si="6"/>
        <v>Raghav Amritansh</v>
      </c>
      <c r="H224" s="22" t="str">
        <f>IFERROR(VLOOKUP(VLOOKUP(A224,'Sales Order'!A:C,3,FALSE),Employee!A:E,5,FALSE)&amp;" "&amp;VLOOKUP(VLOOKUP(A224,'Sales Order'!A:C,3,FALSE),Employee!A:C,3,FALSE)&amp;" "&amp;VLOOKUP(VLOOKUP(A224,'Sales Order'!A:C,3,FALSE),Employee!A:B,2,FALSE),"Not Specified")</f>
        <v>Ms. Zoya Dolgopyatova</v>
      </c>
      <c r="I224">
        <f>IFERROR(VLOOKUP(VLOOKUP(A224,'Sales Order'!A:C,3,FALSE),Employee!A:J,10,FALSE),"Not Specified")</f>
        <v>0</v>
      </c>
      <c r="J224" t="str">
        <f>VLOOKUP(B224,Product!A:B,2,FALSE)</f>
        <v>Product QAQRL</v>
      </c>
      <c r="K224" t="str">
        <f>VLOOKUP(VLOOKUP(B224,Product!A:D,4,FALSE),Category!A:B,2,FALSE)</f>
        <v>Meat/Poultry</v>
      </c>
      <c r="L224" s="24">
        <f>IFERROR(VLOOKUP(A224,'Sales Order'!A:D,4,FALSE),"")</f>
        <v>39006</v>
      </c>
      <c r="M224" s="24">
        <f>IFERROR(VLOOKUP(A224,'Sales Order'!A:F,6,FALSE),"")</f>
        <v>39011</v>
      </c>
      <c r="N224" t="str">
        <f>IFERROR(VLOOKUP(VLOOKUP(A224,'Sales Order'!A:G,7,FALSE),Shipper!A:B,2,FALSE),"Not Specified")</f>
        <v>Shipper GVSUA</v>
      </c>
      <c r="O224" t="str">
        <f>IFERROR(VLOOKUP(A224,'Sales Order'!A:I,9,FALSE),"Not Specified")</f>
        <v>Ship to 9-C</v>
      </c>
      <c r="P224" t="str">
        <f>IFERROR(VLOOKUP(A224,'Sales Order'!A:N,14,FALSE),"Not Specified")</f>
        <v>France</v>
      </c>
      <c r="Q224" t="str">
        <f>VLOOKUP(VLOOKUP(B224,Product!A:C,3,FALSE),Supplier!A:B,2,FALSE)</f>
        <v>Supplier ERVYZ</v>
      </c>
      <c r="R224" t="str">
        <f>VLOOKUP(VLOOKUP(B224,Product!A:C,3,FALSE),Supplier!A:I,9,FALSE)</f>
        <v>Canada</v>
      </c>
      <c r="S224" t="str">
        <f>IFERROR(IF(VLOOKUP(A224,'Sales Order'!A:H,8,FALSE)&gt;100,"High Freight","Low Freight"),"Not Specified")</f>
        <v>Low Freight</v>
      </c>
      <c r="T224">
        <f t="shared" si="7"/>
        <v>88.5</v>
      </c>
    </row>
    <row r="225" spans="1:20">
      <c r="A225" s="9">
        <v>10332</v>
      </c>
      <c r="B225" s="6">
        <v>18</v>
      </c>
      <c r="C225" s="6">
        <v>50</v>
      </c>
      <c r="D225" s="6">
        <v>40</v>
      </c>
      <c r="E225" s="18">
        <v>0.2</v>
      </c>
      <c r="F225" s="6" t="str">
        <f>IFERROR(VLOOKUP(VLOOKUP(A225,'Sales Order'!A:B,2,FALSE),Customer!A:C,3,FALSE),"Not Specified")</f>
        <v>Taylor, Maurice</v>
      </c>
      <c r="G225" s="6" t="str">
        <f t="shared" si="6"/>
        <v>Taylor Maurice</v>
      </c>
      <c r="H225" s="22" t="str">
        <f>IFERROR(VLOOKUP(VLOOKUP(A225,'Sales Order'!A:C,3,FALSE),Employee!A:E,5,FALSE)&amp;" "&amp;VLOOKUP(VLOOKUP(A225,'Sales Order'!A:C,3,FALSE),Employee!A:C,3,FALSE)&amp;" "&amp;VLOOKUP(VLOOKUP(A225,'Sales Order'!A:C,3,FALSE),Employee!A:B,2,FALSE),"Not Specified")</f>
        <v>Ms. Judy Lew</v>
      </c>
      <c r="I225" t="str">
        <f>IFERROR(VLOOKUP(VLOOKUP(A225,'Sales Order'!A:C,3,FALSE),Employee!A:J,10,FALSE),"Not Specified")</f>
        <v>WA</v>
      </c>
      <c r="J225" t="str">
        <f>VLOOKUP(B225,Product!A:B,2,FALSE)</f>
        <v>Product CKEDC</v>
      </c>
      <c r="K225" t="str">
        <f>VLOOKUP(VLOOKUP(B225,Product!A:D,4,FALSE),Category!A:B,2,FALSE)</f>
        <v>Seafood</v>
      </c>
      <c r="L225" s="24">
        <f>IFERROR(VLOOKUP(A225,'Sales Order'!A:D,4,FALSE),"")</f>
        <v>39007</v>
      </c>
      <c r="M225" s="24">
        <f>IFERROR(VLOOKUP(A225,'Sales Order'!A:F,6,FALSE),"")</f>
        <v>39011</v>
      </c>
      <c r="N225" t="str">
        <f>IFERROR(VLOOKUP(VLOOKUP(A225,'Sales Order'!A:G,7,FALSE),Shipper!A:B,2,FALSE),"Not Specified")</f>
        <v>Shipper ETYNR</v>
      </c>
      <c r="O225" t="str">
        <f>IFERROR(VLOOKUP(A225,'Sales Order'!A:I,9,FALSE),"Not Specified")</f>
        <v>Ship to 51-B</v>
      </c>
      <c r="P225" t="str">
        <f>IFERROR(VLOOKUP(A225,'Sales Order'!A:N,14,FALSE),"Not Specified")</f>
        <v>Canada</v>
      </c>
      <c r="Q225" t="str">
        <f>VLOOKUP(VLOOKUP(B225,Product!A:C,3,FALSE),Supplier!A:B,2,FALSE)</f>
        <v>Supplier GQRCV</v>
      </c>
      <c r="R225" t="str">
        <f>VLOOKUP(VLOOKUP(B225,Product!A:C,3,FALSE),Supplier!A:I,9,FALSE)</f>
        <v>Australia</v>
      </c>
      <c r="S225" t="str">
        <f>IFERROR(IF(VLOOKUP(A225,'Sales Order'!A:H,8,FALSE)&gt;100,"High Freight","Low Freight"),"Not Specified")</f>
        <v>Low Freight</v>
      </c>
      <c r="T225">
        <f t="shared" si="7"/>
        <v>1600</v>
      </c>
    </row>
    <row r="226" spans="1:20">
      <c r="A226" s="9">
        <v>10332</v>
      </c>
      <c r="B226" s="6">
        <v>42</v>
      </c>
      <c r="C226" s="6">
        <v>11.2</v>
      </c>
      <c r="D226" s="6">
        <v>10</v>
      </c>
      <c r="E226" s="18">
        <v>0.2</v>
      </c>
      <c r="F226" s="6" t="str">
        <f>IFERROR(VLOOKUP(VLOOKUP(A226,'Sales Order'!A:B,2,FALSE),Customer!A:C,3,FALSE),"Not Specified")</f>
        <v>Taylor, Maurice</v>
      </c>
      <c r="G226" s="6" t="str">
        <f t="shared" si="6"/>
        <v>Taylor Maurice</v>
      </c>
      <c r="H226" s="22" t="str">
        <f>IFERROR(VLOOKUP(VLOOKUP(A226,'Sales Order'!A:C,3,FALSE),Employee!A:E,5,FALSE)&amp;" "&amp;VLOOKUP(VLOOKUP(A226,'Sales Order'!A:C,3,FALSE),Employee!A:C,3,FALSE)&amp;" "&amp;VLOOKUP(VLOOKUP(A226,'Sales Order'!A:C,3,FALSE),Employee!A:B,2,FALSE),"Not Specified")</f>
        <v>Ms. Judy Lew</v>
      </c>
      <c r="I226" t="str">
        <f>IFERROR(VLOOKUP(VLOOKUP(A226,'Sales Order'!A:C,3,FALSE),Employee!A:J,10,FALSE),"Not Specified")</f>
        <v>WA</v>
      </c>
      <c r="J226" t="str">
        <f>VLOOKUP(B226,Product!A:B,2,FALSE)</f>
        <v>Product RJVNM</v>
      </c>
      <c r="K226" t="str">
        <f>VLOOKUP(VLOOKUP(B226,Product!A:D,4,FALSE),Category!A:B,2,FALSE)</f>
        <v>Grains/Cereals</v>
      </c>
      <c r="L226" s="24">
        <f>IFERROR(VLOOKUP(A226,'Sales Order'!A:D,4,FALSE),"")</f>
        <v>39007</v>
      </c>
      <c r="M226" s="24">
        <f>IFERROR(VLOOKUP(A226,'Sales Order'!A:F,6,FALSE),"")</f>
        <v>39011</v>
      </c>
      <c r="N226" t="str">
        <f>IFERROR(VLOOKUP(VLOOKUP(A226,'Sales Order'!A:G,7,FALSE),Shipper!A:B,2,FALSE),"Not Specified")</f>
        <v>Shipper ETYNR</v>
      </c>
      <c r="O226" t="str">
        <f>IFERROR(VLOOKUP(A226,'Sales Order'!A:I,9,FALSE),"Not Specified")</f>
        <v>Ship to 51-B</v>
      </c>
      <c r="P226" t="str">
        <f>IFERROR(VLOOKUP(A226,'Sales Order'!A:N,14,FALSE),"Not Specified")</f>
        <v>Canada</v>
      </c>
      <c r="Q226" t="str">
        <f>VLOOKUP(VLOOKUP(B226,Product!A:C,3,FALSE),Supplier!A:B,2,FALSE)</f>
        <v>Supplier CIYNM</v>
      </c>
      <c r="R226" t="str">
        <f>VLOOKUP(VLOOKUP(B226,Product!A:C,3,FALSE),Supplier!A:I,9,FALSE)</f>
        <v>Singapore</v>
      </c>
      <c r="S226" t="str">
        <f>IFERROR(IF(VLOOKUP(A226,'Sales Order'!A:H,8,FALSE)&gt;100,"High Freight","Low Freight"),"Not Specified")</f>
        <v>Low Freight</v>
      </c>
      <c r="T226">
        <f t="shared" si="7"/>
        <v>89.600000000000009</v>
      </c>
    </row>
    <row r="227" spans="1:20">
      <c r="A227" s="9">
        <v>10332</v>
      </c>
      <c r="B227" s="6">
        <v>47</v>
      </c>
      <c r="C227" s="6">
        <v>7.6</v>
      </c>
      <c r="D227" s="6">
        <v>16</v>
      </c>
      <c r="E227" s="18">
        <v>0.2</v>
      </c>
      <c r="F227" s="6" t="str">
        <f>IFERROR(VLOOKUP(VLOOKUP(A227,'Sales Order'!A:B,2,FALSE),Customer!A:C,3,FALSE),"Not Specified")</f>
        <v>Taylor, Maurice</v>
      </c>
      <c r="G227" s="6" t="str">
        <f t="shared" si="6"/>
        <v>Taylor Maurice</v>
      </c>
      <c r="H227" s="22" t="str">
        <f>IFERROR(VLOOKUP(VLOOKUP(A227,'Sales Order'!A:C,3,FALSE),Employee!A:E,5,FALSE)&amp;" "&amp;VLOOKUP(VLOOKUP(A227,'Sales Order'!A:C,3,FALSE),Employee!A:C,3,FALSE)&amp;" "&amp;VLOOKUP(VLOOKUP(A227,'Sales Order'!A:C,3,FALSE),Employee!A:B,2,FALSE),"Not Specified")</f>
        <v>Ms. Judy Lew</v>
      </c>
      <c r="I227" t="str">
        <f>IFERROR(VLOOKUP(VLOOKUP(A227,'Sales Order'!A:C,3,FALSE),Employee!A:J,10,FALSE),"Not Specified")</f>
        <v>WA</v>
      </c>
      <c r="J227" t="str">
        <f>VLOOKUP(B227,Product!A:B,2,FALSE)</f>
        <v>Product EZZPR</v>
      </c>
      <c r="K227" t="str">
        <f>VLOOKUP(VLOOKUP(B227,Product!A:D,4,FALSE),Category!A:B,2,FALSE)</f>
        <v>Confections</v>
      </c>
      <c r="L227" s="24">
        <f>IFERROR(VLOOKUP(A227,'Sales Order'!A:D,4,FALSE),"")</f>
        <v>39007</v>
      </c>
      <c r="M227" s="24">
        <f>IFERROR(VLOOKUP(A227,'Sales Order'!A:F,6,FALSE),"")</f>
        <v>39011</v>
      </c>
      <c r="N227" t="str">
        <f>IFERROR(VLOOKUP(VLOOKUP(A227,'Sales Order'!A:G,7,FALSE),Shipper!A:B,2,FALSE),"Not Specified")</f>
        <v>Shipper ETYNR</v>
      </c>
      <c r="O227" t="str">
        <f>IFERROR(VLOOKUP(A227,'Sales Order'!A:I,9,FALSE),"Not Specified")</f>
        <v>Ship to 51-B</v>
      </c>
      <c r="P227" t="str">
        <f>IFERROR(VLOOKUP(A227,'Sales Order'!A:N,14,FALSE),"Not Specified")</f>
        <v>Canada</v>
      </c>
      <c r="Q227" t="str">
        <f>VLOOKUP(VLOOKUP(B227,Product!A:C,3,FALSE),Supplier!A:B,2,FALSE)</f>
        <v>Supplier FNUXM</v>
      </c>
      <c r="R227" t="str">
        <f>VLOOKUP(VLOOKUP(B227,Product!A:C,3,FALSE),Supplier!A:I,9,FALSE)</f>
        <v>Netherlands</v>
      </c>
      <c r="S227" t="str">
        <f>IFERROR(IF(VLOOKUP(A227,'Sales Order'!A:H,8,FALSE)&gt;100,"High Freight","Low Freight"),"Not Specified")</f>
        <v>Low Freight</v>
      </c>
      <c r="T227">
        <f t="shared" si="7"/>
        <v>97.28</v>
      </c>
    </row>
    <row r="228" spans="1:20">
      <c r="A228" s="9">
        <v>10333</v>
      </c>
      <c r="B228" s="6">
        <v>14</v>
      </c>
      <c r="C228" s="6">
        <v>18.600000000000001</v>
      </c>
      <c r="D228" s="6">
        <v>10</v>
      </c>
      <c r="E228" s="18">
        <v>0</v>
      </c>
      <c r="F228" s="6" t="str">
        <f>IFERROR(VLOOKUP(VLOOKUP(A228,'Sales Order'!A:B,2,FALSE),Customer!A:C,3,FALSE),"Not Specified")</f>
        <v>Ludwig, Michael</v>
      </c>
      <c r="G228" s="6" t="str">
        <f t="shared" si="6"/>
        <v>Ludwig Michael</v>
      </c>
      <c r="H228" s="22" t="str">
        <f>IFERROR(VLOOKUP(VLOOKUP(A228,'Sales Order'!A:C,3,FALSE),Employee!A:E,5,FALSE)&amp;" "&amp;VLOOKUP(VLOOKUP(A228,'Sales Order'!A:C,3,FALSE),Employee!A:C,3,FALSE)&amp;" "&amp;VLOOKUP(VLOOKUP(A228,'Sales Order'!A:C,3,FALSE),Employee!A:B,2,FALSE),"Not Specified")</f>
        <v>Mr. Sven Buck</v>
      </c>
      <c r="I228">
        <f>IFERROR(VLOOKUP(VLOOKUP(A228,'Sales Order'!A:C,3,FALSE),Employee!A:J,10,FALSE),"Not Specified")</f>
        <v>0</v>
      </c>
      <c r="J228" t="str">
        <f>VLOOKUP(B228,Product!A:B,2,FALSE)</f>
        <v>Product PWCJB</v>
      </c>
      <c r="K228" t="str">
        <f>VLOOKUP(VLOOKUP(B228,Product!A:D,4,FALSE),Category!A:B,2,FALSE)</f>
        <v>Produce</v>
      </c>
      <c r="L228" s="24">
        <f>IFERROR(VLOOKUP(A228,'Sales Order'!A:D,4,FALSE),"")</f>
        <v>39008</v>
      </c>
      <c r="M228" s="24">
        <f>IFERROR(VLOOKUP(A228,'Sales Order'!A:F,6,FALSE),"")</f>
        <v>39015</v>
      </c>
      <c r="N228" t="str">
        <f>IFERROR(VLOOKUP(VLOOKUP(A228,'Sales Order'!A:G,7,FALSE),Shipper!A:B,2,FALSE),"Not Specified")</f>
        <v>Shipper ZHISN</v>
      </c>
      <c r="O228" t="str">
        <f>IFERROR(VLOOKUP(A228,'Sales Order'!A:I,9,FALSE),"Not Specified")</f>
        <v>Ship to 87-C</v>
      </c>
      <c r="P228" t="str">
        <f>IFERROR(VLOOKUP(A228,'Sales Order'!A:N,14,FALSE),"Not Specified")</f>
        <v>Finland</v>
      </c>
      <c r="Q228" t="str">
        <f>VLOOKUP(VLOOKUP(B228,Product!A:C,3,FALSE),Supplier!A:B,2,FALSE)</f>
        <v>Supplier QWUSF</v>
      </c>
      <c r="R228" t="str">
        <f>VLOOKUP(VLOOKUP(B228,Product!A:C,3,FALSE),Supplier!A:I,9,FALSE)</f>
        <v>Japan</v>
      </c>
      <c r="S228" t="str">
        <f>IFERROR(IF(VLOOKUP(A228,'Sales Order'!A:H,8,FALSE)&gt;100,"High Freight","Low Freight"),"Not Specified")</f>
        <v>Low Freight</v>
      </c>
      <c r="T228">
        <f t="shared" si="7"/>
        <v>186</v>
      </c>
    </row>
    <row r="229" spans="1:20">
      <c r="A229" s="9">
        <v>10333</v>
      </c>
      <c r="B229" s="6">
        <v>21</v>
      </c>
      <c r="C229" s="6">
        <v>8</v>
      </c>
      <c r="D229" s="6">
        <v>10</v>
      </c>
      <c r="E229" s="18">
        <v>0.1</v>
      </c>
      <c r="F229" s="6" t="str">
        <f>IFERROR(VLOOKUP(VLOOKUP(A229,'Sales Order'!A:B,2,FALSE),Customer!A:C,3,FALSE),"Not Specified")</f>
        <v>Ludwig, Michael</v>
      </c>
      <c r="G229" s="6" t="str">
        <f t="shared" si="6"/>
        <v>Ludwig Michael</v>
      </c>
      <c r="H229" s="22" t="str">
        <f>IFERROR(VLOOKUP(VLOOKUP(A229,'Sales Order'!A:C,3,FALSE),Employee!A:E,5,FALSE)&amp;" "&amp;VLOOKUP(VLOOKUP(A229,'Sales Order'!A:C,3,FALSE),Employee!A:C,3,FALSE)&amp;" "&amp;VLOOKUP(VLOOKUP(A229,'Sales Order'!A:C,3,FALSE),Employee!A:B,2,FALSE),"Not Specified")</f>
        <v>Mr. Sven Buck</v>
      </c>
      <c r="I229">
        <f>IFERROR(VLOOKUP(VLOOKUP(A229,'Sales Order'!A:C,3,FALSE),Employee!A:J,10,FALSE),"Not Specified")</f>
        <v>0</v>
      </c>
      <c r="J229" t="str">
        <f>VLOOKUP(B229,Product!A:B,2,FALSE)</f>
        <v>Product VJZZH</v>
      </c>
      <c r="K229" t="str">
        <f>VLOOKUP(VLOOKUP(B229,Product!A:D,4,FALSE),Category!A:B,2,FALSE)</f>
        <v>Confections</v>
      </c>
      <c r="L229" s="24">
        <f>IFERROR(VLOOKUP(A229,'Sales Order'!A:D,4,FALSE),"")</f>
        <v>39008</v>
      </c>
      <c r="M229" s="24">
        <f>IFERROR(VLOOKUP(A229,'Sales Order'!A:F,6,FALSE),"")</f>
        <v>39015</v>
      </c>
      <c r="N229" t="str">
        <f>IFERROR(VLOOKUP(VLOOKUP(A229,'Sales Order'!A:G,7,FALSE),Shipper!A:B,2,FALSE),"Not Specified")</f>
        <v>Shipper ZHISN</v>
      </c>
      <c r="O229" t="str">
        <f>IFERROR(VLOOKUP(A229,'Sales Order'!A:I,9,FALSE),"Not Specified")</f>
        <v>Ship to 87-C</v>
      </c>
      <c r="P229" t="str">
        <f>IFERROR(VLOOKUP(A229,'Sales Order'!A:N,14,FALSE),"Not Specified")</f>
        <v>Finland</v>
      </c>
      <c r="Q229" t="str">
        <f>VLOOKUP(VLOOKUP(B229,Product!A:C,3,FALSE),Supplier!A:B,2,FALSE)</f>
        <v>Supplier BWGYE</v>
      </c>
      <c r="R229" t="str">
        <f>VLOOKUP(VLOOKUP(B229,Product!A:C,3,FALSE),Supplier!A:I,9,FALSE)</f>
        <v>UK</v>
      </c>
      <c r="S229" t="str">
        <f>IFERROR(IF(VLOOKUP(A229,'Sales Order'!A:H,8,FALSE)&gt;100,"High Freight","Low Freight"),"Not Specified")</f>
        <v>Low Freight</v>
      </c>
      <c r="T229">
        <f t="shared" si="7"/>
        <v>72</v>
      </c>
    </row>
    <row r="230" spans="1:20">
      <c r="A230" s="9">
        <v>10333</v>
      </c>
      <c r="B230" s="6">
        <v>71</v>
      </c>
      <c r="C230" s="6">
        <v>17.2</v>
      </c>
      <c r="D230" s="6">
        <v>40</v>
      </c>
      <c r="E230" s="18">
        <v>0.1</v>
      </c>
      <c r="F230" s="6" t="str">
        <f>IFERROR(VLOOKUP(VLOOKUP(A230,'Sales Order'!A:B,2,FALSE),Customer!A:C,3,FALSE),"Not Specified")</f>
        <v>Ludwig, Michael</v>
      </c>
      <c r="G230" s="6" t="str">
        <f t="shared" si="6"/>
        <v>Ludwig Michael</v>
      </c>
      <c r="H230" s="22" t="str">
        <f>IFERROR(VLOOKUP(VLOOKUP(A230,'Sales Order'!A:C,3,FALSE),Employee!A:E,5,FALSE)&amp;" "&amp;VLOOKUP(VLOOKUP(A230,'Sales Order'!A:C,3,FALSE),Employee!A:C,3,FALSE)&amp;" "&amp;VLOOKUP(VLOOKUP(A230,'Sales Order'!A:C,3,FALSE),Employee!A:B,2,FALSE),"Not Specified")</f>
        <v>Mr. Sven Buck</v>
      </c>
      <c r="I230">
        <f>IFERROR(VLOOKUP(VLOOKUP(A230,'Sales Order'!A:C,3,FALSE),Employee!A:J,10,FALSE),"Not Specified")</f>
        <v>0</v>
      </c>
      <c r="J230" t="str">
        <f>VLOOKUP(B230,Product!A:B,2,FALSE)</f>
        <v>Product MYMOI</v>
      </c>
      <c r="K230" t="str">
        <f>VLOOKUP(VLOOKUP(B230,Product!A:D,4,FALSE),Category!A:B,2,FALSE)</f>
        <v>Dairy Product</v>
      </c>
      <c r="L230" s="24">
        <f>IFERROR(VLOOKUP(A230,'Sales Order'!A:D,4,FALSE),"")</f>
        <v>39008</v>
      </c>
      <c r="M230" s="24">
        <f>IFERROR(VLOOKUP(A230,'Sales Order'!A:F,6,FALSE),"")</f>
        <v>39015</v>
      </c>
      <c r="N230" t="str">
        <f>IFERROR(VLOOKUP(VLOOKUP(A230,'Sales Order'!A:G,7,FALSE),Shipper!A:B,2,FALSE),"Not Specified")</f>
        <v>Shipper ZHISN</v>
      </c>
      <c r="O230" t="str">
        <f>IFERROR(VLOOKUP(A230,'Sales Order'!A:I,9,FALSE),"Not Specified")</f>
        <v>Ship to 87-C</v>
      </c>
      <c r="P230" t="str">
        <f>IFERROR(VLOOKUP(A230,'Sales Order'!A:N,14,FALSE),"Not Specified")</f>
        <v>Finland</v>
      </c>
      <c r="Q230" t="str">
        <f>VLOOKUP(VLOOKUP(B230,Product!A:C,3,FALSE),Supplier!A:B,2,FALSE)</f>
        <v>Supplier NZLIF</v>
      </c>
      <c r="R230" t="str">
        <f>VLOOKUP(VLOOKUP(B230,Product!A:C,3,FALSE),Supplier!A:I,9,FALSE)</f>
        <v>Norway</v>
      </c>
      <c r="S230" t="str">
        <f>IFERROR(IF(VLOOKUP(A230,'Sales Order'!A:H,8,FALSE)&gt;100,"High Freight","Low Freight"),"Not Specified")</f>
        <v>Low Freight</v>
      </c>
      <c r="T230">
        <f t="shared" si="7"/>
        <v>619.20000000000005</v>
      </c>
    </row>
    <row r="231" spans="1:20">
      <c r="A231" s="9">
        <v>10334</v>
      </c>
      <c r="B231" s="6">
        <v>52</v>
      </c>
      <c r="C231" s="6">
        <v>5.6</v>
      </c>
      <c r="D231" s="6">
        <v>8</v>
      </c>
      <c r="E231" s="18">
        <v>0</v>
      </c>
      <c r="F231" s="6" t="str">
        <f>IFERROR(VLOOKUP(VLOOKUP(A231,'Sales Order'!A:B,2,FALSE),Customer!A:C,3,FALSE),"Not Specified")</f>
        <v>Tuntisangaroon, Sittichai</v>
      </c>
      <c r="G231" s="6" t="str">
        <f t="shared" si="6"/>
        <v>Tuntisangaroon Sittichai</v>
      </c>
      <c r="H231" s="22" t="str">
        <f>IFERROR(VLOOKUP(VLOOKUP(A231,'Sales Order'!A:C,3,FALSE),Employee!A:E,5,FALSE)&amp;" "&amp;VLOOKUP(VLOOKUP(A231,'Sales Order'!A:C,3,FALSE),Employee!A:C,3,FALSE)&amp;" "&amp;VLOOKUP(VLOOKUP(A231,'Sales Order'!A:C,3,FALSE),Employee!A:B,2,FALSE),"Not Specified")</f>
        <v>Ms. Maria Cameron</v>
      </c>
      <c r="I231" t="str">
        <f>IFERROR(VLOOKUP(VLOOKUP(A231,'Sales Order'!A:C,3,FALSE),Employee!A:J,10,FALSE),"Not Specified")</f>
        <v>WA</v>
      </c>
      <c r="J231" t="str">
        <f>VLOOKUP(B231,Product!A:B,2,FALSE)</f>
        <v>Product QSRXF</v>
      </c>
      <c r="K231" t="str">
        <f>VLOOKUP(VLOOKUP(B231,Product!A:D,4,FALSE),Category!A:B,2,FALSE)</f>
        <v>Grains/Cereals</v>
      </c>
      <c r="L231" s="24">
        <f>IFERROR(VLOOKUP(A231,'Sales Order'!A:D,4,FALSE),"")</f>
        <v>39011</v>
      </c>
      <c r="M231" s="24">
        <f>IFERROR(VLOOKUP(A231,'Sales Order'!A:F,6,FALSE),"")</f>
        <v>39018</v>
      </c>
      <c r="N231" t="str">
        <f>IFERROR(VLOOKUP(VLOOKUP(A231,'Sales Order'!A:G,7,FALSE),Shipper!A:B,2,FALSE),"Not Specified")</f>
        <v>Shipper ETYNR</v>
      </c>
      <c r="O231" t="str">
        <f>IFERROR(VLOOKUP(A231,'Sales Order'!A:I,9,FALSE),"Not Specified")</f>
        <v>Ship to 84-B</v>
      </c>
      <c r="P231" t="str">
        <f>IFERROR(VLOOKUP(A231,'Sales Order'!A:N,14,FALSE),"Not Specified")</f>
        <v>France</v>
      </c>
      <c r="Q231" t="str">
        <f>VLOOKUP(VLOOKUP(B231,Product!A:C,3,FALSE),Supplier!A:B,2,FALSE)</f>
        <v>Supplier JNNES</v>
      </c>
      <c r="R231" t="str">
        <f>VLOOKUP(VLOOKUP(B231,Product!A:C,3,FALSE),Supplier!A:I,9,FALSE)</f>
        <v>Australia</v>
      </c>
      <c r="S231" t="str">
        <f>IFERROR(IF(VLOOKUP(A231,'Sales Order'!A:H,8,FALSE)&gt;100,"High Freight","Low Freight"),"Not Specified")</f>
        <v>Low Freight</v>
      </c>
      <c r="T231">
        <f t="shared" si="7"/>
        <v>44.8</v>
      </c>
    </row>
    <row r="232" spans="1:20">
      <c r="A232" s="9">
        <v>10334</v>
      </c>
      <c r="B232" s="6">
        <v>68</v>
      </c>
      <c r="C232" s="6">
        <v>10</v>
      </c>
      <c r="D232" s="6">
        <v>10</v>
      </c>
      <c r="E232" s="18">
        <v>0</v>
      </c>
      <c r="F232" s="6" t="str">
        <f>IFERROR(VLOOKUP(VLOOKUP(A232,'Sales Order'!A:B,2,FALSE),Customer!A:C,3,FALSE),"Not Specified")</f>
        <v>Tuntisangaroon, Sittichai</v>
      </c>
      <c r="G232" s="6" t="str">
        <f t="shared" si="6"/>
        <v>Tuntisangaroon Sittichai</v>
      </c>
      <c r="H232" s="22" t="str">
        <f>IFERROR(VLOOKUP(VLOOKUP(A232,'Sales Order'!A:C,3,FALSE),Employee!A:E,5,FALSE)&amp;" "&amp;VLOOKUP(VLOOKUP(A232,'Sales Order'!A:C,3,FALSE),Employee!A:C,3,FALSE)&amp;" "&amp;VLOOKUP(VLOOKUP(A232,'Sales Order'!A:C,3,FALSE),Employee!A:B,2,FALSE),"Not Specified")</f>
        <v>Ms. Maria Cameron</v>
      </c>
      <c r="I232" t="str">
        <f>IFERROR(VLOOKUP(VLOOKUP(A232,'Sales Order'!A:C,3,FALSE),Employee!A:J,10,FALSE),"Not Specified")</f>
        <v>WA</v>
      </c>
      <c r="J232" t="str">
        <f>VLOOKUP(B232,Product!A:B,2,FALSE)</f>
        <v>Product TBTBL</v>
      </c>
      <c r="K232" t="str">
        <f>VLOOKUP(VLOOKUP(B232,Product!A:D,4,FALSE),Category!A:B,2,FALSE)</f>
        <v>Confections</v>
      </c>
      <c r="L232" s="24">
        <f>IFERROR(VLOOKUP(A232,'Sales Order'!A:D,4,FALSE),"")</f>
        <v>39011</v>
      </c>
      <c r="M232" s="24">
        <f>IFERROR(VLOOKUP(A232,'Sales Order'!A:F,6,FALSE),"")</f>
        <v>39018</v>
      </c>
      <c r="N232" t="str">
        <f>IFERROR(VLOOKUP(VLOOKUP(A232,'Sales Order'!A:G,7,FALSE),Shipper!A:B,2,FALSE),"Not Specified")</f>
        <v>Shipper ETYNR</v>
      </c>
      <c r="O232" t="str">
        <f>IFERROR(VLOOKUP(A232,'Sales Order'!A:I,9,FALSE),"Not Specified")</f>
        <v>Ship to 84-B</v>
      </c>
      <c r="P232" t="str">
        <f>IFERROR(VLOOKUP(A232,'Sales Order'!A:N,14,FALSE),"Not Specified")</f>
        <v>France</v>
      </c>
      <c r="Q232" t="str">
        <f>VLOOKUP(VLOOKUP(B232,Product!A:C,3,FALSE),Supplier!A:B,2,FALSE)</f>
        <v>Supplier BWGYE</v>
      </c>
      <c r="R232" t="str">
        <f>VLOOKUP(VLOOKUP(B232,Product!A:C,3,FALSE),Supplier!A:I,9,FALSE)</f>
        <v>UK</v>
      </c>
      <c r="S232" t="str">
        <f>IFERROR(IF(VLOOKUP(A232,'Sales Order'!A:H,8,FALSE)&gt;100,"High Freight","Low Freight"),"Not Specified")</f>
        <v>Low Freight</v>
      </c>
      <c r="T232">
        <f t="shared" si="7"/>
        <v>100</v>
      </c>
    </row>
    <row r="233" spans="1:20">
      <c r="A233" s="9">
        <v>10335</v>
      </c>
      <c r="B233" s="6">
        <v>2</v>
      </c>
      <c r="C233" s="6">
        <v>15.2</v>
      </c>
      <c r="D233" s="6">
        <v>7</v>
      </c>
      <c r="E233" s="18">
        <v>0.2</v>
      </c>
      <c r="F233" s="6" t="str">
        <f>IFERROR(VLOOKUP(VLOOKUP(A233,'Sales Order'!A:B,2,FALSE),Customer!A:C,3,FALSE),"Not Specified")</f>
        <v>Crăciun, Ovidiu V.</v>
      </c>
      <c r="G233" s="6" t="str">
        <f t="shared" si="6"/>
        <v>Crăciun Ovidiu V.</v>
      </c>
      <c r="H233" s="22" t="str">
        <f>IFERROR(VLOOKUP(VLOOKUP(A233,'Sales Order'!A:C,3,FALSE),Employee!A:E,5,FALSE)&amp;" "&amp;VLOOKUP(VLOOKUP(A233,'Sales Order'!A:C,3,FALSE),Employee!A:C,3,FALSE)&amp;" "&amp;VLOOKUP(VLOOKUP(A233,'Sales Order'!A:C,3,FALSE),Employee!A:B,2,FALSE),"Not Specified")</f>
        <v>Mr. Russell King</v>
      </c>
      <c r="I233">
        <f>IFERROR(VLOOKUP(VLOOKUP(A233,'Sales Order'!A:C,3,FALSE),Employee!A:J,10,FALSE),"Not Specified")</f>
        <v>0</v>
      </c>
      <c r="J233" t="str">
        <f>VLOOKUP(B233,Product!A:B,2,FALSE)</f>
        <v>Product RECZE</v>
      </c>
      <c r="K233" t="str">
        <f>VLOOKUP(VLOOKUP(B233,Product!A:D,4,FALSE),Category!A:B,2,FALSE)</f>
        <v>Beverages</v>
      </c>
      <c r="L233" s="24">
        <f>IFERROR(VLOOKUP(A233,'Sales Order'!A:D,4,FALSE),"")</f>
        <v>39012</v>
      </c>
      <c r="M233" s="24">
        <f>IFERROR(VLOOKUP(A233,'Sales Order'!A:F,6,FALSE),"")</f>
        <v>39014</v>
      </c>
      <c r="N233" t="str">
        <f>IFERROR(VLOOKUP(VLOOKUP(A233,'Sales Order'!A:G,7,FALSE),Shipper!A:B,2,FALSE),"Not Specified")</f>
        <v>Shipper ETYNR</v>
      </c>
      <c r="O233" t="str">
        <f>IFERROR(VLOOKUP(A233,'Sales Order'!A:I,9,FALSE),"Not Specified")</f>
        <v>Destination ATSOA</v>
      </c>
      <c r="P233" t="str">
        <f>IFERROR(VLOOKUP(A233,'Sales Order'!A:N,14,FALSE),"Not Specified")</f>
        <v>Ireland</v>
      </c>
      <c r="Q233" t="str">
        <f>VLOOKUP(VLOOKUP(B233,Product!A:C,3,FALSE),Supplier!A:B,2,FALSE)</f>
        <v>Supplier SWRXU</v>
      </c>
      <c r="R233" t="str">
        <f>VLOOKUP(VLOOKUP(B233,Product!A:C,3,FALSE),Supplier!A:I,9,FALSE)</f>
        <v>UK</v>
      </c>
      <c r="S233" t="str">
        <f>IFERROR(IF(VLOOKUP(A233,'Sales Order'!A:H,8,FALSE)&gt;100,"High Freight","Low Freight"),"Not Specified")</f>
        <v>Low Freight</v>
      </c>
      <c r="T233">
        <f t="shared" si="7"/>
        <v>85.12</v>
      </c>
    </row>
    <row r="234" spans="1:20">
      <c r="A234" s="9">
        <v>10335</v>
      </c>
      <c r="B234" s="6">
        <v>31</v>
      </c>
      <c r="C234" s="6">
        <v>10</v>
      </c>
      <c r="D234" s="6">
        <v>25</v>
      </c>
      <c r="E234" s="18">
        <v>0.2</v>
      </c>
      <c r="F234" s="6" t="str">
        <f>IFERROR(VLOOKUP(VLOOKUP(A234,'Sales Order'!A:B,2,FALSE),Customer!A:C,3,FALSE),"Not Specified")</f>
        <v>Crăciun, Ovidiu V.</v>
      </c>
      <c r="G234" s="6" t="str">
        <f t="shared" si="6"/>
        <v>Crăciun Ovidiu V.</v>
      </c>
      <c r="H234" s="22" t="str">
        <f>IFERROR(VLOOKUP(VLOOKUP(A234,'Sales Order'!A:C,3,FALSE),Employee!A:E,5,FALSE)&amp;" "&amp;VLOOKUP(VLOOKUP(A234,'Sales Order'!A:C,3,FALSE),Employee!A:C,3,FALSE)&amp;" "&amp;VLOOKUP(VLOOKUP(A234,'Sales Order'!A:C,3,FALSE),Employee!A:B,2,FALSE),"Not Specified")</f>
        <v>Mr. Russell King</v>
      </c>
      <c r="I234">
        <f>IFERROR(VLOOKUP(VLOOKUP(A234,'Sales Order'!A:C,3,FALSE),Employee!A:J,10,FALSE),"Not Specified")</f>
        <v>0</v>
      </c>
      <c r="J234" t="str">
        <f>VLOOKUP(B234,Product!A:B,2,FALSE)</f>
        <v>Product XWOXC</v>
      </c>
      <c r="K234" t="str">
        <f>VLOOKUP(VLOOKUP(B234,Product!A:D,4,FALSE),Category!A:B,2,FALSE)</f>
        <v>Dairy Product</v>
      </c>
      <c r="L234" s="24">
        <f>IFERROR(VLOOKUP(A234,'Sales Order'!A:D,4,FALSE),"")</f>
        <v>39012</v>
      </c>
      <c r="M234" s="24">
        <f>IFERROR(VLOOKUP(A234,'Sales Order'!A:F,6,FALSE),"")</f>
        <v>39014</v>
      </c>
      <c r="N234" t="str">
        <f>IFERROR(VLOOKUP(VLOOKUP(A234,'Sales Order'!A:G,7,FALSE),Shipper!A:B,2,FALSE),"Not Specified")</f>
        <v>Shipper ETYNR</v>
      </c>
      <c r="O234" t="str">
        <f>IFERROR(VLOOKUP(A234,'Sales Order'!A:I,9,FALSE),"Not Specified")</f>
        <v>Destination ATSOA</v>
      </c>
      <c r="P234" t="str">
        <f>IFERROR(VLOOKUP(A234,'Sales Order'!A:N,14,FALSE),"Not Specified")</f>
        <v>Ireland</v>
      </c>
      <c r="Q234" t="str">
        <f>VLOOKUP(VLOOKUP(B234,Product!A:C,3,FALSE),Supplier!A:B,2,FALSE)</f>
        <v>Supplier KEREV</v>
      </c>
      <c r="R234" t="str">
        <f>VLOOKUP(VLOOKUP(B234,Product!A:C,3,FALSE),Supplier!A:I,9,FALSE)</f>
        <v>Italy</v>
      </c>
      <c r="S234" t="str">
        <f>IFERROR(IF(VLOOKUP(A234,'Sales Order'!A:H,8,FALSE)&gt;100,"High Freight","Low Freight"),"Not Specified")</f>
        <v>Low Freight</v>
      </c>
      <c r="T234">
        <f t="shared" si="7"/>
        <v>200</v>
      </c>
    </row>
    <row r="235" spans="1:20">
      <c r="A235" s="9">
        <v>10335</v>
      </c>
      <c r="B235" s="6">
        <v>32</v>
      </c>
      <c r="C235" s="6">
        <v>25.6</v>
      </c>
      <c r="D235" s="6">
        <v>6</v>
      </c>
      <c r="E235" s="18">
        <v>0.2</v>
      </c>
      <c r="F235" s="6" t="str">
        <f>IFERROR(VLOOKUP(VLOOKUP(A235,'Sales Order'!A:B,2,FALSE),Customer!A:C,3,FALSE),"Not Specified")</f>
        <v>Crăciun, Ovidiu V.</v>
      </c>
      <c r="G235" s="6" t="str">
        <f t="shared" si="6"/>
        <v>Crăciun Ovidiu V.</v>
      </c>
      <c r="H235" s="22" t="str">
        <f>IFERROR(VLOOKUP(VLOOKUP(A235,'Sales Order'!A:C,3,FALSE),Employee!A:E,5,FALSE)&amp;" "&amp;VLOOKUP(VLOOKUP(A235,'Sales Order'!A:C,3,FALSE),Employee!A:C,3,FALSE)&amp;" "&amp;VLOOKUP(VLOOKUP(A235,'Sales Order'!A:C,3,FALSE),Employee!A:B,2,FALSE),"Not Specified")</f>
        <v>Mr. Russell King</v>
      </c>
      <c r="I235">
        <f>IFERROR(VLOOKUP(VLOOKUP(A235,'Sales Order'!A:C,3,FALSE),Employee!A:J,10,FALSE),"Not Specified")</f>
        <v>0</v>
      </c>
      <c r="J235" t="str">
        <f>VLOOKUP(B235,Product!A:B,2,FALSE)</f>
        <v>Product NUNAW</v>
      </c>
      <c r="K235" t="str">
        <f>VLOOKUP(VLOOKUP(B235,Product!A:D,4,FALSE),Category!A:B,2,FALSE)</f>
        <v>Dairy Product</v>
      </c>
      <c r="L235" s="24">
        <f>IFERROR(VLOOKUP(A235,'Sales Order'!A:D,4,FALSE),"")</f>
        <v>39012</v>
      </c>
      <c r="M235" s="24">
        <f>IFERROR(VLOOKUP(A235,'Sales Order'!A:F,6,FALSE),"")</f>
        <v>39014</v>
      </c>
      <c r="N235" t="str">
        <f>IFERROR(VLOOKUP(VLOOKUP(A235,'Sales Order'!A:G,7,FALSE),Shipper!A:B,2,FALSE),"Not Specified")</f>
        <v>Shipper ETYNR</v>
      </c>
      <c r="O235" t="str">
        <f>IFERROR(VLOOKUP(A235,'Sales Order'!A:I,9,FALSE),"Not Specified")</f>
        <v>Destination ATSOA</v>
      </c>
      <c r="P235" t="str">
        <f>IFERROR(VLOOKUP(A235,'Sales Order'!A:N,14,FALSE),"Not Specified")</f>
        <v>Ireland</v>
      </c>
      <c r="Q235" t="str">
        <f>VLOOKUP(VLOOKUP(B235,Product!A:C,3,FALSE),Supplier!A:B,2,FALSE)</f>
        <v>Supplier KEREV</v>
      </c>
      <c r="R235" t="str">
        <f>VLOOKUP(VLOOKUP(B235,Product!A:C,3,FALSE),Supplier!A:I,9,FALSE)</f>
        <v>Italy</v>
      </c>
      <c r="S235" t="str">
        <f>IFERROR(IF(VLOOKUP(A235,'Sales Order'!A:H,8,FALSE)&gt;100,"High Freight","Low Freight"),"Not Specified")</f>
        <v>Low Freight</v>
      </c>
      <c r="T235">
        <f t="shared" si="7"/>
        <v>122.88000000000002</v>
      </c>
    </row>
    <row r="236" spans="1:20">
      <c r="A236" s="9">
        <v>10335</v>
      </c>
      <c r="B236" s="6">
        <v>51</v>
      </c>
      <c r="C236" s="6">
        <v>42.4</v>
      </c>
      <c r="D236" s="6">
        <v>48</v>
      </c>
      <c r="E236" s="18">
        <v>0.2</v>
      </c>
      <c r="F236" s="6" t="str">
        <f>IFERROR(VLOOKUP(VLOOKUP(A236,'Sales Order'!A:B,2,FALSE),Customer!A:C,3,FALSE),"Not Specified")</f>
        <v>Crăciun, Ovidiu V.</v>
      </c>
      <c r="G236" s="6" t="str">
        <f t="shared" si="6"/>
        <v>Crăciun Ovidiu V.</v>
      </c>
      <c r="H236" s="22" t="str">
        <f>IFERROR(VLOOKUP(VLOOKUP(A236,'Sales Order'!A:C,3,FALSE),Employee!A:E,5,FALSE)&amp;" "&amp;VLOOKUP(VLOOKUP(A236,'Sales Order'!A:C,3,FALSE),Employee!A:C,3,FALSE)&amp;" "&amp;VLOOKUP(VLOOKUP(A236,'Sales Order'!A:C,3,FALSE),Employee!A:B,2,FALSE),"Not Specified")</f>
        <v>Mr. Russell King</v>
      </c>
      <c r="I236">
        <f>IFERROR(VLOOKUP(VLOOKUP(A236,'Sales Order'!A:C,3,FALSE),Employee!A:J,10,FALSE),"Not Specified")</f>
        <v>0</v>
      </c>
      <c r="J236" t="str">
        <f>VLOOKUP(B236,Product!A:B,2,FALSE)</f>
        <v>Product APITJ</v>
      </c>
      <c r="K236" t="str">
        <f>VLOOKUP(VLOOKUP(B236,Product!A:D,4,FALSE),Category!A:B,2,FALSE)</f>
        <v>Produce</v>
      </c>
      <c r="L236" s="24">
        <f>IFERROR(VLOOKUP(A236,'Sales Order'!A:D,4,FALSE),"")</f>
        <v>39012</v>
      </c>
      <c r="M236" s="24">
        <f>IFERROR(VLOOKUP(A236,'Sales Order'!A:F,6,FALSE),"")</f>
        <v>39014</v>
      </c>
      <c r="N236" t="str">
        <f>IFERROR(VLOOKUP(VLOOKUP(A236,'Sales Order'!A:G,7,FALSE),Shipper!A:B,2,FALSE),"Not Specified")</f>
        <v>Shipper ETYNR</v>
      </c>
      <c r="O236" t="str">
        <f>IFERROR(VLOOKUP(A236,'Sales Order'!A:I,9,FALSE),"Not Specified")</f>
        <v>Destination ATSOA</v>
      </c>
      <c r="P236" t="str">
        <f>IFERROR(VLOOKUP(A236,'Sales Order'!A:N,14,FALSE),"Not Specified")</f>
        <v>Ireland</v>
      </c>
      <c r="Q236" t="str">
        <f>VLOOKUP(VLOOKUP(B236,Product!A:C,3,FALSE),Supplier!A:B,2,FALSE)</f>
        <v>Supplier JNNES</v>
      </c>
      <c r="R236" t="str">
        <f>VLOOKUP(VLOOKUP(B236,Product!A:C,3,FALSE),Supplier!A:I,9,FALSE)</f>
        <v>Australia</v>
      </c>
      <c r="S236" t="str">
        <f>IFERROR(IF(VLOOKUP(A236,'Sales Order'!A:H,8,FALSE)&gt;100,"High Freight","Low Freight"),"Not Specified")</f>
        <v>Low Freight</v>
      </c>
      <c r="T236">
        <f t="shared" si="7"/>
        <v>1628.1599999999999</v>
      </c>
    </row>
    <row r="237" spans="1:20">
      <c r="A237" s="9">
        <v>10336</v>
      </c>
      <c r="B237" s="6">
        <v>4</v>
      </c>
      <c r="C237" s="6">
        <v>17.600000000000001</v>
      </c>
      <c r="D237" s="6">
        <v>18</v>
      </c>
      <c r="E237" s="18">
        <v>0.1</v>
      </c>
      <c r="F237" s="6" t="str">
        <f>IFERROR(VLOOKUP(VLOOKUP(A237,'Sales Order'!A:B,2,FALSE),Customer!A:C,3,FALSE),"Not Specified")</f>
        <v>Uppal, Sunil</v>
      </c>
      <c r="G237" s="6" t="str">
        <f t="shared" si="6"/>
        <v>Uppal Sunil</v>
      </c>
      <c r="H237" s="22" t="str">
        <f>IFERROR(VLOOKUP(VLOOKUP(A237,'Sales Order'!A:C,3,FALSE),Employee!A:E,5,FALSE)&amp;" "&amp;VLOOKUP(VLOOKUP(A237,'Sales Order'!A:C,3,FALSE),Employee!A:C,3,FALSE)&amp;" "&amp;VLOOKUP(VLOOKUP(A237,'Sales Order'!A:C,3,FALSE),Employee!A:B,2,FALSE),"Not Specified")</f>
        <v>Mr. Russell King</v>
      </c>
      <c r="I237">
        <f>IFERROR(VLOOKUP(VLOOKUP(A237,'Sales Order'!A:C,3,FALSE),Employee!A:J,10,FALSE),"Not Specified")</f>
        <v>0</v>
      </c>
      <c r="J237" t="str">
        <f>VLOOKUP(B237,Product!A:B,2,FALSE)</f>
        <v>Product KSBRM</v>
      </c>
      <c r="K237" t="str">
        <f>VLOOKUP(VLOOKUP(B237,Product!A:D,4,FALSE),Category!A:B,2,FALSE)</f>
        <v>Condiments</v>
      </c>
      <c r="L237" s="24">
        <f>IFERROR(VLOOKUP(A237,'Sales Order'!A:D,4,FALSE),"")</f>
        <v>39013</v>
      </c>
      <c r="M237" s="24">
        <f>IFERROR(VLOOKUP(A237,'Sales Order'!A:F,6,FALSE),"")</f>
        <v>39015</v>
      </c>
      <c r="N237" t="str">
        <f>IFERROR(VLOOKUP(VLOOKUP(A237,'Sales Order'!A:G,7,FALSE),Shipper!A:B,2,FALSE),"Not Specified")</f>
        <v>Shipper ETYNR</v>
      </c>
      <c r="O237" t="str">
        <f>IFERROR(VLOOKUP(A237,'Sales Order'!A:I,9,FALSE),"Not Specified")</f>
        <v>Ship to 60-B</v>
      </c>
      <c r="P237" t="str">
        <f>IFERROR(VLOOKUP(A237,'Sales Order'!A:N,14,FALSE),"Not Specified")</f>
        <v>Portugal</v>
      </c>
      <c r="Q237" t="str">
        <f>VLOOKUP(VLOOKUP(B237,Product!A:C,3,FALSE),Supplier!A:B,2,FALSE)</f>
        <v>Supplier VHQZD</v>
      </c>
      <c r="R237" t="str">
        <f>VLOOKUP(VLOOKUP(B237,Product!A:C,3,FALSE),Supplier!A:I,9,FALSE)</f>
        <v>USA</v>
      </c>
      <c r="S237" t="str">
        <f>IFERROR(IF(VLOOKUP(A237,'Sales Order'!A:H,8,FALSE)&gt;100,"High Freight","Low Freight"),"Not Specified")</f>
        <v>Low Freight</v>
      </c>
      <c r="T237">
        <f t="shared" si="7"/>
        <v>285.12</v>
      </c>
    </row>
    <row r="238" spans="1:20">
      <c r="A238" s="9">
        <v>10337</v>
      </c>
      <c r="B238" s="6">
        <v>23</v>
      </c>
      <c r="C238" s="6">
        <v>7.2</v>
      </c>
      <c r="D238" s="6">
        <v>40</v>
      </c>
      <c r="E238" s="18">
        <v>0</v>
      </c>
      <c r="F238" s="6" t="str">
        <f>IFERROR(VLOOKUP(VLOOKUP(A238,'Sales Order'!A:B,2,FALSE),Customer!A:C,3,FALSE),"Not Specified")</f>
        <v>Carlson, Jason</v>
      </c>
      <c r="G238" s="6" t="str">
        <f t="shared" si="6"/>
        <v>Carlson Jason</v>
      </c>
      <c r="H238" s="22" t="str">
        <f>IFERROR(VLOOKUP(VLOOKUP(A238,'Sales Order'!A:C,3,FALSE),Employee!A:E,5,FALSE)&amp;" "&amp;VLOOKUP(VLOOKUP(A238,'Sales Order'!A:C,3,FALSE),Employee!A:C,3,FALSE)&amp;" "&amp;VLOOKUP(VLOOKUP(A238,'Sales Order'!A:C,3,FALSE),Employee!A:B,2,FALSE),"Not Specified")</f>
        <v>Mrs. Yael Peled</v>
      </c>
      <c r="I238" t="str">
        <f>IFERROR(VLOOKUP(VLOOKUP(A238,'Sales Order'!A:C,3,FALSE),Employee!A:J,10,FALSE),"Not Specified")</f>
        <v>WA</v>
      </c>
      <c r="J238" t="str">
        <f>VLOOKUP(B238,Product!A:B,2,FALSE)</f>
        <v>Product JLUDZ</v>
      </c>
      <c r="K238" t="str">
        <f>VLOOKUP(VLOOKUP(B238,Product!A:D,4,FALSE),Category!A:B,2,FALSE)</f>
        <v>Grains/Cereals</v>
      </c>
      <c r="L238" s="24">
        <f>IFERROR(VLOOKUP(A238,'Sales Order'!A:D,4,FALSE),"")</f>
        <v>39014</v>
      </c>
      <c r="M238" s="24">
        <f>IFERROR(VLOOKUP(A238,'Sales Order'!A:F,6,FALSE),"")</f>
        <v>39019</v>
      </c>
      <c r="N238" t="str">
        <f>IFERROR(VLOOKUP(VLOOKUP(A238,'Sales Order'!A:G,7,FALSE),Shipper!A:B,2,FALSE),"Not Specified")</f>
        <v>Shipper ZHISN</v>
      </c>
      <c r="O238" t="str">
        <f>IFERROR(VLOOKUP(A238,'Sales Order'!A:I,9,FALSE),"Not Specified")</f>
        <v>Destination QOCBL</v>
      </c>
      <c r="P238" t="str">
        <f>IFERROR(VLOOKUP(A238,'Sales Order'!A:N,14,FALSE),"Not Specified")</f>
        <v>Germany</v>
      </c>
      <c r="Q238" t="str">
        <f>VLOOKUP(VLOOKUP(B238,Product!A:C,3,FALSE),Supplier!A:B,2,FALSE)</f>
        <v>Supplier QQYEU</v>
      </c>
      <c r="R238" t="str">
        <f>VLOOKUP(VLOOKUP(B238,Product!A:C,3,FALSE),Supplier!A:I,9,FALSE)</f>
        <v>Sweden</v>
      </c>
      <c r="S238" t="str">
        <f>IFERROR(IF(VLOOKUP(A238,'Sales Order'!A:H,8,FALSE)&gt;100,"High Freight","Low Freight"),"Not Specified")</f>
        <v>High Freight</v>
      </c>
      <c r="T238">
        <f t="shared" si="7"/>
        <v>288</v>
      </c>
    </row>
    <row r="239" spans="1:20">
      <c r="A239" s="9">
        <v>10337</v>
      </c>
      <c r="B239" s="6">
        <v>26</v>
      </c>
      <c r="C239" s="6">
        <v>24.9</v>
      </c>
      <c r="D239" s="6">
        <v>24</v>
      </c>
      <c r="E239" s="18">
        <v>0</v>
      </c>
      <c r="F239" s="6" t="str">
        <f>IFERROR(VLOOKUP(VLOOKUP(A239,'Sales Order'!A:B,2,FALSE),Customer!A:C,3,FALSE),"Not Specified")</f>
        <v>Carlson, Jason</v>
      </c>
      <c r="G239" s="6" t="str">
        <f t="shared" si="6"/>
        <v>Carlson Jason</v>
      </c>
      <c r="H239" s="22" t="str">
        <f>IFERROR(VLOOKUP(VLOOKUP(A239,'Sales Order'!A:C,3,FALSE),Employee!A:E,5,FALSE)&amp;" "&amp;VLOOKUP(VLOOKUP(A239,'Sales Order'!A:C,3,FALSE),Employee!A:C,3,FALSE)&amp;" "&amp;VLOOKUP(VLOOKUP(A239,'Sales Order'!A:C,3,FALSE),Employee!A:B,2,FALSE),"Not Specified")</f>
        <v>Mrs. Yael Peled</v>
      </c>
      <c r="I239" t="str">
        <f>IFERROR(VLOOKUP(VLOOKUP(A239,'Sales Order'!A:C,3,FALSE),Employee!A:J,10,FALSE),"Not Specified")</f>
        <v>WA</v>
      </c>
      <c r="J239" t="str">
        <f>VLOOKUP(B239,Product!A:B,2,FALSE)</f>
        <v>Product HLGZA</v>
      </c>
      <c r="K239" t="str">
        <f>VLOOKUP(VLOOKUP(B239,Product!A:D,4,FALSE),Category!A:B,2,FALSE)</f>
        <v>Confections</v>
      </c>
      <c r="L239" s="24">
        <f>IFERROR(VLOOKUP(A239,'Sales Order'!A:D,4,FALSE),"")</f>
        <v>39014</v>
      </c>
      <c r="M239" s="24">
        <f>IFERROR(VLOOKUP(A239,'Sales Order'!A:F,6,FALSE),"")</f>
        <v>39019</v>
      </c>
      <c r="N239" t="str">
        <f>IFERROR(VLOOKUP(VLOOKUP(A239,'Sales Order'!A:G,7,FALSE),Shipper!A:B,2,FALSE),"Not Specified")</f>
        <v>Shipper ZHISN</v>
      </c>
      <c r="O239" t="str">
        <f>IFERROR(VLOOKUP(A239,'Sales Order'!A:I,9,FALSE),"Not Specified")</f>
        <v>Destination QOCBL</v>
      </c>
      <c r="P239" t="str">
        <f>IFERROR(VLOOKUP(A239,'Sales Order'!A:N,14,FALSE),"Not Specified")</f>
        <v>Germany</v>
      </c>
      <c r="Q239" t="str">
        <f>VLOOKUP(VLOOKUP(B239,Product!A:C,3,FALSE),Supplier!A:B,2,FALSE)</f>
        <v>Supplier ZPYVS</v>
      </c>
      <c r="R239" t="str">
        <f>VLOOKUP(VLOOKUP(B239,Product!A:C,3,FALSE),Supplier!A:I,9,FALSE)</f>
        <v>Germany</v>
      </c>
      <c r="S239" t="str">
        <f>IFERROR(IF(VLOOKUP(A239,'Sales Order'!A:H,8,FALSE)&gt;100,"High Freight","Low Freight"),"Not Specified")</f>
        <v>High Freight</v>
      </c>
      <c r="T239">
        <f t="shared" si="7"/>
        <v>597.59999999999991</v>
      </c>
    </row>
    <row r="240" spans="1:20">
      <c r="A240" s="9">
        <v>10337</v>
      </c>
      <c r="B240" s="6">
        <v>36</v>
      </c>
      <c r="C240" s="6">
        <v>15.2</v>
      </c>
      <c r="D240" s="6">
        <v>20</v>
      </c>
      <c r="E240" s="18">
        <v>0</v>
      </c>
      <c r="F240" s="6" t="str">
        <f>IFERROR(VLOOKUP(VLOOKUP(A240,'Sales Order'!A:B,2,FALSE),Customer!A:C,3,FALSE),"Not Specified")</f>
        <v>Carlson, Jason</v>
      </c>
      <c r="G240" s="6" t="str">
        <f t="shared" si="6"/>
        <v>Carlson Jason</v>
      </c>
      <c r="H240" s="22" t="str">
        <f>IFERROR(VLOOKUP(VLOOKUP(A240,'Sales Order'!A:C,3,FALSE),Employee!A:E,5,FALSE)&amp;" "&amp;VLOOKUP(VLOOKUP(A240,'Sales Order'!A:C,3,FALSE),Employee!A:C,3,FALSE)&amp;" "&amp;VLOOKUP(VLOOKUP(A240,'Sales Order'!A:C,3,FALSE),Employee!A:B,2,FALSE),"Not Specified")</f>
        <v>Mrs. Yael Peled</v>
      </c>
      <c r="I240" t="str">
        <f>IFERROR(VLOOKUP(VLOOKUP(A240,'Sales Order'!A:C,3,FALSE),Employee!A:J,10,FALSE),"Not Specified")</f>
        <v>WA</v>
      </c>
      <c r="J240" t="str">
        <f>VLOOKUP(B240,Product!A:B,2,FALSE)</f>
        <v>Product GMKIJ</v>
      </c>
      <c r="K240" t="str">
        <f>VLOOKUP(VLOOKUP(B240,Product!A:D,4,FALSE),Category!A:B,2,FALSE)</f>
        <v>Seafood</v>
      </c>
      <c r="L240" s="24">
        <f>IFERROR(VLOOKUP(A240,'Sales Order'!A:D,4,FALSE),"")</f>
        <v>39014</v>
      </c>
      <c r="M240" s="24">
        <f>IFERROR(VLOOKUP(A240,'Sales Order'!A:F,6,FALSE),"")</f>
        <v>39019</v>
      </c>
      <c r="N240" t="str">
        <f>IFERROR(VLOOKUP(VLOOKUP(A240,'Sales Order'!A:G,7,FALSE),Shipper!A:B,2,FALSE),"Not Specified")</f>
        <v>Shipper ZHISN</v>
      </c>
      <c r="O240" t="str">
        <f>IFERROR(VLOOKUP(A240,'Sales Order'!A:I,9,FALSE),"Not Specified")</f>
        <v>Destination QOCBL</v>
      </c>
      <c r="P240" t="str">
        <f>IFERROR(VLOOKUP(A240,'Sales Order'!A:N,14,FALSE),"Not Specified")</f>
        <v>Germany</v>
      </c>
      <c r="Q240" t="str">
        <f>VLOOKUP(VLOOKUP(B240,Product!A:C,3,FALSE),Supplier!A:B,2,FALSE)</f>
        <v>Supplier QZGUF</v>
      </c>
      <c r="R240" t="str">
        <f>VLOOKUP(VLOOKUP(B240,Product!A:C,3,FALSE),Supplier!A:I,9,FALSE)</f>
        <v>Sweden</v>
      </c>
      <c r="S240" t="str">
        <f>IFERROR(IF(VLOOKUP(A240,'Sales Order'!A:H,8,FALSE)&gt;100,"High Freight","Low Freight"),"Not Specified")</f>
        <v>High Freight</v>
      </c>
      <c r="T240">
        <f t="shared" si="7"/>
        <v>304</v>
      </c>
    </row>
    <row r="241" spans="1:20">
      <c r="A241" s="9">
        <v>10337</v>
      </c>
      <c r="B241" s="6">
        <v>37</v>
      </c>
      <c r="C241" s="6">
        <v>20.8</v>
      </c>
      <c r="D241" s="6">
        <v>28</v>
      </c>
      <c r="E241" s="18">
        <v>0</v>
      </c>
      <c r="F241" s="6" t="str">
        <f>IFERROR(VLOOKUP(VLOOKUP(A241,'Sales Order'!A:B,2,FALSE),Customer!A:C,3,FALSE),"Not Specified")</f>
        <v>Carlson, Jason</v>
      </c>
      <c r="G241" s="6" t="str">
        <f t="shared" si="6"/>
        <v>Carlson Jason</v>
      </c>
      <c r="H241" s="22" t="str">
        <f>IFERROR(VLOOKUP(VLOOKUP(A241,'Sales Order'!A:C,3,FALSE),Employee!A:E,5,FALSE)&amp;" "&amp;VLOOKUP(VLOOKUP(A241,'Sales Order'!A:C,3,FALSE),Employee!A:C,3,FALSE)&amp;" "&amp;VLOOKUP(VLOOKUP(A241,'Sales Order'!A:C,3,FALSE),Employee!A:B,2,FALSE),"Not Specified")</f>
        <v>Mrs. Yael Peled</v>
      </c>
      <c r="I241" t="str">
        <f>IFERROR(VLOOKUP(VLOOKUP(A241,'Sales Order'!A:C,3,FALSE),Employee!A:J,10,FALSE),"Not Specified")</f>
        <v>WA</v>
      </c>
      <c r="J241" t="str">
        <f>VLOOKUP(B241,Product!A:B,2,FALSE)</f>
        <v>Product EVFFA</v>
      </c>
      <c r="K241" t="str">
        <f>VLOOKUP(VLOOKUP(B241,Product!A:D,4,FALSE),Category!A:B,2,FALSE)</f>
        <v>Seafood</v>
      </c>
      <c r="L241" s="24">
        <f>IFERROR(VLOOKUP(A241,'Sales Order'!A:D,4,FALSE),"")</f>
        <v>39014</v>
      </c>
      <c r="M241" s="24">
        <f>IFERROR(VLOOKUP(A241,'Sales Order'!A:F,6,FALSE),"")</f>
        <v>39019</v>
      </c>
      <c r="N241" t="str">
        <f>IFERROR(VLOOKUP(VLOOKUP(A241,'Sales Order'!A:G,7,FALSE),Shipper!A:B,2,FALSE),"Not Specified")</f>
        <v>Shipper ZHISN</v>
      </c>
      <c r="O241" t="str">
        <f>IFERROR(VLOOKUP(A241,'Sales Order'!A:I,9,FALSE),"Not Specified")</f>
        <v>Destination QOCBL</v>
      </c>
      <c r="P241" t="str">
        <f>IFERROR(VLOOKUP(A241,'Sales Order'!A:N,14,FALSE),"Not Specified")</f>
        <v>Germany</v>
      </c>
      <c r="Q241" t="str">
        <f>VLOOKUP(VLOOKUP(B241,Product!A:C,3,FALSE),Supplier!A:B,2,FALSE)</f>
        <v>Supplier QZGUF</v>
      </c>
      <c r="R241" t="str">
        <f>VLOOKUP(VLOOKUP(B241,Product!A:C,3,FALSE),Supplier!A:I,9,FALSE)</f>
        <v>Sweden</v>
      </c>
      <c r="S241" t="str">
        <f>IFERROR(IF(VLOOKUP(A241,'Sales Order'!A:H,8,FALSE)&gt;100,"High Freight","Low Freight"),"Not Specified")</f>
        <v>High Freight</v>
      </c>
      <c r="T241">
        <f t="shared" si="7"/>
        <v>582.4</v>
      </c>
    </row>
    <row r="242" spans="1:20">
      <c r="A242" s="9">
        <v>10337</v>
      </c>
      <c r="B242" s="6">
        <v>72</v>
      </c>
      <c r="C242" s="6">
        <v>27.8</v>
      </c>
      <c r="D242" s="6">
        <v>25</v>
      </c>
      <c r="E242" s="18">
        <v>0</v>
      </c>
      <c r="F242" s="6" t="str">
        <f>IFERROR(VLOOKUP(VLOOKUP(A242,'Sales Order'!A:B,2,FALSE),Customer!A:C,3,FALSE),"Not Specified")</f>
        <v>Carlson, Jason</v>
      </c>
      <c r="G242" s="6" t="str">
        <f t="shared" si="6"/>
        <v>Carlson Jason</v>
      </c>
      <c r="H242" s="22" t="str">
        <f>IFERROR(VLOOKUP(VLOOKUP(A242,'Sales Order'!A:C,3,FALSE),Employee!A:E,5,FALSE)&amp;" "&amp;VLOOKUP(VLOOKUP(A242,'Sales Order'!A:C,3,FALSE),Employee!A:C,3,FALSE)&amp;" "&amp;VLOOKUP(VLOOKUP(A242,'Sales Order'!A:C,3,FALSE),Employee!A:B,2,FALSE),"Not Specified")</f>
        <v>Mrs. Yael Peled</v>
      </c>
      <c r="I242" t="str">
        <f>IFERROR(VLOOKUP(VLOOKUP(A242,'Sales Order'!A:C,3,FALSE),Employee!A:J,10,FALSE),"Not Specified")</f>
        <v>WA</v>
      </c>
      <c r="J242" t="str">
        <f>VLOOKUP(B242,Product!A:B,2,FALSE)</f>
        <v>Product GEEOO</v>
      </c>
      <c r="K242" t="str">
        <f>VLOOKUP(VLOOKUP(B242,Product!A:D,4,FALSE),Category!A:B,2,FALSE)</f>
        <v>Dairy Product</v>
      </c>
      <c r="L242" s="24">
        <f>IFERROR(VLOOKUP(A242,'Sales Order'!A:D,4,FALSE),"")</f>
        <v>39014</v>
      </c>
      <c r="M242" s="24">
        <f>IFERROR(VLOOKUP(A242,'Sales Order'!A:F,6,FALSE),"")</f>
        <v>39019</v>
      </c>
      <c r="N242" t="str">
        <f>IFERROR(VLOOKUP(VLOOKUP(A242,'Sales Order'!A:G,7,FALSE),Shipper!A:B,2,FALSE),"Not Specified")</f>
        <v>Shipper ZHISN</v>
      </c>
      <c r="O242" t="str">
        <f>IFERROR(VLOOKUP(A242,'Sales Order'!A:I,9,FALSE),"Not Specified")</f>
        <v>Destination QOCBL</v>
      </c>
      <c r="P242" t="str">
        <f>IFERROR(VLOOKUP(A242,'Sales Order'!A:N,14,FALSE),"Not Specified")</f>
        <v>Germany</v>
      </c>
      <c r="Q242" t="str">
        <f>VLOOKUP(VLOOKUP(B242,Product!A:C,3,FALSE),Supplier!A:B,2,FALSE)</f>
        <v>Supplier KEREV</v>
      </c>
      <c r="R242" t="str">
        <f>VLOOKUP(VLOOKUP(B242,Product!A:C,3,FALSE),Supplier!A:I,9,FALSE)</f>
        <v>Italy</v>
      </c>
      <c r="S242" t="str">
        <f>IFERROR(IF(VLOOKUP(A242,'Sales Order'!A:H,8,FALSE)&gt;100,"High Freight","Low Freight"),"Not Specified")</f>
        <v>High Freight</v>
      </c>
      <c r="T242">
        <f t="shared" si="7"/>
        <v>695</v>
      </c>
    </row>
    <row r="243" spans="1:20">
      <c r="A243" s="9">
        <v>10338</v>
      </c>
      <c r="B243" s="6">
        <v>17</v>
      </c>
      <c r="C243" s="6">
        <v>31.2</v>
      </c>
      <c r="D243" s="6">
        <v>20</v>
      </c>
      <c r="E243" s="18">
        <v>0</v>
      </c>
      <c r="F243" s="6" t="str">
        <f>IFERROR(VLOOKUP(VLOOKUP(A243,'Sales Order'!A:B,2,FALSE),Customer!A:C,3,FALSE),"Not Specified")</f>
        <v>Egelund-Muller, Anja</v>
      </c>
      <c r="G243" s="6" t="str">
        <f t="shared" si="6"/>
        <v>Egelund-Muller Anja</v>
      </c>
      <c r="H243" s="22" t="str">
        <f>IFERROR(VLOOKUP(VLOOKUP(A243,'Sales Order'!A:C,3,FALSE),Employee!A:E,5,FALSE)&amp;" "&amp;VLOOKUP(VLOOKUP(A243,'Sales Order'!A:C,3,FALSE),Employee!A:C,3,FALSE)&amp;" "&amp;VLOOKUP(VLOOKUP(A243,'Sales Order'!A:C,3,FALSE),Employee!A:B,2,FALSE),"Not Specified")</f>
        <v>Mrs. Yael Peled</v>
      </c>
      <c r="I243" t="str">
        <f>IFERROR(VLOOKUP(VLOOKUP(A243,'Sales Order'!A:C,3,FALSE),Employee!A:J,10,FALSE),"Not Specified")</f>
        <v>WA</v>
      </c>
      <c r="J243" t="str">
        <f>VLOOKUP(B243,Product!A:B,2,FALSE)</f>
        <v>Product BLCAX</v>
      </c>
      <c r="K243" t="str">
        <f>VLOOKUP(VLOOKUP(B243,Product!A:D,4,FALSE),Category!A:B,2,FALSE)</f>
        <v>Meat/Poultry</v>
      </c>
      <c r="L243" s="24">
        <f>IFERROR(VLOOKUP(A243,'Sales Order'!A:D,4,FALSE),"")</f>
        <v>39015</v>
      </c>
      <c r="M243" s="24">
        <f>IFERROR(VLOOKUP(A243,'Sales Order'!A:F,6,FALSE),"")</f>
        <v>39019</v>
      </c>
      <c r="N243" t="str">
        <f>IFERROR(VLOOKUP(VLOOKUP(A243,'Sales Order'!A:G,7,FALSE),Shipper!A:B,2,FALSE),"Not Specified")</f>
        <v>Shipper ZHISN</v>
      </c>
      <c r="O243" t="str">
        <f>IFERROR(VLOOKUP(A243,'Sales Order'!A:I,9,FALSE),"Not Specified")</f>
        <v>Ship to 55-C</v>
      </c>
      <c r="P243" t="str">
        <f>IFERROR(VLOOKUP(A243,'Sales Order'!A:N,14,FALSE),"Not Specified")</f>
        <v>USA</v>
      </c>
      <c r="Q243" t="str">
        <f>VLOOKUP(VLOOKUP(B243,Product!A:C,3,FALSE),Supplier!A:B,2,FALSE)</f>
        <v>Supplier GQRCV</v>
      </c>
      <c r="R243" t="str">
        <f>VLOOKUP(VLOOKUP(B243,Product!A:C,3,FALSE),Supplier!A:I,9,FALSE)</f>
        <v>Australia</v>
      </c>
      <c r="S243" t="str">
        <f>IFERROR(IF(VLOOKUP(A243,'Sales Order'!A:H,8,FALSE)&gt;100,"High Freight","Low Freight"),"Not Specified")</f>
        <v>Low Freight</v>
      </c>
      <c r="T243">
        <f t="shared" si="7"/>
        <v>624</v>
      </c>
    </row>
    <row r="244" spans="1:20">
      <c r="A244" s="9">
        <v>10338</v>
      </c>
      <c r="B244" s="6">
        <v>30</v>
      </c>
      <c r="C244" s="6">
        <v>20.7</v>
      </c>
      <c r="D244" s="6">
        <v>15</v>
      </c>
      <c r="E244" s="18">
        <v>0</v>
      </c>
      <c r="F244" s="6" t="str">
        <f>IFERROR(VLOOKUP(VLOOKUP(A244,'Sales Order'!A:B,2,FALSE),Customer!A:C,3,FALSE),"Not Specified")</f>
        <v>Egelund-Muller, Anja</v>
      </c>
      <c r="G244" s="6" t="str">
        <f t="shared" si="6"/>
        <v>Egelund-Muller Anja</v>
      </c>
      <c r="H244" s="22" t="str">
        <f>IFERROR(VLOOKUP(VLOOKUP(A244,'Sales Order'!A:C,3,FALSE),Employee!A:E,5,FALSE)&amp;" "&amp;VLOOKUP(VLOOKUP(A244,'Sales Order'!A:C,3,FALSE),Employee!A:C,3,FALSE)&amp;" "&amp;VLOOKUP(VLOOKUP(A244,'Sales Order'!A:C,3,FALSE),Employee!A:B,2,FALSE),"Not Specified")</f>
        <v>Mrs. Yael Peled</v>
      </c>
      <c r="I244" t="str">
        <f>IFERROR(VLOOKUP(VLOOKUP(A244,'Sales Order'!A:C,3,FALSE),Employee!A:J,10,FALSE),"Not Specified")</f>
        <v>WA</v>
      </c>
      <c r="J244" t="str">
        <f>VLOOKUP(B244,Product!A:B,2,FALSE)</f>
        <v>Product LYERX</v>
      </c>
      <c r="K244" t="str">
        <f>VLOOKUP(VLOOKUP(B244,Product!A:D,4,FALSE),Category!A:B,2,FALSE)</f>
        <v>Seafood</v>
      </c>
      <c r="L244" s="24">
        <f>IFERROR(VLOOKUP(A244,'Sales Order'!A:D,4,FALSE),"")</f>
        <v>39015</v>
      </c>
      <c r="M244" s="24">
        <f>IFERROR(VLOOKUP(A244,'Sales Order'!A:F,6,FALSE),"")</f>
        <v>39019</v>
      </c>
      <c r="N244" t="str">
        <f>IFERROR(VLOOKUP(VLOOKUP(A244,'Sales Order'!A:G,7,FALSE),Shipper!A:B,2,FALSE),"Not Specified")</f>
        <v>Shipper ZHISN</v>
      </c>
      <c r="O244" t="str">
        <f>IFERROR(VLOOKUP(A244,'Sales Order'!A:I,9,FALSE),"Not Specified")</f>
        <v>Ship to 55-C</v>
      </c>
      <c r="P244" t="str">
        <f>IFERROR(VLOOKUP(A244,'Sales Order'!A:N,14,FALSE),"Not Specified")</f>
        <v>USA</v>
      </c>
      <c r="Q244" t="str">
        <f>VLOOKUP(VLOOKUP(B244,Product!A:C,3,FALSE),Supplier!A:B,2,FALSE)</f>
        <v>Supplier TEGSC</v>
      </c>
      <c r="R244" t="str">
        <f>VLOOKUP(VLOOKUP(B244,Product!A:C,3,FALSE),Supplier!A:I,9,FALSE)</f>
        <v>Germany</v>
      </c>
      <c r="S244" t="str">
        <f>IFERROR(IF(VLOOKUP(A244,'Sales Order'!A:H,8,FALSE)&gt;100,"High Freight","Low Freight"),"Not Specified")</f>
        <v>Low Freight</v>
      </c>
      <c r="T244">
        <f t="shared" si="7"/>
        <v>310.5</v>
      </c>
    </row>
    <row r="245" spans="1:20">
      <c r="A245" s="9">
        <v>10339</v>
      </c>
      <c r="B245" s="6">
        <v>4</v>
      </c>
      <c r="C245" s="6">
        <v>17.600000000000001</v>
      </c>
      <c r="D245" s="6">
        <v>10</v>
      </c>
      <c r="E245" s="18">
        <v>0</v>
      </c>
      <c r="F245" s="6" t="str">
        <f>IFERROR(VLOOKUP(VLOOKUP(A245,'Sales Order'!A:B,2,FALSE),Customer!A:C,3,FALSE),"Not Specified")</f>
        <v>Taylor, Maurice</v>
      </c>
      <c r="G245" s="6" t="str">
        <f t="shared" si="6"/>
        <v>Taylor Maurice</v>
      </c>
      <c r="H245" s="22" t="str">
        <f>IFERROR(VLOOKUP(VLOOKUP(A245,'Sales Order'!A:C,3,FALSE),Employee!A:E,5,FALSE)&amp;" "&amp;VLOOKUP(VLOOKUP(A245,'Sales Order'!A:C,3,FALSE),Employee!A:C,3,FALSE)&amp;" "&amp;VLOOKUP(VLOOKUP(A245,'Sales Order'!A:C,3,FALSE),Employee!A:B,2,FALSE),"Not Specified")</f>
        <v>Dr. Don Funk</v>
      </c>
      <c r="I245" t="str">
        <f>IFERROR(VLOOKUP(VLOOKUP(A245,'Sales Order'!A:C,3,FALSE),Employee!A:J,10,FALSE),"Not Specified")</f>
        <v>WA</v>
      </c>
      <c r="J245" t="str">
        <f>VLOOKUP(B245,Product!A:B,2,FALSE)</f>
        <v>Product KSBRM</v>
      </c>
      <c r="K245" t="str">
        <f>VLOOKUP(VLOOKUP(B245,Product!A:D,4,FALSE),Category!A:B,2,FALSE)</f>
        <v>Condiments</v>
      </c>
      <c r="L245" s="24">
        <f>IFERROR(VLOOKUP(A245,'Sales Order'!A:D,4,FALSE),"")</f>
        <v>39018</v>
      </c>
      <c r="M245" s="24">
        <f>IFERROR(VLOOKUP(A245,'Sales Order'!A:F,6,FALSE),"")</f>
        <v>39025</v>
      </c>
      <c r="N245" t="str">
        <f>IFERROR(VLOOKUP(VLOOKUP(A245,'Sales Order'!A:G,7,FALSE),Shipper!A:B,2,FALSE),"Not Specified")</f>
        <v>Shipper ETYNR</v>
      </c>
      <c r="O245" t="str">
        <f>IFERROR(VLOOKUP(A245,'Sales Order'!A:I,9,FALSE),"Not Specified")</f>
        <v>Ship to 51-C</v>
      </c>
      <c r="P245" t="str">
        <f>IFERROR(VLOOKUP(A245,'Sales Order'!A:N,14,FALSE),"Not Specified")</f>
        <v>Canada</v>
      </c>
      <c r="Q245" t="str">
        <f>VLOOKUP(VLOOKUP(B245,Product!A:C,3,FALSE),Supplier!A:B,2,FALSE)</f>
        <v>Supplier VHQZD</v>
      </c>
      <c r="R245" t="str">
        <f>VLOOKUP(VLOOKUP(B245,Product!A:C,3,FALSE),Supplier!A:I,9,FALSE)</f>
        <v>USA</v>
      </c>
      <c r="S245" t="str">
        <f>IFERROR(IF(VLOOKUP(A245,'Sales Order'!A:H,8,FALSE)&gt;100,"High Freight","Low Freight"),"Not Specified")</f>
        <v>Low Freight</v>
      </c>
      <c r="T245">
        <f t="shared" si="7"/>
        <v>176</v>
      </c>
    </row>
    <row r="246" spans="1:20">
      <c r="A246" s="9">
        <v>10339</v>
      </c>
      <c r="B246" s="6">
        <v>17</v>
      </c>
      <c r="C246" s="6">
        <v>31.2</v>
      </c>
      <c r="D246" s="6">
        <v>70</v>
      </c>
      <c r="E246" s="18">
        <v>0.05</v>
      </c>
      <c r="F246" s="6" t="str">
        <f>IFERROR(VLOOKUP(VLOOKUP(A246,'Sales Order'!A:B,2,FALSE),Customer!A:C,3,FALSE),"Not Specified")</f>
        <v>Taylor, Maurice</v>
      </c>
      <c r="G246" s="6" t="str">
        <f t="shared" si="6"/>
        <v>Taylor Maurice</v>
      </c>
      <c r="H246" s="22" t="str">
        <f>IFERROR(VLOOKUP(VLOOKUP(A246,'Sales Order'!A:C,3,FALSE),Employee!A:E,5,FALSE)&amp;" "&amp;VLOOKUP(VLOOKUP(A246,'Sales Order'!A:C,3,FALSE),Employee!A:C,3,FALSE)&amp;" "&amp;VLOOKUP(VLOOKUP(A246,'Sales Order'!A:C,3,FALSE),Employee!A:B,2,FALSE),"Not Specified")</f>
        <v>Dr. Don Funk</v>
      </c>
      <c r="I246" t="str">
        <f>IFERROR(VLOOKUP(VLOOKUP(A246,'Sales Order'!A:C,3,FALSE),Employee!A:J,10,FALSE),"Not Specified")</f>
        <v>WA</v>
      </c>
      <c r="J246" t="str">
        <f>VLOOKUP(B246,Product!A:B,2,FALSE)</f>
        <v>Product BLCAX</v>
      </c>
      <c r="K246" t="str">
        <f>VLOOKUP(VLOOKUP(B246,Product!A:D,4,FALSE),Category!A:B,2,FALSE)</f>
        <v>Meat/Poultry</v>
      </c>
      <c r="L246" s="24">
        <f>IFERROR(VLOOKUP(A246,'Sales Order'!A:D,4,FALSE),"")</f>
        <v>39018</v>
      </c>
      <c r="M246" s="24">
        <f>IFERROR(VLOOKUP(A246,'Sales Order'!A:F,6,FALSE),"")</f>
        <v>39025</v>
      </c>
      <c r="N246" t="str">
        <f>IFERROR(VLOOKUP(VLOOKUP(A246,'Sales Order'!A:G,7,FALSE),Shipper!A:B,2,FALSE),"Not Specified")</f>
        <v>Shipper ETYNR</v>
      </c>
      <c r="O246" t="str">
        <f>IFERROR(VLOOKUP(A246,'Sales Order'!A:I,9,FALSE),"Not Specified")</f>
        <v>Ship to 51-C</v>
      </c>
      <c r="P246" t="str">
        <f>IFERROR(VLOOKUP(A246,'Sales Order'!A:N,14,FALSE),"Not Specified")</f>
        <v>Canada</v>
      </c>
      <c r="Q246" t="str">
        <f>VLOOKUP(VLOOKUP(B246,Product!A:C,3,FALSE),Supplier!A:B,2,FALSE)</f>
        <v>Supplier GQRCV</v>
      </c>
      <c r="R246" t="str">
        <f>VLOOKUP(VLOOKUP(B246,Product!A:C,3,FALSE),Supplier!A:I,9,FALSE)</f>
        <v>Australia</v>
      </c>
      <c r="S246" t="str">
        <f>IFERROR(IF(VLOOKUP(A246,'Sales Order'!A:H,8,FALSE)&gt;100,"High Freight","Low Freight"),"Not Specified")</f>
        <v>Low Freight</v>
      </c>
      <c r="T246">
        <f t="shared" si="7"/>
        <v>2074.7999999999997</v>
      </c>
    </row>
    <row r="247" spans="1:20">
      <c r="A247" s="9">
        <v>10339</v>
      </c>
      <c r="B247" s="6">
        <v>62</v>
      </c>
      <c r="C247" s="6">
        <v>39.4</v>
      </c>
      <c r="D247" s="6">
        <v>28</v>
      </c>
      <c r="E247" s="18">
        <v>0</v>
      </c>
      <c r="F247" s="6" t="str">
        <f>IFERROR(VLOOKUP(VLOOKUP(A247,'Sales Order'!A:B,2,FALSE),Customer!A:C,3,FALSE),"Not Specified")</f>
        <v>Taylor, Maurice</v>
      </c>
      <c r="G247" s="6" t="str">
        <f t="shared" si="6"/>
        <v>Taylor Maurice</v>
      </c>
      <c r="H247" s="22" t="str">
        <f>IFERROR(VLOOKUP(VLOOKUP(A247,'Sales Order'!A:C,3,FALSE),Employee!A:E,5,FALSE)&amp;" "&amp;VLOOKUP(VLOOKUP(A247,'Sales Order'!A:C,3,FALSE),Employee!A:C,3,FALSE)&amp;" "&amp;VLOOKUP(VLOOKUP(A247,'Sales Order'!A:C,3,FALSE),Employee!A:B,2,FALSE),"Not Specified")</f>
        <v>Dr. Don Funk</v>
      </c>
      <c r="I247" t="str">
        <f>IFERROR(VLOOKUP(VLOOKUP(A247,'Sales Order'!A:C,3,FALSE),Employee!A:J,10,FALSE),"Not Specified")</f>
        <v>WA</v>
      </c>
      <c r="J247" t="str">
        <f>VLOOKUP(B247,Product!A:B,2,FALSE)</f>
        <v>Product WUXYK</v>
      </c>
      <c r="K247" t="str">
        <f>VLOOKUP(VLOOKUP(B247,Product!A:D,4,FALSE),Category!A:B,2,FALSE)</f>
        <v>Confections</v>
      </c>
      <c r="L247" s="24">
        <f>IFERROR(VLOOKUP(A247,'Sales Order'!A:D,4,FALSE),"")</f>
        <v>39018</v>
      </c>
      <c r="M247" s="24">
        <f>IFERROR(VLOOKUP(A247,'Sales Order'!A:F,6,FALSE),"")</f>
        <v>39025</v>
      </c>
      <c r="N247" t="str">
        <f>IFERROR(VLOOKUP(VLOOKUP(A247,'Sales Order'!A:G,7,FALSE),Shipper!A:B,2,FALSE),"Not Specified")</f>
        <v>Shipper ETYNR</v>
      </c>
      <c r="O247" t="str">
        <f>IFERROR(VLOOKUP(A247,'Sales Order'!A:I,9,FALSE),"Not Specified")</f>
        <v>Ship to 51-C</v>
      </c>
      <c r="P247" t="str">
        <f>IFERROR(VLOOKUP(A247,'Sales Order'!A:N,14,FALSE),"Not Specified")</f>
        <v>Canada</v>
      </c>
      <c r="Q247" t="str">
        <f>VLOOKUP(VLOOKUP(B247,Product!A:C,3,FALSE),Supplier!A:B,2,FALSE)</f>
        <v>Supplier OGLRK</v>
      </c>
      <c r="R247" t="str">
        <f>VLOOKUP(VLOOKUP(B247,Product!A:C,3,FALSE),Supplier!A:I,9,FALSE)</f>
        <v>Canada</v>
      </c>
      <c r="S247" t="str">
        <f>IFERROR(IF(VLOOKUP(A247,'Sales Order'!A:H,8,FALSE)&gt;100,"High Freight","Low Freight"),"Not Specified")</f>
        <v>Low Freight</v>
      </c>
      <c r="T247">
        <f t="shared" si="7"/>
        <v>1103.2</v>
      </c>
    </row>
    <row r="248" spans="1:20">
      <c r="A248" s="9">
        <v>10340</v>
      </c>
      <c r="B248" s="6">
        <v>18</v>
      </c>
      <c r="C248" s="6">
        <v>50</v>
      </c>
      <c r="D248" s="6">
        <v>20</v>
      </c>
      <c r="E248" s="18">
        <v>0.05</v>
      </c>
      <c r="F248" s="6" t="str">
        <f>IFERROR(VLOOKUP(VLOOKUP(A248,'Sales Order'!A:B,2,FALSE),Customer!A:C,3,FALSE),"Not Specified")</f>
        <v>Raghav, Amritansh</v>
      </c>
      <c r="G248" s="6" t="str">
        <f t="shared" si="6"/>
        <v>Raghav Amritansh</v>
      </c>
      <c r="H248" s="22" t="str">
        <f>IFERROR(VLOOKUP(VLOOKUP(A248,'Sales Order'!A:C,3,FALSE),Employee!A:E,5,FALSE)&amp;" "&amp;VLOOKUP(VLOOKUP(A248,'Sales Order'!A:C,3,FALSE),Employee!A:C,3,FALSE)&amp;" "&amp;VLOOKUP(VLOOKUP(A248,'Sales Order'!A:C,3,FALSE),Employee!A:B,2,FALSE),"Not Specified")</f>
        <v>Ms. Sara Davis</v>
      </c>
      <c r="I248" t="str">
        <f>IFERROR(VLOOKUP(VLOOKUP(A248,'Sales Order'!A:C,3,FALSE),Employee!A:J,10,FALSE),"Not Specified")</f>
        <v>WA</v>
      </c>
      <c r="J248" t="str">
        <f>VLOOKUP(B248,Product!A:B,2,FALSE)</f>
        <v>Product CKEDC</v>
      </c>
      <c r="K248" t="str">
        <f>VLOOKUP(VLOOKUP(B248,Product!A:D,4,FALSE),Category!A:B,2,FALSE)</f>
        <v>Seafood</v>
      </c>
      <c r="L248" s="24">
        <f>IFERROR(VLOOKUP(A248,'Sales Order'!A:D,4,FALSE),"")</f>
        <v>39019</v>
      </c>
      <c r="M248" s="24">
        <f>IFERROR(VLOOKUP(A248,'Sales Order'!A:F,6,FALSE),"")</f>
        <v>39029</v>
      </c>
      <c r="N248" t="str">
        <f>IFERROR(VLOOKUP(VLOOKUP(A248,'Sales Order'!A:G,7,FALSE),Shipper!A:B,2,FALSE),"Not Specified")</f>
        <v>Shipper ZHISN</v>
      </c>
      <c r="O248" t="str">
        <f>IFERROR(VLOOKUP(A248,'Sales Order'!A:I,9,FALSE),"Not Specified")</f>
        <v>Ship to 9-A</v>
      </c>
      <c r="P248" t="str">
        <f>IFERROR(VLOOKUP(A248,'Sales Order'!A:N,14,FALSE),"Not Specified")</f>
        <v>France</v>
      </c>
      <c r="Q248" t="str">
        <f>VLOOKUP(VLOOKUP(B248,Product!A:C,3,FALSE),Supplier!A:B,2,FALSE)</f>
        <v>Supplier GQRCV</v>
      </c>
      <c r="R248" t="str">
        <f>VLOOKUP(VLOOKUP(B248,Product!A:C,3,FALSE),Supplier!A:I,9,FALSE)</f>
        <v>Australia</v>
      </c>
      <c r="S248" t="str">
        <f>IFERROR(IF(VLOOKUP(A248,'Sales Order'!A:H,8,FALSE)&gt;100,"High Freight","Low Freight"),"Not Specified")</f>
        <v>High Freight</v>
      </c>
      <c r="T248">
        <f t="shared" si="7"/>
        <v>950</v>
      </c>
    </row>
    <row r="249" spans="1:20">
      <c r="A249" s="9">
        <v>10340</v>
      </c>
      <c r="B249" s="6">
        <v>41</v>
      </c>
      <c r="C249" s="6">
        <v>7.7</v>
      </c>
      <c r="D249" s="6">
        <v>12</v>
      </c>
      <c r="E249" s="18">
        <v>0.05</v>
      </c>
      <c r="F249" s="6" t="str">
        <f>IFERROR(VLOOKUP(VLOOKUP(A249,'Sales Order'!A:B,2,FALSE),Customer!A:C,3,FALSE),"Not Specified")</f>
        <v>Raghav, Amritansh</v>
      </c>
      <c r="G249" s="6" t="str">
        <f t="shared" si="6"/>
        <v>Raghav Amritansh</v>
      </c>
      <c r="H249" s="22" t="str">
        <f>IFERROR(VLOOKUP(VLOOKUP(A249,'Sales Order'!A:C,3,FALSE),Employee!A:E,5,FALSE)&amp;" "&amp;VLOOKUP(VLOOKUP(A249,'Sales Order'!A:C,3,FALSE),Employee!A:C,3,FALSE)&amp;" "&amp;VLOOKUP(VLOOKUP(A249,'Sales Order'!A:C,3,FALSE),Employee!A:B,2,FALSE),"Not Specified")</f>
        <v>Ms. Sara Davis</v>
      </c>
      <c r="I249" t="str">
        <f>IFERROR(VLOOKUP(VLOOKUP(A249,'Sales Order'!A:C,3,FALSE),Employee!A:J,10,FALSE),"Not Specified")</f>
        <v>WA</v>
      </c>
      <c r="J249" t="str">
        <f>VLOOKUP(B249,Product!A:B,2,FALSE)</f>
        <v>Product TTEEX</v>
      </c>
      <c r="K249" t="str">
        <f>VLOOKUP(VLOOKUP(B249,Product!A:D,4,FALSE),Category!A:B,2,FALSE)</f>
        <v>Seafood</v>
      </c>
      <c r="L249" s="24">
        <f>IFERROR(VLOOKUP(A249,'Sales Order'!A:D,4,FALSE),"")</f>
        <v>39019</v>
      </c>
      <c r="M249" s="24">
        <f>IFERROR(VLOOKUP(A249,'Sales Order'!A:F,6,FALSE),"")</f>
        <v>39029</v>
      </c>
      <c r="N249" t="str">
        <f>IFERROR(VLOOKUP(VLOOKUP(A249,'Sales Order'!A:G,7,FALSE),Shipper!A:B,2,FALSE),"Not Specified")</f>
        <v>Shipper ZHISN</v>
      </c>
      <c r="O249" t="str">
        <f>IFERROR(VLOOKUP(A249,'Sales Order'!A:I,9,FALSE),"Not Specified")</f>
        <v>Ship to 9-A</v>
      </c>
      <c r="P249" t="str">
        <f>IFERROR(VLOOKUP(A249,'Sales Order'!A:N,14,FALSE),"Not Specified")</f>
        <v>France</v>
      </c>
      <c r="Q249" t="str">
        <f>VLOOKUP(VLOOKUP(B249,Product!A:C,3,FALSE),Supplier!A:B,2,FALSE)</f>
        <v>Supplier JDNUG</v>
      </c>
      <c r="R249" t="str">
        <f>VLOOKUP(VLOOKUP(B249,Product!A:C,3,FALSE),Supplier!A:I,9,FALSE)</f>
        <v>USA</v>
      </c>
      <c r="S249" t="str">
        <f>IFERROR(IF(VLOOKUP(A249,'Sales Order'!A:H,8,FALSE)&gt;100,"High Freight","Low Freight"),"Not Specified")</f>
        <v>High Freight</v>
      </c>
      <c r="T249">
        <f t="shared" si="7"/>
        <v>87.78</v>
      </c>
    </row>
    <row r="250" spans="1:20">
      <c r="A250" s="9">
        <v>10340</v>
      </c>
      <c r="B250" s="6">
        <v>43</v>
      </c>
      <c r="C250" s="6">
        <v>36.799999999999997</v>
      </c>
      <c r="D250" s="6">
        <v>40</v>
      </c>
      <c r="E250" s="18">
        <v>0.05</v>
      </c>
      <c r="F250" s="6" t="str">
        <f>IFERROR(VLOOKUP(VLOOKUP(A250,'Sales Order'!A:B,2,FALSE),Customer!A:C,3,FALSE),"Not Specified")</f>
        <v>Raghav, Amritansh</v>
      </c>
      <c r="G250" s="6" t="str">
        <f t="shared" si="6"/>
        <v>Raghav Amritansh</v>
      </c>
      <c r="H250" s="22" t="str">
        <f>IFERROR(VLOOKUP(VLOOKUP(A250,'Sales Order'!A:C,3,FALSE),Employee!A:E,5,FALSE)&amp;" "&amp;VLOOKUP(VLOOKUP(A250,'Sales Order'!A:C,3,FALSE),Employee!A:C,3,FALSE)&amp;" "&amp;VLOOKUP(VLOOKUP(A250,'Sales Order'!A:C,3,FALSE),Employee!A:B,2,FALSE),"Not Specified")</f>
        <v>Ms. Sara Davis</v>
      </c>
      <c r="I250" t="str">
        <f>IFERROR(VLOOKUP(VLOOKUP(A250,'Sales Order'!A:C,3,FALSE),Employee!A:J,10,FALSE),"Not Specified")</f>
        <v>WA</v>
      </c>
      <c r="J250" t="str">
        <f>VLOOKUP(B250,Product!A:B,2,FALSE)</f>
        <v>Product ZZZHR</v>
      </c>
      <c r="K250" t="str">
        <f>VLOOKUP(VLOOKUP(B250,Product!A:D,4,FALSE),Category!A:B,2,FALSE)</f>
        <v>Beverages</v>
      </c>
      <c r="L250" s="24">
        <f>IFERROR(VLOOKUP(A250,'Sales Order'!A:D,4,FALSE),"")</f>
        <v>39019</v>
      </c>
      <c r="M250" s="24">
        <f>IFERROR(VLOOKUP(A250,'Sales Order'!A:F,6,FALSE),"")</f>
        <v>39029</v>
      </c>
      <c r="N250" t="str">
        <f>IFERROR(VLOOKUP(VLOOKUP(A250,'Sales Order'!A:G,7,FALSE),Shipper!A:B,2,FALSE),"Not Specified")</f>
        <v>Shipper ZHISN</v>
      </c>
      <c r="O250" t="str">
        <f>IFERROR(VLOOKUP(A250,'Sales Order'!A:I,9,FALSE),"Not Specified")</f>
        <v>Ship to 9-A</v>
      </c>
      <c r="P250" t="str">
        <f>IFERROR(VLOOKUP(A250,'Sales Order'!A:N,14,FALSE),"Not Specified")</f>
        <v>France</v>
      </c>
      <c r="Q250" t="str">
        <f>VLOOKUP(VLOOKUP(B250,Product!A:C,3,FALSE),Supplier!A:B,2,FALSE)</f>
        <v>Supplier CIYNM</v>
      </c>
      <c r="R250" t="str">
        <f>VLOOKUP(VLOOKUP(B250,Product!A:C,3,FALSE),Supplier!A:I,9,FALSE)</f>
        <v>Singapore</v>
      </c>
      <c r="S250" t="str">
        <f>IFERROR(IF(VLOOKUP(A250,'Sales Order'!A:H,8,FALSE)&gt;100,"High Freight","Low Freight"),"Not Specified")</f>
        <v>High Freight</v>
      </c>
      <c r="T250">
        <f t="shared" si="7"/>
        <v>1398.3999999999999</v>
      </c>
    </row>
    <row r="251" spans="1:20">
      <c r="A251" s="9">
        <v>10341</v>
      </c>
      <c r="B251" s="6">
        <v>33</v>
      </c>
      <c r="C251" s="6">
        <v>2</v>
      </c>
      <c r="D251" s="6">
        <v>8</v>
      </c>
      <c r="E251" s="18">
        <v>0</v>
      </c>
      <c r="F251" s="6" t="str">
        <f>IFERROR(VLOOKUP(VLOOKUP(A251,'Sales Order'!A:B,2,FALSE),Customer!A:C,3,FALSE),"Not Specified")</f>
        <v>Gonzalez, Nuria</v>
      </c>
      <c r="G251" s="6" t="str">
        <f t="shared" si="6"/>
        <v>Gonzalez Nuria</v>
      </c>
      <c r="H251" s="22" t="str">
        <f>IFERROR(VLOOKUP(VLOOKUP(A251,'Sales Order'!A:C,3,FALSE),Employee!A:E,5,FALSE)&amp;" "&amp;VLOOKUP(VLOOKUP(A251,'Sales Order'!A:C,3,FALSE),Employee!A:C,3,FALSE)&amp;" "&amp;VLOOKUP(VLOOKUP(A251,'Sales Order'!A:C,3,FALSE),Employee!A:B,2,FALSE),"Not Specified")</f>
        <v>Mr. Russell King</v>
      </c>
      <c r="I251">
        <f>IFERROR(VLOOKUP(VLOOKUP(A251,'Sales Order'!A:C,3,FALSE),Employee!A:J,10,FALSE),"Not Specified")</f>
        <v>0</v>
      </c>
      <c r="J251" t="str">
        <f>VLOOKUP(B251,Product!A:B,2,FALSE)</f>
        <v>Product ASTMN</v>
      </c>
      <c r="K251" t="str">
        <f>VLOOKUP(VLOOKUP(B251,Product!A:D,4,FALSE),Category!A:B,2,FALSE)</f>
        <v>Dairy Product</v>
      </c>
      <c r="L251" s="24">
        <f>IFERROR(VLOOKUP(A251,'Sales Order'!A:D,4,FALSE),"")</f>
        <v>39019</v>
      </c>
      <c r="M251" s="24">
        <f>IFERROR(VLOOKUP(A251,'Sales Order'!A:F,6,FALSE),"")</f>
        <v>39026</v>
      </c>
      <c r="N251" t="str">
        <f>IFERROR(VLOOKUP(VLOOKUP(A251,'Sales Order'!A:G,7,FALSE),Shipper!A:B,2,FALSE),"Not Specified")</f>
        <v>Shipper ZHISN</v>
      </c>
      <c r="O251" t="str">
        <f>IFERROR(VLOOKUP(A251,'Sales Order'!A:I,9,FALSE),"Not Specified")</f>
        <v>Ship to 73-A</v>
      </c>
      <c r="P251" t="str">
        <f>IFERROR(VLOOKUP(A251,'Sales Order'!A:N,14,FALSE),"Not Specified")</f>
        <v>Denmark</v>
      </c>
      <c r="Q251" t="str">
        <f>VLOOKUP(VLOOKUP(B251,Product!A:C,3,FALSE),Supplier!A:B,2,FALSE)</f>
        <v>Supplier NZLIF</v>
      </c>
      <c r="R251" t="str">
        <f>VLOOKUP(VLOOKUP(B251,Product!A:C,3,FALSE),Supplier!A:I,9,FALSE)</f>
        <v>Norway</v>
      </c>
      <c r="S251" t="str">
        <f>IFERROR(IF(VLOOKUP(A251,'Sales Order'!A:H,8,FALSE)&gt;100,"High Freight","Low Freight"),"Not Specified")</f>
        <v>Low Freight</v>
      </c>
      <c r="T251">
        <f t="shared" si="7"/>
        <v>16</v>
      </c>
    </row>
    <row r="252" spans="1:20">
      <c r="A252" s="9">
        <v>10341</v>
      </c>
      <c r="B252" s="6">
        <v>59</v>
      </c>
      <c r="C252" s="6">
        <v>44</v>
      </c>
      <c r="D252" s="6">
        <v>9</v>
      </c>
      <c r="E252" s="18">
        <v>0.15</v>
      </c>
      <c r="F252" s="6" t="str">
        <f>IFERROR(VLOOKUP(VLOOKUP(A252,'Sales Order'!A:B,2,FALSE),Customer!A:C,3,FALSE),"Not Specified")</f>
        <v>Gonzalez, Nuria</v>
      </c>
      <c r="G252" s="6" t="str">
        <f t="shared" si="6"/>
        <v>Gonzalez Nuria</v>
      </c>
      <c r="H252" s="22" t="str">
        <f>IFERROR(VLOOKUP(VLOOKUP(A252,'Sales Order'!A:C,3,FALSE),Employee!A:E,5,FALSE)&amp;" "&amp;VLOOKUP(VLOOKUP(A252,'Sales Order'!A:C,3,FALSE),Employee!A:C,3,FALSE)&amp;" "&amp;VLOOKUP(VLOOKUP(A252,'Sales Order'!A:C,3,FALSE),Employee!A:B,2,FALSE),"Not Specified")</f>
        <v>Mr. Russell King</v>
      </c>
      <c r="I252">
        <f>IFERROR(VLOOKUP(VLOOKUP(A252,'Sales Order'!A:C,3,FALSE),Employee!A:J,10,FALSE),"Not Specified")</f>
        <v>0</v>
      </c>
      <c r="J252" t="str">
        <f>VLOOKUP(B252,Product!A:B,2,FALSE)</f>
        <v>Product UKXRI</v>
      </c>
      <c r="K252" t="str">
        <f>VLOOKUP(VLOOKUP(B252,Product!A:D,4,FALSE),Category!A:B,2,FALSE)</f>
        <v>Dairy Product</v>
      </c>
      <c r="L252" s="24">
        <f>IFERROR(VLOOKUP(A252,'Sales Order'!A:D,4,FALSE),"")</f>
        <v>39019</v>
      </c>
      <c r="M252" s="24">
        <f>IFERROR(VLOOKUP(A252,'Sales Order'!A:F,6,FALSE),"")</f>
        <v>39026</v>
      </c>
      <c r="N252" t="str">
        <f>IFERROR(VLOOKUP(VLOOKUP(A252,'Sales Order'!A:G,7,FALSE),Shipper!A:B,2,FALSE),"Not Specified")</f>
        <v>Shipper ZHISN</v>
      </c>
      <c r="O252" t="str">
        <f>IFERROR(VLOOKUP(A252,'Sales Order'!A:I,9,FALSE),"Not Specified")</f>
        <v>Ship to 73-A</v>
      </c>
      <c r="P252" t="str">
        <f>IFERROR(VLOOKUP(A252,'Sales Order'!A:N,14,FALSE),"Not Specified")</f>
        <v>Denmark</v>
      </c>
      <c r="Q252" t="str">
        <f>VLOOKUP(VLOOKUP(B252,Product!A:C,3,FALSE),Supplier!A:B,2,FALSE)</f>
        <v>Supplier OAVQT</v>
      </c>
      <c r="R252" t="str">
        <f>VLOOKUP(VLOOKUP(B252,Product!A:C,3,FALSE),Supplier!A:I,9,FALSE)</f>
        <v>France</v>
      </c>
      <c r="S252" t="str">
        <f>IFERROR(IF(VLOOKUP(A252,'Sales Order'!A:H,8,FALSE)&gt;100,"High Freight","Low Freight"),"Not Specified")</f>
        <v>Low Freight</v>
      </c>
      <c r="T252">
        <f t="shared" si="7"/>
        <v>336.59999999999997</v>
      </c>
    </row>
    <row r="253" spans="1:20">
      <c r="A253" s="9">
        <v>10342</v>
      </c>
      <c r="B253" s="6">
        <v>2</v>
      </c>
      <c r="C253" s="6">
        <v>15.2</v>
      </c>
      <c r="D253" s="6">
        <v>24</v>
      </c>
      <c r="E253" s="18">
        <v>0.2</v>
      </c>
      <c r="F253" s="6" t="str">
        <f>IFERROR(VLOOKUP(VLOOKUP(A253,'Sales Order'!A:B,2,FALSE),Customer!A:C,3,FALSE),"Not Specified")</f>
        <v>Carlson, Jason</v>
      </c>
      <c r="G253" s="6" t="str">
        <f t="shared" si="6"/>
        <v>Carlson Jason</v>
      </c>
      <c r="H253" s="22" t="str">
        <f>IFERROR(VLOOKUP(VLOOKUP(A253,'Sales Order'!A:C,3,FALSE),Employee!A:E,5,FALSE)&amp;" "&amp;VLOOKUP(VLOOKUP(A253,'Sales Order'!A:C,3,FALSE),Employee!A:C,3,FALSE)&amp;" "&amp;VLOOKUP(VLOOKUP(A253,'Sales Order'!A:C,3,FALSE),Employee!A:B,2,FALSE),"Not Specified")</f>
        <v>Mrs. Yael Peled</v>
      </c>
      <c r="I253" t="str">
        <f>IFERROR(VLOOKUP(VLOOKUP(A253,'Sales Order'!A:C,3,FALSE),Employee!A:J,10,FALSE),"Not Specified")</f>
        <v>WA</v>
      </c>
      <c r="J253" t="str">
        <f>VLOOKUP(B253,Product!A:B,2,FALSE)</f>
        <v>Product RECZE</v>
      </c>
      <c r="K253" t="str">
        <f>VLOOKUP(VLOOKUP(B253,Product!A:D,4,FALSE),Category!A:B,2,FALSE)</f>
        <v>Beverages</v>
      </c>
      <c r="L253" s="24">
        <f>IFERROR(VLOOKUP(A253,'Sales Order'!A:D,4,FALSE),"")</f>
        <v>39020</v>
      </c>
      <c r="M253" s="24">
        <f>IFERROR(VLOOKUP(A253,'Sales Order'!A:F,6,FALSE),"")</f>
        <v>39025</v>
      </c>
      <c r="N253" t="str">
        <f>IFERROR(VLOOKUP(VLOOKUP(A253,'Sales Order'!A:G,7,FALSE),Shipper!A:B,2,FALSE),"Not Specified")</f>
        <v>Shipper ETYNR</v>
      </c>
      <c r="O253" t="str">
        <f>IFERROR(VLOOKUP(A253,'Sales Order'!A:I,9,FALSE),"Not Specified")</f>
        <v>Destination VAPXU</v>
      </c>
      <c r="P253" t="str">
        <f>IFERROR(VLOOKUP(A253,'Sales Order'!A:N,14,FALSE),"Not Specified")</f>
        <v>Germany</v>
      </c>
      <c r="Q253" t="str">
        <f>VLOOKUP(VLOOKUP(B253,Product!A:C,3,FALSE),Supplier!A:B,2,FALSE)</f>
        <v>Supplier SWRXU</v>
      </c>
      <c r="R253" t="str">
        <f>VLOOKUP(VLOOKUP(B253,Product!A:C,3,FALSE),Supplier!A:I,9,FALSE)</f>
        <v>UK</v>
      </c>
      <c r="S253" t="str">
        <f>IFERROR(IF(VLOOKUP(A253,'Sales Order'!A:H,8,FALSE)&gt;100,"High Freight","Low Freight"),"Not Specified")</f>
        <v>Low Freight</v>
      </c>
      <c r="T253">
        <f t="shared" si="7"/>
        <v>291.83999999999997</v>
      </c>
    </row>
    <row r="254" spans="1:20">
      <c r="A254" s="9">
        <v>10342</v>
      </c>
      <c r="B254" s="6">
        <v>31</v>
      </c>
      <c r="C254" s="6">
        <v>10</v>
      </c>
      <c r="D254" s="6">
        <v>56</v>
      </c>
      <c r="E254" s="18">
        <v>0.2</v>
      </c>
      <c r="F254" s="6" t="str">
        <f>IFERROR(VLOOKUP(VLOOKUP(A254,'Sales Order'!A:B,2,FALSE),Customer!A:C,3,FALSE),"Not Specified")</f>
        <v>Carlson, Jason</v>
      </c>
      <c r="G254" s="6" t="str">
        <f t="shared" si="6"/>
        <v>Carlson Jason</v>
      </c>
      <c r="H254" s="22" t="str">
        <f>IFERROR(VLOOKUP(VLOOKUP(A254,'Sales Order'!A:C,3,FALSE),Employee!A:E,5,FALSE)&amp;" "&amp;VLOOKUP(VLOOKUP(A254,'Sales Order'!A:C,3,FALSE),Employee!A:C,3,FALSE)&amp;" "&amp;VLOOKUP(VLOOKUP(A254,'Sales Order'!A:C,3,FALSE),Employee!A:B,2,FALSE),"Not Specified")</f>
        <v>Mrs. Yael Peled</v>
      </c>
      <c r="I254" t="str">
        <f>IFERROR(VLOOKUP(VLOOKUP(A254,'Sales Order'!A:C,3,FALSE),Employee!A:J,10,FALSE),"Not Specified")</f>
        <v>WA</v>
      </c>
      <c r="J254" t="str">
        <f>VLOOKUP(B254,Product!A:B,2,FALSE)</f>
        <v>Product XWOXC</v>
      </c>
      <c r="K254" t="str">
        <f>VLOOKUP(VLOOKUP(B254,Product!A:D,4,FALSE),Category!A:B,2,FALSE)</f>
        <v>Dairy Product</v>
      </c>
      <c r="L254" s="24">
        <f>IFERROR(VLOOKUP(A254,'Sales Order'!A:D,4,FALSE),"")</f>
        <v>39020</v>
      </c>
      <c r="M254" s="24">
        <f>IFERROR(VLOOKUP(A254,'Sales Order'!A:F,6,FALSE),"")</f>
        <v>39025</v>
      </c>
      <c r="N254" t="str">
        <f>IFERROR(VLOOKUP(VLOOKUP(A254,'Sales Order'!A:G,7,FALSE),Shipper!A:B,2,FALSE),"Not Specified")</f>
        <v>Shipper ETYNR</v>
      </c>
      <c r="O254" t="str">
        <f>IFERROR(VLOOKUP(A254,'Sales Order'!A:I,9,FALSE),"Not Specified")</f>
        <v>Destination VAPXU</v>
      </c>
      <c r="P254" t="str">
        <f>IFERROR(VLOOKUP(A254,'Sales Order'!A:N,14,FALSE),"Not Specified")</f>
        <v>Germany</v>
      </c>
      <c r="Q254" t="str">
        <f>VLOOKUP(VLOOKUP(B254,Product!A:C,3,FALSE),Supplier!A:B,2,FALSE)</f>
        <v>Supplier KEREV</v>
      </c>
      <c r="R254" t="str">
        <f>VLOOKUP(VLOOKUP(B254,Product!A:C,3,FALSE),Supplier!A:I,9,FALSE)</f>
        <v>Italy</v>
      </c>
      <c r="S254" t="str">
        <f>IFERROR(IF(VLOOKUP(A254,'Sales Order'!A:H,8,FALSE)&gt;100,"High Freight","Low Freight"),"Not Specified")</f>
        <v>Low Freight</v>
      </c>
      <c r="T254">
        <f t="shared" si="7"/>
        <v>448</v>
      </c>
    </row>
    <row r="255" spans="1:20">
      <c r="A255" s="9">
        <v>10342</v>
      </c>
      <c r="B255" s="6">
        <v>36</v>
      </c>
      <c r="C255" s="6">
        <v>15.2</v>
      </c>
      <c r="D255" s="6">
        <v>40</v>
      </c>
      <c r="E255" s="18">
        <v>0.2</v>
      </c>
      <c r="F255" s="6" t="str">
        <f>IFERROR(VLOOKUP(VLOOKUP(A255,'Sales Order'!A:B,2,FALSE),Customer!A:C,3,FALSE),"Not Specified")</f>
        <v>Carlson, Jason</v>
      </c>
      <c r="G255" s="6" t="str">
        <f t="shared" si="6"/>
        <v>Carlson Jason</v>
      </c>
      <c r="H255" s="22" t="str">
        <f>IFERROR(VLOOKUP(VLOOKUP(A255,'Sales Order'!A:C,3,FALSE),Employee!A:E,5,FALSE)&amp;" "&amp;VLOOKUP(VLOOKUP(A255,'Sales Order'!A:C,3,FALSE),Employee!A:C,3,FALSE)&amp;" "&amp;VLOOKUP(VLOOKUP(A255,'Sales Order'!A:C,3,FALSE),Employee!A:B,2,FALSE),"Not Specified")</f>
        <v>Mrs. Yael Peled</v>
      </c>
      <c r="I255" t="str">
        <f>IFERROR(VLOOKUP(VLOOKUP(A255,'Sales Order'!A:C,3,FALSE),Employee!A:J,10,FALSE),"Not Specified")</f>
        <v>WA</v>
      </c>
      <c r="J255" t="str">
        <f>VLOOKUP(B255,Product!A:B,2,FALSE)</f>
        <v>Product GMKIJ</v>
      </c>
      <c r="K255" t="str">
        <f>VLOOKUP(VLOOKUP(B255,Product!A:D,4,FALSE),Category!A:B,2,FALSE)</f>
        <v>Seafood</v>
      </c>
      <c r="L255" s="24">
        <f>IFERROR(VLOOKUP(A255,'Sales Order'!A:D,4,FALSE),"")</f>
        <v>39020</v>
      </c>
      <c r="M255" s="24">
        <f>IFERROR(VLOOKUP(A255,'Sales Order'!A:F,6,FALSE),"")</f>
        <v>39025</v>
      </c>
      <c r="N255" t="str">
        <f>IFERROR(VLOOKUP(VLOOKUP(A255,'Sales Order'!A:G,7,FALSE),Shipper!A:B,2,FALSE),"Not Specified")</f>
        <v>Shipper ETYNR</v>
      </c>
      <c r="O255" t="str">
        <f>IFERROR(VLOOKUP(A255,'Sales Order'!A:I,9,FALSE),"Not Specified")</f>
        <v>Destination VAPXU</v>
      </c>
      <c r="P255" t="str">
        <f>IFERROR(VLOOKUP(A255,'Sales Order'!A:N,14,FALSE),"Not Specified")</f>
        <v>Germany</v>
      </c>
      <c r="Q255" t="str">
        <f>VLOOKUP(VLOOKUP(B255,Product!A:C,3,FALSE),Supplier!A:B,2,FALSE)</f>
        <v>Supplier QZGUF</v>
      </c>
      <c r="R255" t="str">
        <f>VLOOKUP(VLOOKUP(B255,Product!A:C,3,FALSE),Supplier!A:I,9,FALSE)</f>
        <v>Sweden</v>
      </c>
      <c r="S255" t="str">
        <f>IFERROR(IF(VLOOKUP(A255,'Sales Order'!A:H,8,FALSE)&gt;100,"High Freight","Low Freight"),"Not Specified")</f>
        <v>Low Freight</v>
      </c>
      <c r="T255">
        <f t="shared" si="7"/>
        <v>486.40000000000003</v>
      </c>
    </row>
    <row r="256" spans="1:20">
      <c r="A256" s="9">
        <v>10342</v>
      </c>
      <c r="B256" s="6">
        <v>55</v>
      </c>
      <c r="C256" s="6">
        <v>19.2</v>
      </c>
      <c r="D256" s="6">
        <v>40</v>
      </c>
      <c r="E256" s="18">
        <v>0.2</v>
      </c>
      <c r="F256" s="6" t="str">
        <f>IFERROR(VLOOKUP(VLOOKUP(A256,'Sales Order'!A:B,2,FALSE),Customer!A:C,3,FALSE),"Not Specified")</f>
        <v>Carlson, Jason</v>
      </c>
      <c r="G256" s="6" t="str">
        <f t="shared" si="6"/>
        <v>Carlson Jason</v>
      </c>
      <c r="H256" s="22" t="str">
        <f>IFERROR(VLOOKUP(VLOOKUP(A256,'Sales Order'!A:C,3,FALSE),Employee!A:E,5,FALSE)&amp;" "&amp;VLOOKUP(VLOOKUP(A256,'Sales Order'!A:C,3,FALSE),Employee!A:C,3,FALSE)&amp;" "&amp;VLOOKUP(VLOOKUP(A256,'Sales Order'!A:C,3,FALSE),Employee!A:B,2,FALSE),"Not Specified")</f>
        <v>Mrs. Yael Peled</v>
      </c>
      <c r="I256" t="str">
        <f>IFERROR(VLOOKUP(VLOOKUP(A256,'Sales Order'!A:C,3,FALSE),Employee!A:J,10,FALSE),"Not Specified")</f>
        <v>WA</v>
      </c>
      <c r="J256" t="str">
        <f>VLOOKUP(B256,Product!A:B,2,FALSE)</f>
        <v>Product YYWRT</v>
      </c>
      <c r="K256" t="str">
        <f>VLOOKUP(VLOOKUP(B256,Product!A:D,4,FALSE),Category!A:B,2,FALSE)</f>
        <v>Meat/Poultry</v>
      </c>
      <c r="L256" s="24">
        <f>IFERROR(VLOOKUP(A256,'Sales Order'!A:D,4,FALSE),"")</f>
        <v>39020</v>
      </c>
      <c r="M256" s="24">
        <f>IFERROR(VLOOKUP(A256,'Sales Order'!A:F,6,FALSE),"")</f>
        <v>39025</v>
      </c>
      <c r="N256" t="str">
        <f>IFERROR(VLOOKUP(VLOOKUP(A256,'Sales Order'!A:G,7,FALSE),Shipper!A:B,2,FALSE),"Not Specified")</f>
        <v>Shipper ETYNR</v>
      </c>
      <c r="O256" t="str">
        <f>IFERROR(VLOOKUP(A256,'Sales Order'!A:I,9,FALSE),"Not Specified")</f>
        <v>Destination VAPXU</v>
      </c>
      <c r="P256" t="str">
        <f>IFERROR(VLOOKUP(A256,'Sales Order'!A:N,14,FALSE),"Not Specified")</f>
        <v>Germany</v>
      </c>
      <c r="Q256" t="str">
        <f>VLOOKUP(VLOOKUP(B256,Product!A:C,3,FALSE),Supplier!A:B,2,FALSE)</f>
        <v>Supplier ERVYZ</v>
      </c>
      <c r="R256" t="str">
        <f>VLOOKUP(VLOOKUP(B256,Product!A:C,3,FALSE),Supplier!A:I,9,FALSE)</f>
        <v>Canada</v>
      </c>
      <c r="S256" t="str">
        <f>IFERROR(IF(VLOOKUP(A256,'Sales Order'!A:H,8,FALSE)&gt;100,"High Freight","Low Freight"),"Not Specified")</f>
        <v>Low Freight</v>
      </c>
      <c r="T256">
        <f t="shared" si="7"/>
        <v>614.40000000000009</v>
      </c>
    </row>
    <row r="257" spans="1:20">
      <c r="A257" s="9">
        <v>10343</v>
      </c>
      <c r="B257" s="6">
        <v>64</v>
      </c>
      <c r="C257" s="6">
        <v>26.6</v>
      </c>
      <c r="D257" s="6">
        <v>50</v>
      </c>
      <c r="E257" s="18">
        <v>0</v>
      </c>
      <c r="F257" s="6" t="str">
        <f>IFERROR(VLOOKUP(VLOOKUP(A257,'Sales Order'!A:B,2,FALSE),Customer!A:C,3,FALSE),"Not Specified")</f>
        <v>Louverdis, George</v>
      </c>
      <c r="G257" s="6" t="str">
        <f t="shared" si="6"/>
        <v>Louverdis George</v>
      </c>
      <c r="H257" s="22" t="str">
        <f>IFERROR(VLOOKUP(VLOOKUP(A257,'Sales Order'!A:C,3,FALSE),Employee!A:E,5,FALSE)&amp;" "&amp;VLOOKUP(VLOOKUP(A257,'Sales Order'!A:C,3,FALSE),Employee!A:C,3,FALSE)&amp;" "&amp;VLOOKUP(VLOOKUP(A257,'Sales Order'!A:C,3,FALSE),Employee!A:B,2,FALSE),"Not Specified")</f>
        <v>Mrs. Yael Peled</v>
      </c>
      <c r="I257" t="str">
        <f>IFERROR(VLOOKUP(VLOOKUP(A257,'Sales Order'!A:C,3,FALSE),Employee!A:J,10,FALSE),"Not Specified")</f>
        <v>WA</v>
      </c>
      <c r="J257" t="str">
        <f>VLOOKUP(B257,Product!A:B,2,FALSE)</f>
        <v>Product HCQDE</v>
      </c>
      <c r="K257" t="str">
        <f>VLOOKUP(VLOOKUP(B257,Product!A:D,4,FALSE),Category!A:B,2,FALSE)</f>
        <v>Grains/Cereals</v>
      </c>
      <c r="L257" s="24">
        <f>IFERROR(VLOOKUP(A257,'Sales Order'!A:D,4,FALSE),"")</f>
        <v>39021</v>
      </c>
      <c r="M257" s="24">
        <f>IFERROR(VLOOKUP(A257,'Sales Order'!A:F,6,FALSE),"")</f>
        <v>39027</v>
      </c>
      <c r="N257" t="str">
        <f>IFERROR(VLOOKUP(VLOOKUP(A257,'Sales Order'!A:G,7,FALSE),Shipper!A:B,2,FALSE),"Not Specified")</f>
        <v>Shipper GVSUA</v>
      </c>
      <c r="O257" t="str">
        <f>IFERROR(VLOOKUP(A257,'Sales Order'!A:I,9,FALSE),"Not Specified")</f>
        <v>Ship to 44-A</v>
      </c>
      <c r="P257" t="str">
        <f>IFERROR(VLOOKUP(A257,'Sales Order'!A:N,14,FALSE),"Not Specified")</f>
        <v>Germany</v>
      </c>
      <c r="Q257" t="str">
        <f>VLOOKUP(VLOOKUP(B257,Product!A:C,3,FALSE),Supplier!A:B,2,FALSE)</f>
        <v>Supplier SVIYA</v>
      </c>
      <c r="R257" t="str">
        <f>VLOOKUP(VLOOKUP(B257,Product!A:C,3,FALSE),Supplier!A:I,9,FALSE)</f>
        <v>Germany</v>
      </c>
      <c r="S257" t="str">
        <f>IFERROR(IF(VLOOKUP(A257,'Sales Order'!A:H,8,FALSE)&gt;100,"High Freight","Low Freight"),"Not Specified")</f>
        <v>High Freight</v>
      </c>
      <c r="T257">
        <f t="shared" si="7"/>
        <v>1330</v>
      </c>
    </row>
    <row r="258" spans="1:20">
      <c r="A258" s="9">
        <v>10343</v>
      </c>
      <c r="B258" s="6">
        <v>68</v>
      </c>
      <c r="C258" s="6">
        <v>10</v>
      </c>
      <c r="D258" s="6">
        <v>4</v>
      </c>
      <c r="E258" s="18">
        <v>0.05</v>
      </c>
      <c r="F258" s="6" t="str">
        <f>IFERROR(VLOOKUP(VLOOKUP(A258,'Sales Order'!A:B,2,FALSE),Customer!A:C,3,FALSE),"Not Specified")</f>
        <v>Louverdis, George</v>
      </c>
      <c r="G258" s="6" t="str">
        <f t="shared" si="6"/>
        <v>Louverdis George</v>
      </c>
      <c r="H258" s="22" t="str">
        <f>IFERROR(VLOOKUP(VLOOKUP(A258,'Sales Order'!A:C,3,FALSE),Employee!A:E,5,FALSE)&amp;" "&amp;VLOOKUP(VLOOKUP(A258,'Sales Order'!A:C,3,FALSE),Employee!A:C,3,FALSE)&amp;" "&amp;VLOOKUP(VLOOKUP(A258,'Sales Order'!A:C,3,FALSE),Employee!A:B,2,FALSE),"Not Specified")</f>
        <v>Mrs. Yael Peled</v>
      </c>
      <c r="I258" t="str">
        <f>IFERROR(VLOOKUP(VLOOKUP(A258,'Sales Order'!A:C,3,FALSE),Employee!A:J,10,FALSE),"Not Specified")</f>
        <v>WA</v>
      </c>
      <c r="J258" t="str">
        <f>VLOOKUP(B258,Product!A:B,2,FALSE)</f>
        <v>Product TBTBL</v>
      </c>
      <c r="K258" t="str">
        <f>VLOOKUP(VLOOKUP(B258,Product!A:D,4,FALSE),Category!A:B,2,FALSE)</f>
        <v>Confections</v>
      </c>
      <c r="L258" s="24">
        <f>IFERROR(VLOOKUP(A258,'Sales Order'!A:D,4,FALSE),"")</f>
        <v>39021</v>
      </c>
      <c r="M258" s="24">
        <f>IFERROR(VLOOKUP(A258,'Sales Order'!A:F,6,FALSE),"")</f>
        <v>39027</v>
      </c>
      <c r="N258" t="str">
        <f>IFERROR(VLOOKUP(VLOOKUP(A258,'Sales Order'!A:G,7,FALSE),Shipper!A:B,2,FALSE),"Not Specified")</f>
        <v>Shipper GVSUA</v>
      </c>
      <c r="O258" t="str">
        <f>IFERROR(VLOOKUP(A258,'Sales Order'!A:I,9,FALSE),"Not Specified")</f>
        <v>Ship to 44-A</v>
      </c>
      <c r="P258" t="str">
        <f>IFERROR(VLOOKUP(A258,'Sales Order'!A:N,14,FALSE),"Not Specified")</f>
        <v>Germany</v>
      </c>
      <c r="Q258" t="str">
        <f>VLOOKUP(VLOOKUP(B258,Product!A:C,3,FALSE),Supplier!A:B,2,FALSE)</f>
        <v>Supplier BWGYE</v>
      </c>
      <c r="R258" t="str">
        <f>VLOOKUP(VLOOKUP(B258,Product!A:C,3,FALSE),Supplier!A:I,9,FALSE)</f>
        <v>UK</v>
      </c>
      <c r="S258" t="str">
        <f>IFERROR(IF(VLOOKUP(A258,'Sales Order'!A:H,8,FALSE)&gt;100,"High Freight","Low Freight"),"Not Specified")</f>
        <v>High Freight</v>
      </c>
      <c r="T258">
        <f t="shared" si="7"/>
        <v>38</v>
      </c>
    </row>
    <row r="259" spans="1:20">
      <c r="A259" s="9">
        <v>10343</v>
      </c>
      <c r="B259" s="6">
        <v>76</v>
      </c>
      <c r="C259" s="6">
        <v>14.4</v>
      </c>
      <c r="D259" s="6">
        <v>15</v>
      </c>
      <c r="E259" s="18">
        <v>0</v>
      </c>
      <c r="F259" s="6" t="str">
        <f>IFERROR(VLOOKUP(VLOOKUP(A259,'Sales Order'!A:B,2,FALSE),Customer!A:C,3,FALSE),"Not Specified")</f>
        <v>Louverdis, George</v>
      </c>
      <c r="G259" s="6" t="str">
        <f t="shared" ref="G259:G322" si="8">SUBSTITUTE(F259,",","",1)</f>
        <v>Louverdis George</v>
      </c>
      <c r="H259" s="22" t="str">
        <f>IFERROR(VLOOKUP(VLOOKUP(A259,'Sales Order'!A:C,3,FALSE),Employee!A:E,5,FALSE)&amp;" "&amp;VLOOKUP(VLOOKUP(A259,'Sales Order'!A:C,3,FALSE),Employee!A:C,3,FALSE)&amp;" "&amp;VLOOKUP(VLOOKUP(A259,'Sales Order'!A:C,3,FALSE),Employee!A:B,2,FALSE),"Not Specified")</f>
        <v>Mrs. Yael Peled</v>
      </c>
      <c r="I259" t="str">
        <f>IFERROR(VLOOKUP(VLOOKUP(A259,'Sales Order'!A:C,3,FALSE),Employee!A:J,10,FALSE),"Not Specified")</f>
        <v>WA</v>
      </c>
      <c r="J259" t="str">
        <f>VLOOKUP(B259,Product!A:B,2,FALSE)</f>
        <v>Product JYGFE</v>
      </c>
      <c r="K259" t="str">
        <f>VLOOKUP(VLOOKUP(B259,Product!A:D,4,FALSE),Category!A:B,2,FALSE)</f>
        <v>Beverages</v>
      </c>
      <c r="L259" s="24">
        <f>IFERROR(VLOOKUP(A259,'Sales Order'!A:D,4,FALSE),"")</f>
        <v>39021</v>
      </c>
      <c r="M259" s="24">
        <f>IFERROR(VLOOKUP(A259,'Sales Order'!A:F,6,FALSE),"")</f>
        <v>39027</v>
      </c>
      <c r="N259" t="str">
        <f>IFERROR(VLOOKUP(VLOOKUP(A259,'Sales Order'!A:G,7,FALSE),Shipper!A:B,2,FALSE),"Not Specified")</f>
        <v>Shipper GVSUA</v>
      </c>
      <c r="O259" t="str">
        <f>IFERROR(VLOOKUP(A259,'Sales Order'!A:I,9,FALSE),"Not Specified")</f>
        <v>Ship to 44-A</v>
      </c>
      <c r="P259" t="str">
        <f>IFERROR(VLOOKUP(A259,'Sales Order'!A:N,14,FALSE),"Not Specified")</f>
        <v>Germany</v>
      </c>
      <c r="Q259" t="str">
        <f>VLOOKUP(VLOOKUP(B259,Product!A:C,3,FALSE),Supplier!A:B,2,FALSE)</f>
        <v>Supplier ELCRN</v>
      </c>
      <c r="R259" t="str">
        <f>VLOOKUP(VLOOKUP(B259,Product!A:C,3,FALSE),Supplier!A:I,9,FALSE)</f>
        <v>Finland</v>
      </c>
      <c r="S259" t="str">
        <f>IFERROR(IF(VLOOKUP(A259,'Sales Order'!A:H,8,FALSE)&gt;100,"High Freight","Low Freight"),"Not Specified")</f>
        <v>High Freight</v>
      </c>
      <c r="T259">
        <f t="shared" ref="T259:T322" si="9">C259*D259*(1-E259)</f>
        <v>216</v>
      </c>
    </row>
    <row r="260" spans="1:20">
      <c r="A260" s="9">
        <v>10344</v>
      </c>
      <c r="B260" s="6">
        <v>4</v>
      </c>
      <c r="C260" s="6">
        <v>17.600000000000001</v>
      </c>
      <c r="D260" s="6">
        <v>35</v>
      </c>
      <c r="E260" s="18">
        <v>0</v>
      </c>
      <c r="F260" s="6" t="str">
        <f>IFERROR(VLOOKUP(VLOOKUP(A260,'Sales Order'!A:B,2,FALSE),Customer!A:C,3,FALSE),"Not Specified")</f>
        <v>Smith Jr., Ronaldo</v>
      </c>
      <c r="G260" s="6" t="str">
        <f t="shared" si="8"/>
        <v>Smith Jr. Ronaldo</v>
      </c>
      <c r="H260" s="22" t="str">
        <f>IFERROR(VLOOKUP(VLOOKUP(A260,'Sales Order'!A:C,3,FALSE),Employee!A:E,5,FALSE)&amp;" "&amp;VLOOKUP(VLOOKUP(A260,'Sales Order'!A:C,3,FALSE),Employee!A:C,3,FALSE)&amp;" "&amp;VLOOKUP(VLOOKUP(A260,'Sales Order'!A:C,3,FALSE),Employee!A:B,2,FALSE),"Not Specified")</f>
        <v>Mrs. Yael Peled</v>
      </c>
      <c r="I260" t="str">
        <f>IFERROR(VLOOKUP(VLOOKUP(A260,'Sales Order'!A:C,3,FALSE),Employee!A:J,10,FALSE),"Not Specified")</f>
        <v>WA</v>
      </c>
      <c r="J260" t="str">
        <f>VLOOKUP(B260,Product!A:B,2,FALSE)</f>
        <v>Product KSBRM</v>
      </c>
      <c r="K260" t="str">
        <f>VLOOKUP(VLOOKUP(B260,Product!A:D,4,FALSE),Category!A:B,2,FALSE)</f>
        <v>Condiments</v>
      </c>
      <c r="L260" s="24">
        <f>IFERROR(VLOOKUP(A260,'Sales Order'!A:D,4,FALSE),"")</f>
        <v>39022</v>
      </c>
      <c r="M260" s="24">
        <f>IFERROR(VLOOKUP(A260,'Sales Order'!A:F,6,FALSE),"")</f>
        <v>39026</v>
      </c>
      <c r="N260" t="str">
        <f>IFERROR(VLOOKUP(VLOOKUP(A260,'Sales Order'!A:G,7,FALSE),Shipper!A:B,2,FALSE),"Not Specified")</f>
        <v>Shipper ETYNR</v>
      </c>
      <c r="O260" t="str">
        <f>IFERROR(VLOOKUP(A260,'Sales Order'!A:I,9,FALSE),"Not Specified")</f>
        <v>Ship to 89-A</v>
      </c>
      <c r="P260" t="str">
        <f>IFERROR(VLOOKUP(A260,'Sales Order'!A:N,14,FALSE),"Not Specified")</f>
        <v>USA</v>
      </c>
      <c r="Q260" t="str">
        <f>VLOOKUP(VLOOKUP(B260,Product!A:C,3,FALSE),Supplier!A:B,2,FALSE)</f>
        <v>Supplier VHQZD</v>
      </c>
      <c r="R260" t="str">
        <f>VLOOKUP(VLOOKUP(B260,Product!A:C,3,FALSE),Supplier!A:I,9,FALSE)</f>
        <v>USA</v>
      </c>
      <c r="S260" t="str">
        <f>IFERROR(IF(VLOOKUP(A260,'Sales Order'!A:H,8,FALSE)&gt;100,"High Freight","Low Freight"),"Not Specified")</f>
        <v>Low Freight</v>
      </c>
      <c r="T260">
        <f t="shared" si="9"/>
        <v>616</v>
      </c>
    </row>
    <row r="261" spans="1:20">
      <c r="A261" s="9">
        <v>10344</v>
      </c>
      <c r="B261" s="6">
        <v>8</v>
      </c>
      <c r="C261" s="6">
        <v>32</v>
      </c>
      <c r="D261" s="6">
        <v>70</v>
      </c>
      <c r="E261" s="18">
        <v>0.25</v>
      </c>
      <c r="F261" s="6" t="str">
        <f>IFERROR(VLOOKUP(VLOOKUP(A261,'Sales Order'!A:B,2,FALSE),Customer!A:C,3,FALSE),"Not Specified")</f>
        <v>Smith Jr., Ronaldo</v>
      </c>
      <c r="G261" s="6" t="str">
        <f t="shared" si="8"/>
        <v>Smith Jr. Ronaldo</v>
      </c>
      <c r="H261" s="22" t="str">
        <f>IFERROR(VLOOKUP(VLOOKUP(A261,'Sales Order'!A:C,3,FALSE),Employee!A:E,5,FALSE)&amp;" "&amp;VLOOKUP(VLOOKUP(A261,'Sales Order'!A:C,3,FALSE),Employee!A:C,3,FALSE)&amp;" "&amp;VLOOKUP(VLOOKUP(A261,'Sales Order'!A:C,3,FALSE),Employee!A:B,2,FALSE),"Not Specified")</f>
        <v>Mrs. Yael Peled</v>
      </c>
      <c r="I261" t="str">
        <f>IFERROR(VLOOKUP(VLOOKUP(A261,'Sales Order'!A:C,3,FALSE),Employee!A:J,10,FALSE),"Not Specified")</f>
        <v>WA</v>
      </c>
      <c r="J261" t="str">
        <f>VLOOKUP(B261,Product!A:B,2,FALSE)</f>
        <v>Product WVJFP</v>
      </c>
      <c r="K261" t="str">
        <f>VLOOKUP(VLOOKUP(B261,Product!A:D,4,FALSE),Category!A:B,2,FALSE)</f>
        <v>Condiments</v>
      </c>
      <c r="L261" s="24">
        <f>IFERROR(VLOOKUP(A261,'Sales Order'!A:D,4,FALSE),"")</f>
        <v>39022</v>
      </c>
      <c r="M261" s="24">
        <f>IFERROR(VLOOKUP(A261,'Sales Order'!A:F,6,FALSE),"")</f>
        <v>39026</v>
      </c>
      <c r="N261" t="str">
        <f>IFERROR(VLOOKUP(VLOOKUP(A261,'Sales Order'!A:G,7,FALSE),Shipper!A:B,2,FALSE),"Not Specified")</f>
        <v>Shipper ETYNR</v>
      </c>
      <c r="O261" t="str">
        <f>IFERROR(VLOOKUP(A261,'Sales Order'!A:I,9,FALSE),"Not Specified")</f>
        <v>Ship to 89-A</v>
      </c>
      <c r="P261" t="str">
        <f>IFERROR(VLOOKUP(A261,'Sales Order'!A:N,14,FALSE),"Not Specified")</f>
        <v>USA</v>
      </c>
      <c r="Q261" t="str">
        <f>VLOOKUP(VLOOKUP(B261,Product!A:C,3,FALSE),Supplier!A:B,2,FALSE)</f>
        <v>Supplier STUAZ</v>
      </c>
      <c r="R261" t="str">
        <f>VLOOKUP(VLOOKUP(B261,Product!A:C,3,FALSE),Supplier!A:I,9,FALSE)</f>
        <v>USA</v>
      </c>
      <c r="S261" t="str">
        <f>IFERROR(IF(VLOOKUP(A261,'Sales Order'!A:H,8,FALSE)&gt;100,"High Freight","Low Freight"),"Not Specified")</f>
        <v>Low Freight</v>
      </c>
      <c r="T261">
        <f t="shared" si="9"/>
        <v>1680</v>
      </c>
    </row>
    <row r="262" spans="1:20">
      <c r="A262" s="9">
        <v>10345</v>
      </c>
      <c r="B262" s="6">
        <v>8</v>
      </c>
      <c r="C262" s="6">
        <v>32</v>
      </c>
      <c r="D262" s="6">
        <v>70</v>
      </c>
      <c r="E262" s="18">
        <v>0</v>
      </c>
      <c r="F262" s="6" t="str">
        <f>IFERROR(VLOOKUP(VLOOKUP(A262,'Sales Order'!A:B,2,FALSE),Customer!A:C,3,FALSE),"Not Specified")</f>
        <v>Veronesi, Giorgio</v>
      </c>
      <c r="G262" s="6" t="str">
        <f t="shared" si="8"/>
        <v>Veronesi Giorgio</v>
      </c>
      <c r="H262" s="22" t="str">
        <f>IFERROR(VLOOKUP(VLOOKUP(A262,'Sales Order'!A:C,3,FALSE),Employee!A:E,5,FALSE)&amp;" "&amp;VLOOKUP(VLOOKUP(A262,'Sales Order'!A:C,3,FALSE),Employee!A:C,3,FALSE)&amp;" "&amp;VLOOKUP(VLOOKUP(A262,'Sales Order'!A:C,3,FALSE),Employee!A:B,2,FALSE),"Not Specified")</f>
        <v>Dr. Don Funk</v>
      </c>
      <c r="I262" t="str">
        <f>IFERROR(VLOOKUP(VLOOKUP(A262,'Sales Order'!A:C,3,FALSE),Employee!A:J,10,FALSE),"Not Specified")</f>
        <v>WA</v>
      </c>
      <c r="J262" t="str">
        <f>VLOOKUP(B262,Product!A:B,2,FALSE)</f>
        <v>Product WVJFP</v>
      </c>
      <c r="K262" t="str">
        <f>VLOOKUP(VLOOKUP(B262,Product!A:D,4,FALSE),Category!A:B,2,FALSE)</f>
        <v>Condiments</v>
      </c>
      <c r="L262" s="24">
        <f>IFERROR(VLOOKUP(A262,'Sales Order'!A:D,4,FALSE),"")</f>
        <v>39025</v>
      </c>
      <c r="M262" s="24">
        <f>IFERROR(VLOOKUP(A262,'Sales Order'!A:F,6,FALSE),"")</f>
        <v>39032</v>
      </c>
      <c r="N262" t="str">
        <f>IFERROR(VLOOKUP(VLOOKUP(A262,'Sales Order'!A:G,7,FALSE),Shipper!A:B,2,FALSE),"Not Specified")</f>
        <v>Shipper ETYNR</v>
      </c>
      <c r="O262" t="str">
        <f>IFERROR(VLOOKUP(A262,'Sales Order'!A:I,9,FALSE),"Not Specified")</f>
        <v>Ship to 63-B</v>
      </c>
      <c r="P262" t="str">
        <f>IFERROR(VLOOKUP(A262,'Sales Order'!A:N,14,FALSE),"Not Specified")</f>
        <v>Germany</v>
      </c>
      <c r="Q262" t="str">
        <f>VLOOKUP(VLOOKUP(B262,Product!A:C,3,FALSE),Supplier!A:B,2,FALSE)</f>
        <v>Supplier STUAZ</v>
      </c>
      <c r="R262" t="str">
        <f>VLOOKUP(VLOOKUP(B262,Product!A:C,3,FALSE),Supplier!A:I,9,FALSE)</f>
        <v>USA</v>
      </c>
      <c r="S262" t="str">
        <f>IFERROR(IF(VLOOKUP(A262,'Sales Order'!A:H,8,FALSE)&gt;100,"High Freight","Low Freight"),"Not Specified")</f>
        <v>High Freight</v>
      </c>
      <c r="T262">
        <f t="shared" si="9"/>
        <v>2240</v>
      </c>
    </row>
    <row r="263" spans="1:20">
      <c r="A263" s="9">
        <v>10345</v>
      </c>
      <c r="B263" s="6">
        <v>19</v>
      </c>
      <c r="C263" s="6">
        <v>7.3</v>
      </c>
      <c r="D263" s="6">
        <v>80</v>
      </c>
      <c r="E263" s="18">
        <v>0</v>
      </c>
      <c r="F263" s="6" t="str">
        <f>IFERROR(VLOOKUP(VLOOKUP(A263,'Sales Order'!A:B,2,FALSE),Customer!A:C,3,FALSE),"Not Specified")</f>
        <v>Veronesi, Giorgio</v>
      </c>
      <c r="G263" s="6" t="str">
        <f t="shared" si="8"/>
        <v>Veronesi Giorgio</v>
      </c>
      <c r="H263" s="22" t="str">
        <f>IFERROR(VLOOKUP(VLOOKUP(A263,'Sales Order'!A:C,3,FALSE),Employee!A:E,5,FALSE)&amp;" "&amp;VLOOKUP(VLOOKUP(A263,'Sales Order'!A:C,3,FALSE),Employee!A:C,3,FALSE)&amp;" "&amp;VLOOKUP(VLOOKUP(A263,'Sales Order'!A:C,3,FALSE),Employee!A:B,2,FALSE),"Not Specified")</f>
        <v>Dr. Don Funk</v>
      </c>
      <c r="I263" t="str">
        <f>IFERROR(VLOOKUP(VLOOKUP(A263,'Sales Order'!A:C,3,FALSE),Employee!A:J,10,FALSE),"Not Specified")</f>
        <v>WA</v>
      </c>
      <c r="J263" t="str">
        <f>VLOOKUP(B263,Product!A:B,2,FALSE)</f>
        <v>Product XKXDO</v>
      </c>
      <c r="K263" t="str">
        <f>VLOOKUP(VLOOKUP(B263,Product!A:D,4,FALSE),Category!A:B,2,FALSE)</f>
        <v>Confections</v>
      </c>
      <c r="L263" s="24">
        <f>IFERROR(VLOOKUP(A263,'Sales Order'!A:D,4,FALSE),"")</f>
        <v>39025</v>
      </c>
      <c r="M263" s="24">
        <f>IFERROR(VLOOKUP(A263,'Sales Order'!A:F,6,FALSE),"")</f>
        <v>39032</v>
      </c>
      <c r="N263" t="str">
        <f>IFERROR(VLOOKUP(VLOOKUP(A263,'Sales Order'!A:G,7,FALSE),Shipper!A:B,2,FALSE),"Not Specified")</f>
        <v>Shipper ETYNR</v>
      </c>
      <c r="O263" t="str">
        <f>IFERROR(VLOOKUP(A263,'Sales Order'!A:I,9,FALSE),"Not Specified")</f>
        <v>Ship to 63-B</v>
      </c>
      <c r="P263" t="str">
        <f>IFERROR(VLOOKUP(A263,'Sales Order'!A:N,14,FALSE),"Not Specified")</f>
        <v>Germany</v>
      </c>
      <c r="Q263" t="str">
        <f>VLOOKUP(VLOOKUP(B263,Product!A:C,3,FALSE),Supplier!A:B,2,FALSE)</f>
        <v>Supplier BWGYE</v>
      </c>
      <c r="R263" t="str">
        <f>VLOOKUP(VLOOKUP(B263,Product!A:C,3,FALSE),Supplier!A:I,9,FALSE)</f>
        <v>UK</v>
      </c>
      <c r="S263" t="str">
        <f>IFERROR(IF(VLOOKUP(A263,'Sales Order'!A:H,8,FALSE)&gt;100,"High Freight","Low Freight"),"Not Specified")</f>
        <v>High Freight</v>
      </c>
      <c r="T263">
        <f t="shared" si="9"/>
        <v>584</v>
      </c>
    </row>
    <row r="264" spans="1:20">
      <c r="A264" s="9">
        <v>10345</v>
      </c>
      <c r="B264" s="6">
        <v>42</v>
      </c>
      <c r="C264" s="6">
        <v>11.2</v>
      </c>
      <c r="D264" s="6">
        <v>9</v>
      </c>
      <c r="E264" s="18">
        <v>0</v>
      </c>
      <c r="F264" s="6" t="str">
        <f>IFERROR(VLOOKUP(VLOOKUP(A264,'Sales Order'!A:B,2,FALSE),Customer!A:C,3,FALSE),"Not Specified")</f>
        <v>Veronesi, Giorgio</v>
      </c>
      <c r="G264" s="6" t="str">
        <f t="shared" si="8"/>
        <v>Veronesi Giorgio</v>
      </c>
      <c r="H264" s="22" t="str">
        <f>IFERROR(VLOOKUP(VLOOKUP(A264,'Sales Order'!A:C,3,FALSE),Employee!A:E,5,FALSE)&amp;" "&amp;VLOOKUP(VLOOKUP(A264,'Sales Order'!A:C,3,FALSE),Employee!A:C,3,FALSE)&amp;" "&amp;VLOOKUP(VLOOKUP(A264,'Sales Order'!A:C,3,FALSE),Employee!A:B,2,FALSE),"Not Specified")</f>
        <v>Dr. Don Funk</v>
      </c>
      <c r="I264" t="str">
        <f>IFERROR(VLOOKUP(VLOOKUP(A264,'Sales Order'!A:C,3,FALSE),Employee!A:J,10,FALSE),"Not Specified")</f>
        <v>WA</v>
      </c>
      <c r="J264" t="str">
        <f>VLOOKUP(B264,Product!A:B,2,FALSE)</f>
        <v>Product RJVNM</v>
      </c>
      <c r="K264" t="str">
        <f>VLOOKUP(VLOOKUP(B264,Product!A:D,4,FALSE),Category!A:B,2,FALSE)</f>
        <v>Grains/Cereals</v>
      </c>
      <c r="L264" s="24">
        <f>IFERROR(VLOOKUP(A264,'Sales Order'!A:D,4,FALSE),"")</f>
        <v>39025</v>
      </c>
      <c r="M264" s="24">
        <f>IFERROR(VLOOKUP(A264,'Sales Order'!A:F,6,FALSE),"")</f>
        <v>39032</v>
      </c>
      <c r="N264" t="str">
        <f>IFERROR(VLOOKUP(VLOOKUP(A264,'Sales Order'!A:G,7,FALSE),Shipper!A:B,2,FALSE),"Not Specified")</f>
        <v>Shipper ETYNR</v>
      </c>
      <c r="O264" t="str">
        <f>IFERROR(VLOOKUP(A264,'Sales Order'!A:I,9,FALSE),"Not Specified")</f>
        <v>Ship to 63-B</v>
      </c>
      <c r="P264" t="str">
        <f>IFERROR(VLOOKUP(A264,'Sales Order'!A:N,14,FALSE),"Not Specified")</f>
        <v>Germany</v>
      </c>
      <c r="Q264" t="str">
        <f>VLOOKUP(VLOOKUP(B264,Product!A:C,3,FALSE),Supplier!A:B,2,FALSE)</f>
        <v>Supplier CIYNM</v>
      </c>
      <c r="R264" t="str">
        <f>VLOOKUP(VLOOKUP(B264,Product!A:C,3,FALSE),Supplier!A:I,9,FALSE)</f>
        <v>Singapore</v>
      </c>
      <c r="S264" t="str">
        <f>IFERROR(IF(VLOOKUP(A264,'Sales Order'!A:H,8,FALSE)&gt;100,"High Freight","Low Freight"),"Not Specified")</f>
        <v>High Freight</v>
      </c>
      <c r="T264">
        <f t="shared" si="9"/>
        <v>100.8</v>
      </c>
    </row>
    <row r="265" spans="1:20">
      <c r="A265" s="9">
        <v>10346</v>
      </c>
      <c r="B265" s="6">
        <v>17</v>
      </c>
      <c r="C265" s="6">
        <v>31.2</v>
      </c>
      <c r="D265" s="6">
        <v>36</v>
      </c>
      <c r="E265" s="18">
        <v>0.1</v>
      </c>
      <c r="F265" s="6" t="str">
        <f>IFERROR(VLOOKUP(VLOOKUP(A265,'Sales Order'!A:B,2,FALSE),Customer!A:C,3,FALSE),"Not Specified")</f>
        <v>Moore, Michael</v>
      </c>
      <c r="G265" s="6" t="str">
        <f t="shared" si="8"/>
        <v>Moore Michael</v>
      </c>
      <c r="H265" s="22" t="str">
        <f>IFERROR(VLOOKUP(VLOOKUP(A265,'Sales Order'!A:C,3,FALSE),Employee!A:E,5,FALSE)&amp;" "&amp;VLOOKUP(VLOOKUP(A265,'Sales Order'!A:C,3,FALSE),Employee!A:C,3,FALSE)&amp;" "&amp;VLOOKUP(VLOOKUP(A265,'Sales Order'!A:C,3,FALSE),Employee!A:B,2,FALSE),"Not Specified")</f>
        <v>Ms. Judy Lew</v>
      </c>
      <c r="I265" t="str">
        <f>IFERROR(VLOOKUP(VLOOKUP(A265,'Sales Order'!A:C,3,FALSE),Employee!A:J,10,FALSE),"Not Specified")</f>
        <v>WA</v>
      </c>
      <c r="J265" t="str">
        <f>VLOOKUP(B265,Product!A:B,2,FALSE)</f>
        <v>Product BLCAX</v>
      </c>
      <c r="K265" t="str">
        <f>VLOOKUP(VLOOKUP(B265,Product!A:D,4,FALSE),Category!A:B,2,FALSE)</f>
        <v>Meat/Poultry</v>
      </c>
      <c r="L265" s="24">
        <f>IFERROR(VLOOKUP(A265,'Sales Order'!A:D,4,FALSE),"")</f>
        <v>39026</v>
      </c>
      <c r="M265" s="24">
        <f>IFERROR(VLOOKUP(A265,'Sales Order'!A:F,6,FALSE),"")</f>
        <v>39029</v>
      </c>
      <c r="N265" t="str">
        <f>IFERROR(VLOOKUP(VLOOKUP(A265,'Sales Order'!A:G,7,FALSE),Shipper!A:B,2,FALSE),"Not Specified")</f>
        <v>Shipper ZHISN</v>
      </c>
      <c r="O265" t="str">
        <f>IFERROR(VLOOKUP(A265,'Sales Order'!A:I,9,FALSE),"Not Specified")</f>
        <v>Ship to 65-A</v>
      </c>
      <c r="P265" t="str">
        <f>IFERROR(VLOOKUP(A265,'Sales Order'!A:N,14,FALSE),"Not Specified")</f>
        <v>USA</v>
      </c>
      <c r="Q265" t="str">
        <f>VLOOKUP(VLOOKUP(B265,Product!A:C,3,FALSE),Supplier!A:B,2,FALSE)</f>
        <v>Supplier GQRCV</v>
      </c>
      <c r="R265" t="str">
        <f>VLOOKUP(VLOOKUP(B265,Product!A:C,3,FALSE),Supplier!A:I,9,FALSE)</f>
        <v>Australia</v>
      </c>
      <c r="S265" t="str">
        <f>IFERROR(IF(VLOOKUP(A265,'Sales Order'!A:H,8,FALSE)&gt;100,"High Freight","Low Freight"),"Not Specified")</f>
        <v>High Freight</v>
      </c>
      <c r="T265">
        <f t="shared" si="9"/>
        <v>1010.8800000000001</v>
      </c>
    </row>
    <row r="266" spans="1:20">
      <c r="A266" s="9">
        <v>10346</v>
      </c>
      <c r="B266" s="6">
        <v>56</v>
      </c>
      <c r="C266" s="6">
        <v>30.4</v>
      </c>
      <c r="D266" s="6">
        <v>20</v>
      </c>
      <c r="E266" s="18">
        <v>0</v>
      </c>
      <c r="F266" s="6" t="str">
        <f>IFERROR(VLOOKUP(VLOOKUP(A266,'Sales Order'!A:B,2,FALSE),Customer!A:C,3,FALSE),"Not Specified")</f>
        <v>Moore, Michael</v>
      </c>
      <c r="G266" s="6" t="str">
        <f t="shared" si="8"/>
        <v>Moore Michael</v>
      </c>
      <c r="H266" s="22" t="str">
        <f>IFERROR(VLOOKUP(VLOOKUP(A266,'Sales Order'!A:C,3,FALSE),Employee!A:E,5,FALSE)&amp;" "&amp;VLOOKUP(VLOOKUP(A266,'Sales Order'!A:C,3,FALSE),Employee!A:C,3,FALSE)&amp;" "&amp;VLOOKUP(VLOOKUP(A266,'Sales Order'!A:C,3,FALSE),Employee!A:B,2,FALSE),"Not Specified")</f>
        <v>Ms. Judy Lew</v>
      </c>
      <c r="I266" t="str">
        <f>IFERROR(VLOOKUP(VLOOKUP(A266,'Sales Order'!A:C,3,FALSE),Employee!A:J,10,FALSE),"Not Specified")</f>
        <v>WA</v>
      </c>
      <c r="J266" t="str">
        <f>VLOOKUP(B266,Product!A:B,2,FALSE)</f>
        <v>Product VKCMF</v>
      </c>
      <c r="K266" t="str">
        <f>VLOOKUP(VLOOKUP(B266,Product!A:D,4,FALSE),Category!A:B,2,FALSE)</f>
        <v>Grains/Cereals</v>
      </c>
      <c r="L266" s="24">
        <f>IFERROR(VLOOKUP(A266,'Sales Order'!A:D,4,FALSE),"")</f>
        <v>39026</v>
      </c>
      <c r="M266" s="24">
        <f>IFERROR(VLOOKUP(A266,'Sales Order'!A:F,6,FALSE),"")</f>
        <v>39029</v>
      </c>
      <c r="N266" t="str">
        <f>IFERROR(VLOOKUP(VLOOKUP(A266,'Sales Order'!A:G,7,FALSE),Shipper!A:B,2,FALSE),"Not Specified")</f>
        <v>Shipper ZHISN</v>
      </c>
      <c r="O266" t="str">
        <f>IFERROR(VLOOKUP(A266,'Sales Order'!A:I,9,FALSE),"Not Specified")</f>
        <v>Ship to 65-A</v>
      </c>
      <c r="P266" t="str">
        <f>IFERROR(VLOOKUP(A266,'Sales Order'!A:N,14,FALSE),"Not Specified")</f>
        <v>USA</v>
      </c>
      <c r="Q266" t="str">
        <f>VLOOKUP(VLOOKUP(B266,Product!A:C,3,FALSE),Supplier!A:B,2,FALSE)</f>
        <v>Supplier ZWZDM</v>
      </c>
      <c r="R266" t="str">
        <f>VLOOKUP(VLOOKUP(B266,Product!A:C,3,FALSE),Supplier!A:I,9,FALSE)</f>
        <v>Italy</v>
      </c>
      <c r="S266" t="str">
        <f>IFERROR(IF(VLOOKUP(A266,'Sales Order'!A:H,8,FALSE)&gt;100,"High Freight","Low Freight"),"Not Specified")</f>
        <v>High Freight</v>
      </c>
      <c r="T266">
        <f t="shared" si="9"/>
        <v>608</v>
      </c>
    </row>
    <row r="267" spans="1:20">
      <c r="A267" s="9">
        <v>10347</v>
      </c>
      <c r="B267" s="6">
        <v>25</v>
      </c>
      <c r="C267" s="6">
        <v>11.2</v>
      </c>
      <c r="D267" s="6">
        <v>10</v>
      </c>
      <c r="E267" s="18">
        <v>0</v>
      </c>
      <c r="F267" s="6" t="str">
        <f>IFERROR(VLOOKUP(VLOOKUP(A267,'Sales Order'!A:B,2,FALSE),Customer!A:C,3,FALSE),"Not Specified")</f>
        <v>Russo, Giuseppe</v>
      </c>
      <c r="G267" s="6" t="str">
        <f t="shared" si="8"/>
        <v>Russo Giuseppe</v>
      </c>
      <c r="H267" s="22" t="str">
        <f>IFERROR(VLOOKUP(VLOOKUP(A267,'Sales Order'!A:C,3,FALSE),Employee!A:E,5,FALSE)&amp;" "&amp;VLOOKUP(VLOOKUP(A267,'Sales Order'!A:C,3,FALSE),Employee!A:C,3,FALSE)&amp;" "&amp;VLOOKUP(VLOOKUP(A267,'Sales Order'!A:C,3,FALSE),Employee!A:B,2,FALSE),"Not Specified")</f>
        <v>Mrs. Yael Peled</v>
      </c>
      <c r="I267" t="str">
        <f>IFERROR(VLOOKUP(VLOOKUP(A267,'Sales Order'!A:C,3,FALSE),Employee!A:J,10,FALSE),"Not Specified")</f>
        <v>WA</v>
      </c>
      <c r="J267" t="str">
        <f>VLOOKUP(B267,Product!A:B,2,FALSE)</f>
        <v>Product LYLNI</v>
      </c>
      <c r="K267" t="str">
        <f>VLOOKUP(VLOOKUP(B267,Product!A:D,4,FALSE),Category!A:B,2,FALSE)</f>
        <v>Confections</v>
      </c>
      <c r="L267" s="24">
        <f>IFERROR(VLOOKUP(A267,'Sales Order'!A:D,4,FALSE),"")</f>
        <v>39027</v>
      </c>
      <c r="M267" s="24">
        <f>IFERROR(VLOOKUP(A267,'Sales Order'!A:F,6,FALSE),"")</f>
        <v>39029</v>
      </c>
      <c r="N267" t="str">
        <f>IFERROR(VLOOKUP(VLOOKUP(A267,'Sales Order'!A:G,7,FALSE),Shipper!A:B,2,FALSE),"Not Specified")</f>
        <v>Shipper ZHISN</v>
      </c>
      <c r="O267" t="str">
        <f>IFERROR(VLOOKUP(A267,'Sales Order'!A:I,9,FALSE),"Not Specified")</f>
        <v>Destination KKELL</v>
      </c>
      <c r="P267" t="str">
        <f>IFERROR(VLOOKUP(A267,'Sales Order'!A:N,14,FALSE),"Not Specified")</f>
        <v>Brazil</v>
      </c>
      <c r="Q267" t="str">
        <f>VLOOKUP(VLOOKUP(B267,Product!A:C,3,FALSE),Supplier!A:B,2,FALSE)</f>
        <v>Supplier ZPYVS</v>
      </c>
      <c r="R267" t="str">
        <f>VLOOKUP(VLOOKUP(B267,Product!A:C,3,FALSE),Supplier!A:I,9,FALSE)</f>
        <v>Germany</v>
      </c>
      <c r="S267" t="str">
        <f>IFERROR(IF(VLOOKUP(A267,'Sales Order'!A:H,8,FALSE)&gt;100,"High Freight","Low Freight"),"Not Specified")</f>
        <v>Low Freight</v>
      </c>
      <c r="T267">
        <f t="shared" si="9"/>
        <v>112</v>
      </c>
    </row>
    <row r="268" spans="1:20">
      <c r="A268" s="9">
        <v>10347</v>
      </c>
      <c r="B268" s="6">
        <v>39</v>
      </c>
      <c r="C268" s="6">
        <v>14.4</v>
      </c>
      <c r="D268" s="6">
        <v>50</v>
      </c>
      <c r="E268" s="18">
        <v>0.15</v>
      </c>
      <c r="F268" s="6" t="str">
        <f>IFERROR(VLOOKUP(VLOOKUP(A268,'Sales Order'!A:B,2,FALSE),Customer!A:C,3,FALSE),"Not Specified")</f>
        <v>Russo, Giuseppe</v>
      </c>
      <c r="G268" s="6" t="str">
        <f t="shared" si="8"/>
        <v>Russo Giuseppe</v>
      </c>
      <c r="H268" s="22" t="str">
        <f>IFERROR(VLOOKUP(VLOOKUP(A268,'Sales Order'!A:C,3,FALSE),Employee!A:E,5,FALSE)&amp;" "&amp;VLOOKUP(VLOOKUP(A268,'Sales Order'!A:C,3,FALSE),Employee!A:C,3,FALSE)&amp;" "&amp;VLOOKUP(VLOOKUP(A268,'Sales Order'!A:C,3,FALSE),Employee!A:B,2,FALSE),"Not Specified")</f>
        <v>Mrs. Yael Peled</v>
      </c>
      <c r="I268" t="str">
        <f>IFERROR(VLOOKUP(VLOOKUP(A268,'Sales Order'!A:C,3,FALSE),Employee!A:J,10,FALSE),"Not Specified")</f>
        <v>WA</v>
      </c>
      <c r="J268" t="str">
        <f>VLOOKUP(B268,Product!A:B,2,FALSE)</f>
        <v>Product LSOFL</v>
      </c>
      <c r="K268" t="str">
        <f>VLOOKUP(VLOOKUP(B268,Product!A:D,4,FALSE),Category!A:B,2,FALSE)</f>
        <v>Beverages</v>
      </c>
      <c r="L268" s="24">
        <f>IFERROR(VLOOKUP(A268,'Sales Order'!A:D,4,FALSE),"")</f>
        <v>39027</v>
      </c>
      <c r="M268" s="24">
        <f>IFERROR(VLOOKUP(A268,'Sales Order'!A:F,6,FALSE),"")</f>
        <v>39029</v>
      </c>
      <c r="N268" t="str">
        <f>IFERROR(VLOOKUP(VLOOKUP(A268,'Sales Order'!A:G,7,FALSE),Shipper!A:B,2,FALSE),"Not Specified")</f>
        <v>Shipper ZHISN</v>
      </c>
      <c r="O268" t="str">
        <f>IFERROR(VLOOKUP(A268,'Sales Order'!A:I,9,FALSE),"Not Specified")</f>
        <v>Destination KKELL</v>
      </c>
      <c r="P268" t="str">
        <f>IFERROR(VLOOKUP(A268,'Sales Order'!A:N,14,FALSE),"Not Specified")</f>
        <v>Brazil</v>
      </c>
      <c r="Q268" t="str">
        <f>VLOOKUP(VLOOKUP(B268,Product!A:C,3,FALSE),Supplier!A:B,2,FALSE)</f>
        <v>Supplier LVJUA</v>
      </c>
      <c r="R268" t="str">
        <f>VLOOKUP(VLOOKUP(B268,Product!A:C,3,FALSE),Supplier!A:I,9,FALSE)</f>
        <v>France</v>
      </c>
      <c r="S268" t="str">
        <f>IFERROR(IF(VLOOKUP(A268,'Sales Order'!A:H,8,FALSE)&gt;100,"High Freight","Low Freight"),"Not Specified")</f>
        <v>Low Freight</v>
      </c>
      <c r="T268">
        <f t="shared" si="9"/>
        <v>612</v>
      </c>
    </row>
    <row r="269" spans="1:20">
      <c r="A269" s="9">
        <v>10347</v>
      </c>
      <c r="B269" s="6">
        <v>40</v>
      </c>
      <c r="C269" s="6">
        <v>14.7</v>
      </c>
      <c r="D269" s="6">
        <v>4</v>
      </c>
      <c r="E269" s="18">
        <v>0</v>
      </c>
      <c r="F269" s="6" t="str">
        <f>IFERROR(VLOOKUP(VLOOKUP(A269,'Sales Order'!A:B,2,FALSE),Customer!A:C,3,FALSE),"Not Specified")</f>
        <v>Russo, Giuseppe</v>
      </c>
      <c r="G269" s="6" t="str">
        <f t="shared" si="8"/>
        <v>Russo Giuseppe</v>
      </c>
      <c r="H269" s="22" t="str">
        <f>IFERROR(VLOOKUP(VLOOKUP(A269,'Sales Order'!A:C,3,FALSE),Employee!A:E,5,FALSE)&amp;" "&amp;VLOOKUP(VLOOKUP(A269,'Sales Order'!A:C,3,FALSE),Employee!A:C,3,FALSE)&amp;" "&amp;VLOOKUP(VLOOKUP(A269,'Sales Order'!A:C,3,FALSE),Employee!A:B,2,FALSE),"Not Specified")</f>
        <v>Mrs. Yael Peled</v>
      </c>
      <c r="I269" t="str">
        <f>IFERROR(VLOOKUP(VLOOKUP(A269,'Sales Order'!A:C,3,FALSE),Employee!A:J,10,FALSE),"Not Specified")</f>
        <v>WA</v>
      </c>
      <c r="J269" t="str">
        <f>VLOOKUP(B269,Product!A:B,2,FALSE)</f>
        <v>Product YZIXQ</v>
      </c>
      <c r="K269" t="str">
        <f>VLOOKUP(VLOOKUP(B269,Product!A:D,4,FALSE),Category!A:B,2,FALSE)</f>
        <v>Seafood</v>
      </c>
      <c r="L269" s="24">
        <f>IFERROR(VLOOKUP(A269,'Sales Order'!A:D,4,FALSE),"")</f>
        <v>39027</v>
      </c>
      <c r="M269" s="24">
        <f>IFERROR(VLOOKUP(A269,'Sales Order'!A:F,6,FALSE),"")</f>
        <v>39029</v>
      </c>
      <c r="N269" t="str">
        <f>IFERROR(VLOOKUP(VLOOKUP(A269,'Sales Order'!A:G,7,FALSE),Shipper!A:B,2,FALSE),"Not Specified")</f>
        <v>Shipper ZHISN</v>
      </c>
      <c r="O269" t="str">
        <f>IFERROR(VLOOKUP(A269,'Sales Order'!A:I,9,FALSE),"Not Specified")</f>
        <v>Destination KKELL</v>
      </c>
      <c r="P269" t="str">
        <f>IFERROR(VLOOKUP(A269,'Sales Order'!A:N,14,FALSE),"Not Specified")</f>
        <v>Brazil</v>
      </c>
      <c r="Q269" t="str">
        <f>VLOOKUP(VLOOKUP(B269,Product!A:C,3,FALSE),Supplier!A:B,2,FALSE)</f>
        <v>Supplier JDNUG</v>
      </c>
      <c r="R269" t="str">
        <f>VLOOKUP(VLOOKUP(B269,Product!A:C,3,FALSE),Supplier!A:I,9,FALSE)</f>
        <v>USA</v>
      </c>
      <c r="S269" t="str">
        <f>IFERROR(IF(VLOOKUP(A269,'Sales Order'!A:H,8,FALSE)&gt;100,"High Freight","Low Freight"),"Not Specified")</f>
        <v>Low Freight</v>
      </c>
      <c r="T269">
        <f t="shared" si="9"/>
        <v>58.8</v>
      </c>
    </row>
    <row r="270" spans="1:20">
      <c r="A270" s="9">
        <v>10347</v>
      </c>
      <c r="B270" s="6">
        <v>75</v>
      </c>
      <c r="C270" s="6">
        <v>6.2</v>
      </c>
      <c r="D270" s="6">
        <v>6</v>
      </c>
      <c r="E270" s="18">
        <v>0.15</v>
      </c>
      <c r="F270" s="6" t="str">
        <f>IFERROR(VLOOKUP(VLOOKUP(A270,'Sales Order'!A:B,2,FALSE),Customer!A:C,3,FALSE),"Not Specified")</f>
        <v>Russo, Giuseppe</v>
      </c>
      <c r="G270" s="6" t="str">
        <f t="shared" si="8"/>
        <v>Russo Giuseppe</v>
      </c>
      <c r="H270" s="22" t="str">
        <f>IFERROR(VLOOKUP(VLOOKUP(A270,'Sales Order'!A:C,3,FALSE),Employee!A:E,5,FALSE)&amp;" "&amp;VLOOKUP(VLOOKUP(A270,'Sales Order'!A:C,3,FALSE),Employee!A:C,3,FALSE)&amp;" "&amp;VLOOKUP(VLOOKUP(A270,'Sales Order'!A:C,3,FALSE),Employee!A:B,2,FALSE),"Not Specified")</f>
        <v>Mrs. Yael Peled</v>
      </c>
      <c r="I270" t="str">
        <f>IFERROR(VLOOKUP(VLOOKUP(A270,'Sales Order'!A:C,3,FALSE),Employee!A:J,10,FALSE),"Not Specified")</f>
        <v>WA</v>
      </c>
      <c r="J270" t="str">
        <f>VLOOKUP(B270,Product!A:B,2,FALSE)</f>
        <v>Product BWRLG</v>
      </c>
      <c r="K270" t="str">
        <f>VLOOKUP(VLOOKUP(B270,Product!A:D,4,FALSE),Category!A:B,2,FALSE)</f>
        <v>Beverages</v>
      </c>
      <c r="L270" s="24">
        <f>IFERROR(VLOOKUP(A270,'Sales Order'!A:D,4,FALSE),"")</f>
        <v>39027</v>
      </c>
      <c r="M270" s="24">
        <f>IFERROR(VLOOKUP(A270,'Sales Order'!A:F,6,FALSE),"")</f>
        <v>39029</v>
      </c>
      <c r="N270" t="str">
        <f>IFERROR(VLOOKUP(VLOOKUP(A270,'Sales Order'!A:G,7,FALSE),Shipper!A:B,2,FALSE),"Not Specified")</f>
        <v>Shipper ZHISN</v>
      </c>
      <c r="O270" t="str">
        <f>IFERROR(VLOOKUP(A270,'Sales Order'!A:I,9,FALSE),"Not Specified")</f>
        <v>Destination KKELL</v>
      </c>
      <c r="P270" t="str">
        <f>IFERROR(VLOOKUP(A270,'Sales Order'!A:N,14,FALSE),"Not Specified")</f>
        <v>Brazil</v>
      </c>
      <c r="Q270" t="str">
        <f>VLOOKUP(VLOOKUP(B270,Product!A:C,3,FALSE),Supplier!A:B,2,FALSE)</f>
        <v>Supplier SVIYA</v>
      </c>
      <c r="R270" t="str">
        <f>VLOOKUP(VLOOKUP(B270,Product!A:C,3,FALSE),Supplier!A:I,9,FALSE)</f>
        <v>Germany</v>
      </c>
      <c r="S270" t="str">
        <f>IFERROR(IF(VLOOKUP(A270,'Sales Order'!A:H,8,FALSE)&gt;100,"High Freight","Low Freight"),"Not Specified")</f>
        <v>Low Freight</v>
      </c>
      <c r="T270">
        <f t="shared" si="9"/>
        <v>31.62</v>
      </c>
    </row>
    <row r="271" spans="1:20">
      <c r="A271" s="9">
        <v>10348</v>
      </c>
      <c r="B271" s="6">
        <v>1</v>
      </c>
      <c r="C271" s="6">
        <v>14.4</v>
      </c>
      <c r="D271" s="6">
        <v>15</v>
      </c>
      <c r="E271" s="18">
        <v>0.15</v>
      </c>
      <c r="F271" s="6" t="str">
        <f>IFERROR(VLOOKUP(VLOOKUP(A271,'Sales Order'!A:B,2,FALSE),Customer!A:C,3,FALSE),"Not Specified")</f>
        <v>Syamala, Manoj</v>
      </c>
      <c r="G271" s="6" t="str">
        <f t="shared" si="8"/>
        <v>Syamala Manoj</v>
      </c>
      <c r="H271" s="22" t="str">
        <f>IFERROR(VLOOKUP(VLOOKUP(A271,'Sales Order'!A:C,3,FALSE),Employee!A:E,5,FALSE)&amp;" "&amp;VLOOKUP(VLOOKUP(A271,'Sales Order'!A:C,3,FALSE),Employee!A:C,3,FALSE)&amp;" "&amp;VLOOKUP(VLOOKUP(A271,'Sales Order'!A:C,3,FALSE),Employee!A:B,2,FALSE),"Not Specified")</f>
        <v>Mrs. Yael Peled</v>
      </c>
      <c r="I271" t="str">
        <f>IFERROR(VLOOKUP(VLOOKUP(A271,'Sales Order'!A:C,3,FALSE),Employee!A:J,10,FALSE),"Not Specified")</f>
        <v>WA</v>
      </c>
      <c r="J271" t="str">
        <f>VLOOKUP(B271,Product!A:B,2,FALSE)</f>
        <v>Product HHYDP</v>
      </c>
      <c r="K271" t="str">
        <f>VLOOKUP(VLOOKUP(B271,Product!A:D,4,FALSE),Category!A:B,2,FALSE)</f>
        <v>Beverages</v>
      </c>
      <c r="L271" s="24">
        <f>IFERROR(VLOOKUP(A271,'Sales Order'!A:D,4,FALSE),"")</f>
        <v>39028</v>
      </c>
      <c r="M271" s="24">
        <f>IFERROR(VLOOKUP(A271,'Sales Order'!A:F,6,FALSE),"")</f>
        <v>39036</v>
      </c>
      <c r="N271" t="str">
        <f>IFERROR(VLOOKUP(VLOOKUP(A271,'Sales Order'!A:G,7,FALSE),Shipper!A:B,2,FALSE),"Not Specified")</f>
        <v>Shipper ETYNR</v>
      </c>
      <c r="O271" t="str">
        <f>IFERROR(VLOOKUP(A271,'Sales Order'!A:I,9,FALSE),"Not Specified")</f>
        <v>Ship to 86-B</v>
      </c>
      <c r="P271" t="str">
        <f>IFERROR(VLOOKUP(A271,'Sales Order'!A:N,14,FALSE),"Not Specified")</f>
        <v>Germany</v>
      </c>
      <c r="Q271" t="str">
        <f>VLOOKUP(VLOOKUP(B271,Product!A:C,3,FALSE),Supplier!A:B,2,FALSE)</f>
        <v>Supplier SWRXU</v>
      </c>
      <c r="R271" t="str">
        <f>VLOOKUP(VLOOKUP(B271,Product!A:C,3,FALSE),Supplier!A:I,9,FALSE)</f>
        <v>UK</v>
      </c>
      <c r="S271" t="str">
        <f>IFERROR(IF(VLOOKUP(A271,'Sales Order'!A:H,8,FALSE)&gt;100,"High Freight","Low Freight"),"Not Specified")</f>
        <v>Low Freight</v>
      </c>
      <c r="T271">
        <f t="shared" si="9"/>
        <v>183.6</v>
      </c>
    </row>
    <row r="272" spans="1:20">
      <c r="A272" s="9">
        <v>10348</v>
      </c>
      <c r="B272" s="6">
        <v>23</v>
      </c>
      <c r="C272" s="6">
        <v>7.2</v>
      </c>
      <c r="D272" s="6">
        <v>25</v>
      </c>
      <c r="E272" s="18">
        <v>0</v>
      </c>
      <c r="F272" s="6" t="str">
        <f>IFERROR(VLOOKUP(VLOOKUP(A272,'Sales Order'!A:B,2,FALSE),Customer!A:C,3,FALSE),"Not Specified")</f>
        <v>Syamala, Manoj</v>
      </c>
      <c r="G272" s="6" t="str">
        <f t="shared" si="8"/>
        <v>Syamala Manoj</v>
      </c>
      <c r="H272" s="22" t="str">
        <f>IFERROR(VLOOKUP(VLOOKUP(A272,'Sales Order'!A:C,3,FALSE),Employee!A:E,5,FALSE)&amp;" "&amp;VLOOKUP(VLOOKUP(A272,'Sales Order'!A:C,3,FALSE),Employee!A:C,3,FALSE)&amp;" "&amp;VLOOKUP(VLOOKUP(A272,'Sales Order'!A:C,3,FALSE),Employee!A:B,2,FALSE),"Not Specified")</f>
        <v>Mrs. Yael Peled</v>
      </c>
      <c r="I272" t="str">
        <f>IFERROR(VLOOKUP(VLOOKUP(A272,'Sales Order'!A:C,3,FALSE),Employee!A:J,10,FALSE),"Not Specified")</f>
        <v>WA</v>
      </c>
      <c r="J272" t="str">
        <f>VLOOKUP(B272,Product!A:B,2,FALSE)</f>
        <v>Product JLUDZ</v>
      </c>
      <c r="K272" t="str">
        <f>VLOOKUP(VLOOKUP(B272,Product!A:D,4,FALSE),Category!A:B,2,FALSE)</f>
        <v>Grains/Cereals</v>
      </c>
      <c r="L272" s="24">
        <f>IFERROR(VLOOKUP(A272,'Sales Order'!A:D,4,FALSE),"")</f>
        <v>39028</v>
      </c>
      <c r="M272" s="24">
        <f>IFERROR(VLOOKUP(A272,'Sales Order'!A:F,6,FALSE),"")</f>
        <v>39036</v>
      </c>
      <c r="N272" t="str">
        <f>IFERROR(VLOOKUP(VLOOKUP(A272,'Sales Order'!A:G,7,FALSE),Shipper!A:B,2,FALSE),"Not Specified")</f>
        <v>Shipper ETYNR</v>
      </c>
      <c r="O272" t="str">
        <f>IFERROR(VLOOKUP(A272,'Sales Order'!A:I,9,FALSE),"Not Specified")</f>
        <v>Ship to 86-B</v>
      </c>
      <c r="P272" t="str">
        <f>IFERROR(VLOOKUP(A272,'Sales Order'!A:N,14,FALSE),"Not Specified")</f>
        <v>Germany</v>
      </c>
      <c r="Q272" t="str">
        <f>VLOOKUP(VLOOKUP(B272,Product!A:C,3,FALSE),Supplier!A:B,2,FALSE)</f>
        <v>Supplier QQYEU</v>
      </c>
      <c r="R272" t="str">
        <f>VLOOKUP(VLOOKUP(B272,Product!A:C,3,FALSE),Supplier!A:I,9,FALSE)</f>
        <v>Sweden</v>
      </c>
      <c r="S272" t="str">
        <f>IFERROR(IF(VLOOKUP(A272,'Sales Order'!A:H,8,FALSE)&gt;100,"High Freight","Low Freight"),"Not Specified")</f>
        <v>Low Freight</v>
      </c>
      <c r="T272">
        <f t="shared" si="9"/>
        <v>180</v>
      </c>
    </row>
    <row r="273" spans="1:20">
      <c r="A273" s="9">
        <v>10349</v>
      </c>
      <c r="B273" s="6">
        <v>54</v>
      </c>
      <c r="C273" s="6">
        <v>5.9</v>
      </c>
      <c r="D273" s="6">
        <v>24</v>
      </c>
      <c r="E273" s="18">
        <v>0</v>
      </c>
      <c r="F273" s="6" t="str">
        <f>IFERROR(VLOOKUP(VLOOKUP(A273,'Sales Order'!A:B,2,FALSE),Customer!A:C,3,FALSE),"Not Specified")</f>
        <v>Wojciechowska, Agnieszka</v>
      </c>
      <c r="G273" s="6" t="str">
        <f t="shared" si="8"/>
        <v>Wojciechowska Agnieszka</v>
      </c>
      <c r="H273" s="22" t="str">
        <f>IFERROR(VLOOKUP(VLOOKUP(A273,'Sales Order'!A:C,3,FALSE),Employee!A:E,5,FALSE)&amp;" "&amp;VLOOKUP(VLOOKUP(A273,'Sales Order'!A:C,3,FALSE),Employee!A:C,3,FALSE)&amp;" "&amp;VLOOKUP(VLOOKUP(A273,'Sales Order'!A:C,3,FALSE),Employee!A:B,2,FALSE),"Not Specified")</f>
        <v>Mr. Russell King</v>
      </c>
      <c r="I273">
        <f>IFERROR(VLOOKUP(VLOOKUP(A273,'Sales Order'!A:C,3,FALSE),Employee!A:J,10,FALSE),"Not Specified")</f>
        <v>0</v>
      </c>
      <c r="J273" t="str">
        <f>VLOOKUP(B273,Product!A:B,2,FALSE)</f>
        <v>Product QAQRL</v>
      </c>
      <c r="K273" t="str">
        <f>VLOOKUP(VLOOKUP(B273,Product!A:D,4,FALSE),Category!A:B,2,FALSE)</f>
        <v>Meat/Poultry</v>
      </c>
      <c r="L273" s="24">
        <f>IFERROR(VLOOKUP(A273,'Sales Order'!A:D,4,FALSE),"")</f>
        <v>39029</v>
      </c>
      <c r="M273" s="24">
        <f>IFERROR(VLOOKUP(A273,'Sales Order'!A:F,6,FALSE),"")</f>
        <v>39036</v>
      </c>
      <c r="N273" t="str">
        <f>IFERROR(VLOOKUP(VLOOKUP(A273,'Sales Order'!A:G,7,FALSE),Shipper!A:B,2,FALSE),"Not Specified")</f>
        <v>Shipper GVSUA</v>
      </c>
      <c r="O273" t="str">
        <f>IFERROR(VLOOKUP(A273,'Sales Order'!A:I,9,FALSE),"Not Specified")</f>
        <v>Ship to 75-C</v>
      </c>
      <c r="P273" t="str">
        <f>IFERROR(VLOOKUP(A273,'Sales Order'!A:N,14,FALSE),"Not Specified")</f>
        <v>USA</v>
      </c>
      <c r="Q273" t="str">
        <f>VLOOKUP(VLOOKUP(B273,Product!A:C,3,FALSE),Supplier!A:B,2,FALSE)</f>
        <v>Supplier ERVYZ</v>
      </c>
      <c r="R273" t="str">
        <f>VLOOKUP(VLOOKUP(B273,Product!A:C,3,FALSE),Supplier!A:I,9,FALSE)</f>
        <v>Canada</v>
      </c>
      <c r="S273" t="str">
        <f>IFERROR(IF(VLOOKUP(A273,'Sales Order'!A:H,8,FALSE)&gt;100,"High Freight","Low Freight"),"Not Specified")</f>
        <v>Low Freight</v>
      </c>
      <c r="T273">
        <f t="shared" si="9"/>
        <v>141.60000000000002</v>
      </c>
    </row>
    <row r="274" spans="1:20">
      <c r="A274" s="9">
        <v>10350</v>
      </c>
      <c r="B274" s="6">
        <v>50</v>
      </c>
      <c r="C274" s="6">
        <v>13</v>
      </c>
      <c r="D274" s="6">
        <v>15</v>
      </c>
      <c r="E274" s="18">
        <v>0.1</v>
      </c>
      <c r="F274" s="6" t="str">
        <f>IFERROR(VLOOKUP(VLOOKUP(A274,'Sales Order'!A:B,2,FALSE),Customer!A:C,3,FALSE),"Not Specified")</f>
        <v>Litton, Tim</v>
      </c>
      <c r="G274" s="6" t="str">
        <f t="shared" si="8"/>
        <v>Litton Tim</v>
      </c>
      <c r="H274" s="22" t="str">
        <f>IFERROR(VLOOKUP(VLOOKUP(A274,'Sales Order'!A:C,3,FALSE),Employee!A:E,5,FALSE)&amp;" "&amp;VLOOKUP(VLOOKUP(A274,'Sales Order'!A:C,3,FALSE),Employee!A:C,3,FALSE)&amp;" "&amp;VLOOKUP(VLOOKUP(A274,'Sales Order'!A:C,3,FALSE),Employee!A:B,2,FALSE),"Not Specified")</f>
        <v>Mr. Paul Suurs</v>
      </c>
      <c r="I274">
        <f>IFERROR(VLOOKUP(VLOOKUP(A274,'Sales Order'!A:C,3,FALSE),Employee!A:J,10,FALSE),"Not Specified")</f>
        <v>0</v>
      </c>
      <c r="J274" t="str">
        <f>VLOOKUP(B274,Product!A:B,2,FALSE)</f>
        <v>Product BIUDV</v>
      </c>
      <c r="K274" t="str">
        <f>VLOOKUP(VLOOKUP(B274,Product!A:D,4,FALSE),Category!A:B,2,FALSE)</f>
        <v>Confections</v>
      </c>
      <c r="L274" s="24">
        <f>IFERROR(VLOOKUP(A274,'Sales Order'!A:D,4,FALSE),"")</f>
        <v>39032</v>
      </c>
      <c r="M274" s="24">
        <f>IFERROR(VLOOKUP(A274,'Sales Order'!A:F,6,FALSE),"")</f>
        <v>39054</v>
      </c>
      <c r="N274" t="str">
        <f>IFERROR(VLOOKUP(VLOOKUP(A274,'Sales Order'!A:G,7,FALSE),Shipper!A:B,2,FALSE),"Not Specified")</f>
        <v>Shipper ETYNR</v>
      </c>
      <c r="O274" t="str">
        <f>IFERROR(VLOOKUP(A274,'Sales Order'!A:I,9,FALSE),"Not Specified")</f>
        <v>Destination DWJIO</v>
      </c>
      <c r="P274" t="str">
        <f>IFERROR(VLOOKUP(A274,'Sales Order'!A:N,14,FALSE),"Not Specified")</f>
        <v>France</v>
      </c>
      <c r="Q274" t="str">
        <f>VLOOKUP(VLOOKUP(B274,Product!A:C,3,FALSE),Supplier!A:B,2,FALSE)</f>
        <v>Supplier ELCRN</v>
      </c>
      <c r="R274" t="str">
        <f>VLOOKUP(VLOOKUP(B274,Product!A:C,3,FALSE),Supplier!A:I,9,FALSE)</f>
        <v>Finland</v>
      </c>
      <c r="S274" t="str">
        <f>IFERROR(IF(VLOOKUP(A274,'Sales Order'!A:H,8,FALSE)&gt;100,"High Freight","Low Freight"),"Not Specified")</f>
        <v>Low Freight</v>
      </c>
      <c r="T274">
        <f t="shared" si="9"/>
        <v>175.5</v>
      </c>
    </row>
    <row r="275" spans="1:20">
      <c r="A275" s="9">
        <v>10350</v>
      </c>
      <c r="B275" s="6">
        <v>69</v>
      </c>
      <c r="C275" s="6">
        <v>28.8</v>
      </c>
      <c r="D275" s="6">
        <v>18</v>
      </c>
      <c r="E275" s="18">
        <v>0.1</v>
      </c>
      <c r="F275" s="6" t="str">
        <f>IFERROR(VLOOKUP(VLOOKUP(A275,'Sales Order'!A:B,2,FALSE),Customer!A:C,3,FALSE),"Not Specified")</f>
        <v>Litton, Tim</v>
      </c>
      <c r="G275" s="6" t="str">
        <f t="shared" si="8"/>
        <v>Litton Tim</v>
      </c>
      <c r="H275" s="22" t="str">
        <f>IFERROR(VLOOKUP(VLOOKUP(A275,'Sales Order'!A:C,3,FALSE),Employee!A:E,5,FALSE)&amp;" "&amp;VLOOKUP(VLOOKUP(A275,'Sales Order'!A:C,3,FALSE),Employee!A:C,3,FALSE)&amp;" "&amp;VLOOKUP(VLOOKUP(A275,'Sales Order'!A:C,3,FALSE),Employee!A:B,2,FALSE),"Not Specified")</f>
        <v>Mr. Paul Suurs</v>
      </c>
      <c r="I275">
        <f>IFERROR(VLOOKUP(VLOOKUP(A275,'Sales Order'!A:C,3,FALSE),Employee!A:J,10,FALSE),"Not Specified")</f>
        <v>0</v>
      </c>
      <c r="J275" t="str">
        <f>VLOOKUP(B275,Product!A:B,2,FALSE)</f>
        <v>Product COAXA</v>
      </c>
      <c r="K275" t="str">
        <f>VLOOKUP(VLOOKUP(B275,Product!A:D,4,FALSE),Category!A:B,2,FALSE)</f>
        <v>Dairy Product</v>
      </c>
      <c r="L275" s="24">
        <f>IFERROR(VLOOKUP(A275,'Sales Order'!A:D,4,FALSE),"")</f>
        <v>39032</v>
      </c>
      <c r="M275" s="24">
        <f>IFERROR(VLOOKUP(A275,'Sales Order'!A:F,6,FALSE),"")</f>
        <v>39054</v>
      </c>
      <c r="N275" t="str">
        <f>IFERROR(VLOOKUP(VLOOKUP(A275,'Sales Order'!A:G,7,FALSE),Shipper!A:B,2,FALSE),"Not Specified")</f>
        <v>Shipper ETYNR</v>
      </c>
      <c r="O275" t="str">
        <f>IFERROR(VLOOKUP(A275,'Sales Order'!A:I,9,FALSE),"Not Specified")</f>
        <v>Destination DWJIO</v>
      </c>
      <c r="P275" t="str">
        <f>IFERROR(VLOOKUP(A275,'Sales Order'!A:N,14,FALSE),"Not Specified")</f>
        <v>France</v>
      </c>
      <c r="Q275" t="str">
        <f>VLOOKUP(VLOOKUP(B275,Product!A:C,3,FALSE),Supplier!A:B,2,FALSE)</f>
        <v>Supplier NZLIF</v>
      </c>
      <c r="R275" t="str">
        <f>VLOOKUP(VLOOKUP(B275,Product!A:C,3,FALSE),Supplier!A:I,9,FALSE)</f>
        <v>Norway</v>
      </c>
      <c r="S275" t="str">
        <f>IFERROR(IF(VLOOKUP(A275,'Sales Order'!A:H,8,FALSE)&gt;100,"High Freight","Low Freight"),"Not Specified")</f>
        <v>Low Freight</v>
      </c>
      <c r="T275">
        <f t="shared" si="9"/>
        <v>466.56</v>
      </c>
    </row>
    <row r="276" spans="1:20">
      <c r="A276" s="9">
        <v>10351</v>
      </c>
      <c r="B276" s="6">
        <v>38</v>
      </c>
      <c r="C276" s="6">
        <v>210.8</v>
      </c>
      <c r="D276" s="6">
        <v>20</v>
      </c>
      <c r="E276" s="18">
        <v>0.05</v>
      </c>
      <c r="F276" s="6" t="str">
        <f>IFERROR(VLOOKUP(VLOOKUP(A276,'Sales Order'!A:B,2,FALSE),Customer!A:C,3,FALSE),"Not Specified")</f>
        <v>Kane, John</v>
      </c>
      <c r="G276" s="6" t="str">
        <f t="shared" si="8"/>
        <v>Kane John</v>
      </c>
      <c r="H276" s="22" t="str">
        <f>IFERROR(VLOOKUP(VLOOKUP(A276,'Sales Order'!A:C,3,FALSE),Employee!A:E,5,FALSE)&amp;" "&amp;VLOOKUP(VLOOKUP(A276,'Sales Order'!A:C,3,FALSE),Employee!A:C,3,FALSE)&amp;" "&amp;VLOOKUP(VLOOKUP(A276,'Sales Order'!A:C,3,FALSE),Employee!A:B,2,FALSE),"Not Specified")</f>
        <v>Ms. Sara Davis</v>
      </c>
      <c r="I276" t="str">
        <f>IFERROR(VLOOKUP(VLOOKUP(A276,'Sales Order'!A:C,3,FALSE),Employee!A:J,10,FALSE),"Not Specified")</f>
        <v>WA</v>
      </c>
      <c r="J276" t="str">
        <f>VLOOKUP(B276,Product!A:B,2,FALSE)</f>
        <v>Product QDOMO</v>
      </c>
      <c r="K276" t="str">
        <f>VLOOKUP(VLOOKUP(B276,Product!A:D,4,FALSE),Category!A:B,2,FALSE)</f>
        <v>Beverages</v>
      </c>
      <c r="L276" s="24">
        <f>IFERROR(VLOOKUP(A276,'Sales Order'!A:D,4,FALSE),"")</f>
        <v>39032</v>
      </c>
      <c r="M276" s="24">
        <f>IFERROR(VLOOKUP(A276,'Sales Order'!A:F,6,FALSE),"")</f>
        <v>39041</v>
      </c>
      <c r="N276" t="str">
        <f>IFERROR(VLOOKUP(VLOOKUP(A276,'Sales Order'!A:G,7,FALSE),Shipper!A:B,2,FALSE),"Not Specified")</f>
        <v>Shipper GVSUA</v>
      </c>
      <c r="O276" t="str">
        <f>IFERROR(VLOOKUP(A276,'Sales Order'!A:I,9,FALSE),"Not Specified")</f>
        <v>Destination RVDMF</v>
      </c>
      <c r="P276" t="str">
        <f>IFERROR(VLOOKUP(A276,'Sales Order'!A:N,14,FALSE),"Not Specified")</f>
        <v>Austria</v>
      </c>
      <c r="Q276" t="str">
        <f>VLOOKUP(VLOOKUP(B276,Product!A:C,3,FALSE),Supplier!A:B,2,FALSE)</f>
        <v>Supplier LVJUA</v>
      </c>
      <c r="R276" t="str">
        <f>VLOOKUP(VLOOKUP(B276,Product!A:C,3,FALSE),Supplier!A:I,9,FALSE)</f>
        <v>France</v>
      </c>
      <c r="S276" t="str">
        <f>IFERROR(IF(VLOOKUP(A276,'Sales Order'!A:H,8,FALSE)&gt;100,"High Freight","Low Freight"),"Not Specified")</f>
        <v>High Freight</v>
      </c>
      <c r="T276">
        <f t="shared" si="9"/>
        <v>4005.2</v>
      </c>
    </row>
    <row r="277" spans="1:20">
      <c r="A277" s="9">
        <v>10351</v>
      </c>
      <c r="B277" s="6">
        <v>41</v>
      </c>
      <c r="C277" s="6">
        <v>7.7</v>
      </c>
      <c r="D277" s="6">
        <v>13</v>
      </c>
      <c r="E277" s="18">
        <v>0</v>
      </c>
      <c r="F277" s="6" t="str">
        <f>IFERROR(VLOOKUP(VLOOKUP(A277,'Sales Order'!A:B,2,FALSE),Customer!A:C,3,FALSE),"Not Specified")</f>
        <v>Kane, John</v>
      </c>
      <c r="G277" s="6" t="str">
        <f t="shared" si="8"/>
        <v>Kane John</v>
      </c>
      <c r="H277" s="22" t="str">
        <f>IFERROR(VLOOKUP(VLOOKUP(A277,'Sales Order'!A:C,3,FALSE),Employee!A:E,5,FALSE)&amp;" "&amp;VLOOKUP(VLOOKUP(A277,'Sales Order'!A:C,3,FALSE),Employee!A:C,3,FALSE)&amp;" "&amp;VLOOKUP(VLOOKUP(A277,'Sales Order'!A:C,3,FALSE),Employee!A:B,2,FALSE),"Not Specified")</f>
        <v>Ms. Sara Davis</v>
      </c>
      <c r="I277" t="str">
        <f>IFERROR(VLOOKUP(VLOOKUP(A277,'Sales Order'!A:C,3,FALSE),Employee!A:J,10,FALSE),"Not Specified")</f>
        <v>WA</v>
      </c>
      <c r="J277" t="str">
        <f>VLOOKUP(B277,Product!A:B,2,FALSE)</f>
        <v>Product TTEEX</v>
      </c>
      <c r="K277" t="str">
        <f>VLOOKUP(VLOOKUP(B277,Product!A:D,4,FALSE),Category!A:B,2,FALSE)</f>
        <v>Seafood</v>
      </c>
      <c r="L277" s="24">
        <f>IFERROR(VLOOKUP(A277,'Sales Order'!A:D,4,FALSE),"")</f>
        <v>39032</v>
      </c>
      <c r="M277" s="24">
        <f>IFERROR(VLOOKUP(A277,'Sales Order'!A:F,6,FALSE),"")</f>
        <v>39041</v>
      </c>
      <c r="N277" t="str">
        <f>IFERROR(VLOOKUP(VLOOKUP(A277,'Sales Order'!A:G,7,FALSE),Shipper!A:B,2,FALSE),"Not Specified")</f>
        <v>Shipper GVSUA</v>
      </c>
      <c r="O277" t="str">
        <f>IFERROR(VLOOKUP(A277,'Sales Order'!A:I,9,FALSE),"Not Specified")</f>
        <v>Destination RVDMF</v>
      </c>
      <c r="P277" t="str">
        <f>IFERROR(VLOOKUP(A277,'Sales Order'!A:N,14,FALSE),"Not Specified")</f>
        <v>Austria</v>
      </c>
      <c r="Q277" t="str">
        <f>VLOOKUP(VLOOKUP(B277,Product!A:C,3,FALSE),Supplier!A:B,2,FALSE)</f>
        <v>Supplier JDNUG</v>
      </c>
      <c r="R277" t="str">
        <f>VLOOKUP(VLOOKUP(B277,Product!A:C,3,FALSE),Supplier!A:I,9,FALSE)</f>
        <v>USA</v>
      </c>
      <c r="S277" t="str">
        <f>IFERROR(IF(VLOOKUP(A277,'Sales Order'!A:H,8,FALSE)&gt;100,"High Freight","Low Freight"),"Not Specified")</f>
        <v>High Freight</v>
      </c>
      <c r="T277">
        <f t="shared" si="9"/>
        <v>100.10000000000001</v>
      </c>
    </row>
    <row r="278" spans="1:20">
      <c r="A278" s="9">
        <v>10351</v>
      </c>
      <c r="B278" s="6">
        <v>44</v>
      </c>
      <c r="C278" s="6">
        <v>15.5</v>
      </c>
      <c r="D278" s="6">
        <v>77</v>
      </c>
      <c r="E278" s="18">
        <v>0.05</v>
      </c>
      <c r="F278" s="6" t="str">
        <f>IFERROR(VLOOKUP(VLOOKUP(A278,'Sales Order'!A:B,2,FALSE),Customer!A:C,3,FALSE),"Not Specified")</f>
        <v>Kane, John</v>
      </c>
      <c r="G278" s="6" t="str">
        <f t="shared" si="8"/>
        <v>Kane John</v>
      </c>
      <c r="H278" s="22" t="str">
        <f>IFERROR(VLOOKUP(VLOOKUP(A278,'Sales Order'!A:C,3,FALSE),Employee!A:E,5,FALSE)&amp;" "&amp;VLOOKUP(VLOOKUP(A278,'Sales Order'!A:C,3,FALSE),Employee!A:C,3,FALSE)&amp;" "&amp;VLOOKUP(VLOOKUP(A278,'Sales Order'!A:C,3,FALSE),Employee!A:B,2,FALSE),"Not Specified")</f>
        <v>Ms. Sara Davis</v>
      </c>
      <c r="I278" t="str">
        <f>IFERROR(VLOOKUP(VLOOKUP(A278,'Sales Order'!A:C,3,FALSE),Employee!A:J,10,FALSE),"Not Specified")</f>
        <v>WA</v>
      </c>
      <c r="J278" t="str">
        <f>VLOOKUP(B278,Product!A:B,2,FALSE)</f>
        <v>Product VJIEO</v>
      </c>
      <c r="K278" t="str">
        <f>VLOOKUP(VLOOKUP(B278,Product!A:D,4,FALSE),Category!A:B,2,FALSE)</f>
        <v>Condiments</v>
      </c>
      <c r="L278" s="24">
        <f>IFERROR(VLOOKUP(A278,'Sales Order'!A:D,4,FALSE),"")</f>
        <v>39032</v>
      </c>
      <c r="M278" s="24">
        <f>IFERROR(VLOOKUP(A278,'Sales Order'!A:F,6,FALSE),"")</f>
        <v>39041</v>
      </c>
      <c r="N278" t="str">
        <f>IFERROR(VLOOKUP(VLOOKUP(A278,'Sales Order'!A:G,7,FALSE),Shipper!A:B,2,FALSE),"Not Specified")</f>
        <v>Shipper GVSUA</v>
      </c>
      <c r="O278" t="str">
        <f>IFERROR(VLOOKUP(A278,'Sales Order'!A:I,9,FALSE),"Not Specified")</f>
        <v>Destination RVDMF</v>
      </c>
      <c r="P278" t="str">
        <f>IFERROR(VLOOKUP(A278,'Sales Order'!A:N,14,FALSE),"Not Specified")</f>
        <v>Austria</v>
      </c>
      <c r="Q278" t="str">
        <f>VLOOKUP(VLOOKUP(B278,Product!A:C,3,FALSE),Supplier!A:B,2,FALSE)</f>
        <v>Supplier CIYNM</v>
      </c>
      <c r="R278" t="str">
        <f>VLOOKUP(VLOOKUP(B278,Product!A:C,3,FALSE),Supplier!A:I,9,FALSE)</f>
        <v>Singapore</v>
      </c>
      <c r="S278" t="str">
        <f>IFERROR(IF(VLOOKUP(A278,'Sales Order'!A:H,8,FALSE)&gt;100,"High Freight","Low Freight"),"Not Specified")</f>
        <v>High Freight</v>
      </c>
      <c r="T278">
        <f t="shared" si="9"/>
        <v>1133.825</v>
      </c>
    </row>
    <row r="279" spans="1:20">
      <c r="A279" s="9">
        <v>10351</v>
      </c>
      <c r="B279" s="6">
        <v>65</v>
      </c>
      <c r="C279" s="6">
        <v>16.8</v>
      </c>
      <c r="D279" s="6">
        <v>10</v>
      </c>
      <c r="E279" s="18">
        <v>0.05</v>
      </c>
      <c r="F279" s="6" t="str">
        <f>IFERROR(VLOOKUP(VLOOKUP(A279,'Sales Order'!A:B,2,FALSE),Customer!A:C,3,FALSE),"Not Specified")</f>
        <v>Kane, John</v>
      </c>
      <c r="G279" s="6" t="str">
        <f t="shared" si="8"/>
        <v>Kane John</v>
      </c>
      <c r="H279" s="22" t="str">
        <f>IFERROR(VLOOKUP(VLOOKUP(A279,'Sales Order'!A:C,3,FALSE),Employee!A:E,5,FALSE)&amp;" "&amp;VLOOKUP(VLOOKUP(A279,'Sales Order'!A:C,3,FALSE),Employee!A:C,3,FALSE)&amp;" "&amp;VLOOKUP(VLOOKUP(A279,'Sales Order'!A:C,3,FALSE),Employee!A:B,2,FALSE),"Not Specified")</f>
        <v>Ms. Sara Davis</v>
      </c>
      <c r="I279" t="str">
        <f>IFERROR(VLOOKUP(VLOOKUP(A279,'Sales Order'!A:C,3,FALSE),Employee!A:J,10,FALSE),"Not Specified")</f>
        <v>WA</v>
      </c>
      <c r="J279" t="str">
        <f>VLOOKUP(B279,Product!A:B,2,FALSE)</f>
        <v>Product XYWBZ</v>
      </c>
      <c r="K279" t="str">
        <f>VLOOKUP(VLOOKUP(B279,Product!A:D,4,FALSE),Category!A:B,2,FALSE)</f>
        <v>Condiments</v>
      </c>
      <c r="L279" s="24">
        <f>IFERROR(VLOOKUP(A279,'Sales Order'!A:D,4,FALSE),"")</f>
        <v>39032</v>
      </c>
      <c r="M279" s="24">
        <f>IFERROR(VLOOKUP(A279,'Sales Order'!A:F,6,FALSE),"")</f>
        <v>39041</v>
      </c>
      <c r="N279" t="str">
        <f>IFERROR(VLOOKUP(VLOOKUP(A279,'Sales Order'!A:G,7,FALSE),Shipper!A:B,2,FALSE),"Not Specified")</f>
        <v>Shipper GVSUA</v>
      </c>
      <c r="O279" t="str">
        <f>IFERROR(VLOOKUP(A279,'Sales Order'!A:I,9,FALSE),"Not Specified")</f>
        <v>Destination RVDMF</v>
      </c>
      <c r="P279" t="str">
        <f>IFERROR(VLOOKUP(A279,'Sales Order'!A:N,14,FALSE),"Not Specified")</f>
        <v>Austria</v>
      </c>
      <c r="Q279" t="str">
        <f>VLOOKUP(VLOOKUP(B279,Product!A:C,3,FALSE),Supplier!A:B,2,FALSE)</f>
        <v>Supplier VHQZD</v>
      </c>
      <c r="R279" t="str">
        <f>VLOOKUP(VLOOKUP(B279,Product!A:C,3,FALSE),Supplier!A:I,9,FALSE)</f>
        <v>USA</v>
      </c>
      <c r="S279" t="str">
        <f>IFERROR(IF(VLOOKUP(A279,'Sales Order'!A:H,8,FALSE)&gt;100,"High Freight","Low Freight"),"Not Specified")</f>
        <v>High Freight</v>
      </c>
      <c r="T279">
        <f t="shared" si="9"/>
        <v>159.6</v>
      </c>
    </row>
    <row r="280" spans="1:20">
      <c r="A280" s="9">
        <v>10352</v>
      </c>
      <c r="B280" s="6">
        <v>24</v>
      </c>
      <c r="C280" s="6">
        <v>3.6</v>
      </c>
      <c r="D280" s="6">
        <v>10</v>
      </c>
      <c r="E280" s="18">
        <v>0</v>
      </c>
      <c r="F280" s="6" t="str">
        <f>IFERROR(VLOOKUP(VLOOKUP(A280,'Sales Order'!A:B,2,FALSE),Customer!A:C,3,FALSE),"Not Specified")</f>
        <v>Cavaglieri, Giorgio</v>
      </c>
      <c r="G280" s="6" t="str">
        <f t="shared" si="8"/>
        <v>Cavaglieri Giorgio</v>
      </c>
      <c r="H280" s="22" t="str">
        <f>IFERROR(VLOOKUP(VLOOKUP(A280,'Sales Order'!A:C,3,FALSE),Employee!A:E,5,FALSE)&amp;" "&amp;VLOOKUP(VLOOKUP(A280,'Sales Order'!A:C,3,FALSE),Employee!A:C,3,FALSE)&amp;" "&amp;VLOOKUP(VLOOKUP(A280,'Sales Order'!A:C,3,FALSE),Employee!A:B,2,FALSE),"Not Specified")</f>
        <v>Ms. Judy Lew</v>
      </c>
      <c r="I280" t="str">
        <f>IFERROR(VLOOKUP(VLOOKUP(A280,'Sales Order'!A:C,3,FALSE),Employee!A:J,10,FALSE),"Not Specified")</f>
        <v>WA</v>
      </c>
      <c r="J280" t="str">
        <f>VLOOKUP(B280,Product!A:B,2,FALSE)</f>
        <v>Product QOGNU</v>
      </c>
      <c r="K280" t="str">
        <f>VLOOKUP(VLOOKUP(B280,Product!A:D,4,FALSE),Category!A:B,2,FALSE)</f>
        <v>Beverages</v>
      </c>
      <c r="L280" s="24">
        <f>IFERROR(VLOOKUP(A280,'Sales Order'!A:D,4,FALSE),"")</f>
        <v>39033</v>
      </c>
      <c r="M280" s="24">
        <f>IFERROR(VLOOKUP(A280,'Sales Order'!A:F,6,FALSE),"")</f>
        <v>39039</v>
      </c>
      <c r="N280" t="str">
        <f>IFERROR(VLOOKUP(VLOOKUP(A280,'Sales Order'!A:G,7,FALSE),Shipper!A:B,2,FALSE),"Not Specified")</f>
        <v>Shipper ZHISN</v>
      </c>
      <c r="O280" t="str">
        <f>IFERROR(VLOOKUP(A280,'Sales Order'!A:I,9,FALSE),"Not Specified")</f>
        <v>Destination OTSWR</v>
      </c>
      <c r="P280" t="str">
        <f>IFERROR(VLOOKUP(A280,'Sales Order'!A:N,14,FALSE),"Not Specified")</f>
        <v>Portugal</v>
      </c>
      <c r="Q280" t="str">
        <f>VLOOKUP(VLOOKUP(B280,Product!A:C,3,FALSE),Supplier!A:B,2,FALSE)</f>
        <v>Supplier UNAHG</v>
      </c>
      <c r="R280" t="str">
        <f>VLOOKUP(VLOOKUP(B280,Product!A:C,3,FALSE),Supplier!A:I,9,FALSE)</f>
        <v>Brazil</v>
      </c>
      <c r="S280" t="str">
        <f>IFERROR(IF(VLOOKUP(A280,'Sales Order'!A:H,8,FALSE)&gt;100,"High Freight","Low Freight"),"Not Specified")</f>
        <v>Low Freight</v>
      </c>
      <c r="T280">
        <f t="shared" si="9"/>
        <v>36</v>
      </c>
    </row>
    <row r="281" spans="1:20">
      <c r="A281" s="9">
        <v>10352</v>
      </c>
      <c r="B281" s="6">
        <v>54</v>
      </c>
      <c r="C281" s="6">
        <v>5.9</v>
      </c>
      <c r="D281" s="6">
        <v>20</v>
      </c>
      <c r="E281" s="18">
        <v>0.15</v>
      </c>
      <c r="F281" s="6" t="str">
        <f>IFERROR(VLOOKUP(VLOOKUP(A281,'Sales Order'!A:B,2,FALSE),Customer!A:C,3,FALSE),"Not Specified")</f>
        <v>Cavaglieri, Giorgio</v>
      </c>
      <c r="G281" s="6" t="str">
        <f t="shared" si="8"/>
        <v>Cavaglieri Giorgio</v>
      </c>
      <c r="H281" s="22" t="str">
        <f>IFERROR(VLOOKUP(VLOOKUP(A281,'Sales Order'!A:C,3,FALSE),Employee!A:E,5,FALSE)&amp;" "&amp;VLOOKUP(VLOOKUP(A281,'Sales Order'!A:C,3,FALSE),Employee!A:C,3,FALSE)&amp;" "&amp;VLOOKUP(VLOOKUP(A281,'Sales Order'!A:C,3,FALSE),Employee!A:B,2,FALSE),"Not Specified")</f>
        <v>Ms. Judy Lew</v>
      </c>
      <c r="I281" t="str">
        <f>IFERROR(VLOOKUP(VLOOKUP(A281,'Sales Order'!A:C,3,FALSE),Employee!A:J,10,FALSE),"Not Specified")</f>
        <v>WA</v>
      </c>
      <c r="J281" t="str">
        <f>VLOOKUP(B281,Product!A:B,2,FALSE)</f>
        <v>Product QAQRL</v>
      </c>
      <c r="K281" t="str">
        <f>VLOOKUP(VLOOKUP(B281,Product!A:D,4,FALSE),Category!A:B,2,FALSE)</f>
        <v>Meat/Poultry</v>
      </c>
      <c r="L281" s="24">
        <f>IFERROR(VLOOKUP(A281,'Sales Order'!A:D,4,FALSE),"")</f>
        <v>39033</v>
      </c>
      <c r="M281" s="24">
        <f>IFERROR(VLOOKUP(A281,'Sales Order'!A:F,6,FALSE),"")</f>
        <v>39039</v>
      </c>
      <c r="N281" t="str">
        <f>IFERROR(VLOOKUP(VLOOKUP(A281,'Sales Order'!A:G,7,FALSE),Shipper!A:B,2,FALSE),"Not Specified")</f>
        <v>Shipper ZHISN</v>
      </c>
      <c r="O281" t="str">
        <f>IFERROR(VLOOKUP(A281,'Sales Order'!A:I,9,FALSE),"Not Specified")</f>
        <v>Destination OTSWR</v>
      </c>
      <c r="P281" t="str">
        <f>IFERROR(VLOOKUP(A281,'Sales Order'!A:N,14,FALSE),"Not Specified")</f>
        <v>Portugal</v>
      </c>
      <c r="Q281" t="str">
        <f>VLOOKUP(VLOOKUP(B281,Product!A:C,3,FALSE),Supplier!A:B,2,FALSE)</f>
        <v>Supplier ERVYZ</v>
      </c>
      <c r="R281" t="str">
        <f>VLOOKUP(VLOOKUP(B281,Product!A:C,3,FALSE),Supplier!A:I,9,FALSE)</f>
        <v>Canada</v>
      </c>
      <c r="S281" t="str">
        <f>IFERROR(IF(VLOOKUP(A281,'Sales Order'!A:H,8,FALSE)&gt;100,"High Freight","Low Freight"),"Not Specified")</f>
        <v>Low Freight</v>
      </c>
      <c r="T281">
        <f t="shared" si="9"/>
        <v>100.3</v>
      </c>
    </row>
    <row r="282" spans="1:20">
      <c r="A282" s="9">
        <v>10353</v>
      </c>
      <c r="B282" s="6">
        <v>11</v>
      </c>
      <c r="C282" s="6">
        <v>16.8</v>
      </c>
      <c r="D282" s="6">
        <v>12</v>
      </c>
      <c r="E282" s="18">
        <v>0.2</v>
      </c>
      <c r="F282" s="6" t="str">
        <f>IFERROR(VLOOKUP(VLOOKUP(A282,'Sales Order'!A:B,2,FALSE),Customer!A:C,3,FALSE),"Not Specified")</f>
        <v>Meston, Tosh</v>
      </c>
      <c r="G282" s="6" t="str">
        <f t="shared" si="8"/>
        <v>Meston Tosh</v>
      </c>
      <c r="H282" s="22" t="str">
        <f>IFERROR(VLOOKUP(VLOOKUP(A282,'Sales Order'!A:C,3,FALSE),Employee!A:E,5,FALSE)&amp;" "&amp;VLOOKUP(VLOOKUP(A282,'Sales Order'!A:C,3,FALSE),Employee!A:C,3,FALSE)&amp;" "&amp;VLOOKUP(VLOOKUP(A282,'Sales Order'!A:C,3,FALSE),Employee!A:B,2,FALSE),"Not Specified")</f>
        <v>Mr. Russell King</v>
      </c>
      <c r="I282">
        <f>IFERROR(VLOOKUP(VLOOKUP(A282,'Sales Order'!A:C,3,FALSE),Employee!A:J,10,FALSE),"Not Specified")</f>
        <v>0</v>
      </c>
      <c r="J282" t="str">
        <f>VLOOKUP(B282,Product!A:B,2,FALSE)</f>
        <v>Product QMVUN</v>
      </c>
      <c r="K282" t="str">
        <f>VLOOKUP(VLOOKUP(B282,Product!A:D,4,FALSE),Category!A:B,2,FALSE)</f>
        <v>Dairy Product</v>
      </c>
      <c r="L282" s="24">
        <f>IFERROR(VLOOKUP(A282,'Sales Order'!A:D,4,FALSE),"")</f>
        <v>39034</v>
      </c>
      <c r="M282" s="24">
        <f>IFERROR(VLOOKUP(A282,'Sales Order'!A:F,6,FALSE),"")</f>
        <v>39046</v>
      </c>
      <c r="N282" t="str">
        <f>IFERROR(VLOOKUP(VLOOKUP(A282,'Sales Order'!A:G,7,FALSE),Shipper!A:B,2,FALSE),"Not Specified")</f>
        <v>Shipper ZHISN</v>
      </c>
      <c r="O282" t="str">
        <f>IFERROR(VLOOKUP(A282,'Sales Order'!A:I,9,FALSE),"Not Specified")</f>
        <v>Ship to 59-B</v>
      </c>
      <c r="P282" t="str">
        <f>IFERROR(VLOOKUP(A282,'Sales Order'!A:N,14,FALSE),"Not Specified")</f>
        <v>Austria</v>
      </c>
      <c r="Q282" t="str">
        <f>VLOOKUP(VLOOKUP(B282,Product!A:C,3,FALSE),Supplier!A:B,2,FALSE)</f>
        <v>Supplier EQPNC</v>
      </c>
      <c r="R282" t="str">
        <f>VLOOKUP(VLOOKUP(B282,Product!A:C,3,FALSE),Supplier!A:I,9,FALSE)</f>
        <v>Spain</v>
      </c>
      <c r="S282" t="str">
        <f>IFERROR(IF(VLOOKUP(A282,'Sales Order'!A:H,8,FALSE)&gt;100,"High Freight","Low Freight"),"Not Specified")</f>
        <v>High Freight</v>
      </c>
      <c r="T282">
        <f t="shared" si="9"/>
        <v>161.28000000000003</v>
      </c>
    </row>
    <row r="283" spans="1:20">
      <c r="A283" s="9">
        <v>10353</v>
      </c>
      <c r="B283" s="6">
        <v>38</v>
      </c>
      <c r="C283" s="6">
        <v>210.8</v>
      </c>
      <c r="D283" s="6">
        <v>50</v>
      </c>
      <c r="E283" s="18">
        <v>0.2</v>
      </c>
      <c r="F283" s="6" t="str">
        <f>IFERROR(VLOOKUP(VLOOKUP(A283,'Sales Order'!A:B,2,FALSE),Customer!A:C,3,FALSE),"Not Specified")</f>
        <v>Meston, Tosh</v>
      </c>
      <c r="G283" s="6" t="str">
        <f t="shared" si="8"/>
        <v>Meston Tosh</v>
      </c>
      <c r="H283" s="22" t="str">
        <f>IFERROR(VLOOKUP(VLOOKUP(A283,'Sales Order'!A:C,3,FALSE),Employee!A:E,5,FALSE)&amp;" "&amp;VLOOKUP(VLOOKUP(A283,'Sales Order'!A:C,3,FALSE),Employee!A:C,3,FALSE)&amp;" "&amp;VLOOKUP(VLOOKUP(A283,'Sales Order'!A:C,3,FALSE),Employee!A:B,2,FALSE),"Not Specified")</f>
        <v>Mr. Russell King</v>
      </c>
      <c r="I283">
        <f>IFERROR(VLOOKUP(VLOOKUP(A283,'Sales Order'!A:C,3,FALSE),Employee!A:J,10,FALSE),"Not Specified")</f>
        <v>0</v>
      </c>
      <c r="J283" t="str">
        <f>VLOOKUP(B283,Product!A:B,2,FALSE)</f>
        <v>Product QDOMO</v>
      </c>
      <c r="K283" t="str">
        <f>VLOOKUP(VLOOKUP(B283,Product!A:D,4,FALSE),Category!A:B,2,FALSE)</f>
        <v>Beverages</v>
      </c>
      <c r="L283" s="24">
        <f>IFERROR(VLOOKUP(A283,'Sales Order'!A:D,4,FALSE),"")</f>
        <v>39034</v>
      </c>
      <c r="M283" s="24">
        <f>IFERROR(VLOOKUP(A283,'Sales Order'!A:F,6,FALSE),"")</f>
        <v>39046</v>
      </c>
      <c r="N283" t="str">
        <f>IFERROR(VLOOKUP(VLOOKUP(A283,'Sales Order'!A:G,7,FALSE),Shipper!A:B,2,FALSE),"Not Specified")</f>
        <v>Shipper ZHISN</v>
      </c>
      <c r="O283" t="str">
        <f>IFERROR(VLOOKUP(A283,'Sales Order'!A:I,9,FALSE),"Not Specified")</f>
        <v>Ship to 59-B</v>
      </c>
      <c r="P283" t="str">
        <f>IFERROR(VLOOKUP(A283,'Sales Order'!A:N,14,FALSE),"Not Specified")</f>
        <v>Austria</v>
      </c>
      <c r="Q283" t="str">
        <f>VLOOKUP(VLOOKUP(B283,Product!A:C,3,FALSE),Supplier!A:B,2,FALSE)</f>
        <v>Supplier LVJUA</v>
      </c>
      <c r="R283" t="str">
        <f>VLOOKUP(VLOOKUP(B283,Product!A:C,3,FALSE),Supplier!A:I,9,FALSE)</f>
        <v>France</v>
      </c>
      <c r="S283" t="str">
        <f>IFERROR(IF(VLOOKUP(A283,'Sales Order'!A:H,8,FALSE)&gt;100,"High Freight","Low Freight"),"Not Specified")</f>
        <v>High Freight</v>
      </c>
      <c r="T283">
        <f t="shared" si="9"/>
        <v>8432</v>
      </c>
    </row>
    <row r="284" spans="1:20">
      <c r="A284" s="9">
        <v>10354</v>
      </c>
      <c r="B284" s="6">
        <v>1</v>
      </c>
      <c r="C284" s="6">
        <v>14.4</v>
      </c>
      <c r="D284" s="6">
        <v>12</v>
      </c>
      <c r="E284" s="18">
        <v>0</v>
      </c>
      <c r="F284" s="6" t="str">
        <f>IFERROR(VLOOKUP(VLOOKUP(A284,'Sales Order'!A:B,2,FALSE),Customer!A:C,3,FALSE),"Not Specified")</f>
        <v>Fakhouri, Fadi</v>
      </c>
      <c r="G284" s="6" t="str">
        <f t="shared" si="8"/>
        <v>Fakhouri Fadi</v>
      </c>
      <c r="H284" s="22" t="str">
        <f>IFERROR(VLOOKUP(VLOOKUP(A284,'Sales Order'!A:C,3,FALSE),Employee!A:E,5,FALSE)&amp;" "&amp;VLOOKUP(VLOOKUP(A284,'Sales Order'!A:C,3,FALSE),Employee!A:C,3,FALSE)&amp;" "&amp;VLOOKUP(VLOOKUP(A284,'Sales Order'!A:C,3,FALSE),Employee!A:B,2,FALSE),"Not Specified")</f>
        <v>Ms. Maria Cameron</v>
      </c>
      <c r="I284" t="str">
        <f>IFERROR(VLOOKUP(VLOOKUP(A284,'Sales Order'!A:C,3,FALSE),Employee!A:J,10,FALSE),"Not Specified")</f>
        <v>WA</v>
      </c>
      <c r="J284" t="str">
        <f>VLOOKUP(B284,Product!A:B,2,FALSE)</f>
        <v>Product HHYDP</v>
      </c>
      <c r="K284" t="str">
        <f>VLOOKUP(VLOOKUP(B284,Product!A:D,4,FALSE),Category!A:B,2,FALSE)</f>
        <v>Beverages</v>
      </c>
      <c r="L284" s="24">
        <f>IFERROR(VLOOKUP(A284,'Sales Order'!A:D,4,FALSE),"")</f>
        <v>39035</v>
      </c>
      <c r="M284" s="24">
        <f>IFERROR(VLOOKUP(A284,'Sales Order'!A:F,6,FALSE),"")</f>
        <v>39041</v>
      </c>
      <c r="N284" t="str">
        <f>IFERROR(VLOOKUP(VLOOKUP(A284,'Sales Order'!A:G,7,FALSE),Shipper!A:B,2,FALSE),"Not Specified")</f>
        <v>Shipper ZHISN</v>
      </c>
      <c r="O284" t="str">
        <f>IFERROR(VLOOKUP(A284,'Sales Order'!A:I,9,FALSE),"Not Specified")</f>
        <v>Ship to 58-C</v>
      </c>
      <c r="P284" t="str">
        <f>IFERROR(VLOOKUP(A284,'Sales Order'!A:N,14,FALSE),"Not Specified")</f>
        <v>Mexico</v>
      </c>
      <c r="Q284" t="str">
        <f>VLOOKUP(VLOOKUP(B284,Product!A:C,3,FALSE),Supplier!A:B,2,FALSE)</f>
        <v>Supplier SWRXU</v>
      </c>
      <c r="R284" t="str">
        <f>VLOOKUP(VLOOKUP(B284,Product!A:C,3,FALSE),Supplier!A:I,9,FALSE)</f>
        <v>UK</v>
      </c>
      <c r="S284" t="str">
        <f>IFERROR(IF(VLOOKUP(A284,'Sales Order'!A:H,8,FALSE)&gt;100,"High Freight","Low Freight"),"Not Specified")</f>
        <v>Low Freight</v>
      </c>
      <c r="T284">
        <f t="shared" si="9"/>
        <v>172.8</v>
      </c>
    </row>
    <row r="285" spans="1:20">
      <c r="A285" s="9">
        <v>10354</v>
      </c>
      <c r="B285" s="6">
        <v>29</v>
      </c>
      <c r="C285" s="6">
        <v>99</v>
      </c>
      <c r="D285" s="6">
        <v>4</v>
      </c>
      <c r="E285" s="18">
        <v>0</v>
      </c>
      <c r="F285" s="6" t="str">
        <f>IFERROR(VLOOKUP(VLOOKUP(A285,'Sales Order'!A:B,2,FALSE),Customer!A:C,3,FALSE),"Not Specified")</f>
        <v>Fakhouri, Fadi</v>
      </c>
      <c r="G285" s="6" t="str">
        <f t="shared" si="8"/>
        <v>Fakhouri Fadi</v>
      </c>
      <c r="H285" s="22" t="str">
        <f>IFERROR(VLOOKUP(VLOOKUP(A285,'Sales Order'!A:C,3,FALSE),Employee!A:E,5,FALSE)&amp;" "&amp;VLOOKUP(VLOOKUP(A285,'Sales Order'!A:C,3,FALSE),Employee!A:C,3,FALSE)&amp;" "&amp;VLOOKUP(VLOOKUP(A285,'Sales Order'!A:C,3,FALSE),Employee!A:B,2,FALSE),"Not Specified")</f>
        <v>Ms. Maria Cameron</v>
      </c>
      <c r="I285" t="str">
        <f>IFERROR(VLOOKUP(VLOOKUP(A285,'Sales Order'!A:C,3,FALSE),Employee!A:J,10,FALSE),"Not Specified")</f>
        <v>WA</v>
      </c>
      <c r="J285" t="str">
        <f>VLOOKUP(B285,Product!A:B,2,FALSE)</f>
        <v>Product VJXYN</v>
      </c>
      <c r="K285" t="str">
        <f>VLOOKUP(VLOOKUP(B285,Product!A:D,4,FALSE),Category!A:B,2,FALSE)</f>
        <v>Meat/Poultry</v>
      </c>
      <c r="L285" s="24">
        <f>IFERROR(VLOOKUP(A285,'Sales Order'!A:D,4,FALSE),"")</f>
        <v>39035</v>
      </c>
      <c r="M285" s="24">
        <f>IFERROR(VLOOKUP(A285,'Sales Order'!A:F,6,FALSE),"")</f>
        <v>39041</v>
      </c>
      <c r="N285" t="str">
        <f>IFERROR(VLOOKUP(VLOOKUP(A285,'Sales Order'!A:G,7,FALSE),Shipper!A:B,2,FALSE),"Not Specified")</f>
        <v>Shipper ZHISN</v>
      </c>
      <c r="O285" t="str">
        <f>IFERROR(VLOOKUP(A285,'Sales Order'!A:I,9,FALSE),"Not Specified")</f>
        <v>Ship to 58-C</v>
      </c>
      <c r="P285" t="str">
        <f>IFERROR(VLOOKUP(A285,'Sales Order'!A:N,14,FALSE),"Not Specified")</f>
        <v>Mexico</v>
      </c>
      <c r="Q285" t="str">
        <f>VLOOKUP(VLOOKUP(B285,Product!A:C,3,FALSE),Supplier!A:B,2,FALSE)</f>
        <v>Supplier SVIYA</v>
      </c>
      <c r="R285" t="str">
        <f>VLOOKUP(VLOOKUP(B285,Product!A:C,3,FALSE),Supplier!A:I,9,FALSE)</f>
        <v>Germany</v>
      </c>
      <c r="S285" t="str">
        <f>IFERROR(IF(VLOOKUP(A285,'Sales Order'!A:H,8,FALSE)&gt;100,"High Freight","Low Freight"),"Not Specified")</f>
        <v>Low Freight</v>
      </c>
      <c r="T285">
        <f t="shared" si="9"/>
        <v>396</v>
      </c>
    </row>
    <row r="286" spans="1:20">
      <c r="A286" s="9">
        <v>10355</v>
      </c>
      <c r="B286" s="6">
        <v>24</v>
      </c>
      <c r="C286" s="6">
        <v>3.6</v>
      </c>
      <c r="D286" s="6">
        <v>25</v>
      </c>
      <c r="E286" s="18">
        <v>0</v>
      </c>
      <c r="F286" s="6" t="str">
        <f>IFERROR(VLOOKUP(VLOOKUP(A286,'Sales Order'!A:B,2,FALSE),Customer!A:C,3,FALSE),"Not Specified")</f>
        <v>Arndt, Torsten</v>
      </c>
      <c r="G286" s="6" t="str">
        <f t="shared" si="8"/>
        <v>Arndt Torsten</v>
      </c>
      <c r="H286" s="22" t="str">
        <f>IFERROR(VLOOKUP(VLOOKUP(A286,'Sales Order'!A:C,3,FALSE),Employee!A:E,5,FALSE)&amp;" "&amp;VLOOKUP(VLOOKUP(A286,'Sales Order'!A:C,3,FALSE),Employee!A:C,3,FALSE)&amp;" "&amp;VLOOKUP(VLOOKUP(A286,'Sales Order'!A:C,3,FALSE),Employee!A:B,2,FALSE),"Not Specified")</f>
        <v>Mr. Paul Suurs</v>
      </c>
      <c r="I286">
        <f>IFERROR(VLOOKUP(VLOOKUP(A286,'Sales Order'!A:C,3,FALSE),Employee!A:J,10,FALSE),"Not Specified")</f>
        <v>0</v>
      </c>
      <c r="J286" t="str">
        <f>VLOOKUP(B286,Product!A:B,2,FALSE)</f>
        <v>Product QOGNU</v>
      </c>
      <c r="K286" t="str">
        <f>VLOOKUP(VLOOKUP(B286,Product!A:D,4,FALSE),Category!A:B,2,FALSE)</f>
        <v>Beverages</v>
      </c>
      <c r="L286" s="24">
        <f>IFERROR(VLOOKUP(A286,'Sales Order'!A:D,4,FALSE),"")</f>
        <v>39036</v>
      </c>
      <c r="M286" s="24">
        <f>IFERROR(VLOOKUP(A286,'Sales Order'!A:F,6,FALSE),"")</f>
        <v>39041</v>
      </c>
      <c r="N286" t="str">
        <f>IFERROR(VLOOKUP(VLOOKUP(A286,'Sales Order'!A:G,7,FALSE),Shipper!A:B,2,FALSE),"Not Specified")</f>
        <v>Shipper GVSUA</v>
      </c>
      <c r="O286" t="str">
        <f>IFERROR(VLOOKUP(A286,'Sales Order'!A:I,9,FALSE),"Not Specified")</f>
        <v>Ship to 4-A</v>
      </c>
      <c r="P286" t="str">
        <f>IFERROR(VLOOKUP(A286,'Sales Order'!A:N,14,FALSE),"Not Specified")</f>
        <v>UK</v>
      </c>
      <c r="Q286" t="str">
        <f>VLOOKUP(VLOOKUP(B286,Product!A:C,3,FALSE),Supplier!A:B,2,FALSE)</f>
        <v>Supplier UNAHG</v>
      </c>
      <c r="R286" t="str">
        <f>VLOOKUP(VLOOKUP(B286,Product!A:C,3,FALSE),Supplier!A:I,9,FALSE)</f>
        <v>Brazil</v>
      </c>
      <c r="S286" t="str">
        <f>IFERROR(IF(VLOOKUP(A286,'Sales Order'!A:H,8,FALSE)&gt;100,"High Freight","Low Freight"),"Not Specified")</f>
        <v>Low Freight</v>
      </c>
      <c r="T286">
        <f t="shared" si="9"/>
        <v>90</v>
      </c>
    </row>
    <row r="287" spans="1:20">
      <c r="A287" s="9">
        <v>10355</v>
      </c>
      <c r="B287" s="6">
        <v>57</v>
      </c>
      <c r="C287" s="6">
        <v>15.6</v>
      </c>
      <c r="D287" s="6">
        <v>25</v>
      </c>
      <c r="E287" s="18">
        <v>0</v>
      </c>
      <c r="F287" s="6" t="str">
        <f>IFERROR(VLOOKUP(VLOOKUP(A287,'Sales Order'!A:B,2,FALSE),Customer!A:C,3,FALSE),"Not Specified")</f>
        <v>Arndt, Torsten</v>
      </c>
      <c r="G287" s="6" t="str">
        <f t="shared" si="8"/>
        <v>Arndt Torsten</v>
      </c>
      <c r="H287" s="22" t="str">
        <f>IFERROR(VLOOKUP(VLOOKUP(A287,'Sales Order'!A:C,3,FALSE),Employee!A:E,5,FALSE)&amp;" "&amp;VLOOKUP(VLOOKUP(A287,'Sales Order'!A:C,3,FALSE),Employee!A:C,3,FALSE)&amp;" "&amp;VLOOKUP(VLOOKUP(A287,'Sales Order'!A:C,3,FALSE),Employee!A:B,2,FALSE),"Not Specified")</f>
        <v>Mr. Paul Suurs</v>
      </c>
      <c r="I287">
        <f>IFERROR(VLOOKUP(VLOOKUP(A287,'Sales Order'!A:C,3,FALSE),Employee!A:J,10,FALSE),"Not Specified")</f>
        <v>0</v>
      </c>
      <c r="J287" t="str">
        <f>VLOOKUP(B287,Product!A:B,2,FALSE)</f>
        <v>Product OVLQI</v>
      </c>
      <c r="K287" t="str">
        <f>VLOOKUP(VLOOKUP(B287,Product!A:D,4,FALSE),Category!A:B,2,FALSE)</f>
        <v>Grains/Cereals</v>
      </c>
      <c r="L287" s="24">
        <f>IFERROR(VLOOKUP(A287,'Sales Order'!A:D,4,FALSE),"")</f>
        <v>39036</v>
      </c>
      <c r="M287" s="24">
        <f>IFERROR(VLOOKUP(A287,'Sales Order'!A:F,6,FALSE),"")</f>
        <v>39041</v>
      </c>
      <c r="N287" t="str">
        <f>IFERROR(VLOOKUP(VLOOKUP(A287,'Sales Order'!A:G,7,FALSE),Shipper!A:B,2,FALSE),"Not Specified")</f>
        <v>Shipper GVSUA</v>
      </c>
      <c r="O287" t="str">
        <f>IFERROR(VLOOKUP(A287,'Sales Order'!A:I,9,FALSE),"Not Specified")</f>
        <v>Ship to 4-A</v>
      </c>
      <c r="P287" t="str">
        <f>IFERROR(VLOOKUP(A287,'Sales Order'!A:N,14,FALSE),"Not Specified")</f>
        <v>UK</v>
      </c>
      <c r="Q287" t="str">
        <f>VLOOKUP(VLOOKUP(B287,Product!A:C,3,FALSE),Supplier!A:B,2,FALSE)</f>
        <v>Supplier ZWZDM</v>
      </c>
      <c r="R287" t="str">
        <f>VLOOKUP(VLOOKUP(B287,Product!A:C,3,FALSE),Supplier!A:I,9,FALSE)</f>
        <v>Italy</v>
      </c>
      <c r="S287" t="str">
        <f>IFERROR(IF(VLOOKUP(A287,'Sales Order'!A:H,8,FALSE)&gt;100,"High Freight","Low Freight"),"Not Specified")</f>
        <v>Low Freight</v>
      </c>
      <c r="T287">
        <f t="shared" si="9"/>
        <v>390</v>
      </c>
    </row>
    <row r="288" spans="1:20">
      <c r="A288" s="9">
        <v>10356</v>
      </c>
      <c r="B288" s="6">
        <v>31</v>
      </c>
      <c r="C288" s="6">
        <v>10</v>
      </c>
      <c r="D288" s="6">
        <v>30</v>
      </c>
      <c r="E288" s="18">
        <v>0</v>
      </c>
      <c r="F288" s="6" t="str">
        <f>IFERROR(VLOOKUP(VLOOKUP(A288,'Sales Order'!A:B,2,FALSE),Customer!A:C,3,FALSE),"Not Specified")</f>
        <v>Syamala, Manoj</v>
      </c>
      <c r="G288" s="6" t="str">
        <f t="shared" si="8"/>
        <v>Syamala Manoj</v>
      </c>
      <c r="H288" s="22" t="str">
        <f>IFERROR(VLOOKUP(VLOOKUP(A288,'Sales Order'!A:C,3,FALSE),Employee!A:E,5,FALSE)&amp;" "&amp;VLOOKUP(VLOOKUP(A288,'Sales Order'!A:C,3,FALSE),Employee!A:C,3,FALSE)&amp;" "&amp;VLOOKUP(VLOOKUP(A288,'Sales Order'!A:C,3,FALSE),Employee!A:B,2,FALSE),"Not Specified")</f>
        <v>Mr. Paul Suurs</v>
      </c>
      <c r="I288">
        <f>IFERROR(VLOOKUP(VLOOKUP(A288,'Sales Order'!A:C,3,FALSE),Employee!A:J,10,FALSE),"Not Specified")</f>
        <v>0</v>
      </c>
      <c r="J288" t="str">
        <f>VLOOKUP(B288,Product!A:B,2,FALSE)</f>
        <v>Product XWOXC</v>
      </c>
      <c r="K288" t="str">
        <f>VLOOKUP(VLOOKUP(B288,Product!A:D,4,FALSE),Category!A:B,2,FALSE)</f>
        <v>Dairy Product</v>
      </c>
      <c r="L288" s="24">
        <f>IFERROR(VLOOKUP(A288,'Sales Order'!A:D,4,FALSE),"")</f>
        <v>39039</v>
      </c>
      <c r="M288" s="24">
        <f>IFERROR(VLOOKUP(A288,'Sales Order'!A:F,6,FALSE),"")</f>
        <v>39048</v>
      </c>
      <c r="N288" t="str">
        <f>IFERROR(VLOOKUP(VLOOKUP(A288,'Sales Order'!A:G,7,FALSE),Shipper!A:B,2,FALSE),"Not Specified")</f>
        <v>Shipper ETYNR</v>
      </c>
      <c r="O288" t="str">
        <f>IFERROR(VLOOKUP(A288,'Sales Order'!A:I,9,FALSE),"Not Specified")</f>
        <v>Ship to 86-A</v>
      </c>
      <c r="P288" t="str">
        <f>IFERROR(VLOOKUP(A288,'Sales Order'!A:N,14,FALSE),"Not Specified")</f>
        <v>Germany</v>
      </c>
      <c r="Q288" t="str">
        <f>VLOOKUP(VLOOKUP(B288,Product!A:C,3,FALSE),Supplier!A:B,2,FALSE)</f>
        <v>Supplier KEREV</v>
      </c>
      <c r="R288" t="str">
        <f>VLOOKUP(VLOOKUP(B288,Product!A:C,3,FALSE),Supplier!A:I,9,FALSE)</f>
        <v>Italy</v>
      </c>
      <c r="S288" t="str">
        <f>IFERROR(IF(VLOOKUP(A288,'Sales Order'!A:H,8,FALSE)&gt;100,"High Freight","Low Freight"),"Not Specified")</f>
        <v>Low Freight</v>
      </c>
      <c r="T288">
        <f t="shared" si="9"/>
        <v>300</v>
      </c>
    </row>
    <row r="289" spans="1:20">
      <c r="A289" s="9">
        <v>10356</v>
      </c>
      <c r="B289" s="6">
        <v>55</v>
      </c>
      <c r="C289" s="6">
        <v>19.2</v>
      </c>
      <c r="D289" s="6">
        <v>12</v>
      </c>
      <c r="E289" s="18">
        <v>0</v>
      </c>
      <c r="F289" s="6" t="str">
        <f>IFERROR(VLOOKUP(VLOOKUP(A289,'Sales Order'!A:B,2,FALSE),Customer!A:C,3,FALSE),"Not Specified")</f>
        <v>Syamala, Manoj</v>
      </c>
      <c r="G289" s="6" t="str">
        <f t="shared" si="8"/>
        <v>Syamala Manoj</v>
      </c>
      <c r="H289" s="22" t="str">
        <f>IFERROR(VLOOKUP(VLOOKUP(A289,'Sales Order'!A:C,3,FALSE),Employee!A:E,5,FALSE)&amp;" "&amp;VLOOKUP(VLOOKUP(A289,'Sales Order'!A:C,3,FALSE),Employee!A:C,3,FALSE)&amp;" "&amp;VLOOKUP(VLOOKUP(A289,'Sales Order'!A:C,3,FALSE),Employee!A:B,2,FALSE),"Not Specified")</f>
        <v>Mr. Paul Suurs</v>
      </c>
      <c r="I289">
        <f>IFERROR(VLOOKUP(VLOOKUP(A289,'Sales Order'!A:C,3,FALSE),Employee!A:J,10,FALSE),"Not Specified")</f>
        <v>0</v>
      </c>
      <c r="J289" t="str">
        <f>VLOOKUP(B289,Product!A:B,2,FALSE)</f>
        <v>Product YYWRT</v>
      </c>
      <c r="K289" t="str">
        <f>VLOOKUP(VLOOKUP(B289,Product!A:D,4,FALSE),Category!A:B,2,FALSE)</f>
        <v>Meat/Poultry</v>
      </c>
      <c r="L289" s="24">
        <f>IFERROR(VLOOKUP(A289,'Sales Order'!A:D,4,FALSE),"")</f>
        <v>39039</v>
      </c>
      <c r="M289" s="24">
        <f>IFERROR(VLOOKUP(A289,'Sales Order'!A:F,6,FALSE),"")</f>
        <v>39048</v>
      </c>
      <c r="N289" t="str">
        <f>IFERROR(VLOOKUP(VLOOKUP(A289,'Sales Order'!A:G,7,FALSE),Shipper!A:B,2,FALSE),"Not Specified")</f>
        <v>Shipper ETYNR</v>
      </c>
      <c r="O289" t="str">
        <f>IFERROR(VLOOKUP(A289,'Sales Order'!A:I,9,FALSE),"Not Specified")</f>
        <v>Ship to 86-A</v>
      </c>
      <c r="P289" t="str">
        <f>IFERROR(VLOOKUP(A289,'Sales Order'!A:N,14,FALSE),"Not Specified")</f>
        <v>Germany</v>
      </c>
      <c r="Q289" t="str">
        <f>VLOOKUP(VLOOKUP(B289,Product!A:C,3,FALSE),Supplier!A:B,2,FALSE)</f>
        <v>Supplier ERVYZ</v>
      </c>
      <c r="R289" t="str">
        <f>VLOOKUP(VLOOKUP(B289,Product!A:C,3,FALSE),Supplier!A:I,9,FALSE)</f>
        <v>Canada</v>
      </c>
      <c r="S289" t="str">
        <f>IFERROR(IF(VLOOKUP(A289,'Sales Order'!A:H,8,FALSE)&gt;100,"High Freight","Low Freight"),"Not Specified")</f>
        <v>Low Freight</v>
      </c>
      <c r="T289">
        <f t="shared" si="9"/>
        <v>230.39999999999998</v>
      </c>
    </row>
    <row r="290" spans="1:20">
      <c r="A290" s="9">
        <v>10356</v>
      </c>
      <c r="B290" s="6">
        <v>69</v>
      </c>
      <c r="C290" s="6">
        <v>28.8</v>
      </c>
      <c r="D290" s="6">
        <v>20</v>
      </c>
      <c r="E290" s="18">
        <v>0</v>
      </c>
      <c r="F290" s="6" t="str">
        <f>IFERROR(VLOOKUP(VLOOKUP(A290,'Sales Order'!A:B,2,FALSE),Customer!A:C,3,FALSE),"Not Specified")</f>
        <v>Syamala, Manoj</v>
      </c>
      <c r="G290" s="6" t="str">
        <f t="shared" si="8"/>
        <v>Syamala Manoj</v>
      </c>
      <c r="H290" s="22" t="str">
        <f>IFERROR(VLOOKUP(VLOOKUP(A290,'Sales Order'!A:C,3,FALSE),Employee!A:E,5,FALSE)&amp;" "&amp;VLOOKUP(VLOOKUP(A290,'Sales Order'!A:C,3,FALSE),Employee!A:C,3,FALSE)&amp;" "&amp;VLOOKUP(VLOOKUP(A290,'Sales Order'!A:C,3,FALSE),Employee!A:B,2,FALSE),"Not Specified")</f>
        <v>Mr. Paul Suurs</v>
      </c>
      <c r="I290">
        <f>IFERROR(VLOOKUP(VLOOKUP(A290,'Sales Order'!A:C,3,FALSE),Employee!A:J,10,FALSE),"Not Specified")</f>
        <v>0</v>
      </c>
      <c r="J290" t="str">
        <f>VLOOKUP(B290,Product!A:B,2,FALSE)</f>
        <v>Product COAXA</v>
      </c>
      <c r="K290" t="str">
        <f>VLOOKUP(VLOOKUP(B290,Product!A:D,4,FALSE),Category!A:B,2,FALSE)</f>
        <v>Dairy Product</v>
      </c>
      <c r="L290" s="24">
        <f>IFERROR(VLOOKUP(A290,'Sales Order'!A:D,4,FALSE),"")</f>
        <v>39039</v>
      </c>
      <c r="M290" s="24">
        <f>IFERROR(VLOOKUP(A290,'Sales Order'!A:F,6,FALSE),"")</f>
        <v>39048</v>
      </c>
      <c r="N290" t="str">
        <f>IFERROR(VLOOKUP(VLOOKUP(A290,'Sales Order'!A:G,7,FALSE),Shipper!A:B,2,FALSE),"Not Specified")</f>
        <v>Shipper ETYNR</v>
      </c>
      <c r="O290" t="str">
        <f>IFERROR(VLOOKUP(A290,'Sales Order'!A:I,9,FALSE),"Not Specified")</f>
        <v>Ship to 86-A</v>
      </c>
      <c r="P290" t="str">
        <f>IFERROR(VLOOKUP(A290,'Sales Order'!A:N,14,FALSE),"Not Specified")</f>
        <v>Germany</v>
      </c>
      <c r="Q290" t="str">
        <f>VLOOKUP(VLOOKUP(B290,Product!A:C,3,FALSE),Supplier!A:B,2,FALSE)</f>
        <v>Supplier NZLIF</v>
      </c>
      <c r="R290" t="str">
        <f>VLOOKUP(VLOOKUP(B290,Product!A:C,3,FALSE),Supplier!A:I,9,FALSE)</f>
        <v>Norway</v>
      </c>
      <c r="S290" t="str">
        <f>IFERROR(IF(VLOOKUP(A290,'Sales Order'!A:H,8,FALSE)&gt;100,"High Freight","Low Freight"),"Not Specified")</f>
        <v>Low Freight</v>
      </c>
      <c r="T290">
        <f t="shared" si="9"/>
        <v>576</v>
      </c>
    </row>
    <row r="291" spans="1:20">
      <c r="A291" s="9">
        <v>10357</v>
      </c>
      <c r="B291" s="6">
        <v>10</v>
      </c>
      <c r="C291" s="6">
        <v>24.8</v>
      </c>
      <c r="D291" s="6">
        <v>30</v>
      </c>
      <c r="E291" s="18">
        <v>0.2</v>
      </c>
      <c r="F291" s="6" t="str">
        <f>IFERROR(VLOOKUP(VLOOKUP(A291,'Sales Order'!A:B,2,FALSE),Customer!A:C,3,FALSE),"Not Specified")</f>
        <v>Dressler, Marlies</v>
      </c>
      <c r="G291" s="6" t="str">
        <f t="shared" si="8"/>
        <v>Dressler Marlies</v>
      </c>
      <c r="H291" s="22" t="str">
        <f>IFERROR(VLOOKUP(VLOOKUP(A291,'Sales Order'!A:C,3,FALSE),Employee!A:E,5,FALSE)&amp;" "&amp;VLOOKUP(VLOOKUP(A291,'Sales Order'!A:C,3,FALSE),Employee!A:C,3,FALSE)&amp;" "&amp;VLOOKUP(VLOOKUP(A291,'Sales Order'!A:C,3,FALSE),Employee!A:B,2,FALSE),"Not Specified")</f>
        <v>Ms. Sara Davis</v>
      </c>
      <c r="I291" t="str">
        <f>IFERROR(VLOOKUP(VLOOKUP(A291,'Sales Order'!A:C,3,FALSE),Employee!A:J,10,FALSE),"Not Specified")</f>
        <v>WA</v>
      </c>
      <c r="J291" t="str">
        <f>VLOOKUP(B291,Product!A:B,2,FALSE)</f>
        <v>Product YHXGE</v>
      </c>
      <c r="K291" t="str">
        <f>VLOOKUP(VLOOKUP(B291,Product!A:D,4,FALSE),Category!A:B,2,FALSE)</f>
        <v>Seafood</v>
      </c>
      <c r="L291" s="24">
        <f>IFERROR(VLOOKUP(A291,'Sales Order'!A:D,4,FALSE),"")</f>
        <v>39040</v>
      </c>
      <c r="M291" s="24">
        <f>IFERROR(VLOOKUP(A291,'Sales Order'!A:F,6,FALSE),"")</f>
        <v>39053</v>
      </c>
      <c r="N291" t="str">
        <f>IFERROR(VLOOKUP(VLOOKUP(A291,'Sales Order'!A:G,7,FALSE),Shipper!A:B,2,FALSE),"Not Specified")</f>
        <v>Shipper ZHISN</v>
      </c>
      <c r="O291" t="str">
        <f>IFERROR(VLOOKUP(A291,'Sales Order'!A:I,9,FALSE),"Not Specified")</f>
        <v>Ship to 46-B</v>
      </c>
      <c r="P291" t="str">
        <f>IFERROR(VLOOKUP(A291,'Sales Order'!A:N,14,FALSE),"Not Specified")</f>
        <v>Venezuela</v>
      </c>
      <c r="Q291" t="str">
        <f>VLOOKUP(VLOOKUP(B291,Product!A:C,3,FALSE),Supplier!A:B,2,FALSE)</f>
        <v>Supplier QOVFD</v>
      </c>
      <c r="R291" t="str">
        <f>VLOOKUP(VLOOKUP(B291,Product!A:C,3,FALSE),Supplier!A:I,9,FALSE)</f>
        <v>Japan</v>
      </c>
      <c r="S291" t="str">
        <f>IFERROR(IF(VLOOKUP(A291,'Sales Order'!A:H,8,FALSE)&gt;100,"High Freight","Low Freight"),"Not Specified")</f>
        <v>Low Freight</v>
      </c>
      <c r="T291">
        <f t="shared" si="9"/>
        <v>595.20000000000005</v>
      </c>
    </row>
    <row r="292" spans="1:20">
      <c r="A292" s="9">
        <v>10357</v>
      </c>
      <c r="B292" s="6">
        <v>26</v>
      </c>
      <c r="C292" s="6">
        <v>24.9</v>
      </c>
      <c r="D292" s="6">
        <v>16</v>
      </c>
      <c r="E292" s="18">
        <v>0</v>
      </c>
      <c r="F292" s="6" t="str">
        <f>IFERROR(VLOOKUP(VLOOKUP(A292,'Sales Order'!A:B,2,FALSE),Customer!A:C,3,FALSE),"Not Specified")</f>
        <v>Dressler, Marlies</v>
      </c>
      <c r="G292" s="6" t="str">
        <f t="shared" si="8"/>
        <v>Dressler Marlies</v>
      </c>
      <c r="H292" s="22" t="str">
        <f>IFERROR(VLOOKUP(VLOOKUP(A292,'Sales Order'!A:C,3,FALSE),Employee!A:E,5,FALSE)&amp;" "&amp;VLOOKUP(VLOOKUP(A292,'Sales Order'!A:C,3,FALSE),Employee!A:C,3,FALSE)&amp;" "&amp;VLOOKUP(VLOOKUP(A292,'Sales Order'!A:C,3,FALSE),Employee!A:B,2,FALSE),"Not Specified")</f>
        <v>Ms. Sara Davis</v>
      </c>
      <c r="I292" t="str">
        <f>IFERROR(VLOOKUP(VLOOKUP(A292,'Sales Order'!A:C,3,FALSE),Employee!A:J,10,FALSE),"Not Specified")</f>
        <v>WA</v>
      </c>
      <c r="J292" t="str">
        <f>VLOOKUP(B292,Product!A:B,2,FALSE)</f>
        <v>Product HLGZA</v>
      </c>
      <c r="K292" t="str">
        <f>VLOOKUP(VLOOKUP(B292,Product!A:D,4,FALSE),Category!A:B,2,FALSE)</f>
        <v>Confections</v>
      </c>
      <c r="L292" s="24">
        <f>IFERROR(VLOOKUP(A292,'Sales Order'!A:D,4,FALSE),"")</f>
        <v>39040</v>
      </c>
      <c r="M292" s="24">
        <f>IFERROR(VLOOKUP(A292,'Sales Order'!A:F,6,FALSE),"")</f>
        <v>39053</v>
      </c>
      <c r="N292" t="str">
        <f>IFERROR(VLOOKUP(VLOOKUP(A292,'Sales Order'!A:G,7,FALSE),Shipper!A:B,2,FALSE),"Not Specified")</f>
        <v>Shipper ZHISN</v>
      </c>
      <c r="O292" t="str">
        <f>IFERROR(VLOOKUP(A292,'Sales Order'!A:I,9,FALSE),"Not Specified")</f>
        <v>Ship to 46-B</v>
      </c>
      <c r="P292" t="str">
        <f>IFERROR(VLOOKUP(A292,'Sales Order'!A:N,14,FALSE),"Not Specified")</f>
        <v>Venezuela</v>
      </c>
      <c r="Q292" t="str">
        <f>VLOOKUP(VLOOKUP(B292,Product!A:C,3,FALSE),Supplier!A:B,2,FALSE)</f>
        <v>Supplier ZPYVS</v>
      </c>
      <c r="R292" t="str">
        <f>VLOOKUP(VLOOKUP(B292,Product!A:C,3,FALSE),Supplier!A:I,9,FALSE)</f>
        <v>Germany</v>
      </c>
      <c r="S292" t="str">
        <f>IFERROR(IF(VLOOKUP(A292,'Sales Order'!A:H,8,FALSE)&gt;100,"High Freight","Low Freight"),"Not Specified")</f>
        <v>Low Freight</v>
      </c>
      <c r="T292">
        <f t="shared" si="9"/>
        <v>398.4</v>
      </c>
    </row>
    <row r="293" spans="1:20">
      <c r="A293" s="9">
        <v>10357</v>
      </c>
      <c r="B293" s="6">
        <v>60</v>
      </c>
      <c r="C293" s="6">
        <v>27.2</v>
      </c>
      <c r="D293" s="6">
        <v>8</v>
      </c>
      <c r="E293" s="18">
        <v>0.2</v>
      </c>
      <c r="F293" s="6" t="str">
        <f>IFERROR(VLOOKUP(VLOOKUP(A293,'Sales Order'!A:B,2,FALSE),Customer!A:C,3,FALSE),"Not Specified")</f>
        <v>Dressler, Marlies</v>
      </c>
      <c r="G293" s="6" t="str">
        <f t="shared" si="8"/>
        <v>Dressler Marlies</v>
      </c>
      <c r="H293" s="22" t="str">
        <f>IFERROR(VLOOKUP(VLOOKUP(A293,'Sales Order'!A:C,3,FALSE),Employee!A:E,5,FALSE)&amp;" "&amp;VLOOKUP(VLOOKUP(A293,'Sales Order'!A:C,3,FALSE),Employee!A:C,3,FALSE)&amp;" "&amp;VLOOKUP(VLOOKUP(A293,'Sales Order'!A:C,3,FALSE),Employee!A:B,2,FALSE),"Not Specified")</f>
        <v>Ms. Sara Davis</v>
      </c>
      <c r="I293" t="str">
        <f>IFERROR(VLOOKUP(VLOOKUP(A293,'Sales Order'!A:C,3,FALSE),Employee!A:J,10,FALSE),"Not Specified")</f>
        <v>WA</v>
      </c>
      <c r="J293" t="str">
        <f>VLOOKUP(B293,Product!A:B,2,FALSE)</f>
        <v>Product WHBYK</v>
      </c>
      <c r="K293" t="str">
        <f>VLOOKUP(VLOOKUP(B293,Product!A:D,4,FALSE),Category!A:B,2,FALSE)</f>
        <v>Dairy Product</v>
      </c>
      <c r="L293" s="24">
        <f>IFERROR(VLOOKUP(A293,'Sales Order'!A:D,4,FALSE),"")</f>
        <v>39040</v>
      </c>
      <c r="M293" s="24">
        <f>IFERROR(VLOOKUP(A293,'Sales Order'!A:F,6,FALSE),"")</f>
        <v>39053</v>
      </c>
      <c r="N293" t="str">
        <f>IFERROR(VLOOKUP(VLOOKUP(A293,'Sales Order'!A:G,7,FALSE),Shipper!A:B,2,FALSE),"Not Specified")</f>
        <v>Shipper ZHISN</v>
      </c>
      <c r="O293" t="str">
        <f>IFERROR(VLOOKUP(A293,'Sales Order'!A:I,9,FALSE),"Not Specified")</f>
        <v>Ship to 46-B</v>
      </c>
      <c r="P293" t="str">
        <f>IFERROR(VLOOKUP(A293,'Sales Order'!A:N,14,FALSE),"Not Specified")</f>
        <v>Venezuela</v>
      </c>
      <c r="Q293" t="str">
        <f>VLOOKUP(VLOOKUP(B293,Product!A:C,3,FALSE),Supplier!A:B,2,FALSE)</f>
        <v>Supplier OAVQT</v>
      </c>
      <c r="R293" t="str">
        <f>VLOOKUP(VLOOKUP(B293,Product!A:C,3,FALSE),Supplier!A:I,9,FALSE)</f>
        <v>France</v>
      </c>
      <c r="S293" t="str">
        <f>IFERROR(IF(VLOOKUP(A293,'Sales Order'!A:H,8,FALSE)&gt;100,"High Freight","Low Freight"),"Not Specified")</f>
        <v>Low Freight</v>
      </c>
      <c r="T293">
        <f t="shared" si="9"/>
        <v>174.08</v>
      </c>
    </row>
    <row r="294" spans="1:20">
      <c r="A294" s="9">
        <v>10358</v>
      </c>
      <c r="B294" s="6">
        <v>24</v>
      </c>
      <c r="C294" s="6">
        <v>3.6</v>
      </c>
      <c r="D294" s="6">
        <v>10</v>
      </c>
      <c r="E294" s="18">
        <v>0.05</v>
      </c>
      <c r="F294" s="6" t="str">
        <f>IFERROR(VLOOKUP(VLOOKUP(A294,'Sales Order'!A:B,2,FALSE),Customer!A:C,3,FALSE),"Not Specified")</f>
        <v>Litton, Tim</v>
      </c>
      <c r="G294" s="6" t="str">
        <f t="shared" si="8"/>
        <v>Litton Tim</v>
      </c>
      <c r="H294" s="22" t="str">
        <f>IFERROR(VLOOKUP(VLOOKUP(A294,'Sales Order'!A:C,3,FALSE),Employee!A:E,5,FALSE)&amp;" "&amp;VLOOKUP(VLOOKUP(A294,'Sales Order'!A:C,3,FALSE),Employee!A:C,3,FALSE)&amp;" "&amp;VLOOKUP(VLOOKUP(A294,'Sales Order'!A:C,3,FALSE),Employee!A:B,2,FALSE),"Not Specified")</f>
        <v>Mr. Sven Buck</v>
      </c>
      <c r="I294">
        <f>IFERROR(VLOOKUP(VLOOKUP(A294,'Sales Order'!A:C,3,FALSE),Employee!A:J,10,FALSE),"Not Specified")</f>
        <v>0</v>
      </c>
      <c r="J294" t="str">
        <f>VLOOKUP(B294,Product!A:B,2,FALSE)</f>
        <v>Product QOGNU</v>
      </c>
      <c r="K294" t="str">
        <f>VLOOKUP(VLOOKUP(B294,Product!A:D,4,FALSE),Category!A:B,2,FALSE)</f>
        <v>Beverages</v>
      </c>
      <c r="L294" s="24">
        <f>IFERROR(VLOOKUP(A294,'Sales Order'!A:D,4,FALSE),"")</f>
        <v>39041</v>
      </c>
      <c r="M294" s="24">
        <f>IFERROR(VLOOKUP(A294,'Sales Order'!A:F,6,FALSE),"")</f>
        <v>39048</v>
      </c>
      <c r="N294" t="str">
        <f>IFERROR(VLOOKUP(VLOOKUP(A294,'Sales Order'!A:G,7,FALSE),Shipper!A:B,2,FALSE),"Not Specified")</f>
        <v>Shipper GVSUA</v>
      </c>
      <c r="O294" t="str">
        <f>IFERROR(VLOOKUP(A294,'Sales Order'!A:I,9,FALSE),"Not Specified")</f>
        <v>Ship to 41-C</v>
      </c>
      <c r="P294" t="str">
        <f>IFERROR(VLOOKUP(A294,'Sales Order'!A:N,14,FALSE),"Not Specified")</f>
        <v>France</v>
      </c>
      <c r="Q294" t="str">
        <f>VLOOKUP(VLOOKUP(B294,Product!A:C,3,FALSE),Supplier!A:B,2,FALSE)</f>
        <v>Supplier UNAHG</v>
      </c>
      <c r="R294" t="str">
        <f>VLOOKUP(VLOOKUP(B294,Product!A:C,3,FALSE),Supplier!A:I,9,FALSE)</f>
        <v>Brazil</v>
      </c>
      <c r="S294" t="str">
        <f>IFERROR(IF(VLOOKUP(A294,'Sales Order'!A:H,8,FALSE)&gt;100,"High Freight","Low Freight"),"Not Specified")</f>
        <v>Low Freight</v>
      </c>
      <c r="T294">
        <f t="shared" si="9"/>
        <v>34.199999999999996</v>
      </c>
    </row>
    <row r="295" spans="1:20">
      <c r="A295" s="9">
        <v>10358</v>
      </c>
      <c r="B295" s="6">
        <v>34</v>
      </c>
      <c r="C295" s="6">
        <v>11.2</v>
      </c>
      <c r="D295" s="6">
        <v>10</v>
      </c>
      <c r="E295" s="18">
        <v>0.05</v>
      </c>
      <c r="F295" s="6" t="str">
        <f>IFERROR(VLOOKUP(VLOOKUP(A295,'Sales Order'!A:B,2,FALSE),Customer!A:C,3,FALSE),"Not Specified")</f>
        <v>Litton, Tim</v>
      </c>
      <c r="G295" s="6" t="str">
        <f t="shared" si="8"/>
        <v>Litton Tim</v>
      </c>
      <c r="H295" s="22" t="str">
        <f>IFERROR(VLOOKUP(VLOOKUP(A295,'Sales Order'!A:C,3,FALSE),Employee!A:E,5,FALSE)&amp;" "&amp;VLOOKUP(VLOOKUP(A295,'Sales Order'!A:C,3,FALSE),Employee!A:C,3,FALSE)&amp;" "&amp;VLOOKUP(VLOOKUP(A295,'Sales Order'!A:C,3,FALSE),Employee!A:B,2,FALSE),"Not Specified")</f>
        <v>Mr. Sven Buck</v>
      </c>
      <c r="I295">
        <f>IFERROR(VLOOKUP(VLOOKUP(A295,'Sales Order'!A:C,3,FALSE),Employee!A:J,10,FALSE),"Not Specified")</f>
        <v>0</v>
      </c>
      <c r="J295" t="str">
        <f>VLOOKUP(B295,Product!A:B,2,FALSE)</f>
        <v>Product SWNJY</v>
      </c>
      <c r="K295" t="str">
        <f>VLOOKUP(VLOOKUP(B295,Product!A:D,4,FALSE),Category!A:B,2,FALSE)</f>
        <v>Beverages</v>
      </c>
      <c r="L295" s="24">
        <f>IFERROR(VLOOKUP(A295,'Sales Order'!A:D,4,FALSE),"")</f>
        <v>39041</v>
      </c>
      <c r="M295" s="24">
        <f>IFERROR(VLOOKUP(A295,'Sales Order'!A:F,6,FALSE),"")</f>
        <v>39048</v>
      </c>
      <c r="N295" t="str">
        <f>IFERROR(VLOOKUP(VLOOKUP(A295,'Sales Order'!A:G,7,FALSE),Shipper!A:B,2,FALSE),"Not Specified")</f>
        <v>Shipper GVSUA</v>
      </c>
      <c r="O295" t="str">
        <f>IFERROR(VLOOKUP(A295,'Sales Order'!A:I,9,FALSE),"Not Specified")</f>
        <v>Ship to 41-C</v>
      </c>
      <c r="P295" t="str">
        <f>IFERROR(VLOOKUP(A295,'Sales Order'!A:N,14,FALSE),"Not Specified")</f>
        <v>France</v>
      </c>
      <c r="Q295" t="str">
        <f>VLOOKUP(VLOOKUP(B295,Product!A:C,3,FALSE),Supplier!A:B,2,FALSE)</f>
        <v>Supplier UHZRG</v>
      </c>
      <c r="R295" t="str">
        <f>VLOOKUP(VLOOKUP(B295,Product!A:C,3,FALSE),Supplier!A:I,9,FALSE)</f>
        <v>USA</v>
      </c>
      <c r="S295" t="str">
        <f>IFERROR(IF(VLOOKUP(A295,'Sales Order'!A:H,8,FALSE)&gt;100,"High Freight","Low Freight"),"Not Specified")</f>
        <v>Low Freight</v>
      </c>
      <c r="T295">
        <f t="shared" si="9"/>
        <v>106.39999999999999</v>
      </c>
    </row>
    <row r="296" spans="1:20">
      <c r="A296" s="9">
        <v>10358</v>
      </c>
      <c r="B296" s="6">
        <v>36</v>
      </c>
      <c r="C296" s="6">
        <v>15.2</v>
      </c>
      <c r="D296" s="6">
        <v>20</v>
      </c>
      <c r="E296" s="18">
        <v>0.05</v>
      </c>
      <c r="F296" s="6" t="str">
        <f>IFERROR(VLOOKUP(VLOOKUP(A296,'Sales Order'!A:B,2,FALSE),Customer!A:C,3,FALSE),"Not Specified")</f>
        <v>Litton, Tim</v>
      </c>
      <c r="G296" s="6" t="str">
        <f t="shared" si="8"/>
        <v>Litton Tim</v>
      </c>
      <c r="H296" s="22" t="str">
        <f>IFERROR(VLOOKUP(VLOOKUP(A296,'Sales Order'!A:C,3,FALSE),Employee!A:E,5,FALSE)&amp;" "&amp;VLOOKUP(VLOOKUP(A296,'Sales Order'!A:C,3,FALSE),Employee!A:C,3,FALSE)&amp;" "&amp;VLOOKUP(VLOOKUP(A296,'Sales Order'!A:C,3,FALSE),Employee!A:B,2,FALSE),"Not Specified")</f>
        <v>Mr. Sven Buck</v>
      </c>
      <c r="I296">
        <f>IFERROR(VLOOKUP(VLOOKUP(A296,'Sales Order'!A:C,3,FALSE),Employee!A:J,10,FALSE),"Not Specified")</f>
        <v>0</v>
      </c>
      <c r="J296" t="str">
        <f>VLOOKUP(B296,Product!A:B,2,FALSE)</f>
        <v>Product GMKIJ</v>
      </c>
      <c r="K296" t="str">
        <f>VLOOKUP(VLOOKUP(B296,Product!A:D,4,FALSE),Category!A:B,2,FALSE)</f>
        <v>Seafood</v>
      </c>
      <c r="L296" s="24">
        <f>IFERROR(VLOOKUP(A296,'Sales Order'!A:D,4,FALSE),"")</f>
        <v>39041</v>
      </c>
      <c r="M296" s="24">
        <f>IFERROR(VLOOKUP(A296,'Sales Order'!A:F,6,FALSE),"")</f>
        <v>39048</v>
      </c>
      <c r="N296" t="str">
        <f>IFERROR(VLOOKUP(VLOOKUP(A296,'Sales Order'!A:G,7,FALSE),Shipper!A:B,2,FALSE),"Not Specified")</f>
        <v>Shipper GVSUA</v>
      </c>
      <c r="O296" t="str">
        <f>IFERROR(VLOOKUP(A296,'Sales Order'!A:I,9,FALSE),"Not Specified")</f>
        <v>Ship to 41-C</v>
      </c>
      <c r="P296" t="str">
        <f>IFERROR(VLOOKUP(A296,'Sales Order'!A:N,14,FALSE),"Not Specified")</f>
        <v>France</v>
      </c>
      <c r="Q296" t="str">
        <f>VLOOKUP(VLOOKUP(B296,Product!A:C,3,FALSE),Supplier!A:B,2,FALSE)</f>
        <v>Supplier QZGUF</v>
      </c>
      <c r="R296" t="str">
        <f>VLOOKUP(VLOOKUP(B296,Product!A:C,3,FALSE),Supplier!A:I,9,FALSE)</f>
        <v>Sweden</v>
      </c>
      <c r="S296" t="str">
        <f>IFERROR(IF(VLOOKUP(A296,'Sales Order'!A:H,8,FALSE)&gt;100,"High Freight","Low Freight"),"Not Specified")</f>
        <v>Low Freight</v>
      </c>
      <c r="T296">
        <f t="shared" si="9"/>
        <v>288.8</v>
      </c>
    </row>
    <row r="297" spans="1:20">
      <c r="A297" s="9">
        <v>10359</v>
      </c>
      <c r="B297" s="6">
        <v>16</v>
      </c>
      <c r="C297" s="6">
        <v>13.9</v>
      </c>
      <c r="D297" s="6">
        <v>56</v>
      </c>
      <c r="E297" s="18">
        <v>0.05</v>
      </c>
      <c r="F297" s="6" t="str">
        <f>IFERROR(VLOOKUP(VLOOKUP(A297,'Sales Order'!A:B,2,FALSE),Customer!A:C,3,FALSE),"Not Specified")</f>
        <v>Welcker, Brian</v>
      </c>
      <c r="G297" s="6" t="str">
        <f t="shared" si="8"/>
        <v>Welcker Brian</v>
      </c>
      <c r="H297" s="22" t="str">
        <f>IFERROR(VLOOKUP(VLOOKUP(A297,'Sales Order'!A:C,3,FALSE),Employee!A:E,5,FALSE)&amp;" "&amp;VLOOKUP(VLOOKUP(A297,'Sales Order'!A:C,3,FALSE),Employee!A:C,3,FALSE)&amp;" "&amp;VLOOKUP(VLOOKUP(A297,'Sales Order'!A:C,3,FALSE),Employee!A:B,2,FALSE),"Not Specified")</f>
        <v>Mr. Sven Buck</v>
      </c>
      <c r="I297">
        <f>IFERROR(VLOOKUP(VLOOKUP(A297,'Sales Order'!A:C,3,FALSE),Employee!A:J,10,FALSE),"Not Specified")</f>
        <v>0</v>
      </c>
      <c r="J297" t="str">
        <f>VLOOKUP(B297,Product!A:B,2,FALSE)</f>
        <v>Product PAFRH</v>
      </c>
      <c r="K297" t="str">
        <f>VLOOKUP(VLOOKUP(B297,Product!A:D,4,FALSE),Category!A:B,2,FALSE)</f>
        <v>Confections</v>
      </c>
      <c r="L297" s="24">
        <f>IFERROR(VLOOKUP(A297,'Sales Order'!A:D,4,FALSE),"")</f>
        <v>39042</v>
      </c>
      <c r="M297" s="24">
        <f>IFERROR(VLOOKUP(A297,'Sales Order'!A:F,6,FALSE),"")</f>
        <v>39047</v>
      </c>
      <c r="N297" t="str">
        <f>IFERROR(VLOOKUP(VLOOKUP(A297,'Sales Order'!A:G,7,FALSE),Shipper!A:B,2,FALSE),"Not Specified")</f>
        <v>Shipper ZHISN</v>
      </c>
      <c r="O297" t="str">
        <f>IFERROR(VLOOKUP(A297,'Sales Order'!A:I,9,FALSE),"Not Specified")</f>
        <v>Ship to 72-C</v>
      </c>
      <c r="P297" t="str">
        <f>IFERROR(VLOOKUP(A297,'Sales Order'!A:N,14,FALSE),"Not Specified")</f>
        <v>UK</v>
      </c>
      <c r="Q297" t="str">
        <f>VLOOKUP(VLOOKUP(B297,Product!A:C,3,FALSE),Supplier!A:B,2,FALSE)</f>
        <v>Supplier GQRCV</v>
      </c>
      <c r="R297" t="str">
        <f>VLOOKUP(VLOOKUP(B297,Product!A:C,3,FALSE),Supplier!A:I,9,FALSE)</f>
        <v>Australia</v>
      </c>
      <c r="S297" t="str">
        <f>IFERROR(IF(VLOOKUP(A297,'Sales Order'!A:H,8,FALSE)&gt;100,"High Freight","Low Freight"),"Not Specified")</f>
        <v>High Freight</v>
      </c>
      <c r="T297">
        <f t="shared" si="9"/>
        <v>739.4799999999999</v>
      </c>
    </row>
    <row r="298" spans="1:20">
      <c r="A298" s="9">
        <v>10359</v>
      </c>
      <c r="B298" s="6">
        <v>31</v>
      </c>
      <c r="C298" s="6">
        <v>10</v>
      </c>
      <c r="D298" s="6">
        <v>70</v>
      </c>
      <c r="E298" s="18">
        <v>0.05</v>
      </c>
      <c r="F298" s="6" t="str">
        <f>IFERROR(VLOOKUP(VLOOKUP(A298,'Sales Order'!A:B,2,FALSE),Customer!A:C,3,FALSE),"Not Specified")</f>
        <v>Welcker, Brian</v>
      </c>
      <c r="G298" s="6" t="str">
        <f t="shared" si="8"/>
        <v>Welcker Brian</v>
      </c>
      <c r="H298" s="22" t="str">
        <f>IFERROR(VLOOKUP(VLOOKUP(A298,'Sales Order'!A:C,3,FALSE),Employee!A:E,5,FALSE)&amp;" "&amp;VLOOKUP(VLOOKUP(A298,'Sales Order'!A:C,3,FALSE),Employee!A:C,3,FALSE)&amp;" "&amp;VLOOKUP(VLOOKUP(A298,'Sales Order'!A:C,3,FALSE),Employee!A:B,2,FALSE),"Not Specified")</f>
        <v>Mr. Sven Buck</v>
      </c>
      <c r="I298">
        <f>IFERROR(VLOOKUP(VLOOKUP(A298,'Sales Order'!A:C,3,FALSE),Employee!A:J,10,FALSE),"Not Specified")</f>
        <v>0</v>
      </c>
      <c r="J298" t="str">
        <f>VLOOKUP(B298,Product!A:B,2,FALSE)</f>
        <v>Product XWOXC</v>
      </c>
      <c r="K298" t="str">
        <f>VLOOKUP(VLOOKUP(B298,Product!A:D,4,FALSE),Category!A:B,2,FALSE)</f>
        <v>Dairy Product</v>
      </c>
      <c r="L298" s="24">
        <f>IFERROR(VLOOKUP(A298,'Sales Order'!A:D,4,FALSE),"")</f>
        <v>39042</v>
      </c>
      <c r="M298" s="24">
        <f>IFERROR(VLOOKUP(A298,'Sales Order'!A:F,6,FALSE),"")</f>
        <v>39047</v>
      </c>
      <c r="N298" t="str">
        <f>IFERROR(VLOOKUP(VLOOKUP(A298,'Sales Order'!A:G,7,FALSE),Shipper!A:B,2,FALSE),"Not Specified")</f>
        <v>Shipper ZHISN</v>
      </c>
      <c r="O298" t="str">
        <f>IFERROR(VLOOKUP(A298,'Sales Order'!A:I,9,FALSE),"Not Specified")</f>
        <v>Ship to 72-C</v>
      </c>
      <c r="P298" t="str">
        <f>IFERROR(VLOOKUP(A298,'Sales Order'!A:N,14,FALSE),"Not Specified")</f>
        <v>UK</v>
      </c>
      <c r="Q298" t="str">
        <f>VLOOKUP(VLOOKUP(B298,Product!A:C,3,FALSE),Supplier!A:B,2,FALSE)</f>
        <v>Supplier KEREV</v>
      </c>
      <c r="R298" t="str">
        <f>VLOOKUP(VLOOKUP(B298,Product!A:C,3,FALSE),Supplier!A:I,9,FALSE)</f>
        <v>Italy</v>
      </c>
      <c r="S298" t="str">
        <f>IFERROR(IF(VLOOKUP(A298,'Sales Order'!A:H,8,FALSE)&gt;100,"High Freight","Low Freight"),"Not Specified")</f>
        <v>High Freight</v>
      </c>
      <c r="T298">
        <f t="shared" si="9"/>
        <v>665</v>
      </c>
    </row>
    <row r="299" spans="1:20">
      <c r="A299" s="9">
        <v>10359</v>
      </c>
      <c r="B299" s="6">
        <v>60</v>
      </c>
      <c r="C299" s="6">
        <v>27.2</v>
      </c>
      <c r="D299" s="6">
        <v>80</v>
      </c>
      <c r="E299" s="18">
        <v>0.05</v>
      </c>
      <c r="F299" s="6" t="str">
        <f>IFERROR(VLOOKUP(VLOOKUP(A299,'Sales Order'!A:B,2,FALSE),Customer!A:C,3,FALSE),"Not Specified")</f>
        <v>Welcker, Brian</v>
      </c>
      <c r="G299" s="6" t="str">
        <f t="shared" si="8"/>
        <v>Welcker Brian</v>
      </c>
      <c r="H299" s="22" t="str">
        <f>IFERROR(VLOOKUP(VLOOKUP(A299,'Sales Order'!A:C,3,FALSE),Employee!A:E,5,FALSE)&amp;" "&amp;VLOOKUP(VLOOKUP(A299,'Sales Order'!A:C,3,FALSE),Employee!A:C,3,FALSE)&amp;" "&amp;VLOOKUP(VLOOKUP(A299,'Sales Order'!A:C,3,FALSE),Employee!A:B,2,FALSE),"Not Specified")</f>
        <v>Mr. Sven Buck</v>
      </c>
      <c r="I299">
        <f>IFERROR(VLOOKUP(VLOOKUP(A299,'Sales Order'!A:C,3,FALSE),Employee!A:J,10,FALSE),"Not Specified")</f>
        <v>0</v>
      </c>
      <c r="J299" t="str">
        <f>VLOOKUP(B299,Product!A:B,2,FALSE)</f>
        <v>Product WHBYK</v>
      </c>
      <c r="K299" t="str">
        <f>VLOOKUP(VLOOKUP(B299,Product!A:D,4,FALSE),Category!A:B,2,FALSE)</f>
        <v>Dairy Product</v>
      </c>
      <c r="L299" s="24">
        <f>IFERROR(VLOOKUP(A299,'Sales Order'!A:D,4,FALSE),"")</f>
        <v>39042</v>
      </c>
      <c r="M299" s="24">
        <f>IFERROR(VLOOKUP(A299,'Sales Order'!A:F,6,FALSE),"")</f>
        <v>39047</v>
      </c>
      <c r="N299" t="str">
        <f>IFERROR(VLOOKUP(VLOOKUP(A299,'Sales Order'!A:G,7,FALSE),Shipper!A:B,2,FALSE),"Not Specified")</f>
        <v>Shipper ZHISN</v>
      </c>
      <c r="O299" t="str">
        <f>IFERROR(VLOOKUP(A299,'Sales Order'!A:I,9,FALSE),"Not Specified")</f>
        <v>Ship to 72-C</v>
      </c>
      <c r="P299" t="str">
        <f>IFERROR(VLOOKUP(A299,'Sales Order'!A:N,14,FALSE),"Not Specified")</f>
        <v>UK</v>
      </c>
      <c r="Q299" t="str">
        <f>VLOOKUP(VLOOKUP(B299,Product!A:C,3,FALSE),Supplier!A:B,2,FALSE)</f>
        <v>Supplier OAVQT</v>
      </c>
      <c r="R299" t="str">
        <f>VLOOKUP(VLOOKUP(B299,Product!A:C,3,FALSE),Supplier!A:I,9,FALSE)</f>
        <v>France</v>
      </c>
      <c r="S299" t="str">
        <f>IFERROR(IF(VLOOKUP(A299,'Sales Order'!A:H,8,FALSE)&gt;100,"High Freight","Low Freight"),"Not Specified")</f>
        <v>High Freight</v>
      </c>
      <c r="T299">
        <f t="shared" si="9"/>
        <v>2067.1999999999998</v>
      </c>
    </row>
    <row r="300" spans="1:20">
      <c r="A300" s="9">
        <v>10360</v>
      </c>
      <c r="B300" s="6">
        <v>28</v>
      </c>
      <c r="C300" s="6">
        <v>36.4</v>
      </c>
      <c r="D300" s="6">
        <v>30</v>
      </c>
      <c r="E300" s="18">
        <v>0</v>
      </c>
      <c r="F300" s="6" t="str">
        <f>IFERROR(VLOOKUP(VLOOKUP(A300,'Sales Order'!A:B,2,FALSE),Customer!A:C,3,FALSE),"Not Specified")</f>
        <v>Bansal, Dushyant</v>
      </c>
      <c r="G300" s="6" t="str">
        <f t="shared" si="8"/>
        <v>Bansal Dushyant</v>
      </c>
      <c r="H300" s="22" t="str">
        <f>IFERROR(VLOOKUP(VLOOKUP(A300,'Sales Order'!A:C,3,FALSE),Employee!A:E,5,FALSE)&amp;" "&amp;VLOOKUP(VLOOKUP(A300,'Sales Order'!A:C,3,FALSE),Employee!A:C,3,FALSE)&amp;" "&amp;VLOOKUP(VLOOKUP(A300,'Sales Order'!A:C,3,FALSE),Employee!A:B,2,FALSE),"Not Specified")</f>
        <v>Mrs. Yael Peled</v>
      </c>
      <c r="I300" t="str">
        <f>IFERROR(VLOOKUP(VLOOKUP(A300,'Sales Order'!A:C,3,FALSE),Employee!A:J,10,FALSE),"Not Specified")</f>
        <v>WA</v>
      </c>
      <c r="J300" t="str">
        <f>VLOOKUP(B300,Product!A:B,2,FALSE)</f>
        <v>Product OFBNT</v>
      </c>
      <c r="K300" t="str">
        <f>VLOOKUP(VLOOKUP(B300,Product!A:D,4,FALSE),Category!A:B,2,FALSE)</f>
        <v>Produce</v>
      </c>
      <c r="L300" s="24">
        <f>IFERROR(VLOOKUP(A300,'Sales Order'!A:D,4,FALSE),"")</f>
        <v>39043</v>
      </c>
      <c r="M300" s="24">
        <f>IFERROR(VLOOKUP(A300,'Sales Order'!A:F,6,FALSE),"")</f>
        <v>39053</v>
      </c>
      <c r="N300" t="str">
        <f>IFERROR(VLOOKUP(VLOOKUP(A300,'Sales Order'!A:G,7,FALSE),Shipper!A:B,2,FALSE),"Not Specified")</f>
        <v>Shipper ZHISN</v>
      </c>
      <c r="O300" t="str">
        <f>IFERROR(VLOOKUP(A300,'Sales Order'!A:I,9,FALSE),"Not Specified")</f>
        <v>Ship to 7-C</v>
      </c>
      <c r="P300" t="str">
        <f>IFERROR(VLOOKUP(A300,'Sales Order'!A:N,14,FALSE),"Not Specified")</f>
        <v>France</v>
      </c>
      <c r="Q300" t="str">
        <f>VLOOKUP(VLOOKUP(B300,Product!A:C,3,FALSE),Supplier!A:B,2,FALSE)</f>
        <v>Supplier SVIYA</v>
      </c>
      <c r="R300" t="str">
        <f>VLOOKUP(VLOOKUP(B300,Product!A:C,3,FALSE),Supplier!A:I,9,FALSE)</f>
        <v>Germany</v>
      </c>
      <c r="S300" t="str">
        <f>IFERROR(IF(VLOOKUP(A300,'Sales Order'!A:H,8,FALSE)&gt;100,"High Freight","Low Freight"),"Not Specified")</f>
        <v>High Freight</v>
      </c>
      <c r="T300">
        <f t="shared" si="9"/>
        <v>1092</v>
      </c>
    </row>
    <row r="301" spans="1:20">
      <c r="A301" s="9">
        <v>10360</v>
      </c>
      <c r="B301" s="6">
        <v>29</v>
      </c>
      <c r="C301" s="6">
        <v>99</v>
      </c>
      <c r="D301" s="6">
        <v>35</v>
      </c>
      <c r="E301" s="18">
        <v>0</v>
      </c>
      <c r="F301" s="6" t="str">
        <f>IFERROR(VLOOKUP(VLOOKUP(A301,'Sales Order'!A:B,2,FALSE),Customer!A:C,3,FALSE),"Not Specified")</f>
        <v>Bansal, Dushyant</v>
      </c>
      <c r="G301" s="6" t="str">
        <f t="shared" si="8"/>
        <v>Bansal Dushyant</v>
      </c>
      <c r="H301" s="22" t="str">
        <f>IFERROR(VLOOKUP(VLOOKUP(A301,'Sales Order'!A:C,3,FALSE),Employee!A:E,5,FALSE)&amp;" "&amp;VLOOKUP(VLOOKUP(A301,'Sales Order'!A:C,3,FALSE),Employee!A:C,3,FALSE)&amp;" "&amp;VLOOKUP(VLOOKUP(A301,'Sales Order'!A:C,3,FALSE),Employee!A:B,2,FALSE),"Not Specified")</f>
        <v>Mrs. Yael Peled</v>
      </c>
      <c r="I301" t="str">
        <f>IFERROR(VLOOKUP(VLOOKUP(A301,'Sales Order'!A:C,3,FALSE),Employee!A:J,10,FALSE),"Not Specified")</f>
        <v>WA</v>
      </c>
      <c r="J301" t="str">
        <f>VLOOKUP(B301,Product!A:B,2,FALSE)</f>
        <v>Product VJXYN</v>
      </c>
      <c r="K301" t="str">
        <f>VLOOKUP(VLOOKUP(B301,Product!A:D,4,FALSE),Category!A:B,2,FALSE)</f>
        <v>Meat/Poultry</v>
      </c>
      <c r="L301" s="24">
        <f>IFERROR(VLOOKUP(A301,'Sales Order'!A:D,4,FALSE),"")</f>
        <v>39043</v>
      </c>
      <c r="M301" s="24">
        <f>IFERROR(VLOOKUP(A301,'Sales Order'!A:F,6,FALSE),"")</f>
        <v>39053</v>
      </c>
      <c r="N301" t="str">
        <f>IFERROR(VLOOKUP(VLOOKUP(A301,'Sales Order'!A:G,7,FALSE),Shipper!A:B,2,FALSE),"Not Specified")</f>
        <v>Shipper ZHISN</v>
      </c>
      <c r="O301" t="str">
        <f>IFERROR(VLOOKUP(A301,'Sales Order'!A:I,9,FALSE),"Not Specified")</f>
        <v>Ship to 7-C</v>
      </c>
      <c r="P301" t="str">
        <f>IFERROR(VLOOKUP(A301,'Sales Order'!A:N,14,FALSE),"Not Specified")</f>
        <v>France</v>
      </c>
      <c r="Q301" t="str">
        <f>VLOOKUP(VLOOKUP(B301,Product!A:C,3,FALSE),Supplier!A:B,2,FALSE)</f>
        <v>Supplier SVIYA</v>
      </c>
      <c r="R301" t="str">
        <f>VLOOKUP(VLOOKUP(B301,Product!A:C,3,FALSE),Supplier!A:I,9,FALSE)</f>
        <v>Germany</v>
      </c>
      <c r="S301" t="str">
        <f>IFERROR(IF(VLOOKUP(A301,'Sales Order'!A:H,8,FALSE)&gt;100,"High Freight","Low Freight"),"Not Specified")</f>
        <v>High Freight</v>
      </c>
      <c r="T301">
        <f t="shared" si="9"/>
        <v>3465</v>
      </c>
    </row>
    <row r="302" spans="1:20">
      <c r="A302" s="9">
        <v>10360</v>
      </c>
      <c r="B302" s="6">
        <v>38</v>
      </c>
      <c r="C302" s="6">
        <v>210.8</v>
      </c>
      <c r="D302" s="6">
        <v>10</v>
      </c>
      <c r="E302" s="18">
        <v>0</v>
      </c>
      <c r="F302" s="6" t="str">
        <f>IFERROR(VLOOKUP(VLOOKUP(A302,'Sales Order'!A:B,2,FALSE),Customer!A:C,3,FALSE),"Not Specified")</f>
        <v>Bansal, Dushyant</v>
      </c>
      <c r="G302" s="6" t="str">
        <f t="shared" si="8"/>
        <v>Bansal Dushyant</v>
      </c>
      <c r="H302" s="22" t="str">
        <f>IFERROR(VLOOKUP(VLOOKUP(A302,'Sales Order'!A:C,3,FALSE),Employee!A:E,5,FALSE)&amp;" "&amp;VLOOKUP(VLOOKUP(A302,'Sales Order'!A:C,3,FALSE),Employee!A:C,3,FALSE)&amp;" "&amp;VLOOKUP(VLOOKUP(A302,'Sales Order'!A:C,3,FALSE),Employee!A:B,2,FALSE),"Not Specified")</f>
        <v>Mrs. Yael Peled</v>
      </c>
      <c r="I302" t="str">
        <f>IFERROR(VLOOKUP(VLOOKUP(A302,'Sales Order'!A:C,3,FALSE),Employee!A:J,10,FALSE),"Not Specified")</f>
        <v>WA</v>
      </c>
      <c r="J302" t="str">
        <f>VLOOKUP(B302,Product!A:B,2,FALSE)</f>
        <v>Product QDOMO</v>
      </c>
      <c r="K302" t="str">
        <f>VLOOKUP(VLOOKUP(B302,Product!A:D,4,FALSE),Category!A:B,2,FALSE)</f>
        <v>Beverages</v>
      </c>
      <c r="L302" s="24">
        <f>IFERROR(VLOOKUP(A302,'Sales Order'!A:D,4,FALSE),"")</f>
        <v>39043</v>
      </c>
      <c r="M302" s="24">
        <f>IFERROR(VLOOKUP(A302,'Sales Order'!A:F,6,FALSE),"")</f>
        <v>39053</v>
      </c>
      <c r="N302" t="str">
        <f>IFERROR(VLOOKUP(VLOOKUP(A302,'Sales Order'!A:G,7,FALSE),Shipper!A:B,2,FALSE),"Not Specified")</f>
        <v>Shipper ZHISN</v>
      </c>
      <c r="O302" t="str">
        <f>IFERROR(VLOOKUP(A302,'Sales Order'!A:I,9,FALSE),"Not Specified")</f>
        <v>Ship to 7-C</v>
      </c>
      <c r="P302" t="str">
        <f>IFERROR(VLOOKUP(A302,'Sales Order'!A:N,14,FALSE),"Not Specified")</f>
        <v>France</v>
      </c>
      <c r="Q302" t="str">
        <f>VLOOKUP(VLOOKUP(B302,Product!A:C,3,FALSE),Supplier!A:B,2,FALSE)</f>
        <v>Supplier LVJUA</v>
      </c>
      <c r="R302" t="str">
        <f>VLOOKUP(VLOOKUP(B302,Product!A:C,3,FALSE),Supplier!A:I,9,FALSE)</f>
        <v>France</v>
      </c>
      <c r="S302" t="str">
        <f>IFERROR(IF(VLOOKUP(A302,'Sales Order'!A:H,8,FALSE)&gt;100,"High Freight","Low Freight"),"Not Specified")</f>
        <v>High Freight</v>
      </c>
      <c r="T302">
        <f t="shared" si="9"/>
        <v>2108</v>
      </c>
    </row>
    <row r="303" spans="1:20">
      <c r="A303" s="9">
        <v>10360</v>
      </c>
      <c r="B303" s="6">
        <v>49</v>
      </c>
      <c r="C303" s="6">
        <v>16</v>
      </c>
      <c r="D303" s="6">
        <v>35</v>
      </c>
      <c r="E303" s="18">
        <v>0</v>
      </c>
      <c r="F303" s="6" t="str">
        <f>IFERROR(VLOOKUP(VLOOKUP(A303,'Sales Order'!A:B,2,FALSE),Customer!A:C,3,FALSE),"Not Specified")</f>
        <v>Bansal, Dushyant</v>
      </c>
      <c r="G303" s="6" t="str">
        <f t="shared" si="8"/>
        <v>Bansal Dushyant</v>
      </c>
      <c r="H303" s="22" t="str">
        <f>IFERROR(VLOOKUP(VLOOKUP(A303,'Sales Order'!A:C,3,FALSE),Employee!A:E,5,FALSE)&amp;" "&amp;VLOOKUP(VLOOKUP(A303,'Sales Order'!A:C,3,FALSE),Employee!A:C,3,FALSE)&amp;" "&amp;VLOOKUP(VLOOKUP(A303,'Sales Order'!A:C,3,FALSE),Employee!A:B,2,FALSE),"Not Specified")</f>
        <v>Mrs. Yael Peled</v>
      </c>
      <c r="I303" t="str">
        <f>IFERROR(VLOOKUP(VLOOKUP(A303,'Sales Order'!A:C,3,FALSE),Employee!A:J,10,FALSE),"Not Specified")</f>
        <v>WA</v>
      </c>
      <c r="J303" t="str">
        <f>VLOOKUP(B303,Product!A:B,2,FALSE)</f>
        <v>Product FPYPN</v>
      </c>
      <c r="K303" t="str">
        <f>VLOOKUP(VLOOKUP(B303,Product!A:D,4,FALSE),Category!A:B,2,FALSE)</f>
        <v>Confections</v>
      </c>
      <c r="L303" s="24">
        <f>IFERROR(VLOOKUP(A303,'Sales Order'!A:D,4,FALSE),"")</f>
        <v>39043</v>
      </c>
      <c r="M303" s="24">
        <f>IFERROR(VLOOKUP(A303,'Sales Order'!A:F,6,FALSE),"")</f>
        <v>39053</v>
      </c>
      <c r="N303" t="str">
        <f>IFERROR(VLOOKUP(VLOOKUP(A303,'Sales Order'!A:G,7,FALSE),Shipper!A:B,2,FALSE),"Not Specified")</f>
        <v>Shipper ZHISN</v>
      </c>
      <c r="O303" t="str">
        <f>IFERROR(VLOOKUP(A303,'Sales Order'!A:I,9,FALSE),"Not Specified")</f>
        <v>Ship to 7-C</v>
      </c>
      <c r="P303" t="str">
        <f>IFERROR(VLOOKUP(A303,'Sales Order'!A:N,14,FALSE),"Not Specified")</f>
        <v>France</v>
      </c>
      <c r="Q303" t="str">
        <f>VLOOKUP(VLOOKUP(B303,Product!A:C,3,FALSE),Supplier!A:B,2,FALSE)</f>
        <v>Supplier ELCRN</v>
      </c>
      <c r="R303" t="str">
        <f>VLOOKUP(VLOOKUP(B303,Product!A:C,3,FALSE),Supplier!A:I,9,FALSE)</f>
        <v>Finland</v>
      </c>
      <c r="S303" t="str">
        <f>IFERROR(IF(VLOOKUP(A303,'Sales Order'!A:H,8,FALSE)&gt;100,"High Freight","Low Freight"),"Not Specified")</f>
        <v>High Freight</v>
      </c>
      <c r="T303">
        <f t="shared" si="9"/>
        <v>560</v>
      </c>
    </row>
    <row r="304" spans="1:20">
      <c r="A304" s="9">
        <v>10360</v>
      </c>
      <c r="B304" s="6">
        <v>54</v>
      </c>
      <c r="C304" s="6">
        <v>5.9</v>
      </c>
      <c r="D304" s="6">
        <v>28</v>
      </c>
      <c r="E304" s="18">
        <v>0</v>
      </c>
      <c r="F304" s="6" t="str">
        <f>IFERROR(VLOOKUP(VLOOKUP(A304,'Sales Order'!A:B,2,FALSE),Customer!A:C,3,FALSE),"Not Specified")</f>
        <v>Bansal, Dushyant</v>
      </c>
      <c r="G304" s="6" t="str">
        <f t="shared" si="8"/>
        <v>Bansal Dushyant</v>
      </c>
      <c r="H304" s="22" t="str">
        <f>IFERROR(VLOOKUP(VLOOKUP(A304,'Sales Order'!A:C,3,FALSE),Employee!A:E,5,FALSE)&amp;" "&amp;VLOOKUP(VLOOKUP(A304,'Sales Order'!A:C,3,FALSE),Employee!A:C,3,FALSE)&amp;" "&amp;VLOOKUP(VLOOKUP(A304,'Sales Order'!A:C,3,FALSE),Employee!A:B,2,FALSE),"Not Specified")</f>
        <v>Mrs. Yael Peled</v>
      </c>
      <c r="I304" t="str">
        <f>IFERROR(VLOOKUP(VLOOKUP(A304,'Sales Order'!A:C,3,FALSE),Employee!A:J,10,FALSE),"Not Specified")</f>
        <v>WA</v>
      </c>
      <c r="J304" t="str">
        <f>VLOOKUP(B304,Product!A:B,2,FALSE)</f>
        <v>Product QAQRL</v>
      </c>
      <c r="K304" t="str">
        <f>VLOOKUP(VLOOKUP(B304,Product!A:D,4,FALSE),Category!A:B,2,FALSE)</f>
        <v>Meat/Poultry</v>
      </c>
      <c r="L304" s="24">
        <f>IFERROR(VLOOKUP(A304,'Sales Order'!A:D,4,FALSE),"")</f>
        <v>39043</v>
      </c>
      <c r="M304" s="24">
        <f>IFERROR(VLOOKUP(A304,'Sales Order'!A:F,6,FALSE),"")</f>
        <v>39053</v>
      </c>
      <c r="N304" t="str">
        <f>IFERROR(VLOOKUP(VLOOKUP(A304,'Sales Order'!A:G,7,FALSE),Shipper!A:B,2,FALSE),"Not Specified")</f>
        <v>Shipper ZHISN</v>
      </c>
      <c r="O304" t="str">
        <f>IFERROR(VLOOKUP(A304,'Sales Order'!A:I,9,FALSE),"Not Specified")</f>
        <v>Ship to 7-C</v>
      </c>
      <c r="P304" t="str">
        <f>IFERROR(VLOOKUP(A304,'Sales Order'!A:N,14,FALSE),"Not Specified")</f>
        <v>France</v>
      </c>
      <c r="Q304" t="str">
        <f>VLOOKUP(VLOOKUP(B304,Product!A:C,3,FALSE),Supplier!A:B,2,FALSE)</f>
        <v>Supplier ERVYZ</v>
      </c>
      <c r="R304" t="str">
        <f>VLOOKUP(VLOOKUP(B304,Product!A:C,3,FALSE),Supplier!A:I,9,FALSE)</f>
        <v>Canada</v>
      </c>
      <c r="S304" t="str">
        <f>IFERROR(IF(VLOOKUP(A304,'Sales Order'!A:H,8,FALSE)&gt;100,"High Freight","Low Freight"),"Not Specified")</f>
        <v>High Freight</v>
      </c>
      <c r="T304">
        <f t="shared" si="9"/>
        <v>165.20000000000002</v>
      </c>
    </row>
    <row r="305" spans="1:20">
      <c r="A305" s="9">
        <v>10361</v>
      </c>
      <c r="B305" s="6">
        <v>39</v>
      </c>
      <c r="C305" s="6">
        <v>14.4</v>
      </c>
      <c r="D305" s="6">
        <v>54</v>
      </c>
      <c r="E305" s="18">
        <v>0.1</v>
      </c>
      <c r="F305" s="6" t="str">
        <f>IFERROR(VLOOKUP(VLOOKUP(A305,'Sales Order'!A:B,2,FALSE),Customer!A:C,3,FALSE),"Not Specified")</f>
        <v>Veronesi, Giorgio</v>
      </c>
      <c r="G305" s="6" t="str">
        <f t="shared" si="8"/>
        <v>Veronesi Giorgio</v>
      </c>
      <c r="H305" s="22" t="str">
        <f>IFERROR(VLOOKUP(VLOOKUP(A305,'Sales Order'!A:C,3,FALSE),Employee!A:E,5,FALSE)&amp;" "&amp;VLOOKUP(VLOOKUP(A305,'Sales Order'!A:C,3,FALSE),Employee!A:C,3,FALSE)&amp;" "&amp;VLOOKUP(VLOOKUP(A305,'Sales Order'!A:C,3,FALSE),Employee!A:B,2,FALSE),"Not Specified")</f>
        <v>Ms. Sara Davis</v>
      </c>
      <c r="I305" t="str">
        <f>IFERROR(VLOOKUP(VLOOKUP(A305,'Sales Order'!A:C,3,FALSE),Employee!A:J,10,FALSE),"Not Specified")</f>
        <v>WA</v>
      </c>
      <c r="J305" t="str">
        <f>VLOOKUP(B305,Product!A:B,2,FALSE)</f>
        <v>Product LSOFL</v>
      </c>
      <c r="K305" t="str">
        <f>VLOOKUP(VLOOKUP(B305,Product!A:D,4,FALSE),Category!A:B,2,FALSE)</f>
        <v>Beverages</v>
      </c>
      <c r="L305" s="24">
        <f>IFERROR(VLOOKUP(A305,'Sales Order'!A:D,4,FALSE),"")</f>
        <v>39043</v>
      </c>
      <c r="M305" s="24">
        <f>IFERROR(VLOOKUP(A305,'Sales Order'!A:F,6,FALSE),"")</f>
        <v>39054</v>
      </c>
      <c r="N305" t="str">
        <f>IFERROR(VLOOKUP(VLOOKUP(A305,'Sales Order'!A:G,7,FALSE),Shipper!A:B,2,FALSE),"Not Specified")</f>
        <v>Shipper ETYNR</v>
      </c>
      <c r="O305" t="str">
        <f>IFERROR(VLOOKUP(A305,'Sales Order'!A:I,9,FALSE),"Not Specified")</f>
        <v>Ship to 63-C</v>
      </c>
      <c r="P305" t="str">
        <f>IFERROR(VLOOKUP(A305,'Sales Order'!A:N,14,FALSE),"Not Specified")</f>
        <v>Germany</v>
      </c>
      <c r="Q305" t="str">
        <f>VLOOKUP(VLOOKUP(B305,Product!A:C,3,FALSE),Supplier!A:B,2,FALSE)</f>
        <v>Supplier LVJUA</v>
      </c>
      <c r="R305" t="str">
        <f>VLOOKUP(VLOOKUP(B305,Product!A:C,3,FALSE),Supplier!A:I,9,FALSE)</f>
        <v>France</v>
      </c>
      <c r="S305" t="str">
        <f>IFERROR(IF(VLOOKUP(A305,'Sales Order'!A:H,8,FALSE)&gt;100,"High Freight","Low Freight"),"Not Specified")</f>
        <v>High Freight</v>
      </c>
      <c r="T305">
        <f t="shared" si="9"/>
        <v>699.84</v>
      </c>
    </row>
    <row r="306" spans="1:20">
      <c r="A306" s="9">
        <v>10361</v>
      </c>
      <c r="B306" s="6">
        <v>60</v>
      </c>
      <c r="C306" s="6">
        <v>27.2</v>
      </c>
      <c r="D306" s="6">
        <v>55</v>
      </c>
      <c r="E306" s="18">
        <v>0.1</v>
      </c>
      <c r="F306" s="6" t="str">
        <f>IFERROR(VLOOKUP(VLOOKUP(A306,'Sales Order'!A:B,2,FALSE),Customer!A:C,3,FALSE),"Not Specified")</f>
        <v>Veronesi, Giorgio</v>
      </c>
      <c r="G306" s="6" t="str">
        <f t="shared" si="8"/>
        <v>Veronesi Giorgio</v>
      </c>
      <c r="H306" s="22" t="str">
        <f>IFERROR(VLOOKUP(VLOOKUP(A306,'Sales Order'!A:C,3,FALSE),Employee!A:E,5,FALSE)&amp;" "&amp;VLOOKUP(VLOOKUP(A306,'Sales Order'!A:C,3,FALSE),Employee!A:C,3,FALSE)&amp;" "&amp;VLOOKUP(VLOOKUP(A306,'Sales Order'!A:C,3,FALSE),Employee!A:B,2,FALSE),"Not Specified")</f>
        <v>Ms. Sara Davis</v>
      </c>
      <c r="I306" t="str">
        <f>IFERROR(VLOOKUP(VLOOKUP(A306,'Sales Order'!A:C,3,FALSE),Employee!A:J,10,FALSE),"Not Specified")</f>
        <v>WA</v>
      </c>
      <c r="J306" t="str">
        <f>VLOOKUP(B306,Product!A:B,2,FALSE)</f>
        <v>Product WHBYK</v>
      </c>
      <c r="K306" t="str">
        <f>VLOOKUP(VLOOKUP(B306,Product!A:D,4,FALSE),Category!A:B,2,FALSE)</f>
        <v>Dairy Product</v>
      </c>
      <c r="L306" s="24">
        <f>IFERROR(VLOOKUP(A306,'Sales Order'!A:D,4,FALSE),"")</f>
        <v>39043</v>
      </c>
      <c r="M306" s="24">
        <f>IFERROR(VLOOKUP(A306,'Sales Order'!A:F,6,FALSE),"")</f>
        <v>39054</v>
      </c>
      <c r="N306" t="str">
        <f>IFERROR(VLOOKUP(VLOOKUP(A306,'Sales Order'!A:G,7,FALSE),Shipper!A:B,2,FALSE),"Not Specified")</f>
        <v>Shipper ETYNR</v>
      </c>
      <c r="O306" t="str">
        <f>IFERROR(VLOOKUP(A306,'Sales Order'!A:I,9,FALSE),"Not Specified")</f>
        <v>Ship to 63-C</v>
      </c>
      <c r="P306" t="str">
        <f>IFERROR(VLOOKUP(A306,'Sales Order'!A:N,14,FALSE),"Not Specified")</f>
        <v>Germany</v>
      </c>
      <c r="Q306" t="str">
        <f>VLOOKUP(VLOOKUP(B306,Product!A:C,3,FALSE),Supplier!A:B,2,FALSE)</f>
        <v>Supplier OAVQT</v>
      </c>
      <c r="R306" t="str">
        <f>VLOOKUP(VLOOKUP(B306,Product!A:C,3,FALSE),Supplier!A:I,9,FALSE)</f>
        <v>France</v>
      </c>
      <c r="S306" t="str">
        <f>IFERROR(IF(VLOOKUP(A306,'Sales Order'!A:H,8,FALSE)&gt;100,"High Freight","Low Freight"),"Not Specified")</f>
        <v>High Freight</v>
      </c>
      <c r="T306">
        <f t="shared" si="9"/>
        <v>1346.4</v>
      </c>
    </row>
    <row r="307" spans="1:20">
      <c r="A307" s="9">
        <v>10362</v>
      </c>
      <c r="B307" s="6">
        <v>25</v>
      </c>
      <c r="C307" s="6">
        <v>11.2</v>
      </c>
      <c r="D307" s="6">
        <v>50</v>
      </c>
      <c r="E307" s="18">
        <v>0</v>
      </c>
      <c r="F307" s="6" t="str">
        <f>IFERROR(VLOOKUP(VLOOKUP(A307,'Sales Order'!A:B,2,FALSE),Customer!A:C,3,FALSE),"Not Specified")</f>
        <v>Raghav, Amritansh</v>
      </c>
      <c r="G307" s="6" t="str">
        <f t="shared" si="8"/>
        <v>Raghav Amritansh</v>
      </c>
      <c r="H307" s="22" t="str">
        <f>IFERROR(VLOOKUP(VLOOKUP(A307,'Sales Order'!A:C,3,FALSE),Employee!A:E,5,FALSE)&amp;" "&amp;VLOOKUP(VLOOKUP(A307,'Sales Order'!A:C,3,FALSE),Employee!A:C,3,FALSE)&amp;" "&amp;VLOOKUP(VLOOKUP(A307,'Sales Order'!A:C,3,FALSE),Employee!A:B,2,FALSE),"Not Specified")</f>
        <v>Ms. Judy Lew</v>
      </c>
      <c r="I307" t="str">
        <f>IFERROR(VLOOKUP(VLOOKUP(A307,'Sales Order'!A:C,3,FALSE),Employee!A:J,10,FALSE),"Not Specified")</f>
        <v>WA</v>
      </c>
      <c r="J307" t="str">
        <f>VLOOKUP(B307,Product!A:B,2,FALSE)</f>
        <v>Product LYLNI</v>
      </c>
      <c r="K307" t="str">
        <f>VLOOKUP(VLOOKUP(B307,Product!A:D,4,FALSE),Category!A:B,2,FALSE)</f>
        <v>Confections</v>
      </c>
      <c r="L307" s="24">
        <f>IFERROR(VLOOKUP(A307,'Sales Order'!A:D,4,FALSE),"")</f>
        <v>39046</v>
      </c>
      <c r="M307" s="24">
        <f>IFERROR(VLOOKUP(A307,'Sales Order'!A:F,6,FALSE),"")</f>
        <v>39049</v>
      </c>
      <c r="N307" t="str">
        <f>IFERROR(VLOOKUP(VLOOKUP(A307,'Sales Order'!A:G,7,FALSE),Shipper!A:B,2,FALSE),"Not Specified")</f>
        <v>Shipper GVSUA</v>
      </c>
      <c r="O307" t="str">
        <f>IFERROR(VLOOKUP(A307,'Sales Order'!A:I,9,FALSE),"Not Specified")</f>
        <v>Ship to 9-B</v>
      </c>
      <c r="P307" t="str">
        <f>IFERROR(VLOOKUP(A307,'Sales Order'!A:N,14,FALSE),"Not Specified")</f>
        <v>France</v>
      </c>
      <c r="Q307" t="str">
        <f>VLOOKUP(VLOOKUP(B307,Product!A:C,3,FALSE),Supplier!A:B,2,FALSE)</f>
        <v>Supplier ZPYVS</v>
      </c>
      <c r="R307" t="str">
        <f>VLOOKUP(VLOOKUP(B307,Product!A:C,3,FALSE),Supplier!A:I,9,FALSE)</f>
        <v>Germany</v>
      </c>
      <c r="S307" t="str">
        <f>IFERROR(IF(VLOOKUP(A307,'Sales Order'!A:H,8,FALSE)&gt;100,"High Freight","Low Freight"),"Not Specified")</f>
        <v>Low Freight</v>
      </c>
      <c r="T307">
        <f t="shared" si="9"/>
        <v>560</v>
      </c>
    </row>
    <row r="308" spans="1:20">
      <c r="A308" s="9">
        <v>10362</v>
      </c>
      <c r="B308" s="6">
        <v>51</v>
      </c>
      <c r="C308" s="6">
        <v>42.4</v>
      </c>
      <c r="D308" s="6">
        <v>20</v>
      </c>
      <c r="E308" s="18">
        <v>0</v>
      </c>
      <c r="F308" s="6" t="str">
        <f>IFERROR(VLOOKUP(VLOOKUP(A308,'Sales Order'!A:B,2,FALSE),Customer!A:C,3,FALSE),"Not Specified")</f>
        <v>Raghav, Amritansh</v>
      </c>
      <c r="G308" s="6" t="str">
        <f t="shared" si="8"/>
        <v>Raghav Amritansh</v>
      </c>
      <c r="H308" s="22" t="str">
        <f>IFERROR(VLOOKUP(VLOOKUP(A308,'Sales Order'!A:C,3,FALSE),Employee!A:E,5,FALSE)&amp;" "&amp;VLOOKUP(VLOOKUP(A308,'Sales Order'!A:C,3,FALSE),Employee!A:C,3,FALSE)&amp;" "&amp;VLOOKUP(VLOOKUP(A308,'Sales Order'!A:C,3,FALSE),Employee!A:B,2,FALSE),"Not Specified")</f>
        <v>Ms. Judy Lew</v>
      </c>
      <c r="I308" t="str">
        <f>IFERROR(VLOOKUP(VLOOKUP(A308,'Sales Order'!A:C,3,FALSE),Employee!A:J,10,FALSE),"Not Specified")</f>
        <v>WA</v>
      </c>
      <c r="J308" t="str">
        <f>VLOOKUP(B308,Product!A:B,2,FALSE)</f>
        <v>Product APITJ</v>
      </c>
      <c r="K308" t="str">
        <f>VLOOKUP(VLOOKUP(B308,Product!A:D,4,FALSE),Category!A:B,2,FALSE)</f>
        <v>Produce</v>
      </c>
      <c r="L308" s="24">
        <f>IFERROR(VLOOKUP(A308,'Sales Order'!A:D,4,FALSE),"")</f>
        <v>39046</v>
      </c>
      <c r="M308" s="24">
        <f>IFERROR(VLOOKUP(A308,'Sales Order'!A:F,6,FALSE),"")</f>
        <v>39049</v>
      </c>
      <c r="N308" t="str">
        <f>IFERROR(VLOOKUP(VLOOKUP(A308,'Sales Order'!A:G,7,FALSE),Shipper!A:B,2,FALSE),"Not Specified")</f>
        <v>Shipper GVSUA</v>
      </c>
      <c r="O308" t="str">
        <f>IFERROR(VLOOKUP(A308,'Sales Order'!A:I,9,FALSE),"Not Specified")</f>
        <v>Ship to 9-B</v>
      </c>
      <c r="P308" t="str">
        <f>IFERROR(VLOOKUP(A308,'Sales Order'!A:N,14,FALSE),"Not Specified")</f>
        <v>France</v>
      </c>
      <c r="Q308" t="str">
        <f>VLOOKUP(VLOOKUP(B308,Product!A:C,3,FALSE),Supplier!A:B,2,FALSE)</f>
        <v>Supplier JNNES</v>
      </c>
      <c r="R308" t="str">
        <f>VLOOKUP(VLOOKUP(B308,Product!A:C,3,FALSE),Supplier!A:I,9,FALSE)</f>
        <v>Australia</v>
      </c>
      <c r="S308" t="str">
        <f>IFERROR(IF(VLOOKUP(A308,'Sales Order'!A:H,8,FALSE)&gt;100,"High Freight","Low Freight"),"Not Specified")</f>
        <v>Low Freight</v>
      </c>
      <c r="T308">
        <f t="shared" si="9"/>
        <v>848</v>
      </c>
    </row>
    <row r="309" spans="1:20">
      <c r="A309" s="9">
        <v>10362</v>
      </c>
      <c r="B309" s="6">
        <v>54</v>
      </c>
      <c r="C309" s="6">
        <v>5.9</v>
      </c>
      <c r="D309" s="6">
        <v>24</v>
      </c>
      <c r="E309" s="18">
        <v>0</v>
      </c>
      <c r="F309" s="6" t="str">
        <f>IFERROR(VLOOKUP(VLOOKUP(A309,'Sales Order'!A:B,2,FALSE),Customer!A:C,3,FALSE),"Not Specified")</f>
        <v>Raghav, Amritansh</v>
      </c>
      <c r="G309" s="6" t="str">
        <f t="shared" si="8"/>
        <v>Raghav Amritansh</v>
      </c>
      <c r="H309" s="22" t="str">
        <f>IFERROR(VLOOKUP(VLOOKUP(A309,'Sales Order'!A:C,3,FALSE),Employee!A:E,5,FALSE)&amp;" "&amp;VLOOKUP(VLOOKUP(A309,'Sales Order'!A:C,3,FALSE),Employee!A:C,3,FALSE)&amp;" "&amp;VLOOKUP(VLOOKUP(A309,'Sales Order'!A:C,3,FALSE),Employee!A:B,2,FALSE),"Not Specified")</f>
        <v>Ms. Judy Lew</v>
      </c>
      <c r="I309" t="str">
        <f>IFERROR(VLOOKUP(VLOOKUP(A309,'Sales Order'!A:C,3,FALSE),Employee!A:J,10,FALSE),"Not Specified")</f>
        <v>WA</v>
      </c>
      <c r="J309" t="str">
        <f>VLOOKUP(B309,Product!A:B,2,FALSE)</f>
        <v>Product QAQRL</v>
      </c>
      <c r="K309" t="str">
        <f>VLOOKUP(VLOOKUP(B309,Product!A:D,4,FALSE),Category!A:B,2,FALSE)</f>
        <v>Meat/Poultry</v>
      </c>
      <c r="L309" s="24">
        <f>IFERROR(VLOOKUP(A309,'Sales Order'!A:D,4,FALSE),"")</f>
        <v>39046</v>
      </c>
      <c r="M309" s="24">
        <f>IFERROR(VLOOKUP(A309,'Sales Order'!A:F,6,FALSE),"")</f>
        <v>39049</v>
      </c>
      <c r="N309" t="str">
        <f>IFERROR(VLOOKUP(VLOOKUP(A309,'Sales Order'!A:G,7,FALSE),Shipper!A:B,2,FALSE),"Not Specified")</f>
        <v>Shipper GVSUA</v>
      </c>
      <c r="O309" t="str">
        <f>IFERROR(VLOOKUP(A309,'Sales Order'!A:I,9,FALSE),"Not Specified")</f>
        <v>Ship to 9-B</v>
      </c>
      <c r="P309" t="str">
        <f>IFERROR(VLOOKUP(A309,'Sales Order'!A:N,14,FALSE),"Not Specified")</f>
        <v>France</v>
      </c>
      <c r="Q309" t="str">
        <f>VLOOKUP(VLOOKUP(B309,Product!A:C,3,FALSE),Supplier!A:B,2,FALSE)</f>
        <v>Supplier ERVYZ</v>
      </c>
      <c r="R309" t="str">
        <f>VLOOKUP(VLOOKUP(B309,Product!A:C,3,FALSE),Supplier!A:I,9,FALSE)</f>
        <v>Canada</v>
      </c>
      <c r="S309" t="str">
        <f>IFERROR(IF(VLOOKUP(A309,'Sales Order'!A:H,8,FALSE)&gt;100,"High Freight","Low Freight"),"Not Specified")</f>
        <v>Low Freight</v>
      </c>
      <c r="T309">
        <f t="shared" si="9"/>
        <v>141.60000000000002</v>
      </c>
    </row>
    <row r="310" spans="1:20">
      <c r="A310" s="9">
        <v>10363</v>
      </c>
      <c r="B310" s="6">
        <v>31</v>
      </c>
      <c r="C310" s="6">
        <v>10</v>
      </c>
      <c r="D310" s="6">
        <v>20</v>
      </c>
      <c r="E310" s="18">
        <v>0</v>
      </c>
      <c r="F310" s="6" t="str">
        <f>IFERROR(VLOOKUP(VLOOKUP(A310,'Sales Order'!A:B,2,FALSE),Customer!A:C,3,FALSE),"Not Specified")</f>
        <v>Jones, TiAnna</v>
      </c>
      <c r="G310" s="6" t="str">
        <f t="shared" si="8"/>
        <v>Jones TiAnna</v>
      </c>
      <c r="H310" s="22" t="str">
        <f>IFERROR(VLOOKUP(VLOOKUP(A310,'Sales Order'!A:C,3,FALSE),Employee!A:E,5,FALSE)&amp;" "&amp;VLOOKUP(VLOOKUP(A310,'Sales Order'!A:C,3,FALSE),Employee!A:C,3,FALSE)&amp;" "&amp;VLOOKUP(VLOOKUP(A310,'Sales Order'!A:C,3,FALSE),Employee!A:B,2,FALSE),"Not Specified")</f>
        <v>Mrs. Yael Peled</v>
      </c>
      <c r="I310" t="str">
        <f>IFERROR(VLOOKUP(VLOOKUP(A310,'Sales Order'!A:C,3,FALSE),Employee!A:J,10,FALSE),"Not Specified")</f>
        <v>WA</v>
      </c>
      <c r="J310" t="str">
        <f>VLOOKUP(B310,Product!A:B,2,FALSE)</f>
        <v>Product XWOXC</v>
      </c>
      <c r="K310" t="str">
        <f>VLOOKUP(VLOOKUP(B310,Product!A:D,4,FALSE),Category!A:B,2,FALSE)</f>
        <v>Dairy Product</v>
      </c>
      <c r="L310" s="24">
        <f>IFERROR(VLOOKUP(A310,'Sales Order'!A:D,4,FALSE),"")</f>
        <v>39047</v>
      </c>
      <c r="M310" s="24">
        <f>IFERROR(VLOOKUP(A310,'Sales Order'!A:F,6,FALSE),"")</f>
        <v>39055</v>
      </c>
      <c r="N310" t="str">
        <f>IFERROR(VLOOKUP(VLOOKUP(A310,'Sales Order'!A:G,7,FALSE),Shipper!A:B,2,FALSE),"Not Specified")</f>
        <v>Shipper ZHISN</v>
      </c>
      <c r="O310" t="str">
        <f>IFERROR(VLOOKUP(A310,'Sales Order'!A:I,9,FALSE),"Not Specified")</f>
        <v>Destination BJCXA</v>
      </c>
      <c r="P310" t="str">
        <f>IFERROR(VLOOKUP(A310,'Sales Order'!A:N,14,FALSE),"Not Specified")</f>
        <v>Germany</v>
      </c>
      <c r="Q310" t="str">
        <f>VLOOKUP(VLOOKUP(B310,Product!A:C,3,FALSE),Supplier!A:B,2,FALSE)</f>
        <v>Supplier KEREV</v>
      </c>
      <c r="R310" t="str">
        <f>VLOOKUP(VLOOKUP(B310,Product!A:C,3,FALSE),Supplier!A:I,9,FALSE)</f>
        <v>Italy</v>
      </c>
      <c r="S310" t="str">
        <f>IFERROR(IF(VLOOKUP(A310,'Sales Order'!A:H,8,FALSE)&gt;100,"High Freight","Low Freight"),"Not Specified")</f>
        <v>Low Freight</v>
      </c>
      <c r="T310">
        <f t="shared" si="9"/>
        <v>200</v>
      </c>
    </row>
    <row r="311" spans="1:20">
      <c r="A311" s="9">
        <v>10363</v>
      </c>
      <c r="B311" s="6">
        <v>75</v>
      </c>
      <c r="C311" s="6">
        <v>6.2</v>
      </c>
      <c r="D311" s="6">
        <v>12</v>
      </c>
      <c r="E311" s="18">
        <v>0</v>
      </c>
      <c r="F311" s="6" t="str">
        <f>IFERROR(VLOOKUP(VLOOKUP(A311,'Sales Order'!A:B,2,FALSE),Customer!A:C,3,FALSE),"Not Specified")</f>
        <v>Jones, TiAnna</v>
      </c>
      <c r="G311" s="6" t="str">
        <f t="shared" si="8"/>
        <v>Jones TiAnna</v>
      </c>
      <c r="H311" s="22" t="str">
        <f>IFERROR(VLOOKUP(VLOOKUP(A311,'Sales Order'!A:C,3,FALSE),Employee!A:E,5,FALSE)&amp;" "&amp;VLOOKUP(VLOOKUP(A311,'Sales Order'!A:C,3,FALSE),Employee!A:C,3,FALSE)&amp;" "&amp;VLOOKUP(VLOOKUP(A311,'Sales Order'!A:C,3,FALSE),Employee!A:B,2,FALSE),"Not Specified")</f>
        <v>Mrs. Yael Peled</v>
      </c>
      <c r="I311" t="str">
        <f>IFERROR(VLOOKUP(VLOOKUP(A311,'Sales Order'!A:C,3,FALSE),Employee!A:J,10,FALSE),"Not Specified")</f>
        <v>WA</v>
      </c>
      <c r="J311" t="str">
        <f>VLOOKUP(B311,Product!A:B,2,FALSE)</f>
        <v>Product BWRLG</v>
      </c>
      <c r="K311" t="str">
        <f>VLOOKUP(VLOOKUP(B311,Product!A:D,4,FALSE),Category!A:B,2,FALSE)</f>
        <v>Beverages</v>
      </c>
      <c r="L311" s="24">
        <f>IFERROR(VLOOKUP(A311,'Sales Order'!A:D,4,FALSE),"")</f>
        <v>39047</v>
      </c>
      <c r="M311" s="24">
        <f>IFERROR(VLOOKUP(A311,'Sales Order'!A:F,6,FALSE),"")</f>
        <v>39055</v>
      </c>
      <c r="N311" t="str">
        <f>IFERROR(VLOOKUP(VLOOKUP(A311,'Sales Order'!A:G,7,FALSE),Shipper!A:B,2,FALSE),"Not Specified")</f>
        <v>Shipper ZHISN</v>
      </c>
      <c r="O311" t="str">
        <f>IFERROR(VLOOKUP(A311,'Sales Order'!A:I,9,FALSE),"Not Specified")</f>
        <v>Destination BJCXA</v>
      </c>
      <c r="P311" t="str">
        <f>IFERROR(VLOOKUP(A311,'Sales Order'!A:N,14,FALSE),"Not Specified")</f>
        <v>Germany</v>
      </c>
      <c r="Q311" t="str">
        <f>VLOOKUP(VLOOKUP(B311,Product!A:C,3,FALSE),Supplier!A:B,2,FALSE)</f>
        <v>Supplier SVIYA</v>
      </c>
      <c r="R311" t="str">
        <f>VLOOKUP(VLOOKUP(B311,Product!A:C,3,FALSE),Supplier!A:I,9,FALSE)</f>
        <v>Germany</v>
      </c>
      <c r="S311" t="str">
        <f>IFERROR(IF(VLOOKUP(A311,'Sales Order'!A:H,8,FALSE)&gt;100,"High Freight","Low Freight"),"Not Specified")</f>
        <v>Low Freight</v>
      </c>
      <c r="T311">
        <f t="shared" si="9"/>
        <v>74.400000000000006</v>
      </c>
    </row>
    <row r="312" spans="1:20">
      <c r="A312" s="9">
        <v>10363</v>
      </c>
      <c r="B312" s="6">
        <v>76</v>
      </c>
      <c r="C312" s="6">
        <v>14.4</v>
      </c>
      <c r="D312" s="6">
        <v>12</v>
      </c>
      <c r="E312" s="18">
        <v>0</v>
      </c>
      <c r="F312" s="6" t="str">
        <f>IFERROR(VLOOKUP(VLOOKUP(A312,'Sales Order'!A:B,2,FALSE),Customer!A:C,3,FALSE),"Not Specified")</f>
        <v>Jones, TiAnna</v>
      </c>
      <c r="G312" s="6" t="str">
        <f t="shared" si="8"/>
        <v>Jones TiAnna</v>
      </c>
      <c r="H312" s="22" t="str">
        <f>IFERROR(VLOOKUP(VLOOKUP(A312,'Sales Order'!A:C,3,FALSE),Employee!A:E,5,FALSE)&amp;" "&amp;VLOOKUP(VLOOKUP(A312,'Sales Order'!A:C,3,FALSE),Employee!A:C,3,FALSE)&amp;" "&amp;VLOOKUP(VLOOKUP(A312,'Sales Order'!A:C,3,FALSE),Employee!A:B,2,FALSE),"Not Specified")</f>
        <v>Mrs. Yael Peled</v>
      </c>
      <c r="I312" t="str">
        <f>IFERROR(VLOOKUP(VLOOKUP(A312,'Sales Order'!A:C,3,FALSE),Employee!A:J,10,FALSE),"Not Specified")</f>
        <v>WA</v>
      </c>
      <c r="J312" t="str">
        <f>VLOOKUP(B312,Product!A:B,2,FALSE)</f>
        <v>Product JYGFE</v>
      </c>
      <c r="K312" t="str">
        <f>VLOOKUP(VLOOKUP(B312,Product!A:D,4,FALSE),Category!A:B,2,FALSE)</f>
        <v>Beverages</v>
      </c>
      <c r="L312" s="24">
        <f>IFERROR(VLOOKUP(A312,'Sales Order'!A:D,4,FALSE),"")</f>
        <v>39047</v>
      </c>
      <c r="M312" s="24">
        <f>IFERROR(VLOOKUP(A312,'Sales Order'!A:F,6,FALSE),"")</f>
        <v>39055</v>
      </c>
      <c r="N312" t="str">
        <f>IFERROR(VLOOKUP(VLOOKUP(A312,'Sales Order'!A:G,7,FALSE),Shipper!A:B,2,FALSE),"Not Specified")</f>
        <v>Shipper ZHISN</v>
      </c>
      <c r="O312" t="str">
        <f>IFERROR(VLOOKUP(A312,'Sales Order'!A:I,9,FALSE),"Not Specified")</f>
        <v>Destination BJCXA</v>
      </c>
      <c r="P312" t="str">
        <f>IFERROR(VLOOKUP(A312,'Sales Order'!A:N,14,FALSE),"Not Specified")</f>
        <v>Germany</v>
      </c>
      <c r="Q312" t="str">
        <f>VLOOKUP(VLOOKUP(B312,Product!A:C,3,FALSE),Supplier!A:B,2,FALSE)</f>
        <v>Supplier ELCRN</v>
      </c>
      <c r="R312" t="str">
        <f>VLOOKUP(VLOOKUP(B312,Product!A:C,3,FALSE),Supplier!A:I,9,FALSE)</f>
        <v>Finland</v>
      </c>
      <c r="S312" t="str">
        <f>IFERROR(IF(VLOOKUP(A312,'Sales Order'!A:H,8,FALSE)&gt;100,"High Freight","Low Freight"),"Not Specified")</f>
        <v>Low Freight</v>
      </c>
      <c r="T312">
        <f t="shared" si="9"/>
        <v>172.8</v>
      </c>
    </row>
    <row r="313" spans="1:20">
      <c r="A313" s="9">
        <v>10364</v>
      </c>
      <c r="B313" s="6">
        <v>69</v>
      </c>
      <c r="C313" s="6">
        <v>28.8</v>
      </c>
      <c r="D313" s="6">
        <v>30</v>
      </c>
      <c r="E313" s="18">
        <v>0</v>
      </c>
      <c r="F313" s="6" t="str">
        <f>IFERROR(VLOOKUP(VLOOKUP(A313,'Sales Order'!A:B,2,FALSE),Customer!A:C,3,FALSE),"Not Specified")</f>
        <v>Boseman, Randall</v>
      </c>
      <c r="G313" s="6" t="str">
        <f t="shared" si="8"/>
        <v>Boseman Randall</v>
      </c>
      <c r="H313" s="22" t="str">
        <f>IFERROR(VLOOKUP(VLOOKUP(A313,'Sales Order'!A:C,3,FALSE),Employee!A:E,5,FALSE)&amp;" "&amp;VLOOKUP(VLOOKUP(A313,'Sales Order'!A:C,3,FALSE),Employee!A:C,3,FALSE)&amp;" "&amp;VLOOKUP(VLOOKUP(A313,'Sales Order'!A:C,3,FALSE),Employee!A:B,2,FALSE),"Not Specified")</f>
        <v>Ms. Sara Davis</v>
      </c>
      <c r="I313" t="str">
        <f>IFERROR(VLOOKUP(VLOOKUP(A313,'Sales Order'!A:C,3,FALSE),Employee!A:J,10,FALSE),"Not Specified")</f>
        <v>WA</v>
      </c>
      <c r="J313" t="str">
        <f>VLOOKUP(B313,Product!A:B,2,FALSE)</f>
        <v>Product COAXA</v>
      </c>
      <c r="K313" t="str">
        <f>VLOOKUP(VLOOKUP(B313,Product!A:D,4,FALSE),Category!A:B,2,FALSE)</f>
        <v>Dairy Product</v>
      </c>
      <c r="L313" s="24">
        <f>IFERROR(VLOOKUP(A313,'Sales Order'!A:D,4,FALSE),"")</f>
        <v>39047</v>
      </c>
      <c r="M313" s="24">
        <f>IFERROR(VLOOKUP(A313,'Sales Order'!A:F,6,FALSE),"")</f>
        <v>39055</v>
      </c>
      <c r="N313" t="str">
        <f>IFERROR(VLOOKUP(VLOOKUP(A313,'Sales Order'!A:G,7,FALSE),Shipper!A:B,2,FALSE),"Not Specified")</f>
        <v>Shipper GVSUA</v>
      </c>
      <c r="O313" t="str">
        <f>IFERROR(VLOOKUP(A313,'Sales Order'!A:I,9,FALSE),"Not Specified")</f>
        <v>Destination QTKCU</v>
      </c>
      <c r="P313" t="str">
        <f>IFERROR(VLOOKUP(A313,'Sales Order'!A:N,14,FALSE),"Not Specified")</f>
        <v>UK</v>
      </c>
      <c r="Q313" t="str">
        <f>VLOOKUP(VLOOKUP(B313,Product!A:C,3,FALSE),Supplier!A:B,2,FALSE)</f>
        <v>Supplier NZLIF</v>
      </c>
      <c r="R313" t="str">
        <f>VLOOKUP(VLOOKUP(B313,Product!A:C,3,FALSE),Supplier!A:I,9,FALSE)</f>
        <v>Norway</v>
      </c>
      <c r="S313" t="str">
        <f>IFERROR(IF(VLOOKUP(A313,'Sales Order'!A:H,8,FALSE)&gt;100,"High Freight","Low Freight"),"Not Specified")</f>
        <v>Low Freight</v>
      </c>
      <c r="T313">
        <f t="shared" si="9"/>
        <v>864</v>
      </c>
    </row>
    <row r="314" spans="1:20">
      <c r="A314" s="9">
        <v>10364</v>
      </c>
      <c r="B314" s="6">
        <v>71</v>
      </c>
      <c r="C314" s="6">
        <v>17.2</v>
      </c>
      <c r="D314" s="6">
        <v>5</v>
      </c>
      <c r="E314" s="18">
        <v>0</v>
      </c>
      <c r="F314" s="6" t="str">
        <f>IFERROR(VLOOKUP(VLOOKUP(A314,'Sales Order'!A:B,2,FALSE),Customer!A:C,3,FALSE),"Not Specified")</f>
        <v>Boseman, Randall</v>
      </c>
      <c r="G314" s="6" t="str">
        <f t="shared" si="8"/>
        <v>Boseman Randall</v>
      </c>
      <c r="H314" s="22" t="str">
        <f>IFERROR(VLOOKUP(VLOOKUP(A314,'Sales Order'!A:C,3,FALSE),Employee!A:E,5,FALSE)&amp;" "&amp;VLOOKUP(VLOOKUP(A314,'Sales Order'!A:C,3,FALSE),Employee!A:C,3,FALSE)&amp;" "&amp;VLOOKUP(VLOOKUP(A314,'Sales Order'!A:C,3,FALSE),Employee!A:B,2,FALSE),"Not Specified")</f>
        <v>Ms. Sara Davis</v>
      </c>
      <c r="I314" t="str">
        <f>IFERROR(VLOOKUP(VLOOKUP(A314,'Sales Order'!A:C,3,FALSE),Employee!A:J,10,FALSE),"Not Specified")</f>
        <v>WA</v>
      </c>
      <c r="J314" t="str">
        <f>VLOOKUP(B314,Product!A:B,2,FALSE)</f>
        <v>Product MYMOI</v>
      </c>
      <c r="K314" t="str">
        <f>VLOOKUP(VLOOKUP(B314,Product!A:D,4,FALSE),Category!A:B,2,FALSE)</f>
        <v>Dairy Product</v>
      </c>
      <c r="L314" s="24">
        <f>IFERROR(VLOOKUP(A314,'Sales Order'!A:D,4,FALSE),"")</f>
        <v>39047</v>
      </c>
      <c r="M314" s="24">
        <f>IFERROR(VLOOKUP(A314,'Sales Order'!A:F,6,FALSE),"")</f>
        <v>39055</v>
      </c>
      <c r="N314" t="str">
        <f>IFERROR(VLOOKUP(VLOOKUP(A314,'Sales Order'!A:G,7,FALSE),Shipper!A:B,2,FALSE),"Not Specified")</f>
        <v>Shipper GVSUA</v>
      </c>
      <c r="O314" t="str">
        <f>IFERROR(VLOOKUP(A314,'Sales Order'!A:I,9,FALSE),"Not Specified")</f>
        <v>Destination QTKCU</v>
      </c>
      <c r="P314" t="str">
        <f>IFERROR(VLOOKUP(A314,'Sales Order'!A:N,14,FALSE),"Not Specified")</f>
        <v>UK</v>
      </c>
      <c r="Q314" t="str">
        <f>VLOOKUP(VLOOKUP(B314,Product!A:C,3,FALSE),Supplier!A:B,2,FALSE)</f>
        <v>Supplier NZLIF</v>
      </c>
      <c r="R314" t="str">
        <f>VLOOKUP(VLOOKUP(B314,Product!A:C,3,FALSE),Supplier!A:I,9,FALSE)</f>
        <v>Norway</v>
      </c>
      <c r="S314" t="str">
        <f>IFERROR(IF(VLOOKUP(A314,'Sales Order'!A:H,8,FALSE)&gt;100,"High Freight","Low Freight"),"Not Specified")</f>
        <v>Low Freight</v>
      </c>
      <c r="T314">
        <f t="shared" si="9"/>
        <v>86</v>
      </c>
    </row>
    <row r="315" spans="1:20">
      <c r="A315" s="9">
        <v>10365</v>
      </c>
      <c r="B315" s="6">
        <v>11</v>
      </c>
      <c r="C315" s="6">
        <v>16.8</v>
      </c>
      <c r="D315" s="6">
        <v>24</v>
      </c>
      <c r="E315" s="18">
        <v>0</v>
      </c>
      <c r="F315" s="6" t="str">
        <f>IFERROR(VLOOKUP(VLOOKUP(A315,'Sales Order'!A:B,2,FALSE),Customer!A:C,3,FALSE),"Not Specified")</f>
        <v>Peoples, John</v>
      </c>
      <c r="G315" s="6" t="str">
        <f t="shared" si="8"/>
        <v>Peoples John</v>
      </c>
      <c r="H315" s="22" t="str">
        <f>IFERROR(VLOOKUP(VLOOKUP(A315,'Sales Order'!A:C,3,FALSE),Employee!A:E,5,FALSE)&amp;" "&amp;VLOOKUP(VLOOKUP(A315,'Sales Order'!A:C,3,FALSE),Employee!A:C,3,FALSE)&amp;" "&amp;VLOOKUP(VLOOKUP(A315,'Sales Order'!A:C,3,FALSE),Employee!A:B,2,FALSE),"Not Specified")</f>
        <v>Ms. Judy Lew</v>
      </c>
      <c r="I315" t="str">
        <f>IFERROR(VLOOKUP(VLOOKUP(A315,'Sales Order'!A:C,3,FALSE),Employee!A:J,10,FALSE),"Not Specified")</f>
        <v>WA</v>
      </c>
      <c r="J315" t="str">
        <f>VLOOKUP(B315,Product!A:B,2,FALSE)</f>
        <v>Product QMVUN</v>
      </c>
      <c r="K315" t="str">
        <f>VLOOKUP(VLOOKUP(B315,Product!A:D,4,FALSE),Category!A:B,2,FALSE)</f>
        <v>Dairy Product</v>
      </c>
      <c r="L315" s="24">
        <f>IFERROR(VLOOKUP(A315,'Sales Order'!A:D,4,FALSE),"")</f>
        <v>39048</v>
      </c>
      <c r="M315" s="24">
        <f>IFERROR(VLOOKUP(A315,'Sales Order'!A:F,6,FALSE),"")</f>
        <v>39053</v>
      </c>
      <c r="N315" t="str">
        <f>IFERROR(VLOOKUP(VLOOKUP(A315,'Sales Order'!A:G,7,FALSE),Shipper!A:B,2,FALSE),"Not Specified")</f>
        <v>Shipper ETYNR</v>
      </c>
      <c r="O315" t="str">
        <f>IFERROR(VLOOKUP(A315,'Sales Order'!A:I,9,FALSE),"Not Specified")</f>
        <v>Destination FQFLS</v>
      </c>
      <c r="P315" t="str">
        <f>IFERROR(VLOOKUP(A315,'Sales Order'!A:N,14,FALSE),"Not Specified")</f>
        <v>Mexico</v>
      </c>
      <c r="Q315" t="str">
        <f>VLOOKUP(VLOOKUP(B315,Product!A:C,3,FALSE),Supplier!A:B,2,FALSE)</f>
        <v>Supplier EQPNC</v>
      </c>
      <c r="R315" t="str">
        <f>VLOOKUP(VLOOKUP(B315,Product!A:C,3,FALSE),Supplier!A:I,9,FALSE)</f>
        <v>Spain</v>
      </c>
      <c r="S315" t="str">
        <f>IFERROR(IF(VLOOKUP(A315,'Sales Order'!A:H,8,FALSE)&gt;100,"High Freight","Low Freight"),"Not Specified")</f>
        <v>Low Freight</v>
      </c>
      <c r="T315">
        <f t="shared" si="9"/>
        <v>403.20000000000005</v>
      </c>
    </row>
    <row r="316" spans="1:20">
      <c r="A316" s="9">
        <v>10366</v>
      </c>
      <c r="B316" s="6">
        <v>65</v>
      </c>
      <c r="C316" s="6">
        <v>16.8</v>
      </c>
      <c r="D316" s="6">
        <v>5</v>
      </c>
      <c r="E316" s="18">
        <v>0</v>
      </c>
      <c r="F316" s="6" t="str">
        <f>IFERROR(VLOOKUP(VLOOKUP(A316,'Sales Order'!A:B,2,FALSE),Customer!A:C,3,FALSE),"Not Specified")</f>
        <v>Kolesnikova, Katerina</v>
      </c>
      <c r="G316" s="6" t="str">
        <f t="shared" si="8"/>
        <v>Kolesnikova Katerina</v>
      </c>
      <c r="H316" s="22" t="str">
        <f>IFERROR(VLOOKUP(VLOOKUP(A316,'Sales Order'!A:C,3,FALSE),Employee!A:E,5,FALSE)&amp;" "&amp;VLOOKUP(VLOOKUP(A316,'Sales Order'!A:C,3,FALSE),Employee!A:C,3,FALSE)&amp;" "&amp;VLOOKUP(VLOOKUP(A316,'Sales Order'!A:C,3,FALSE),Employee!A:B,2,FALSE),"Not Specified")</f>
        <v>Ms. Maria Cameron</v>
      </c>
      <c r="I316" t="str">
        <f>IFERROR(VLOOKUP(VLOOKUP(A316,'Sales Order'!A:C,3,FALSE),Employee!A:J,10,FALSE),"Not Specified")</f>
        <v>WA</v>
      </c>
      <c r="J316" t="str">
        <f>VLOOKUP(B316,Product!A:B,2,FALSE)</f>
        <v>Product XYWBZ</v>
      </c>
      <c r="K316" t="str">
        <f>VLOOKUP(VLOOKUP(B316,Product!A:D,4,FALSE),Category!A:B,2,FALSE)</f>
        <v>Condiments</v>
      </c>
      <c r="L316" s="24">
        <f>IFERROR(VLOOKUP(A316,'Sales Order'!A:D,4,FALSE),"")</f>
        <v>39049</v>
      </c>
      <c r="M316" s="24">
        <f>IFERROR(VLOOKUP(A316,'Sales Order'!A:F,6,FALSE),"")</f>
        <v>39081</v>
      </c>
      <c r="N316" t="str">
        <f>IFERROR(VLOOKUP(VLOOKUP(A316,'Sales Order'!A:G,7,FALSE),Shipper!A:B,2,FALSE),"Not Specified")</f>
        <v>Shipper ETYNR</v>
      </c>
      <c r="O316" t="str">
        <f>IFERROR(VLOOKUP(A316,'Sales Order'!A:I,9,FALSE),"Not Specified")</f>
        <v>Destination VPNNG</v>
      </c>
      <c r="P316" t="str">
        <f>IFERROR(VLOOKUP(A316,'Sales Order'!A:N,14,FALSE),"Not Specified")</f>
        <v>Spain</v>
      </c>
      <c r="Q316" t="str">
        <f>VLOOKUP(VLOOKUP(B316,Product!A:C,3,FALSE),Supplier!A:B,2,FALSE)</f>
        <v>Supplier VHQZD</v>
      </c>
      <c r="R316" t="str">
        <f>VLOOKUP(VLOOKUP(B316,Product!A:C,3,FALSE),Supplier!A:I,9,FALSE)</f>
        <v>USA</v>
      </c>
      <c r="S316" t="str">
        <f>IFERROR(IF(VLOOKUP(A316,'Sales Order'!A:H,8,FALSE)&gt;100,"High Freight","Low Freight"),"Not Specified")</f>
        <v>Low Freight</v>
      </c>
      <c r="T316">
        <f t="shared" si="9"/>
        <v>84</v>
      </c>
    </row>
    <row r="317" spans="1:20">
      <c r="A317" s="9">
        <v>10366</v>
      </c>
      <c r="B317" s="6">
        <v>77</v>
      </c>
      <c r="C317" s="6">
        <v>10.4</v>
      </c>
      <c r="D317" s="6">
        <v>5</v>
      </c>
      <c r="E317" s="18">
        <v>0</v>
      </c>
      <c r="F317" s="6" t="str">
        <f>IFERROR(VLOOKUP(VLOOKUP(A317,'Sales Order'!A:B,2,FALSE),Customer!A:C,3,FALSE),"Not Specified")</f>
        <v>Kolesnikova, Katerina</v>
      </c>
      <c r="G317" s="6" t="str">
        <f t="shared" si="8"/>
        <v>Kolesnikova Katerina</v>
      </c>
      <c r="H317" s="22" t="str">
        <f>IFERROR(VLOOKUP(VLOOKUP(A317,'Sales Order'!A:C,3,FALSE),Employee!A:E,5,FALSE)&amp;" "&amp;VLOOKUP(VLOOKUP(A317,'Sales Order'!A:C,3,FALSE),Employee!A:C,3,FALSE)&amp;" "&amp;VLOOKUP(VLOOKUP(A317,'Sales Order'!A:C,3,FALSE),Employee!A:B,2,FALSE),"Not Specified")</f>
        <v>Ms. Maria Cameron</v>
      </c>
      <c r="I317" t="str">
        <f>IFERROR(VLOOKUP(VLOOKUP(A317,'Sales Order'!A:C,3,FALSE),Employee!A:J,10,FALSE),"Not Specified")</f>
        <v>WA</v>
      </c>
      <c r="J317" t="str">
        <f>VLOOKUP(B317,Product!A:B,2,FALSE)</f>
        <v>Product LUNZZ</v>
      </c>
      <c r="K317" t="str">
        <f>VLOOKUP(VLOOKUP(B317,Product!A:D,4,FALSE),Category!A:B,2,FALSE)</f>
        <v>Condiments</v>
      </c>
      <c r="L317" s="24">
        <f>IFERROR(VLOOKUP(A317,'Sales Order'!A:D,4,FALSE),"")</f>
        <v>39049</v>
      </c>
      <c r="M317" s="24">
        <f>IFERROR(VLOOKUP(A317,'Sales Order'!A:F,6,FALSE),"")</f>
        <v>39081</v>
      </c>
      <c r="N317" t="str">
        <f>IFERROR(VLOOKUP(VLOOKUP(A317,'Sales Order'!A:G,7,FALSE),Shipper!A:B,2,FALSE),"Not Specified")</f>
        <v>Shipper ETYNR</v>
      </c>
      <c r="O317" t="str">
        <f>IFERROR(VLOOKUP(A317,'Sales Order'!A:I,9,FALSE),"Not Specified")</f>
        <v>Destination VPNNG</v>
      </c>
      <c r="P317" t="str">
        <f>IFERROR(VLOOKUP(A317,'Sales Order'!A:N,14,FALSE),"Not Specified")</f>
        <v>Spain</v>
      </c>
      <c r="Q317" t="str">
        <f>VLOOKUP(VLOOKUP(B317,Product!A:C,3,FALSE),Supplier!A:B,2,FALSE)</f>
        <v>Supplier SVIYA</v>
      </c>
      <c r="R317" t="str">
        <f>VLOOKUP(VLOOKUP(B317,Product!A:C,3,FALSE),Supplier!A:I,9,FALSE)</f>
        <v>Germany</v>
      </c>
      <c r="S317" t="str">
        <f>IFERROR(IF(VLOOKUP(A317,'Sales Order'!A:H,8,FALSE)&gt;100,"High Freight","Low Freight"),"Not Specified")</f>
        <v>Low Freight</v>
      </c>
      <c r="T317">
        <f t="shared" si="9"/>
        <v>52</v>
      </c>
    </row>
    <row r="318" spans="1:20">
      <c r="A318" s="9">
        <v>10367</v>
      </c>
      <c r="B318" s="6">
        <v>34</v>
      </c>
      <c r="C318" s="6">
        <v>11.2</v>
      </c>
      <c r="D318" s="6">
        <v>36</v>
      </c>
      <c r="E318" s="18">
        <v>0</v>
      </c>
      <c r="F318" s="6" t="str">
        <f>IFERROR(VLOOKUP(VLOOKUP(A318,'Sales Order'!A:B,2,FALSE),Customer!A:C,3,FALSE),"Not Specified")</f>
        <v>Fonteneau, Karl</v>
      </c>
      <c r="G318" s="6" t="str">
        <f t="shared" si="8"/>
        <v>Fonteneau Karl</v>
      </c>
      <c r="H318" s="22" t="str">
        <f>IFERROR(VLOOKUP(VLOOKUP(A318,'Sales Order'!A:C,3,FALSE),Employee!A:E,5,FALSE)&amp;" "&amp;VLOOKUP(VLOOKUP(A318,'Sales Order'!A:C,3,FALSE),Employee!A:C,3,FALSE)&amp;" "&amp;VLOOKUP(VLOOKUP(A318,'Sales Order'!A:C,3,FALSE),Employee!A:B,2,FALSE),"Not Specified")</f>
        <v>Mr. Russell King</v>
      </c>
      <c r="I318">
        <f>IFERROR(VLOOKUP(VLOOKUP(A318,'Sales Order'!A:C,3,FALSE),Employee!A:J,10,FALSE),"Not Specified")</f>
        <v>0</v>
      </c>
      <c r="J318" t="str">
        <f>VLOOKUP(B318,Product!A:B,2,FALSE)</f>
        <v>Product SWNJY</v>
      </c>
      <c r="K318" t="str">
        <f>VLOOKUP(VLOOKUP(B318,Product!A:D,4,FALSE),Category!A:B,2,FALSE)</f>
        <v>Beverages</v>
      </c>
      <c r="L318" s="24">
        <f>IFERROR(VLOOKUP(A318,'Sales Order'!A:D,4,FALSE),"")</f>
        <v>39049</v>
      </c>
      <c r="M318" s="24">
        <f>IFERROR(VLOOKUP(A318,'Sales Order'!A:F,6,FALSE),"")</f>
        <v>39053</v>
      </c>
      <c r="N318" t="str">
        <f>IFERROR(VLOOKUP(VLOOKUP(A318,'Sales Order'!A:G,7,FALSE),Shipper!A:B,2,FALSE),"Not Specified")</f>
        <v>Shipper ZHISN</v>
      </c>
      <c r="O318" t="str">
        <f>IFERROR(VLOOKUP(A318,'Sales Order'!A:I,9,FALSE),"Not Specified")</f>
        <v>Ship to 83-B</v>
      </c>
      <c r="P318" t="str">
        <f>IFERROR(VLOOKUP(A318,'Sales Order'!A:N,14,FALSE),"Not Specified")</f>
        <v>Denmark</v>
      </c>
      <c r="Q318" t="str">
        <f>VLOOKUP(VLOOKUP(B318,Product!A:C,3,FALSE),Supplier!A:B,2,FALSE)</f>
        <v>Supplier UHZRG</v>
      </c>
      <c r="R318" t="str">
        <f>VLOOKUP(VLOOKUP(B318,Product!A:C,3,FALSE),Supplier!A:I,9,FALSE)</f>
        <v>USA</v>
      </c>
      <c r="S318" t="str">
        <f>IFERROR(IF(VLOOKUP(A318,'Sales Order'!A:H,8,FALSE)&gt;100,"High Freight","Low Freight"),"Not Specified")</f>
        <v>Low Freight</v>
      </c>
      <c r="T318">
        <f t="shared" si="9"/>
        <v>403.2</v>
      </c>
    </row>
    <row r="319" spans="1:20">
      <c r="A319" s="9">
        <v>10367</v>
      </c>
      <c r="B319" s="6">
        <v>54</v>
      </c>
      <c r="C319" s="6">
        <v>5.9</v>
      </c>
      <c r="D319" s="6">
        <v>18</v>
      </c>
      <c r="E319" s="18">
        <v>0</v>
      </c>
      <c r="F319" s="6" t="str">
        <f>IFERROR(VLOOKUP(VLOOKUP(A319,'Sales Order'!A:B,2,FALSE),Customer!A:C,3,FALSE),"Not Specified")</f>
        <v>Fonteneau, Karl</v>
      </c>
      <c r="G319" s="6" t="str">
        <f t="shared" si="8"/>
        <v>Fonteneau Karl</v>
      </c>
      <c r="H319" s="22" t="str">
        <f>IFERROR(VLOOKUP(VLOOKUP(A319,'Sales Order'!A:C,3,FALSE),Employee!A:E,5,FALSE)&amp;" "&amp;VLOOKUP(VLOOKUP(A319,'Sales Order'!A:C,3,FALSE),Employee!A:C,3,FALSE)&amp;" "&amp;VLOOKUP(VLOOKUP(A319,'Sales Order'!A:C,3,FALSE),Employee!A:B,2,FALSE),"Not Specified")</f>
        <v>Mr. Russell King</v>
      </c>
      <c r="I319">
        <f>IFERROR(VLOOKUP(VLOOKUP(A319,'Sales Order'!A:C,3,FALSE),Employee!A:J,10,FALSE),"Not Specified")</f>
        <v>0</v>
      </c>
      <c r="J319" t="str">
        <f>VLOOKUP(B319,Product!A:B,2,FALSE)</f>
        <v>Product QAQRL</v>
      </c>
      <c r="K319" t="str">
        <f>VLOOKUP(VLOOKUP(B319,Product!A:D,4,FALSE),Category!A:B,2,FALSE)</f>
        <v>Meat/Poultry</v>
      </c>
      <c r="L319" s="24">
        <f>IFERROR(VLOOKUP(A319,'Sales Order'!A:D,4,FALSE),"")</f>
        <v>39049</v>
      </c>
      <c r="M319" s="24">
        <f>IFERROR(VLOOKUP(A319,'Sales Order'!A:F,6,FALSE),"")</f>
        <v>39053</v>
      </c>
      <c r="N319" t="str">
        <f>IFERROR(VLOOKUP(VLOOKUP(A319,'Sales Order'!A:G,7,FALSE),Shipper!A:B,2,FALSE),"Not Specified")</f>
        <v>Shipper ZHISN</v>
      </c>
      <c r="O319" t="str">
        <f>IFERROR(VLOOKUP(A319,'Sales Order'!A:I,9,FALSE),"Not Specified")</f>
        <v>Ship to 83-B</v>
      </c>
      <c r="P319" t="str">
        <f>IFERROR(VLOOKUP(A319,'Sales Order'!A:N,14,FALSE),"Not Specified")</f>
        <v>Denmark</v>
      </c>
      <c r="Q319" t="str">
        <f>VLOOKUP(VLOOKUP(B319,Product!A:C,3,FALSE),Supplier!A:B,2,FALSE)</f>
        <v>Supplier ERVYZ</v>
      </c>
      <c r="R319" t="str">
        <f>VLOOKUP(VLOOKUP(B319,Product!A:C,3,FALSE),Supplier!A:I,9,FALSE)</f>
        <v>Canada</v>
      </c>
      <c r="S319" t="str">
        <f>IFERROR(IF(VLOOKUP(A319,'Sales Order'!A:H,8,FALSE)&gt;100,"High Freight","Low Freight"),"Not Specified")</f>
        <v>Low Freight</v>
      </c>
      <c r="T319">
        <f t="shared" si="9"/>
        <v>106.2</v>
      </c>
    </row>
    <row r="320" spans="1:20">
      <c r="A320" s="9">
        <v>10367</v>
      </c>
      <c r="B320" s="6">
        <v>65</v>
      </c>
      <c r="C320" s="6">
        <v>16.8</v>
      </c>
      <c r="D320" s="6">
        <v>15</v>
      </c>
      <c r="E320" s="18">
        <v>0</v>
      </c>
      <c r="F320" s="6" t="str">
        <f>IFERROR(VLOOKUP(VLOOKUP(A320,'Sales Order'!A:B,2,FALSE),Customer!A:C,3,FALSE),"Not Specified")</f>
        <v>Fonteneau, Karl</v>
      </c>
      <c r="G320" s="6" t="str">
        <f t="shared" si="8"/>
        <v>Fonteneau Karl</v>
      </c>
      <c r="H320" s="22" t="str">
        <f>IFERROR(VLOOKUP(VLOOKUP(A320,'Sales Order'!A:C,3,FALSE),Employee!A:E,5,FALSE)&amp;" "&amp;VLOOKUP(VLOOKUP(A320,'Sales Order'!A:C,3,FALSE),Employee!A:C,3,FALSE)&amp;" "&amp;VLOOKUP(VLOOKUP(A320,'Sales Order'!A:C,3,FALSE),Employee!A:B,2,FALSE),"Not Specified")</f>
        <v>Mr. Russell King</v>
      </c>
      <c r="I320">
        <f>IFERROR(VLOOKUP(VLOOKUP(A320,'Sales Order'!A:C,3,FALSE),Employee!A:J,10,FALSE),"Not Specified")</f>
        <v>0</v>
      </c>
      <c r="J320" t="str">
        <f>VLOOKUP(B320,Product!A:B,2,FALSE)</f>
        <v>Product XYWBZ</v>
      </c>
      <c r="K320" t="str">
        <f>VLOOKUP(VLOOKUP(B320,Product!A:D,4,FALSE),Category!A:B,2,FALSE)</f>
        <v>Condiments</v>
      </c>
      <c r="L320" s="24">
        <f>IFERROR(VLOOKUP(A320,'Sales Order'!A:D,4,FALSE),"")</f>
        <v>39049</v>
      </c>
      <c r="M320" s="24">
        <f>IFERROR(VLOOKUP(A320,'Sales Order'!A:F,6,FALSE),"")</f>
        <v>39053</v>
      </c>
      <c r="N320" t="str">
        <f>IFERROR(VLOOKUP(VLOOKUP(A320,'Sales Order'!A:G,7,FALSE),Shipper!A:B,2,FALSE),"Not Specified")</f>
        <v>Shipper ZHISN</v>
      </c>
      <c r="O320" t="str">
        <f>IFERROR(VLOOKUP(A320,'Sales Order'!A:I,9,FALSE),"Not Specified")</f>
        <v>Ship to 83-B</v>
      </c>
      <c r="P320" t="str">
        <f>IFERROR(VLOOKUP(A320,'Sales Order'!A:N,14,FALSE),"Not Specified")</f>
        <v>Denmark</v>
      </c>
      <c r="Q320" t="str">
        <f>VLOOKUP(VLOOKUP(B320,Product!A:C,3,FALSE),Supplier!A:B,2,FALSE)</f>
        <v>Supplier VHQZD</v>
      </c>
      <c r="R320" t="str">
        <f>VLOOKUP(VLOOKUP(B320,Product!A:C,3,FALSE),Supplier!A:I,9,FALSE)</f>
        <v>USA</v>
      </c>
      <c r="S320" t="str">
        <f>IFERROR(IF(VLOOKUP(A320,'Sales Order'!A:H,8,FALSE)&gt;100,"High Freight","Low Freight"),"Not Specified")</f>
        <v>Low Freight</v>
      </c>
      <c r="T320">
        <f t="shared" si="9"/>
        <v>252</v>
      </c>
    </row>
    <row r="321" spans="1:20">
      <c r="A321" s="9">
        <v>10367</v>
      </c>
      <c r="B321" s="6">
        <v>77</v>
      </c>
      <c r="C321" s="6">
        <v>10.4</v>
      </c>
      <c r="D321" s="6">
        <v>7</v>
      </c>
      <c r="E321" s="18">
        <v>0</v>
      </c>
      <c r="F321" s="6" t="str">
        <f>IFERROR(VLOOKUP(VLOOKUP(A321,'Sales Order'!A:B,2,FALSE),Customer!A:C,3,FALSE),"Not Specified")</f>
        <v>Fonteneau, Karl</v>
      </c>
      <c r="G321" s="6" t="str">
        <f t="shared" si="8"/>
        <v>Fonteneau Karl</v>
      </c>
      <c r="H321" s="22" t="str">
        <f>IFERROR(VLOOKUP(VLOOKUP(A321,'Sales Order'!A:C,3,FALSE),Employee!A:E,5,FALSE)&amp;" "&amp;VLOOKUP(VLOOKUP(A321,'Sales Order'!A:C,3,FALSE),Employee!A:C,3,FALSE)&amp;" "&amp;VLOOKUP(VLOOKUP(A321,'Sales Order'!A:C,3,FALSE),Employee!A:B,2,FALSE),"Not Specified")</f>
        <v>Mr. Russell King</v>
      </c>
      <c r="I321">
        <f>IFERROR(VLOOKUP(VLOOKUP(A321,'Sales Order'!A:C,3,FALSE),Employee!A:J,10,FALSE),"Not Specified")</f>
        <v>0</v>
      </c>
      <c r="J321" t="str">
        <f>VLOOKUP(B321,Product!A:B,2,FALSE)</f>
        <v>Product LUNZZ</v>
      </c>
      <c r="K321" t="str">
        <f>VLOOKUP(VLOOKUP(B321,Product!A:D,4,FALSE),Category!A:B,2,FALSE)</f>
        <v>Condiments</v>
      </c>
      <c r="L321" s="24">
        <f>IFERROR(VLOOKUP(A321,'Sales Order'!A:D,4,FALSE),"")</f>
        <v>39049</v>
      </c>
      <c r="M321" s="24">
        <f>IFERROR(VLOOKUP(A321,'Sales Order'!A:F,6,FALSE),"")</f>
        <v>39053</v>
      </c>
      <c r="N321" t="str">
        <f>IFERROR(VLOOKUP(VLOOKUP(A321,'Sales Order'!A:G,7,FALSE),Shipper!A:B,2,FALSE),"Not Specified")</f>
        <v>Shipper ZHISN</v>
      </c>
      <c r="O321" t="str">
        <f>IFERROR(VLOOKUP(A321,'Sales Order'!A:I,9,FALSE),"Not Specified")</f>
        <v>Ship to 83-B</v>
      </c>
      <c r="P321" t="str">
        <f>IFERROR(VLOOKUP(A321,'Sales Order'!A:N,14,FALSE),"Not Specified")</f>
        <v>Denmark</v>
      </c>
      <c r="Q321" t="str">
        <f>VLOOKUP(VLOOKUP(B321,Product!A:C,3,FALSE),Supplier!A:B,2,FALSE)</f>
        <v>Supplier SVIYA</v>
      </c>
      <c r="R321" t="str">
        <f>VLOOKUP(VLOOKUP(B321,Product!A:C,3,FALSE),Supplier!A:I,9,FALSE)</f>
        <v>Germany</v>
      </c>
      <c r="S321" t="str">
        <f>IFERROR(IF(VLOOKUP(A321,'Sales Order'!A:H,8,FALSE)&gt;100,"High Freight","Low Freight"),"Not Specified")</f>
        <v>Low Freight</v>
      </c>
      <c r="T321">
        <f t="shared" si="9"/>
        <v>72.8</v>
      </c>
    </row>
    <row r="322" spans="1:20">
      <c r="A322" s="9">
        <v>10368</v>
      </c>
      <c r="B322" s="6">
        <v>21</v>
      </c>
      <c r="C322" s="6">
        <v>8</v>
      </c>
      <c r="D322" s="6">
        <v>5</v>
      </c>
      <c r="E322" s="18">
        <v>0.1</v>
      </c>
      <c r="F322" s="6" t="str">
        <f>IFERROR(VLOOKUP(VLOOKUP(A322,'Sales Order'!A:B,2,FALSE),Customer!A:C,3,FALSE),"Not Specified")</f>
        <v>Kane, John</v>
      </c>
      <c r="G322" s="6" t="str">
        <f t="shared" si="8"/>
        <v>Kane John</v>
      </c>
      <c r="H322" s="22" t="str">
        <f>IFERROR(VLOOKUP(VLOOKUP(A322,'Sales Order'!A:C,3,FALSE),Employee!A:E,5,FALSE)&amp;" "&amp;VLOOKUP(VLOOKUP(A322,'Sales Order'!A:C,3,FALSE),Employee!A:C,3,FALSE)&amp;" "&amp;VLOOKUP(VLOOKUP(A322,'Sales Order'!A:C,3,FALSE),Employee!A:B,2,FALSE),"Not Specified")</f>
        <v>Dr. Don Funk</v>
      </c>
      <c r="I322" t="str">
        <f>IFERROR(VLOOKUP(VLOOKUP(A322,'Sales Order'!A:C,3,FALSE),Employee!A:J,10,FALSE),"Not Specified")</f>
        <v>WA</v>
      </c>
      <c r="J322" t="str">
        <f>VLOOKUP(B322,Product!A:B,2,FALSE)</f>
        <v>Product VJZZH</v>
      </c>
      <c r="K322" t="str">
        <f>VLOOKUP(VLOOKUP(B322,Product!A:D,4,FALSE),Category!A:B,2,FALSE)</f>
        <v>Confections</v>
      </c>
      <c r="L322" s="24">
        <f>IFERROR(VLOOKUP(A322,'Sales Order'!A:D,4,FALSE),"")</f>
        <v>39050</v>
      </c>
      <c r="M322" s="24">
        <f>IFERROR(VLOOKUP(A322,'Sales Order'!A:F,6,FALSE),"")</f>
        <v>39053</v>
      </c>
      <c r="N322" t="str">
        <f>IFERROR(VLOOKUP(VLOOKUP(A322,'Sales Order'!A:G,7,FALSE),Shipper!A:B,2,FALSE),"Not Specified")</f>
        <v>Shipper ETYNR</v>
      </c>
      <c r="O322" t="str">
        <f>IFERROR(VLOOKUP(A322,'Sales Order'!A:I,9,FALSE),"Not Specified")</f>
        <v>Destination RVDMF</v>
      </c>
      <c r="P322" t="str">
        <f>IFERROR(VLOOKUP(A322,'Sales Order'!A:N,14,FALSE),"Not Specified")</f>
        <v>Austria</v>
      </c>
      <c r="Q322" t="str">
        <f>VLOOKUP(VLOOKUP(B322,Product!A:C,3,FALSE),Supplier!A:B,2,FALSE)</f>
        <v>Supplier BWGYE</v>
      </c>
      <c r="R322" t="str">
        <f>VLOOKUP(VLOOKUP(B322,Product!A:C,3,FALSE),Supplier!A:I,9,FALSE)</f>
        <v>UK</v>
      </c>
      <c r="S322" t="str">
        <f>IFERROR(IF(VLOOKUP(A322,'Sales Order'!A:H,8,FALSE)&gt;100,"High Freight","Low Freight"),"Not Specified")</f>
        <v>High Freight</v>
      </c>
      <c r="T322">
        <f t="shared" si="9"/>
        <v>36</v>
      </c>
    </row>
    <row r="323" spans="1:20">
      <c r="A323" s="9">
        <v>10368</v>
      </c>
      <c r="B323" s="6">
        <v>28</v>
      </c>
      <c r="C323" s="6">
        <v>36.4</v>
      </c>
      <c r="D323" s="6">
        <v>13</v>
      </c>
      <c r="E323" s="18">
        <v>0.1</v>
      </c>
      <c r="F323" s="6" t="str">
        <f>IFERROR(VLOOKUP(VLOOKUP(A323,'Sales Order'!A:B,2,FALSE),Customer!A:C,3,FALSE),"Not Specified")</f>
        <v>Kane, John</v>
      </c>
      <c r="G323" s="6" t="str">
        <f t="shared" ref="G323:G386" si="10">SUBSTITUTE(F323,",","",1)</f>
        <v>Kane John</v>
      </c>
      <c r="H323" s="22" t="str">
        <f>IFERROR(VLOOKUP(VLOOKUP(A323,'Sales Order'!A:C,3,FALSE),Employee!A:E,5,FALSE)&amp;" "&amp;VLOOKUP(VLOOKUP(A323,'Sales Order'!A:C,3,FALSE),Employee!A:C,3,FALSE)&amp;" "&amp;VLOOKUP(VLOOKUP(A323,'Sales Order'!A:C,3,FALSE),Employee!A:B,2,FALSE),"Not Specified")</f>
        <v>Dr. Don Funk</v>
      </c>
      <c r="I323" t="str">
        <f>IFERROR(VLOOKUP(VLOOKUP(A323,'Sales Order'!A:C,3,FALSE),Employee!A:J,10,FALSE),"Not Specified")</f>
        <v>WA</v>
      </c>
      <c r="J323" t="str">
        <f>VLOOKUP(B323,Product!A:B,2,FALSE)</f>
        <v>Product OFBNT</v>
      </c>
      <c r="K323" t="str">
        <f>VLOOKUP(VLOOKUP(B323,Product!A:D,4,FALSE),Category!A:B,2,FALSE)</f>
        <v>Produce</v>
      </c>
      <c r="L323" s="24">
        <f>IFERROR(VLOOKUP(A323,'Sales Order'!A:D,4,FALSE),"")</f>
        <v>39050</v>
      </c>
      <c r="M323" s="24">
        <f>IFERROR(VLOOKUP(A323,'Sales Order'!A:F,6,FALSE),"")</f>
        <v>39053</v>
      </c>
      <c r="N323" t="str">
        <f>IFERROR(VLOOKUP(VLOOKUP(A323,'Sales Order'!A:G,7,FALSE),Shipper!A:B,2,FALSE),"Not Specified")</f>
        <v>Shipper ETYNR</v>
      </c>
      <c r="O323" t="str">
        <f>IFERROR(VLOOKUP(A323,'Sales Order'!A:I,9,FALSE),"Not Specified")</f>
        <v>Destination RVDMF</v>
      </c>
      <c r="P323" t="str">
        <f>IFERROR(VLOOKUP(A323,'Sales Order'!A:N,14,FALSE),"Not Specified")</f>
        <v>Austria</v>
      </c>
      <c r="Q323" t="str">
        <f>VLOOKUP(VLOOKUP(B323,Product!A:C,3,FALSE),Supplier!A:B,2,FALSE)</f>
        <v>Supplier SVIYA</v>
      </c>
      <c r="R323" t="str">
        <f>VLOOKUP(VLOOKUP(B323,Product!A:C,3,FALSE),Supplier!A:I,9,FALSE)</f>
        <v>Germany</v>
      </c>
      <c r="S323" t="str">
        <f>IFERROR(IF(VLOOKUP(A323,'Sales Order'!A:H,8,FALSE)&gt;100,"High Freight","Low Freight"),"Not Specified")</f>
        <v>High Freight</v>
      </c>
      <c r="T323">
        <f t="shared" ref="T323:T386" si="11">C323*D323*(1-E323)</f>
        <v>425.88</v>
      </c>
    </row>
    <row r="324" spans="1:20">
      <c r="A324" s="9">
        <v>10368</v>
      </c>
      <c r="B324" s="6">
        <v>57</v>
      </c>
      <c r="C324" s="6">
        <v>15.6</v>
      </c>
      <c r="D324" s="6">
        <v>25</v>
      </c>
      <c r="E324" s="18">
        <v>0</v>
      </c>
      <c r="F324" s="6" t="str">
        <f>IFERROR(VLOOKUP(VLOOKUP(A324,'Sales Order'!A:B,2,FALSE),Customer!A:C,3,FALSE),"Not Specified")</f>
        <v>Kane, John</v>
      </c>
      <c r="G324" s="6" t="str">
        <f t="shared" si="10"/>
        <v>Kane John</v>
      </c>
      <c r="H324" s="22" t="str">
        <f>IFERROR(VLOOKUP(VLOOKUP(A324,'Sales Order'!A:C,3,FALSE),Employee!A:E,5,FALSE)&amp;" "&amp;VLOOKUP(VLOOKUP(A324,'Sales Order'!A:C,3,FALSE),Employee!A:C,3,FALSE)&amp;" "&amp;VLOOKUP(VLOOKUP(A324,'Sales Order'!A:C,3,FALSE),Employee!A:B,2,FALSE),"Not Specified")</f>
        <v>Dr. Don Funk</v>
      </c>
      <c r="I324" t="str">
        <f>IFERROR(VLOOKUP(VLOOKUP(A324,'Sales Order'!A:C,3,FALSE),Employee!A:J,10,FALSE),"Not Specified")</f>
        <v>WA</v>
      </c>
      <c r="J324" t="str">
        <f>VLOOKUP(B324,Product!A:B,2,FALSE)</f>
        <v>Product OVLQI</v>
      </c>
      <c r="K324" t="str">
        <f>VLOOKUP(VLOOKUP(B324,Product!A:D,4,FALSE),Category!A:B,2,FALSE)</f>
        <v>Grains/Cereals</v>
      </c>
      <c r="L324" s="24">
        <f>IFERROR(VLOOKUP(A324,'Sales Order'!A:D,4,FALSE),"")</f>
        <v>39050</v>
      </c>
      <c r="M324" s="24">
        <f>IFERROR(VLOOKUP(A324,'Sales Order'!A:F,6,FALSE),"")</f>
        <v>39053</v>
      </c>
      <c r="N324" t="str">
        <f>IFERROR(VLOOKUP(VLOOKUP(A324,'Sales Order'!A:G,7,FALSE),Shipper!A:B,2,FALSE),"Not Specified")</f>
        <v>Shipper ETYNR</v>
      </c>
      <c r="O324" t="str">
        <f>IFERROR(VLOOKUP(A324,'Sales Order'!A:I,9,FALSE),"Not Specified")</f>
        <v>Destination RVDMF</v>
      </c>
      <c r="P324" t="str">
        <f>IFERROR(VLOOKUP(A324,'Sales Order'!A:N,14,FALSE),"Not Specified")</f>
        <v>Austria</v>
      </c>
      <c r="Q324" t="str">
        <f>VLOOKUP(VLOOKUP(B324,Product!A:C,3,FALSE),Supplier!A:B,2,FALSE)</f>
        <v>Supplier ZWZDM</v>
      </c>
      <c r="R324" t="str">
        <f>VLOOKUP(VLOOKUP(B324,Product!A:C,3,FALSE),Supplier!A:I,9,FALSE)</f>
        <v>Italy</v>
      </c>
      <c r="S324" t="str">
        <f>IFERROR(IF(VLOOKUP(A324,'Sales Order'!A:H,8,FALSE)&gt;100,"High Freight","Low Freight"),"Not Specified")</f>
        <v>High Freight</v>
      </c>
      <c r="T324">
        <f t="shared" si="11"/>
        <v>390</v>
      </c>
    </row>
    <row r="325" spans="1:20">
      <c r="A325" s="9">
        <v>10368</v>
      </c>
      <c r="B325" s="6">
        <v>64</v>
      </c>
      <c r="C325" s="6">
        <v>26.6</v>
      </c>
      <c r="D325" s="6">
        <v>35</v>
      </c>
      <c r="E325" s="18">
        <v>0.1</v>
      </c>
      <c r="F325" s="6" t="str">
        <f>IFERROR(VLOOKUP(VLOOKUP(A325,'Sales Order'!A:B,2,FALSE),Customer!A:C,3,FALSE),"Not Specified")</f>
        <v>Kane, John</v>
      </c>
      <c r="G325" s="6" t="str">
        <f t="shared" si="10"/>
        <v>Kane John</v>
      </c>
      <c r="H325" s="22" t="str">
        <f>IFERROR(VLOOKUP(VLOOKUP(A325,'Sales Order'!A:C,3,FALSE),Employee!A:E,5,FALSE)&amp;" "&amp;VLOOKUP(VLOOKUP(A325,'Sales Order'!A:C,3,FALSE),Employee!A:C,3,FALSE)&amp;" "&amp;VLOOKUP(VLOOKUP(A325,'Sales Order'!A:C,3,FALSE),Employee!A:B,2,FALSE),"Not Specified")</f>
        <v>Dr. Don Funk</v>
      </c>
      <c r="I325" t="str">
        <f>IFERROR(VLOOKUP(VLOOKUP(A325,'Sales Order'!A:C,3,FALSE),Employee!A:J,10,FALSE),"Not Specified")</f>
        <v>WA</v>
      </c>
      <c r="J325" t="str">
        <f>VLOOKUP(B325,Product!A:B,2,FALSE)</f>
        <v>Product HCQDE</v>
      </c>
      <c r="K325" t="str">
        <f>VLOOKUP(VLOOKUP(B325,Product!A:D,4,FALSE),Category!A:B,2,FALSE)</f>
        <v>Grains/Cereals</v>
      </c>
      <c r="L325" s="24">
        <f>IFERROR(VLOOKUP(A325,'Sales Order'!A:D,4,FALSE),"")</f>
        <v>39050</v>
      </c>
      <c r="M325" s="24">
        <f>IFERROR(VLOOKUP(A325,'Sales Order'!A:F,6,FALSE),"")</f>
        <v>39053</v>
      </c>
      <c r="N325" t="str">
        <f>IFERROR(VLOOKUP(VLOOKUP(A325,'Sales Order'!A:G,7,FALSE),Shipper!A:B,2,FALSE),"Not Specified")</f>
        <v>Shipper ETYNR</v>
      </c>
      <c r="O325" t="str">
        <f>IFERROR(VLOOKUP(A325,'Sales Order'!A:I,9,FALSE),"Not Specified")</f>
        <v>Destination RVDMF</v>
      </c>
      <c r="P325" t="str">
        <f>IFERROR(VLOOKUP(A325,'Sales Order'!A:N,14,FALSE),"Not Specified")</f>
        <v>Austria</v>
      </c>
      <c r="Q325" t="str">
        <f>VLOOKUP(VLOOKUP(B325,Product!A:C,3,FALSE),Supplier!A:B,2,FALSE)</f>
        <v>Supplier SVIYA</v>
      </c>
      <c r="R325" t="str">
        <f>VLOOKUP(VLOOKUP(B325,Product!A:C,3,FALSE),Supplier!A:I,9,FALSE)</f>
        <v>Germany</v>
      </c>
      <c r="S325" t="str">
        <f>IFERROR(IF(VLOOKUP(A325,'Sales Order'!A:H,8,FALSE)&gt;100,"High Freight","Low Freight"),"Not Specified")</f>
        <v>High Freight</v>
      </c>
      <c r="T325">
        <f t="shared" si="11"/>
        <v>837.9</v>
      </c>
    </row>
    <row r="326" spans="1:20">
      <c r="A326" s="9">
        <v>10369</v>
      </c>
      <c r="B326" s="6">
        <v>29</v>
      </c>
      <c r="C326" s="6">
        <v>99</v>
      </c>
      <c r="D326" s="6">
        <v>20</v>
      </c>
      <c r="E326" s="18">
        <v>0</v>
      </c>
      <c r="F326" s="6" t="str">
        <f>IFERROR(VLOOKUP(VLOOKUP(A326,'Sales Order'!A:B,2,FALSE),Customer!A:C,3,FALSE),"Not Specified")</f>
        <v>Wojciechowska, Agnieszka</v>
      </c>
      <c r="G326" s="6" t="str">
        <f t="shared" si="10"/>
        <v>Wojciechowska Agnieszka</v>
      </c>
      <c r="H326" s="22" t="str">
        <f>IFERROR(VLOOKUP(VLOOKUP(A326,'Sales Order'!A:C,3,FALSE),Employee!A:E,5,FALSE)&amp;" "&amp;VLOOKUP(VLOOKUP(A326,'Sales Order'!A:C,3,FALSE),Employee!A:C,3,FALSE)&amp;" "&amp;VLOOKUP(VLOOKUP(A326,'Sales Order'!A:C,3,FALSE),Employee!A:B,2,FALSE),"Not Specified")</f>
        <v>Ms. Maria Cameron</v>
      </c>
      <c r="I326" t="str">
        <f>IFERROR(VLOOKUP(VLOOKUP(A326,'Sales Order'!A:C,3,FALSE),Employee!A:J,10,FALSE),"Not Specified")</f>
        <v>WA</v>
      </c>
      <c r="J326" t="str">
        <f>VLOOKUP(B326,Product!A:B,2,FALSE)</f>
        <v>Product VJXYN</v>
      </c>
      <c r="K326" t="str">
        <f>VLOOKUP(VLOOKUP(B326,Product!A:D,4,FALSE),Category!A:B,2,FALSE)</f>
        <v>Meat/Poultry</v>
      </c>
      <c r="L326" s="24">
        <f>IFERROR(VLOOKUP(A326,'Sales Order'!A:D,4,FALSE),"")</f>
        <v>39053</v>
      </c>
      <c r="M326" s="24">
        <f>IFERROR(VLOOKUP(A326,'Sales Order'!A:F,6,FALSE),"")</f>
        <v>39060</v>
      </c>
      <c r="N326" t="str">
        <f>IFERROR(VLOOKUP(VLOOKUP(A326,'Sales Order'!A:G,7,FALSE),Shipper!A:B,2,FALSE),"Not Specified")</f>
        <v>Shipper ETYNR</v>
      </c>
      <c r="O326" t="str">
        <f>IFERROR(VLOOKUP(A326,'Sales Order'!A:I,9,FALSE),"Not Specified")</f>
        <v>Ship to 75-C</v>
      </c>
      <c r="P326" t="str">
        <f>IFERROR(VLOOKUP(A326,'Sales Order'!A:N,14,FALSE),"Not Specified")</f>
        <v>USA</v>
      </c>
      <c r="Q326" t="str">
        <f>VLOOKUP(VLOOKUP(B326,Product!A:C,3,FALSE),Supplier!A:B,2,FALSE)</f>
        <v>Supplier SVIYA</v>
      </c>
      <c r="R326" t="str">
        <f>VLOOKUP(VLOOKUP(B326,Product!A:C,3,FALSE),Supplier!A:I,9,FALSE)</f>
        <v>Germany</v>
      </c>
      <c r="S326" t="str">
        <f>IFERROR(IF(VLOOKUP(A326,'Sales Order'!A:H,8,FALSE)&gt;100,"High Freight","Low Freight"),"Not Specified")</f>
        <v>High Freight</v>
      </c>
      <c r="T326">
        <f t="shared" si="11"/>
        <v>1980</v>
      </c>
    </row>
    <row r="327" spans="1:20">
      <c r="A327" s="9">
        <v>10369</v>
      </c>
      <c r="B327" s="6">
        <v>56</v>
      </c>
      <c r="C327" s="6">
        <v>30.4</v>
      </c>
      <c r="D327" s="6">
        <v>18</v>
      </c>
      <c r="E327" s="18">
        <v>0.25</v>
      </c>
      <c r="F327" s="6" t="str">
        <f>IFERROR(VLOOKUP(VLOOKUP(A327,'Sales Order'!A:B,2,FALSE),Customer!A:C,3,FALSE),"Not Specified")</f>
        <v>Wojciechowska, Agnieszka</v>
      </c>
      <c r="G327" s="6" t="str">
        <f t="shared" si="10"/>
        <v>Wojciechowska Agnieszka</v>
      </c>
      <c r="H327" s="22" t="str">
        <f>IFERROR(VLOOKUP(VLOOKUP(A327,'Sales Order'!A:C,3,FALSE),Employee!A:E,5,FALSE)&amp;" "&amp;VLOOKUP(VLOOKUP(A327,'Sales Order'!A:C,3,FALSE),Employee!A:C,3,FALSE)&amp;" "&amp;VLOOKUP(VLOOKUP(A327,'Sales Order'!A:C,3,FALSE),Employee!A:B,2,FALSE),"Not Specified")</f>
        <v>Ms. Maria Cameron</v>
      </c>
      <c r="I327" t="str">
        <f>IFERROR(VLOOKUP(VLOOKUP(A327,'Sales Order'!A:C,3,FALSE),Employee!A:J,10,FALSE),"Not Specified")</f>
        <v>WA</v>
      </c>
      <c r="J327" t="str">
        <f>VLOOKUP(B327,Product!A:B,2,FALSE)</f>
        <v>Product VKCMF</v>
      </c>
      <c r="K327" t="str">
        <f>VLOOKUP(VLOOKUP(B327,Product!A:D,4,FALSE),Category!A:B,2,FALSE)</f>
        <v>Grains/Cereals</v>
      </c>
      <c r="L327" s="24">
        <f>IFERROR(VLOOKUP(A327,'Sales Order'!A:D,4,FALSE),"")</f>
        <v>39053</v>
      </c>
      <c r="M327" s="24">
        <f>IFERROR(VLOOKUP(A327,'Sales Order'!A:F,6,FALSE),"")</f>
        <v>39060</v>
      </c>
      <c r="N327" t="str">
        <f>IFERROR(VLOOKUP(VLOOKUP(A327,'Sales Order'!A:G,7,FALSE),Shipper!A:B,2,FALSE),"Not Specified")</f>
        <v>Shipper ETYNR</v>
      </c>
      <c r="O327" t="str">
        <f>IFERROR(VLOOKUP(A327,'Sales Order'!A:I,9,FALSE),"Not Specified")</f>
        <v>Ship to 75-C</v>
      </c>
      <c r="P327" t="str">
        <f>IFERROR(VLOOKUP(A327,'Sales Order'!A:N,14,FALSE),"Not Specified")</f>
        <v>USA</v>
      </c>
      <c r="Q327" t="str">
        <f>VLOOKUP(VLOOKUP(B327,Product!A:C,3,FALSE),Supplier!A:B,2,FALSE)</f>
        <v>Supplier ZWZDM</v>
      </c>
      <c r="R327" t="str">
        <f>VLOOKUP(VLOOKUP(B327,Product!A:C,3,FALSE),Supplier!A:I,9,FALSE)</f>
        <v>Italy</v>
      </c>
      <c r="S327" t="str">
        <f>IFERROR(IF(VLOOKUP(A327,'Sales Order'!A:H,8,FALSE)&gt;100,"High Freight","Low Freight"),"Not Specified")</f>
        <v>High Freight</v>
      </c>
      <c r="T327">
        <f t="shared" si="11"/>
        <v>410.4</v>
      </c>
    </row>
    <row r="328" spans="1:20">
      <c r="A328" s="9">
        <v>10370</v>
      </c>
      <c r="B328" s="6">
        <v>1</v>
      </c>
      <c r="C328" s="6">
        <v>14.4</v>
      </c>
      <c r="D328" s="6">
        <v>15</v>
      </c>
      <c r="E328" s="18">
        <v>0.15</v>
      </c>
      <c r="F328" s="6" t="str">
        <f>IFERROR(VLOOKUP(VLOOKUP(A328,'Sales Order'!A:B,2,FALSE),Customer!A:C,3,FALSE),"Not Specified")</f>
        <v>Jelitto, Jacek</v>
      </c>
      <c r="G328" s="6" t="str">
        <f t="shared" si="10"/>
        <v>Jelitto Jacek</v>
      </c>
      <c r="H328" s="22" t="str">
        <f>IFERROR(VLOOKUP(VLOOKUP(A328,'Sales Order'!A:C,3,FALSE),Employee!A:E,5,FALSE)&amp;" "&amp;VLOOKUP(VLOOKUP(A328,'Sales Order'!A:C,3,FALSE),Employee!A:C,3,FALSE)&amp;" "&amp;VLOOKUP(VLOOKUP(A328,'Sales Order'!A:C,3,FALSE),Employee!A:B,2,FALSE),"Not Specified")</f>
        <v>Mr. Paul Suurs</v>
      </c>
      <c r="I328">
        <f>IFERROR(VLOOKUP(VLOOKUP(A328,'Sales Order'!A:C,3,FALSE),Employee!A:J,10,FALSE),"Not Specified")</f>
        <v>0</v>
      </c>
      <c r="J328" t="str">
        <f>VLOOKUP(B328,Product!A:B,2,FALSE)</f>
        <v>Product HHYDP</v>
      </c>
      <c r="K328" t="str">
        <f>VLOOKUP(VLOOKUP(B328,Product!A:D,4,FALSE),Category!A:B,2,FALSE)</f>
        <v>Beverages</v>
      </c>
      <c r="L328" s="24">
        <f>IFERROR(VLOOKUP(A328,'Sales Order'!A:D,4,FALSE),"")</f>
        <v>39054</v>
      </c>
      <c r="M328" s="24">
        <f>IFERROR(VLOOKUP(A328,'Sales Order'!A:F,6,FALSE),"")</f>
        <v>39078</v>
      </c>
      <c r="N328" t="str">
        <f>IFERROR(VLOOKUP(VLOOKUP(A328,'Sales Order'!A:G,7,FALSE),Shipper!A:B,2,FALSE),"Not Specified")</f>
        <v>Shipper ETYNR</v>
      </c>
      <c r="O328" t="str">
        <f>IFERROR(VLOOKUP(A328,'Sales Order'!A:I,9,FALSE),"Not Specified")</f>
        <v>Destination YUJRD</v>
      </c>
      <c r="P328" t="str">
        <f>IFERROR(VLOOKUP(A328,'Sales Order'!A:N,14,FALSE),"Not Specified")</f>
        <v>Switzerland</v>
      </c>
      <c r="Q328" t="str">
        <f>VLOOKUP(VLOOKUP(B328,Product!A:C,3,FALSE),Supplier!A:B,2,FALSE)</f>
        <v>Supplier SWRXU</v>
      </c>
      <c r="R328" t="str">
        <f>VLOOKUP(VLOOKUP(B328,Product!A:C,3,FALSE),Supplier!A:I,9,FALSE)</f>
        <v>UK</v>
      </c>
      <c r="S328" t="str">
        <f>IFERROR(IF(VLOOKUP(A328,'Sales Order'!A:H,8,FALSE)&gt;100,"High Freight","Low Freight"),"Not Specified")</f>
        <v>Low Freight</v>
      </c>
      <c r="T328">
        <f t="shared" si="11"/>
        <v>183.6</v>
      </c>
    </row>
    <row r="329" spans="1:20">
      <c r="A329" s="9">
        <v>10370</v>
      </c>
      <c r="B329" s="6">
        <v>64</v>
      </c>
      <c r="C329" s="6">
        <v>26.6</v>
      </c>
      <c r="D329" s="6">
        <v>30</v>
      </c>
      <c r="E329" s="18">
        <v>0</v>
      </c>
      <c r="F329" s="6" t="str">
        <f>IFERROR(VLOOKUP(VLOOKUP(A329,'Sales Order'!A:B,2,FALSE),Customer!A:C,3,FALSE),"Not Specified")</f>
        <v>Jelitto, Jacek</v>
      </c>
      <c r="G329" s="6" t="str">
        <f t="shared" si="10"/>
        <v>Jelitto Jacek</v>
      </c>
      <c r="H329" s="22" t="str">
        <f>IFERROR(VLOOKUP(VLOOKUP(A329,'Sales Order'!A:C,3,FALSE),Employee!A:E,5,FALSE)&amp;" "&amp;VLOOKUP(VLOOKUP(A329,'Sales Order'!A:C,3,FALSE),Employee!A:C,3,FALSE)&amp;" "&amp;VLOOKUP(VLOOKUP(A329,'Sales Order'!A:C,3,FALSE),Employee!A:B,2,FALSE),"Not Specified")</f>
        <v>Mr. Paul Suurs</v>
      </c>
      <c r="I329">
        <f>IFERROR(VLOOKUP(VLOOKUP(A329,'Sales Order'!A:C,3,FALSE),Employee!A:J,10,FALSE),"Not Specified")</f>
        <v>0</v>
      </c>
      <c r="J329" t="str">
        <f>VLOOKUP(B329,Product!A:B,2,FALSE)</f>
        <v>Product HCQDE</v>
      </c>
      <c r="K329" t="str">
        <f>VLOOKUP(VLOOKUP(B329,Product!A:D,4,FALSE),Category!A:B,2,FALSE)</f>
        <v>Grains/Cereals</v>
      </c>
      <c r="L329" s="24">
        <f>IFERROR(VLOOKUP(A329,'Sales Order'!A:D,4,FALSE),"")</f>
        <v>39054</v>
      </c>
      <c r="M329" s="24">
        <f>IFERROR(VLOOKUP(A329,'Sales Order'!A:F,6,FALSE),"")</f>
        <v>39078</v>
      </c>
      <c r="N329" t="str">
        <f>IFERROR(VLOOKUP(VLOOKUP(A329,'Sales Order'!A:G,7,FALSE),Shipper!A:B,2,FALSE),"Not Specified")</f>
        <v>Shipper ETYNR</v>
      </c>
      <c r="O329" t="str">
        <f>IFERROR(VLOOKUP(A329,'Sales Order'!A:I,9,FALSE),"Not Specified")</f>
        <v>Destination YUJRD</v>
      </c>
      <c r="P329" t="str">
        <f>IFERROR(VLOOKUP(A329,'Sales Order'!A:N,14,FALSE),"Not Specified")</f>
        <v>Switzerland</v>
      </c>
      <c r="Q329" t="str">
        <f>VLOOKUP(VLOOKUP(B329,Product!A:C,3,FALSE),Supplier!A:B,2,FALSE)</f>
        <v>Supplier SVIYA</v>
      </c>
      <c r="R329" t="str">
        <f>VLOOKUP(VLOOKUP(B329,Product!A:C,3,FALSE),Supplier!A:I,9,FALSE)</f>
        <v>Germany</v>
      </c>
      <c r="S329" t="str">
        <f>IFERROR(IF(VLOOKUP(A329,'Sales Order'!A:H,8,FALSE)&gt;100,"High Freight","Low Freight"),"Not Specified")</f>
        <v>Low Freight</v>
      </c>
      <c r="T329">
        <f t="shared" si="11"/>
        <v>798</v>
      </c>
    </row>
    <row r="330" spans="1:20">
      <c r="A330" s="9">
        <v>10370</v>
      </c>
      <c r="B330" s="6">
        <v>74</v>
      </c>
      <c r="C330" s="6">
        <v>8</v>
      </c>
      <c r="D330" s="6">
        <v>20</v>
      </c>
      <c r="E330" s="18">
        <v>0.15</v>
      </c>
      <c r="F330" s="6" t="str">
        <f>IFERROR(VLOOKUP(VLOOKUP(A330,'Sales Order'!A:B,2,FALSE),Customer!A:C,3,FALSE),"Not Specified")</f>
        <v>Jelitto, Jacek</v>
      </c>
      <c r="G330" s="6" t="str">
        <f t="shared" si="10"/>
        <v>Jelitto Jacek</v>
      </c>
      <c r="H330" s="22" t="str">
        <f>IFERROR(VLOOKUP(VLOOKUP(A330,'Sales Order'!A:C,3,FALSE),Employee!A:E,5,FALSE)&amp;" "&amp;VLOOKUP(VLOOKUP(A330,'Sales Order'!A:C,3,FALSE),Employee!A:C,3,FALSE)&amp;" "&amp;VLOOKUP(VLOOKUP(A330,'Sales Order'!A:C,3,FALSE),Employee!A:B,2,FALSE),"Not Specified")</f>
        <v>Mr. Paul Suurs</v>
      </c>
      <c r="I330">
        <f>IFERROR(VLOOKUP(VLOOKUP(A330,'Sales Order'!A:C,3,FALSE),Employee!A:J,10,FALSE),"Not Specified")</f>
        <v>0</v>
      </c>
      <c r="J330" t="str">
        <f>VLOOKUP(B330,Product!A:B,2,FALSE)</f>
        <v>Product BKAZJ</v>
      </c>
      <c r="K330" t="str">
        <f>VLOOKUP(VLOOKUP(B330,Product!A:D,4,FALSE),Category!A:B,2,FALSE)</f>
        <v>Produce</v>
      </c>
      <c r="L330" s="24">
        <f>IFERROR(VLOOKUP(A330,'Sales Order'!A:D,4,FALSE),"")</f>
        <v>39054</v>
      </c>
      <c r="M330" s="24">
        <f>IFERROR(VLOOKUP(A330,'Sales Order'!A:F,6,FALSE),"")</f>
        <v>39078</v>
      </c>
      <c r="N330" t="str">
        <f>IFERROR(VLOOKUP(VLOOKUP(A330,'Sales Order'!A:G,7,FALSE),Shipper!A:B,2,FALSE),"Not Specified")</f>
        <v>Shipper ETYNR</v>
      </c>
      <c r="O330" t="str">
        <f>IFERROR(VLOOKUP(A330,'Sales Order'!A:I,9,FALSE),"Not Specified")</f>
        <v>Destination YUJRD</v>
      </c>
      <c r="P330" t="str">
        <f>IFERROR(VLOOKUP(A330,'Sales Order'!A:N,14,FALSE),"Not Specified")</f>
        <v>Switzerland</v>
      </c>
      <c r="Q330" t="str">
        <f>VLOOKUP(VLOOKUP(B330,Product!A:C,3,FALSE),Supplier!A:B,2,FALSE)</f>
        <v>Supplier QOVFD</v>
      </c>
      <c r="R330" t="str">
        <f>VLOOKUP(VLOOKUP(B330,Product!A:C,3,FALSE),Supplier!A:I,9,FALSE)</f>
        <v>Japan</v>
      </c>
      <c r="S330" t="str">
        <f>IFERROR(IF(VLOOKUP(A330,'Sales Order'!A:H,8,FALSE)&gt;100,"High Freight","Low Freight"),"Not Specified")</f>
        <v>Low Freight</v>
      </c>
      <c r="T330">
        <f t="shared" si="11"/>
        <v>136</v>
      </c>
    </row>
    <row r="331" spans="1:20">
      <c r="A331" s="9">
        <v>10371</v>
      </c>
      <c r="B331" s="6">
        <v>36</v>
      </c>
      <c r="C331" s="6">
        <v>15.2</v>
      </c>
      <c r="D331" s="6">
        <v>6</v>
      </c>
      <c r="E331" s="18">
        <v>0.2</v>
      </c>
      <c r="F331" s="6" t="str">
        <f>IFERROR(VLOOKUP(VLOOKUP(A331,'Sales Order'!A:B,2,FALSE),Customer!A:C,3,FALSE),"Not Specified")</f>
        <v>Litton, Tim</v>
      </c>
      <c r="G331" s="6" t="str">
        <f t="shared" si="10"/>
        <v>Litton Tim</v>
      </c>
      <c r="H331" s="22" t="str">
        <f>IFERROR(VLOOKUP(VLOOKUP(A331,'Sales Order'!A:C,3,FALSE),Employee!A:E,5,FALSE)&amp;" "&amp;VLOOKUP(VLOOKUP(A331,'Sales Order'!A:C,3,FALSE),Employee!A:C,3,FALSE)&amp;" "&amp;VLOOKUP(VLOOKUP(A331,'Sales Order'!A:C,3,FALSE),Employee!A:B,2,FALSE),"Not Specified")</f>
        <v>Ms. Sara Davis</v>
      </c>
      <c r="I331" t="str">
        <f>IFERROR(VLOOKUP(VLOOKUP(A331,'Sales Order'!A:C,3,FALSE),Employee!A:J,10,FALSE),"Not Specified")</f>
        <v>WA</v>
      </c>
      <c r="J331" t="str">
        <f>VLOOKUP(B331,Product!A:B,2,FALSE)</f>
        <v>Product GMKIJ</v>
      </c>
      <c r="K331" t="str">
        <f>VLOOKUP(VLOOKUP(B331,Product!A:D,4,FALSE),Category!A:B,2,FALSE)</f>
        <v>Seafood</v>
      </c>
      <c r="L331" s="24">
        <f>IFERROR(VLOOKUP(A331,'Sales Order'!A:D,4,FALSE),"")</f>
        <v>39054</v>
      </c>
      <c r="M331" s="24">
        <f>IFERROR(VLOOKUP(A331,'Sales Order'!A:F,6,FALSE),"")</f>
        <v>39075</v>
      </c>
      <c r="N331" t="str">
        <f>IFERROR(VLOOKUP(VLOOKUP(A331,'Sales Order'!A:G,7,FALSE),Shipper!A:B,2,FALSE),"Not Specified")</f>
        <v>Shipper GVSUA</v>
      </c>
      <c r="O331" t="str">
        <f>IFERROR(VLOOKUP(A331,'Sales Order'!A:I,9,FALSE),"Not Specified")</f>
        <v>Ship to 41-C</v>
      </c>
      <c r="P331" t="str">
        <f>IFERROR(VLOOKUP(A331,'Sales Order'!A:N,14,FALSE),"Not Specified")</f>
        <v>France</v>
      </c>
      <c r="Q331" t="str">
        <f>VLOOKUP(VLOOKUP(B331,Product!A:C,3,FALSE),Supplier!A:B,2,FALSE)</f>
        <v>Supplier QZGUF</v>
      </c>
      <c r="R331" t="str">
        <f>VLOOKUP(VLOOKUP(B331,Product!A:C,3,FALSE),Supplier!A:I,9,FALSE)</f>
        <v>Sweden</v>
      </c>
      <c r="S331" t="str">
        <f>IFERROR(IF(VLOOKUP(A331,'Sales Order'!A:H,8,FALSE)&gt;100,"High Freight","Low Freight"),"Not Specified")</f>
        <v>Low Freight</v>
      </c>
      <c r="T331">
        <f t="shared" si="11"/>
        <v>72.959999999999994</v>
      </c>
    </row>
    <row r="332" spans="1:20">
      <c r="A332" s="9">
        <v>10372</v>
      </c>
      <c r="B332" s="6">
        <v>20</v>
      </c>
      <c r="C332" s="6">
        <v>64.8</v>
      </c>
      <c r="D332" s="6">
        <v>12</v>
      </c>
      <c r="E332" s="18">
        <v>0.25</v>
      </c>
      <c r="F332" s="6" t="str">
        <f>IFERROR(VLOOKUP(VLOOKUP(A332,'Sales Order'!A:B,2,FALSE),Customer!A:C,3,FALSE),"Not Specified")</f>
        <v>Misiec, Anna</v>
      </c>
      <c r="G332" s="6" t="str">
        <f t="shared" si="10"/>
        <v>Misiec Anna</v>
      </c>
      <c r="H332" s="22" t="str">
        <f>IFERROR(VLOOKUP(VLOOKUP(A332,'Sales Order'!A:C,3,FALSE),Employee!A:E,5,FALSE)&amp;" "&amp;VLOOKUP(VLOOKUP(A332,'Sales Order'!A:C,3,FALSE),Employee!A:C,3,FALSE)&amp;" "&amp;VLOOKUP(VLOOKUP(A332,'Sales Order'!A:C,3,FALSE),Employee!A:B,2,FALSE),"Not Specified")</f>
        <v>Mr. Sven Buck</v>
      </c>
      <c r="I332">
        <f>IFERROR(VLOOKUP(VLOOKUP(A332,'Sales Order'!A:C,3,FALSE),Employee!A:J,10,FALSE),"Not Specified")</f>
        <v>0</v>
      </c>
      <c r="J332" t="str">
        <f>VLOOKUP(B332,Product!A:B,2,FALSE)</f>
        <v>Product QHFFP</v>
      </c>
      <c r="K332" t="str">
        <f>VLOOKUP(VLOOKUP(B332,Product!A:D,4,FALSE),Category!A:B,2,FALSE)</f>
        <v>Confections</v>
      </c>
      <c r="L332" s="24">
        <f>IFERROR(VLOOKUP(A332,'Sales Order'!A:D,4,FALSE),"")</f>
        <v>39055</v>
      </c>
      <c r="M332" s="24">
        <f>IFERROR(VLOOKUP(A332,'Sales Order'!A:F,6,FALSE),"")</f>
        <v>39060</v>
      </c>
      <c r="N332" t="str">
        <f>IFERROR(VLOOKUP(VLOOKUP(A332,'Sales Order'!A:G,7,FALSE),Shipper!A:B,2,FALSE),"Not Specified")</f>
        <v>Shipper ETYNR</v>
      </c>
      <c r="O332" t="str">
        <f>IFERROR(VLOOKUP(A332,'Sales Order'!A:I,9,FALSE),"Not Specified")</f>
        <v>Ship to 62-A</v>
      </c>
      <c r="P332" t="str">
        <f>IFERROR(VLOOKUP(A332,'Sales Order'!A:N,14,FALSE),"Not Specified")</f>
        <v>Brazil</v>
      </c>
      <c r="Q332" t="str">
        <f>VLOOKUP(VLOOKUP(B332,Product!A:C,3,FALSE),Supplier!A:B,2,FALSE)</f>
        <v>Supplier BWGYE</v>
      </c>
      <c r="R332" t="str">
        <f>VLOOKUP(VLOOKUP(B332,Product!A:C,3,FALSE),Supplier!A:I,9,FALSE)</f>
        <v>UK</v>
      </c>
      <c r="S332" t="str">
        <f>IFERROR(IF(VLOOKUP(A332,'Sales Order'!A:H,8,FALSE)&gt;100,"High Freight","Low Freight"),"Not Specified")</f>
        <v>High Freight</v>
      </c>
      <c r="T332">
        <f t="shared" si="11"/>
        <v>583.19999999999993</v>
      </c>
    </row>
    <row r="333" spans="1:20">
      <c r="A333" s="9">
        <v>10372</v>
      </c>
      <c r="B333" s="6">
        <v>38</v>
      </c>
      <c r="C333" s="6">
        <v>210.8</v>
      </c>
      <c r="D333" s="6">
        <v>40</v>
      </c>
      <c r="E333" s="18">
        <v>0.25</v>
      </c>
      <c r="F333" s="6" t="str">
        <f>IFERROR(VLOOKUP(VLOOKUP(A333,'Sales Order'!A:B,2,FALSE),Customer!A:C,3,FALSE),"Not Specified")</f>
        <v>Misiec, Anna</v>
      </c>
      <c r="G333" s="6" t="str">
        <f t="shared" si="10"/>
        <v>Misiec Anna</v>
      </c>
      <c r="H333" s="22" t="str">
        <f>IFERROR(VLOOKUP(VLOOKUP(A333,'Sales Order'!A:C,3,FALSE),Employee!A:E,5,FALSE)&amp;" "&amp;VLOOKUP(VLOOKUP(A333,'Sales Order'!A:C,3,FALSE),Employee!A:C,3,FALSE)&amp;" "&amp;VLOOKUP(VLOOKUP(A333,'Sales Order'!A:C,3,FALSE),Employee!A:B,2,FALSE),"Not Specified")</f>
        <v>Mr. Sven Buck</v>
      </c>
      <c r="I333">
        <f>IFERROR(VLOOKUP(VLOOKUP(A333,'Sales Order'!A:C,3,FALSE),Employee!A:J,10,FALSE),"Not Specified")</f>
        <v>0</v>
      </c>
      <c r="J333" t="str">
        <f>VLOOKUP(B333,Product!A:B,2,FALSE)</f>
        <v>Product QDOMO</v>
      </c>
      <c r="K333" t="str">
        <f>VLOOKUP(VLOOKUP(B333,Product!A:D,4,FALSE),Category!A:B,2,FALSE)</f>
        <v>Beverages</v>
      </c>
      <c r="L333" s="24">
        <f>IFERROR(VLOOKUP(A333,'Sales Order'!A:D,4,FALSE),"")</f>
        <v>39055</v>
      </c>
      <c r="M333" s="24">
        <f>IFERROR(VLOOKUP(A333,'Sales Order'!A:F,6,FALSE),"")</f>
        <v>39060</v>
      </c>
      <c r="N333" t="str">
        <f>IFERROR(VLOOKUP(VLOOKUP(A333,'Sales Order'!A:G,7,FALSE),Shipper!A:B,2,FALSE),"Not Specified")</f>
        <v>Shipper ETYNR</v>
      </c>
      <c r="O333" t="str">
        <f>IFERROR(VLOOKUP(A333,'Sales Order'!A:I,9,FALSE),"Not Specified")</f>
        <v>Ship to 62-A</v>
      </c>
      <c r="P333" t="str">
        <f>IFERROR(VLOOKUP(A333,'Sales Order'!A:N,14,FALSE),"Not Specified")</f>
        <v>Brazil</v>
      </c>
      <c r="Q333" t="str">
        <f>VLOOKUP(VLOOKUP(B333,Product!A:C,3,FALSE),Supplier!A:B,2,FALSE)</f>
        <v>Supplier LVJUA</v>
      </c>
      <c r="R333" t="str">
        <f>VLOOKUP(VLOOKUP(B333,Product!A:C,3,FALSE),Supplier!A:I,9,FALSE)</f>
        <v>France</v>
      </c>
      <c r="S333" t="str">
        <f>IFERROR(IF(VLOOKUP(A333,'Sales Order'!A:H,8,FALSE)&gt;100,"High Freight","Low Freight"),"Not Specified")</f>
        <v>High Freight</v>
      </c>
      <c r="T333">
        <f t="shared" si="11"/>
        <v>6324</v>
      </c>
    </row>
    <row r="334" spans="1:20">
      <c r="A334" s="9">
        <v>10372</v>
      </c>
      <c r="B334" s="6">
        <v>60</v>
      </c>
      <c r="C334" s="6">
        <v>27.2</v>
      </c>
      <c r="D334" s="6">
        <v>70</v>
      </c>
      <c r="E334" s="18">
        <v>0.25</v>
      </c>
      <c r="F334" s="6" t="str">
        <f>IFERROR(VLOOKUP(VLOOKUP(A334,'Sales Order'!A:B,2,FALSE),Customer!A:C,3,FALSE),"Not Specified")</f>
        <v>Misiec, Anna</v>
      </c>
      <c r="G334" s="6" t="str">
        <f t="shared" si="10"/>
        <v>Misiec Anna</v>
      </c>
      <c r="H334" s="22" t="str">
        <f>IFERROR(VLOOKUP(VLOOKUP(A334,'Sales Order'!A:C,3,FALSE),Employee!A:E,5,FALSE)&amp;" "&amp;VLOOKUP(VLOOKUP(A334,'Sales Order'!A:C,3,FALSE),Employee!A:C,3,FALSE)&amp;" "&amp;VLOOKUP(VLOOKUP(A334,'Sales Order'!A:C,3,FALSE),Employee!A:B,2,FALSE),"Not Specified")</f>
        <v>Mr. Sven Buck</v>
      </c>
      <c r="I334">
        <f>IFERROR(VLOOKUP(VLOOKUP(A334,'Sales Order'!A:C,3,FALSE),Employee!A:J,10,FALSE),"Not Specified")</f>
        <v>0</v>
      </c>
      <c r="J334" t="str">
        <f>VLOOKUP(B334,Product!A:B,2,FALSE)</f>
        <v>Product WHBYK</v>
      </c>
      <c r="K334" t="str">
        <f>VLOOKUP(VLOOKUP(B334,Product!A:D,4,FALSE),Category!A:B,2,FALSE)</f>
        <v>Dairy Product</v>
      </c>
      <c r="L334" s="24">
        <f>IFERROR(VLOOKUP(A334,'Sales Order'!A:D,4,FALSE),"")</f>
        <v>39055</v>
      </c>
      <c r="M334" s="24">
        <f>IFERROR(VLOOKUP(A334,'Sales Order'!A:F,6,FALSE),"")</f>
        <v>39060</v>
      </c>
      <c r="N334" t="str">
        <f>IFERROR(VLOOKUP(VLOOKUP(A334,'Sales Order'!A:G,7,FALSE),Shipper!A:B,2,FALSE),"Not Specified")</f>
        <v>Shipper ETYNR</v>
      </c>
      <c r="O334" t="str">
        <f>IFERROR(VLOOKUP(A334,'Sales Order'!A:I,9,FALSE),"Not Specified")</f>
        <v>Ship to 62-A</v>
      </c>
      <c r="P334" t="str">
        <f>IFERROR(VLOOKUP(A334,'Sales Order'!A:N,14,FALSE),"Not Specified")</f>
        <v>Brazil</v>
      </c>
      <c r="Q334" t="str">
        <f>VLOOKUP(VLOOKUP(B334,Product!A:C,3,FALSE),Supplier!A:B,2,FALSE)</f>
        <v>Supplier OAVQT</v>
      </c>
      <c r="R334" t="str">
        <f>VLOOKUP(VLOOKUP(B334,Product!A:C,3,FALSE),Supplier!A:I,9,FALSE)</f>
        <v>France</v>
      </c>
      <c r="S334" t="str">
        <f>IFERROR(IF(VLOOKUP(A334,'Sales Order'!A:H,8,FALSE)&gt;100,"High Freight","Low Freight"),"Not Specified")</f>
        <v>High Freight</v>
      </c>
      <c r="T334">
        <f t="shared" si="11"/>
        <v>1428</v>
      </c>
    </row>
    <row r="335" spans="1:20">
      <c r="A335" s="9">
        <v>10372</v>
      </c>
      <c r="B335" s="6">
        <v>72</v>
      </c>
      <c r="C335" s="6">
        <v>27.8</v>
      </c>
      <c r="D335" s="6">
        <v>42</v>
      </c>
      <c r="E335" s="18">
        <v>0.25</v>
      </c>
      <c r="F335" s="6" t="str">
        <f>IFERROR(VLOOKUP(VLOOKUP(A335,'Sales Order'!A:B,2,FALSE),Customer!A:C,3,FALSE),"Not Specified")</f>
        <v>Misiec, Anna</v>
      </c>
      <c r="G335" s="6" t="str">
        <f t="shared" si="10"/>
        <v>Misiec Anna</v>
      </c>
      <c r="H335" s="22" t="str">
        <f>IFERROR(VLOOKUP(VLOOKUP(A335,'Sales Order'!A:C,3,FALSE),Employee!A:E,5,FALSE)&amp;" "&amp;VLOOKUP(VLOOKUP(A335,'Sales Order'!A:C,3,FALSE),Employee!A:C,3,FALSE)&amp;" "&amp;VLOOKUP(VLOOKUP(A335,'Sales Order'!A:C,3,FALSE),Employee!A:B,2,FALSE),"Not Specified")</f>
        <v>Mr. Sven Buck</v>
      </c>
      <c r="I335">
        <f>IFERROR(VLOOKUP(VLOOKUP(A335,'Sales Order'!A:C,3,FALSE),Employee!A:J,10,FALSE),"Not Specified")</f>
        <v>0</v>
      </c>
      <c r="J335" t="str">
        <f>VLOOKUP(B335,Product!A:B,2,FALSE)</f>
        <v>Product GEEOO</v>
      </c>
      <c r="K335" t="str">
        <f>VLOOKUP(VLOOKUP(B335,Product!A:D,4,FALSE),Category!A:B,2,FALSE)</f>
        <v>Dairy Product</v>
      </c>
      <c r="L335" s="24">
        <f>IFERROR(VLOOKUP(A335,'Sales Order'!A:D,4,FALSE),"")</f>
        <v>39055</v>
      </c>
      <c r="M335" s="24">
        <f>IFERROR(VLOOKUP(A335,'Sales Order'!A:F,6,FALSE),"")</f>
        <v>39060</v>
      </c>
      <c r="N335" t="str">
        <f>IFERROR(VLOOKUP(VLOOKUP(A335,'Sales Order'!A:G,7,FALSE),Shipper!A:B,2,FALSE),"Not Specified")</f>
        <v>Shipper ETYNR</v>
      </c>
      <c r="O335" t="str">
        <f>IFERROR(VLOOKUP(A335,'Sales Order'!A:I,9,FALSE),"Not Specified")</f>
        <v>Ship to 62-A</v>
      </c>
      <c r="P335" t="str">
        <f>IFERROR(VLOOKUP(A335,'Sales Order'!A:N,14,FALSE),"Not Specified")</f>
        <v>Brazil</v>
      </c>
      <c r="Q335" t="str">
        <f>VLOOKUP(VLOOKUP(B335,Product!A:C,3,FALSE),Supplier!A:B,2,FALSE)</f>
        <v>Supplier KEREV</v>
      </c>
      <c r="R335" t="str">
        <f>VLOOKUP(VLOOKUP(B335,Product!A:C,3,FALSE),Supplier!A:I,9,FALSE)</f>
        <v>Italy</v>
      </c>
      <c r="S335" t="str">
        <f>IFERROR(IF(VLOOKUP(A335,'Sales Order'!A:H,8,FALSE)&gt;100,"High Freight","Low Freight"),"Not Specified")</f>
        <v>High Freight</v>
      </c>
      <c r="T335">
        <f t="shared" si="11"/>
        <v>875.7</v>
      </c>
    </row>
    <row r="336" spans="1:20">
      <c r="A336" s="9">
        <v>10373</v>
      </c>
      <c r="B336" s="6">
        <v>58</v>
      </c>
      <c r="C336" s="6">
        <v>10.6</v>
      </c>
      <c r="D336" s="6">
        <v>80</v>
      </c>
      <c r="E336" s="18">
        <v>0.2</v>
      </c>
      <c r="F336" s="6" t="str">
        <f>IFERROR(VLOOKUP(VLOOKUP(A336,'Sales Order'!A:B,2,FALSE),Customer!A:C,3,FALSE),"Not Specified")</f>
        <v>Crăciun, Ovidiu V.</v>
      </c>
      <c r="G336" s="6" t="str">
        <f t="shared" si="10"/>
        <v>Crăciun Ovidiu V.</v>
      </c>
      <c r="H336" s="22" t="str">
        <f>IFERROR(VLOOKUP(VLOOKUP(A336,'Sales Order'!A:C,3,FALSE),Employee!A:E,5,FALSE)&amp;" "&amp;VLOOKUP(VLOOKUP(A336,'Sales Order'!A:C,3,FALSE),Employee!A:C,3,FALSE)&amp;" "&amp;VLOOKUP(VLOOKUP(A336,'Sales Order'!A:C,3,FALSE),Employee!A:B,2,FALSE),"Not Specified")</f>
        <v>Mrs. Yael Peled</v>
      </c>
      <c r="I336" t="str">
        <f>IFERROR(VLOOKUP(VLOOKUP(A336,'Sales Order'!A:C,3,FALSE),Employee!A:J,10,FALSE),"Not Specified")</f>
        <v>WA</v>
      </c>
      <c r="J336" t="str">
        <f>VLOOKUP(B336,Product!A:B,2,FALSE)</f>
        <v>Product ACRVI</v>
      </c>
      <c r="K336" t="str">
        <f>VLOOKUP(VLOOKUP(B336,Product!A:D,4,FALSE),Category!A:B,2,FALSE)</f>
        <v>Seafood</v>
      </c>
      <c r="L336" s="24">
        <f>IFERROR(VLOOKUP(A336,'Sales Order'!A:D,4,FALSE),"")</f>
        <v>39056</v>
      </c>
      <c r="M336" s="24">
        <f>IFERROR(VLOOKUP(A336,'Sales Order'!A:F,6,FALSE),"")</f>
        <v>39062</v>
      </c>
      <c r="N336" t="str">
        <f>IFERROR(VLOOKUP(VLOOKUP(A336,'Sales Order'!A:G,7,FALSE),Shipper!A:B,2,FALSE),"Not Specified")</f>
        <v>Shipper ZHISN</v>
      </c>
      <c r="O336" t="str">
        <f>IFERROR(VLOOKUP(A336,'Sales Order'!A:I,9,FALSE),"Not Specified")</f>
        <v>Destination KPVYJ</v>
      </c>
      <c r="P336" t="str">
        <f>IFERROR(VLOOKUP(A336,'Sales Order'!A:N,14,FALSE),"Not Specified")</f>
        <v>Ireland</v>
      </c>
      <c r="Q336" t="str">
        <f>VLOOKUP(VLOOKUP(B336,Product!A:C,3,FALSE),Supplier!A:B,2,FALSE)</f>
        <v>Supplier ZRYDZ</v>
      </c>
      <c r="R336" t="str">
        <f>VLOOKUP(VLOOKUP(B336,Product!A:C,3,FALSE),Supplier!A:I,9,FALSE)</f>
        <v>France</v>
      </c>
      <c r="S336" t="str">
        <f>IFERROR(IF(VLOOKUP(A336,'Sales Order'!A:H,8,FALSE)&gt;100,"High Freight","Low Freight"),"Not Specified")</f>
        <v>High Freight</v>
      </c>
      <c r="T336">
        <f t="shared" si="11"/>
        <v>678.40000000000009</v>
      </c>
    </row>
    <row r="337" spans="1:20">
      <c r="A337" s="9">
        <v>10373</v>
      </c>
      <c r="B337" s="6">
        <v>71</v>
      </c>
      <c r="C337" s="6">
        <v>17.2</v>
      </c>
      <c r="D337" s="6">
        <v>50</v>
      </c>
      <c r="E337" s="18">
        <v>0.2</v>
      </c>
      <c r="F337" s="6" t="str">
        <f>IFERROR(VLOOKUP(VLOOKUP(A337,'Sales Order'!A:B,2,FALSE),Customer!A:C,3,FALSE),"Not Specified")</f>
        <v>Crăciun, Ovidiu V.</v>
      </c>
      <c r="G337" s="6" t="str">
        <f t="shared" si="10"/>
        <v>Crăciun Ovidiu V.</v>
      </c>
      <c r="H337" s="22" t="str">
        <f>IFERROR(VLOOKUP(VLOOKUP(A337,'Sales Order'!A:C,3,FALSE),Employee!A:E,5,FALSE)&amp;" "&amp;VLOOKUP(VLOOKUP(A337,'Sales Order'!A:C,3,FALSE),Employee!A:C,3,FALSE)&amp;" "&amp;VLOOKUP(VLOOKUP(A337,'Sales Order'!A:C,3,FALSE),Employee!A:B,2,FALSE),"Not Specified")</f>
        <v>Mrs. Yael Peled</v>
      </c>
      <c r="I337" t="str">
        <f>IFERROR(VLOOKUP(VLOOKUP(A337,'Sales Order'!A:C,3,FALSE),Employee!A:J,10,FALSE),"Not Specified")</f>
        <v>WA</v>
      </c>
      <c r="J337" t="str">
        <f>VLOOKUP(B337,Product!A:B,2,FALSE)</f>
        <v>Product MYMOI</v>
      </c>
      <c r="K337" t="str">
        <f>VLOOKUP(VLOOKUP(B337,Product!A:D,4,FALSE),Category!A:B,2,FALSE)</f>
        <v>Dairy Product</v>
      </c>
      <c r="L337" s="24">
        <f>IFERROR(VLOOKUP(A337,'Sales Order'!A:D,4,FALSE),"")</f>
        <v>39056</v>
      </c>
      <c r="M337" s="24">
        <f>IFERROR(VLOOKUP(A337,'Sales Order'!A:F,6,FALSE),"")</f>
        <v>39062</v>
      </c>
      <c r="N337" t="str">
        <f>IFERROR(VLOOKUP(VLOOKUP(A337,'Sales Order'!A:G,7,FALSE),Shipper!A:B,2,FALSE),"Not Specified")</f>
        <v>Shipper ZHISN</v>
      </c>
      <c r="O337" t="str">
        <f>IFERROR(VLOOKUP(A337,'Sales Order'!A:I,9,FALSE),"Not Specified")</f>
        <v>Destination KPVYJ</v>
      </c>
      <c r="P337" t="str">
        <f>IFERROR(VLOOKUP(A337,'Sales Order'!A:N,14,FALSE),"Not Specified")</f>
        <v>Ireland</v>
      </c>
      <c r="Q337" t="str">
        <f>VLOOKUP(VLOOKUP(B337,Product!A:C,3,FALSE),Supplier!A:B,2,FALSE)</f>
        <v>Supplier NZLIF</v>
      </c>
      <c r="R337" t="str">
        <f>VLOOKUP(VLOOKUP(B337,Product!A:C,3,FALSE),Supplier!A:I,9,FALSE)</f>
        <v>Norway</v>
      </c>
      <c r="S337" t="str">
        <f>IFERROR(IF(VLOOKUP(A337,'Sales Order'!A:H,8,FALSE)&gt;100,"High Freight","Low Freight"),"Not Specified")</f>
        <v>High Freight</v>
      </c>
      <c r="T337">
        <f t="shared" si="11"/>
        <v>688</v>
      </c>
    </row>
    <row r="338" spans="1:20">
      <c r="A338" s="9">
        <v>10374</v>
      </c>
      <c r="B338" s="6">
        <v>31</v>
      </c>
      <c r="C338" s="6">
        <v>10</v>
      </c>
      <c r="D338" s="6">
        <v>30</v>
      </c>
      <c r="E338" s="18">
        <v>0</v>
      </c>
      <c r="F338" s="6" t="str">
        <f>IFERROR(VLOOKUP(VLOOKUP(A338,'Sales Order'!A:B,2,FALSE),Customer!A:C,3,FALSE),"Not Specified")</f>
        <v>Conn, Steve</v>
      </c>
      <c r="G338" s="6" t="str">
        <f t="shared" si="10"/>
        <v>Conn Steve</v>
      </c>
      <c r="H338" s="22" t="str">
        <f>IFERROR(VLOOKUP(VLOOKUP(A338,'Sales Order'!A:C,3,FALSE),Employee!A:E,5,FALSE)&amp;" "&amp;VLOOKUP(VLOOKUP(A338,'Sales Order'!A:C,3,FALSE),Employee!A:C,3,FALSE)&amp;" "&amp;VLOOKUP(VLOOKUP(A338,'Sales Order'!A:C,3,FALSE),Employee!A:B,2,FALSE),"Not Specified")</f>
        <v>Ms. Sara Davis</v>
      </c>
      <c r="I338" t="str">
        <f>IFERROR(VLOOKUP(VLOOKUP(A338,'Sales Order'!A:C,3,FALSE),Employee!A:J,10,FALSE),"Not Specified")</f>
        <v>WA</v>
      </c>
      <c r="J338" t="str">
        <f>VLOOKUP(B338,Product!A:B,2,FALSE)</f>
        <v>Product XWOXC</v>
      </c>
      <c r="K338" t="str">
        <f>VLOOKUP(VLOOKUP(B338,Product!A:D,4,FALSE),Category!A:B,2,FALSE)</f>
        <v>Dairy Product</v>
      </c>
      <c r="L338" s="24">
        <f>IFERROR(VLOOKUP(A338,'Sales Order'!A:D,4,FALSE),"")</f>
        <v>39056</v>
      </c>
      <c r="M338" s="24">
        <f>IFERROR(VLOOKUP(A338,'Sales Order'!A:F,6,FALSE),"")</f>
        <v>39060</v>
      </c>
      <c r="N338" t="str">
        <f>IFERROR(VLOOKUP(VLOOKUP(A338,'Sales Order'!A:G,7,FALSE),Shipper!A:B,2,FALSE),"Not Specified")</f>
        <v>Shipper ZHISN</v>
      </c>
      <c r="O338" t="str">
        <f>IFERROR(VLOOKUP(A338,'Sales Order'!A:I,9,FALSE),"Not Specified")</f>
        <v>Ship to 91-A</v>
      </c>
      <c r="P338" t="str">
        <f>IFERROR(VLOOKUP(A338,'Sales Order'!A:N,14,FALSE),"Not Specified")</f>
        <v>Poland</v>
      </c>
      <c r="Q338" t="str">
        <f>VLOOKUP(VLOOKUP(B338,Product!A:C,3,FALSE),Supplier!A:B,2,FALSE)</f>
        <v>Supplier KEREV</v>
      </c>
      <c r="R338" t="str">
        <f>VLOOKUP(VLOOKUP(B338,Product!A:C,3,FALSE),Supplier!A:I,9,FALSE)</f>
        <v>Italy</v>
      </c>
      <c r="S338" t="str">
        <f>IFERROR(IF(VLOOKUP(A338,'Sales Order'!A:H,8,FALSE)&gt;100,"High Freight","Low Freight"),"Not Specified")</f>
        <v>Low Freight</v>
      </c>
      <c r="T338">
        <f t="shared" si="11"/>
        <v>300</v>
      </c>
    </row>
    <row r="339" spans="1:20">
      <c r="A339" s="9">
        <v>10374</v>
      </c>
      <c r="B339" s="6">
        <v>58</v>
      </c>
      <c r="C339" s="6">
        <v>10.6</v>
      </c>
      <c r="D339" s="6">
        <v>15</v>
      </c>
      <c r="E339" s="18">
        <v>0</v>
      </c>
      <c r="F339" s="6" t="str">
        <f>IFERROR(VLOOKUP(VLOOKUP(A339,'Sales Order'!A:B,2,FALSE),Customer!A:C,3,FALSE),"Not Specified")</f>
        <v>Conn, Steve</v>
      </c>
      <c r="G339" s="6" t="str">
        <f t="shared" si="10"/>
        <v>Conn Steve</v>
      </c>
      <c r="H339" s="22" t="str">
        <f>IFERROR(VLOOKUP(VLOOKUP(A339,'Sales Order'!A:C,3,FALSE),Employee!A:E,5,FALSE)&amp;" "&amp;VLOOKUP(VLOOKUP(A339,'Sales Order'!A:C,3,FALSE),Employee!A:C,3,FALSE)&amp;" "&amp;VLOOKUP(VLOOKUP(A339,'Sales Order'!A:C,3,FALSE),Employee!A:B,2,FALSE),"Not Specified")</f>
        <v>Ms. Sara Davis</v>
      </c>
      <c r="I339" t="str">
        <f>IFERROR(VLOOKUP(VLOOKUP(A339,'Sales Order'!A:C,3,FALSE),Employee!A:J,10,FALSE),"Not Specified")</f>
        <v>WA</v>
      </c>
      <c r="J339" t="str">
        <f>VLOOKUP(B339,Product!A:B,2,FALSE)</f>
        <v>Product ACRVI</v>
      </c>
      <c r="K339" t="str">
        <f>VLOOKUP(VLOOKUP(B339,Product!A:D,4,FALSE),Category!A:B,2,FALSE)</f>
        <v>Seafood</v>
      </c>
      <c r="L339" s="24">
        <f>IFERROR(VLOOKUP(A339,'Sales Order'!A:D,4,FALSE),"")</f>
        <v>39056</v>
      </c>
      <c r="M339" s="24">
        <f>IFERROR(VLOOKUP(A339,'Sales Order'!A:F,6,FALSE),"")</f>
        <v>39060</v>
      </c>
      <c r="N339" t="str">
        <f>IFERROR(VLOOKUP(VLOOKUP(A339,'Sales Order'!A:G,7,FALSE),Shipper!A:B,2,FALSE),"Not Specified")</f>
        <v>Shipper ZHISN</v>
      </c>
      <c r="O339" t="str">
        <f>IFERROR(VLOOKUP(A339,'Sales Order'!A:I,9,FALSE),"Not Specified")</f>
        <v>Ship to 91-A</v>
      </c>
      <c r="P339" t="str">
        <f>IFERROR(VLOOKUP(A339,'Sales Order'!A:N,14,FALSE),"Not Specified")</f>
        <v>Poland</v>
      </c>
      <c r="Q339" t="str">
        <f>VLOOKUP(VLOOKUP(B339,Product!A:C,3,FALSE),Supplier!A:B,2,FALSE)</f>
        <v>Supplier ZRYDZ</v>
      </c>
      <c r="R339" t="str">
        <f>VLOOKUP(VLOOKUP(B339,Product!A:C,3,FALSE),Supplier!A:I,9,FALSE)</f>
        <v>France</v>
      </c>
      <c r="S339" t="str">
        <f>IFERROR(IF(VLOOKUP(A339,'Sales Order'!A:H,8,FALSE)&gt;100,"High Freight","Low Freight"),"Not Specified")</f>
        <v>Low Freight</v>
      </c>
      <c r="T339">
        <f t="shared" si="11"/>
        <v>159</v>
      </c>
    </row>
    <row r="340" spans="1:20">
      <c r="A340" s="9">
        <v>10375</v>
      </c>
      <c r="B340" s="6">
        <v>14</v>
      </c>
      <c r="C340" s="6">
        <v>18.600000000000001</v>
      </c>
      <c r="D340" s="6">
        <v>15</v>
      </c>
      <c r="E340" s="18">
        <v>0</v>
      </c>
      <c r="F340" s="6" t="str">
        <f>IFERROR(VLOOKUP(VLOOKUP(A340,'Sales Order'!A:B,2,FALSE),Customer!A:C,3,FALSE),"Not Specified")</f>
        <v>Smith, Denise</v>
      </c>
      <c r="G340" s="6" t="str">
        <f t="shared" si="10"/>
        <v>Smith Denise</v>
      </c>
      <c r="H340" s="22" t="str">
        <f>IFERROR(VLOOKUP(VLOOKUP(A340,'Sales Order'!A:C,3,FALSE),Employee!A:E,5,FALSE)&amp;" "&amp;VLOOKUP(VLOOKUP(A340,'Sales Order'!A:C,3,FALSE),Employee!A:C,3,FALSE)&amp;" "&amp;VLOOKUP(VLOOKUP(A340,'Sales Order'!A:C,3,FALSE),Employee!A:B,2,FALSE),"Not Specified")</f>
        <v>Ms. Judy Lew</v>
      </c>
      <c r="I340" t="str">
        <f>IFERROR(VLOOKUP(VLOOKUP(A340,'Sales Order'!A:C,3,FALSE),Employee!A:J,10,FALSE),"Not Specified")</f>
        <v>WA</v>
      </c>
      <c r="J340" t="str">
        <f>VLOOKUP(B340,Product!A:B,2,FALSE)</f>
        <v>Product PWCJB</v>
      </c>
      <c r="K340" t="str">
        <f>VLOOKUP(VLOOKUP(B340,Product!A:D,4,FALSE),Category!A:B,2,FALSE)</f>
        <v>Produce</v>
      </c>
      <c r="L340" s="24">
        <f>IFERROR(VLOOKUP(A340,'Sales Order'!A:D,4,FALSE),"")</f>
        <v>39057</v>
      </c>
      <c r="M340" s="24">
        <f>IFERROR(VLOOKUP(A340,'Sales Order'!A:F,6,FALSE),"")</f>
        <v>39060</v>
      </c>
      <c r="N340" t="str">
        <f>IFERROR(VLOOKUP(VLOOKUP(A340,'Sales Order'!A:G,7,FALSE),Shipper!A:B,2,FALSE),"Not Specified")</f>
        <v>Shipper ETYNR</v>
      </c>
      <c r="O340" t="str">
        <f>IFERROR(VLOOKUP(A340,'Sales Order'!A:I,9,FALSE),"Not Specified")</f>
        <v>Destination HOHCR</v>
      </c>
      <c r="P340" t="str">
        <f>IFERROR(VLOOKUP(A340,'Sales Order'!A:N,14,FALSE),"Not Specified")</f>
        <v>USA</v>
      </c>
      <c r="Q340" t="str">
        <f>VLOOKUP(VLOOKUP(B340,Product!A:C,3,FALSE),Supplier!A:B,2,FALSE)</f>
        <v>Supplier QWUSF</v>
      </c>
      <c r="R340" t="str">
        <f>VLOOKUP(VLOOKUP(B340,Product!A:C,3,FALSE),Supplier!A:I,9,FALSE)</f>
        <v>Japan</v>
      </c>
      <c r="S340" t="str">
        <f>IFERROR(IF(VLOOKUP(A340,'Sales Order'!A:H,8,FALSE)&gt;100,"High Freight","Low Freight"),"Not Specified")</f>
        <v>Low Freight</v>
      </c>
      <c r="T340">
        <f t="shared" si="11"/>
        <v>279</v>
      </c>
    </row>
    <row r="341" spans="1:20">
      <c r="A341" s="9">
        <v>10375</v>
      </c>
      <c r="B341" s="6">
        <v>54</v>
      </c>
      <c r="C341" s="6">
        <v>5.9</v>
      </c>
      <c r="D341" s="6">
        <v>10</v>
      </c>
      <c r="E341" s="18">
        <v>0</v>
      </c>
      <c r="F341" s="6" t="str">
        <f>IFERROR(VLOOKUP(VLOOKUP(A341,'Sales Order'!A:B,2,FALSE),Customer!A:C,3,FALSE),"Not Specified")</f>
        <v>Smith, Denise</v>
      </c>
      <c r="G341" s="6" t="str">
        <f t="shared" si="10"/>
        <v>Smith Denise</v>
      </c>
      <c r="H341" s="22" t="str">
        <f>IFERROR(VLOOKUP(VLOOKUP(A341,'Sales Order'!A:C,3,FALSE),Employee!A:E,5,FALSE)&amp;" "&amp;VLOOKUP(VLOOKUP(A341,'Sales Order'!A:C,3,FALSE),Employee!A:C,3,FALSE)&amp;" "&amp;VLOOKUP(VLOOKUP(A341,'Sales Order'!A:C,3,FALSE),Employee!A:B,2,FALSE),"Not Specified")</f>
        <v>Ms. Judy Lew</v>
      </c>
      <c r="I341" t="str">
        <f>IFERROR(VLOOKUP(VLOOKUP(A341,'Sales Order'!A:C,3,FALSE),Employee!A:J,10,FALSE),"Not Specified")</f>
        <v>WA</v>
      </c>
      <c r="J341" t="str">
        <f>VLOOKUP(B341,Product!A:B,2,FALSE)</f>
        <v>Product QAQRL</v>
      </c>
      <c r="K341" t="str">
        <f>VLOOKUP(VLOOKUP(B341,Product!A:D,4,FALSE),Category!A:B,2,FALSE)</f>
        <v>Meat/Poultry</v>
      </c>
      <c r="L341" s="24">
        <f>IFERROR(VLOOKUP(A341,'Sales Order'!A:D,4,FALSE),"")</f>
        <v>39057</v>
      </c>
      <c r="M341" s="24">
        <f>IFERROR(VLOOKUP(A341,'Sales Order'!A:F,6,FALSE),"")</f>
        <v>39060</v>
      </c>
      <c r="N341" t="str">
        <f>IFERROR(VLOOKUP(VLOOKUP(A341,'Sales Order'!A:G,7,FALSE),Shipper!A:B,2,FALSE),"Not Specified")</f>
        <v>Shipper ETYNR</v>
      </c>
      <c r="O341" t="str">
        <f>IFERROR(VLOOKUP(A341,'Sales Order'!A:I,9,FALSE),"Not Specified")</f>
        <v>Destination HOHCR</v>
      </c>
      <c r="P341" t="str">
        <f>IFERROR(VLOOKUP(A341,'Sales Order'!A:N,14,FALSE),"Not Specified")</f>
        <v>USA</v>
      </c>
      <c r="Q341" t="str">
        <f>VLOOKUP(VLOOKUP(B341,Product!A:C,3,FALSE),Supplier!A:B,2,FALSE)</f>
        <v>Supplier ERVYZ</v>
      </c>
      <c r="R341" t="str">
        <f>VLOOKUP(VLOOKUP(B341,Product!A:C,3,FALSE),Supplier!A:I,9,FALSE)</f>
        <v>Canada</v>
      </c>
      <c r="S341" t="str">
        <f>IFERROR(IF(VLOOKUP(A341,'Sales Order'!A:H,8,FALSE)&gt;100,"High Freight","Low Freight"),"Not Specified")</f>
        <v>Low Freight</v>
      </c>
      <c r="T341">
        <f t="shared" si="11"/>
        <v>59</v>
      </c>
    </row>
    <row r="342" spans="1:20">
      <c r="A342" s="9">
        <v>10376</v>
      </c>
      <c r="B342" s="6">
        <v>31</v>
      </c>
      <c r="C342" s="6">
        <v>10</v>
      </c>
      <c r="D342" s="6">
        <v>42</v>
      </c>
      <c r="E342" s="18">
        <v>0.05</v>
      </c>
      <c r="F342" s="6" t="str">
        <f>IFERROR(VLOOKUP(VLOOKUP(A342,'Sales Order'!A:B,2,FALSE),Customer!A:C,3,FALSE),"Not Specified")</f>
        <v>Taylor, Maurice</v>
      </c>
      <c r="G342" s="6" t="str">
        <f t="shared" si="10"/>
        <v>Taylor Maurice</v>
      </c>
      <c r="H342" s="22" t="str">
        <f>IFERROR(VLOOKUP(VLOOKUP(A342,'Sales Order'!A:C,3,FALSE),Employee!A:E,5,FALSE)&amp;" "&amp;VLOOKUP(VLOOKUP(A342,'Sales Order'!A:C,3,FALSE),Employee!A:C,3,FALSE)&amp;" "&amp;VLOOKUP(VLOOKUP(A342,'Sales Order'!A:C,3,FALSE),Employee!A:B,2,FALSE),"Not Specified")</f>
        <v>Ms. Sara Davis</v>
      </c>
      <c r="I342" t="str">
        <f>IFERROR(VLOOKUP(VLOOKUP(A342,'Sales Order'!A:C,3,FALSE),Employee!A:J,10,FALSE),"Not Specified")</f>
        <v>WA</v>
      </c>
      <c r="J342" t="str">
        <f>VLOOKUP(B342,Product!A:B,2,FALSE)</f>
        <v>Product XWOXC</v>
      </c>
      <c r="K342" t="str">
        <f>VLOOKUP(VLOOKUP(B342,Product!A:D,4,FALSE),Category!A:B,2,FALSE)</f>
        <v>Dairy Product</v>
      </c>
      <c r="L342" s="24">
        <f>IFERROR(VLOOKUP(A342,'Sales Order'!A:D,4,FALSE),"")</f>
        <v>39060</v>
      </c>
      <c r="M342" s="24">
        <f>IFERROR(VLOOKUP(A342,'Sales Order'!A:F,6,FALSE),"")</f>
        <v>39064</v>
      </c>
      <c r="N342" t="str">
        <f>IFERROR(VLOOKUP(VLOOKUP(A342,'Sales Order'!A:G,7,FALSE),Shipper!A:B,2,FALSE),"Not Specified")</f>
        <v>Shipper ETYNR</v>
      </c>
      <c r="O342" t="str">
        <f>IFERROR(VLOOKUP(A342,'Sales Order'!A:I,9,FALSE),"Not Specified")</f>
        <v>Ship to 51-B</v>
      </c>
      <c r="P342" t="str">
        <f>IFERROR(VLOOKUP(A342,'Sales Order'!A:N,14,FALSE),"Not Specified")</f>
        <v>Canada</v>
      </c>
      <c r="Q342" t="str">
        <f>VLOOKUP(VLOOKUP(B342,Product!A:C,3,FALSE),Supplier!A:B,2,FALSE)</f>
        <v>Supplier KEREV</v>
      </c>
      <c r="R342" t="str">
        <f>VLOOKUP(VLOOKUP(B342,Product!A:C,3,FALSE),Supplier!A:I,9,FALSE)</f>
        <v>Italy</v>
      </c>
      <c r="S342" t="str">
        <f>IFERROR(IF(VLOOKUP(A342,'Sales Order'!A:H,8,FALSE)&gt;100,"High Freight","Low Freight"),"Not Specified")</f>
        <v>Low Freight</v>
      </c>
      <c r="T342">
        <f t="shared" si="11"/>
        <v>399</v>
      </c>
    </row>
    <row r="343" spans="1:20">
      <c r="A343" s="9">
        <v>10377</v>
      </c>
      <c r="B343" s="6">
        <v>28</v>
      </c>
      <c r="C343" s="6">
        <v>36.4</v>
      </c>
      <c r="D343" s="6">
        <v>20</v>
      </c>
      <c r="E343" s="18">
        <v>0.15</v>
      </c>
      <c r="F343" s="6" t="str">
        <f>IFERROR(VLOOKUP(VLOOKUP(A343,'Sales Order'!A:B,2,FALSE),Customer!A:C,3,FALSE),"Not Specified")</f>
        <v>Welcker, Brian</v>
      </c>
      <c r="G343" s="6" t="str">
        <f t="shared" si="10"/>
        <v>Welcker Brian</v>
      </c>
      <c r="H343" s="22" t="str">
        <f>IFERROR(VLOOKUP(VLOOKUP(A343,'Sales Order'!A:C,3,FALSE),Employee!A:E,5,FALSE)&amp;" "&amp;VLOOKUP(VLOOKUP(A343,'Sales Order'!A:C,3,FALSE),Employee!A:C,3,FALSE)&amp;" "&amp;VLOOKUP(VLOOKUP(A343,'Sales Order'!A:C,3,FALSE),Employee!A:B,2,FALSE),"Not Specified")</f>
        <v>Ms. Sara Davis</v>
      </c>
      <c r="I343" t="str">
        <f>IFERROR(VLOOKUP(VLOOKUP(A343,'Sales Order'!A:C,3,FALSE),Employee!A:J,10,FALSE),"Not Specified")</f>
        <v>WA</v>
      </c>
      <c r="J343" t="str">
        <f>VLOOKUP(B343,Product!A:B,2,FALSE)</f>
        <v>Product OFBNT</v>
      </c>
      <c r="K343" t="str">
        <f>VLOOKUP(VLOOKUP(B343,Product!A:D,4,FALSE),Category!A:B,2,FALSE)</f>
        <v>Produce</v>
      </c>
      <c r="L343" s="24">
        <f>IFERROR(VLOOKUP(A343,'Sales Order'!A:D,4,FALSE),"")</f>
        <v>39060</v>
      </c>
      <c r="M343" s="24">
        <f>IFERROR(VLOOKUP(A343,'Sales Order'!A:F,6,FALSE),"")</f>
        <v>39064</v>
      </c>
      <c r="N343" t="str">
        <f>IFERROR(VLOOKUP(VLOOKUP(A343,'Sales Order'!A:G,7,FALSE),Shipper!A:B,2,FALSE),"Not Specified")</f>
        <v>Shipper ZHISN</v>
      </c>
      <c r="O343" t="str">
        <f>IFERROR(VLOOKUP(A343,'Sales Order'!A:I,9,FALSE),"Not Specified")</f>
        <v>Ship to 72-C</v>
      </c>
      <c r="P343" t="str">
        <f>IFERROR(VLOOKUP(A343,'Sales Order'!A:N,14,FALSE),"Not Specified")</f>
        <v>UK</v>
      </c>
      <c r="Q343" t="str">
        <f>VLOOKUP(VLOOKUP(B343,Product!A:C,3,FALSE),Supplier!A:B,2,FALSE)</f>
        <v>Supplier SVIYA</v>
      </c>
      <c r="R343" t="str">
        <f>VLOOKUP(VLOOKUP(B343,Product!A:C,3,FALSE),Supplier!A:I,9,FALSE)</f>
        <v>Germany</v>
      </c>
      <c r="S343" t="str">
        <f>IFERROR(IF(VLOOKUP(A343,'Sales Order'!A:H,8,FALSE)&gt;100,"High Freight","Low Freight"),"Not Specified")</f>
        <v>Low Freight</v>
      </c>
      <c r="T343">
        <f t="shared" si="11"/>
        <v>618.79999999999995</v>
      </c>
    </row>
    <row r="344" spans="1:20">
      <c r="A344" s="9">
        <v>10377</v>
      </c>
      <c r="B344" s="6">
        <v>39</v>
      </c>
      <c r="C344" s="6">
        <v>14.4</v>
      </c>
      <c r="D344" s="6">
        <v>20</v>
      </c>
      <c r="E344" s="18">
        <v>0.15</v>
      </c>
      <c r="F344" s="6" t="str">
        <f>IFERROR(VLOOKUP(VLOOKUP(A344,'Sales Order'!A:B,2,FALSE),Customer!A:C,3,FALSE),"Not Specified")</f>
        <v>Welcker, Brian</v>
      </c>
      <c r="G344" s="6" t="str">
        <f t="shared" si="10"/>
        <v>Welcker Brian</v>
      </c>
      <c r="H344" s="22" t="str">
        <f>IFERROR(VLOOKUP(VLOOKUP(A344,'Sales Order'!A:C,3,FALSE),Employee!A:E,5,FALSE)&amp;" "&amp;VLOOKUP(VLOOKUP(A344,'Sales Order'!A:C,3,FALSE),Employee!A:C,3,FALSE)&amp;" "&amp;VLOOKUP(VLOOKUP(A344,'Sales Order'!A:C,3,FALSE),Employee!A:B,2,FALSE),"Not Specified")</f>
        <v>Ms. Sara Davis</v>
      </c>
      <c r="I344" t="str">
        <f>IFERROR(VLOOKUP(VLOOKUP(A344,'Sales Order'!A:C,3,FALSE),Employee!A:J,10,FALSE),"Not Specified")</f>
        <v>WA</v>
      </c>
      <c r="J344" t="str">
        <f>VLOOKUP(B344,Product!A:B,2,FALSE)</f>
        <v>Product LSOFL</v>
      </c>
      <c r="K344" t="str">
        <f>VLOOKUP(VLOOKUP(B344,Product!A:D,4,FALSE),Category!A:B,2,FALSE)</f>
        <v>Beverages</v>
      </c>
      <c r="L344" s="24">
        <f>IFERROR(VLOOKUP(A344,'Sales Order'!A:D,4,FALSE),"")</f>
        <v>39060</v>
      </c>
      <c r="M344" s="24">
        <f>IFERROR(VLOOKUP(A344,'Sales Order'!A:F,6,FALSE),"")</f>
        <v>39064</v>
      </c>
      <c r="N344" t="str">
        <f>IFERROR(VLOOKUP(VLOOKUP(A344,'Sales Order'!A:G,7,FALSE),Shipper!A:B,2,FALSE),"Not Specified")</f>
        <v>Shipper ZHISN</v>
      </c>
      <c r="O344" t="str">
        <f>IFERROR(VLOOKUP(A344,'Sales Order'!A:I,9,FALSE),"Not Specified")</f>
        <v>Ship to 72-C</v>
      </c>
      <c r="P344" t="str">
        <f>IFERROR(VLOOKUP(A344,'Sales Order'!A:N,14,FALSE),"Not Specified")</f>
        <v>UK</v>
      </c>
      <c r="Q344" t="str">
        <f>VLOOKUP(VLOOKUP(B344,Product!A:C,3,FALSE),Supplier!A:B,2,FALSE)</f>
        <v>Supplier LVJUA</v>
      </c>
      <c r="R344" t="str">
        <f>VLOOKUP(VLOOKUP(B344,Product!A:C,3,FALSE),Supplier!A:I,9,FALSE)</f>
        <v>France</v>
      </c>
      <c r="S344" t="str">
        <f>IFERROR(IF(VLOOKUP(A344,'Sales Order'!A:H,8,FALSE)&gt;100,"High Freight","Low Freight"),"Not Specified")</f>
        <v>Low Freight</v>
      </c>
      <c r="T344">
        <f t="shared" si="11"/>
        <v>244.79999999999998</v>
      </c>
    </row>
    <row r="345" spans="1:20">
      <c r="A345" s="9">
        <v>10378</v>
      </c>
      <c r="B345" s="6">
        <v>71</v>
      </c>
      <c r="C345" s="6">
        <v>17.2</v>
      </c>
      <c r="D345" s="6">
        <v>6</v>
      </c>
      <c r="E345" s="18">
        <v>0</v>
      </c>
      <c r="F345" s="6" t="str">
        <f>IFERROR(VLOOKUP(VLOOKUP(A345,'Sales Order'!A:B,2,FALSE),Customer!A:C,3,FALSE),"Not Specified")</f>
        <v>San Juan, Patricia</v>
      </c>
      <c r="G345" s="6" t="str">
        <f t="shared" si="10"/>
        <v>San Juan Patricia</v>
      </c>
      <c r="H345" s="22" t="str">
        <f>IFERROR(VLOOKUP(VLOOKUP(A345,'Sales Order'!A:C,3,FALSE),Employee!A:E,5,FALSE)&amp;" "&amp;VLOOKUP(VLOOKUP(A345,'Sales Order'!A:C,3,FALSE),Employee!A:C,3,FALSE)&amp;" "&amp;VLOOKUP(VLOOKUP(A345,'Sales Order'!A:C,3,FALSE),Employee!A:B,2,FALSE),"Not Specified")</f>
        <v>Mr. Sven Buck</v>
      </c>
      <c r="I345">
        <f>IFERROR(VLOOKUP(VLOOKUP(A345,'Sales Order'!A:C,3,FALSE),Employee!A:J,10,FALSE),"Not Specified")</f>
        <v>0</v>
      </c>
      <c r="J345" t="str">
        <f>VLOOKUP(B345,Product!A:B,2,FALSE)</f>
        <v>Product MYMOI</v>
      </c>
      <c r="K345" t="str">
        <f>VLOOKUP(VLOOKUP(B345,Product!A:D,4,FALSE),Category!A:B,2,FALSE)</f>
        <v>Dairy Product</v>
      </c>
      <c r="L345" s="24">
        <f>IFERROR(VLOOKUP(A345,'Sales Order'!A:D,4,FALSE),"")</f>
        <v>39061</v>
      </c>
      <c r="M345" s="24">
        <f>IFERROR(VLOOKUP(A345,'Sales Order'!A:F,6,FALSE),"")</f>
        <v>39070</v>
      </c>
      <c r="N345" t="str">
        <f>IFERROR(VLOOKUP(VLOOKUP(A345,'Sales Order'!A:G,7,FALSE),Shipper!A:B,2,FALSE),"Not Specified")</f>
        <v>Shipper ZHISN</v>
      </c>
      <c r="O345" t="str">
        <f>IFERROR(VLOOKUP(A345,'Sales Order'!A:I,9,FALSE),"Not Specified")</f>
        <v>Destination KBSBN</v>
      </c>
      <c r="P345" t="str">
        <f>IFERROR(VLOOKUP(A345,'Sales Order'!A:N,14,FALSE),"Not Specified")</f>
        <v>Sweden</v>
      </c>
      <c r="Q345" t="str">
        <f>VLOOKUP(VLOOKUP(B345,Product!A:C,3,FALSE),Supplier!A:B,2,FALSE)</f>
        <v>Supplier NZLIF</v>
      </c>
      <c r="R345" t="str">
        <f>VLOOKUP(VLOOKUP(B345,Product!A:C,3,FALSE),Supplier!A:I,9,FALSE)</f>
        <v>Norway</v>
      </c>
      <c r="S345" t="str">
        <f>IFERROR(IF(VLOOKUP(A345,'Sales Order'!A:H,8,FALSE)&gt;100,"High Freight","Low Freight"),"Not Specified")</f>
        <v>Low Freight</v>
      </c>
      <c r="T345">
        <f t="shared" si="11"/>
        <v>103.19999999999999</v>
      </c>
    </row>
    <row r="346" spans="1:20">
      <c r="A346" s="9">
        <v>10379</v>
      </c>
      <c r="B346" s="6">
        <v>41</v>
      </c>
      <c r="C346" s="6">
        <v>7.7</v>
      </c>
      <c r="D346" s="6">
        <v>8</v>
      </c>
      <c r="E346" s="18">
        <v>0.1</v>
      </c>
      <c r="F346" s="6" t="str">
        <f>IFERROR(VLOOKUP(VLOOKUP(A346,'Sales Order'!A:B,2,FALSE),Customer!A:C,3,FALSE),"Not Specified")</f>
        <v>Florczyk, Krzysztof</v>
      </c>
      <c r="G346" s="6" t="str">
        <f t="shared" si="10"/>
        <v>Florczyk Krzysztof</v>
      </c>
      <c r="H346" s="22" t="str">
        <f>IFERROR(VLOOKUP(VLOOKUP(A346,'Sales Order'!A:C,3,FALSE),Employee!A:E,5,FALSE)&amp;" "&amp;VLOOKUP(VLOOKUP(A346,'Sales Order'!A:C,3,FALSE),Employee!A:C,3,FALSE)&amp;" "&amp;VLOOKUP(VLOOKUP(A346,'Sales Order'!A:C,3,FALSE),Employee!A:B,2,FALSE),"Not Specified")</f>
        <v>Dr. Don Funk</v>
      </c>
      <c r="I346" t="str">
        <f>IFERROR(VLOOKUP(VLOOKUP(A346,'Sales Order'!A:C,3,FALSE),Employee!A:J,10,FALSE),"Not Specified")</f>
        <v>WA</v>
      </c>
      <c r="J346" t="str">
        <f>VLOOKUP(B346,Product!A:B,2,FALSE)</f>
        <v>Product TTEEX</v>
      </c>
      <c r="K346" t="str">
        <f>VLOOKUP(VLOOKUP(B346,Product!A:D,4,FALSE),Category!A:B,2,FALSE)</f>
        <v>Seafood</v>
      </c>
      <c r="L346" s="24">
        <f>IFERROR(VLOOKUP(A346,'Sales Order'!A:D,4,FALSE),"")</f>
        <v>39062</v>
      </c>
      <c r="M346" s="24">
        <f>IFERROR(VLOOKUP(A346,'Sales Order'!A:F,6,FALSE),"")</f>
        <v>39064</v>
      </c>
      <c r="N346" t="str">
        <f>IFERROR(VLOOKUP(VLOOKUP(A346,'Sales Order'!A:G,7,FALSE),Shipper!A:B,2,FALSE),"Not Specified")</f>
        <v>Shipper GVSUA</v>
      </c>
      <c r="O346" t="str">
        <f>IFERROR(VLOOKUP(A346,'Sales Order'!A:I,9,FALSE),"Not Specified")</f>
        <v>Ship to 61-B</v>
      </c>
      <c r="P346" t="str">
        <f>IFERROR(VLOOKUP(A346,'Sales Order'!A:N,14,FALSE),"Not Specified")</f>
        <v>Brazil</v>
      </c>
      <c r="Q346" t="str">
        <f>VLOOKUP(VLOOKUP(B346,Product!A:C,3,FALSE),Supplier!A:B,2,FALSE)</f>
        <v>Supplier JDNUG</v>
      </c>
      <c r="R346" t="str">
        <f>VLOOKUP(VLOOKUP(B346,Product!A:C,3,FALSE),Supplier!A:I,9,FALSE)</f>
        <v>USA</v>
      </c>
      <c r="S346" t="str">
        <f>IFERROR(IF(VLOOKUP(A346,'Sales Order'!A:H,8,FALSE)&gt;100,"High Freight","Low Freight"),"Not Specified")</f>
        <v>Low Freight</v>
      </c>
      <c r="T346">
        <f t="shared" si="11"/>
        <v>55.440000000000005</v>
      </c>
    </row>
    <row r="347" spans="1:20">
      <c r="A347" s="9">
        <v>10379</v>
      </c>
      <c r="B347" s="6">
        <v>63</v>
      </c>
      <c r="C347" s="6">
        <v>35.1</v>
      </c>
      <c r="D347" s="6">
        <v>16</v>
      </c>
      <c r="E347" s="18">
        <v>0.1</v>
      </c>
      <c r="F347" s="6" t="str">
        <f>IFERROR(VLOOKUP(VLOOKUP(A347,'Sales Order'!A:B,2,FALSE),Customer!A:C,3,FALSE),"Not Specified")</f>
        <v>Florczyk, Krzysztof</v>
      </c>
      <c r="G347" s="6" t="str">
        <f t="shared" si="10"/>
        <v>Florczyk Krzysztof</v>
      </c>
      <c r="H347" s="22" t="str">
        <f>IFERROR(VLOOKUP(VLOOKUP(A347,'Sales Order'!A:C,3,FALSE),Employee!A:E,5,FALSE)&amp;" "&amp;VLOOKUP(VLOOKUP(A347,'Sales Order'!A:C,3,FALSE),Employee!A:C,3,FALSE)&amp;" "&amp;VLOOKUP(VLOOKUP(A347,'Sales Order'!A:C,3,FALSE),Employee!A:B,2,FALSE),"Not Specified")</f>
        <v>Dr. Don Funk</v>
      </c>
      <c r="I347" t="str">
        <f>IFERROR(VLOOKUP(VLOOKUP(A347,'Sales Order'!A:C,3,FALSE),Employee!A:J,10,FALSE),"Not Specified")</f>
        <v>WA</v>
      </c>
      <c r="J347" t="str">
        <f>VLOOKUP(B347,Product!A:B,2,FALSE)</f>
        <v>Product ICKNK</v>
      </c>
      <c r="K347" t="str">
        <f>VLOOKUP(VLOOKUP(B347,Product!A:D,4,FALSE),Category!A:B,2,FALSE)</f>
        <v>Condiments</v>
      </c>
      <c r="L347" s="24">
        <f>IFERROR(VLOOKUP(A347,'Sales Order'!A:D,4,FALSE),"")</f>
        <v>39062</v>
      </c>
      <c r="M347" s="24">
        <f>IFERROR(VLOOKUP(A347,'Sales Order'!A:F,6,FALSE),"")</f>
        <v>39064</v>
      </c>
      <c r="N347" t="str">
        <f>IFERROR(VLOOKUP(VLOOKUP(A347,'Sales Order'!A:G,7,FALSE),Shipper!A:B,2,FALSE),"Not Specified")</f>
        <v>Shipper GVSUA</v>
      </c>
      <c r="O347" t="str">
        <f>IFERROR(VLOOKUP(A347,'Sales Order'!A:I,9,FALSE),"Not Specified")</f>
        <v>Ship to 61-B</v>
      </c>
      <c r="P347" t="str">
        <f>IFERROR(VLOOKUP(A347,'Sales Order'!A:N,14,FALSE),"Not Specified")</f>
        <v>Brazil</v>
      </c>
      <c r="Q347" t="str">
        <f>VLOOKUP(VLOOKUP(B347,Product!A:C,3,FALSE),Supplier!A:B,2,FALSE)</f>
        <v>Supplier GQRCV</v>
      </c>
      <c r="R347" t="str">
        <f>VLOOKUP(VLOOKUP(B347,Product!A:C,3,FALSE),Supplier!A:I,9,FALSE)</f>
        <v>Australia</v>
      </c>
      <c r="S347" t="str">
        <f>IFERROR(IF(VLOOKUP(A347,'Sales Order'!A:H,8,FALSE)&gt;100,"High Freight","Low Freight"),"Not Specified")</f>
        <v>Low Freight</v>
      </c>
      <c r="T347">
        <f t="shared" si="11"/>
        <v>505.44000000000005</v>
      </c>
    </row>
    <row r="348" spans="1:20">
      <c r="A348" s="9">
        <v>10379</v>
      </c>
      <c r="B348" s="6">
        <v>65</v>
      </c>
      <c r="C348" s="6">
        <v>16.8</v>
      </c>
      <c r="D348" s="6">
        <v>20</v>
      </c>
      <c r="E348" s="18">
        <v>0.1</v>
      </c>
      <c r="F348" s="6" t="str">
        <f>IFERROR(VLOOKUP(VLOOKUP(A348,'Sales Order'!A:B,2,FALSE),Customer!A:C,3,FALSE),"Not Specified")</f>
        <v>Florczyk, Krzysztof</v>
      </c>
      <c r="G348" s="6" t="str">
        <f t="shared" si="10"/>
        <v>Florczyk Krzysztof</v>
      </c>
      <c r="H348" s="22" t="str">
        <f>IFERROR(VLOOKUP(VLOOKUP(A348,'Sales Order'!A:C,3,FALSE),Employee!A:E,5,FALSE)&amp;" "&amp;VLOOKUP(VLOOKUP(A348,'Sales Order'!A:C,3,FALSE),Employee!A:C,3,FALSE)&amp;" "&amp;VLOOKUP(VLOOKUP(A348,'Sales Order'!A:C,3,FALSE),Employee!A:B,2,FALSE),"Not Specified")</f>
        <v>Dr. Don Funk</v>
      </c>
      <c r="I348" t="str">
        <f>IFERROR(VLOOKUP(VLOOKUP(A348,'Sales Order'!A:C,3,FALSE),Employee!A:J,10,FALSE),"Not Specified")</f>
        <v>WA</v>
      </c>
      <c r="J348" t="str">
        <f>VLOOKUP(B348,Product!A:B,2,FALSE)</f>
        <v>Product XYWBZ</v>
      </c>
      <c r="K348" t="str">
        <f>VLOOKUP(VLOOKUP(B348,Product!A:D,4,FALSE),Category!A:B,2,FALSE)</f>
        <v>Condiments</v>
      </c>
      <c r="L348" s="24">
        <f>IFERROR(VLOOKUP(A348,'Sales Order'!A:D,4,FALSE),"")</f>
        <v>39062</v>
      </c>
      <c r="M348" s="24">
        <f>IFERROR(VLOOKUP(A348,'Sales Order'!A:F,6,FALSE),"")</f>
        <v>39064</v>
      </c>
      <c r="N348" t="str">
        <f>IFERROR(VLOOKUP(VLOOKUP(A348,'Sales Order'!A:G,7,FALSE),Shipper!A:B,2,FALSE),"Not Specified")</f>
        <v>Shipper GVSUA</v>
      </c>
      <c r="O348" t="str">
        <f>IFERROR(VLOOKUP(A348,'Sales Order'!A:I,9,FALSE),"Not Specified")</f>
        <v>Ship to 61-B</v>
      </c>
      <c r="P348" t="str">
        <f>IFERROR(VLOOKUP(A348,'Sales Order'!A:N,14,FALSE),"Not Specified")</f>
        <v>Brazil</v>
      </c>
      <c r="Q348" t="str">
        <f>VLOOKUP(VLOOKUP(B348,Product!A:C,3,FALSE),Supplier!A:B,2,FALSE)</f>
        <v>Supplier VHQZD</v>
      </c>
      <c r="R348" t="str">
        <f>VLOOKUP(VLOOKUP(B348,Product!A:C,3,FALSE),Supplier!A:I,9,FALSE)</f>
        <v>USA</v>
      </c>
      <c r="S348" t="str">
        <f>IFERROR(IF(VLOOKUP(A348,'Sales Order'!A:H,8,FALSE)&gt;100,"High Freight","Low Freight"),"Not Specified")</f>
        <v>Low Freight</v>
      </c>
      <c r="T348">
        <f t="shared" si="11"/>
        <v>302.40000000000003</v>
      </c>
    </row>
    <row r="349" spans="1:20">
      <c r="A349" s="9">
        <v>10380</v>
      </c>
      <c r="B349" s="6">
        <v>30</v>
      </c>
      <c r="C349" s="6">
        <v>20.7</v>
      </c>
      <c r="D349" s="6">
        <v>18</v>
      </c>
      <c r="E349" s="18">
        <v>0.1</v>
      </c>
      <c r="F349" s="6" t="str">
        <f>IFERROR(VLOOKUP(VLOOKUP(A349,'Sales Order'!A:B,2,FALSE),Customer!A:C,3,FALSE),"Not Specified")</f>
        <v>Crăciun, Ovidiu V.</v>
      </c>
      <c r="G349" s="6" t="str">
        <f t="shared" si="10"/>
        <v>Crăciun Ovidiu V.</v>
      </c>
      <c r="H349" s="22" t="str">
        <f>IFERROR(VLOOKUP(VLOOKUP(A349,'Sales Order'!A:C,3,FALSE),Employee!A:E,5,FALSE)&amp;" "&amp;VLOOKUP(VLOOKUP(A349,'Sales Order'!A:C,3,FALSE),Employee!A:C,3,FALSE)&amp;" "&amp;VLOOKUP(VLOOKUP(A349,'Sales Order'!A:C,3,FALSE),Employee!A:B,2,FALSE),"Not Specified")</f>
        <v>Ms. Maria Cameron</v>
      </c>
      <c r="I349" t="str">
        <f>IFERROR(VLOOKUP(VLOOKUP(A349,'Sales Order'!A:C,3,FALSE),Employee!A:J,10,FALSE),"Not Specified")</f>
        <v>WA</v>
      </c>
      <c r="J349" t="str">
        <f>VLOOKUP(B349,Product!A:B,2,FALSE)</f>
        <v>Product LYERX</v>
      </c>
      <c r="K349" t="str">
        <f>VLOOKUP(VLOOKUP(B349,Product!A:D,4,FALSE),Category!A:B,2,FALSE)</f>
        <v>Seafood</v>
      </c>
      <c r="L349" s="24">
        <f>IFERROR(VLOOKUP(A349,'Sales Order'!A:D,4,FALSE),"")</f>
        <v>39063</v>
      </c>
      <c r="M349" s="24">
        <f>IFERROR(VLOOKUP(A349,'Sales Order'!A:F,6,FALSE),"")</f>
        <v>39098</v>
      </c>
      <c r="N349" t="str">
        <f>IFERROR(VLOOKUP(VLOOKUP(A349,'Sales Order'!A:G,7,FALSE),Shipper!A:B,2,FALSE),"Not Specified")</f>
        <v>Shipper ZHISN</v>
      </c>
      <c r="O349" t="str">
        <f>IFERROR(VLOOKUP(A349,'Sales Order'!A:I,9,FALSE),"Not Specified")</f>
        <v>Destination KPVYJ</v>
      </c>
      <c r="P349" t="str">
        <f>IFERROR(VLOOKUP(A349,'Sales Order'!A:N,14,FALSE),"Not Specified")</f>
        <v>Ireland</v>
      </c>
      <c r="Q349" t="str">
        <f>VLOOKUP(VLOOKUP(B349,Product!A:C,3,FALSE),Supplier!A:B,2,FALSE)</f>
        <v>Supplier TEGSC</v>
      </c>
      <c r="R349" t="str">
        <f>VLOOKUP(VLOOKUP(B349,Product!A:C,3,FALSE),Supplier!A:I,9,FALSE)</f>
        <v>Germany</v>
      </c>
      <c r="S349" t="str">
        <f>IFERROR(IF(VLOOKUP(A349,'Sales Order'!A:H,8,FALSE)&gt;100,"High Freight","Low Freight"),"Not Specified")</f>
        <v>Low Freight</v>
      </c>
      <c r="T349">
        <f t="shared" si="11"/>
        <v>335.34</v>
      </c>
    </row>
    <row r="350" spans="1:20">
      <c r="A350" s="9">
        <v>10380</v>
      </c>
      <c r="B350" s="6">
        <v>53</v>
      </c>
      <c r="C350" s="6">
        <v>26.2</v>
      </c>
      <c r="D350" s="6">
        <v>20</v>
      </c>
      <c r="E350" s="18">
        <v>0.1</v>
      </c>
      <c r="F350" s="6" t="str">
        <f>IFERROR(VLOOKUP(VLOOKUP(A350,'Sales Order'!A:B,2,FALSE),Customer!A:C,3,FALSE),"Not Specified")</f>
        <v>Crăciun, Ovidiu V.</v>
      </c>
      <c r="G350" s="6" t="str">
        <f t="shared" si="10"/>
        <v>Crăciun Ovidiu V.</v>
      </c>
      <c r="H350" s="22" t="str">
        <f>IFERROR(VLOOKUP(VLOOKUP(A350,'Sales Order'!A:C,3,FALSE),Employee!A:E,5,FALSE)&amp;" "&amp;VLOOKUP(VLOOKUP(A350,'Sales Order'!A:C,3,FALSE),Employee!A:C,3,FALSE)&amp;" "&amp;VLOOKUP(VLOOKUP(A350,'Sales Order'!A:C,3,FALSE),Employee!A:B,2,FALSE),"Not Specified")</f>
        <v>Ms. Maria Cameron</v>
      </c>
      <c r="I350" t="str">
        <f>IFERROR(VLOOKUP(VLOOKUP(A350,'Sales Order'!A:C,3,FALSE),Employee!A:J,10,FALSE),"Not Specified")</f>
        <v>WA</v>
      </c>
      <c r="J350" t="str">
        <f>VLOOKUP(B350,Product!A:B,2,FALSE)</f>
        <v>Product BKGEA</v>
      </c>
      <c r="K350" t="str">
        <f>VLOOKUP(VLOOKUP(B350,Product!A:D,4,FALSE),Category!A:B,2,FALSE)</f>
        <v>Meat/Poultry</v>
      </c>
      <c r="L350" s="24">
        <f>IFERROR(VLOOKUP(A350,'Sales Order'!A:D,4,FALSE),"")</f>
        <v>39063</v>
      </c>
      <c r="M350" s="24">
        <f>IFERROR(VLOOKUP(A350,'Sales Order'!A:F,6,FALSE),"")</f>
        <v>39098</v>
      </c>
      <c r="N350" t="str">
        <f>IFERROR(VLOOKUP(VLOOKUP(A350,'Sales Order'!A:G,7,FALSE),Shipper!A:B,2,FALSE),"Not Specified")</f>
        <v>Shipper ZHISN</v>
      </c>
      <c r="O350" t="str">
        <f>IFERROR(VLOOKUP(A350,'Sales Order'!A:I,9,FALSE),"Not Specified")</f>
        <v>Destination KPVYJ</v>
      </c>
      <c r="P350" t="str">
        <f>IFERROR(VLOOKUP(A350,'Sales Order'!A:N,14,FALSE),"Not Specified")</f>
        <v>Ireland</v>
      </c>
      <c r="Q350" t="str">
        <f>VLOOKUP(VLOOKUP(B350,Product!A:C,3,FALSE),Supplier!A:B,2,FALSE)</f>
        <v>Supplier JNNES</v>
      </c>
      <c r="R350" t="str">
        <f>VLOOKUP(VLOOKUP(B350,Product!A:C,3,FALSE),Supplier!A:I,9,FALSE)</f>
        <v>Australia</v>
      </c>
      <c r="S350" t="str">
        <f>IFERROR(IF(VLOOKUP(A350,'Sales Order'!A:H,8,FALSE)&gt;100,"High Freight","Low Freight"),"Not Specified")</f>
        <v>Low Freight</v>
      </c>
      <c r="T350">
        <f t="shared" si="11"/>
        <v>471.6</v>
      </c>
    </row>
    <row r="351" spans="1:20">
      <c r="A351" s="9">
        <v>10380</v>
      </c>
      <c r="B351" s="6">
        <v>60</v>
      </c>
      <c r="C351" s="6">
        <v>27.2</v>
      </c>
      <c r="D351" s="6">
        <v>6</v>
      </c>
      <c r="E351" s="18">
        <v>0.1</v>
      </c>
      <c r="F351" s="6" t="str">
        <f>IFERROR(VLOOKUP(VLOOKUP(A351,'Sales Order'!A:B,2,FALSE),Customer!A:C,3,FALSE),"Not Specified")</f>
        <v>Crăciun, Ovidiu V.</v>
      </c>
      <c r="G351" s="6" t="str">
        <f t="shared" si="10"/>
        <v>Crăciun Ovidiu V.</v>
      </c>
      <c r="H351" s="22" t="str">
        <f>IFERROR(VLOOKUP(VLOOKUP(A351,'Sales Order'!A:C,3,FALSE),Employee!A:E,5,FALSE)&amp;" "&amp;VLOOKUP(VLOOKUP(A351,'Sales Order'!A:C,3,FALSE),Employee!A:C,3,FALSE)&amp;" "&amp;VLOOKUP(VLOOKUP(A351,'Sales Order'!A:C,3,FALSE),Employee!A:B,2,FALSE),"Not Specified")</f>
        <v>Ms. Maria Cameron</v>
      </c>
      <c r="I351" t="str">
        <f>IFERROR(VLOOKUP(VLOOKUP(A351,'Sales Order'!A:C,3,FALSE),Employee!A:J,10,FALSE),"Not Specified")</f>
        <v>WA</v>
      </c>
      <c r="J351" t="str">
        <f>VLOOKUP(B351,Product!A:B,2,FALSE)</f>
        <v>Product WHBYK</v>
      </c>
      <c r="K351" t="str">
        <f>VLOOKUP(VLOOKUP(B351,Product!A:D,4,FALSE),Category!A:B,2,FALSE)</f>
        <v>Dairy Product</v>
      </c>
      <c r="L351" s="24">
        <f>IFERROR(VLOOKUP(A351,'Sales Order'!A:D,4,FALSE),"")</f>
        <v>39063</v>
      </c>
      <c r="M351" s="24">
        <f>IFERROR(VLOOKUP(A351,'Sales Order'!A:F,6,FALSE),"")</f>
        <v>39098</v>
      </c>
      <c r="N351" t="str">
        <f>IFERROR(VLOOKUP(VLOOKUP(A351,'Sales Order'!A:G,7,FALSE),Shipper!A:B,2,FALSE),"Not Specified")</f>
        <v>Shipper ZHISN</v>
      </c>
      <c r="O351" t="str">
        <f>IFERROR(VLOOKUP(A351,'Sales Order'!A:I,9,FALSE),"Not Specified")</f>
        <v>Destination KPVYJ</v>
      </c>
      <c r="P351" t="str">
        <f>IFERROR(VLOOKUP(A351,'Sales Order'!A:N,14,FALSE),"Not Specified")</f>
        <v>Ireland</v>
      </c>
      <c r="Q351" t="str">
        <f>VLOOKUP(VLOOKUP(B351,Product!A:C,3,FALSE),Supplier!A:B,2,FALSE)</f>
        <v>Supplier OAVQT</v>
      </c>
      <c r="R351" t="str">
        <f>VLOOKUP(VLOOKUP(B351,Product!A:C,3,FALSE),Supplier!A:I,9,FALSE)</f>
        <v>France</v>
      </c>
      <c r="S351" t="str">
        <f>IFERROR(IF(VLOOKUP(A351,'Sales Order'!A:H,8,FALSE)&gt;100,"High Freight","Low Freight"),"Not Specified")</f>
        <v>Low Freight</v>
      </c>
      <c r="T351">
        <f t="shared" si="11"/>
        <v>146.88</v>
      </c>
    </row>
    <row r="352" spans="1:20">
      <c r="A352" s="9">
        <v>10380</v>
      </c>
      <c r="B352" s="6">
        <v>70</v>
      </c>
      <c r="C352" s="6">
        <v>12</v>
      </c>
      <c r="D352" s="6">
        <v>30</v>
      </c>
      <c r="E352" s="18">
        <v>0</v>
      </c>
      <c r="F352" s="6" t="str">
        <f>IFERROR(VLOOKUP(VLOOKUP(A352,'Sales Order'!A:B,2,FALSE),Customer!A:C,3,FALSE),"Not Specified")</f>
        <v>Crăciun, Ovidiu V.</v>
      </c>
      <c r="G352" s="6" t="str">
        <f t="shared" si="10"/>
        <v>Crăciun Ovidiu V.</v>
      </c>
      <c r="H352" s="22" t="str">
        <f>IFERROR(VLOOKUP(VLOOKUP(A352,'Sales Order'!A:C,3,FALSE),Employee!A:E,5,FALSE)&amp;" "&amp;VLOOKUP(VLOOKUP(A352,'Sales Order'!A:C,3,FALSE),Employee!A:C,3,FALSE)&amp;" "&amp;VLOOKUP(VLOOKUP(A352,'Sales Order'!A:C,3,FALSE),Employee!A:B,2,FALSE),"Not Specified")</f>
        <v>Ms. Maria Cameron</v>
      </c>
      <c r="I352" t="str">
        <f>IFERROR(VLOOKUP(VLOOKUP(A352,'Sales Order'!A:C,3,FALSE),Employee!A:J,10,FALSE),"Not Specified")</f>
        <v>WA</v>
      </c>
      <c r="J352" t="str">
        <f>VLOOKUP(B352,Product!A:B,2,FALSE)</f>
        <v>Product TOONT</v>
      </c>
      <c r="K352" t="str">
        <f>VLOOKUP(VLOOKUP(B352,Product!A:D,4,FALSE),Category!A:B,2,FALSE)</f>
        <v>Beverages</v>
      </c>
      <c r="L352" s="24">
        <f>IFERROR(VLOOKUP(A352,'Sales Order'!A:D,4,FALSE),"")</f>
        <v>39063</v>
      </c>
      <c r="M352" s="24">
        <f>IFERROR(VLOOKUP(A352,'Sales Order'!A:F,6,FALSE),"")</f>
        <v>39098</v>
      </c>
      <c r="N352" t="str">
        <f>IFERROR(VLOOKUP(VLOOKUP(A352,'Sales Order'!A:G,7,FALSE),Shipper!A:B,2,FALSE),"Not Specified")</f>
        <v>Shipper ZHISN</v>
      </c>
      <c r="O352" t="str">
        <f>IFERROR(VLOOKUP(A352,'Sales Order'!A:I,9,FALSE),"Not Specified")</f>
        <v>Destination KPVYJ</v>
      </c>
      <c r="P352" t="str">
        <f>IFERROR(VLOOKUP(A352,'Sales Order'!A:N,14,FALSE),"Not Specified")</f>
        <v>Ireland</v>
      </c>
      <c r="Q352" t="str">
        <f>VLOOKUP(VLOOKUP(B352,Product!A:C,3,FALSE),Supplier!A:B,2,FALSE)</f>
        <v>Supplier GQRCV</v>
      </c>
      <c r="R352" t="str">
        <f>VLOOKUP(VLOOKUP(B352,Product!A:C,3,FALSE),Supplier!A:I,9,FALSE)</f>
        <v>Australia</v>
      </c>
      <c r="S352" t="str">
        <f>IFERROR(IF(VLOOKUP(A352,'Sales Order'!A:H,8,FALSE)&gt;100,"High Freight","Low Freight"),"Not Specified")</f>
        <v>Low Freight</v>
      </c>
      <c r="T352">
        <f t="shared" si="11"/>
        <v>360</v>
      </c>
    </row>
    <row r="353" spans="1:20">
      <c r="A353" s="9">
        <v>10381</v>
      </c>
      <c r="B353" s="6">
        <v>74</v>
      </c>
      <c r="C353" s="6">
        <v>8</v>
      </c>
      <c r="D353" s="6">
        <v>14</v>
      </c>
      <c r="E353" s="18">
        <v>0</v>
      </c>
      <c r="F353" s="6" t="str">
        <f>IFERROR(VLOOKUP(VLOOKUP(A353,'Sales Order'!A:B,2,FALSE),Customer!A:C,3,FALSE),"Not Specified")</f>
        <v>Dressler, Marlies</v>
      </c>
      <c r="G353" s="6" t="str">
        <f t="shared" si="10"/>
        <v>Dressler Marlies</v>
      </c>
      <c r="H353" s="22" t="str">
        <f>IFERROR(VLOOKUP(VLOOKUP(A353,'Sales Order'!A:C,3,FALSE),Employee!A:E,5,FALSE)&amp;" "&amp;VLOOKUP(VLOOKUP(A353,'Sales Order'!A:C,3,FALSE),Employee!A:C,3,FALSE)&amp;" "&amp;VLOOKUP(VLOOKUP(A353,'Sales Order'!A:C,3,FALSE),Employee!A:B,2,FALSE),"Not Specified")</f>
        <v>Ms. Judy Lew</v>
      </c>
      <c r="I353" t="str">
        <f>IFERROR(VLOOKUP(VLOOKUP(A353,'Sales Order'!A:C,3,FALSE),Employee!A:J,10,FALSE),"Not Specified")</f>
        <v>WA</v>
      </c>
      <c r="J353" t="str">
        <f>VLOOKUP(B353,Product!A:B,2,FALSE)</f>
        <v>Product BKAZJ</v>
      </c>
      <c r="K353" t="str">
        <f>VLOOKUP(VLOOKUP(B353,Product!A:D,4,FALSE),Category!A:B,2,FALSE)</f>
        <v>Produce</v>
      </c>
      <c r="L353" s="24">
        <f>IFERROR(VLOOKUP(A353,'Sales Order'!A:D,4,FALSE),"")</f>
        <v>39063</v>
      </c>
      <c r="M353" s="24">
        <f>IFERROR(VLOOKUP(A353,'Sales Order'!A:F,6,FALSE),"")</f>
        <v>39064</v>
      </c>
      <c r="N353" t="str">
        <f>IFERROR(VLOOKUP(VLOOKUP(A353,'Sales Order'!A:G,7,FALSE),Shipper!A:B,2,FALSE),"Not Specified")</f>
        <v>Shipper ZHISN</v>
      </c>
      <c r="O353" t="str">
        <f>IFERROR(VLOOKUP(A353,'Sales Order'!A:I,9,FALSE),"Not Specified")</f>
        <v>Ship to 46-C</v>
      </c>
      <c r="P353" t="str">
        <f>IFERROR(VLOOKUP(A353,'Sales Order'!A:N,14,FALSE),"Not Specified")</f>
        <v>Venezuela</v>
      </c>
      <c r="Q353" t="str">
        <f>VLOOKUP(VLOOKUP(B353,Product!A:C,3,FALSE),Supplier!A:B,2,FALSE)</f>
        <v>Supplier QOVFD</v>
      </c>
      <c r="R353" t="str">
        <f>VLOOKUP(VLOOKUP(B353,Product!A:C,3,FALSE),Supplier!A:I,9,FALSE)</f>
        <v>Japan</v>
      </c>
      <c r="S353" t="str">
        <f>IFERROR(IF(VLOOKUP(A353,'Sales Order'!A:H,8,FALSE)&gt;100,"High Freight","Low Freight"),"Not Specified")</f>
        <v>Low Freight</v>
      </c>
      <c r="T353">
        <f t="shared" si="11"/>
        <v>112</v>
      </c>
    </row>
    <row r="354" spans="1:20">
      <c r="A354" s="9">
        <v>10382</v>
      </c>
      <c r="B354" s="6">
        <v>5</v>
      </c>
      <c r="C354" s="6">
        <v>17</v>
      </c>
      <c r="D354" s="6">
        <v>32</v>
      </c>
      <c r="E354" s="18">
        <v>0</v>
      </c>
      <c r="F354" s="6" t="str">
        <f>IFERROR(VLOOKUP(VLOOKUP(A354,'Sales Order'!A:B,2,FALSE),Customer!A:C,3,FALSE),"Not Specified")</f>
        <v>Kane, John</v>
      </c>
      <c r="G354" s="6" t="str">
        <f t="shared" si="10"/>
        <v>Kane John</v>
      </c>
      <c r="H354" s="22" t="str">
        <f>IFERROR(VLOOKUP(VLOOKUP(A354,'Sales Order'!A:C,3,FALSE),Employee!A:E,5,FALSE)&amp;" "&amp;VLOOKUP(VLOOKUP(A354,'Sales Order'!A:C,3,FALSE),Employee!A:C,3,FALSE)&amp;" "&amp;VLOOKUP(VLOOKUP(A354,'Sales Order'!A:C,3,FALSE),Employee!A:B,2,FALSE),"Not Specified")</f>
        <v>Mrs. Yael Peled</v>
      </c>
      <c r="I354" t="str">
        <f>IFERROR(VLOOKUP(VLOOKUP(A354,'Sales Order'!A:C,3,FALSE),Employee!A:J,10,FALSE),"Not Specified")</f>
        <v>WA</v>
      </c>
      <c r="J354" t="str">
        <f>VLOOKUP(B354,Product!A:B,2,FALSE)</f>
        <v>Product EPEIM</v>
      </c>
      <c r="K354" t="str">
        <f>VLOOKUP(VLOOKUP(B354,Product!A:D,4,FALSE),Category!A:B,2,FALSE)</f>
        <v>Condiments</v>
      </c>
      <c r="L354" s="24">
        <f>IFERROR(VLOOKUP(A354,'Sales Order'!A:D,4,FALSE),"")</f>
        <v>39064</v>
      </c>
      <c r="M354" s="24">
        <f>IFERROR(VLOOKUP(A354,'Sales Order'!A:F,6,FALSE),"")</f>
        <v>39067</v>
      </c>
      <c r="N354" t="str">
        <f>IFERROR(VLOOKUP(VLOOKUP(A354,'Sales Order'!A:G,7,FALSE),Shipper!A:B,2,FALSE),"Not Specified")</f>
        <v>Shipper GVSUA</v>
      </c>
      <c r="O354" t="str">
        <f>IFERROR(VLOOKUP(A354,'Sales Order'!A:I,9,FALSE),"Not Specified")</f>
        <v>Destination FFXKT</v>
      </c>
      <c r="P354" t="str">
        <f>IFERROR(VLOOKUP(A354,'Sales Order'!A:N,14,FALSE),"Not Specified")</f>
        <v>Austria</v>
      </c>
      <c r="Q354" t="str">
        <f>VLOOKUP(VLOOKUP(B354,Product!A:C,3,FALSE),Supplier!A:B,2,FALSE)</f>
        <v>Supplier VHQZD</v>
      </c>
      <c r="R354" t="str">
        <f>VLOOKUP(VLOOKUP(B354,Product!A:C,3,FALSE),Supplier!A:I,9,FALSE)</f>
        <v>USA</v>
      </c>
      <c r="S354" t="str">
        <f>IFERROR(IF(VLOOKUP(A354,'Sales Order'!A:H,8,FALSE)&gt;100,"High Freight","Low Freight"),"Not Specified")</f>
        <v>Low Freight</v>
      </c>
      <c r="T354">
        <f t="shared" si="11"/>
        <v>544</v>
      </c>
    </row>
    <row r="355" spans="1:20">
      <c r="A355" s="9">
        <v>10382</v>
      </c>
      <c r="B355" s="6">
        <v>18</v>
      </c>
      <c r="C355" s="6">
        <v>50</v>
      </c>
      <c r="D355" s="6">
        <v>9</v>
      </c>
      <c r="E355" s="18">
        <v>0</v>
      </c>
      <c r="F355" s="6" t="str">
        <f>IFERROR(VLOOKUP(VLOOKUP(A355,'Sales Order'!A:B,2,FALSE),Customer!A:C,3,FALSE),"Not Specified")</f>
        <v>Kane, John</v>
      </c>
      <c r="G355" s="6" t="str">
        <f t="shared" si="10"/>
        <v>Kane John</v>
      </c>
      <c r="H355" s="22" t="str">
        <f>IFERROR(VLOOKUP(VLOOKUP(A355,'Sales Order'!A:C,3,FALSE),Employee!A:E,5,FALSE)&amp;" "&amp;VLOOKUP(VLOOKUP(A355,'Sales Order'!A:C,3,FALSE),Employee!A:C,3,FALSE)&amp;" "&amp;VLOOKUP(VLOOKUP(A355,'Sales Order'!A:C,3,FALSE),Employee!A:B,2,FALSE),"Not Specified")</f>
        <v>Mrs. Yael Peled</v>
      </c>
      <c r="I355" t="str">
        <f>IFERROR(VLOOKUP(VLOOKUP(A355,'Sales Order'!A:C,3,FALSE),Employee!A:J,10,FALSE),"Not Specified")</f>
        <v>WA</v>
      </c>
      <c r="J355" t="str">
        <f>VLOOKUP(B355,Product!A:B,2,FALSE)</f>
        <v>Product CKEDC</v>
      </c>
      <c r="K355" t="str">
        <f>VLOOKUP(VLOOKUP(B355,Product!A:D,4,FALSE),Category!A:B,2,FALSE)</f>
        <v>Seafood</v>
      </c>
      <c r="L355" s="24">
        <f>IFERROR(VLOOKUP(A355,'Sales Order'!A:D,4,FALSE),"")</f>
        <v>39064</v>
      </c>
      <c r="M355" s="24">
        <f>IFERROR(VLOOKUP(A355,'Sales Order'!A:F,6,FALSE),"")</f>
        <v>39067</v>
      </c>
      <c r="N355" t="str">
        <f>IFERROR(VLOOKUP(VLOOKUP(A355,'Sales Order'!A:G,7,FALSE),Shipper!A:B,2,FALSE),"Not Specified")</f>
        <v>Shipper GVSUA</v>
      </c>
      <c r="O355" t="str">
        <f>IFERROR(VLOOKUP(A355,'Sales Order'!A:I,9,FALSE),"Not Specified")</f>
        <v>Destination FFXKT</v>
      </c>
      <c r="P355" t="str">
        <f>IFERROR(VLOOKUP(A355,'Sales Order'!A:N,14,FALSE),"Not Specified")</f>
        <v>Austria</v>
      </c>
      <c r="Q355" t="str">
        <f>VLOOKUP(VLOOKUP(B355,Product!A:C,3,FALSE),Supplier!A:B,2,FALSE)</f>
        <v>Supplier GQRCV</v>
      </c>
      <c r="R355" t="str">
        <f>VLOOKUP(VLOOKUP(B355,Product!A:C,3,FALSE),Supplier!A:I,9,FALSE)</f>
        <v>Australia</v>
      </c>
      <c r="S355" t="str">
        <f>IFERROR(IF(VLOOKUP(A355,'Sales Order'!A:H,8,FALSE)&gt;100,"High Freight","Low Freight"),"Not Specified")</f>
        <v>Low Freight</v>
      </c>
      <c r="T355">
        <f t="shared" si="11"/>
        <v>450</v>
      </c>
    </row>
    <row r="356" spans="1:20">
      <c r="A356" s="9">
        <v>10382</v>
      </c>
      <c r="B356" s="6">
        <v>29</v>
      </c>
      <c r="C356" s="6">
        <v>99</v>
      </c>
      <c r="D356" s="6">
        <v>14</v>
      </c>
      <c r="E356" s="18">
        <v>0</v>
      </c>
      <c r="F356" s="6" t="str">
        <f>IFERROR(VLOOKUP(VLOOKUP(A356,'Sales Order'!A:B,2,FALSE),Customer!A:C,3,FALSE),"Not Specified")</f>
        <v>Kane, John</v>
      </c>
      <c r="G356" s="6" t="str">
        <f t="shared" si="10"/>
        <v>Kane John</v>
      </c>
      <c r="H356" s="22" t="str">
        <f>IFERROR(VLOOKUP(VLOOKUP(A356,'Sales Order'!A:C,3,FALSE),Employee!A:E,5,FALSE)&amp;" "&amp;VLOOKUP(VLOOKUP(A356,'Sales Order'!A:C,3,FALSE),Employee!A:C,3,FALSE)&amp;" "&amp;VLOOKUP(VLOOKUP(A356,'Sales Order'!A:C,3,FALSE),Employee!A:B,2,FALSE),"Not Specified")</f>
        <v>Mrs. Yael Peled</v>
      </c>
      <c r="I356" t="str">
        <f>IFERROR(VLOOKUP(VLOOKUP(A356,'Sales Order'!A:C,3,FALSE),Employee!A:J,10,FALSE),"Not Specified")</f>
        <v>WA</v>
      </c>
      <c r="J356" t="str">
        <f>VLOOKUP(B356,Product!A:B,2,FALSE)</f>
        <v>Product VJXYN</v>
      </c>
      <c r="K356" t="str">
        <f>VLOOKUP(VLOOKUP(B356,Product!A:D,4,FALSE),Category!A:B,2,FALSE)</f>
        <v>Meat/Poultry</v>
      </c>
      <c r="L356" s="24">
        <f>IFERROR(VLOOKUP(A356,'Sales Order'!A:D,4,FALSE),"")</f>
        <v>39064</v>
      </c>
      <c r="M356" s="24">
        <f>IFERROR(VLOOKUP(A356,'Sales Order'!A:F,6,FALSE),"")</f>
        <v>39067</v>
      </c>
      <c r="N356" t="str">
        <f>IFERROR(VLOOKUP(VLOOKUP(A356,'Sales Order'!A:G,7,FALSE),Shipper!A:B,2,FALSE),"Not Specified")</f>
        <v>Shipper GVSUA</v>
      </c>
      <c r="O356" t="str">
        <f>IFERROR(VLOOKUP(A356,'Sales Order'!A:I,9,FALSE),"Not Specified")</f>
        <v>Destination FFXKT</v>
      </c>
      <c r="P356" t="str">
        <f>IFERROR(VLOOKUP(A356,'Sales Order'!A:N,14,FALSE),"Not Specified")</f>
        <v>Austria</v>
      </c>
      <c r="Q356" t="str">
        <f>VLOOKUP(VLOOKUP(B356,Product!A:C,3,FALSE),Supplier!A:B,2,FALSE)</f>
        <v>Supplier SVIYA</v>
      </c>
      <c r="R356" t="str">
        <f>VLOOKUP(VLOOKUP(B356,Product!A:C,3,FALSE),Supplier!A:I,9,FALSE)</f>
        <v>Germany</v>
      </c>
      <c r="S356" t="str">
        <f>IFERROR(IF(VLOOKUP(A356,'Sales Order'!A:H,8,FALSE)&gt;100,"High Freight","Low Freight"),"Not Specified")</f>
        <v>Low Freight</v>
      </c>
      <c r="T356">
        <f t="shared" si="11"/>
        <v>1386</v>
      </c>
    </row>
    <row r="357" spans="1:20">
      <c r="A357" s="9">
        <v>10382</v>
      </c>
      <c r="B357" s="6">
        <v>33</v>
      </c>
      <c r="C357" s="6">
        <v>2</v>
      </c>
      <c r="D357" s="6">
        <v>60</v>
      </c>
      <c r="E357" s="18">
        <v>0</v>
      </c>
      <c r="F357" s="6" t="str">
        <f>IFERROR(VLOOKUP(VLOOKUP(A357,'Sales Order'!A:B,2,FALSE),Customer!A:C,3,FALSE),"Not Specified")</f>
        <v>Kane, John</v>
      </c>
      <c r="G357" s="6" t="str">
        <f t="shared" si="10"/>
        <v>Kane John</v>
      </c>
      <c r="H357" s="22" t="str">
        <f>IFERROR(VLOOKUP(VLOOKUP(A357,'Sales Order'!A:C,3,FALSE),Employee!A:E,5,FALSE)&amp;" "&amp;VLOOKUP(VLOOKUP(A357,'Sales Order'!A:C,3,FALSE),Employee!A:C,3,FALSE)&amp;" "&amp;VLOOKUP(VLOOKUP(A357,'Sales Order'!A:C,3,FALSE),Employee!A:B,2,FALSE),"Not Specified")</f>
        <v>Mrs. Yael Peled</v>
      </c>
      <c r="I357" t="str">
        <f>IFERROR(VLOOKUP(VLOOKUP(A357,'Sales Order'!A:C,3,FALSE),Employee!A:J,10,FALSE),"Not Specified")</f>
        <v>WA</v>
      </c>
      <c r="J357" t="str">
        <f>VLOOKUP(B357,Product!A:B,2,FALSE)</f>
        <v>Product ASTMN</v>
      </c>
      <c r="K357" t="str">
        <f>VLOOKUP(VLOOKUP(B357,Product!A:D,4,FALSE),Category!A:B,2,FALSE)</f>
        <v>Dairy Product</v>
      </c>
      <c r="L357" s="24">
        <f>IFERROR(VLOOKUP(A357,'Sales Order'!A:D,4,FALSE),"")</f>
        <v>39064</v>
      </c>
      <c r="M357" s="24">
        <f>IFERROR(VLOOKUP(A357,'Sales Order'!A:F,6,FALSE),"")</f>
        <v>39067</v>
      </c>
      <c r="N357" t="str">
        <f>IFERROR(VLOOKUP(VLOOKUP(A357,'Sales Order'!A:G,7,FALSE),Shipper!A:B,2,FALSE),"Not Specified")</f>
        <v>Shipper GVSUA</v>
      </c>
      <c r="O357" t="str">
        <f>IFERROR(VLOOKUP(A357,'Sales Order'!A:I,9,FALSE),"Not Specified")</f>
        <v>Destination FFXKT</v>
      </c>
      <c r="P357" t="str">
        <f>IFERROR(VLOOKUP(A357,'Sales Order'!A:N,14,FALSE),"Not Specified")</f>
        <v>Austria</v>
      </c>
      <c r="Q357" t="str">
        <f>VLOOKUP(VLOOKUP(B357,Product!A:C,3,FALSE),Supplier!A:B,2,FALSE)</f>
        <v>Supplier NZLIF</v>
      </c>
      <c r="R357" t="str">
        <f>VLOOKUP(VLOOKUP(B357,Product!A:C,3,FALSE),Supplier!A:I,9,FALSE)</f>
        <v>Norway</v>
      </c>
      <c r="S357" t="str">
        <f>IFERROR(IF(VLOOKUP(A357,'Sales Order'!A:H,8,FALSE)&gt;100,"High Freight","Low Freight"),"Not Specified")</f>
        <v>Low Freight</v>
      </c>
      <c r="T357">
        <f t="shared" si="11"/>
        <v>120</v>
      </c>
    </row>
    <row r="358" spans="1:20">
      <c r="A358" s="9">
        <v>10382</v>
      </c>
      <c r="B358" s="6">
        <v>74</v>
      </c>
      <c r="C358" s="6">
        <v>8</v>
      </c>
      <c r="D358" s="6">
        <v>50</v>
      </c>
      <c r="E358" s="18">
        <v>0</v>
      </c>
      <c r="F358" s="6" t="str">
        <f>IFERROR(VLOOKUP(VLOOKUP(A358,'Sales Order'!A:B,2,FALSE),Customer!A:C,3,FALSE),"Not Specified")</f>
        <v>Kane, John</v>
      </c>
      <c r="G358" s="6" t="str">
        <f t="shared" si="10"/>
        <v>Kane John</v>
      </c>
      <c r="H358" s="22" t="str">
        <f>IFERROR(VLOOKUP(VLOOKUP(A358,'Sales Order'!A:C,3,FALSE),Employee!A:E,5,FALSE)&amp;" "&amp;VLOOKUP(VLOOKUP(A358,'Sales Order'!A:C,3,FALSE),Employee!A:C,3,FALSE)&amp;" "&amp;VLOOKUP(VLOOKUP(A358,'Sales Order'!A:C,3,FALSE),Employee!A:B,2,FALSE),"Not Specified")</f>
        <v>Mrs. Yael Peled</v>
      </c>
      <c r="I358" t="str">
        <f>IFERROR(VLOOKUP(VLOOKUP(A358,'Sales Order'!A:C,3,FALSE),Employee!A:J,10,FALSE),"Not Specified")</f>
        <v>WA</v>
      </c>
      <c r="J358" t="str">
        <f>VLOOKUP(B358,Product!A:B,2,FALSE)</f>
        <v>Product BKAZJ</v>
      </c>
      <c r="K358" t="str">
        <f>VLOOKUP(VLOOKUP(B358,Product!A:D,4,FALSE),Category!A:B,2,FALSE)</f>
        <v>Produce</v>
      </c>
      <c r="L358" s="24">
        <f>IFERROR(VLOOKUP(A358,'Sales Order'!A:D,4,FALSE),"")</f>
        <v>39064</v>
      </c>
      <c r="M358" s="24">
        <f>IFERROR(VLOOKUP(A358,'Sales Order'!A:F,6,FALSE),"")</f>
        <v>39067</v>
      </c>
      <c r="N358" t="str">
        <f>IFERROR(VLOOKUP(VLOOKUP(A358,'Sales Order'!A:G,7,FALSE),Shipper!A:B,2,FALSE),"Not Specified")</f>
        <v>Shipper GVSUA</v>
      </c>
      <c r="O358" t="str">
        <f>IFERROR(VLOOKUP(A358,'Sales Order'!A:I,9,FALSE),"Not Specified")</f>
        <v>Destination FFXKT</v>
      </c>
      <c r="P358" t="str">
        <f>IFERROR(VLOOKUP(A358,'Sales Order'!A:N,14,FALSE),"Not Specified")</f>
        <v>Austria</v>
      </c>
      <c r="Q358" t="str">
        <f>VLOOKUP(VLOOKUP(B358,Product!A:C,3,FALSE),Supplier!A:B,2,FALSE)</f>
        <v>Supplier QOVFD</v>
      </c>
      <c r="R358" t="str">
        <f>VLOOKUP(VLOOKUP(B358,Product!A:C,3,FALSE),Supplier!A:I,9,FALSE)</f>
        <v>Japan</v>
      </c>
      <c r="S358" t="str">
        <f>IFERROR(IF(VLOOKUP(A358,'Sales Order'!A:H,8,FALSE)&gt;100,"High Freight","Low Freight"),"Not Specified")</f>
        <v>Low Freight</v>
      </c>
      <c r="T358">
        <f t="shared" si="11"/>
        <v>400</v>
      </c>
    </row>
    <row r="359" spans="1:20">
      <c r="A359" s="9">
        <v>10383</v>
      </c>
      <c r="B359" s="6">
        <v>13</v>
      </c>
      <c r="C359" s="6">
        <v>4.8</v>
      </c>
      <c r="D359" s="6">
        <v>20</v>
      </c>
      <c r="E359" s="18">
        <v>0</v>
      </c>
      <c r="F359" s="6" t="str">
        <f>IFERROR(VLOOKUP(VLOOKUP(A359,'Sales Order'!A:B,2,FALSE),Customer!A:C,3,FALSE),"Not Specified")</f>
        <v>Arndt, Torsten</v>
      </c>
      <c r="G359" s="6" t="str">
        <f t="shared" si="10"/>
        <v>Arndt Torsten</v>
      </c>
      <c r="H359" s="22" t="str">
        <f>IFERROR(VLOOKUP(VLOOKUP(A359,'Sales Order'!A:C,3,FALSE),Employee!A:E,5,FALSE)&amp;" "&amp;VLOOKUP(VLOOKUP(A359,'Sales Order'!A:C,3,FALSE),Employee!A:C,3,FALSE)&amp;" "&amp;VLOOKUP(VLOOKUP(A359,'Sales Order'!A:C,3,FALSE),Employee!A:B,2,FALSE),"Not Specified")</f>
        <v>Ms. Maria Cameron</v>
      </c>
      <c r="I359" t="str">
        <f>IFERROR(VLOOKUP(VLOOKUP(A359,'Sales Order'!A:C,3,FALSE),Employee!A:J,10,FALSE),"Not Specified")</f>
        <v>WA</v>
      </c>
      <c r="J359" t="str">
        <f>VLOOKUP(B359,Product!A:B,2,FALSE)</f>
        <v>Product POXFU</v>
      </c>
      <c r="K359" t="str">
        <f>VLOOKUP(VLOOKUP(B359,Product!A:D,4,FALSE),Category!A:B,2,FALSE)</f>
        <v>Seafood</v>
      </c>
      <c r="L359" s="24">
        <f>IFERROR(VLOOKUP(A359,'Sales Order'!A:D,4,FALSE),"")</f>
        <v>39067</v>
      </c>
      <c r="M359" s="24">
        <f>IFERROR(VLOOKUP(A359,'Sales Order'!A:F,6,FALSE),"")</f>
        <v>39069</v>
      </c>
      <c r="N359" t="str">
        <f>IFERROR(VLOOKUP(VLOOKUP(A359,'Sales Order'!A:G,7,FALSE),Shipper!A:B,2,FALSE),"Not Specified")</f>
        <v>Shipper ZHISN</v>
      </c>
      <c r="O359" t="str">
        <f>IFERROR(VLOOKUP(A359,'Sales Order'!A:I,9,FALSE),"Not Specified")</f>
        <v>Ship to 4-B</v>
      </c>
      <c r="P359" t="str">
        <f>IFERROR(VLOOKUP(A359,'Sales Order'!A:N,14,FALSE),"Not Specified")</f>
        <v>UK</v>
      </c>
      <c r="Q359" t="str">
        <f>VLOOKUP(VLOOKUP(B359,Product!A:C,3,FALSE),Supplier!A:B,2,FALSE)</f>
        <v>Supplier QWUSF</v>
      </c>
      <c r="R359" t="str">
        <f>VLOOKUP(VLOOKUP(B359,Product!A:C,3,FALSE),Supplier!A:I,9,FALSE)</f>
        <v>Japan</v>
      </c>
      <c r="S359" t="str">
        <f>IFERROR(IF(VLOOKUP(A359,'Sales Order'!A:H,8,FALSE)&gt;100,"High Freight","Low Freight"),"Not Specified")</f>
        <v>Low Freight</v>
      </c>
      <c r="T359">
        <f t="shared" si="11"/>
        <v>96</v>
      </c>
    </row>
    <row r="360" spans="1:20">
      <c r="A360" s="9">
        <v>10383</v>
      </c>
      <c r="B360" s="6">
        <v>50</v>
      </c>
      <c r="C360" s="6">
        <v>13</v>
      </c>
      <c r="D360" s="6">
        <v>15</v>
      </c>
      <c r="E360" s="18">
        <v>0</v>
      </c>
      <c r="F360" s="6" t="str">
        <f>IFERROR(VLOOKUP(VLOOKUP(A360,'Sales Order'!A:B,2,FALSE),Customer!A:C,3,FALSE),"Not Specified")</f>
        <v>Arndt, Torsten</v>
      </c>
      <c r="G360" s="6" t="str">
        <f t="shared" si="10"/>
        <v>Arndt Torsten</v>
      </c>
      <c r="H360" s="22" t="str">
        <f>IFERROR(VLOOKUP(VLOOKUP(A360,'Sales Order'!A:C,3,FALSE),Employee!A:E,5,FALSE)&amp;" "&amp;VLOOKUP(VLOOKUP(A360,'Sales Order'!A:C,3,FALSE),Employee!A:C,3,FALSE)&amp;" "&amp;VLOOKUP(VLOOKUP(A360,'Sales Order'!A:C,3,FALSE),Employee!A:B,2,FALSE),"Not Specified")</f>
        <v>Ms. Maria Cameron</v>
      </c>
      <c r="I360" t="str">
        <f>IFERROR(VLOOKUP(VLOOKUP(A360,'Sales Order'!A:C,3,FALSE),Employee!A:J,10,FALSE),"Not Specified")</f>
        <v>WA</v>
      </c>
      <c r="J360" t="str">
        <f>VLOOKUP(B360,Product!A:B,2,FALSE)</f>
        <v>Product BIUDV</v>
      </c>
      <c r="K360" t="str">
        <f>VLOOKUP(VLOOKUP(B360,Product!A:D,4,FALSE),Category!A:B,2,FALSE)</f>
        <v>Confections</v>
      </c>
      <c r="L360" s="24">
        <f>IFERROR(VLOOKUP(A360,'Sales Order'!A:D,4,FALSE),"")</f>
        <v>39067</v>
      </c>
      <c r="M360" s="24">
        <f>IFERROR(VLOOKUP(A360,'Sales Order'!A:F,6,FALSE),"")</f>
        <v>39069</v>
      </c>
      <c r="N360" t="str">
        <f>IFERROR(VLOOKUP(VLOOKUP(A360,'Sales Order'!A:G,7,FALSE),Shipper!A:B,2,FALSE),"Not Specified")</f>
        <v>Shipper ZHISN</v>
      </c>
      <c r="O360" t="str">
        <f>IFERROR(VLOOKUP(A360,'Sales Order'!A:I,9,FALSE),"Not Specified")</f>
        <v>Ship to 4-B</v>
      </c>
      <c r="P360" t="str">
        <f>IFERROR(VLOOKUP(A360,'Sales Order'!A:N,14,FALSE),"Not Specified")</f>
        <v>UK</v>
      </c>
      <c r="Q360" t="str">
        <f>VLOOKUP(VLOOKUP(B360,Product!A:C,3,FALSE),Supplier!A:B,2,FALSE)</f>
        <v>Supplier ELCRN</v>
      </c>
      <c r="R360" t="str">
        <f>VLOOKUP(VLOOKUP(B360,Product!A:C,3,FALSE),Supplier!A:I,9,FALSE)</f>
        <v>Finland</v>
      </c>
      <c r="S360" t="str">
        <f>IFERROR(IF(VLOOKUP(A360,'Sales Order'!A:H,8,FALSE)&gt;100,"High Freight","Low Freight"),"Not Specified")</f>
        <v>Low Freight</v>
      </c>
      <c r="T360">
        <f t="shared" si="11"/>
        <v>195</v>
      </c>
    </row>
    <row r="361" spans="1:20">
      <c r="A361" s="9">
        <v>10383</v>
      </c>
      <c r="B361" s="6">
        <v>56</v>
      </c>
      <c r="C361" s="6">
        <v>30.4</v>
      </c>
      <c r="D361" s="6">
        <v>20</v>
      </c>
      <c r="E361" s="18">
        <v>0</v>
      </c>
      <c r="F361" s="6" t="str">
        <f>IFERROR(VLOOKUP(VLOOKUP(A361,'Sales Order'!A:B,2,FALSE),Customer!A:C,3,FALSE),"Not Specified")</f>
        <v>Arndt, Torsten</v>
      </c>
      <c r="G361" s="6" t="str">
        <f t="shared" si="10"/>
        <v>Arndt Torsten</v>
      </c>
      <c r="H361" s="22" t="str">
        <f>IFERROR(VLOOKUP(VLOOKUP(A361,'Sales Order'!A:C,3,FALSE),Employee!A:E,5,FALSE)&amp;" "&amp;VLOOKUP(VLOOKUP(A361,'Sales Order'!A:C,3,FALSE),Employee!A:C,3,FALSE)&amp;" "&amp;VLOOKUP(VLOOKUP(A361,'Sales Order'!A:C,3,FALSE),Employee!A:B,2,FALSE),"Not Specified")</f>
        <v>Ms. Maria Cameron</v>
      </c>
      <c r="I361" t="str">
        <f>IFERROR(VLOOKUP(VLOOKUP(A361,'Sales Order'!A:C,3,FALSE),Employee!A:J,10,FALSE),"Not Specified")</f>
        <v>WA</v>
      </c>
      <c r="J361" t="str">
        <f>VLOOKUP(B361,Product!A:B,2,FALSE)</f>
        <v>Product VKCMF</v>
      </c>
      <c r="K361" t="str">
        <f>VLOOKUP(VLOOKUP(B361,Product!A:D,4,FALSE),Category!A:B,2,FALSE)</f>
        <v>Grains/Cereals</v>
      </c>
      <c r="L361" s="24">
        <f>IFERROR(VLOOKUP(A361,'Sales Order'!A:D,4,FALSE),"")</f>
        <v>39067</v>
      </c>
      <c r="M361" s="24">
        <f>IFERROR(VLOOKUP(A361,'Sales Order'!A:F,6,FALSE),"")</f>
        <v>39069</v>
      </c>
      <c r="N361" t="str">
        <f>IFERROR(VLOOKUP(VLOOKUP(A361,'Sales Order'!A:G,7,FALSE),Shipper!A:B,2,FALSE),"Not Specified")</f>
        <v>Shipper ZHISN</v>
      </c>
      <c r="O361" t="str">
        <f>IFERROR(VLOOKUP(A361,'Sales Order'!A:I,9,FALSE),"Not Specified")</f>
        <v>Ship to 4-B</v>
      </c>
      <c r="P361" t="str">
        <f>IFERROR(VLOOKUP(A361,'Sales Order'!A:N,14,FALSE),"Not Specified")</f>
        <v>UK</v>
      </c>
      <c r="Q361" t="str">
        <f>VLOOKUP(VLOOKUP(B361,Product!A:C,3,FALSE),Supplier!A:B,2,FALSE)</f>
        <v>Supplier ZWZDM</v>
      </c>
      <c r="R361" t="str">
        <f>VLOOKUP(VLOOKUP(B361,Product!A:C,3,FALSE),Supplier!A:I,9,FALSE)</f>
        <v>Italy</v>
      </c>
      <c r="S361" t="str">
        <f>IFERROR(IF(VLOOKUP(A361,'Sales Order'!A:H,8,FALSE)&gt;100,"High Freight","Low Freight"),"Not Specified")</f>
        <v>Low Freight</v>
      </c>
      <c r="T361">
        <f t="shared" si="11"/>
        <v>608</v>
      </c>
    </row>
    <row r="362" spans="1:20">
      <c r="A362" s="9">
        <v>10384</v>
      </c>
      <c r="B362" s="6">
        <v>20</v>
      </c>
      <c r="C362" s="6">
        <v>64.8</v>
      </c>
      <c r="D362" s="6">
        <v>28</v>
      </c>
      <c r="E362" s="18">
        <v>0</v>
      </c>
      <c r="F362" s="6" t="str">
        <f>IFERROR(VLOOKUP(VLOOKUP(A362,'Sales Order'!A:B,2,FALSE),Customer!A:C,3,FALSE),"Not Specified")</f>
        <v>Higginbotham, Tom</v>
      </c>
      <c r="G362" s="6" t="str">
        <f t="shared" si="10"/>
        <v>Higginbotham Tom</v>
      </c>
      <c r="H362" s="22" t="str">
        <f>IFERROR(VLOOKUP(VLOOKUP(A362,'Sales Order'!A:C,3,FALSE),Employee!A:E,5,FALSE)&amp;" "&amp;VLOOKUP(VLOOKUP(A362,'Sales Order'!A:C,3,FALSE),Employee!A:C,3,FALSE)&amp;" "&amp;VLOOKUP(VLOOKUP(A362,'Sales Order'!A:C,3,FALSE),Employee!A:B,2,FALSE),"Not Specified")</f>
        <v>Ms. Judy Lew</v>
      </c>
      <c r="I362" t="str">
        <f>IFERROR(VLOOKUP(VLOOKUP(A362,'Sales Order'!A:C,3,FALSE),Employee!A:J,10,FALSE),"Not Specified")</f>
        <v>WA</v>
      </c>
      <c r="J362" t="str">
        <f>VLOOKUP(B362,Product!A:B,2,FALSE)</f>
        <v>Product QHFFP</v>
      </c>
      <c r="K362" t="str">
        <f>VLOOKUP(VLOOKUP(B362,Product!A:D,4,FALSE),Category!A:B,2,FALSE)</f>
        <v>Confections</v>
      </c>
      <c r="L362" s="24">
        <f>IFERROR(VLOOKUP(A362,'Sales Order'!A:D,4,FALSE),"")</f>
        <v>39067</v>
      </c>
      <c r="M362" s="24">
        <f>IFERROR(VLOOKUP(A362,'Sales Order'!A:F,6,FALSE),"")</f>
        <v>39071</v>
      </c>
      <c r="N362" t="str">
        <f>IFERROR(VLOOKUP(VLOOKUP(A362,'Sales Order'!A:G,7,FALSE),Shipper!A:B,2,FALSE),"Not Specified")</f>
        <v>Shipper ZHISN</v>
      </c>
      <c r="O362" t="str">
        <f>IFERROR(VLOOKUP(A362,'Sales Order'!A:I,9,FALSE),"Not Specified")</f>
        <v>Ship to 5-C</v>
      </c>
      <c r="P362" t="str">
        <f>IFERROR(VLOOKUP(A362,'Sales Order'!A:N,14,FALSE),"Not Specified")</f>
        <v>Sweden</v>
      </c>
      <c r="Q362" t="str">
        <f>VLOOKUP(VLOOKUP(B362,Product!A:C,3,FALSE),Supplier!A:B,2,FALSE)</f>
        <v>Supplier BWGYE</v>
      </c>
      <c r="R362" t="str">
        <f>VLOOKUP(VLOOKUP(B362,Product!A:C,3,FALSE),Supplier!A:I,9,FALSE)</f>
        <v>UK</v>
      </c>
      <c r="S362" t="str">
        <f>IFERROR(IF(VLOOKUP(A362,'Sales Order'!A:H,8,FALSE)&gt;100,"High Freight","Low Freight"),"Not Specified")</f>
        <v>High Freight</v>
      </c>
      <c r="T362">
        <f t="shared" si="11"/>
        <v>1814.3999999999999</v>
      </c>
    </row>
    <row r="363" spans="1:20">
      <c r="A363" s="9">
        <v>10384</v>
      </c>
      <c r="B363" s="6">
        <v>60</v>
      </c>
      <c r="C363" s="6">
        <v>27.2</v>
      </c>
      <c r="D363" s="6">
        <v>15</v>
      </c>
      <c r="E363" s="18">
        <v>0</v>
      </c>
      <c r="F363" s="6" t="str">
        <f>IFERROR(VLOOKUP(VLOOKUP(A363,'Sales Order'!A:B,2,FALSE),Customer!A:C,3,FALSE),"Not Specified")</f>
        <v>Higginbotham, Tom</v>
      </c>
      <c r="G363" s="6" t="str">
        <f t="shared" si="10"/>
        <v>Higginbotham Tom</v>
      </c>
      <c r="H363" s="22" t="str">
        <f>IFERROR(VLOOKUP(VLOOKUP(A363,'Sales Order'!A:C,3,FALSE),Employee!A:E,5,FALSE)&amp;" "&amp;VLOOKUP(VLOOKUP(A363,'Sales Order'!A:C,3,FALSE),Employee!A:C,3,FALSE)&amp;" "&amp;VLOOKUP(VLOOKUP(A363,'Sales Order'!A:C,3,FALSE),Employee!A:B,2,FALSE),"Not Specified")</f>
        <v>Ms. Judy Lew</v>
      </c>
      <c r="I363" t="str">
        <f>IFERROR(VLOOKUP(VLOOKUP(A363,'Sales Order'!A:C,3,FALSE),Employee!A:J,10,FALSE),"Not Specified")</f>
        <v>WA</v>
      </c>
      <c r="J363" t="str">
        <f>VLOOKUP(B363,Product!A:B,2,FALSE)</f>
        <v>Product WHBYK</v>
      </c>
      <c r="K363" t="str">
        <f>VLOOKUP(VLOOKUP(B363,Product!A:D,4,FALSE),Category!A:B,2,FALSE)</f>
        <v>Dairy Product</v>
      </c>
      <c r="L363" s="24">
        <f>IFERROR(VLOOKUP(A363,'Sales Order'!A:D,4,FALSE),"")</f>
        <v>39067</v>
      </c>
      <c r="M363" s="24">
        <f>IFERROR(VLOOKUP(A363,'Sales Order'!A:F,6,FALSE),"")</f>
        <v>39071</v>
      </c>
      <c r="N363" t="str">
        <f>IFERROR(VLOOKUP(VLOOKUP(A363,'Sales Order'!A:G,7,FALSE),Shipper!A:B,2,FALSE),"Not Specified")</f>
        <v>Shipper ZHISN</v>
      </c>
      <c r="O363" t="str">
        <f>IFERROR(VLOOKUP(A363,'Sales Order'!A:I,9,FALSE),"Not Specified")</f>
        <v>Ship to 5-C</v>
      </c>
      <c r="P363" t="str">
        <f>IFERROR(VLOOKUP(A363,'Sales Order'!A:N,14,FALSE),"Not Specified")</f>
        <v>Sweden</v>
      </c>
      <c r="Q363" t="str">
        <f>VLOOKUP(VLOOKUP(B363,Product!A:C,3,FALSE),Supplier!A:B,2,FALSE)</f>
        <v>Supplier OAVQT</v>
      </c>
      <c r="R363" t="str">
        <f>VLOOKUP(VLOOKUP(B363,Product!A:C,3,FALSE),Supplier!A:I,9,FALSE)</f>
        <v>France</v>
      </c>
      <c r="S363" t="str">
        <f>IFERROR(IF(VLOOKUP(A363,'Sales Order'!A:H,8,FALSE)&gt;100,"High Freight","Low Freight"),"Not Specified")</f>
        <v>High Freight</v>
      </c>
      <c r="T363">
        <f t="shared" si="11"/>
        <v>408</v>
      </c>
    </row>
    <row r="364" spans="1:20">
      <c r="A364" s="9">
        <v>10385</v>
      </c>
      <c r="B364" s="6">
        <v>7</v>
      </c>
      <c r="C364" s="6">
        <v>24</v>
      </c>
      <c r="D364" s="6">
        <v>10</v>
      </c>
      <c r="E364" s="18">
        <v>0.2</v>
      </c>
      <c r="F364" s="6" t="str">
        <f>IFERROR(VLOOKUP(VLOOKUP(A364,'Sales Order'!A:B,2,FALSE),Customer!A:C,3,FALSE),"Not Specified")</f>
        <v>Wojciechowska, Agnieszka</v>
      </c>
      <c r="G364" s="6" t="str">
        <f t="shared" si="10"/>
        <v>Wojciechowska Agnieszka</v>
      </c>
      <c r="H364" s="22" t="str">
        <f>IFERROR(VLOOKUP(VLOOKUP(A364,'Sales Order'!A:C,3,FALSE),Employee!A:E,5,FALSE)&amp;" "&amp;VLOOKUP(VLOOKUP(A364,'Sales Order'!A:C,3,FALSE),Employee!A:C,3,FALSE)&amp;" "&amp;VLOOKUP(VLOOKUP(A364,'Sales Order'!A:C,3,FALSE),Employee!A:B,2,FALSE),"Not Specified")</f>
        <v>Ms. Sara Davis</v>
      </c>
      <c r="I364" t="str">
        <f>IFERROR(VLOOKUP(VLOOKUP(A364,'Sales Order'!A:C,3,FALSE),Employee!A:J,10,FALSE),"Not Specified")</f>
        <v>WA</v>
      </c>
      <c r="J364" t="str">
        <f>VLOOKUP(B364,Product!A:B,2,FALSE)</f>
        <v>Product HMLNI</v>
      </c>
      <c r="K364" t="str">
        <f>VLOOKUP(VLOOKUP(B364,Product!A:D,4,FALSE),Category!A:B,2,FALSE)</f>
        <v>Produce</v>
      </c>
      <c r="L364" s="24">
        <f>IFERROR(VLOOKUP(A364,'Sales Order'!A:D,4,FALSE),"")</f>
        <v>39068</v>
      </c>
      <c r="M364" s="24">
        <f>IFERROR(VLOOKUP(A364,'Sales Order'!A:F,6,FALSE),"")</f>
        <v>39074</v>
      </c>
      <c r="N364" t="str">
        <f>IFERROR(VLOOKUP(VLOOKUP(A364,'Sales Order'!A:G,7,FALSE),Shipper!A:B,2,FALSE),"Not Specified")</f>
        <v>Shipper ETYNR</v>
      </c>
      <c r="O364" t="str">
        <f>IFERROR(VLOOKUP(A364,'Sales Order'!A:I,9,FALSE),"Not Specified")</f>
        <v>Ship to 75-B</v>
      </c>
      <c r="P364" t="str">
        <f>IFERROR(VLOOKUP(A364,'Sales Order'!A:N,14,FALSE),"Not Specified")</f>
        <v>USA</v>
      </c>
      <c r="Q364" t="str">
        <f>VLOOKUP(VLOOKUP(B364,Product!A:C,3,FALSE),Supplier!A:B,2,FALSE)</f>
        <v>Supplier STUAZ</v>
      </c>
      <c r="R364" t="str">
        <f>VLOOKUP(VLOOKUP(B364,Product!A:C,3,FALSE),Supplier!A:I,9,FALSE)</f>
        <v>USA</v>
      </c>
      <c r="S364" t="str">
        <f>IFERROR(IF(VLOOKUP(A364,'Sales Order'!A:H,8,FALSE)&gt;100,"High Freight","Low Freight"),"Not Specified")</f>
        <v>Low Freight</v>
      </c>
      <c r="T364">
        <f t="shared" si="11"/>
        <v>192</v>
      </c>
    </row>
    <row r="365" spans="1:20">
      <c r="A365" s="9">
        <v>10385</v>
      </c>
      <c r="B365" s="6">
        <v>60</v>
      </c>
      <c r="C365" s="6">
        <v>27.2</v>
      </c>
      <c r="D365" s="6">
        <v>20</v>
      </c>
      <c r="E365" s="18">
        <v>0.2</v>
      </c>
      <c r="F365" s="6" t="str">
        <f>IFERROR(VLOOKUP(VLOOKUP(A365,'Sales Order'!A:B,2,FALSE),Customer!A:C,3,FALSE),"Not Specified")</f>
        <v>Wojciechowska, Agnieszka</v>
      </c>
      <c r="G365" s="6" t="str">
        <f t="shared" si="10"/>
        <v>Wojciechowska Agnieszka</v>
      </c>
      <c r="H365" s="22" t="str">
        <f>IFERROR(VLOOKUP(VLOOKUP(A365,'Sales Order'!A:C,3,FALSE),Employee!A:E,5,FALSE)&amp;" "&amp;VLOOKUP(VLOOKUP(A365,'Sales Order'!A:C,3,FALSE),Employee!A:C,3,FALSE)&amp;" "&amp;VLOOKUP(VLOOKUP(A365,'Sales Order'!A:C,3,FALSE),Employee!A:B,2,FALSE),"Not Specified")</f>
        <v>Ms. Sara Davis</v>
      </c>
      <c r="I365" t="str">
        <f>IFERROR(VLOOKUP(VLOOKUP(A365,'Sales Order'!A:C,3,FALSE),Employee!A:J,10,FALSE),"Not Specified")</f>
        <v>WA</v>
      </c>
      <c r="J365" t="str">
        <f>VLOOKUP(B365,Product!A:B,2,FALSE)</f>
        <v>Product WHBYK</v>
      </c>
      <c r="K365" t="str">
        <f>VLOOKUP(VLOOKUP(B365,Product!A:D,4,FALSE),Category!A:B,2,FALSE)</f>
        <v>Dairy Product</v>
      </c>
      <c r="L365" s="24">
        <f>IFERROR(VLOOKUP(A365,'Sales Order'!A:D,4,FALSE),"")</f>
        <v>39068</v>
      </c>
      <c r="M365" s="24">
        <f>IFERROR(VLOOKUP(A365,'Sales Order'!A:F,6,FALSE),"")</f>
        <v>39074</v>
      </c>
      <c r="N365" t="str">
        <f>IFERROR(VLOOKUP(VLOOKUP(A365,'Sales Order'!A:G,7,FALSE),Shipper!A:B,2,FALSE),"Not Specified")</f>
        <v>Shipper ETYNR</v>
      </c>
      <c r="O365" t="str">
        <f>IFERROR(VLOOKUP(A365,'Sales Order'!A:I,9,FALSE),"Not Specified")</f>
        <v>Ship to 75-B</v>
      </c>
      <c r="P365" t="str">
        <f>IFERROR(VLOOKUP(A365,'Sales Order'!A:N,14,FALSE),"Not Specified")</f>
        <v>USA</v>
      </c>
      <c r="Q365" t="str">
        <f>VLOOKUP(VLOOKUP(B365,Product!A:C,3,FALSE),Supplier!A:B,2,FALSE)</f>
        <v>Supplier OAVQT</v>
      </c>
      <c r="R365" t="str">
        <f>VLOOKUP(VLOOKUP(B365,Product!A:C,3,FALSE),Supplier!A:I,9,FALSE)</f>
        <v>France</v>
      </c>
      <c r="S365" t="str">
        <f>IFERROR(IF(VLOOKUP(A365,'Sales Order'!A:H,8,FALSE)&gt;100,"High Freight","Low Freight"),"Not Specified")</f>
        <v>Low Freight</v>
      </c>
      <c r="T365">
        <f t="shared" si="11"/>
        <v>435.20000000000005</v>
      </c>
    </row>
    <row r="366" spans="1:20">
      <c r="A366" s="9">
        <v>10385</v>
      </c>
      <c r="B366" s="6">
        <v>68</v>
      </c>
      <c r="C366" s="6">
        <v>10</v>
      </c>
      <c r="D366" s="6">
        <v>8</v>
      </c>
      <c r="E366" s="18">
        <v>0.2</v>
      </c>
      <c r="F366" s="6" t="str">
        <f>IFERROR(VLOOKUP(VLOOKUP(A366,'Sales Order'!A:B,2,FALSE),Customer!A:C,3,FALSE),"Not Specified")</f>
        <v>Wojciechowska, Agnieszka</v>
      </c>
      <c r="G366" s="6" t="str">
        <f t="shared" si="10"/>
        <v>Wojciechowska Agnieszka</v>
      </c>
      <c r="H366" s="22" t="str">
        <f>IFERROR(VLOOKUP(VLOOKUP(A366,'Sales Order'!A:C,3,FALSE),Employee!A:E,5,FALSE)&amp;" "&amp;VLOOKUP(VLOOKUP(A366,'Sales Order'!A:C,3,FALSE),Employee!A:C,3,FALSE)&amp;" "&amp;VLOOKUP(VLOOKUP(A366,'Sales Order'!A:C,3,FALSE),Employee!A:B,2,FALSE),"Not Specified")</f>
        <v>Ms. Sara Davis</v>
      </c>
      <c r="I366" t="str">
        <f>IFERROR(VLOOKUP(VLOOKUP(A366,'Sales Order'!A:C,3,FALSE),Employee!A:J,10,FALSE),"Not Specified")</f>
        <v>WA</v>
      </c>
      <c r="J366" t="str">
        <f>VLOOKUP(B366,Product!A:B,2,FALSE)</f>
        <v>Product TBTBL</v>
      </c>
      <c r="K366" t="str">
        <f>VLOOKUP(VLOOKUP(B366,Product!A:D,4,FALSE),Category!A:B,2,FALSE)</f>
        <v>Confections</v>
      </c>
      <c r="L366" s="24">
        <f>IFERROR(VLOOKUP(A366,'Sales Order'!A:D,4,FALSE),"")</f>
        <v>39068</v>
      </c>
      <c r="M366" s="24">
        <f>IFERROR(VLOOKUP(A366,'Sales Order'!A:F,6,FALSE),"")</f>
        <v>39074</v>
      </c>
      <c r="N366" t="str">
        <f>IFERROR(VLOOKUP(VLOOKUP(A366,'Sales Order'!A:G,7,FALSE),Shipper!A:B,2,FALSE),"Not Specified")</f>
        <v>Shipper ETYNR</v>
      </c>
      <c r="O366" t="str">
        <f>IFERROR(VLOOKUP(A366,'Sales Order'!A:I,9,FALSE),"Not Specified")</f>
        <v>Ship to 75-B</v>
      </c>
      <c r="P366" t="str">
        <f>IFERROR(VLOOKUP(A366,'Sales Order'!A:N,14,FALSE),"Not Specified")</f>
        <v>USA</v>
      </c>
      <c r="Q366" t="str">
        <f>VLOOKUP(VLOOKUP(B366,Product!A:C,3,FALSE),Supplier!A:B,2,FALSE)</f>
        <v>Supplier BWGYE</v>
      </c>
      <c r="R366" t="str">
        <f>VLOOKUP(VLOOKUP(B366,Product!A:C,3,FALSE),Supplier!A:I,9,FALSE)</f>
        <v>UK</v>
      </c>
      <c r="S366" t="str">
        <f>IFERROR(IF(VLOOKUP(A366,'Sales Order'!A:H,8,FALSE)&gt;100,"High Freight","Low Freight"),"Not Specified")</f>
        <v>Low Freight</v>
      </c>
      <c r="T366">
        <f t="shared" si="11"/>
        <v>64</v>
      </c>
    </row>
    <row r="367" spans="1:20">
      <c r="A367" s="9">
        <v>10386</v>
      </c>
      <c r="B367" s="6">
        <v>24</v>
      </c>
      <c r="C367" s="6">
        <v>3.6</v>
      </c>
      <c r="D367" s="6">
        <v>15</v>
      </c>
      <c r="E367" s="18">
        <v>0</v>
      </c>
      <c r="F367" s="6" t="str">
        <f>IFERROR(VLOOKUP(VLOOKUP(A367,'Sales Order'!A:B,2,FALSE),Customer!A:C,3,FALSE),"Not Specified")</f>
        <v>Russo, Giuseppe</v>
      </c>
      <c r="G367" s="6" t="str">
        <f t="shared" si="10"/>
        <v>Russo Giuseppe</v>
      </c>
      <c r="H367" s="22" t="str">
        <f>IFERROR(VLOOKUP(VLOOKUP(A367,'Sales Order'!A:C,3,FALSE),Employee!A:E,5,FALSE)&amp;" "&amp;VLOOKUP(VLOOKUP(A367,'Sales Order'!A:C,3,FALSE),Employee!A:C,3,FALSE)&amp;" "&amp;VLOOKUP(VLOOKUP(A367,'Sales Order'!A:C,3,FALSE),Employee!A:B,2,FALSE),"Not Specified")</f>
        <v>Ms. Zoya Dolgopyatova</v>
      </c>
      <c r="I367">
        <f>IFERROR(VLOOKUP(VLOOKUP(A367,'Sales Order'!A:C,3,FALSE),Employee!A:J,10,FALSE),"Not Specified")</f>
        <v>0</v>
      </c>
      <c r="J367" t="str">
        <f>VLOOKUP(B367,Product!A:B,2,FALSE)</f>
        <v>Product QOGNU</v>
      </c>
      <c r="K367" t="str">
        <f>VLOOKUP(VLOOKUP(B367,Product!A:D,4,FALSE),Category!A:B,2,FALSE)</f>
        <v>Beverages</v>
      </c>
      <c r="L367" s="24">
        <f>IFERROR(VLOOKUP(A367,'Sales Order'!A:D,4,FALSE),"")</f>
        <v>39069</v>
      </c>
      <c r="M367" s="24">
        <f>IFERROR(VLOOKUP(A367,'Sales Order'!A:F,6,FALSE),"")</f>
        <v>39076</v>
      </c>
      <c r="N367" t="str">
        <f>IFERROR(VLOOKUP(VLOOKUP(A367,'Sales Order'!A:G,7,FALSE),Shipper!A:B,2,FALSE),"Not Specified")</f>
        <v>Shipper ZHISN</v>
      </c>
      <c r="O367" t="str">
        <f>IFERROR(VLOOKUP(A367,'Sales Order'!A:I,9,FALSE),"Not Specified")</f>
        <v>Destination RNSMS</v>
      </c>
      <c r="P367" t="str">
        <f>IFERROR(VLOOKUP(A367,'Sales Order'!A:N,14,FALSE),"Not Specified")</f>
        <v>Brazil</v>
      </c>
      <c r="Q367" t="str">
        <f>VLOOKUP(VLOOKUP(B367,Product!A:C,3,FALSE),Supplier!A:B,2,FALSE)</f>
        <v>Supplier UNAHG</v>
      </c>
      <c r="R367" t="str">
        <f>VLOOKUP(VLOOKUP(B367,Product!A:C,3,FALSE),Supplier!A:I,9,FALSE)</f>
        <v>Brazil</v>
      </c>
      <c r="S367" t="str">
        <f>IFERROR(IF(VLOOKUP(A367,'Sales Order'!A:H,8,FALSE)&gt;100,"High Freight","Low Freight"),"Not Specified")</f>
        <v>Low Freight</v>
      </c>
      <c r="T367">
        <f t="shared" si="11"/>
        <v>54</v>
      </c>
    </row>
    <row r="368" spans="1:20">
      <c r="A368" s="9">
        <v>10386</v>
      </c>
      <c r="B368" s="6">
        <v>34</v>
      </c>
      <c r="C368" s="6">
        <v>11.2</v>
      </c>
      <c r="D368" s="6">
        <v>10</v>
      </c>
      <c r="E368" s="18">
        <v>0</v>
      </c>
      <c r="F368" s="6" t="str">
        <f>IFERROR(VLOOKUP(VLOOKUP(A368,'Sales Order'!A:B,2,FALSE),Customer!A:C,3,FALSE),"Not Specified")</f>
        <v>Russo, Giuseppe</v>
      </c>
      <c r="G368" s="6" t="str">
        <f t="shared" si="10"/>
        <v>Russo Giuseppe</v>
      </c>
      <c r="H368" s="22" t="str">
        <f>IFERROR(VLOOKUP(VLOOKUP(A368,'Sales Order'!A:C,3,FALSE),Employee!A:E,5,FALSE)&amp;" "&amp;VLOOKUP(VLOOKUP(A368,'Sales Order'!A:C,3,FALSE),Employee!A:C,3,FALSE)&amp;" "&amp;VLOOKUP(VLOOKUP(A368,'Sales Order'!A:C,3,FALSE),Employee!A:B,2,FALSE),"Not Specified")</f>
        <v>Ms. Zoya Dolgopyatova</v>
      </c>
      <c r="I368">
        <f>IFERROR(VLOOKUP(VLOOKUP(A368,'Sales Order'!A:C,3,FALSE),Employee!A:J,10,FALSE),"Not Specified")</f>
        <v>0</v>
      </c>
      <c r="J368" t="str">
        <f>VLOOKUP(B368,Product!A:B,2,FALSE)</f>
        <v>Product SWNJY</v>
      </c>
      <c r="K368" t="str">
        <f>VLOOKUP(VLOOKUP(B368,Product!A:D,4,FALSE),Category!A:B,2,FALSE)</f>
        <v>Beverages</v>
      </c>
      <c r="L368" s="24">
        <f>IFERROR(VLOOKUP(A368,'Sales Order'!A:D,4,FALSE),"")</f>
        <v>39069</v>
      </c>
      <c r="M368" s="24">
        <f>IFERROR(VLOOKUP(A368,'Sales Order'!A:F,6,FALSE),"")</f>
        <v>39076</v>
      </c>
      <c r="N368" t="str">
        <f>IFERROR(VLOOKUP(VLOOKUP(A368,'Sales Order'!A:G,7,FALSE),Shipper!A:B,2,FALSE),"Not Specified")</f>
        <v>Shipper ZHISN</v>
      </c>
      <c r="O368" t="str">
        <f>IFERROR(VLOOKUP(A368,'Sales Order'!A:I,9,FALSE),"Not Specified")</f>
        <v>Destination RNSMS</v>
      </c>
      <c r="P368" t="str">
        <f>IFERROR(VLOOKUP(A368,'Sales Order'!A:N,14,FALSE),"Not Specified")</f>
        <v>Brazil</v>
      </c>
      <c r="Q368" t="str">
        <f>VLOOKUP(VLOOKUP(B368,Product!A:C,3,FALSE),Supplier!A:B,2,FALSE)</f>
        <v>Supplier UHZRG</v>
      </c>
      <c r="R368" t="str">
        <f>VLOOKUP(VLOOKUP(B368,Product!A:C,3,FALSE),Supplier!A:I,9,FALSE)</f>
        <v>USA</v>
      </c>
      <c r="S368" t="str">
        <f>IFERROR(IF(VLOOKUP(A368,'Sales Order'!A:H,8,FALSE)&gt;100,"High Freight","Low Freight"),"Not Specified")</f>
        <v>Low Freight</v>
      </c>
      <c r="T368">
        <f t="shared" si="11"/>
        <v>112</v>
      </c>
    </row>
    <row r="369" spans="1:20">
      <c r="A369" s="9">
        <v>10387</v>
      </c>
      <c r="B369" s="6">
        <v>24</v>
      </c>
      <c r="C369" s="6">
        <v>3.6</v>
      </c>
      <c r="D369" s="6">
        <v>15</v>
      </c>
      <c r="E369" s="18">
        <v>0</v>
      </c>
      <c r="F369" s="6" t="str">
        <f>IFERROR(VLOOKUP(VLOOKUP(A369,'Sales Order'!A:B,2,FALSE),Customer!A:C,3,FALSE),"Not Specified")</f>
        <v>Ginters, Kaspars</v>
      </c>
      <c r="G369" s="6" t="str">
        <f t="shared" si="10"/>
        <v>Ginters Kaspars</v>
      </c>
      <c r="H369" s="22" t="str">
        <f>IFERROR(VLOOKUP(VLOOKUP(A369,'Sales Order'!A:C,3,FALSE),Employee!A:E,5,FALSE)&amp;" "&amp;VLOOKUP(VLOOKUP(A369,'Sales Order'!A:C,3,FALSE),Employee!A:C,3,FALSE)&amp;" "&amp;VLOOKUP(VLOOKUP(A369,'Sales Order'!A:C,3,FALSE),Employee!A:B,2,FALSE),"Not Specified")</f>
        <v>Ms. Sara Davis</v>
      </c>
      <c r="I369" t="str">
        <f>IFERROR(VLOOKUP(VLOOKUP(A369,'Sales Order'!A:C,3,FALSE),Employee!A:J,10,FALSE),"Not Specified")</f>
        <v>WA</v>
      </c>
      <c r="J369" t="str">
        <f>VLOOKUP(B369,Product!A:B,2,FALSE)</f>
        <v>Product QOGNU</v>
      </c>
      <c r="K369" t="str">
        <f>VLOOKUP(VLOOKUP(B369,Product!A:D,4,FALSE),Category!A:B,2,FALSE)</f>
        <v>Beverages</v>
      </c>
      <c r="L369" s="24">
        <f>IFERROR(VLOOKUP(A369,'Sales Order'!A:D,4,FALSE),"")</f>
        <v>39069</v>
      </c>
      <c r="M369" s="24">
        <f>IFERROR(VLOOKUP(A369,'Sales Order'!A:F,6,FALSE),"")</f>
        <v>39071</v>
      </c>
      <c r="N369" t="str">
        <f>IFERROR(VLOOKUP(VLOOKUP(A369,'Sales Order'!A:G,7,FALSE),Shipper!A:B,2,FALSE),"Not Specified")</f>
        <v>Shipper ETYNR</v>
      </c>
      <c r="O369" t="str">
        <f>IFERROR(VLOOKUP(A369,'Sales Order'!A:I,9,FALSE),"Not Specified")</f>
        <v>Ship to 70-B</v>
      </c>
      <c r="P369" t="str">
        <f>IFERROR(VLOOKUP(A369,'Sales Order'!A:N,14,FALSE),"Not Specified")</f>
        <v>Norway</v>
      </c>
      <c r="Q369" t="str">
        <f>VLOOKUP(VLOOKUP(B369,Product!A:C,3,FALSE),Supplier!A:B,2,FALSE)</f>
        <v>Supplier UNAHG</v>
      </c>
      <c r="R369" t="str">
        <f>VLOOKUP(VLOOKUP(B369,Product!A:C,3,FALSE),Supplier!A:I,9,FALSE)</f>
        <v>Brazil</v>
      </c>
      <c r="S369" t="str">
        <f>IFERROR(IF(VLOOKUP(A369,'Sales Order'!A:H,8,FALSE)&gt;100,"High Freight","Low Freight"),"Not Specified")</f>
        <v>Low Freight</v>
      </c>
      <c r="T369">
        <f t="shared" si="11"/>
        <v>54</v>
      </c>
    </row>
    <row r="370" spans="1:20">
      <c r="A370" s="9">
        <v>10387</v>
      </c>
      <c r="B370" s="6">
        <v>28</v>
      </c>
      <c r="C370" s="6">
        <v>36.4</v>
      </c>
      <c r="D370" s="6">
        <v>6</v>
      </c>
      <c r="E370" s="18">
        <v>0</v>
      </c>
      <c r="F370" s="6" t="str">
        <f>IFERROR(VLOOKUP(VLOOKUP(A370,'Sales Order'!A:B,2,FALSE),Customer!A:C,3,FALSE),"Not Specified")</f>
        <v>Ginters, Kaspars</v>
      </c>
      <c r="G370" s="6" t="str">
        <f t="shared" si="10"/>
        <v>Ginters Kaspars</v>
      </c>
      <c r="H370" s="22" t="str">
        <f>IFERROR(VLOOKUP(VLOOKUP(A370,'Sales Order'!A:C,3,FALSE),Employee!A:E,5,FALSE)&amp;" "&amp;VLOOKUP(VLOOKUP(A370,'Sales Order'!A:C,3,FALSE),Employee!A:C,3,FALSE)&amp;" "&amp;VLOOKUP(VLOOKUP(A370,'Sales Order'!A:C,3,FALSE),Employee!A:B,2,FALSE),"Not Specified")</f>
        <v>Ms. Sara Davis</v>
      </c>
      <c r="I370" t="str">
        <f>IFERROR(VLOOKUP(VLOOKUP(A370,'Sales Order'!A:C,3,FALSE),Employee!A:J,10,FALSE),"Not Specified")</f>
        <v>WA</v>
      </c>
      <c r="J370" t="str">
        <f>VLOOKUP(B370,Product!A:B,2,FALSE)</f>
        <v>Product OFBNT</v>
      </c>
      <c r="K370" t="str">
        <f>VLOOKUP(VLOOKUP(B370,Product!A:D,4,FALSE),Category!A:B,2,FALSE)</f>
        <v>Produce</v>
      </c>
      <c r="L370" s="24">
        <f>IFERROR(VLOOKUP(A370,'Sales Order'!A:D,4,FALSE),"")</f>
        <v>39069</v>
      </c>
      <c r="M370" s="24">
        <f>IFERROR(VLOOKUP(A370,'Sales Order'!A:F,6,FALSE),"")</f>
        <v>39071</v>
      </c>
      <c r="N370" t="str">
        <f>IFERROR(VLOOKUP(VLOOKUP(A370,'Sales Order'!A:G,7,FALSE),Shipper!A:B,2,FALSE),"Not Specified")</f>
        <v>Shipper ETYNR</v>
      </c>
      <c r="O370" t="str">
        <f>IFERROR(VLOOKUP(A370,'Sales Order'!A:I,9,FALSE),"Not Specified")</f>
        <v>Ship to 70-B</v>
      </c>
      <c r="P370" t="str">
        <f>IFERROR(VLOOKUP(A370,'Sales Order'!A:N,14,FALSE),"Not Specified")</f>
        <v>Norway</v>
      </c>
      <c r="Q370" t="str">
        <f>VLOOKUP(VLOOKUP(B370,Product!A:C,3,FALSE),Supplier!A:B,2,FALSE)</f>
        <v>Supplier SVIYA</v>
      </c>
      <c r="R370" t="str">
        <f>VLOOKUP(VLOOKUP(B370,Product!A:C,3,FALSE),Supplier!A:I,9,FALSE)</f>
        <v>Germany</v>
      </c>
      <c r="S370" t="str">
        <f>IFERROR(IF(VLOOKUP(A370,'Sales Order'!A:H,8,FALSE)&gt;100,"High Freight","Low Freight"),"Not Specified")</f>
        <v>Low Freight</v>
      </c>
      <c r="T370">
        <f t="shared" si="11"/>
        <v>218.39999999999998</v>
      </c>
    </row>
    <row r="371" spans="1:20">
      <c r="A371" s="9">
        <v>10387</v>
      </c>
      <c r="B371" s="6">
        <v>59</v>
      </c>
      <c r="C371" s="6">
        <v>44</v>
      </c>
      <c r="D371" s="6">
        <v>12</v>
      </c>
      <c r="E371" s="18">
        <v>0</v>
      </c>
      <c r="F371" s="6" t="str">
        <f>IFERROR(VLOOKUP(VLOOKUP(A371,'Sales Order'!A:B,2,FALSE),Customer!A:C,3,FALSE),"Not Specified")</f>
        <v>Ginters, Kaspars</v>
      </c>
      <c r="G371" s="6" t="str">
        <f t="shared" si="10"/>
        <v>Ginters Kaspars</v>
      </c>
      <c r="H371" s="22" t="str">
        <f>IFERROR(VLOOKUP(VLOOKUP(A371,'Sales Order'!A:C,3,FALSE),Employee!A:E,5,FALSE)&amp;" "&amp;VLOOKUP(VLOOKUP(A371,'Sales Order'!A:C,3,FALSE),Employee!A:C,3,FALSE)&amp;" "&amp;VLOOKUP(VLOOKUP(A371,'Sales Order'!A:C,3,FALSE),Employee!A:B,2,FALSE),"Not Specified")</f>
        <v>Ms. Sara Davis</v>
      </c>
      <c r="I371" t="str">
        <f>IFERROR(VLOOKUP(VLOOKUP(A371,'Sales Order'!A:C,3,FALSE),Employee!A:J,10,FALSE),"Not Specified")</f>
        <v>WA</v>
      </c>
      <c r="J371" t="str">
        <f>VLOOKUP(B371,Product!A:B,2,FALSE)</f>
        <v>Product UKXRI</v>
      </c>
      <c r="K371" t="str">
        <f>VLOOKUP(VLOOKUP(B371,Product!A:D,4,FALSE),Category!A:B,2,FALSE)</f>
        <v>Dairy Product</v>
      </c>
      <c r="L371" s="24">
        <f>IFERROR(VLOOKUP(A371,'Sales Order'!A:D,4,FALSE),"")</f>
        <v>39069</v>
      </c>
      <c r="M371" s="24">
        <f>IFERROR(VLOOKUP(A371,'Sales Order'!A:F,6,FALSE),"")</f>
        <v>39071</v>
      </c>
      <c r="N371" t="str">
        <f>IFERROR(VLOOKUP(VLOOKUP(A371,'Sales Order'!A:G,7,FALSE),Shipper!A:B,2,FALSE),"Not Specified")</f>
        <v>Shipper ETYNR</v>
      </c>
      <c r="O371" t="str">
        <f>IFERROR(VLOOKUP(A371,'Sales Order'!A:I,9,FALSE),"Not Specified")</f>
        <v>Ship to 70-B</v>
      </c>
      <c r="P371" t="str">
        <f>IFERROR(VLOOKUP(A371,'Sales Order'!A:N,14,FALSE),"Not Specified")</f>
        <v>Norway</v>
      </c>
      <c r="Q371" t="str">
        <f>VLOOKUP(VLOOKUP(B371,Product!A:C,3,FALSE),Supplier!A:B,2,FALSE)</f>
        <v>Supplier OAVQT</v>
      </c>
      <c r="R371" t="str">
        <f>VLOOKUP(VLOOKUP(B371,Product!A:C,3,FALSE),Supplier!A:I,9,FALSE)</f>
        <v>France</v>
      </c>
      <c r="S371" t="str">
        <f>IFERROR(IF(VLOOKUP(A371,'Sales Order'!A:H,8,FALSE)&gt;100,"High Freight","Low Freight"),"Not Specified")</f>
        <v>Low Freight</v>
      </c>
      <c r="T371">
        <f t="shared" si="11"/>
        <v>528</v>
      </c>
    </row>
    <row r="372" spans="1:20">
      <c r="A372" s="9">
        <v>10387</v>
      </c>
      <c r="B372" s="6">
        <v>71</v>
      </c>
      <c r="C372" s="6">
        <v>17.2</v>
      </c>
      <c r="D372" s="6">
        <v>15</v>
      </c>
      <c r="E372" s="18">
        <v>0</v>
      </c>
      <c r="F372" s="6" t="str">
        <f>IFERROR(VLOOKUP(VLOOKUP(A372,'Sales Order'!A:B,2,FALSE),Customer!A:C,3,FALSE),"Not Specified")</f>
        <v>Ginters, Kaspars</v>
      </c>
      <c r="G372" s="6" t="str">
        <f t="shared" si="10"/>
        <v>Ginters Kaspars</v>
      </c>
      <c r="H372" s="22" t="str">
        <f>IFERROR(VLOOKUP(VLOOKUP(A372,'Sales Order'!A:C,3,FALSE),Employee!A:E,5,FALSE)&amp;" "&amp;VLOOKUP(VLOOKUP(A372,'Sales Order'!A:C,3,FALSE),Employee!A:C,3,FALSE)&amp;" "&amp;VLOOKUP(VLOOKUP(A372,'Sales Order'!A:C,3,FALSE),Employee!A:B,2,FALSE),"Not Specified")</f>
        <v>Ms. Sara Davis</v>
      </c>
      <c r="I372" t="str">
        <f>IFERROR(VLOOKUP(VLOOKUP(A372,'Sales Order'!A:C,3,FALSE),Employee!A:J,10,FALSE),"Not Specified")</f>
        <v>WA</v>
      </c>
      <c r="J372" t="str">
        <f>VLOOKUP(B372,Product!A:B,2,FALSE)</f>
        <v>Product MYMOI</v>
      </c>
      <c r="K372" t="str">
        <f>VLOOKUP(VLOOKUP(B372,Product!A:D,4,FALSE),Category!A:B,2,FALSE)</f>
        <v>Dairy Product</v>
      </c>
      <c r="L372" s="24">
        <f>IFERROR(VLOOKUP(A372,'Sales Order'!A:D,4,FALSE),"")</f>
        <v>39069</v>
      </c>
      <c r="M372" s="24">
        <f>IFERROR(VLOOKUP(A372,'Sales Order'!A:F,6,FALSE),"")</f>
        <v>39071</v>
      </c>
      <c r="N372" t="str">
        <f>IFERROR(VLOOKUP(VLOOKUP(A372,'Sales Order'!A:G,7,FALSE),Shipper!A:B,2,FALSE),"Not Specified")</f>
        <v>Shipper ETYNR</v>
      </c>
      <c r="O372" t="str">
        <f>IFERROR(VLOOKUP(A372,'Sales Order'!A:I,9,FALSE),"Not Specified")</f>
        <v>Ship to 70-B</v>
      </c>
      <c r="P372" t="str">
        <f>IFERROR(VLOOKUP(A372,'Sales Order'!A:N,14,FALSE),"Not Specified")</f>
        <v>Norway</v>
      </c>
      <c r="Q372" t="str">
        <f>VLOOKUP(VLOOKUP(B372,Product!A:C,3,FALSE),Supplier!A:B,2,FALSE)</f>
        <v>Supplier NZLIF</v>
      </c>
      <c r="R372" t="str">
        <f>VLOOKUP(VLOOKUP(B372,Product!A:C,3,FALSE),Supplier!A:I,9,FALSE)</f>
        <v>Norway</v>
      </c>
      <c r="S372" t="str">
        <f>IFERROR(IF(VLOOKUP(A372,'Sales Order'!A:H,8,FALSE)&gt;100,"High Freight","Low Freight"),"Not Specified")</f>
        <v>Low Freight</v>
      </c>
      <c r="T372">
        <f t="shared" si="11"/>
        <v>258</v>
      </c>
    </row>
    <row r="373" spans="1:20">
      <c r="A373" s="9">
        <v>10388</v>
      </c>
      <c r="B373" s="6">
        <v>45</v>
      </c>
      <c r="C373" s="6">
        <v>7.6</v>
      </c>
      <c r="D373" s="6">
        <v>15</v>
      </c>
      <c r="E373" s="18">
        <v>0.2</v>
      </c>
      <c r="F373" s="6" t="str">
        <f>IFERROR(VLOOKUP(VLOOKUP(A373,'Sales Order'!A:B,2,FALSE),Customer!A:C,3,FALSE),"Not Specified")</f>
        <v>Welcker, Brian</v>
      </c>
      <c r="G373" s="6" t="str">
        <f t="shared" si="10"/>
        <v>Welcker Brian</v>
      </c>
      <c r="H373" s="22" t="str">
        <f>IFERROR(VLOOKUP(VLOOKUP(A373,'Sales Order'!A:C,3,FALSE),Employee!A:E,5,FALSE)&amp;" "&amp;VLOOKUP(VLOOKUP(A373,'Sales Order'!A:C,3,FALSE),Employee!A:C,3,FALSE)&amp;" "&amp;VLOOKUP(VLOOKUP(A373,'Sales Order'!A:C,3,FALSE),Employee!A:B,2,FALSE),"Not Specified")</f>
        <v>Dr. Don Funk</v>
      </c>
      <c r="I373" t="str">
        <f>IFERROR(VLOOKUP(VLOOKUP(A373,'Sales Order'!A:C,3,FALSE),Employee!A:J,10,FALSE),"Not Specified")</f>
        <v>WA</v>
      </c>
      <c r="J373" t="str">
        <f>VLOOKUP(B373,Product!A:B,2,FALSE)</f>
        <v>Product AQOKR</v>
      </c>
      <c r="K373" t="str">
        <f>VLOOKUP(VLOOKUP(B373,Product!A:D,4,FALSE),Category!A:B,2,FALSE)</f>
        <v>Seafood</v>
      </c>
      <c r="L373" s="24">
        <f>IFERROR(VLOOKUP(A373,'Sales Order'!A:D,4,FALSE),"")</f>
        <v>39070</v>
      </c>
      <c r="M373" s="24">
        <f>IFERROR(VLOOKUP(A373,'Sales Order'!A:F,6,FALSE),"")</f>
        <v>39071</v>
      </c>
      <c r="N373" t="str">
        <f>IFERROR(VLOOKUP(VLOOKUP(A373,'Sales Order'!A:G,7,FALSE),Shipper!A:B,2,FALSE),"Not Specified")</f>
        <v>Shipper GVSUA</v>
      </c>
      <c r="O373" t="str">
        <f>IFERROR(VLOOKUP(A373,'Sales Order'!A:I,9,FALSE),"Not Specified")</f>
        <v>Ship to 72-C</v>
      </c>
      <c r="P373" t="str">
        <f>IFERROR(VLOOKUP(A373,'Sales Order'!A:N,14,FALSE),"Not Specified")</f>
        <v>UK</v>
      </c>
      <c r="Q373" t="str">
        <f>VLOOKUP(VLOOKUP(B373,Product!A:C,3,FALSE),Supplier!A:B,2,FALSE)</f>
        <v>Supplier XOXZA</v>
      </c>
      <c r="R373" t="str">
        <f>VLOOKUP(VLOOKUP(B373,Product!A:C,3,FALSE),Supplier!A:I,9,FALSE)</f>
        <v>Denmark</v>
      </c>
      <c r="S373" t="str">
        <f>IFERROR(IF(VLOOKUP(A373,'Sales Order'!A:H,8,FALSE)&gt;100,"High Freight","Low Freight"),"Not Specified")</f>
        <v>Low Freight</v>
      </c>
      <c r="T373">
        <f t="shared" si="11"/>
        <v>91.2</v>
      </c>
    </row>
    <row r="374" spans="1:20">
      <c r="A374" s="9">
        <v>10388</v>
      </c>
      <c r="B374" s="6">
        <v>52</v>
      </c>
      <c r="C374" s="6">
        <v>5.6</v>
      </c>
      <c r="D374" s="6">
        <v>20</v>
      </c>
      <c r="E374" s="18">
        <v>0.2</v>
      </c>
      <c r="F374" s="6" t="str">
        <f>IFERROR(VLOOKUP(VLOOKUP(A374,'Sales Order'!A:B,2,FALSE),Customer!A:C,3,FALSE),"Not Specified")</f>
        <v>Welcker, Brian</v>
      </c>
      <c r="G374" s="6" t="str">
        <f t="shared" si="10"/>
        <v>Welcker Brian</v>
      </c>
      <c r="H374" s="22" t="str">
        <f>IFERROR(VLOOKUP(VLOOKUP(A374,'Sales Order'!A:C,3,FALSE),Employee!A:E,5,FALSE)&amp;" "&amp;VLOOKUP(VLOOKUP(A374,'Sales Order'!A:C,3,FALSE),Employee!A:C,3,FALSE)&amp;" "&amp;VLOOKUP(VLOOKUP(A374,'Sales Order'!A:C,3,FALSE),Employee!A:B,2,FALSE),"Not Specified")</f>
        <v>Dr. Don Funk</v>
      </c>
      <c r="I374" t="str">
        <f>IFERROR(VLOOKUP(VLOOKUP(A374,'Sales Order'!A:C,3,FALSE),Employee!A:J,10,FALSE),"Not Specified")</f>
        <v>WA</v>
      </c>
      <c r="J374" t="str">
        <f>VLOOKUP(B374,Product!A:B,2,FALSE)</f>
        <v>Product QSRXF</v>
      </c>
      <c r="K374" t="str">
        <f>VLOOKUP(VLOOKUP(B374,Product!A:D,4,FALSE),Category!A:B,2,FALSE)</f>
        <v>Grains/Cereals</v>
      </c>
      <c r="L374" s="24">
        <f>IFERROR(VLOOKUP(A374,'Sales Order'!A:D,4,FALSE),"")</f>
        <v>39070</v>
      </c>
      <c r="M374" s="24">
        <f>IFERROR(VLOOKUP(A374,'Sales Order'!A:F,6,FALSE),"")</f>
        <v>39071</v>
      </c>
      <c r="N374" t="str">
        <f>IFERROR(VLOOKUP(VLOOKUP(A374,'Sales Order'!A:G,7,FALSE),Shipper!A:B,2,FALSE),"Not Specified")</f>
        <v>Shipper GVSUA</v>
      </c>
      <c r="O374" t="str">
        <f>IFERROR(VLOOKUP(A374,'Sales Order'!A:I,9,FALSE),"Not Specified")</f>
        <v>Ship to 72-C</v>
      </c>
      <c r="P374" t="str">
        <f>IFERROR(VLOOKUP(A374,'Sales Order'!A:N,14,FALSE),"Not Specified")</f>
        <v>UK</v>
      </c>
      <c r="Q374" t="str">
        <f>VLOOKUP(VLOOKUP(B374,Product!A:C,3,FALSE),Supplier!A:B,2,FALSE)</f>
        <v>Supplier JNNES</v>
      </c>
      <c r="R374" t="str">
        <f>VLOOKUP(VLOOKUP(B374,Product!A:C,3,FALSE),Supplier!A:I,9,FALSE)</f>
        <v>Australia</v>
      </c>
      <c r="S374" t="str">
        <f>IFERROR(IF(VLOOKUP(A374,'Sales Order'!A:H,8,FALSE)&gt;100,"High Freight","Low Freight"),"Not Specified")</f>
        <v>Low Freight</v>
      </c>
      <c r="T374">
        <f t="shared" si="11"/>
        <v>89.600000000000009</v>
      </c>
    </row>
    <row r="375" spans="1:20">
      <c r="A375" s="9">
        <v>10388</v>
      </c>
      <c r="B375" s="6">
        <v>53</v>
      </c>
      <c r="C375" s="6">
        <v>26.2</v>
      </c>
      <c r="D375" s="6">
        <v>40</v>
      </c>
      <c r="E375" s="18">
        <v>0</v>
      </c>
      <c r="F375" s="6" t="str">
        <f>IFERROR(VLOOKUP(VLOOKUP(A375,'Sales Order'!A:B,2,FALSE),Customer!A:C,3,FALSE),"Not Specified")</f>
        <v>Welcker, Brian</v>
      </c>
      <c r="G375" s="6" t="str">
        <f t="shared" si="10"/>
        <v>Welcker Brian</v>
      </c>
      <c r="H375" s="22" t="str">
        <f>IFERROR(VLOOKUP(VLOOKUP(A375,'Sales Order'!A:C,3,FALSE),Employee!A:E,5,FALSE)&amp;" "&amp;VLOOKUP(VLOOKUP(A375,'Sales Order'!A:C,3,FALSE),Employee!A:C,3,FALSE)&amp;" "&amp;VLOOKUP(VLOOKUP(A375,'Sales Order'!A:C,3,FALSE),Employee!A:B,2,FALSE),"Not Specified")</f>
        <v>Dr. Don Funk</v>
      </c>
      <c r="I375" t="str">
        <f>IFERROR(VLOOKUP(VLOOKUP(A375,'Sales Order'!A:C,3,FALSE),Employee!A:J,10,FALSE),"Not Specified")</f>
        <v>WA</v>
      </c>
      <c r="J375" t="str">
        <f>VLOOKUP(B375,Product!A:B,2,FALSE)</f>
        <v>Product BKGEA</v>
      </c>
      <c r="K375" t="str">
        <f>VLOOKUP(VLOOKUP(B375,Product!A:D,4,FALSE),Category!A:B,2,FALSE)</f>
        <v>Meat/Poultry</v>
      </c>
      <c r="L375" s="24">
        <f>IFERROR(VLOOKUP(A375,'Sales Order'!A:D,4,FALSE),"")</f>
        <v>39070</v>
      </c>
      <c r="M375" s="24">
        <f>IFERROR(VLOOKUP(A375,'Sales Order'!A:F,6,FALSE),"")</f>
        <v>39071</v>
      </c>
      <c r="N375" t="str">
        <f>IFERROR(VLOOKUP(VLOOKUP(A375,'Sales Order'!A:G,7,FALSE),Shipper!A:B,2,FALSE),"Not Specified")</f>
        <v>Shipper GVSUA</v>
      </c>
      <c r="O375" t="str">
        <f>IFERROR(VLOOKUP(A375,'Sales Order'!A:I,9,FALSE),"Not Specified")</f>
        <v>Ship to 72-C</v>
      </c>
      <c r="P375" t="str">
        <f>IFERROR(VLOOKUP(A375,'Sales Order'!A:N,14,FALSE),"Not Specified")</f>
        <v>UK</v>
      </c>
      <c r="Q375" t="str">
        <f>VLOOKUP(VLOOKUP(B375,Product!A:C,3,FALSE),Supplier!A:B,2,FALSE)</f>
        <v>Supplier JNNES</v>
      </c>
      <c r="R375" t="str">
        <f>VLOOKUP(VLOOKUP(B375,Product!A:C,3,FALSE),Supplier!A:I,9,FALSE)</f>
        <v>Australia</v>
      </c>
      <c r="S375" t="str">
        <f>IFERROR(IF(VLOOKUP(A375,'Sales Order'!A:H,8,FALSE)&gt;100,"High Freight","Low Freight"),"Not Specified")</f>
        <v>Low Freight</v>
      </c>
      <c r="T375">
        <f t="shared" si="11"/>
        <v>1048</v>
      </c>
    </row>
    <row r="376" spans="1:20">
      <c r="A376" s="9">
        <v>10389</v>
      </c>
      <c r="B376" s="6">
        <v>10</v>
      </c>
      <c r="C376" s="6">
        <v>24.8</v>
      </c>
      <c r="D376" s="6">
        <v>16</v>
      </c>
      <c r="E376" s="18">
        <v>0</v>
      </c>
      <c r="F376" s="6" t="str">
        <f>IFERROR(VLOOKUP(VLOOKUP(A376,'Sales Order'!A:B,2,FALSE),Customer!A:C,3,FALSE),"Not Specified")</f>
        <v>Bassols, Pilar Colome</v>
      </c>
      <c r="G376" s="6" t="str">
        <f t="shared" si="10"/>
        <v>Bassols Pilar Colome</v>
      </c>
      <c r="H376" s="22" t="str">
        <f>IFERROR(VLOOKUP(VLOOKUP(A376,'Sales Order'!A:C,3,FALSE),Employee!A:E,5,FALSE)&amp;" "&amp;VLOOKUP(VLOOKUP(A376,'Sales Order'!A:C,3,FALSE),Employee!A:C,3,FALSE)&amp;" "&amp;VLOOKUP(VLOOKUP(A376,'Sales Order'!A:C,3,FALSE),Employee!A:B,2,FALSE),"Not Specified")</f>
        <v>Mrs. Yael Peled</v>
      </c>
      <c r="I376" t="str">
        <f>IFERROR(VLOOKUP(VLOOKUP(A376,'Sales Order'!A:C,3,FALSE),Employee!A:J,10,FALSE),"Not Specified")</f>
        <v>WA</v>
      </c>
      <c r="J376" t="str">
        <f>VLOOKUP(B376,Product!A:B,2,FALSE)</f>
        <v>Product YHXGE</v>
      </c>
      <c r="K376" t="str">
        <f>VLOOKUP(VLOOKUP(B376,Product!A:D,4,FALSE),Category!A:B,2,FALSE)</f>
        <v>Seafood</v>
      </c>
      <c r="L376" s="24">
        <f>IFERROR(VLOOKUP(A376,'Sales Order'!A:D,4,FALSE),"")</f>
        <v>39071</v>
      </c>
      <c r="M376" s="24">
        <f>IFERROR(VLOOKUP(A376,'Sales Order'!A:F,6,FALSE),"")</f>
        <v>39075</v>
      </c>
      <c r="N376" t="str">
        <f>IFERROR(VLOOKUP(VLOOKUP(A376,'Sales Order'!A:G,7,FALSE),Shipper!A:B,2,FALSE),"Not Specified")</f>
        <v>Shipper ETYNR</v>
      </c>
      <c r="O376" t="str">
        <f>IFERROR(VLOOKUP(A376,'Sales Order'!A:I,9,FALSE),"Not Specified")</f>
        <v>Destination OLSSJ</v>
      </c>
      <c r="P376" t="str">
        <f>IFERROR(VLOOKUP(A376,'Sales Order'!A:N,14,FALSE),"Not Specified")</f>
        <v>Canada</v>
      </c>
      <c r="Q376" t="str">
        <f>VLOOKUP(VLOOKUP(B376,Product!A:C,3,FALSE),Supplier!A:B,2,FALSE)</f>
        <v>Supplier QOVFD</v>
      </c>
      <c r="R376" t="str">
        <f>VLOOKUP(VLOOKUP(B376,Product!A:C,3,FALSE),Supplier!A:I,9,FALSE)</f>
        <v>Japan</v>
      </c>
      <c r="S376" t="str">
        <f>IFERROR(IF(VLOOKUP(A376,'Sales Order'!A:H,8,FALSE)&gt;100,"High Freight","Low Freight"),"Not Specified")</f>
        <v>Low Freight</v>
      </c>
      <c r="T376">
        <f t="shared" si="11"/>
        <v>396.8</v>
      </c>
    </row>
    <row r="377" spans="1:20">
      <c r="A377" s="9">
        <v>10389</v>
      </c>
      <c r="B377" s="6">
        <v>55</v>
      </c>
      <c r="C377" s="6">
        <v>19.2</v>
      </c>
      <c r="D377" s="6">
        <v>15</v>
      </c>
      <c r="E377" s="18">
        <v>0</v>
      </c>
      <c r="F377" s="6" t="str">
        <f>IFERROR(VLOOKUP(VLOOKUP(A377,'Sales Order'!A:B,2,FALSE),Customer!A:C,3,FALSE),"Not Specified")</f>
        <v>Bassols, Pilar Colome</v>
      </c>
      <c r="G377" s="6" t="str">
        <f t="shared" si="10"/>
        <v>Bassols Pilar Colome</v>
      </c>
      <c r="H377" s="22" t="str">
        <f>IFERROR(VLOOKUP(VLOOKUP(A377,'Sales Order'!A:C,3,FALSE),Employee!A:E,5,FALSE)&amp;" "&amp;VLOOKUP(VLOOKUP(A377,'Sales Order'!A:C,3,FALSE),Employee!A:C,3,FALSE)&amp;" "&amp;VLOOKUP(VLOOKUP(A377,'Sales Order'!A:C,3,FALSE),Employee!A:B,2,FALSE),"Not Specified")</f>
        <v>Mrs. Yael Peled</v>
      </c>
      <c r="I377" t="str">
        <f>IFERROR(VLOOKUP(VLOOKUP(A377,'Sales Order'!A:C,3,FALSE),Employee!A:J,10,FALSE),"Not Specified")</f>
        <v>WA</v>
      </c>
      <c r="J377" t="str">
        <f>VLOOKUP(B377,Product!A:B,2,FALSE)</f>
        <v>Product YYWRT</v>
      </c>
      <c r="K377" t="str">
        <f>VLOOKUP(VLOOKUP(B377,Product!A:D,4,FALSE),Category!A:B,2,FALSE)</f>
        <v>Meat/Poultry</v>
      </c>
      <c r="L377" s="24">
        <f>IFERROR(VLOOKUP(A377,'Sales Order'!A:D,4,FALSE),"")</f>
        <v>39071</v>
      </c>
      <c r="M377" s="24">
        <f>IFERROR(VLOOKUP(A377,'Sales Order'!A:F,6,FALSE),"")</f>
        <v>39075</v>
      </c>
      <c r="N377" t="str">
        <f>IFERROR(VLOOKUP(VLOOKUP(A377,'Sales Order'!A:G,7,FALSE),Shipper!A:B,2,FALSE),"Not Specified")</f>
        <v>Shipper ETYNR</v>
      </c>
      <c r="O377" t="str">
        <f>IFERROR(VLOOKUP(A377,'Sales Order'!A:I,9,FALSE),"Not Specified")</f>
        <v>Destination OLSSJ</v>
      </c>
      <c r="P377" t="str">
        <f>IFERROR(VLOOKUP(A377,'Sales Order'!A:N,14,FALSE),"Not Specified")</f>
        <v>Canada</v>
      </c>
      <c r="Q377" t="str">
        <f>VLOOKUP(VLOOKUP(B377,Product!A:C,3,FALSE),Supplier!A:B,2,FALSE)</f>
        <v>Supplier ERVYZ</v>
      </c>
      <c r="R377" t="str">
        <f>VLOOKUP(VLOOKUP(B377,Product!A:C,3,FALSE),Supplier!A:I,9,FALSE)</f>
        <v>Canada</v>
      </c>
      <c r="S377" t="str">
        <f>IFERROR(IF(VLOOKUP(A377,'Sales Order'!A:H,8,FALSE)&gt;100,"High Freight","Low Freight"),"Not Specified")</f>
        <v>Low Freight</v>
      </c>
      <c r="T377">
        <f t="shared" si="11"/>
        <v>288</v>
      </c>
    </row>
    <row r="378" spans="1:20">
      <c r="A378" s="9">
        <v>10389</v>
      </c>
      <c r="B378" s="6">
        <v>62</v>
      </c>
      <c r="C378" s="6">
        <v>39.4</v>
      </c>
      <c r="D378" s="6">
        <v>20</v>
      </c>
      <c r="E378" s="18">
        <v>0</v>
      </c>
      <c r="F378" s="6" t="str">
        <f>IFERROR(VLOOKUP(VLOOKUP(A378,'Sales Order'!A:B,2,FALSE),Customer!A:C,3,FALSE),"Not Specified")</f>
        <v>Bassols, Pilar Colome</v>
      </c>
      <c r="G378" s="6" t="str">
        <f t="shared" si="10"/>
        <v>Bassols Pilar Colome</v>
      </c>
      <c r="H378" s="22" t="str">
        <f>IFERROR(VLOOKUP(VLOOKUP(A378,'Sales Order'!A:C,3,FALSE),Employee!A:E,5,FALSE)&amp;" "&amp;VLOOKUP(VLOOKUP(A378,'Sales Order'!A:C,3,FALSE),Employee!A:C,3,FALSE)&amp;" "&amp;VLOOKUP(VLOOKUP(A378,'Sales Order'!A:C,3,FALSE),Employee!A:B,2,FALSE),"Not Specified")</f>
        <v>Mrs. Yael Peled</v>
      </c>
      <c r="I378" t="str">
        <f>IFERROR(VLOOKUP(VLOOKUP(A378,'Sales Order'!A:C,3,FALSE),Employee!A:J,10,FALSE),"Not Specified")</f>
        <v>WA</v>
      </c>
      <c r="J378" t="str">
        <f>VLOOKUP(B378,Product!A:B,2,FALSE)</f>
        <v>Product WUXYK</v>
      </c>
      <c r="K378" t="str">
        <f>VLOOKUP(VLOOKUP(B378,Product!A:D,4,FALSE),Category!A:B,2,FALSE)</f>
        <v>Confections</v>
      </c>
      <c r="L378" s="24">
        <f>IFERROR(VLOOKUP(A378,'Sales Order'!A:D,4,FALSE),"")</f>
        <v>39071</v>
      </c>
      <c r="M378" s="24">
        <f>IFERROR(VLOOKUP(A378,'Sales Order'!A:F,6,FALSE),"")</f>
        <v>39075</v>
      </c>
      <c r="N378" t="str">
        <f>IFERROR(VLOOKUP(VLOOKUP(A378,'Sales Order'!A:G,7,FALSE),Shipper!A:B,2,FALSE),"Not Specified")</f>
        <v>Shipper ETYNR</v>
      </c>
      <c r="O378" t="str">
        <f>IFERROR(VLOOKUP(A378,'Sales Order'!A:I,9,FALSE),"Not Specified")</f>
        <v>Destination OLSSJ</v>
      </c>
      <c r="P378" t="str">
        <f>IFERROR(VLOOKUP(A378,'Sales Order'!A:N,14,FALSE),"Not Specified")</f>
        <v>Canada</v>
      </c>
      <c r="Q378" t="str">
        <f>VLOOKUP(VLOOKUP(B378,Product!A:C,3,FALSE),Supplier!A:B,2,FALSE)</f>
        <v>Supplier OGLRK</v>
      </c>
      <c r="R378" t="str">
        <f>VLOOKUP(VLOOKUP(B378,Product!A:C,3,FALSE),Supplier!A:I,9,FALSE)</f>
        <v>Canada</v>
      </c>
      <c r="S378" t="str">
        <f>IFERROR(IF(VLOOKUP(A378,'Sales Order'!A:H,8,FALSE)&gt;100,"High Freight","Low Freight"),"Not Specified")</f>
        <v>Low Freight</v>
      </c>
      <c r="T378">
        <f t="shared" si="11"/>
        <v>788</v>
      </c>
    </row>
    <row r="379" spans="1:20">
      <c r="A379" s="9">
        <v>10389</v>
      </c>
      <c r="B379" s="6">
        <v>70</v>
      </c>
      <c r="C379" s="6">
        <v>12</v>
      </c>
      <c r="D379" s="6">
        <v>30</v>
      </c>
      <c r="E379" s="18">
        <v>0</v>
      </c>
      <c r="F379" s="6" t="str">
        <f>IFERROR(VLOOKUP(VLOOKUP(A379,'Sales Order'!A:B,2,FALSE),Customer!A:C,3,FALSE),"Not Specified")</f>
        <v>Bassols, Pilar Colome</v>
      </c>
      <c r="G379" s="6" t="str">
        <f t="shared" si="10"/>
        <v>Bassols Pilar Colome</v>
      </c>
      <c r="H379" s="22" t="str">
        <f>IFERROR(VLOOKUP(VLOOKUP(A379,'Sales Order'!A:C,3,FALSE),Employee!A:E,5,FALSE)&amp;" "&amp;VLOOKUP(VLOOKUP(A379,'Sales Order'!A:C,3,FALSE),Employee!A:C,3,FALSE)&amp;" "&amp;VLOOKUP(VLOOKUP(A379,'Sales Order'!A:C,3,FALSE),Employee!A:B,2,FALSE),"Not Specified")</f>
        <v>Mrs. Yael Peled</v>
      </c>
      <c r="I379" t="str">
        <f>IFERROR(VLOOKUP(VLOOKUP(A379,'Sales Order'!A:C,3,FALSE),Employee!A:J,10,FALSE),"Not Specified")</f>
        <v>WA</v>
      </c>
      <c r="J379" t="str">
        <f>VLOOKUP(B379,Product!A:B,2,FALSE)</f>
        <v>Product TOONT</v>
      </c>
      <c r="K379" t="str">
        <f>VLOOKUP(VLOOKUP(B379,Product!A:D,4,FALSE),Category!A:B,2,FALSE)</f>
        <v>Beverages</v>
      </c>
      <c r="L379" s="24">
        <f>IFERROR(VLOOKUP(A379,'Sales Order'!A:D,4,FALSE),"")</f>
        <v>39071</v>
      </c>
      <c r="M379" s="24">
        <f>IFERROR(VLOOKUP(A379,'Sales Order'!A:F,6,FALSE),"")</f>
        <v>39075</v>
      </c>
      <c r="N379" t="str">
        <f>IFERROR(VLOOKUP(VLOOKUP(A379,'Sales Order'!A:G,7,FALSE),Shipper!A:B,2,FALSE),"Not Specified")</f>
        <v>Shipper ETYNR</v>
      </c>
      <c r="O379" t="str">
        <f>IFERROR(VLOOKUP(A379,'Sales Order'!A:I,9,FALSE),"Not Specified")</f>
        <v>Destination OLSSJ</v>
      </c>
      <c r="P379" t="str">
        <f>IFERROR(VLOOKUP(A379,'Sales Order'!A:N,14,FALSE),"Not Specified")</f>
        <v>Canada</v>
      </c>
      <c r="Q379" t="str">
        <f>VLOOKUP(VLOOKUP(B379,Product!A:C,3,FALSE),Supplier!A:B,2,FALSE)</f>
        <v>Supplier GQRCV</v>
      </c>
      <c r="R379" t="str">
        <f>VLOOKUP(VLOOKUP(B379,Product!A:C,3,FALSE),Supplier!A:I,9,FALSE)</f>
        <v>Australia</v>
      </c>
      <c r="S379" t="str">
        <f>IFERROR(IF(VLOOKUP(A379,'Sales Order'!A:H,8,FALSE)&gt;100,"High Freight","Low Freight"),"Not Specified")</f>
        <v>Low Freight</v>
      </c>
      <c r="T379">
        <f t="shared" si="11"/>
        <v>360</v>
      </c>
    </row>
    <row r="380" spans="1:20">
      <c r="A380" s="9">
        <v>10390</v>
      </c>
      <c r="B380" s="6">
        <v>31</v>
      </c>
      <c r="C380" s="6">
        <v>10</v>
      </c>
      <c r="D380" s="6">
        <v>60</v>
      </c>
      <c r="E380" s="18">
        <v>0.1</v>
      </c>
      <c r="F380" s="6" t="str">
        <f>IFERROR(VLOOKUP(VLOOKUP(A380,'Sales Order'!A:B,2,FALSE),Customer!A:C,3,FALSE),"Not Specified")</f>
        <v>Kane, John</v>
      </c>
      <c r="G380" s="6" t="str">
        <f t="shared" si="10"/>
        <v>Kane John</v>
      </c>
      <c r="H380" s="22" t="str">
        <f>IFERROR(VLOOKUP(VLOOKUP(A380,'Sales Order'!A:C,3,FALSE),Employee!A:E,5,FALSE)&amp;" "&amp;VLOOKUP(VLOOKUP(A380,'Sales Order'!A:C,3,FALSE),Employee!A:C,3,FALSE)&amp;" "&amp;VLOOKUP(VLOOKUP(A380,'Sales Order'!A:C,3,FALSE),Employee!A:B,2,FALSE),"Not Specified")</f>
        <v>Mr. Paul Suurs</v>
      </c>
      <c r="I380">
        <f>IFERROR(VLOOKUP(VLOOKUP(A380,'Sales Order'!A:C,3,FALSE),Employee!A:J,10,FALSE),"Not Specified")</f>
        <v>0</v>
      </c>
      <c r="J380" t="str">
        <f>VLOOKUP(B380,Product!A:B,2,FALSE)</f>
        <v>Product XWOXC</v>
      </c>
      <c r="K380" t="str">
        <f>VLOOKUP(VLOOKUP(B380,Product!A:D,4,FALSE),Category!A:B,2,FALSE)</f>
        <v>Dairy Product</v>
      </c>
      <c r="L380" s="24">
        <f>IFERROR(VLOOKUP(A380,'Sales Order'!A:D,4,FALSE),"")</f>
        <v>39074</v>
      </c>
      <c r="M380" s="24">
        <f>IFERROR(VLOOKUP(A380,'Sales Order'!A:F,6,FALSE),"")</f>
        <v>39077</v>
      </c>
      <c r="N380" t="str">
        <f>IFERROR(VLOOKUP(VLOOKUP(A380,'Sales Order'!A:G,7,FALSE),Shipper!A:B,2,FALSE),"Not Specified")</f>
        <v>Shipper GVSUA</v>
      </c>
      <c r="O380" t="str">
        <f>IFERROR(VLOOKUP(A380,'Sales Order'!A:I,9,FALSE),"Not Specified")</f>
        <v>Destination RVDMF</v>
      </c>
      <c r="P380" t="str">
        <f>IFERROR(VLOOKUP(A380,'Sales Order'!A:N,14,FALSE),"Not Specified")</f>
        <v>Austria</v>
      </c>
      <c r="Q380" t="str">
        <f>VLOOKUP(VLOOKUP(B380,Product!A:C,3,FALSE),Supplier!A:B,2,FALSE)</f>
        <v>Supplier KEREV</v>
      </c>
      <c r="R380" t="str">
        <f>VLOOKUP(VLOOKUP(B380,Product!A:C,3,FALSE),Supplier!A:I,9,FALSE)</f>
        <v>Italy</v>
      </c>
      <c r="S380" t="str">
        <f>IFERROR(IF(VLOOKUP(A380,'Sales Order'!A:H,8,FALSE)&gt;100,"High Freight","Low Freight"),"Not Specified")</f>
        <v>High Freight</v>
      </c>
      <c r="T380">
        <f t="shared" si="11"/>
        <v>540</v>
      </c>
    </row>
    <row r="381" spans="1:20">
      <c r="A381" s="9">
        <v>10390</v>
      </c>
      <c r="B381" s="6">
        <v>35</v>
      </c>
      <c r="C381" s="6">
        <v>14.4</v>
      </c>
      <c r="D381" s="6">
        <v>40</v>
      </c>
      <c r="E381" s="18">
        <v>0.1</v>
      </c>
      <c r="F381" s="6" t="str">
        <f>IFERROR(VLOOKUP(VLOOKUP(A381,'Sales Order'!A:B,2,FALSE),Customer!A:C,3,FALSE),"Not Specified")</f>
        <v>Kane, John</v>
      </c>
      <c r="G381" s="6" t="str">
        <f t="shared" si="10"/>
        <v>Kane John</v>
      </c>
      <c r="H381" s="22" t="str">
        <f>IFERROR(VLOOKUP(VLOOKUP(A381,'Sales Order'!A:C,3,FALSE),Employee!A:E,5,FALSE)&amp;" "&amp;VLOOKUP(VLOOKUP(A381,'Sales Order'!A:C,3,FALSE),Employee!A:C,3,FALSE)&amp;" "&amp;VLOOKUP(VLOOKUP(A381,'Sales Order'!A:C,3,FALSE),Employee!A:B,2,FALSE),"Not Specified")</f>
        <v>Mr. Paul Suurs</v>
      </c>
      <c r="I381">
        <f>IFERROR(VLOOKUP(VLOOKUP(A381,'Sales Order'!A:C,3,FALSE),Employee!A:J,10,FALSE),"Not Specified")</f>
        <v>0</v>
      </c>
      <c r="J381" t="str">
        <f>VLOOKUP(B381,Product!A:B,2,FALSE)</f>
        <v>Product NEVTJ</v>
      </c>
      <c r="K381" t="str">
        <f>VLOOKUP(VLOOKUP(B381,Product!A:D,4,FALSE),Category!A:B,2,FALSE)</f>
        <v>Beverages</v>
      </c>
      <c r="L381" s="24">
        <f>IFERROR(VLOOKUP(A381,'Sales Order'!A:D,4,FALSE),"")</f>
        <v>39074</v>
      </c>
      <c r="M381" s="24">
        <f>IFERROR(VLOOKUP(A381,'Sales Order'!A:F,6,FALSE),"")</f>
        <v>39077</v>
      </c>
      <c r="N381" t="str">
        <f>IFERROR(VLOOKUP(VLOOKUP(A381,'Sales Order'!A:G,7,FALSE),Shipper!A:B,2,FALSE),"Not Specified")</f>
        <v>Shipper GVSUA</v>
      </c>
      <c r="O381" t="str">
        <f>IFERROR(VLOOKUP(A381,'Sales Order'!A:I,9,FALSE),"Not Specified")</f>
        <v>Destination RVDMF</v>
      </c>
      <c r="P381" t="str">
        <f>IFERROR(VLOOKUP(A381,'Sales Order'!A:N,14,FALSE),"Not Specified")</f>
        <v>Austria</v>
      </c>
      <c r="Q381" t="str">
        <f>VLOOKUP(VLOOKUP(B381,Product!A:C,3,FALSE),Supplier!A:B,2,FALSE)</f>
        <v>Supplier UHZRG</v>
      </c>
      <c r="R381" t="str">
        <f>VLOOKUP(VLOOKUP(B381,Product!A:C,3,FALSE),Supplier!A:I,9,FALSE)</f>
        <v>USA</v>
      </c>
      <c r="S381" t="str">
        <f>IFERROR(IF(VLOOKUP(A381,'Sales Order'!A:H,8,FALSE)&gt;100,"High Freight","Low Freight"),"Not Specified")</f>
        <v>High Freight</v>
      </c>
      <c r="T381">
        <f t="shared" si="11"/>
        <v>518.4</v>
      </c>
    </row>
    <row r="382" spans="1:20">
      <c r="A382" s="9">
        <v>10390</v>
      </c>
      <c r="B382" s="6">
        <v>46</v>
      </c>
      <c r="C382" s="6">
        <v>9.6</v>
      </c>
      <c r="D382" s="6">
        <v>45</v>
      </c>
      <c r="E382" s="18">
        <v>0</v>
      </c>
      <c r="F382" s="6" t="str">
        <f>IFERROR(VLOOKUP(VLOOKUP(A382,'Sales Order'!A:B,2,FALSE),Customer!A:C,3,FALSE),"Not Specified")</f>
        <v>Kane, John</v>
      </c>
      <c r="G382" s="6" t="str">
        <f t="shared" si="10"/>
        <v>Kane John</v>
      </c>
      <c r="H382" s="22" t="str">
        <f>IFERROR(VLOOKUP(VLOOKUP(A382,'Sales Order'!A:C,3,FALSE),Employee!A:E,5,FALSE)&amp;" "&amp;VLOOKUP(VLOOKUP(A382,'Sales Order'!A:C,3,FALSE),Employee!A:C,3,FALSE)&amp;" "&amp;VLOOKUP(VLOOKUP(A382,'Sales Order'!A:C,3,FALSE),Employee!A:B,2,FALSE),"Not Specified")</f>
        <v>Mr. Paul Suurs</v>
      </c>
      <c r="I382">
        <f>IFERROR(VLOOKUP(VLOOKUP(A382,'Sales Order'!A:C,3,FALSE),Employee!A:J,10,FALSE),"Not Specified")</f>
        <v>0</v>
      </c>
      <c r="J382" t="str">
        <f>VLOOKUP(B382,Product!A:B,2,FALSE)</f>
        <v>Product CBRRL</v>
      </c>
      <c r="K382" t="str">
        <f>VLOOKUP(VLOOKUP(B382,Product!A:D,4,FALSE),Category!A:B,2,FALSE)</f>
        <v>Seafood</v>
      </c>
      <c r="L382" s="24">
        <f>IFERROR(VLOOKUP(A382,'Sales Order'!A:D,4,FALSE),"")</f>
        <v>39074</v>
      </c>
      <c r="M382" s="24">
        <f>IFERROR(VLOOKUP(A382,'Sales Order'!A:F,6,FALSE),"")</f>
        <v>39077</v>
      </c>
      <c r="N382" t="str">
        <f>IFERROR(VLOOKUP(VLOOKUP(A382,'Sales Order'!A:G,7,FALSE),Shipper!A:B,2,FALSE),"Not Specified")</f>
        <v>Shipper GVSUA</v>
      </c>
      <c r="O382" t="str">
        <f>IFERROR(VLOOKUP(A382,'Sales Order'!A:I,9,FALSE),"Not Specified")</f>
        <v>Destination RVDMF</v>
      </c>
      <c r="P382" t="str">
        <f>IFERROR(VLOOKUP(A382,'Sales Order'!A:N,14,FALSE),"Not Specified")</f>
        <v>Austria</v>
      </c>
      <c r="Q382" t="str">
        <f>VLOOKUP(VLOOKUP(B382,Product!A:C,3,FALSE),Supplier!A:B,2,FALSE)</f>
        <v>Supplier XOXZA</v>
      </c>
      <c r="R382" t="str">
        <f>VLOOKUP(VLOOKUP(B382,Product!A:C,3,FALSE),Supplier!A:I,9,FALSE)</f>
        <v>Denmark</v>
      </c>
      <c r="S382" t="str">
        <f>IFERROR(IF(VLOOKUP(A382,'Sales Order'!A:H,8,FALSE)&gt;100,"High Freight","Low Freight"),"Not Specified")</f>
        <v>High Freight</v>
      </c>
      <c r="T382">
        <f t="shared" si="11"/>
        <v>432</v>
      </c>
    </row>
    <row r="383" spans="1:20">
      <c r="A383" s="9">
        <v>10390</v>
      </c>
      <c r="B383" s="6">
        <v>72</v>
      </c>
      <c r="C383" s="6">
        <v>27.8</v>
      </c>
      <c r="D383" s="6">
        <v>24</v>
      </c>
      <c r="E383" s="18">
        <v>0.1</v>
      </c>
      <c r="F383" s="6" t="str">
        <f>IFERROR(VLOOKUP(VLOOKUP(A383,'Sales Order'!A:B,2,FALSE),Customer!A:C,3,FALSE),"Not Specified")</f>
        <v>Kane, John</v>
      </c>
      <c r="G383" s="6" t="str">
        <f t="shared" si="10"/>
        <v>Kane John</v>
      </c>
      <c r="H383" s="22" t="str">
        <f>IFERROR(VLOOKUP(VLOOKUP(A383,'Sales Order'!A:C,3,FALSE),Employee!A:E,5,FALSE)&amp;" "&amp;VLOOKUP(VLOOKUP(A383,'Sales Order'!A:C,3,FALSE),Employee!A:C,3,FALSE)&amp;" "&amp;VLOOKUP(VLOOKUP(A383,'Sales Order'!A:C,3,FALSE),Employee!A:B,2,FALSE),"Not Specified")</f>
        <v>Mr. Paul Suurs</v>
      </c>
      <c r="I383">
        <f>IFERROR(VLOOKUP(VLOOKUP(A383,'Sales Order'!A:C,3,FALSE),Employee!A:J,10,FALSE),"Not Specified")</f>
        <v>0</v>
      </c>
      <c r="J383" t="str">
        <f>VLOOKUP(B383,Product!A:B,2,FALSE)</f>
        <v>Product GEEOO</v>
      </c>
      <c r="K383" t="str">
        <f>VLOOKUP(VLOOKUP(B383,Product!A:D,4,FALSE),Category!A:B,2,FALSE)</f>
        <v>Dairy Product</v>
      </c>
      <c r="L383" s="24">
        <f>IFERROR(VLOOKUP(A383,'Sales Order'!A:D,4,FALSE),"")</f>
        <v>39074</v>
      </c>
      <c r="M383" s="24">
        <f>IFERROR(VLOOKUP(A383,'Sales Order'!A:F,6,FALSE),"")</f>
        <v>39077</v>
      </c>
      <c r="N383" t="str">
        <f>IFERROR(VLOOKUP(VLOOKUP(A383,'Sales Order'!A:G,7,FALSE),Shipper!A:B,2,FALSE),"Not Specified")</f>
        <v>Shipper GVSUA</v>
      </c>
      <c r="O383" t="str">
        <f>IFERROR(VLOOKUP(A383,'Sales Order'!A:I,9,FALSE),"Not Specified")</f>
        <v>Destination RVDMF</v>
      </c>
      <c r="P383" t="str">
        <f>IFERROR(VLOOKUP(A383,'Sales Order'!A:N,14,FALSE),"Not Specified")</f>
        <v>Austria</v>
      </c>
      <c r="Q383" t="str">
        <f>VLOOKUP(VLOOKUP(B383,Product!A:C,3,FALSE),Supplier!A:B,2,FALSE)</f>
        <v>Supplier KEREV</v>
      </c>
      <c r="R383" t="str">
        <f>VLOOKUP(VLOOKUP(B383,Product!A:C,3,FALSE),Supplier!A:I,9,FALSE)</f>
        <v>Italy</v>
      </c>
      <c r="S383" t="str">
        <f>IFERROR(IF(VLOOKUP(A383,'Sales Order'!A:H,8,FALSE)&gt;100,"High Freight","Low Freight"),"Not Specified")</f>
        <v>High Freight</v>
      </c>
      <c r="T383">
        <f t="shared" si="11"/>
        <v>600.48</v>
      </c>
    </row>
    <row r="384" spans="1:20">
      <c r="A384" s="9">
        <v>10391</v>
      </c>
      <c r="B384" s="6">
        <v>13</v>
      </c>
      <c r="C384" s="6">
        <v>4.8</v>
      </c>
      <c r="D384" s="6">
        <v>18</v>
      </c>
      <c r="E384" s="18">
        <v>0</v>
      </c>
      <c r="F384" s="6" t="str">
        <f>IFERROR(VLOOKUP(VLOOKUP(A384,'Sales Order'!A:B,2,FALSE),Customer!A:C,3,FALSE),"Not Specified")</f>
        <v>Jones, TiAnna</v>
      </c>
      <c r="G384" s="6" t="str">
        <f t="shared" si="10"/>
        <v>Jones TiAnna</v>
      </c>
      <c r="H384" s="22" t="str">
        <f>IFERROR(VLOOKUP(VLOOKUP(A384,'Sales Order'!A:C,3,FALSE),Employee!A:E,5,FALSE)&amp;" "&amp;VLOOKUP(VLOOKUP(A384,'Sales Order'!A:C,3,FALSE),Employee!A:C,3,FALSE)&amp;" "&amp;VLOOKUP(VLOOKUP(A384,'Sales Order'!A:C,3,FALSE),Employee!A:B,2,FALSE),"Not Specified")</f>
        <v>Ms. Judy Lew</v>
      </c>
      <c r="I384" t="str">
        <f>IFERROR(VLOOKUP(VLOOKUP(A384,'Sales Order'!A:C,3,FALSE),Employee!A:J,10,FALSE),"Not Specified")</f>
        <v>WA</v>
      </c>
      <c r="J384" t="str">
        <f>VLOOKUP(B384,Product!A:B,2,FALSE)</f>
        <v>Product POXFU</v>
      </c>
      <c r="K384" t="str">
        <f>VLOOKUP(VLOOKUP(B384,Product!A:D,4,FALSE),Category!A:B,2,FALSE)</f>
        <v>Seafood</v>
      </c>
      <c r="L384" s="24">
        <f>IFERROR(VLOOKUP(A384,'Sales Order'!A:D,4,FALSE),"")</f>
        <v>39074</v>
      </c>
      <c r="M384" s="24">
        <f>IFERROR(VLOOKUP(A384,'Sales Order'!A:F,6,FALSE),"")</f>
        <v>39082</v>
      </c>
      <c r="N384" t="str">
        <f>IFERROR(VLOOKUP(VLOOKUP(A384,'Sales Order'!A:G,7,FALSE),Shipper!A:B,2,FALSE),"Not Specified")</f>
        <v>Shipper ZHISN</v>
      </c>
      <c r="O384" t="str">
        <f>IFERROR(VLOOKUP(A384,'Sales Order'!A:I,9,FALSE),"Not Specified")</f>
        <v>Destination AJTHX</v>
      </c>
      <c r="P384" t="str">
        <f>IFERROR(VLOOKUP(A384,'Sales Order'!A:N,14,FALSE),"Not Specified")</f>
        <v>Germany</v>
      </c>
      <c r="Q384" t="str">
        <f>VLOOKUP(VLOOKUP(B384,Product!A:C,3,FALSE),Supplier!A:B,2,FALSE)</f>
        <v>Supplier QWUSF</v>
      </c>
      <c r="R384" t="str">
        <f>VLOOKUP(VLOOKUP(B384,Product!A:C,3,FALSE),Supplier!A:I,9,FALSE)</f>
        <v>Japan</v>
      </c>
      <c r="S384" t="str">
        <f>IFERROR(IF(VLOOKUP(A384,'Sales Order'!A:H,8,FALSE)&gt;100,"High Freight","Low Freight"),"Not Specified")</f>
        <v>Low Freight</v>
      </c>
      <c r="T384">
        <f t="shared" si="11"/>
        <v>86.399999999999991</v>
      </c>
    </row>
    <row r="385" spans="1:20">
      <c r="A385" s="9">
        <v>10392</v>
      </c>
      <c r="B385" s="6">
        <v>69</v>
      </c>
      <c r="C385" s="6">
        <v>28.8</v>
      </c>
      <c r="D385" s="6">
        <v>50</v>
      </c>
      <c r="E385" s="18">
        <v>0</v>
      </c>
      <c r="F385" s="6" t="str">
        <f>IFERROR(VLOOKUP(VLOOKUP(A385,'Sales Order'!A:B,2,FALSE),Customer!A:C,3,FALSE),"Not Specified")</f>
        <v>Meston, Tosh</v>
      </c>
      <c r="G385" s="6" t="str">
        <f t="shared" si="10"/>
        <v>Meston Tosh</v>
      </c>
      <c r="H385" s="22" t="str">
        <f>IFERROR(VLOOKUP(VLOOKUP(A385,'Sales Order'!A:C,3,FALSE),Employee!A:E,5,FALSE)&amp;" "&amp;VLOOKUP(VLOOKUP(A385,'Sales Order'!A:C,3,FALSE),Employee!A:C,3,FALSE)&amp;" "&amp;VLOOKUP(VLOOKUP(A385,'Sales Order'!A:C,3,FALSE),Employee!A:B,2,FALSE),"Not Specified")</f>
        <v>Dr. Don Funk</v>
      </c>
      <c r="I385" t="str">
        <f>IFERROR(VLOOKUP(VLOOKUP(A385,'Sales Order'!A:C,3,FALSE),Employee!A:J,10,FALSE),"Not Specified")</f>
        <v>WA</v>
      </c>
      <c r="J385" t="str">
        <f>VLOOKUP(B385,Product!A:B,2,FALSE)</f>
        <v>Product COAXA</v>
      </c>
      <c r="K385" t="str">
        <f>VLOOKUP(VLOOKUP(B385,Product!A:D,4,FALSE),Category!A:B,2,FALSE)</f>
        <v>Dairy Product</v>
      </c>
      <c r="L385" s="24">
        <f>IFERROR(VLOOKUP(A385,'Sales Order'!A:D,4,FALSE),"")</f>
        <v>39075</v>
      </c>
      <c r="M385" s="24">
        <f>IFERROR(VLOOKUP(A385,'Sales Order'!A:F,6,FALSE),"")</f>
        <v>39083</v>
      </c>
      <c r="N385" t="str">
        <f>IFERROR(VLOOKUP(VLOOKUP(A385,'Sales Order'!A:G,7,FALSE),Shipper!A:B,2,FALSE),"Not Specified")</f>
        <v>Shipper ZHISN</v>
      </c>
      <c r="O385" t="str">
        <f>IFERROR(VLOOKUP(A385,'Sales Order'!A:I,9,FALSE),"Not Specified")</f>
        <v>Ship to 59-A</v>
      </c>
      <c r="P385" t="str">
        <f>IFERROR(VLOOKUP(A385,'Sales Order'!A:N,14,FALSE),"Not Specified")</f>
        <v>Austria</v>
      </c>
      <c r="Q385" t="str">
        <f>VLOOKUP(VLOOKUP(B385,Product!A:C,3,FALSE),Supplier!A:B,2,FALSE)</f>
        <v>Supplier NZLIF</v>
      </c>
      <c r="R385" t="str">
        <f>VLOOKUP(VLOOKUP(B385,Product!A:C,3,FALSE),Supplier!A:I,9,FALSE)</f>
        <v>Norway</v>
      </c>
      <c r="S385" t="str">
        <f>IFERROR(IF(VLOOKUP(A385,'Sales Order'!A:H,8,FALSE)&gt;100,"High Freight","Low Freight"),"Not Specified")</f>
        <v>High Freight</v>
      </c>
      <c r="T385">
        <f t="shared" si="11"/>
        <v>1440</v>
      </c>
    </row>
    <row r="386" spans="1:20">
      <c r="A386" s="9">
        <v>10393</v>
      </c>
      <c r="B386" s="6">
        <v>2</v>
      </c>
      <c r="C386" s="6">
        <v>15.2</v>
      </c>
      <c r="D386" s="6">
        <v>25</v>
      </c>
      <c r="E386" s="18">
        <v>0.25</v>
      </c>
      <c r="F386" s="6" t="str">
        <f>IFERROR(VLOOKUP(VLOOKUP(A386,'Sales Order'!A:B,2,FALSE),Customer!A:C,3,FALSE),"Not Specified")</f>
        <v>Navarro, Tomás</v>
      </c>
      <c r="G386" s="6" t="str">
        <f t="shared" si="10"/>
        <v>Navarro Tomás</v>
      </c>
      <c r="H386" s="22" t="str">
        <f>IFERROR(VLOOKUP(VLOOKUP(A386,'Sales Order'!A:C,3,FALSE),Employee!A:E,5,FALSE)&amp;" "&amp;VLOOKUP(VLOOKUP(A386,'Sales Order'!A:C,3,FALSE),Employee!A:C,3,FALSE)&amp;" "&amp;VLOOKUP(VLOOKUP(A386,'Sales Order'!A:C,3,FALSE),Employee!A:B,2,FALSE),"Not Specified")</f>
        <v>Ms. Sara Davis</v>
      </c>
      <c r="I386" t="str">
        <f>IFERROR(VLOOKUP(VLOOKUP(A386,'Sales Order'!A:C,3,FALSE),Employee!A:J,10,FALSE),"Not Specified")</f>
        <v>WA</v>
      </c>
      <c r="J386" t="str">
        <f>VLOOKUP(B386,Product!A:B,2,FALSE)</f>
        <v>Product RECZE</v>
      </c>
      <c r="K386" t="str">
        <f>VLOOKUP(VLOOKUP(B386,Product!A:D,4,FALSE),Category!A:B,2,FALSE)</f>
        <v>Beverages</v>
      </c>
      <c r="L386" s="24">
        <f>IFERROR(VLOOKUP(A386,'Sales Order'!A:D,4,FALSE),"")</f>
        <v>39076</v>
      </c>
      <c r="M386" s="24">
        <f>IFERROR(VLOOKUP(A386,'Sales Order'!A:F,6,FALSE),"")</f>
        <v>39085</v>
      </c>
      <c r="N386" t="str">
        <f>IFERROR(VLOOKUP(VLOOKUP(A386,'Sales Order'!A:G,7,FALSE),Shipper!A:B,2,FALSE),"Not Specified")</f>
        <v>Shipper ZHISN</v>
      </c>
      <c r="O386" t="str">
        <f>IFERROR(VLOOKUP(A386,'Sales Order'!A:I,9,FALSE),"Not Specified")</f>
        <v>Ship to 71-B</v>
      </c>
      <c r="P386" t="str">
        <f>IFERROR(VLOOKUP(A386,'Sales Order'!A:N,14,FALSE),"Not Specified")</f>
        <v>USA</v>
      </c>
      <c r="Q386" t="str">
        <f>VLOOKUP(VLOOKUP(B386,Product!A:C,3,FALSE),Supplier!A:B,2,FALSE)</f>
        <v>Supplier SWRXU</v>
      </c>
      <c r="R386" t="str">
        <f>VLOOKUP(VLOOKUP(B386,Product!A:C,3,FALSE),Supplier!A:I,9,FALSE)</f>
        <v>UK</v>
      </c>
      <c r="S386" t="str">
        <f>IFERROR(IF(VLOOKUP(A386,'Sales Order'!A:H,8,FALSE)&gt;100,"High Freight","Low Freight"),"Not Specified")</f>
        <v>High Freight</v>
      </c>
      <c r="T386">
        <f t="shared" si="11"/>
        <v>285</v>
      </c>
    </row>
    <row r="387" spans="1:20">
      <c r="A387" s="9">
        <v>10393</v>
      </c>
      <c r="B387" s="6">
        <v>14</v>
      </c>
      <c r="C387" s="6">
        <v>18.600000000000001</v>
      </c>
      <c r="D387" s="6">
        <v>42</v>
      </c>
      <c r="E387" s="18">
        <v>0.25</v>
      </c>
      <c r="F387" s="6" t="str">
        <f>IFERROR(VLOOKUP(VLOOKUP(A387,'Sales Order'!A:B,2,FALSE),Customer!A:C,3,FALSE),"Not Specified")</f>
        <v>Navarro, Tomás</v>
      </c>
      <c r="G387" s="6" t="str">
        <f t="shared" ref="G387:G450" si="12">SUBSTITUTE(F387,",","",1)</f>
        <v>Navarro Tomás</v>
      </c>
      <c r="H387" s="22" t="str">
        <f>IFERROR(VLOOKUP(VLOOKUP(A387,'Sales Order'!A:C,3,FALSE),Employee!A:E,5,FALSE)&amp;" "&amp;VLOOKUP(VLOOKUP(A387,'Sales Order'!A:C,3,FALSE),Employee!A:C,3,FALSE)&amp;" "&amp;VLOOKUP(VLOOKUP(A387,'Sales Order'!A:C,3,FALSE),Employee!A:B,2,FALSE),"Not Specified")</f>
        <v>Ms. Sara Davis</v>
      </c>
      <c r="I387" t="str">
        <f>IFERROR(VLOOKUP(VLOOKUP(A387,'Sales Order'!A:C,3,FALSE),Employee!A:J,10,FALSE),"Not Specified")</f>
        <v>WA</v>
      </c>
      <c r="J387" t="str">
        <f>VLOOKUP(B387,Product!A:B,2,FALSE)</f>
        <v>Product PWCJB</v>
      </c>
      <c r="K387" t="str">
        <f>VLOOKUP(VLOOKUP(B387,Product!A:D,4,FALSE),Category!A:B,2,FALSE)</f>
        <v>Produce</v>
      </c>
      <c r="L387" s="24">
        <f>IFERROR(VLOOKUP(A387,'Sales Order'!A:D,4,FALSE),"")</f>
        <v>39076</v>
      </c>
      <c r="M387" s="24">
        <f>IFERROR(VLOOKUP(A387,'Sales Order'!A:F,6,FALSE),"")</f>
        <v>39085</v>
      </c>
      <c r="N387" t="str">
        <f>IFERROR(VLOOKUP(VLOOKUP(A387,'Sales Order'!A:G,7,FALSE),Shipper!A:B,2,FALSE),"Not Specified")</f>
        <v>Shipper ZHISN</v>
      </c>
      <c r="O387" t="str">
        <f>IFERROR(VLOOKUP(A387,'Sales Order'!A:I,9,FALSE),"Not Specified")</f>
        <v>Ship to 71-B</v>
      </c>
      <c r="P387" t="str">
        <f>IFERROR(VLOOKUP(A387,'Sales Order'!A:N,14,FALSE),"Not Specified")</f>
        <v>USA</v>
      </c>
      <c r="Q387" t="str">
        <f>VLOOKUP(VLOOKUP(B387,Product!A:C,3,FALSE),Supplier!A:B,2,FALSE)</f>
        <v>Supplier QWUSF</v>
      </c>
      <c r="R387" t="str">
        <f>VLOOKUP(VLOOKUP(B387,Product!A:C,3,FALSE),Supplier!A:I,9,FALSE)</f>
        <v>Japan</v>
      </c>
      <c r="S387" t="str">
        <f>IFERROR(IF(VLOOKUP(A387,'Sales Order'!A:H,8,FALSE)&gt;100,"High Freight","Low Freight"),"Not Specified")</f>
        <v>High Freight</v>
      </c>
      <c r="T387">
        <f t="shared" ref="T387:T450" si="13">C387*D387*(1-E387)</f>
        <v>585.90000000000009</v>
      </c>
    </row>
    <row r="388" spans="1:20">
      <c r="A388" s="9">
        <v>10393</v>
      </c>
      <c r="B388" s="6">
        <v>25</v>
      </c>
      <c r="C388" s="6">
        <v>11.2</v>
      </c>
      <c r="D388" s="6">
        <v>7</v>
      </c>
      <c r="E388" s="18">
        <v>0.25</v>
      </c>
      <c r="F388" s="6" t="str">
        <f>IFERROR(VLOOKUP(VLOOKUP(A388,'Sales Order'!A:B,2,FALSE),Customer!A:C,3,FALSE),"Not Specified")</f>
        <v>Navarro, Tomás</v>
      </c>
      <c r="G388" s="6" t="str">
        <f t="shared" si="12"/>
        <v>Navarro Tomás</v>
      </c>
      <c r="H388" s="22" t="str">
        <f>IFERROR(VLOOKUP(VLOOKUP(A388,'Sales Order'!A:C,3,FALSE),Employee!A:E,5,FALSE)&amp;" "&amp;VLOOKUP(VLOOKUP(A388,'Sales Order'!A:C,3,FALSE),Employee!A:C,3,FALSE)&amp;" "&amp;VLOOKUP(VLOOKUP(A388,'Sales Order'!A:C,3,FALSE),Employee!A:B,2,FALSE),"Not Specified")</f>
        <v>Ms. Sara Davis</v>
      </c>
      <c r="I388" t="str">
        <f>IFERROR(VLOOKUP(VLOOKUP(A388,'Sales Order'!A:C,3,FALSE),Employee!A:J,10,FALSE),"Not Specified")</f>
        <v>WA</v>
      </c>
      <c r="J388" t="str">
        <f>VLOOKUP(B388,Product!A:B,2,FALSE)</f>
        <v>Product LYLNI</v>
      </c>
      <c r="K388" t="str">
        <f>VLOOKUP(VLOOKUP(B388,Product!A:D,4,FALSE),Category!A:B,2,FALSE)</f>
        <v>Confections</v>
      </c>
      <c r="L388" s="24">
        <f>IFERROR(VLOOKUP(A388,'Sales Order'!A:D,4,FALSE),"")</f>
        <v>39076</v>
      </c>
      <c r="M388" s="24">
        <f>IFERROR(VLOOKUP(A388,'Sales Order'!A:F,6,FALSE),"")</f>
        <v>39085</v>
      </c>
      <c r="N388" t="str">
        <f>IFERROR(VLOOKUP(VLOOKUP(A388,'Sales Order'!A:G,7,FALSE),Shipper!A:B,2,FALSE),"Not Specified")</f>
        <v>Shipper ZHISN</v>
      </c>
      <c r="O388" t="str">
        <f>IFERROR(VLOOKUP(A388,'Sales Order'!A:I,9,FALSE),"Not Specified")</f>
        <v>Ship to 71-B</v>
      </c>
      <c r="P388" t="str">
        <f>IFERROR(VLOOKUP(A388,'Sales Order'!A:N,14,FALSE),"Not Specified")</f>
        <v>USA</v>
      </c>
      <c r="Q388" t="str">
        <f>VLOOKUP(VLOOKUP(B388,Product!A:C,3,FALSE),Supplier!A:B,2,FALSE)</f>
        <v>Supplier ZPYVS</v>
      </c>
      <c r="R388" t="str">
        <f>VLOOKUP(VLOOKUP(B388,Product!A:C,3,FALSE),Supplier!A:I,9,FALSE)</f>
        <v>Germany</v>
      </c>
      <c r="S388" t="str">
        <f>IFERROR(IF(VLOOKUP(A388,'Sales Order'!A:H,8,FALSE)&gt;100,"High Freight","Low Freight"),"Not Specified")</f>
        <v>High Freight</v>
      </c>
      <c r="T388">
        <f t="shared" si="13"/>
        <v>58.8</v>
      </c>
    </row>
    <row r="389" spans="1:20">
      <c r="A389" s="9">
        <v>10393</v>
      </c>
      <c r="B389" s="6">
        <v>26</v>
      </c>
      <c r="C389" s="6">
        <v>24.9</v>
      </c>
      <c r="D389" s="6">
        <v>70</v>
      </c>
      <c r="E389" s="18">
        <v>0.25</v>
      </c>
      <c r="F389" s="6" t="str">
        <f>IFERROR(VLOOKUP(VLOOKUP(A389,'Sales Order'!A:B,2,FALSE),Customer!A:C,3,FALSE),"Not Specified")</f>
        <v>Navarro, Tomás</v>
      </c>
      <c r="G389" s="6" t="str">
        <f t="shared" si="12"/>
        <v>Navarro Tomás</v>
      </c>
      <c r="H389" s="22" t="str">
        <f>IFERROR(VLOOKUP(VLOOKUP(A389,'Sales Order'!A:C,3,FALSE),Employee!A:E,5,FALSE)&amp;" "&amp;VLOOKUP(VLOOKUP(A389,'Sales Order'!A:C,3,FALSE),Employee!A:C,3,FALSE)&amp;" "&amp;VLOOKUP(VLOOKUP(A389,'Sales Order'!A:C,3,FALSE),Employee!A:B,2,FALSE),"Not Specified")</f>
        <v>Ms. Sara Davis</v>
      </c>
      <c r="I389" t="str">
        <f>IFERROR(VLOOKUP(VLOOKUP(A389,'Sales Order'!A:C,3,FALSE),Employee!A:J,10,FALSE),"Not Specified")</f>
        <v>WA</v>
      </c>
      <c r="J389" t="str">
        <f>VLOOKUP(B389,Product!A:B,2,FALSE)</f>
        <v>Product HLGZA</v>
      </c>
      <c r="K389" t="str">
        <f>VLOOKUP(VLOOKUP(B389,Product!A:D,4,FALSE),Category!A:B,2,FALSE)</f>
        <v>Confections</v>
      </c>
      <c r="L389" s="24">
        <f>IFERROR(VLOOKUP(A389,'Sales Order'!A:D,4,FALSE),"")</f>
        <v>39076</v>
      </c>
      <c r="M389" s="24">
        <f>IFERROR(VLOOKUP(A389,'Sales Order'!A:F,6,FALSE),"")</f>
        <v>39085</v>
      </c>
      <c r="N389" t="str">
        <f>IFERROR(VLOOKUP(VLOOKUP(A389,'Sales Order'!A:G,7,FALSE),Shipper!A:B,2,FALSE),"Not Specified")</f>
        <v>Shipper ZHISN</v>
      </c>
      <c r="O389" t="str">
        <f>IFERROR(VLOOKUP(A389,'Sales Order'!A:I,9,FALSE),"Not Specified")</f>
        <v>Ship to 71-B</v>
      </c>
      <c r="P389" t="str">
        <f>IFERROR(VLOOKUP(A389,'Sales Order'!A:N,14,FALSE),"Not Specified")</f>
        <v>USA</v>
      </c>
      <c r="Q389" t="str">
        <f>VLOOKUP(VLOOKUP(B389,Product!A:C,3,FALSE),Supplier!A:B,2,FALSE)</f>
        <v>Supplier ZPYVS</v>
      </c>
      <c r="R389" t="str">
        <f>VLOOKUP(VLOOKUP(B389,Product!A:C,3,FALSE),Supplier!A:I,9,FALSE)</f>
        <v>Germany</v>
      </c>
      <c r="S389" t="str">
        <f>IFERROR(IF(VLOOKUP(A389,'Sales Order'!A:H,8,FALSE)&gt;100,"High Freight","Low Freight"),"Not Specified")</f>
        <v>High Freight</v>
      </c>
      <c r="T389">
        <f t="shared" si="13"/>
        <v>1307.25</v>
      </c>
    </row>
    <row r="390" spans="1:20">
      <c r="A390" s="9">
        <v>10393</v>
      </c>
      <c r="B390" s="6">
        <v>31</v>
      </c>
      <c r="C390" s="6">
        <v>10</v>
      </c>
      <c r="D390" s="6">
        <v>32</v>
      </c>
      <c r="E390" s="18">
        <v>0</v>
      </c>
      <c r="F390" s="6" t="str">
        <f>IFERROR(VLOOKUP(VLOOKUP(A390,'Sales Order'!A:B,2,FALSE),Customer!A:C,3,FALSE),"Not Specified")</f>
        <v>Navarro, Tomás</v>
      </c>
      <c r="G390" s="6" t="str">
        <f t="shared" si="12"/>
        <v>Navarro Tomás</v>
      </c>
      <c r="H390" s="22" t="str">
        <f>IFERROR(VLOOKUP(VLOOKUP(A390,'Sales Order'!A:C,3,FALSE),Employee!A:E,5,FALSE)&amp;" "&amp;VLOOKUP(VLOOKUP(A390,'Sales Order'!A:C,3,FALSE),Employee!A:C,3,FALSE)&amp;" "&amp;VLOOKUP(VLOOKUP(A390,'Sales Order'!A:C,3,FALSE),Employee!A:B,2,FALSE),"Not Specified")</f>
        <v>Ms. Sara Davis</v>
      </c>
      <c r="I390" t="str">
        <f>IFERROR(VLOOKUP(VLOOKUP(A390,'Sales Order'!A:C,3,FALSE),Employee!A:J,10,FALSE),"Not Specified")</f>
        <v>WA</v>
      </c>
      <c r="J390" t="str">
        <f>VLOOKUP(B390,Product!A:B,2,FALSE)</f>
        <v>Product XWOXC</v>
      </c>
      <c r="K390" t="str">
        <f>VLOOKUP(VLOOKUP(B390,Product!A:D,4,FALSE),Category!A:B,2,FALSE)</f>
        <v>Dairy Product</v>
      </c>
      <c r="L390" s="24">
        <f>IFERROR(VLOOKUP(A390,'Sales Order'!A:D,4,FALSE),"")</f>
        <v>39076</v>
      </c>
      <c r="M390" s="24">
        <f>IFERROR(VLOOKUP(A390,'Sales Order'!A:F,6,FALSE),"")</f>
        <v>39085</v>
      </c>
      <c r="N390" t="str">
        <f>IFERROR(VLOOKUP(VLOOKUP(A390,'Sales Order'!A:G,7,FALSE),Shipper!A:B,2,FALSE),"Not Specified")</f>
        <v>Shipper ZHISN</v>
      </c>
      <c r="O390" t="str">
        <f>IFERROR(VLOOKUP(A390,'Sales Order'!A:I,9,FALSE),"Not Specified")</f>
        <v>Ship to 71-B</v>
      </c>
      <c r="P390" t="str">
        <f>IFERROR(VLOOKUP(A390,'Sales Order'!A:N,14,FALSE),"Not Specified")</f>
        <v>USA</v>
      </c>
      <c r="Q390" t="str">
        <f>VLOOKUP(VLOOKUP(B390,Product!A:C,3,FALSE),Supplier!A:B,2,FALSE)</f>
        <v>Supplier KEREV</v>
      </c>
      <c r="R390" t="str">
        <f>VLOOKUP(VLOOKUP(B390,Product!A:C,3,FALSE),Supplier!A:I,9,FALSE)</f>
        <v>Italy</v>
      </c>
      <c r="S390" t="str">
        <f>IFERROR(IF(VLOOKUP(A390,'Sales Order'!A:H,8,FALSE)&gt;100,"High Freight","Low Freight"),"Not Specified")</f>
        <v>High Freight</v>
      </c>
      <c r="T390">
        <f t="shared" si="13"/>
        <v>320</v>
      </c>
    </row>
    <row r="391" spans="1:20">
      <c r="A391" s="9">
        <v>10394</v>
      </c>
      <c r="B391" s="6">
        <v>13</v>
      </c>
      <c r="C391" s="6">
        <v>4.8</v>
      </c>
      <c r="D391" s="6">
        <v>10</v>
      </c>
      <c r="E391" s="18">
        <v>0</v>
      </c>
      <c r="F391" s="6" t="str">
        <f>IFERROR(VLOOKUP(VLOOKUP(A391,'Sales Order'!A:B,2,FALSE),Customer!A:C,3,FALSE),"Not Specified")</f>
        <v>Smith, Denise</v>
      </c>
      <c r="G391" s="6" t="str">
        <f t="shared" si="12"/>
        <v>Smith Denise</v>
      </c>
      <c r="H391" s="22" t="str">
        <f>IFERROR(VLOOKUP(VLOOKUP(A391,'Sales Order'!A:C,3,FALSE),Employee!A:E,5,FALSE)&amp;" "&amp;VLOOKUP(VLOOKUP(A391,'Sales Order'!A:C,3,FALSE),Employee!A:C,3,FALSE)&amp;" "&amp;VLOOKUP(VLOOKUP(A391,'Sales Order'!A:C,3,FALSE),Employee!A:B,2,FALSE),"Not Specified")</f>
        <v>Ms. Sara Davis</v>
      </c>
      <c r="I391" t="str">
        <f>IFERROR(VLOOKUP(VLOOKUP(A391,'Sales Order'!A:C,3,FALSE),Employee!A:J,10,FALSE),"Not Specified")</f>
        <v>WA</v>
      </c>
      <c r="J391" t="str">
        <f>VLOOKUP(B391,Product!A:B,2,FALSE)</f>
        <v>Product POXFU</v>
      </c>
      <c r="K391" t="str">
        <f>VLOOKUP(VLOOKUP(B391,Product!A:D,4,FALSE),Category!A:B,2,FALSE)</f>
        <v>Seafood</v>
      </c>
      <c r="L391" s="24">
        <f>IFERROR(VLOOKUP(A391,'Sales Order'!A:D,4,FALSE),"")</f>
        <v>39076</v>
      </c>
      <c r="M391" s="24">
        <f>IFERROR(VLOOKUP(A391,'Sales Order'!A:F,6,FALSE),"")</f>
        <v>39085</v>
      </c>
      <c r="N391" t="str">
        <f>IFERROR(VLOOKUP(VLOOKUP(A391,'Sales Order'!A:G,7,FALSE),Shipper!A:B,2,FALSE),"Not Specified")</f>
        <v>Shipper ZHISN</v>
      </c>
      <c r="O391" t="str">
        <f>IFERROR(VLOOKUP(A391,'Sales Order'!A:I,9,FALSE),"Not Specified")</f>
        <v>Destination AWPJG</v>
      </c>
      <c r="P391" t="str">
        <f>IFERROR(VLOOKUP(A391,'Sales Order'!A:N,14,FALSE),"Not Specified")</f>
        <v>USA</v>
      </c>
      <c r="Q391" t="str">
        <f>VLOOKUP(VLOOKUP(B391,Product!A:C,3,FALSE),Supplier!A:B,2,FALSE)</f>
        <v>Supplier QWUSF</v>
      </c>
      <c r="R391" t="str">
        <f>VLOOKUP(VLOOKUP(B391,Product!A:C,3,FALSE),Supplier!A:I,9,FALSE)</f>
        <v>Japan</v>
      </c>
      <c r="S391" t="str">
        <f>IFERROR(IF(VLOOKUP(A391,'Sales Order'!A:H,8,FALSE)&gt;100,"High Freight","Low Freight"),"Not Specified")</f>
        <v>Low Freight</v>
      </c>
      <c r="T391">
        <f t="shared" si="13"/>
        <v>48</v>
      </c>
    </row>
    <row r="392" spans="1:20">
      <c r="A392" s="9">
        <v>10394</v>
      </c>
      <c r="B392" s="6">
        <v>62</v>
      </c>
      <c r="C392" s="6">
        <v>39.4</v>
      </c>
      <c r="D392" s="6">
        <v>10</v>
      </c>
      <c r="E392" s="18">
        <v>0</v>
      </c>
      <c r="F392" s="6" t="str">
        <f>IFERROR(VLOOKUP(VLOOKUP(A392,'Sales Order'!A:B,2,FALSE),Customer!A:C,3,FALSE),"Not Specified")</f>
        <v>Smith, Denise</v>
      </c>
      <c r="G392" s="6" t="str">
        <f t="shared" si="12"/>
        <v>Smith Denise</v>
      </c>
      <c r="H392" s="22" t="str">
        <f>IFERROR(VLOOKUP(VLOOKUP(A392,'Sales Order'!A:C,3,FALSE),Employee!A:E,5,FALSE)&amp;" "&amp;VLOOKUP(VLOOKUP(A392,'Sales Order'!A:C,3,FALSE),Employee!A:C,3,FALSE)&amp;" "&amp;VLOOKUP(VLOOKUP(A392,'Sales Order'!A:C,3,FALSE),Employee!A:B,2,FALSE),"Not Specified")</f>
        <v>Ms. Sara Davis</v>
      </c>
      <c r="I392" t="str">
        <f>IFERROR(VLOOKUP(VLOOKUP(A392,'Sales Order'!A:C,3,FALSE),Employee!A:J,10,FALSE),"Not Specified")</f>
        <v>WA</v>
      </c>
      <c r="J392" t="str">
        <f>VLOOKUP(B392,Product!A:B,2,FALSE)</f>
        <v>Product WUXYK</v>
      </c>
      <c r="K392" t="str">
        <f>VLOOKUP(VLOOKUP(B392,Product!A:D,4,FALSE),Category!A:B,2,FALSE)</f>
        <v>Confections</v>
      </c>
      <c r="L392" s="24">
        <f>IFERROR(VLOOKUP(A392,'Sales Order'!A:D,4,FALSE),"")</f>
        <v>39076</v>
      </c>
      <c r="M392" s="24">
        <f>IFERROR(VLOOKUP(A392,'Sales Order'!A:F,6,FALSE),"")</f>
        <v>39085</v>
      </c>
      <c r="N392" t="str">
        <f>IFERROR(VLOOKUP(VLOOKUP(A392,'Sales Order'!A:G,7,FALSE),Shipper!A:B,2,FALSE),"Not Specified")</f>
        <v>Shipper ZHISN</v>
      </c>
      <c r="O392" t="str">
        <f>IFERROR(VLOOKUP(A392,'Sales Order'!A:I,9,FALSE),"Not Specified")</f>
        <v>Destination AWPJG</v>
      </c>
      <c r="P392" t="str">
        <f>IFERROR(VLOOKUP(A392,'Sales Order'!A:N,14,FALSE),"Not Specified")</f>
        <v>USA</v>
      </c>
      <c r="Q392" t="str">
        <f>VLOOKUP(VLOOKUP(B392,Product!A:C,3,FALSE),Supplier!A:B,2,FALSE)</f>
        <v>Supplier OGLRK</v>
      </c>
      <c r="R392" t="str">
        <f>VLOOKUP(VLOOKUP(B392,Product!A:C,3,FALSE),Supplier!A:I,9,FALSE)</f>
        <v>Canada</v>
      </c>
      <c r="S392" t="str">
        <f>IFERROR(IF(VLOOKUP(A392,'Sales Order'!A:H,8,FALSE)&gt;100,"High Freight","Low Freight"),"Not Specified")</f>
        <v>Low Freight</v>
      </c>
      <c r="T392">
        <f t="shared" si="13"/>
        <v>394</v>
      </c>
    </row>
    <row r="393" spans="1:20">
      <c r="A393" s="9">
        <v>10395</v>
      </c>
      <c r="B393" s="6">
        <v>46</v>
      </c>
      <c r="C393" s="6">
        <v>9.6</v>
      </c>
      <c r="D393" s="6">
        <v>28</v>
      </c>
      <c r="E393" s="18">
        <v>0.1</v>
      </c>
      <c r="F393" s="6" t="str">
        <f>IFERROR(VLOOKUP(VLOOKUP(A393,'Sales Order'!A:B,2,FALSE),Customer!A:C,3,FALSE),"Not Specified")</f>
        <v>Langohr, Kris</v>
      </c>
      <c r="G393" s="6" t="str">
        <f t="shared" si="12"/>
        <v>Langohr Kris</v>
      </c>
      <c r="H393" s="22" t="str">
        <f>IFERROR(VLOOKUP(VLOOKUP(A393,'Sales Order'!A:C,3,FALSE),Employee!A:E,5,FALSE)&amp;" "&amp;VLOOKUP(VLOOKUP(A393,'Sales Order'!A:C,3,FALSE),Employee!A:C,3,FALSE)&amp;" "&amp;VLOOKUP(VLOOKUP(A393,'Sales Order'!A:C,3,FALSE),Employee!A:B,2,FALSE),"Not Specified")</f>
        <v>Mr. Paul Suurs</v>
      </c>
      <c r="I393">
        <f>IFERROR(VLOOKUP(VLOOKUP(A393,'Sales Order'!A:C,3,FALSE),Employee!A:J,10,FALSE),"Not Specified")</f>
        <v>0</v>
      </c>
      <c r="J393" t="str">
        <f>VLOOKUP(B393,Product!A:B,2,FALSE)</f>
        <v>Product CBRRL</v>
      </c>
      <c r="K393" t="str">
        <f>VLOOKUP(VLOOKUP(B393,Product!A:D,4,FALSE),Category!A:B,2,FALSE)</f>
        <v>Seafood</v>
      </c>
      <c r="L393" s="24">
        <f>IFERROR(VLOOKUP(A393,'Sales Order'!A:D,4,FALSE),"")</f>
        <v>39077</v>
      </c>
      <c r="M393" s="24">
        <f>IFERROR(VLOOKUP(A393,'Sales Order'!A:F,6,FALSE),"")</f>
        <v>39085</v>
      </c>
      <c r="N393" t="str">
        <f>IFERROR(VLOOKUP(VLOOKUP(A393,'Sales Order'!A:G,7,FALSE),Shipper!A:B,2,FALSE),"Not Specified")</f>
        <v>Shipper GVSUA</v>
      </c>
      <c r="O393" t="str">
        <f>IFERROR(VLOOKUP(A393,'Sales Order'!A:I,9,FALSE),"Not Specified")</f>
        <v>Destination JYDLM</v>
      </c>
      <c r="P393" t="str">
        <f>IFERROR(VLOOKUP(A393,'Sales Order'!A:N,14,FALSE),"Not Specified")</f>
        <v>Venezuela</v>
      </c>
      <c r="Q393" t="str">
        <f>VLOOKUP(VLOOKUP(B393,Product!A:C,3,FALSE),Supplier!A:B,2,FALSE)</f>
        <v>Supplier XOXZA</v>
      </c>
      <c r="R393" t="str">
        <f>VLOOKUP(VLOOKUP(B393,Product!A:C,3,FALSE),Supplier!A:I,9,FALSE)</f>
        <v>Denmark</v>
      </c>
      <c r="S393" t="str">
        <f>IFERROR(IF(VLOOKUP(A393,'Sales Order'!A:H,8,FALSE)&gt;100,"High Freight","Low Freight"),"Not Specified")</f>
        <v>High Freight</v>
      </c>
      <c r="T393">
        <f t="shared" si="13"/>
        <v>241.92000000000002</v>
      </c>
    </row>
    <row r="394" spans="1:20">
      <c r="A394" s="9">
        <v>10395</v>
      </c>
      <c r="B394" s="6">
        <v>53</v>
      </c>
      <c r="C394" s="6">
        <v>26.2</v>
      </c>
      <c r="D394" s="6">
        <v>70</v>
      </c>
      <c r="E394" s="18">
        <v>0.1</v>
      </c>
      <c r="F394" s="6" t="str">
        <f>IFERROR(VLOOKUP(VLOOKUP(A394,'Sales Order'!A:B,2,FALSE),Customer!A:C,3,FALSE),"Not Specified")</f>
        <v>Langohr, Kris</v>
      </c>
      <c r="G394" s="6" t="str">
        <f t="shared" si="12"/>
        <v>Langohr Kris</v>
      </c>
      <c r="H394" s="22" t="str">
        <f>IFERROR(VLOOKUP(VLOOKUP(A394,'Sales Order'!A:C,3,FALSE),Employee!A:E,5,FALSE)&amp;" "&amp;VLOOKUP(VLOOKUP(A394,'Sales Order'!A:C,3,FALSE),Employee!A:C,3,FALSE)&amp;" "&amp;VLOOKUP(VLOOKUP(A394,'Sales Order'!A:C,3,FALSE),Employee!A:B,2,FALSE),"Not Specified")</f>
        <v>Mr. Paul Suurs</v>
      </c>
      <c r="I394">
        <f>IFERROR(VLOOKUP(VLOOKUP(A394,'Sales Order'!A:C,3,FALSE),Employee!A:J,10,FALSE),"Not Specified")</f>
        <v>0</v>
      </c>
      <c r="J394" t="str">
        <f>VLOOKUP(B394,Product!A:B,2,FALSE)</f>
        <v>Product BKGEA</v>
      </c>
      <c r="K394" t="str">
        <f>VLOOKUP(VLOOKUP(B394,Product!A:D,4,FALSE),Category!A:B,2,FALSE)</f>
        <v>Meat/Poultry</v>
      </c>
      <c r="L394" s="24">
        <f>IFERROR(VLOOKUP(A394,'Sales Order'!A:D,4,FALSE),"")</f>
        <v>39077</v>
      </c>
      <c r="M394" s="24">
        <f>IFERROR(VLOOKUP(A394,'Sales Order'!A:F,6,FALSE),"")</f>
        <v>39085</v>
      </c>
      <c r="N394" t="str">
        <f>IFERROR(VLOOKUP(VLOOKUP(A394,'Sales Order'!A:G,7,FALSE),Shipper!A:B,2,FALSE),"Not Specified")</f>
        <v>Shipper GVSUA</v>
      </c>
      <c r="O394" t="str">
        <f>IFERROR(VLOOKUP(A394,'Sales Order'!A:I,9,FALSE),"Not Specified")</f>
        <v>Destination JYDLM</v>
      </c>
      <c r="P394" t="str">
        <f>IFERROR(VLOOKUP(A394,'Sales Order'!A:N,14,FALSE),"Not Specified")</f>
        <v>Venezuela</v>
      </c>
      <c r="Q394" t="str">
        <f>VLOOKUP(VLOOKUP(B394,Product!A:C,3,FALSE),Supplier!A:B,2,FALSE)</f>
        <v>Supplier JNNES</v>
      </c>
      <c r="R394" t="str">
        <f>VLOOKUP(VLOOKUP(B394,Product!A:C,3,FALSE),Supplier!A:I,9,FALSE)</f>
        <v>Australia</v>
      </c>
      <c r="S394" t="str">
        <f>IFERROR(IF(VLOOKUP(A394,'Sales Order'!A:H,8,FALSE)&gt;100,"High Freight","Low Freight"),"Not Specified")</f>
        <v>High Freight</v>
      </c>
      <c r="T394">
        <f t="shared" si="13"/>
        <v>1650.6000000000001</v>
      </c>
    </row>
    <row r="395" spans="1:20">
      <c r="A395" s="9">
        <v>10395</v>
      </c>
      <c r="B395" s="6">
        <v>69</v>
      </c>
      <c r="C395" s="6">
        <v>28.8</v>
      </c>
      <c r="D395" s="6">
        <v>8</v>
      </c>
      <c r="E395" s="18">
        <v>0</v>
      </c>
      <c r="F395" s="6" t="str">
        <f>IFERROR(VLOOKUP(VLOOKUP(A395,'Sales Order'!A:B,2,FALSE),Customer!A:C,3,FALSE),"Not Specified")</f>
        <v>Langohr, Kris</v>
      </c>
      <c r="G395" s="6" t="str">
        <f t="shared" si="12"/>
        <v>Langohr Kris</v>
      </c>
      <c r="H395" s="22" t="str">
        <f>IFERROR(VLOOKUP(VLOOKUP(A395,'Sales Order'!A:C,3,FALSE),Employee!A:E,5,FALSE)&amp;" "&amp;VLOOKUP(VLOOKUP(A395,'Sales Order'!A:C,3,FALSE),Employee!A:C,3,FALSE)&amp;" "&amp;VLOOKUP(VLOOKUP(A395,'Sales Order'!A:C,3,FALSE),Employee!A:B,2,FALSE),"Not Specified")</f>
        <v>Mr. Paul Suurs</v>
      </c>
      <c r="I395">
        <f>IFERROR(VLOOKUP(VLOOKUP(A395,'Sales Order'!A:C,3,FALSE),Employee!A:J,10,FALSE),"Not Specified")</f>
        <v>0</v>
      </c>
      <c r="J395" t="str">
        <f>VLOOKUP(B395,Product!A:B,2,FALSE)</f>
        <v>Product COAXA</v>
      </c>
      <c r="K395" t="str">
        <f>VLOOKUP(VLOOKUP(B395,Product!A:D,4,FALSE),Category!A:B,2,FALSE)</f>
        <v>Dairy Product</v>
      </c>
      <c r="L395" s="24">
        <f>IFERROR(VLOOKUP(A395,'Sales Order'!A:D,4,FALSE),"")</f>
        <v>39077</v>
      </c>
      <c r="M395" s="24">
        <f>IFERROR(VLOOKUP(A395,'Sales Order'!A:F,6,FALSE),"")</f>
        <v>39085</v>
      </c>
      <c r="N395" t="str">
        <f>IFERROR(VLOOKUP(VLOOKUP(A395,'Sales Order'!A:G,7,FALSE),Shipper!A:B,2,FALSE),"Not Specified")</f>
        <v>Shipper GVSUA</v>
      </c>
      <c r="O395" t="str">
        <f>IFERROR(VLOOKUP(A395,'Sales Order'!A:I,9,FALSE),"Not Specified")</f>
        <v>Destination JYDLM</v>
      </c>
      <c r="P395" t="str">
        <f>IFERROR(VLOOKUP(A395,'Sales Order'!A:N,14,FALSE),"Not Specified")</f>
        <v>Venezuela</v>
      </c>
      <c r="Q395" t="str">
        <f>VLOOKUP(VLOOKUP(B395,Product!A:C,3,FALSE),Supplier!A:B,2,FALSE)</f>
        <v>Supplier NZLIF</v>
      </c>
      <c r="R395" t="str">
        <f>VLOOKUP(VLOOKUP(B395,Product!A:C,3,FALSE),Supplier!A:I,9,FALSE)</f>
        <v>Norway</v>
      </c>
      <c r="S395" t="str">
        <f>IFERROR(IF(VLOOKUP(A395,'Sales Order'!A:H,8,FALSE)&gt;100,"High Freight","Low Freight"),"Not Specified")</f>
        <v>High Freight</v>
      </c>
      <c r="T395">
        <f t="shared" si="13"/>
        <v>230.4</v>
      </c>
    </row>
    <row r="396" spans="1:20">
      <c r="A396" s="9">
        <v>10396</v>
      </c>
      <c r="B396" s="6">
        <v>23</v>
      </c>
      <c r="C396" s="6">
        <v>7.2</v>
      </c>
      <c r="D396" s="6">
        <v>40</v>
      </c>
      <c r="E396" s="18">
        <v>0</v>
      </c>
      <c r="F396" s="6" t="str">
        <f>IFERROR(VLOOKUP(VLOOKUP(A396,'Sales Order'!A:B,2,FALSE),Customer!A:C,3,FALSE),"Not Specified")</f>
        <v>Carlson, Jason</v>
      </c>
      <c r="G396" s="6" t="str">
        <f t="shared" si="12"/>
        <v>Carlson Jason</v>
      </c>
      <c r="H396" s="22" t="str">
        <f>IFERROR(VLOOKUP(VLOOKUP(A396,'Sales Order'!A:C,3,FALSE),Employee!A:E,5,FALSE)&amp;" "&amp;VLOOKUP(VLOOKUP(A396,'Sales Order'!A:C,3,FALSE),Employee!A:C,3,FALSE)&amp;" "&amp;VLOOKUP(VLOOKUP(A396,'Sales Order'!A:C,3,FALSE),Employee!A:B,2,FALSE),"Not Specified")</f>
        <v>Ms. Sara Davis</v>
      </c>
      <c r="I396" t="str">
        <f>IFERROR(VLOOKUP(VLOOKUP(A396,'Sales Order'!A:C,3,FALSE),Employee!A:J,10,FALSE),"Not Specified")</f>
        <v>WA</v>
      </c>
      <c r="J396" t="str">
        <f>VLOOKUP(B396,Product!A:B,2,FALSE)</f>
        <v>Product JLUDZ</v>
      </c>
      <c r="K396" t="str">
        <f>VLOOKUP(VLOOKUP(B396,Product!A:D,4,FALSE),Category!A:B,2,FALSE)</f>
        <v>Grains/Cereals</v>
      </c>
      <c r="L396" s="24">
        <f>IFERROR(VLOOKUP(A396,'Sales Order'!A:D,4,FALSE),"")</f>
        <v>39078</v>
      </c>
      <c r="M396" s="24">
        <f>IFERROR(VLOOKUP(A396,'Sales Order'!A:F,6,FALSE),"")</f>
        <v>39088</v>
      </c>
      <c r="N396" t="str">
        <f>IFERROR(VLOOKUP(VLOOKUP(A396,'Sales Order'!A:G,7,FALSE),Shipper!A:B,2,FALSE),"Not Specified")</f>
        <v>Shipper ZHISN</v>
      </c>
      <c r="O396" t="str">
        <f>IFERROR(VLOOKUP(A396,'Sales Order'!A:I,9,FALSE),"Not Specified")</f>
        <v>Destination VAPXU</v>
      </c>
      <c r="P396" t="str">
        <f>IFERROR(VLOOKUP(A396,'Sales Order'!A:N,14,FALSE),"Not Specified")</f>
        <v>Germany</v>
      </c>
      <c r="Q396" t="str">
        <f>VLOOKUP(VLOOKUP(B396,Product!A:C,3,FALSE),Supplier!A:B,2,FALSE)</f>
        <v>Supplier QQYEU</v>
      </c>
      <c r="R396" t="str">
        <f>VLOOKUP(VLOOKUP(B396,Product!A:C,3,FALSE),Supplier!A:I,9,FALSE)</f>
        <v>Sweden</v>
      </c>
      <c r="S396" t="str">
        <f>IFERROR(IF(VLOOKUP(A396,'Sales Order'!A:H,8,FALSE)&gt;100,"High Freight","Low Freight"),"Not Specified")</f>
        <v>High Freight</v>
      </c>
      <c r="T396">
        <f t="shared" si="13"/>
        <v>288</v>
      </c>
    </row>
    <row r="397" spans="1:20">
      <c r="A397" s="9">
        <v>10396</v>
      </c>
      <c r="B397" s="6">
        <v>71</v>
      </c>
      <c r="C397" s="6">
        <v>17.2</v>
      </c>
      <c r="D397" s="6">
        <v>60</v>
      </c>
      <c r="E397" s="18">
        <v>0</v>
      </c>
      <c r="F397" s="6" t="str">
        <f>IFERROR(VLOOKUP(VLOOKUP(A397,'Sales Order'!A:B,2,FALSE),Customer!A:C,3,FALSE),"Not Specified")</f>
        <v>Carlson, Jason</v>
      </c>
      <c r="G397" s="6" t="str">
        <f t="shared" si="12"/>
        <v>Carlson Jason</v>
      </c>
      <c r="H397" s="22" t="str">
        <f>IFERROR(VLOOKUP(VLOOKUP(A397,'Sales Order'!A:C,3,FALSE),Employee!A:E,5,FALSE)&amp;" "&amp;VLOOKUP(VLOOKUP(A397,'Sales Order'!A:C,3,FALSE),Employee!A:C,3,FALSE)&amp;" "&amp;VLOOKUP(VLOOKUP(A397,'Sales Order'!A:C,3,FALSE),Employee!A:B,2,FALSE),"Not Specified")</f>
        <v>Ms. Sara Davis</v>
      </c>
      <c r="I397" t="str">
        <f>IFERROR(VLOOKUP(VLOOKUP(A397,'Sales Order'!A:C,3,FALSE),Employee!A:J,10,FALSE),"Not Specified")</f>
        <v>WA</v>
      </c>
      <c r="J397" t="str">
        <f>VLOOKUP(B397,Product!A:B,2,FALSE)</f>
        <v>Product MYMOI</v>
      </c>
      <c r="K397" t="str">
        <f>VLOOKUP(VLOOKUP(B397,Product!A:D,4,FALSE),Category!A:B,2,FALSE)</f>
        <v>Dairy Product</v>
      </c>
      <c r="L397" s="24">
        <f>IFERROR(VLOOKUP(A397,'Sales Order'!A:D,4,FALSE),"")</f>
        <v>39078</v>
      </c>
      <c r="M397" s="24">
        <f>IFERROR(VLOOKUP(A397,'Sales Order'!A:F,6,FALSE),"")</f>
        <v>39088</v>
      </c>
      <c r="N397" t="str">
        <f>IFERROR(VLOOKUP(VLOOKUP(A397,'Sales Order'!A:G,7,FALSE),Shipper!A:B,2,FALSE),"Not Specified")</f>
        <v>Shipper ZHISN</v>
      </c>
      <c r="O397" t="str">
        <f>IFERROR(VLOOKUP(A397,'Sales Order'!A:I,9,FALSE),"Not Specified")</f>
        <v>Destination VAPXU</v>
      </c>
      <c r="P397" t="str">
        <f>IFERROR(VLOOKUP(A397,'Sales Order'!A:N,14,FALSE),"Not Specified")</f>
        <v>Germany</v>
      </c>
      <c r="Q397" t="str">
        <f>VLOOKUP(VLOOKUP(B397,Product!A:C,3,FALSE),Supplier!A:B,2,FALSE)</f>
        <v>Supplier NZLIF</v>
      </c>
      <c r="R397" t="str">
        <f>VLOOKUP(VLOOKUP(B397,Product!A:C,3,FALSE),Supplier!A:I,9,FALSE)</f>
        <v>Norway</v>
      </c>
      <c r="S397" t="str">
        <f>IFERROR(IF(VLOOKUP(A397,'Sales Order'!A:H,8,FALSE)&gt;100,"High Freight","Low Freight"),"Not Specified")</f>
        <v>High Freight</v>
      </c>
      <c r="T397">
        <f t="shared" si="13"/>
        <v>1032</v>
      </c>
    </row>
    <row r="398" spans="1:20">
      <c r="A398" s="9">
        <v>10396</v>
      </c>
      <c r="B398" s="6">
        <v>72</v>
      </c>
      <c r="C398" s="6">
        <v>27.8</v>
      </c>
      <c r="D398" s="6">
        <v>21</v>
      </c>
      <c r="E398" s="18">
        <v>0</v>
      </c>
      <c r="F398" s="6" t="str">
        <f>IFERROR(VLOOKUP(VLOOKUP(A398,'Sales Order'!A:B,2,FALSE),Customer!A:C,3,FALSE),"Not Specified")</f>
        <v>Carlson, Jason</v>
      </c>
      <c r="G398" s="6" t="str">
        <f t="shared" si="12"/>
        <v>Carlson Jason</v>
      </c>
      <c r="H398" s="22" t="str">
        <f>IFERROR(VLOOKUP(VLOOKUP(A398,'Sales Order'!A:C,3,FALSE),Employee!A:E,5,FALSE)&amp;" "&amp;VLOOKUP(VLOOKUP(A398,'Sales Order'!A:C,3,FALSE),Employee!A:C,3,FALSE)&amp;" "&amp;VLOOKUP(VLOOKUP(A398,'Sales Order'!A:C,3,FALSE),Employee!A:B,2,FALSE),"Not Specified")</f>
        <v>Ms. Sara Davis</v>
      </c>
      <c r="I398" t="str">
        <f>IFERROR(VLOOKUP(VLOOKUP(A398,'Sales Order'!A:C,3,FALSE),Employee!A:J,10,FALSE),"Not Specified")</f>
        <v>WA</v>
      </c>
      <c r="J398" t="str">
        <f>VLOOKUP(B398,Product!A:B,2,FALSE)</f>
        <v>Product GEEOO</v>
      </c>
      <c r="K398" t="str">
        <f>VLOOKUP(VLOOKUP(B398,Product!A:D,4,FALSE),Category!A:B,2,FALSE)</f>
        <v>Dairy Product</v>
      </c>
      <c r="L398" s="24">
        <f>IFERROR(VLOOKUP(A398,'Sales Order'!A:D,4,FALSE),"")</f>
        <v>39078</v>
      </c>
      <c r="M398" s="24">
        <f>IFERROR(VLOOKUP(A398,'Sales Order'!A:F,6,FALSE),"")</f>
        <v>39088</v>
      </c>
      <c r="N398" t="str">
        <f>IFERROR(VLOOKUP(VLOOKUP(A398,'Sales Order'!A:G,7,FALSE),Shipper!A:B,2,FALSE),"Not Specified")</f>
        <v>Shipper ZHISN</v>
      </c>
      <c r="O398" t="str">
        <f>IFERROR(VLOOKUP(A398,'Sales Order'!A:I,9,FALSE),"Not Specified")</f>
        <v>Destination VAPXU</v>
      </c>
      <c r="P398" t="str">
        <f>IFERROR(VLOOKUP(A398,'Sales Order'!A:N,14,FALSE),"Not Specified")</f>
        <v>Germany</v>
      </c>
      <c r="Q398" t="str">
        <f>VLOOKUP(VLOOKUP(B398,Product!A:C,3,FALSE),Supplier!A:B,2,FALSE)</f>
        <v>Supplier KEREV</v>
      </c>
      <c r="R398" t="str">
        <f>VLOOKUP(VLOOKUP(B398,Product!A:C,3,FALSE),Supplier!A:I,9,FALSE)</f>
        <v>Italy</v>
      </c>
      <c r="S398" t="str">
        <f>IFERROR(IF(VLOOKUP(A398,'Sales Order'!A:H,8,FALSE)&gt;100,"High Freight","Low Freight"),"Not Specified")</f>
        <v>High Freight</v>
      </c>
      <c r="T398">
        <f t="shared" si="13"/>
        <v>583.80000000000007</v>
      </c>
    </row>
    <row r="399" spans="1:20">
      <c r="A399" s="9">
        <v>10397</v>
      </c>
      <c r="B399" s="6">
        <v>21</v>
      </c>
      <c r="C399" s="6">
        <v>8</v>
      </c>
      <c r="D399" s="6">
        <v>10</v>
      </c>
      <c r="E399" s="18">
        <v>0.15</v>
      </c>
      <c r="F399" s="6" t="str">
        <f>IFERROR(VLOOKUP(VLOOKUP(A399,'Sales Order'!A:B,2,FALSE),Customer!A:C,3,FALSE),"Not Specified")</f>
        <v>Uppal, Sunil</v>
      </c>
      <c r="G399" s="6" t="str">
        <f t="shared" si="12"/>
        <v>Uppal Sunil</v>
      </c>
      <c r="H399" s="22" t="str">
        <f>IFERROR(VLOOKUP(VLOOKUP(A399,'Sales Order'!A:C,3,FALSE),Employee!A:E,5,FALSE)&amp;" "&amp;VLOOKUP(VLOOKUP(A399,'Sales Order'!A:C,3,FALSE),Employee!A:C,3,FALSE)&amp;" "&amp;VLOOKUP(VLOOKUP(A399,'Sales Order'!A:C,3,FALSE),Employee!A:B,2,FALSE),"Not Specified")</f>
        <v>Mr. Sven Buck</v>
      </c>
      <c r="I399">
        <f>IFERROR(VLOOKUP(VLOOKUP(A399,'Sales Order'!A:C,3,FALSE),Employee!A:J,10,FALSE),"Not Specified")</f>
        <v>0</v>
      </c>
      <c r="J399" t="str">
        <f>VLOOKUP(B399,Product!A:B,2,FALSE)</f>
        <v>Product VJZZH</v>
      </c>
      <c r="K399" t="str">
        <f>VLOOKUP(VLOOKUP(B399,Product!A:D,4,FALSE),Category!A:B,2,FALSE)</f>
        <v>Confections</v>
      </c>
      <c r="L399" s="24">
        <f>IFERROR(VLOOKUP(A399,'Sales Order'!A:D,4,FALSE),"")</f>
        <v>39078</v>
      </c>
      <c r="M399" s="24">
        <f>IFERROR(VLOOKUP(A399,'Sales Order'!A:F,6,FALSE),"")</f>
        <v>39084</v>
      </c>
      <c r="N399" t="str">
        <f>IFERROR(VLOOKUP(VLOOKUP(A399,'Sales Order'!A:G,7,FALSE),Shipper!A:B,2,FALSE),"Not Specified")</f>
        <v>Shipper GVSUA</v>
      </c>
      <c r="O399" t="str">
        <f>IFERROR(VLOOKUP(A399,'Sales Order'!A:I,9,FALSE),"Not Specified")</f>
        <v>Ship to 60-A</v>
      </c>
      <c r="P399" t="str">
        <f>IFERROR(VLOOKUP(A399,'Sales Order'!A:N,14,FALSE),"Not Specified")</f>
        <v>Portugal</v>
      </c>
      <c r="Q399" t="str">
        <f>VLOOKUP(VLOOKUP(B399,Product!A:C,3,FALSE),Supplier!A:B,2,FALSE)</f>
        <v>Supplier BWGYE</v>
      </c>
      <c r="R399" t="str">
        <f>VLOOKUP(VLOOKUP(B399,Product!A:C,3,FALSE),Supplier!A:I,9,FALSE)</f>
        <v>UK</v>
      </c>
      <c r="S399" t="str">
        <f>IFERROR(IF(VLOOKUP(A399,'Sales Order'!A:H,8,FALSE)&gt;100,"High Freight","Low Freight"),"Not Specified")</f>
        <v>Low Freight</v>
      </c>
      <c r="T399">
        <f t="shared" si="13"/>
        <v>68</v>
      </c>
    </row>
    <row r="400" spans="1:20">
      <c r="A400" s="9">
        <v>10397</v>
      </c>
      <c r="B400" s="6">
        <v>51</v>
      </c>
      <c r="C400" s="6">
        <v>42.4</v>
      </c>
      <c r="D400" s="6">
        <v>18</v>
      </c>
      <c r="E400" s="18">
        <v>0.15</v>
      </c>
      <c r="F400" s="6" t="str">
        <f>IFERROR(VLOOKUP(VLOOKUP(A400,'Sales Order'!A:B,2,FALSE),Customer!A:C,3,FALSE),"Not Specified")</f>
        <v>Uppal, Sunil</v>
      </c>
      <c r="G400" s="6" t="str">
        <f t="shared" si="12"/>
        <v>Uppal Sunil</v>
      </c>
      <c r="H400" s="22" t="str">
        <f>IFERROR(VLOOKUP(VLOOKUP(A400,'Sales Order'!A:C,3,FALSE),Employee!A:E,5,FALSE)&amp;" "&amp;VLOOKUP(VLOOKUP(A400,'Sales Order'!A:C,3,FALSE),Employee!A:C,3,FALSE)&amp;" "&amp;VLOOKUP(VLOOKUP(A400,'Sales Order'!A:C,3,FALSE),Employee!A:B,2,FALSE),"Not Specified")</f>
        <v>Mr. Sven Buck</v>
      </c>
      <c r="I400">
        <f>IFERROR(VLOOKUP(VLOOKUP(A400,'Sales Order'!A:C,3,FALSE),Employee!A:J,10,FALSE),"Not Specified")</f>
        <v>0</v>
      </c>
      <c r="J400" t="str">
        <f>VLOOKUP(B400,Product!A:B,2,FALSE)</f>
        <v>Product APITJ</v>
      </c>
      <c r="K400" t="str">
        <f>VLOOKUP(VLOOKUP(B400,Product!A:D,4,FALSE),Category!A:B,2,FALSE)</f>
        <v>Produce</v>
      </c>
      <c r="L400" s="24">
        <f>IFERROR(VLOOKUP(A400,'Sales Order'!A:D,4,FALSE),"")</f>
        <v>39078</v>
      </c>
      <c r="M400" s="24">
        <f>IFERROR(VLOOKUP(A400,'Sales Order'!A:F,6,FALSE),"")</f>
        <v>39084</v>
      </c>
      <c r="N400" t="str">
        <f>IFERROR(VLOOKUP(VLOOKUP(A400,'Sales Order'!A:G,7,FALSE),Shipper!A:B,2,FALSE),"Not Specified")</f>
        <v>Shipper GVSUA</v>
      </c>
      <c r="O400" t="str">
        <f>IFERROR(VLOOKUP(A400,'Sales Order'!A:I,9,FALSE),"Not Specified")</f>
        <v>Ship to 60-A</v>
      </c>
      <c r="P400" t="str">
        <f>IFERROR(VLOOKUP(A400,'Sales Order'!A:N,14,FALSE),"Not Specified")</f>
        <v>Portugal</v>
      </c>
      <c r="Q400" t="str">
        <f>VLOOKUP(VLOOKUP(B400,Product!A:C,3,FALSE),Supplier!A:B,2,FALSE)</f>
        <v>Supplier JNNES</v>
      </c>
      <c r="R400" t="str">
        <f>VLOOKUP(VLOOKUP(B400,Product!A:C,3,FALSE),Supplier!A:I,9,FALSE)</f>
        <v>Australia</v>
      </c>
      <c r="S400" t="str">
        <f>IFERROR(IF(VLOOKUP(A400,'Sales Order'!A:H,8,FALSE)&gt;100,"High Freight","Low Freight"),"Not Specified")</f>
        <v>Low Freight</v>
      </c>
      <c r="T400">
        <f t="shared" si="13"/>
        <v>648.71999999999991</v>
      </c>
    </row>
    <row r="401" spans="1:20">
      <c r="A401" s="9">
        <v>10398</v>
      </c>
      <c r="B401" s="6">
        <v>35</v>
      </c>
      <c r="C401" s="6">
        <v>14.4</v>
      </c>
      <c r="D401" s="6">
        <v>30</v>
      </c>
      <c r="E401" s="18">
        <v>0</v>
      </c>
      <c r="F401" s="6" t="str">
        <f>IFERROR(VLOOKUP(VLOOKUP(A401,'Sales Order'!A:B,2,FALSE),Customer!A:C,3,FALSE),"Not Specified")</f>
        <v>Navarro, Tomás</v>
      </c>
      <c r="G401" s="6" t="str">
        <f t="shared" si="12"/>
        <v>Navarro Tomás</v>
      </c>
      <c r="H401" s="22" t="str">
        <f>IFERROR(VLOOKUP(VLOOKUP(A401,'Sales Order'!A:C,3,FALSE),Employee!A:E,5,FALSE)&amp;" "&amp;VLOOKUP(VLOOKUP(A401,'Sales Order'!A:C,3,FALSE),Employee!A:C,3,FALSE)&amp;" "&amp;VLOOKUP(VLOOKUP(A401,'Sales Order'!A:C,3,FALSE),Employee!A:B,2,FALSE),"Not Specified")</f>
        <v>Dr. Don Funk</v>
      </c>
      <c r="I401" t="str">
        <f>IFERROR(VLOOKUP(VLOOKUP(A401,'Sales Order'!A:C,3,FALSE),Employee!A:J,10,FALSE),"Not Specified")</f>
        <v>WA</v>
      </c>
      <c r="J401" t="str">
        <f>VLOOKUP(B401,Product!A:B,2,FALSE)</f>
        <v>Product NEVTJ</v>
      </c>
      <c r="K401" t="str">
        <f>VLOOKUP(VLOOKUP(B401,Product!A:D,4,FALSE),Category!A:B,2,FALSE)</f>
        <v>Beverages</v>
      </c>
      <c r="L401" s="24">
        <f>IFERROR(VLOOKUP(A401,'Sales Order'!A:D,4,FALSE),"")</f>
        <v>39081</v>
      </c>
      <c r="M401" s="24">
        <f>IFERROR(VLOOKUP(A401,'Sales Order'!A:F,6,FALSE),"")</f>
        <v>39091</v>
      </c>
      <c r="N401" t="str">
        <f>IFERROR(VLOOKUP(VLOOKUP(A401,'Sales Order'!A:G,7,FALSE),Shipper!A:B,2,FALSE),"Not Specified")</f>
        <v>Shipper ZHISN</v>
      </c>
      <c r="O401" t="str">
        <f>IFERROR(VLOOKUP(A401,'Sales Order'!A:I,9,FALSE),"Not Specified")</f>
        <v>Ship to 71-C</v>
      </c>
      <c r="P401" t="str">
        <f>IFERROR(VLOOKUP(A401,'Sales Order'!A:N,14,FALSE),"Not Specified")</f>
        <v>USA</v>
      </c>
      <c r="Q401" t="str">
        <f>VLOOKUP(VLOOKUP(B401,Product!A:C,3,FALSE),Supplier!A:B,2,FALSE)</f>
        <v>Supplier UHZRG</v>
      </c>
      <c r="R401" t="str">
        <f>VLOOKUP(VLOOKUP(B401,Product!A:C,3,FALSE),Supplier!A:I,9,FALSE)</f>
        <v>USA</v>
      </c>
      <c r="S401" t="str">
        <f>IFERROR(IF(VLOOKUP(A401,'Sales Order'!A:H,8,FALSE)&gt;100,"High Freight","Low Freight"),"Not Specified")</f>
        <v>Low Freight</v>
      </c>
      <c r="T401">
        <f t="shared" si="13"/>
        <v>432</v>
      </c>
    </row>
    <row r="402" spans="1:20">
      <c r="A402" s="9">
        <v>10398</v>
      </c>
      <c r="B402" s="6">
        <v>55</v>
      </c>
      <c r="C402" s="6">
        <v>19.2</v>
      </c>
      <c r="D402" s="6">
        <v>120</v>
      </c>
      <c r="E402" s="18">
        <v>0.1</v>
      </c>
      <c r="F402" s="6" t="str">
        <f>IFERROR(VLOOKUP(VLOOKUP(A402,'Sales Order'!A:B,2,FALSE),Customer!A:C,3,FALSE),"Not Specified")</f>
        <v>Navarro, Tomás</v>
      </c>
      <c r="G402" s="6" t="str">
        <f t="shared" si="12"/>
        <v>Navarro Tomás</v>
      </c>
      <c r="H402" s="22" t="str">
        <f>IFERROR(VLOOKUP(VLOOKUP(A402,'Sales Order'!A:C,3,FALSE),Employee!A:E,5,FALSE)&amp;" "&amp;VLOOKUP(VLOOKUP(A402,'Sales Order'!A:C,3,FALSE),Employee!A:C,3,FALSE)&amp;" "&amp;VLOOKUP(VLOOKUP(A402,'Sales Order'!A:C,3,FALSE),Employee!A:B,2,FALSE),"Not Specified")</f>
        <v>Dr. Don Funk</v>
      </c>
      <c r="I402" t="str">
        <f>IFERROR(VLOOKUP(VLOOKUP(A402,'Sales Order'!A:C,3,FALSE),Employee!A:J,10,FALSE),"Not Specified")</f>
        <v>WA</v>
      </c>
      <c r="J402" t="str">
        <f>VLOOKUP(B402,Product!A:B,2,FALSE)</f>
        <v>Product YYWRT</v>
      </c>
      <c r="K402" t="str">
        <f>VLOOKUP(VLOOKUP(B402,Product!A:D,4,FALSE),Category!A:B,2,FALSE)</f>
        <v>Meat/Poultry</v>
      </c>
      <c r="L402" s="24">
        <f>IFERROR(VLOOKUP(A402,'Sales Order'!A:D,4,FALSE),"")</f>
        <v>39081</v>
      </c>
      <c r="M402" s="24">
        <f>IFERROR(VLOOKUP(A402,'Sales Order'!A:F,6,FALSE),"")</f>
        <v>39091</v>
      </c>
      <c r="N402" t="str">
        <f>IFERROR(VLOOKUP(VLOOKUP(A402,'Sales Order'!A:G,7,FALSE),Shipper!A:B,2,FALSE),"Not Specified")</f>
        <v>Shipper ZHISN</v>
      </c>
      <c r="O402" t="str">
        <f>IFERROR(VLOOKUP(A402,'Sales Order'!A:I,9,FALSE),"Not Specified")</f>
        <v>Ship to 71-C</v>
      </c>
      <c r="P402" t="str">
        <f>IFERROR(VLOOKUP(A402,'Sales Order'!A:N,14,FALSE),"Not Specified")</f>
        <v>USA</v>
      </c>
      <c r="Q402" t="str">
        <f>VLOOKUP(VLOOKUP(B402,Product!A:C,3,FALSE),Supplier!A:B,2,FALSE)</f>
        <v>Supplier ERVYZ</v>
      </c>
      <c r="R402" t="str">
        <f>VLOOKUP(VLOOKUP(B402,Product!A:C,3,FALSE),Supplier!A:I,9,FALSE)</f>
        <v>Canada</v>
      </c>
      <c r="S402" t="str">
        <f>IFERROR(IF(VLOOKUP(A402,'Sales Order'!A:H,8,FALSE)&gt;100,"High Freight","Low Freight"),"Not Specified")</f>
        <v>Low Freight</v>
      </c>
      <c r="T402">
        <f t="shared" si="13"/>
        <v>2073.6</v>
      </c>
    </row>
    <row r="403" spans="1:20">
      <c r="A403" s="9">
        <v>10399</v>
      </c>
      <c r="B403" s="6">
        <v>68</v>
      </c>
      <c r="C403" s="6">
        <v>10</v>
      </c>
      <c r="D403" s="6">
        <v>60</v>
      </c>
      <c r="E403" s="18">
        <v>0</v>
      </c>
      <c r="F403" s="6" t="str">
        <f>IFERROR(VLOOKUP(VLOOKUP(A403,'Sales Order'!A:B,2,FALSE),Customer!A:C,3,FALSE),"Not Specified")</f>
        <v>Fonteneau, Karl</v>
      </c>
      <c r="G403" s="6" t="str">
        <f t="shared" si="12"/>
        <v>Fonteneau Karl</v>
      </c>
      <c r="H403" s="22" t="str">
        <f>IFERROR(VLOOKUP(VLOOKUP(A403,'Sales Order'!A:C,3,FALSE),Employee!A:E,5,FALSE)&amp;" "&amp;VLOOKUP(VLOOKUP(A403,'Sales Order'!A:C,3,FALSE),Employee!A:C,3,FALSE)&amp;" "&amp;VLOOKUP(VLOOKUP(A403,'Sales Order'!A:C,3,FALSE),Employee!A:B,2,FALSE),"Not Specified")</f>
        <v>Ms. Maria Cameron</v>
      </c>
      <c r="I403" t="str">
        <f>IFERROR(VLOOKUP(VLOOKUP(A403,'Sales Order'!A:C,3,FALSE),Employee!A:J,10,FALSE),"Not Specified")</f>
        <v>WA</v>
      </c>
      <c r="J403" t="str">
        <f>VLOOKUP(B403,Product!A:B,2,FALSE)</f>
        <v>Product TBTBL</v>
      </c>
      <c r="K403" t="str">
        <f>VLOOKUP(VLOOKUP(B403,Product!A:D,4,FALSE),Category!A:B,2,FALSE)</f>
        <v>Confections</v>
      </c>
      <c r="L403" s="24">
        <f>IFERROR(VLOOKUP(A403,'Sales Order'!A:D,4,FALSE),"")</f>
        <v>39082</v>
      </c>
      <c r="M403" s="24">
        <f>IFERROR(VLOOKUP(A403,'Sales Order'!A:F,6,FALSE),"")</f>
        <v>39090</v>
      </c>
      <c r="N403" t="str">
        <f>IFERROR(VLOOKUP(VLOOKUP(A403,'Sales Order'!A:G,7,FALSE),Shipper!A:B,2,FALSE),"Not Specified")</f>
        <v>Shipper ZHISN</v>
      </c>
      <c r="O403" t="str">
        <f>IFERROR(VLOOKUP(A403,'Sales Order'!A:I,9,FALSE),"Not Specified")</f>
        <v>Ship to 83-C</v>
      </c>
      <c r="P403" t="str">
        <f>IFERROR(VLOOKUP(A403,'Sales Order'!A:N,14,FALSE),"Not Specified")</f>
        <v>Denmark</v>
      </c>
      <c r="Q403" t="str">
        <f>VLOOKUP(VLOOKUP(B403,Product!A:C,3,FALSE),Supplier!A:B,2,FALSE)</f>
        <v>Supplier BWGYE</v>
      </c>
      <c r="R403" t="str">
        <f>VLOOKUP(VLOOKUP(B403,Product!A:C,3,FALSE),Supplier!A:I,9,FALSE)</f>
        <v>UK</v>
      </c>
      <c r="S403" t="str">
        <f>IFERROR(IF(VLOOKUP(A403,'Sales Order'!A:H,8,FALSE)&gt;100,"High Freight","Low Freight"),"Not Specified")</f>
        <v>Low Freight</v>
      </c>
      <c r="T403">
        <f t="shared" si="13"/>
        <v>600</v>
      </c>
    </row>
    <row r="404" spans="1:20">
      <c r="A404" s="9">
        <v>10399</v>
      </c>
      <c r="B404" s="6">
        <v>71</v>
      </c>
      <c r="C404" s="6">
        <v>17.2</v>
      </c>
      <c r="D404" s="6">
        <v>30</v>
      </c>
      <c r="E404" s="18">
        <v>0</v>
      </c>
      <c r="F404" s="6" t="str">
        <f>IFERROR(VLOOKUP(VLOOKUP(A404,'Sales Order'!A:B,2,FALSE),Customer!A:C,3,FALSE),"Not Specified")</f>
        <v>Fonteneau, Karl</v>
      </c>
      <c r="G404" s="6" t="str">
        <f t="shared" si="12"/>
        <v>Fonteneau Karl</v>
      </c>
      <c r="H404" s="22" t="str">
        <f>IFERROR(VLOOKUP(VLOOKUP(A404,'Sales Order'!A:C,3,FALSE),Employee!A:E,5,FALSE)&amp;" "&amp;VLOOKUP(VLOOKUP(A404,'Sales Order'!A:C,3,FALSE),Employee!A:C,3,FALSE)&amp;" "&amp;VLOOKUP(VLOOKUP(A404,'Sales Order'!A:C,3,FALSE),Employee!A:B,2,FALSE),"Not Specified")</f>
        <v>Ms. Maria Cameron</v>
      </c>
      <c r="I404" t="str">
        <f>IFERROR(VLOOKUP(VLOOKUP(A404,'Sales Order'!A:C,3,FALSE),Employee!A:J,10,FALSE),"Not Specified")</f>
        <v>WA</v>
      </c>
      <c r="J404" t="str">
        <f>VLOOKUP(B404,Product!A:B,2,FALSE)</f>
        <v>Product MYMOI</v>
      </c>
      <c r="K404" t="str">
        <f>VLOOKUP(VLOOKUP(B404,Product!A:D,4,FALSE),Category!A:B,2,FALSE)</f>
        <v>Dairy Product</v>
      </c>
      <c r="L404" s="24">
        <f>IFERROR(VLOOKUP(A404,'Sales Order'!A:D,4,FALSE),"")</f>
        <v>39082</v>
      </c>
      <c r="M404" s="24">
        <f>IFERROR(VLOOKUP(A404,'Sales Order'!A:F,6,FALSE),"")</f>
        <v>39090</v>
      </c>
      <c r="N404" t="str">
        <f>IFERROR(VLOOKUP(VLOOKUP(A404,'Sales Order'!A:G,7,FALSE),Shipper!A:B,2,FALSE),"Not Specified")</f>
        <v>Shipper ZHISN</v>
      </c>
      <c r="O404" t="str">
        <f>IFERROR(VLOOKUP(A404,'Sales Order'!A:I,9,FALSE),"Not Specified")</f>
        <v>Ship to 83-C</v>
      </c>
      <c r="P404" t="str">
        <f>IFERROR(VLOOKUP(A404,'Sales Order'!A:N,14,FALSE),"Not Specified")</f>
        <v>Denmark</v>
      </c>
      <c r="Q404" t="str">
        <f>VLOOKUP(VLOOKUP(B404,Product!A:C,3,FALSE),Supplier!A:B,2,FALSE)</f>
        <v>Supplier NZLIF</v>
      </c>
      <c r="R404" t="str">
        <f>VLOOKUP(VLOOKUP(B404,Product!A:C,3,FALSE),Supplier!A:I,9,FALSE)</f>
        <v>Norway</v>
      </c>
      <c r="S404" t="str">
        <f>IFERROR(IF(VLOOKUP(A404,'Sales Order'!A:H,8,FALSE)&gt;100,"High Freight","Low Freight"),"Not Specified")</f>
        <v>Low Freight</v>
      </c>
      <c r="T404">
        <f t="shared" si="13"/>
        <v>516</v>
      </c>
    </row>
    <row r="405" spans="1:20">
      <c r="A405" s="9">
        <v>10399</v>
      </c>
      <c r="B405" s="6">
        <v>76</v>
      </c>
      <c r="C405" s="6">
        <v>14.4</v>
      </c>
      <c r="D405" s="6">
        <v>35</v>
      </c>
      <c r="E405" s="18">
        <v>0</v>
      </c>
      <c r="F405" s="6" t="str">
        <f>IFERROR(VLOOKUP(VLOOKUP(A405,'Sales Order'!A:B,2,FALSE),Customer!A:C,3,FALSE),"Not Specified")</f>
        <v>Fonteneau, Karl</v>
      </c>
      <c r="G405" s="6" t="str">
        <f t="shared" si="12"/>
        <v>Fonteneau Karl</v>
      </c>
      <c r="H405" s="22" t="str">
        <f>IFERROR(VLOOKUP(VLOOKUP(A405,'Sales Order'!A:C,3,FALSE),Employee!A:E,5,FALSE)&amp;" "&amp;VLOOKUP(VLOOKUP(A405,'Sales Order'!A:C,3,FALSE),Employee!A:C,3,FALSE)&amp;" "&amp;VLOOKUP(VLOOKUP(A405,'Sales Order'!A:C,3,FALSE),Employee!A:B,2,FALSE),"Not Specified")</f>
        <v>Ms. Maria Cameron</v>
      </c>
      <c r="I405" t="str">
        <f>IFERROR(VLOOKUP(VLOOKUP(A405,'Sales Order'!A:C,3,FALSE),Employee!A:J,10,FALSE),"Not Specified")</f>
        <v>WA</v>
      </c>
      <c r="J405" t="str">
        <f>VLOOKUP(B405,Product!A:B,2,FALSE)</f>
        <v>Product JYGFE</v>
      </c>
      <c r="K405" t="str">
        <f>VLOOKUP(VLOOKUP(B405,Product!A:D,4,FALSE),Category!A:B,2,FALSE)</f>
        <v>Beverages</v>
      </c>
      <c r="L405" s="24">
        <f>IFERROR(VLOOKUP(A405,'Sales Order'!A:D,4,FALSE),"")</f>
        <v>39082</v>
      </c>
      <c r="M405" s="24">
        <f>IFERROR(VLOOKUP(A405,'Sales Order'!A:F,6,FALSE),"")</f>
        <v>39090</v>
      </c>
      <c r="N405" t="str">
        <f>IFERROR(VLOOKUP(VLOOKUP(A405,'Sales Order'!A:G,7,FALSE),Shipper!A:B,2,FALSE),"Not Specified")</f>
        <v>Shipper ZHISN</v>
      </c>
      <c r="O405" t="str">
        <f>IFERROR(VLOOKUP(A405,'Sales Order'!A:I,9,FALSE),"Not Specified")</f>
        <v>Ship to 83-C</v>
      </c>
      <c r="P405" t="str">
        <f>IFERROR(VLOOKUP(A405,'Sales Order'!A:N,14,FALSE),"Not Specified")</f>
        <v>Denmark</v>
      </c>
      <c r="Q405" t="str">
        <f>VLOOKUP(VLOOKUP(B405,Product!A:C,3,FALSE),Supplier!A:B,2,FALSE)</f>
        <v>Supplier ELCRN</v>
      </c>
      <c r="R405" t="str">
        <f>VLOOKUP(VLOOKUP(B405,Product!A:C,3,FALSE),Supplier!A:I,9,FALSE)</f>
        <v>Finland</v>
      </c>
      <c r="S405" t="str">
        <f>IFERROR(IF(VLOOKUP(A405,'Sales Order'!A:H,8,FALSE)&gt;100,"High Freight","Low Freight"),"Not Specified")</f>
        <v>Low Freight</v>
      </c>
      <c r="T405">
        <f t="shared" si="13"/>
        <v>504</v>
      </c>
    </row>
    <row r="406" spans="1:20">
      <c r="A406" s="9">
        <v>10399</v>
      </c>
      <c r="B406" s="6">
        <v>77</v>
      </c>
      <c r="C406" s="6">
        <v>10.4</v>
      </c>
      <c r="D406" s="6">
        <v>14</v>
      </c>
      <c r="E406" s="18">
        <v>0</v>
      </c>
      <c r="F406" s="6" t="str">
        <f>IFERROR(VLOOKUP(VLOOKUP(A406,'Sales Order'!A:B,2,FALSE),Customer!A:C,3,FALSE),"Not Specified")</f>
        <v>Fonteneau, Karl</v>
      </c>
      <c r="G406" s="6" t="str">
        <f t="shared" si="12"/>
        <v>Fonteneau Karl</v>
      </c>
      <c r="H406" s="22" t="str">
        <f>IFERROR(VLOOKUP(VLOOKUP(A406,'Sales Order'!A:C,3,FALSE),Employee!A:E,5,FALSE)&amp;" "&amp;VLOOKUP(VLOOKUP(A406,'Sales Order'!A:C,3,FALSE),Employee!A:C,3,FALSE)&amp;" "&amp;VLOOKUP(VLOOKUP(A406,'Sales Order'!A:C,3,FALSE),Employee!A:B,2,FALSE),"Not Specified")</f>
        <v>Ms. Maria Cameron</v>
      </c>
      <c r="I406" t="str">
        <f>IFERROR(VLOOKUP(VLOOKUP(A406,'Sales Order'!A:C,3,FALSE),Employee!A:J,10,FALSE),"Not Specified")</f>
        <v>WA</v>
      </c>
      <c r="J406" t="str">
        <f>VLOOKUP(B406,Product!A:B,2,FALSE)</f>
        <v>Product LUNZZ</v>
      </c>
      <c r="K406" t="str">
        <f>VLOOKUP(VLOOKUP(B406,Product!A:D,4,FALSE),Category!A:B,2,FALSE)</f>
        <v>Condiments</v>
      </c>
      <c r="L406" s="24">
        <f>IFERROR(VLOOKUP(A406,'Sales Order'!A:D,4,FALSE),"")</f>
        <v>39082</v>
      </c>
      <c r="M406" s="24">
        <f>IFERROR(VLOOKUP(A406,'Sales Order'!A:F,6,FALSE),"")</f>
        <v>39090</v>
      </c>
      <c r="N406" t="str">
        <f>IFERROR(VLOOKUP(VLOOKUP(A406,'Sales Order'!A:G,7,FALSE),Shipper!A:B,2,FALSE),"Not Specified")</f>
        <v>Shipper ZHISN</v>
      </c>
      <c r="O406" t="str">
        <f>IFERROR(VLOOKUP(A406,'Sales Order'!A:I,9,FALSE),"Not Specified")</f>
        <v>Ship to 83-C</v>
      </c>
      <c r="P406" t="str">
        <f>IFERROR(VLOOKUP(A406,'Sales Order'!A:N,14,FALSE),"Not Specified")</f>
        <v>Denmark</v>
      </c>
      <c r="Q406" t="str">
        <f>VLOOKUP(VLOOKUP(B406,Product!A:C,3,FALSE),Supplier!A:B,2,FALSE)</f>
        <v>Supplier SVIYA</v>
      </c>
      <c r="R406" t="str">
        <f>VLOOKUP(VLOOKUP(B406,Product!A:C,3,FALSE),Supplier!A:I,9,FALSE)</f>
        <v>Germany</v>
      </c>
      <c r="S406" t="str">
        <f>IFERROR(IF(VLOOKUP(A406,'Sales Order'!A:H,8,FALSE)&gt;100,"High Freight","Low Freight"),"Not Specified")</f>
        <v>Low Freight</v>
      </c>
      <c r="T406">
        <f t="shared" si="13"/>
        <v>145.6</v>
      </c>
    </row>
    <row r="407" spans="1:20">
      <c r="A407" s="9">
        <v>10400</v>
      </c>
      <c r="B407" s="6">
        <v>29</v>
      </c>
      <c r="C407" s="6">
        <v>99</v>
      </c>
      <c r="D407" s="6">
        <v>21</v>
      </c>
      <c r="E407" s="18">
        <v>0</v>
      </c>
      <c r="F407" s="6" t="str">
        <f>IFERROR(VLOOKUP(VLOOKUP(A407,'Sales Order'!A:B,2,FALSE),Customer!A:C,3,FALSE),"Not Specified")</f>
        <v>Boseman, Randall</v>
      </c>
      <c r="G407" s="6" t="str">
        <f t="shared" si="12"/>
        <v>Boseman Randall</v>
      </c>
      <c r="H407" s="22" t="str">
        <f>IFERROR(VLOOKUP(VLOOKUP(A407,'Sales Order'!A:C,3,FALSE),Employee!A:E,5,FALSE)&amp;" "&amp;VLOOKUP(VLOOKUP(A407,'Sales Order'!A:C,3,FALSE),Employee!A:C,3,FALSE)&amp;" "&amp;VLOOKUP(VLOOKUP(A407,'Sales Order'!A:C,3,FALSE),Employee!A:B,2,FALSE),"Not Specified")</f>
        <v>Ms. Sara Davis</v>
      </c>
      <c r="I407" t="str">
        <f>IFERROR(VLOOKUP(VLOOKUP(A407,'Sales Order'!A:C,3,FALSE),Employee!A:J,10,FALSE),"Not Specified")</f>
        <v>WA</v>
      </c>
      <c r="J407" t="str">
        <f>VLOOKUP(B407,Product!A:B,2,FALSE)</f>
        <v>Product VJXYN</v>
      </c>
      <c r="K407" t="str">
        <f>VLOOKUP(VLOOKUP(B407,Product!A:D,4,FALSE),Category!A:B,2,FALSE)</f>
        <v>Meat/Poultry</v>
      </c>
      <c r="L407" s="24">
        <f>IFERROR(VLOOKUP(A407,'Sales Order'!A:D,4,FALSE),"")</f>
        <v>39083</v>
      </c>
      <c r="M407" s="24">
        <f>IFERROR(VLOOKUP(A407,'Sales Order'!A:F,6,FALSE),"")</f>
        <v>39098</v>
      </c>
      <c r="N407" t="str">
        <f>IFERROR(VLOOKUP(VLOOKUP(A407,'Sales Order'!A:G,7,FALSE),Shipper!A:B,2,FALSE),"Not Specified")</f>
        <v>Shipper ZHISN</v>
      </c>
      <c r="O407" t="str">
        <f>IFERROR(VLOOKUP(A407,'Sales Order'!A:I,9,FALSE),"Not Specified")</f>
        <v>Destination BBMRT</v>
      </c>
      <c r="P407" t="str">
        <f>IFERROR(VLOOKUP(A407,'Sales Order'!A:N,14,FALSE),"Not Specified")</f>
        <v>UK</v>
      </c>
      <c r="Q407" t="str">
        <f>VLOOKUP(VLOOKUP(B407,Product!A:C,3,FALSE),Supplier!A:B,2,FALSE)</f>
        <v>Supplier SVIYA</v>
      </c>
      <c r="R407" t="str">
        <f>VLOOKUP(VLOOKUP(B407,Product!A:C,3,FALSE),Supplier!A:I,9,FALSE)</f>
        <v>Germany</v>
      </c>
      <c r="S407" t="str">
        <f>IFERROR(IF(VLOOKUP(A407,'Sales Order'!A:H,8,FALSE)&gt;100,"High Freight","Low Freight"),"Not Specified")</f>
        <v>Low Freight</v>
      </c>
      <c r="T407">
        <f t="shared" si="13"/>
        <v>2079</v>
      </c>
    </row>
    <row r="408" spans="1:20">
      <c r="A408" s="9">
        <v>10400</v>
      </c>
      <c r="B408" s="6">
        <v>35</v>
      </c>
      <c r="C408" s="6">
        <v>14.4</v>
      </c>
      <c r="D408" s="6">
        <v>35</v>
      </c>
      <c r="E408" s="18">
        <v>0</v>
      </c>
      <c r="F408" s="6" t="str">
        <f>IFERROR(VLOOKUP(VLOOKUP(A408,'Sales Order'!A:B,2,FALSE),Customer!A:C,3,FALSE),"Not Specified")</f>
        <v>Boseman, Randall</v>
      </c>
      <c r="G408" s="6" t="str">
        <f t="shared" si="12"/>
        <v>Boseman Randall</v>
      </c>
      <c r="H408" s="22" t="str">
        <f>IFERROR(VLOOKUP(VLOOKUP(A408,'Sales Order'!A:C,3,FALSE),Employee!A:E,5,FALSE)&amp;" "&amp;VLOOKUP(VLOOKUP(A408,'Sales Order'!A:C,3,FALSE),Employee!A:C,3,FALSE)&amp;" "&amp;VLOOKUP(VLOOKUP(A408,'Sales Order'!A:C,3,FALSE),Employee!A:B,2,FALSE),"Not Specified")</f>
        <v>Ms. Sara Davis</v>
      </c>
      <c r="I408" t="str">
        <f>IFERROR(VLOOKUP(VLOOKUP(A408,'Sales Order'!A:C,3,FALSE),Employee!A:J,10,FALSE),"Not Specified")</f>
        <v>WA</v>
      </c>
      <c r="J408" t="str">
        <f>VLOOKUP(B408,Product!A:B,2,FALSE)</f>
        <v>Product NEVTJ</v>
      </c>
      <c r="K408" t="str">
        <f>VLOOKUP(VLOOKUP(B408,Product!A:D,4,FALSE),Category!A:B,2,FALSE)</f>
        <v>Beverages</v>
      </c>
      <c r="L408" s="24">
        <f>IFERROR(VLOOKUP(A408,'Sales Order'!A:D,4,FALSE),"")</f>
        <v>39083</v>
      </c>
      <c r="M408" s="24">
        <f>IFERROR(VLOOKUP(A408,'Sales Order'!A:F,6,FALSE),"")</f>
        <v>39098</v>
      </c>
      <c r="N408" t="str">
        <f>IFERROR(VLOOKUP(VLOOKUP(A408,'Sales Order'!A:G,7,FALSE),Shipper!A:B,2,FALSE),"Not Specified")</f>
        <v>Shipper ZHISN</v>
      </c>
      <c r="O408" t="str">
        <f>IFERROR(VLOOKUP(A408,'Sales Order'!A:I,9,FALSE),"Not Specified")</f>
        <v>Destination BBMRT</v>
      </c>
      <c r="P408" t="str">
        <f>IFERROR(VLOOKUP(A408,'Sales Order'!A:N,14,FALSE),"Not Specified")</f>
        <v>UK</v>
      </c>
      <c r="Q408" t="str">
        <f>VLOOKUP(VLOOKUP(B408,Product!A:C,3,FALSE),Supplier!A:B,2,FALSE)</f>
        <v>Supplier UHZRG</v>
      </c>
      <c r="R408" t="str">
        <f>VLOOKUP(VLOOKUP(B408,Product!A:C,3,FALSE),Supplier!A:I,9,FALSE)</f>
        <v>USA</v>
      </c>
      <c r="S408" t="str">
        <f>IFERROR(IF(VLOOKUP(A408,'Sales Order'!A:H,8,FALSE)&gt;100,"High Freight","Low Freight"),"Not Specified")</f>
        <v>Low Freight</v>
      </c>
      <c r="T408">
        <f t="shared" si="13"/>
        <v>504</v>
      </c>
    </row>
    <row r="409" spans="1:20">
      <c r="A409" s="9">
        <v>10400</v>
      </c>
      <c r="B409" s="6">
        <v>49</v>
      </c>
      <c r="C409" s="6">
        <v>16</v>
      </c>
      <c r="D409" s="6">
        <v>30</v>
      </c>
      <c r="E409" s="18">
        <v>0</v>
      </c>
      <c r="F409" s="6" t="str">
        <f>IFERROR(VLOOKUP(VLOOKUP(A409,'Sales Order'!A:B,2,FALSE),Customer!A:C,3,FALSE),"Not Specified")</f>
        <v>Boseman, Randall</v>
      </c>
      <c r="G409" s="6" t="str">
        <f t="shared" si="12"/>
        <v>Boseman Randall</v>
      </c>
      <c r="H409" s="22" t="str">
        <f>IFERROR(VLOOKUP(VLOOKUP(A409,'Sales Order'!A:C,3,FALSE),Employee!A:E,5,FALSE)&amp;" "&amp;VLOOKUP(VLOOKUP(A409,'Sales Order'!A:C,3,FALSE),Employee!A:C,3,FALSE)&amp;" "&amp;VLOOKUP(VLOOKUP(A409,'Sales Order'!A:C,3,FALSE),Employee!A:B,2,FALSE),"Not Specified")</f>
        <v>Ms. Sara Davis</v>
      </c>
      <c r="I409" t="str">
        <f>IFERROR(VLOOKUP(VLOOKUP(A409,'Sales Order'!A:C,3,FALSE),Employee!A:J,10,FALSE),"Not Specified")</f>
        <v>WA</v>
      </c>
      <c r="J409" t="str">
        <f>VLOOKUP(B409,Product!A:B,2,FALSE)</f>
        <v>Product FPYPN</v>
      </c>
      <c r="K409" t="str">
        <f>VLOOKUP(VLOOKUP(B409,Product!A:D,4,FALSE),Category!A:B,2,FALSE)</f>
        <v>Confections</v>
      </c>
      <c r="L409" s="24">
        <f>IFERROR(VLOOKUP(A409,'Sales Order'!A:D,4,FALSE),"")</f>
        <v>39083</v>
      </c>
      <c r="M409" s="24">
        <f>IFERROR(VLOOKUP(A409,'Sales Order'!A:F,6,FALSE),"")</f>
        <v>39098</v>
      </c>
      <c r="N409" t="str">
        <f>IFERROR(VLOOKUP(VLOOKUP(A409,'Sales Order'!A:G,7,FALSE),Shipper!A:B,2,FALSE),"Not Specified")</f>
        <v>Shipper ZHISN</v>
      </c>
      <c r="O409" t="str">
        <f>IFERROR(VLOOKUP(A409,'Sales Order'!A:I,9,FALSE),"Not Specified")</f>
        <v>Destination BBMRT</v>
      </c>
      <c r="P409" t="str">
        <f>IFERROR(VLOOKUP(A409,'Sales Order'!A:N,14,FALSE),"Not Specified")</f>
        <v>UK</v>
      </c>
      <c r="Q409" t="str">
        <f>VLOOKUP(VLOOKUP(B409,Product!A:C,3,FALSE),Supplier!A:B,2,FALSE)</f>
        <v>Supplier ELCRN</v>
      </c>
      <c r="R409" t="str">
        <f>VLOOKUP(VLOOKUP(B409,Product!A:C,3,FALSE),Supplier!A:I,9,FALSE)</f>
        <v>Finland</v>
      </c>
      <c r="S409" t="str">
        <f>IFERROR(IF(VLOOKUP(A409,'Sales Order'!A:H,8,FALSE)&gt;100,"High Freight","Low Freight"),"Not Specified")</f>
        <v>Low Freight</v>
      </c>
      <c r="T409">
        <f t="shared" si="13"/>
        <v>480</v>
      </c>
    </row>
    <row r="410" spans="1:20">
      <c r="A410" s="9">
        <v>10401</v>
      </c>
      <c r="B410" s="6">
        <v>30</v>
      </c>
      <c r="C410" s="6">
        <v>20.7</v>
      </c>
      <c r="D410" s="6">
        <v>18</v>
      </c>
      <c r="E410" s="18">
        <v>0</v>
      </c>
      <c r="F410" s="6" t="str">
        <f>IFERROR(VLOOKUP(VLOOKUP(A410,'Sales Order'!A:B,2,FALSE),Customer!A:C,3,FALSE),"Not Specified")</f>
        <v>Moore, Michael</v>
      </c>
      <c r="G410" s="6" t="str">
        <f t="shared" si="12"/>
        <v>Moore Michael</v>
      </c>
      <c r="H410" s="22" t="str">
        <f>IFERROR(VLOOKUP(VLOOKUP(A410,'Sales Order'!A:C,3,FALSE),Employee!A:E,5,FALSE)&amp;" "&amp;VLOOKUP(VLOOKUP(A410,'Sales Order'!A:C,3,FALSE),Employee!A:C,3,FALSE)&amp;" "&amp;VLOOKUP(VLOOKUP(A410,'Sales Order'!A:C,3,FALSE),Employee!A:B,2,FALSE),"Not Specified")</f>
        <v>Ms. Sara Davis</v>
      </c>
      <c r="I410" t="str">
        <f>IFERROR(VLOOKUP(VLOOKUP(A410,'Sales Order'!A:C,3,FALSE),Employee!A:J,10,FALSE),"Not Specified")</f>
        <v>WA</v>
      </c>
      <c r="J410" t="str">
        <f>VLOOKUP(B410,Product!A:B,2,FALSE)</f>
        <v>Product LYERX</v>
      </c>
      <c r="K410" t="str">
        <f>VLOOKUP(VLOOKUP(B410,Product!A:D,4,FALSE),Category!A:B,2,FALSE)</f>
        <v>Seafood</v>
      </c>
      <c r="L410" s="24">
        <f>IFERROR(VLOOKUP(A410,'Sales Order'!A:D,4,FALSE),"")</f>
        <v>39083</v>
      </c>
      <c r="M410" s="24">
        <f>IFERROR(VLOOKUP(A410,'Sales Order'!A:F,6,FALSE),"")</f>
        <v>39092</v>
      </c>
      <c r="N410" t="str">
        <f>IFERROR(VLOOKUP(VLOOKUP(A410,'Sales Order'!A:G,7,FALSE),Shipper!A:B,2,FALSE),"Not Specified")</f>
        <v>Shipper GVSUA</v>
      </c>
      <c r="O410" t="str">
        <f>IFERROR(VLOOKUP(A410,'Sales Order'!A:I,9,FALSE),"Not Specified")</f>
        <v>Ship to 65-A</v>
      </c>
      <c r="P410" t="str">
        <f>IFERROR(VLOOKUP(A410,'Sales Order'!A:N,14,FALSE),"Not Specified")</f>
        <v>USA</v>
      </c>
      <c r="Q410" t="str">
        <f>VLOOKUP(VLOOKUP(B410,Product!A:C,3,FALSE),Supplier!A:B,2,FALSE)</f>
        <v>Supplier TEGSC</v>
      </c>
      <c r="R410" t="str">
        <f>VLOOKUP(VLOOKUP(B410,Product!A:C,3,FALSE),Supplier!A:I,9,FALSE)</f>
        <v>Germany</v>
      </c>
      <c r="S410" t="str">
        <f>IFERROR(IF(VLOOKUP(A410,'Sales Order'!A:H,8,FALSE)&gt;100,"High Freight","Low Freight"),"Not Specified")</f>
        <v>Low Freight</v>
      </c>
      <c r="T410">
        <f t="shared" si="13"/>
        <v>372.59999999999997</v>
      </c>
    </row>
    <row r="411" spans="1:20">
      <c r="A411" s="9">
        <v>10401</v>
      </c>
      <c r="B411" s="6">
        <v>56</v>
      </c>
      <c r="C411" s="6">
        <v>30.4</v>
      </c>
      <c r="D411" s="6">
        <v>70</v>
      </c>
      <c r="E411" s="18">
        <v>0</v>
      </c>
      <c r="F411" s="6" t="str">
        <f>IFERROR(VLOOKUP(VLOOKUP(A411,'Sales Order'!A:B,2,FALSE),Customer!A:C,3,FALSE),"Not Specified")</f>
        <v>Moore, Michael</v>
      </c>
      <c r="G411" s="6" t="str">
        <f t="shared" si="12"/>
        <v>Moore Michael</v>
      </c>
      <c r="H411" s="22" t="str">
        <f>IFERROR(VLOOKUP(VLOOKUP(A411,'Sales Order'!A:C,3,FALSE),Employee!A:E,5,FALSE)&amp;" "&amp;VLOOKUP(VLOOKUP(A411,'Sales Order'!A:C,3,FALSE),Employee!A:C,3,FALSE)&amp;" "&amp;VLOOKUP(VLOOKUP(A411,'Sales Order'!A:C,3,FALSE),Employee!A:B,2,FALSE),"Not Specified")</f>
        <v>Ms. Sara Davis</v>
      </c>
      <c r="I411" t="str">
        <f>IFERROR(VLOOKUP(VLOOKUP(A411,'Sales Order'!A:C,3,FALSE),Employee!A:J,10,FALSE),"Not Specified")</f>
        <v>WA</v>
      </c>
      <c r="J411" t="str">
        <f>VLOOKUP(B411,Product!A:B,2,FALSE)</f>
        <v>Product VKCMF</v>
      </c>
      <c r="K411" t="str">
        <f>VLOOKUP(VLOOKUP(B411,Product!A:D,4,FALSE),Category!A:B,2,FALSE)</f>
        <v>Grains/Cereals</v>
      </c>
      <c r="L411" s="24">
        <f>IFERROR(VLOOKUP(A411,'Sales Order'!A:D,4,FALSE),"")</f>
        <v>39083</v>
      </c>
      <c r="M411" s="24">
        <f>IFERROR(VLOOKUP(A411,'Sales Order'!A:F,6,FALSE),"")</f>
        <v>39092</v>
      </c>
      <c r="N411" t="str">
        <f>IFERROR(VLOOKUP(VLOOKUP(A411,'Sales Order'!A:G,7,FALSE),Shipper!A:B,2,FALSE),"Not Specified")</f>
        <v>Shipper GVSUA</v>
      </c>
      <c r="O411" t="str">
        <f>IFERROR(VLOOKUP(A411,'Sales Order'!A:I,9,FALSE),"Not Specified")</f>
        <v>Ship to 65-A</v>
      </c>
      <c r="P411" t="str">
        <f>IFERROR(VLOOKUP(A411,'Sales Order'!A:N,14,FALSE),"Not Specified")</f>
        <v>USA</v>
      </c>
      <c r="Q411" t="str">
        <f>VLOOKUP(VLOOKUP(B411,Product!A:C,3,FALSE),Supplier!A:B,2,FALSE)</f>
        <v>Supplier ZWZDM</v>
      </c>
      <c r="R411" t="str">
        <f>VLOOKUP(VLOOKUP(B411,Product!A:C,3,FALSE),Supplier!A:I,9,FALSE)</f>
        <v>Italy</v>
      </c>
      <c r="S411" t="str">
        <f>IFERROR(IF(VLOOKUP(A411,'Sales Order'!A:H,8,FALSE)&gt;100,"High Freight","Low Freight"),"Not Specified")</f>
        <v>Low Freight</v>
      </c>
      <c r="T411">
        <f t="shared" si="13"/>
        <v>2128</v>
      </c>
    </row>
    <row r="412" spans="1:20">
      <c r="A412" s="9">
        <v>10401</v>
      </c>
      <c r="B412" s="6">
        <v>65</v>
      </c>
      <c r="C412" s="6">
        <v>16.8</v>
      </c>
      <c r="D412" s="6">
        <v>20</v>
      </c>
      <c r="E412" s="18">
        <v>0</v>
      </c>
      <c r="F412" s="6" t="str">
        <f>IFERROR(VLOOKUP(VLOOKUP(A412,'Sales Order'!A:B,2,FALSE),Customer!A:C,3,FALSE),"Not Specified")</f>
        <v>Moore, Michael</v>
      </c>
      <c r="G412" s="6" t="str">
        <f t="shared" si="12"/>
        <v>Moore Michael</v>
      </c>
      <c r="H412" s="22" t="str">
        <f>IFERROR(VLOOKUP(VLOOKUP(A412,'Sales Order'!A:C,3,FALSE),Employee!A:E,5,FALSE)&amp;" "&amp;VLOOKUP(VLOOKUP(A412,'Sales Order'!A:C,3,FALSE),Employee!A:C,3,FALSE)&amp;" "&amp;VLOOKUP(VLOOKUP(A412,'Sales Order'!A:C,3,FALSE),Employee!A:B,2,FALSE),"Not Specified")</f>
        <v>Ms. Sara Davis</v>
      </c>
      <c r="I412" t="str">
        <f>IFERROR(VLOOKUP(VLOOKUP(A412,'Sales Order'!A:C,3,FALSE),Employee!A:J,10,FALSE),"Not Specified")</f>
        <v>WA</v>
      </c>
      <c r="J412" t="str">
        <f>VLOOKUP(B412,Product!A:B,2,FALSE)</f>
        <v>Product XYWBZ</v>
      </c>
      <c r="K412" t="str">
        <f>VLOOKUP(VLOOKUP(B412,Product!A:D,4,FALSE),Category!A:B,2,FALSE)</f>
        <v>Condiments</v>
      </c>
      <c r="L412" s="24">
        <f>IFERROR(VLOOKUP(A412,'Sales Order'!A:D,4,FALSE),"")</f>
        <v>39083</v>
      </c>
      <c r="M412" s="24">
        <f>IFERROR(VLOOKUP(A412,'Sales Order'!A:F,6,FALSE),"")</f>
        <v>39092</v>
      </c>
      <c r="N412" t="str">
        <f>IFERROR(VLOOKUP(VLOOKUP(A412,'Sales Order'!A:G,7,FALSE),Shipper!A:B,2,FALSE),"Not Specified")</f>
        <v>Shipper GVSUA</v>
      </c>
      <c r="O412" t="str">
        <f>IFERROR(VLOOKUP(A412,'Sales Order'!A:I,9,FALSE),"Not Specified")</f>
        <v>Ship to 65-A</v>
      </c>
      <c r="P412" t="str">
        <f>IFERROR(VLOOKUP(A412,'Sales Order'!A:N,14,FALSE),"Not Specified")</f>
        <v>USA</v>
      </c>
      <c r="Q412" t="str">
        <f>VLOOKUP(VLOOKUP(B412,Product!A:C,3,FALSE),Supplier!A:B,2,FALSE)</f>
        <v>Supplier VHQZD</v>
      </c>
      <c r="R412" t="str">
        <f>VLOOKUP(VLOOKUP(B412,Product!A:C,3,FALSE),Supplier!A:I,9,FALSE)</f>
        <v>USA</v>
      </c>
      <c r="S412" t="str">
        <f>IFERROR(IF(VLOOKUP(A412,'Sales Order'!A:H,8,FALSE)&gt;100,"High Freight","Low Freight"),"Not Specified")</f>
        <v>Low Freight</v>
      </c>
      <c r="T412">
        <f t="shared" si="13"/>
        <v>336</v>
      </c>
    </row>
    <row r="413" spans="1:20">
      <c r="A413" s="9">
        <v>10401</v>
      </c>
      <c r="B413" s="6">
        <v>71</v>
      </c>
      <c r="C413" s="6">
        <v>17.2</v>
      </c>
      <c r="D413" s="6">
        <v>60</v>
      </c>
      <c r="E413" s="18">
        <v>0</v>
      </c>
      <c r="F413" s="6" t="str">
        <f>IFERROR(VLOOKUP(VLOOKUP(A413,'Sales Order'!A:B,2,FALSE),Customer!A:C,3,FALSE),"Not Specified")</f>
        <v>Moore, Michael</v>
      </c>
      <c r="G413" s="6" t="str">
        <f t="shared" si="12"/>
        <v>Moore Michael</v>
      </c>
      <c r="H413" s="22" t="str">
        <f>IFERROR(VLOOKUP(VLOOKUP(A413,'Sales Order'!A:C,3,FALSE),Employee!A:E,5,FALSE)&amp;" "&amp;VLOOKUP(VLOOKUP(A413,'Sales Order'!A:C,3,FALSE),Employee!A:C,3,FALSE)&amp;" "&amp;VLOOKUP(VLOOKUP(A413,'Sales Order'!A:C,3,FALSE),Employee!A:B,2,FALSE),"Not Specified")</f>
        <v>Ms. Sara Davis</v>
      </c>
      <c r="I413" t="str">
        <f>IFERROR(VLOOKUP(VLOOKUP(A413,'Sales Order'!A:C,3,FALSE),Employee!A:J,10,FALSE),"Not Specified")</f>
        <v>WA</v>
      </c>
      <c r="J413" t="str">
        <f>VLOOKUP(B413,Product!A:B,2,FALSE)</f>
        <v>Product MYMOI</v>
      </c>
      <c r="K413" t="str">
        <f>VLOOKUP(VLOOKUP(B413,Product!A:D,4,FALSE),Category!A:B,2,FALSE)</f>
        <v>Dairy Product</v>
      </c>
      <c r="L413" s="24">
        <f>IFERROR(VLOOKUP(A413,'Sales Order'!A:D,4,FALSE),"")</f>
        <v>39083</v>
      </c>
      <c r="M413" s="24">
        <f>IFERROR(VLOOKUP(A413,'Sales Order'!A:F,6,FALSE),"")</f>
        <v>39092</v>
      </c>
      <c r="N413" t="str">
        <f>IFERROR(VLOOKUP(VLOOKUP(A413,'Sales Order'!A:G,7,FALSE),Shipper!A:B,2,FALSE),"Not Specified")</f>
        <v>Shipper GVSUA</v>
      </c>
      <c r="O413" t="str">
        <f>IFERROR(VLOOKUP(A413,'Sales Order'!A:I,9,FALSE),"Not Specified")</f>
        <v>Ship to 65-A</v>
      </c>
      <c r="P413" t="str">
        <f>IFERROR(VLOOKUP(A413,'Sales Order'!A:N,14,FALSE),"Not Specified")</f>
        <v>USA</v>
      </c>
      <c r="Q413" t="str">
        <f>VLOOKUP(VLOOKUP(B413,Product!A:C,3,FALSE),Supplier!A:B,2,FALSE)</f>
        <v>Supplier NZLIF</v>
      </c>
      <c r="R413" t="str">
        <f>VLOOKUP(VLOOKUP(B413,Product!A:C,3,FALSE),Supplier!A:I,9,FALSE)</f>
        <v>Norway</v>
      </c>
      <c r="S413" t="str">
        <f>IFERROR(IF(VLOOKUP(A413,'Sales Order'!A:H,8,FALSE)&gt;100,"High Freight","Low Freight"),"Not Specified")</f>
        <v>Low Freight</v>
      </c>
      <c r="T413">
        <f t="shared" si="13"/>
        <v>1032</v>
      </c>
    </row>
    <row r="414" spans="1:20">
      <c r="A414" s="9">
        <v>10402</v>
      </c>
      <c r="B414" s="6">
        <v>23</v>
      </c>
      <c r="C414" s="6">
        <v>7.2</v>
      </c>
      <c r="D414" s="6">
        <v>60</v>
      </c>
      <c r="E414" s="18">
        <v>0</v>
      </c>
      <c r="F414" s="6" t="str">
        <f>IFERROR(VLOOKUP(VLOOKUP(A414,'Sales Order'!A:B,2,FALSE),Customer!A:C,3,FALSE),"Not Specified")</f>
        <v>Kane, John</v>
      </c>
      <c r="G414" s="6" t="str">
        <f t="shared" si="12"/>
        <v>Kane John</v>
      </c>
      <c r="H414" s="22" t="str">
        <f>IFERROR(VLOOKUP(VLOOKUP(A414,'Sales Order'!A:C,3,FALSE),Employee!A:E,5,FALSE)&amp;" "&amp;VLOOKUP(VLOOKUP(A414,'Sales Order'!A:C,3,FALSE),Employee!A:C,3,FALSE)&amp;" "&amp;VLOOKUP(VLOOKUP(A414,'Sales Order'!A:C,3,FALSE),Employee!A:B,2,FALSE),"Not Specified")</f>
        <v>Ms. Maria Cameron</v>
      </c>
      <c r="I414" t="str">
        <f>IFERROR(VLOOKUP(VLOOKUP(A414,'Sales Order'!A:C,3,FALSE),Employee!A:J,10,FALSE),"Not Specified")</f>
        <v>WA</v>
      </c>
      <c r="J414" t="str">
        <f>VLOOKUP(B414,Product!A:B,2,FALSE)</f>
        <v>Product JLUDZ</v>
      </c>
      <c r="K414" t="str">
        <f>VLOOKUP(VLOOKUP(B414,Product!A:D,4,FALSE),Category!A:B,2,FALSE)</f>
        <v>Grains/Cereals</v>
      </c>
      <c r="L414" s="24">
        <f>IFERROR(VLOOKUP(A414,'Sales Order'!A:D,4,FALSE),"")</f>
        <v>39084</v>
      </c>
      <c r="M414" s="24">
        <f>IFERROR(VLOOKUP(A414,'Sales Order'!A:F,6,FALSE),"")</f>
        <v>39092</v>
      </c>
      <c r="N414" t="str">
        <f>IFERROR(VLOOKUP(VLOOKUP(A414,'Sales Order'!A:G,7,FALSE),Shipper!A:B,2,FALSE),"Not Specified")</f>
        <v>Shipper ETYNR</v>
      </c>
      <c r="O414" t="str">
        <f>IFERROR(VLOOKUP(A414,'Sales Order'!A:I,9,FALSE),"Not Specified")</f>
        <v>Destination FFXKT</v>
      </c>
      <c r="P414" t="str">
        <f>IFERROR(VLOOKUP(A414,'Sales Order'!A:N,14,FALSE),"Not Specified")</f>
        <v>Austria</v>
      </c>
      <c r="Q414" t="str">
        <f>VLOOKUP(VLOOKUP(B414,Product!A:C,3,FALSE),Supplier!A:B,2,FALSE)</f>
        <v>Supplier QQYEU</v>
      </c>
      <c r="R414" t="str">
        <f>VLOOKUP(VLOOKUP(B414,Product!A:C,3,FALSE),Supplier!A:I,9,FALSE)</f>
        <v>Sweden</v>
      </c>
      <c r="S414" t="str">
        <f>IFERROR(IF(VLOOKUP(A414,'Sales Order'!A:H,8,FALSE)&gt;100,"High Freight","Low Freight"),"Not Specified")</f>
        <v>Low Freight</v>
      </c>
      <c r="T414">
        <f t="shared" si="13"/>
        <v>432</v>
      </c>
    </row>
    <row r="415" spans="1:20">
      <c r="A415" s="9">
        <v>10402</v>
      </c>
      <c r="B415" s="6">
        <v>63</v>
      </c>
      <c r="C415" s="6">
        <v>35.1</v>
      </c>
      <c r="D415" s="6">
        <v>65</v>
      </c>
      <c r="E415" s="18">
        <v>0</v>
      </c>
      <c r="F415" s="6" t="str">
        <f>IFERROR(VLOOKUP(VLOOKUP(A415,'Sales Order'!A:B,2,FALSE),Customer!A:C,3,FALSE),"Not Specified")</f>
        <v>Kane, John</v>
      </c>
      <c r="G415" s="6" t="str">
        <f t="shared" si="12"/>
        <v>Kane John</v>
      </c>
      <c r="H415" s="22" t="str">
        <f>IFERROR(VLOOKUP(VLOOKUP(A415,'Sales Order'!A:C,3,FALSE),Employee!A:E,5,FALSE)&amp;" "&amp;VLOOKUP(VLOOKUP(A415,'Sales Order'!A:C,3,FALSE),Employee!A:C,3,FALSE)&amp;" "&amp;VLOOKUP(VLOOKUP(A415,'Sales Order'!A:C,3,FALSE),Employee!A:B,2,FALSE),"Not Specified")</f>
        <v>Ms. Maria Cameron</v>
      </c>
      <c r="I415" t="str">
        <f>IFERROR(VLOOKUP(VLOOKUP(A415,'Sales Order'!A:C,3,FALSE),Employee!A:J,10,FALSE),"Not Specified")</f>
        <v>WA</v>
      </c>
      <c r="J415" t="str">
        <f>VLOOKUP(B415,Product!A:B,2,FALSE)</f>
        <v>Product ICKNK</v>
      </c>
      <c r="K415" t="str">
        <f>VLOOKUP(VLOOKUP(B415,Product!A:D,4,FALSE),Category!A:B,2,FALSE)</f>
        <v>Condiments</v>
      </c>
      <c r="L415" s="24">
        <f>IFERROR(VLOOKUP(A415,'Sales Order'!A:D,4,FALSE),"")</f>
        <v>39084</v>
      </c>
      <c r="M415" s="24">
        <f>IFERROR(VLOOKUP(A415,'Sales Order'!A:F,6,FALSE),"")</f>
        <v>39092</v>
      </c>
      <c r="N415" t="str">
        <f>IFERROR(VLOOKUP(VLOOKUP(A415,'Sales Order'!A:G,7,FALSE),Shipper!A:B,2,FALSE),"Not Specified")</f>
        <v>Shipper ETYNR</v>
      </c>
      <c r="O415" t="str">
        <f>IFERROR(VLOOKUP(A415,'Sales Order'!A:I,9,FALSE),"Not Specified")</f>
        <v>Destination FFXKT</v>
      </c>
      <c r="P415" t="str">
        <f>IFERROR(VLOOKUP(A415,'Sales Order'!A:N,14,FALSE),"Not Specified")</f>
        <v>Austria</v>
      </c>
      <c r="Q415" t="str">
        <f>VLOOKUP(VLOOKUP(B415,Product!A:C,3,FALSE),Supplier!A:B,2,FALSE)</f>
        <v>Supplier GQRCV</v>
      </c>
      <c r="R415" t="str">
        <f>VLOOKUP(VLOOKUP(B415,Product!A:C,3,FALSE),Supplier!A:I,9,FALSE)</f>
        <v>Australia</v>
      </c>
      <c r="S415" t="str">
        <f>IFERROR(IF(VLOOKUP(A415,'Sales Order'!A:H,8,FALSE)&gt;100,"High Freight","Low Freight"),"Not Specified")</f>
        <v>Low Freight</v>
      </c>
      <c r="T415">
        <f t="shared" si="13"/>
        <v>2281.5</v>
      </c>
    </row>
    <row r="416" spans="1:20">
      <c r="A416" s="9">
        <v>10403</v>
      </c>
      <c r="B416" s="6">
        <v>16</v>
      </c>
      <c r="C416" s="6">
        <v>13.9</v>
      </c>
      <c r="D416" s="6">
        <v>21</v>
      </c>
      <c r="E416" s="18">
        <v>0.15</v>
      </c>
      <c r="F416" s="6" t="str">
        <f>IFERROR(VLOOKUP(VLOOKUP(A416,'Sales Order'!A:B,2,FALSE),Customer!A:C,3,FALSE),"Not Specified")</f>
        <v>Kane, John</v>
      </c>
      <c r="G416" s="6" t="str">
        <f t="shared" si="12"/>
        <v>Kane John</v>
      </c>
      <c r="H416" s="22" t="str">
        <f>IFERROR(VLOOKUP(VLOOKUP(A416,'Sales Order'!A:C,3,FALSE),Employee!A:E,5,FALSE)&amp;" "&amp;VLOOKUP(VLOOKUP(A416,'Sales Order'!A:C,3,FALSE),Employee!A:C,3,FALSE)&amp;" "&amp;VLOOKUP(VLOOKUP(A416,'Sales Order'!A:C,3,FALSE),Employee!A:B,2,FALSE),"Not Specified")</f>
        <v>Mrs. Yael Peled</v>
      </c>
      <c r="I416" t="str">
        <f>IFERROR(VLOOKUP(VLOOKUP(A416,'Sales Order'!A:C,3,FALSE),Employee!A:J,10,FALSE),"Not Specified")</f>
        <v>WA</v>
      </c>
      <c r="J416" t="str">
        <f>VLOOKUP(B416,Product!A:B,2,FALSE)</f>
        <v>Product PAFRH</v>
      </c>
      <c r="K416" t="str">
        <f>VLOOKUP(VLOOKUP(B416,Product!A:D,4,FALSE),Category!A:B,2,FALSE)</f>
        <v>Confections</v>
      </c>
      <c r="L416" s="24">
        <f>IFERROR(VLOOKUP(A416,'Sales Order'!A:D,4,FALSE),"")</f>
        <v>39085</v>
      </c>
      <c r="M416" s="24">
        <f>IFERROR(VLOOKUP(A416,'Sales Order'!A:F,6,FALSE),"")</f>
        <v>39091</v>
      </c>
      <c r="N416" t="str">
        <f>IFERROR(VLOOKUP(VLOOKUP(A416,'Sales Order'!A:G,7,FALSE),Shipper!A:B,2,FALSE),"Not Specified")</f>
        <v>Shipper ZHISN</v>
      </c>
      <c r="O416" t="str">
        <f>IFERROR(VLOOKUP(A416,'Sales Order'!A:I,9,FALSE),"Not Specified")</f>
        <v>Destination RVDMF</v>
      </c>
      <c r="P416" t="str">
        <f>IFERROR(VLOOKUP(A416,'Sales Order'!A:N,14,FALSE),"Not Specified")</f>
        <v>Austria</v>
      </c>
      <c r="Q416" t="str">
        <f>VLOOKUP(VLOOKUP(B416,Product!A:C,3,FALSE),Supplier!A:B,2,FALSE)</f>
        <v>Supplier GQRCV</v>
      </c>
      <c r="R416" t="str">
        <f>VLOOKUP(VLOOKUP(B416,Product!A:C,3,FALSE),Supplier!A:I,9,FALSE)</f>
        <v>Australia</v>
      </c>
      <c r="S416" t="str">
        <f>IFERROR(IF(VLOOKUP(A416,'Sales Order'!A:H,8,FALSE)&gt;100,"High Freight","Low Freight"),"Not Specified")</f>
        <v>Low Freight</v>
      </c>
      <c r="T416">
        <f t="shared" si="13"/>
        <v>248.11500000000001</v>
      </c>
    </row>
    <row r="417" spans="1:20">
      <c r="A417" s="9">
        <v>10403</v>
      </c>
      <c r="B417" s="6">
        <v>48</v>
      </c>
      <c r="C417" s="6">
        <v>10.199999999999999</v>
      </c>
      <c r="D417" s="6">
        <v>70</v>
      </c>
      <c r="E417" s="18">
        <v>0.15</v>
      </c>
      <c r="F417" s="6" t="str">
        <f>IFERROR(VLOOKUP(VLOOKUP(A417,'Sales Order'!A:B,2,FALSE),Customer!A:C,3,FALSE),"Not Specified")</f>
        <v>Kane, John</v>
      </c>
      <c r="G417" s="6" t="str">
        <f t="shared" si="12"/>
        <v>Kane John</v>
      </c>
      <c r="H417" s="22" t="str">
        <f>IFERROR(VLOOKUP(VLOOKUP(A417,'Sales Order'!A:C,3,FALSE),Employee!A:E,5,FALSE)&amp;" "&amp;VLOOKUP(VLOOKUP(A417,'Sales Order'!A:C,3,FALSE),Employee!A:C,3,FALSE)&amp;" "&amp;VLOOKUP(VLOOKUP(A417,'Sales Order'!A:C,3,FALSE),Employee!A:B,2,FALSE),"Not Specified")</f>
        <v>Mrs. Yael Peled</v>
      </c>
      <c r="I417" t="str">
        <f>IFERROR(VLOOKUP(VLOOKUP(A417,'Sales Order'!A:C,3,FALSE),Employee!A:J,10,FALSE),"Not Specified")</f>
        <v>WA</v>
      </c>
      <c r="J417" t="str">
        <f>VLOOKUP(B417,Product!A:B,2,FALSE)</f>
        <v>Product MYNXN</v>
      </c>
      <c r="K417" t="str">
        <f>VLOOKUP(VLOOKUP(B417,Product!A:D,4,FALSE),Category!A:B,2,FALSE)</f>
        <v>Confections</v>
      </c>
      <c r="L417" s="24">
        <f>IFERROR(VLOOKUP(A417,'Sales Order'!A:D,4,FALSE),"")</f>
        <v>39085</v>
      </c>
      <c r="M417" s="24">
        <f>IFERROR(VLOOKUP(A417,'Sales Order'!A:F,6,FALSE),"")</f>
        <v>39091</v>
      </c>
      <c r="N417" t="str">
        <f>IFERROR(VLOOKUP(VLOOKUP(A417,'Sales Order'!A:G,7,FALSE),Shipper!A:B,2,FALSE),"Not Specified")</f>
        <v>Shipper ZHISN</v>
      </c>
      <c r="O417" t="str">
        <f>IFERROR(VLOOKUP(A417,'Sales Order'!A:I,9,FALSE),"Not Specified")</f>
        <v>Destination RVDMF</v>
      </c>
      <c r="P417" t="str">
        <f>IFERROR(VLOOKUP(A417,'Sales Order'!A:N,14,FALSE),"Not Specified")</f>
        <v>Austria</v>
      </c>
      <c r="Q417" t="str">
        <f>VLOOKUP(VLOOKUP(B417,Product!A:C,3,FALSE),Supplier!A:B,2,FALSE)</f>
        <v>Supplier FNUXM</v>
      </c>
      <c r="R417" t="str">
        <f>VLOOKUP(VLOOKUP(B417,Product!A:C,3,FALSE),Supplier!A:I,9,FALSE)</f>
        <v>Netherlands</v>
      </c>
      <c r="S417" t="str">
        <f>IFERROR(IF(VLOOKUP(A417,'Sales Order'!A:H,8,FALSE)&gt;100,"High Freight","Low Freight"),"Not Specified")</f>
        <v>Low Freight</v>
      </c>
      <c r="T417">
        <f t="shared" si="13"/>
        <v>606.9</v>
      </c>
    </row>
    <row r="418" spans="1:20">
      <c r="A418" s="9">
        <v>10404</v>
      </c>
      <c r="B418" s="6">
        <v>26</v>
      </c>
      <c r="C418" s="6">
        <v>24.9</v>
      </c>
      <c r="D418" s="6">
        <v>30</v>
      </c>
      <c r="E418" s="18">
        <v>0.05</v>
      </c>
      <c r="F418" s="6" t="str">
        <f>IFERROR(VLOOKUP(VLOOKUP(A418,'Sales Order'!A:B,2,FALSE),Customer!A:C,3,FALSE),"Not Specified")</f>
        <v>Duerr, Bernard</v>
      </c>
      <c r="G418" s="6" t="str">
        <f t="shared" si="12"/>
        <v>Duerr Bernard</v>
      </c>
      <c r="H418" s="22" t="str">
        <f>IFERROR(VLOOKUP(VLOOKUP(A418,'Sales Order'!A:C,3,FALSE),Employee!A:E,5,FALSE)&amp;" "&amp;VLOOKUP(VLOOKUP(A418,'Sales Order'!A:C,3,FALSE),Employee!A:C,3,FALSE)&amp;" "&amp;VLOOKUP(VLOOKUP(A418,'Sales Order'!A:C,3,FALSE),Employee!A:B,2,FALSE),"Not Specified")</f>
        <v>Dr. Don Funk</v>
      </c>
      <c r="I418" t="str">
        <f>IFERROR(VLOOKUP(VLOOKUP(A418,'Sales Order'!A:C,3,FALSE),Employee!A:J,10,FALSE),"Not Specified")</f>
        <v>WA</v>
      </c>
      <c r="J418" t="str">
        <f>VLOOKUP(B418,Product!A:B,2,FALSE)</f>
        <v>Product HLGZA</v>
      </c>
      <c r="K418" t="str">
        <f>VLOOKUP(VLOOKUP(B418,Product!A:D,4,FALSE),Category!A:B,2,FALSE)</f>
        <v>Confections</v>
      </c>
      <c r="L418" s="24">
        <f>IFERROR(VLOOKUP(A418,'Sales Order'!A:D,4,FALSE),"")</f>
        <v>39085</v>
      </c>
      <c r="M418" s="24">
        <f>IFERROR(VLOOKUP(A418,'Sales Order'!A:F,6,FALSE),"")</f>
        <v>39090</v>
      </c>
      <c r="N418" t="str">
        <f>IFERROR(VLOOKUP(VLOOKUP(A418,'Sales Order'!A:G,7,FALSE),Shipper!A:B,2,FALSE),"Not Specified")</f>
        <v>Shipper GVSUA</v>
      </c>
      <c r="O418" t="str">
        <f>IFERROR(VLOOKUP(A418,'Sales Order'!A:I,9,FALSE),"Not Specified")</f>
        <v>Ship to 49-B</v>
      </c>
      <c r="P418" t="str">
        <f>IFERROR(VLOOKUP(A418,'Sales Order'!A:N,14,FALSE),"Not Specified")</f>
        <v>Italy</v>
      </c>
      <c r="Q418" t="str">
        <f>VLOOKUP(VLOOKUP(B418,Product!A:C,3,FALSE),Supplier!A:B,2,FALSE)</f>
        <v>Supplier ZPYVS</v>
      </c>
      <c r="R418" t="str">
        <f>VLOOKUP(VLOOKUP(B418,Product!A:C,3,FALSE),Supplier!A:I,9,FALSE)</f>
        <v>Germany</v>
      </c>
      <c r="S418" t="str">
        <f>IFERROR(IF(VLOOKUP(A418,'Sales Order'!A:H,8,FALSE)&gt;100,"High Freight","Low Freight"),"Not Specified")</f>
        <v>High Freight</v>
      </c>
      <c r="T418">
        <f t="shared" si="13"/>
        <v>709.65</v>
      </c>
    </row>
    <row r="419" spans="1:20">
      <c r="A419" s="9">
        <v>10404</v>
      </c>
      <c r="B419" s="6">
        <v>42</v>
      </c>
      <c r="C419" s="6">
        <v>11.2</v>
      </c>
      <c r="D419" s="6">
        <v>40</v>
      </c>
      <c r="E419" s="18">
        <v>0.05</v>
      </c>
      <c r="F419" s="6" t="str">
        <f>IFERROR(VLOOKUP(VLOOKUP(A419,'Sales Order'!A:B,2,FALSE),Customer!A:C,3,FALSE),"Not Specified")</f>
        <v>Duerr, Bernard</v>
      </c>
      <c r="G419" s="6" t="str">
        <f t="shared" si="12"/>
        <v>Duerr Bernard</v>
      </c>
      <c r="H419" s="22" t="str">
        <f>IFERROR(VLOOKUP(VLOOKUP(A419,'Sales Order'!A:C,3,FALSE),Employee!A:E,5,FALSE)&amp;" "&amp;VLOOKUP(VLOOKUP(A419,'Sales Order'!A:C,3,FALSE),Employee!A:C,3,FALSE)&amp;" "&amp;VLOOKUP(VLOOKUP(A419,'Sales Order'!A:C,3,FALSE),Employee!A:B,2,FALSE),"Not Specified")</f>
        <v>Dr. Don Funk</v>
      </c>
      <c r="I419" t="str">
        <f>IFERROR(VLOOKUP(VLOOKUP(A419,'Sales Order'!A:C,3,FALSE),Employee!A:J,10,FALSE),"Not Specified")</f>
        <v>WA</v>
      </c>
      <c r="J419" t="str">
        <f>VLOOKUP(B419,Product!A:B,2,FALSE)</f>
        <v>Product RJVNM</v>
      </c>
      <c r="K419" t="str">
        <f>VLOOKUP(VLOOKUP(B419,Product!A:D,4,FALSE),Category!A:B,2,FALSE)</f>
        <v>Grains/Cereals</v>
      </c>
      <c r="L419" s="24">
        <f>IFERROR(VLOOKUP(A419,'Sales Order'!A:D,4,FALSE),"")</f>
        <v>39085</v>
      </c>
      <c r="M419" s="24">
        <f>IFERROR(VLOOKUP(A419,'Sales Order'!A:F,6,FALSE),"")</f>
        <v>39090</v>
      </c>
      <c r="N419" t="str">
        <f>IFERROR(VLOOKUP(VLOOKUP(A419,'Sales Order'!A:G,7,FALSE),Shipper!A:B,2,FALSE),"Not Specified")</f>
        <v>Shipper GVSUA</v>
      </c>
      <c r="O419" t="str">
        <f>IFERROR(VLOOKUP(A419,'Sales Order'!A:I,9,FALSE),"Not Specified")</f>
        <v>Ship to 49-B</v>
      </c>
      <c r="P419" t="str">
        <f>IFERROR(VLOOKUP(A419,'Sales Order'!A:N,14,FALSE),"Not Specified")</f>
        <v>Italy</v>
      </c>
      <c r="Q419" t="str">
        <f>VLOOKUP(VLOOKUP(B419,Product!A:C,3,FALSE),Supplier!A:B,2,FALSE)</f>
        <v>Supplier CIYNM</v>
      </c>
      <c r="R419" t="str">
        <f>VLOOKUP(VLOOKUP(B419,Product!A:C,3,FALSE),Supplier!A:I,9,FALSE)</f>
        <v>Singapore</v>
      </c>
      <c r="S419" t="str">
        <f>IFERROR(IF(VLOOKUP(A419,'Sales Order'!A:H,8,FALSE)&gt;100,"High Freight","Low Freight"),"Not Specified")</f>
        <v>High Freight</v>
      </c>
      <c r="T419">
        <f t="shared" si="13"/>
        <v>425.59999999999997</v>
      </c>
    </row>
    <row r="420" spans="1:20">
      <c r="A420" s="9">
        <v>10404</v>
      </c>
      <c r="B420" s="6">
        <v>49</v>
      </c>
      <c r="C420" s="6">
        <v>16</v>
      </c>
      <c r="D420" s="6">
        <v>30</v>
      </c>
      <c r="E420" s="18">
        <v>0.05</v>
      </c>
      <c r="F420" s="6" t="str">
        <f>IFERROR(VLOOKUP(VLOOKUP(A420,'Sales Order'!A:B,2,FALSE),Customer!A:C,3,FALSE),"Not Specified")</f>
        <v>Duerr, Bernard</v>
      </c>
      <c r="G420" s="6" t="str">
        <f t="shared" si="12"/>
        <v>Duerr Bernard</v>
      </c>
      <c r="H420" s="22" t="str">
        <f>IFERROR(VLOOKUP(VLOOKUP(A420,'Sales Order'!A:C,3,FALSE),Employee!A:E,5,FALSE)&amp;" "&amp;VLOOKUP(VLOOKUP(A420,'Sales Order'!A:C,3,FALSE),Employee!A:C,3,FALSE)&amp;" "&amp;VLOOKUP(VLOOKUP(A420,'Sales Order'!A:C,3,FALSE),Employee!A:B,2,FALSE),"Not Specified")</f>
        <v>Dr. Don Funk</v>
      </c>
      <c r="I420" t="str">
        <f>IFERROR(VLOOKUP(VLOOKUP(A420,'Sales Order'!A:C,3,FALSE),Employee!A:J,10,FALSE),"Not Specified")</f>
        <v>WA</v>
      </c>
      <c r="J420" t="str">
        <f>VLOOKUP(B420,Product!A:B,2,FALSE)</f>
        <v>Product FPYPN</v>
      </c>
      <c r="K420" t="str">
        <f>VLOOKUP(VLOOKUP(B420,Product!A:D,4,FALSE),Category!A:B,2,FALSE)</f>
        <v>Confections</v>
      </c>
      <c r="L420" s="24">
        <f>IFERROR(VLOOKUP(A420,'Sales Order'!A:D,4,FALSE),"")</f>
        <v>39085</v>
      </c>
      <c r="M420" s="24">
        <f>IFERROR(VLOOKUP(A420,'Sales Order'!A:F,6,FALSE),"")</f>
        <v>39090</v>
      </c>
      <c r="N420" t="str">
        <f>IFERROR(VLOOKUP(VLOOKUP(A420,'Sales Order'!A:G,7,FALSE),Shipper!A:B,2,FALSE),"Not Specified")</f>
        <v>Shipper GVSUA</v>
      </c>
      <c r="O420" t="str">
        <f>IFERROR(VLOOKUP(A420,'Sales Order'!A:I,9,FALSE),"Not Specified")</f>
        <v>Ship to 49-B</v>
      </c>
      <c r="P420" t="str">
        <f>IFERROR(VLOOKUP(A420,'Sales Order'!A:N,14,FALSE),"Not Specified")</f>
        <v>Italy</v>
      </c>
      <c r="Q420" t="str">
        <f>VLOOKUP(VLOOKUP(B420,Product!A:C,3,FALSE),Supplier!A:B,2,FALSE)</f>
        <v>Supplier ELCRN</v>
      </c>
      <c r="R420" t="str">
        <f>VLOOKUP(VLOOKUP(B420,Product!A:C,3,FALSE),Supplier!A:I,9,FALSE)</f>
        <v>Finland</v>
      </c>
      <c r="S420" t="str">
        <f>IFERROR(IF(VLOOKUP(A420,'Sales Order'!A:H,8,FALSE)&gt;100,"High Freight","Low Freight"),"Not Specified")</f>
        <v>High Freight</v>
      </c>
      <c r="T420">
        <f t="shared" si="13"/>
        <v>456</v>
      </c>
    </row>
    <row r="421" spans="1:20">
      <c r="A421" s="9">
        <v>10405</v>
      </c>
      <c r="B421" s="6">
        <v>3</v>
      </c>
      <c r="C421" s="6">
        <v>8</v>
      </c>
      <c r="D421" s="6">
        <v>50</v>
      </c>
      <c r="E421" s="18">
        <v>0</v>
      </c>
      <c r="F421" s="6" t="str">
        <f>IFERROR(VLOOKUP(VLOOKUP(A421,'Sales Order'!A:B,2,FALSE),Customer!A:C,3,FALSE),"Not Specified")</f>
        <v>Lupu, Cornel</v>
      </c>
      <c r="G421" s="6" t="str">
        <f t="shared" si="12"/>
        <v>Lupu Cornel</v>
      </c>
      <c r="H421" s="22" t="str">
        <f>IFERROR(VLOOKUP(VLOOKUP(A421,'Sales Order'!A:C,3,FALSE),Employee!A:E,5,FALSE)&amp;" "&amp;VLOOKUP(VLOOKUP(A421,'Sales Order'!A:C,3,FALSE),Employee!A:C,3,FALSE)&amp;" "&amp;VLOOKUP(VLOOKUP(A421,'Sales Order'!A:C,3,FALSE),Employee!A:B,2,FALSE),"Not Specified")</f>
        <v>Ms. Sara Davis</v>
      </c>
      <c r="I421" t="str">
        <f>IFERROR(VLOOKUP(VLOOKUP(A421,'Sales Order'!A:C,3,FALSE),Employee!A:J,10,FALSE),"Not Specified")</f>
        <v>WA</v>
      </c>
      <c r="J421" t="str">
        <f>VLOOKUP(B421,Product!A:B,2,FALSE)</f>
        <v>Product IMEHJ</v>
      </c>
      <c r="K421" t="str">
        <f>VLOOKUP(VLOOKUP(B421,Product!A:D,4,FALSE),Category!A:B,2,FALSE)</f>
        <v>Condiments</v>
      </c>
      <c r="L421" s="24">
        <f>IFERROR(VLOOKUP(A421,'Sales Order'!A:D,4,FALSE),"")</f>
        <v>39088</v>
      </c>
      <c r="M421" s="24">
        <f>IFERROR(VLOOKUP(A421,'Sales Order'!A:F,6,FALSE),"")</f>
        <v>39104</v>
      </c>
      <c r="N421" t="str">
        <f>IFERROR(VLOOKUP(VLOOKUP(A421,'Sales Order'!A:G,7,FALSE),Shipper!A:B,2,FALSE),"Not Specified")</f>
        <v>Shipper GVSUA</v>
      </c>
      <c r="O421" t="str">
        <f>IFERROR(VLOOKUP(A421,'Sales Order'!A:I,9,FALSE),"Not Specified")</f>
        <v>Ship to 47-B</v>
      </c>
      <c r="P421" t="str">
        <f>IFERROR(VLOOKUP(A421,'Sales Order'!A:N,14,FALSE),"Not Specified")</f>
        <v>Venezuela</v>
      </c>
      <c r="Q421" t="str">
        <f>VLOOKUP(VLOOKUP(B421,Product!A:C,3,FALSE),Supplier!A:B,2,FALSE)</f>
        <v>Supplier SWRXU</v>
      </c>
      <c r="R421" t="str">
        <f>VLOOKUP(VLOOKUP(B421,Product!A:C,3,FALSE),Supplier!A:I,9,FALSE)</f>
        <v>UK</v>
      </c>
      <c r="S421" t="str">
        <f>IFERROR(IF(VLOOKUP(A421,'Sales Order'!A:H,8,FALSE)&gt;100,"High Freight","Low Freight"),"Not Specified")</f>
        <v>Low Freight</v>
      </c>
      <c r="T421">
        <f t="shared" si="13"/>
        <v>400</v>
      </c>
    </row>
    <row r="422" spans="1:20">
      <c r="A422" s="9">
        <v>10406</v>
      </c>
      <c r="B422" s="6">
        <v>1</v>
      </c>
      <c r="C422" s="6">
        <v>14.4</v>
      </c>
      <c r="D422" s="6">
        <v>10</v>
      </c>
      <c r="E422" s="18">
        <v>0</v>
      </c>
      <c r="F422" s="6" t="str">
        <f>IFERROR(VLOOKUP(VLOOKUP(A422,'Sales Order'!A:B,2,FALSE),Customer!A:C,3,FALSE),"Not Specified")</f>
        <v>Misiec, Anna</v>
      </c>
      <c r="G422" s="6" t="str">
        <f t="shared" si="12"/>
        <v>Misiec Anna</v>
      </c>
      <c r="H422" s="22" t="str">
        <f>IFERROR(VLOOKUP(VLOOKUP(A422,'Sales Order'!A:C,3,FALSE),Employee!A:E,5,FALSE)&amp;" "&amp;VLOOKUP(VLOOKUP(A422,'Sales Order'!A:C,3,FALSE),Employee!A:C,3,FALSE)&amp;" "&amp;VLOOKUP(VLOOKUP(A422,'Sales Order'!A:C,3,FALSE),Employee!A:B,2,FALSE),"Not Specified")</f>
        <v>Mr. Russell King</v>
      </c>
      <c r="I422">
        <f>IFERROR(VLOOKUP(VLOOKUP(A422,'Sales Order'!A:C,3,FALSE),Employee!A:J,10,FALSE),"Not Specified")</f>
        <v>0</v>
      </c>
      <c r="J422" t="str">
        <f>VLOOKUP(B422,Product!A:B,2,FALSE)</f>
        <v>Product HHYDP</v>
      </c>
      <c r="K422" t="str">
        <f>VLOOKUP(VLOOKUP(B422,Product!A:D,4,FALSE),Category!A:B,2,FALSE)</f>
        <v>Beverages</v>
      </c>
      <c r="L422" s="24">
        <f>IFERROR(VLOOKUP(A422,'Sales Order'!A:D,4,FALSE),"")</f>
        <v>39089</v>
      </c>
      <c r="M422" s="24">
        <f>IFERROR(VLOOKUP(A422,'Sales Order'!A:F,6,FALSE),"")</f>
        <v>39095</v>
      </c>
      <c r="N422" t="str">
        <f>IFERROR(VLOOKUP(VLOOKUP(A422,'Sales Order'!A:G,7,FALSE),Shipper!A:B,2,FALSE),"Not Specified")</f>
        <v>Shipper GVSUA</v>
      </c>
      <c r="O422" t="str">
        <f>IFERROR(VLOOKUP(A422,'Sales Order'!A:I,9,FALSE),"Not Specified")</f>
        <v>Ship to 62-A</v>
      </c>
      <c r="P422" t="str">
        <f>IFERROR(VLOOKUP(A422,'Sales Order'!A:N,14,FALSE),"Not Specified")</f>
        <v>Brazil</v>
      </c>
      <c r="Q422" t="str">
        <f>VLOOKUP(VLOOKUP(B422,Product!A:C,3,FALSE),Supplier!A:B,2,FALSE)</f>
        <v>Supplier SWRXU</v>
      </c>
      <c r="R422" t="str">
        <f>VLOOKUP(VLOOKUP(B422,Product!A:C,3,FALSE),Supplier!A:I,9,FALSE)</f>
        <v>UK</v>
      </c>
      <c r="S422" t="str">
        <f>IFERROR(IF(VLOOKUP(A422,'Sales Order'!A:H,8,FALSE)&gt;100,"High Freight","Low Freight"),"Not Specified")</f>
        <v>High Freight</v>
      </c>
      <c r="T422">
        <f t="shared" si="13"/>
        <v>144</v>
      </c>
    </row>
    <row r="423" spans="1:20">
      <c r="A423" s="9">
        <v>10406</v>
      </c>
      <c r="B423" s="6">
        <v>21</v>
      </c>
      <c r="C423" s="6">
        <v>8</v>
      </c>
      <c r="D423" s="6">
        <v>30</v>
      </c>
      <c r="E423" s="18">
        <v>0.1</v>
      </c>
      <c r="F423" s="6" t="str">
        <f>IFERROR(VLOOKUP(VLOOKUP(A423,'Sales Order'!A:B,2,FALSE),Customer!A:C,3,FALSE),"Not Specified")</f>
        <v>Misiec, Anna</v>
      </c>
      <c r="G423" s="6" t="str">
        <f t="shared" si="12"/>
        <v>Misiec Anna</v>
      </c>
      <c r="H423" s="22" t="str">
        <f>IFERROR(VLOOKUP(VLOOKUP(A423,'Sales Order'!A:C,3,FALSE),Employee!A:E,5,FALSE)&amp;" "&amp;VLOOKUP(VLOOKUP(A423,'Sales Order'!A:C,3,FALSE),Employee!A:C,3,FALSE)&amp;" "&amp;VLOOKUP(VLOOKUP(A423,'Sales Order'!A:C,3,FALSE),Employee!A:B,2,FALSE),"Not Specified")</f>
        <v>Mr. Russell King</v>
      </c>
      <c r="I423">
        <f>IFERROR(VLOOKUP(VLOOKUP(A423,'Sales Order'!A:C,3,FALSE),Employee!A:J,10,FALSE),"Not Specified")</f>
        <v>0</v>
      </c>
      <c r="J423" t="str">
        <f>VLOOKUP(B423,Product!A:B,2,FALSE)</f>
        <v>Product VJZZH</v>
      </c>
      <c r="K423" t="str">
        <f>VLOOKUP(VLOOKUP(B423,Product!A:D,4,FALSE),Category!A:B,2,FALSE)</f>
        <v>Confections</v>
      </c>
      <c r="L423" s="24">
        <f>IFERROR(VLOOKUP(A423,'Sales Order'!A:D,4,FALSE),"")</f>
        <v>39089</v>
      </c>
      <c r="M423" s="24">
        <f>IFERROR(VLOOKUP(A423,'Sales Order'!A:F,6,FALSE),"")</f>
        <v>39095</v>
      </c>
      <c r="N423" t="str">
        <f>IFERROR(VLOOKUP(VLOOKUP(A423,'Sales Order'!A:G,7,FALSE),Shipper!A:B,2,FALSE),"Not Specified")</f>
        <v>Shipper GVSUA</v>
      </c>
      <c r="O423" t="str">
        <f>IFERROR(VLOOKUP(A423,'Sales Order'!A:I,9,FALSE),"Not Specified")</f>
        <v>Ship to 62-A</v>
      </c>
      <c r="P423" t="str">
        <f>IFERROR(VLOOKUP(A423,'Sales Order'!A:N,14,FALSE),"Not Specified")</f>
        <v>Brazil</v>
      </c>
      <c r="Q423" t="str">
        <f>VLOOKUP(VLOOKUP(B423,Product!A:C,3,FALSE),Supplier!A:B,2,FALSE)</f>
        <v>Supplier BWGYE</v>
      </c>
      <c r="R423" t="str">
        <f>VLOOKUP(VLOOKUP(B423,Product!A:C,3,FALSE),Supplier!A:I,9,FALSE)</f>
        <v>UK</v>
      </c>
      <c r="S423" t="str">
        <f>IFERROR(IF(VLOOKUP(A423,'Sales Order'!A:H,8,FALSE)&gt;100,"High Freight","Low Freight"),"Not Specified")</f>
        <v>High Freight</v>
      </c>
      <c r="T423">
        <f t="shared" si="13"/>
        <v>216</v>
      </c>
    </row>
    <row r="424" spans="1:20">
      <c r="A424" s="9">
        <v>10406</v>
      </c>
      <c r="B424" s="6">
        <v>28</v>
      </c>
      <c r="C424" s="6">
        <v>36.4</v>
      </c>
      <c r="D424" s="6">
        <v>42</v>
      </c>
      <c r="E424" s="18">
        <v>0.1</v>
      </c>
      <c r="F424" s="6" t="str">
        <f>IFERROR(VLOOKUP(VLOOKUP(A424,'Sales Order'!A:B,2,FALSE),Customer!A:C,3,FALSE),"Not Specified")</f>
        <v>Misiec, Anna</v>
      </c>
      <c r="G424" s="6" t="str">
        <f t="shared" si="12"/>
        <v>Misiec Anna</v>
      </c>
      <c r="H424" s="22" t="str">
        <f>IFERROR(VLOOKUP(VLOOKUP(A424,'Sales Order'!A:C,3,FALSE),Employee!A:E,5,FALSE)&amp;" "&amp;VLOOKUP(VLOOKUP(A424,'Sales Order'!A:C,3,FALSE),Employee!A:C,3,FALSE)&amp;" "&amp;VLOOKUP(VLOOKUP(A424,'Sales Order'!A:C,3,FALSE),Employee!A:B,2,FALSE),"Not Specified")</f>
        <v>Mr. Russell King</v>
      </c>
      <c r="I424">
        <f>IFERROR(VLOOKUP(VLOOKUP(A424,'Sales Order'!A:C,3,FALSE),Employee!A:J,10,FALSE),"Not Specified")</f>
        <v>0</v>
      </c>
      <c r="J424" t="str">
        <f>VLOOKUP(B424,Product!A:B,2,FALSE)</f>
        <v>Product OFBNT</v>
      </c>
      <c r="K424" t="str">
        <f>VLOOKUP(VLOOKUP(B424,Product!A:D,4,FALSE),Category!A:B,2,FALSE)</f>
        <v>Produce</v>
      </c>
      <c r="L424" s="24">
        <f>IFERROR(VLOOKUP(A424,'Sales Order'!A:D,4,FALSE),"")</f>
        <v>39089</v>
      </c>
      <c r="M424" s="24">
        <f>IFERROR(VLOOKUP(A424,'Sales Order'!A:F,6,FALSE),"")</f>
        <v>39095</v>
      </c>
      <c r="N424" t="str">
        <f>IFERROR(VLOOKUP(VLOOKUP(A424,'Sales Order'!A:G,7,FALSE),Shipper!A:B,2,FALSE),"Not Specified")</f>
        <v>Shipper GVSUA</v>
      </c>
      <c r="O424" t="str">
        <f>IFERROR(VLOOKUP(A424,'Sales Order'!A:I,9,FALSE),"Not Specified")</f>
        <v>Ship to 62-A</v>
      </c>
      <c r="P424" t="str">
        <f>IFERROR(VLOOKUP(A424,'Sales Order'!A:N,14,FALSE),"Not Specified")</f>
        <v>Brazil</v>
      </c>
      <c r="Q424" t="str">
        <f>VLOOKUP(VLOOKUP(B424,Product!A:C,3,FALSE),Supplier!A:B,2,FALSE)</f>
        <v>Supplier SVIYA</v>
      </c>
      <c r="R424" t="str">
        <f>VLOOKUP(VLOOKUP(B424,Product!A:C,3,FALSE),Supplier!A:I,9,FALSE)</f>
        <v>Germany</v>
      </c>
      <c r="S424" t="str">
        <f>IFERROR(IF(VLOOKUP(A424,'Sales Order'!A:H,8,FALSE)&gt;100,"High Freight","Low Freight"),"Not Specified")</f>
        <v>High Freight</v>
      </c>
      <c r="T424">
        <f t="shared" si="13"/>
        <v>1375.92</v>
      </c>
    </row>
    <row r="425" spans="1:20">
      <c r="A425" s="9">
        <v>10406</v>
      </c>
      <c r="B425" s="6">
        <v>36</v>
      </c>
      <c r="C425" s="6">
        <v>15.2</v>
      </c>
      <c r="D425" s="6">
        <v>5</v>
      </c>
      <c r="E425" s="18">
        <v>0.1</v>
      </c>
      <c r="F425" s="6" t="str">
        <f>IFERROR(VLOOKUP(VLOOKUP(A425,'Sales Order'!A:B,2,FALSE),Customer!A:C,3,FALSE),"Not Specified")</f>
        <v>Misiec, Anna</v>
      </c>
      <c r="G425" s="6" t="str">
        <f t="shared" si="12"/>
        <v>Misiec Anna</v>
      </c>
      <c r="H425" s="22" t="str">
        <f>IFERROR(VLOOKUP(VLOOKUP(A425,'Sales Order'!A:C,3,FALSE),Employee!A:E,5,FALSE)&amp;" "&amp;VLOOKUP(VLOOKUP(A425,'Sales Order'!A:C,3,FALSE),Employee!A:C,3,FALSE)&amp;" "&amp;VLOOKUP(VLOOKUP(A425,'Sales Order'!A:C,3,FALSE),Employee!A:B,2,FALSE),"Not Specified")</f>
        <v>Mr. Russell King</v>
      </c>
      <c r="I425">
        <f>IFERROR(VLOOKUP(VLOOKUP(A425,'Sales Order'!A:C,3,FALSE),Employee!A:J,10,FALSE),"Not Specified")</f>
        <v>0</v>
      </c>
      <c r="J425" t="str">
        <f>VLOOKUP(B425,Product!A:B,2,FALSE)</f>
        <v>Product GMKIJ</v>
      </c>
      <c r="K425" t="str">
        <f>VLOOKUP(VLOOKUP(B425,Product!A:D,4,FALSE),Category!A:B,2,FALSE)</f>
        <v>Seafood</v>
      </c>
      <c r="L425" s="24">
        <f>IFERROR(VLOOKUP(A425,'Sales Order'!A:D,4,FALSE),"")</f>
        <v>39089</v>
      </c>
      <c r="M425" s="24">
        <f>IFERROR(VLOOKUP(A425,'Sales Order'!A:F,6,FALSE),"")</f>
        <v>39095</v>
      </c>
      <c r="N425" t="str">
        <f>IFERROR(VLOOKUP(VLOOKUP(A425,'Sales Order'!A:G,7,FALSE),Shipper!A:B,2,FALSE),"Not Specified")</f>
        <v>Shipper GVSUA</v>
      </c>
      <c r="O425" t="str">
        <f>IFERROR(VLOOKUP(A425,'Sales Order'!A:I,9,FALSE),"Not Specified")</f>
        <v>Ship to 62-A</v>
      </c>
      <c r="P425" t="str">
        <f>IFERROR(VLOOKUP(A425,'Sales Order'!A:N,14,FALSE),"Not Specified")</f>
        <v>Brazil</v>
      </c>
      <c r="Q425" t="str">
        <f>VLOOKUP(VLOOKUP(B425,Product!A:C,3,FALSE),Supplier!A:B,2,FALSE)</f>
        <v>Supplier QZGUF</v>
      </c>
      <c r="R425" t="str">
        <f>VLOOKUP(VLOOKUP(B425,Product!A:C,3,FALSE),Supplier!A:I,9,FALSE)</f>
        <v>Sweden</v>
      </c>
      <c r="S425" t="str">
        <f>IFERROR(IF(VLOOKUP(A425,'Sales Order'!A:H,8,FALSE)&gt;100,"High Freight","Low Freight"),"Not Specified")</f>
        <v>High Freight</v>
      </c>
      <c r="T425">
        <f t="shared" si="13"/>
        <v>68.400000000000006</v>
      </c>
    </row>
    <row r="426" spans="1:20">
      <c r="A426" s="9">
        <v>10406</v>
      </c>
      <c r="B426" s="6">
        <v>40</v>
      </c>
      <c r="C426" s="6">
        <v>14.7</v>
      </c>
      <c r="D426" s="6">
        <v>2</v>
      </c>
      <c r="E426" s="18">
        <v>0.1</v>
      </c>
      <c r="F426" s="6" t="str">
        <f>IFERROR(VLOOKUP(VLOOKUP(A426,'Sales Order'!A:B,2,FALSE),Customer!A:C,3,FALSE),"Not Specified")</f>
        <v>Misiec, Anna</v>
      </c>
      <c r="G426" s="6" t="str">
        <f t="shared" si="12"/>
        <v>Misiec Anna</v>
      </c>
      <c r="H426" s="22" t="str">
        <f>IFERROR(VLOOKUP(VLOOKUP(A426,'Sales Order'!A:C,3,FALSE),Employee!A:E,5,FALSE)&amp;" "&amp;VLOOKUP(VLOOKUP(A426,'Sales Order'!A:C,3,FALSE),Employee!A:C,3,FALSE)&amp;" "&amp;VLOOKUP(VLOOKUP(A426,'Sales Order'!A:C,3,FALSE),Employee!A:B,2,FALSE),"Not Specified")</f>
        <v>Mr. Russell King</v>
      </c>
      <c r="I426">
        <f>IFERROR(VLOOKUP(VLOOKUP(A426,'Sales Order'!A:C,3,FALSE),Employee!A:J,10,FALSE),"Not Specified")</f>
        <v>0</v>
      </c>
      <c r="J426" t="str">
        <f>VLOOKUP(B426,Product!A:B,2,FALSE)</f>
        <v>Product YZIXQ</v>
      </c>
      <c r="K426" t="str">
        <f>VLOOKUP(VLOOKUP(B426,Product!A:D,4,FALSE),Category!A:B,2,FALSE)</f>
        <v>Seafood</v>
      </c>
      <c r="L426" s="24">
        <f>IFERROR(VLOOKUP(A426,'Sales Order'!A:D,4,FALSE),"")</f>
        <v>39089</v>
      </c>
      <c r="M426" s="24">
        <f>IFERROR(VLOOKUP(A426,'Sales Order'!A:F,6,FALSE),"")</f>
        <v>39095</v>
      </c>
      <c r="N426" t="str">
        <f>IFERROR(VLOOKUP(VLOOKUP(A426,'Sales Order'!A:G,7,FALSE),Shipper!A:B,2,FALSE),"Not Specified")</f>
        <v>Shipper GVSUA</v>
      </c>
      <c r="O426" t="str">
        <f>IFERROR(VLOOKUP(A426,'Sales Order'!A:I,9,FALSE),"Not Specified")</f>
        <v>Ship to 62-A</v>
      </c>
      <c r="P426" t="str">
        <f>IFERROR(VLOOKUP(A426,'Sales Order'!A:N,14,FALSE),"Not Specified")</f>
        <v>Brazil</v>
      </c>
      <c r="Q426" t="str">
        <f>VLOOKUP(VLOOKUP(B426,Product!A:C,3,FALSE),Supplier!A:B,2,FALSE)</f>
        <v>Supplier JDNUG</v>
      </c>
      <c r="R426" t="str">
        <f>VLOOKUP(VLOOKUP(B426,Product!A:C,3,FALSE),Supplier!A:I,9,FALSE)</f>
        <v>USA</v>
      </c>
      <c r="S426" t="str">
        <f>IFERROR(IF(VLOOKUP(A426,'Sales Order'!A:H,8,FALSE)&gt;100,"High Freight","Low Freight"),"Not Specified")</f>
        <v>High Freight</v>
      </c>
      <c r="T426">
        <f t="shared" si="13"/>
        <v>26.46</v>
      </c>
    </row>
    <row r="427" spans="1:20">
      <c r="A427" s="9">
        <v>10407</v>
      </c>
      <c r="B427" s="6">
        <v>11</v>
      </c>
      <c r="C427" s="6">
        <v>16.8</v>
      </c>
      <c r="D427" s="6">
        <v>30</v>
      </c>
      <c r="E427" s="18">
        <v>0</v>
      </c>
      <c r="F427" s="6" t="str">
        <f>IFERROR(VLOOKUP(VLOOKUP(A427,'Sales Order'!A:B,2,FALSE),Customer!A:C,3,FALSE),"Not Specified")</f>
        <v>Marinova, Nadejda</v>
      </c>
      <c r="G427" s="6" t="str">
        <f t="shared" si="12"/>
        <v>Marinova Nadejda</v>
      </c>
      <c r="H427" s="22" t="str">
        <f>IFERROR(VLOOKUP(VLOOKUP(A427,'Sales Order'!A:C,3,FALSE),Employee!A:E,5,FALSE)&amp;" "&amp;VLOOKUP(VLOOKUP(A427,'Sales Order'!A:C,3,FALSE),Employee!A:C,3,FALSE)&amp;" "&amp;VLOOKUP(VLOOKUP(A427,'Sales Order'!A:C,3,FALSE),Employee!A:B,2,FALSE),"Not Specified")</f>
        <v>Dr. Don Funk</v>
      </c>
      <c r="I427" t="str">
        <f>IFERROR(VLOOKUP(VLOOKUP(A427,'Sales Order'!A:C,3,FALSE),Employee!A:J,10,FALSE),"Not Specified")</f>
        <v>WA</v>
      </c>
      <c r="J427" t="str">
        <f>VLOOKUP(B427,Product!A:B,2,FALSE)</f>
        <v>Product QMVUN</v>
      </c>
      <c r="K427" t="str">
        <f>VLOOKUP(VLOOKUP(B427,Product!A:D,4,FALSE),Category!A:B,2,FALSE)</f>
        <v>Dairy Product</v>
      </c>
      <c r="L427" s="24">
        <f>IFERROR(VLOOKUP(A427,'Sales Order'!A:D,4,FALSE),"")</f>
        <v>39089</v>
      </c>
      <c r="M427" s="24">
        <f>IFERROR(VLOOKUP(A427,'Sales Order'!A:F,6,FALSE),"")</f>
        <v>39112</v>
      </c>
      <c r="N427" t="str">
        <f>IFERROR(VLOOKUP(VLOOKUP(A427,'Sales Order'!A:G,7,FALSE),Shipper!A:B,2,FALSE),"Not Specified")</f>
        <v>Shipper ETYNR</v>
      </c>
      <c r="O427" t="str">
        <f>IFERROR(VLOOKUP(A427,'Sales Order'!A:I,9,FALSE),"Not Specified")</f>
        <v>Ship to 56-B</v>
      </c>
      <c r="P427" t="str">
        <f>IFERROR(VLOOKUP(A427,'Sales Order'!A:N,14,FALSE),"Not Specified")</f>
        <v>Germany</v>
      </c>
      <c r="Q427" t="str">
        <f>VLOOKUP(VLOOKUP(B427,Product!A:C,3,FALSE),Supplier!A:B,2,FALSE)</f>
        <v>Supplier EQPNC</v>
      </c>
      <c r="R427" t="str">
        <f>VLOOKUP(VLOOKUP(B427,Product!A:C,3,FALSE),Supplier!A:I,9,FALSE)</f>
        <v>Spain</v>
      </c>
      <c r="S427" t="str">
        <f>IFERROR(IF(VLOOKUP(A427,'Sales Order'!A:H,8,FALSE)&gt;100,"High Freight","Low Freight"),"Not Specified")</f>
        <v>Low Freight</v>
      </c>
      <c r="T427">
        <f t="shared" si="13"/>
        <v>504</v>
      </c>
    </row>
    <row r="428" spans="1:20">
      <c r="A428" s="9">
        <v>10407</v>
      </c>
      <c r="B428" s="6">
        <v>69</v>
      </c>
      <c r="C428" s="6">
        <v>28.8</v>
      </c>
      <c r="D428" s="6">
        <v>15</v>
      </c>
      <c r="E428" s="18">
        <v>0</v>
      </c>
      <c r="F428" s="6" t="str">
        <f>IFERROR(VLOOKUP(VLOOKUP(A428,'Sales Order'!A:B,2,FALSE),Customer!A:C,3,FALSE),"Not Specified")</f>
        <v>Marinova, Nadejda</v>
      </c>
      <c r="G428" s="6" t="str">
        <f t="shared" si="12"/>
        <v>Marinova Nadejda</v>
      </c>
      <c r="H428" s="22" t="str">
        <f>IFERROR(VLOOKUP(VLOOKUP(A428,'Sales Order'!A:C,3,FALSE),Employee!A:E,5,FALSE)&amp;" "&amp;VLOOKUP(VLOOKUP(A428,'Sales Order'!A:C,3,FALSE),Employee!A:C,3,FALSE)&amp;" "&amp;VLOOKUP(VLOOKUP(A428,'Sales Order'!A:C,3,FALSE),Employee!A:B,2,FALSE),"Not Specified")</f>
        <v>Dr. Don Funk</v>
      </c>
      <c r="I428" t="str">
        <f>IFERROR(VLOOKUP(VLOOKUP(A428,'Sales Order'!A:C,3,FALSE),Employee!A:J,10,FALSE),"Not Specified")</f>
        <v>WA</v>
      </c>
      <c r="J428" t="str">
        <f>VLOOKUP(B428,Product!A:B,2,FALSE)</f>
        <v>Product COAXA</v>
      </c>
      <c r="K428" t="str">
        <f>VLOOKUP(VLOOKUP(B428,Product!A:D,4,FALSE),Category!A:B,2,FALSE)</f>
        <v>Dairy Product</v>
      </c>
      <c r="L428" s="24">
        <f>IFERROR(VLOOKUP(A428,'Sales Order'!A:D,4,FALSE),"")</f>
        <v>39089</v>
      </c>
      <c r="M428" s="24">
        <f>IFERROR(VLOOKUP(A428,'Sales Order'!A:F,6,FALSE),"")</f>
        <v>39112</v>
      </c>
      <c r="N428" t="str">
        <f>IFERROR(VLOOKUP(VLOOKUP(A428,'Sales Order'!A:G,7,FALSE),Shipper!A:B,2,FALSE),"Not Specified")</f>
        <v>Shipper ETYNR</v>
      </c>
      <c r="O428" t="str">
        <f>IFERROR(VLOOKUP(A428,'Sales Order'!A:I,9,FALSE),"Not Specified")</f>
        <v>Ship to 56-B</v>
      </c>
      <c r="P428" t="str">
        <f>IFERROR(VLOOKUP(A428,'Sales Order'!A:N,14,FALSE),"Not Specified")</f>
        <v>Germany</v>
      </c>
      <c r="Q428" t="str">
        <f>VLOOKUP(VLOOKUP(B428,Product!A:C,3,FALSE),Supplier!A:B,2,FALSE)</f>
        <v>Supplier NZLIF</v>
      </c>
      <c r="R428" t="str">
        <f>VLOOKUP(VLOOKUP(B428,Product!A:C,3,FALSE),Supplier!A:I,9,FALSE)</f>
        <v>Norway</v>
      </c>
      <c r="S428" t="str">
        <f>IFERROR(IF(VLOOKUP(A428,'Sales Order'!A:H,8,FALSE)&gt;100,"High Freight","Low Freight"),"Not Specified")</f>
        <v>Low Freight</v>
      </c>
      <c r="T428">
        <f t="shared" si="13"/>
        <v>432</v>
      </c>
    </row>
    <row r="429" spans="1:20">
      <c r="A429" s="9">
        <v>10407</v>
      </c>
      <c r="B429" s="6">
        <v>71</v>
      </c>
      <c r="C429" s="6">
        <v>17.2</v>
      </c>
      <c r="D429" s="6">
        <v>15</v>
      </c>
      <c r="E429" s="18">
        <v>0</v>
      </c>
      <c r="F429" s="6" t="str">
        <f>IFERROR(VLOOKUP(VLOOKUP(A429,'Sales Order'!A:B,2,FALSE),Customer!A:C,3,FALSE),"Not Specified")</f>
        <v>Marinova, Nadejda</v>
      </c>
      <c r="G429" s="6" t="str">
        <f t="shared" si="12"/>
        <v>Marinova Nadejda</v>
      </c>
      <c r="H429" s="22" t="str">
        <f>IFERROR(VLOOKUP(VLOOKUP(A429,'Sales Order'!A:C,3,FALSE),Employee!A:E,5,FALSE)&amp;" "&amp;VLOOKUP(VLOOKUP(A429,'Sales Order'!A:C,3,FALSE),Employee!A:C,3,FALSE)&amp;" "&amp;VLOOKUP(VLOOKUP(A429,'Sales Order'!A:C,3,FALSE),Employee!A:B,2,FALSE),"Not Specified")</f>
        <v>Dr. Don Funk</v>
      </c>
      <c r="I429" t="str">
        <f>IFERROR(VLOOKUP(VLOOKUP(A429,'Sales Order'!A:C,3,FALSE),Employee!A:J,10,FALSE),"Not Specified")</f>
        <v>WA</v>
      </c>
      <c r="J429" t="str">
        <f>VLOOKUP(B429,Product!A:B,2,FALSE)</f>
        <v>Product MYMOI</v>
      </c>
      <c r="K429" t="str">
        <f>VLOOKUP(VLOOKUP(B429,Product!A:D,4,FALSE),Category!A:B,2,FALSE)</f>
        <v>Dairy Product</v>
      </c>
      <c r="L429" s="24">
        <f>IFERROR(VLOOKUP(A429,'Sales Order'!A:D,4,FALSE),"")</f>
        <v>39089</v>
      </c>
      <c r="M429" s="24">
        <f>IFERROR(VLOOKUP(A429,'Sales Order'!A:F,6,FALSE),"")</f>
        <v>39112</v>
      </c>
      <c r="N429" t="str">
        <f>IFERROR(VLOOKUP(VLOOKUP(A429,'Sales Order'!A:G,7,FALSE),Shipper!A:B,2,FALSE),"Not Specified")</f>
        <v>Shipper ETYNR</v>
      </c>
      <c r="O429" t="str">
        <f>IFERROR(VLOOKUP(A429,'Sales Order'!A:I,9,FALSE),"Not Specified")</f>
        <v>Ship to 56-B</v>
      </c>
      <c r="P429" t="str">
        <f>IFERROR(VLOOKUP(A429,'Sales Order'!A:N,14,FALSE),"Not Specified")</f>
        <v>Germany</v>
      </c>
      <c r="Q429" t="str">
        <f>VLOOKUP(VLOOKUP(B429,Product!A:C,3,FALSE),Supplier!A:B,2,FALSE)</f>
        <v>Supplier NZLIF</v>
      </c>
      <c r="R429" t="str">
        <f>VLOOKUP(VLOOKUP(B429,Product!A:C,3,FALSE),Supplier!A:I,9,FALSE)</f>
        <v>Norway</v>
      </c>
      <c r="S429" t="str">
        <f>IFERROR(IF(VLOOKUP(A429,'Sales Order'!A:H,8,FALSE)&gt;100,"High Freight","Low Freight"),"Not Specified")</f>
        <v>Low Freight</v>
      </c>
      <c r="T429">
        <f t="shared" si="13"/>
        <v>258</v>
      </c>
    </row>
    <row r="430" spans="1:20">
      <c r="A430" s="9">
        <v>10408</v>
      </c>
      <c r="B430" s="6">
        <v>37</v>
      </c>
      <c r="C430" s="6">
        <v>20.8</v>
      </c>
      <c r="D430" s="6">
        <v>10</v>
      </c>
      <c r="E430" s="18">
        <v>0</v>
      </c>
      <c r="F430" s="6" t="str">
        <f>IFERROR(VLOOKUP(VLOOKUP(A430,'Sales Order'!A:B,2,FALSE),Customer!A:C,3,FALSE),"Not Specified")</f>
        <v>Khanna, Karan</v>
      </c>
      <c r="G430" s="6" t="str">
        <f t="shared" si="12"/>
        <v>Khanna Karan</v>
      </c>
      <c r="H430" s="22" t="str">
        <f>IFERROR(VLOOKUP(VLOOKUP(A430,'Sales Order'!A:C,3,FALSE),Employee!A:E,5,FALSE)&amp;" "&amp;VLOOKUP(VLOOKUP(A430,'Sales Order'!A:C,3,FALSE),Employee!A:C,3,FALSE)&amp;" "&amp;VLOOKUP(VLOOKUP(A430,'Sales Order'!A:C,3,FALSE),Employee!A:B,2,FALSE),"Not Specified")</f>
        <v>Ms. Maria Cameron</v>
      </c>
      <c r="I430" t="str">
        <f>IFERROR(VLOOKUP(VLOOKUP(A430,'Sales Order'!A:C,3,FALSE),Employee!A:J,10,FALSE),"Not Specified")</f>
        <v>WA</v>
      </c>
      <c r="J430" t="str">
        <f>VLOOKUP(B430,Product!A:B,2,FALSE)</f>
        <v>Product EVFFA</v>
      </c>
      <c r="K430" t="str">
        <f>VLOOKUP(VLOOKUP(B430,Product!A:D,4,FALSE),Category!A:B,2,FALSE)</f>
        <v>Seafood</v>
      </c>
      <c r="L430" s="24">
        <f>IFERROR(VLOOKUP(A430,'Sales Order'!A:D,4,FALSE),"")</f>
        <v>39090</v>
      </c>
      <c r="M430" s="24">
        <f>IFERROR(VLOOKUP(A430,'Sales Order'!A:F,6,FALSE),"")</f>
        <v>39096</v>
      </c>
      <c r="N430" t="str">
        <f>IFERROR(VLOOKUP(VLOOKUP(A430,'Sales Order'!A:G,7,FALSE),Shipper!A:B,2,FALSE),"Not Specified")</f>
        <v>Shipper GVSUA</v>
      </c>
      <c r="O430" t="str">
        <f>IFERROR(VLOOKUP(A430,'Sales Order'!A:I,9,FALSE),"Not Specified")</f>
        <v>Destination PXQRR</v>
      </c>
      <c r="P430" t="str">
        <f>IFERROR(VLOOKUP(A430,'Sales Order'!A:N,14,FALSE),"Not Specified")</f>
        <v>France</v>
      </c>
      <c r="Q430" t="str">
        <f>VLOOKUP(VLOOKUP(B430,Product!A:C,3,FALSE),Supplier!A:B,2,FALSE)</f>
        <v>Supplier QZGUF</v>
      </c>
      <c r="R430" t="str">
        <f>VLOOKUP(VLOOKUP(B430,Product!A:C,3,FALSE),Supplier!A:I,9,FALSE)</f>
        <v>Sweden</v>
      </c>
      <c r="S430" t="str">
        <f>IFERROR(IF(VLOOKUP(A430,'Sales Order'!A:H,8,FALSE)&gt;100,"High Freight","Low Freight"),"Not Specified")</f>
        <v>Low Freight</v>
      </c>
      <c r="T430">
        <f t="shared" si="13"/>
        <v>208</v>
      </c>
    </row>
    <row r="431" spans="1:20">
      <c r="A431" s="9">
        <v>10408</v>
      </c>
      <c r="B431" s="6">
        <v>54</v>
      </c>
      <c r="C431" s="6">
        <v>5.9</v>
      </c>
      <c r="D431" s="6">
        <v>6</v>
      </c>
      <c r="E431" s="18">
        <v>0</v>
      </c>
      <c r="F431" s="6" t="str">
        <f>IFERROR(VLOOKUP(VLOOKUP(A431,'Sales Order'!A:B,2,FALSE),Customer!A:C,3,FALSE),"Not Specified")</f>
        <v>Khanna, Karan</v>
      </c>
      <c r="G431" s="6" t="str">
        <f t="shared" si="12"/>
        <v>Khanna Karan</v>
      </c>
      <c r="H431" s="22" t="str">
        <f>IFERROR(VLOOKUP(VLOOKUP(A431,'Sales Order'!A:C,3,FALSE),Employee!A:E,5,FALSE)&amp;" "&amp;VLOOKUP(VLOOKUP(A431,'Sales Order'!A:C,3,FALSE),Employee!A:C,3,FALSE)&amp;" "&amp;VLOOKUP(VLOOKUP(A431,'Sales Order'!A:C,3,FALSE),Employee!A:B,2,FALSE),"Not Specified")</f>
        <v>Ms. Maria Cameron</v>
      </c>
      <c r="I431" t="str">
        <f>IFERROR(VLOOKUP(VLOOKUP(A431,'Sales Order'!A:C,3,FALSE),Employee!A:J,10,FALSE),"Not Specified")</f>
        <v>WA</v>
      </c>
      <c r="J431" t="str">
        <f>VLOOKUP(B431,Product!A:B,2,FALSE)</f>
        <v>Product QAQRL</v>
      </c>
      <c r="K431" t="str">
        <f>VLOOKUP(VLOOKUP(B431,Product!A:D,4,FALSE),Category!A:B,2,FALSE)</f>
        <v>Meat/Poultry</v>
      </c>
      <c r="L431" s="24">
        <f>IFERROR(VLOOKUP(A431,'Sales Order'!A:D,4,FALSE),"")</f>
        <v>39090</v>
      </c>
      <c r="M431" s="24">
        <f>IFERROR(VLOOKUP(A431,'Sales Order'!A:F,6,FALSE),"")</f>
        <v>39096</v>
      </c>
      <c r="N431" t="str">
        <f>IFERROR(VLOOKUP(VLOOKUP(A431,'Sales Order'!A:G,7,FALSE),Shipper!A:B,2,FALSE),"Not Specified")</f>
        <v>Shipper GVSUA</v>
      </c>
      <c r="O431" t="str">
        <f>IFERROR(VLOOKUP(A431,'Sales Order'!A:I,9,FALSE),"Not Specified")</f>
        <v>Destination PXQRR</v>
      </c>
      <c r="P431" t="str">
        <f>IFERROR(VLOOKUP(A431,'Sales Order'!A:N,14,FALSE),"Not Specified")</f>
        <v>France</v>
      </c>
      <c r="Q431" t="str">
        <f>VLOOKUP(VLOOKUP(B431,Product!A:C,3,FALSE),Supplier!A:B,2,FALSE)</f>
        <v>Supplier ERVYZ</v>
      </c>
      <c r="R431" t="str">
        <f>VLOOKUP(VLOOKUP(B431,Product!A:C,3,FALSE),Supplier!A:I,9,FALSE)</f>
        <v>Canada</v>
      </c>
      <c r="S431" t="str">
        <f>IFERROR(IF(VLOOKUP(A431,'Sales Order'!A:H,8,FALSE)&gt;100,"High Freight","Low Freight"),"Not Specified")</f>
        <v>Low Freight</v>
      </c>
      <c r="T431">
        <f t="shared" si="13"/>
        <v>35.400000000000006</v>
      </c>
    </row>
    <row r="432" spans="1:20">
      <c r="A432" s="9">
        <v>10408</v>
      </c>
      <c r="B432" s="6">
        <v>62</v>
      </c>
      <c r="C432" s="6">
        <v>39.4</v>
      </c>
      <c r="D432" s="6">
        <v>35</v>
      </c>
      <c r="E432" s="18">
        <v>0</v>
      </c>
      <c r="F432" s="6" t="str">
        <f>IFERROR(VLOOKUP(VLOOKUP(A432,'Sales Order'!A:B,2,FALSE),Customer!A:C,3,FALSE),"Not Specified")</f>
        <v>Khanna, Karan</v>
      </c>
      <c r="G432" s="6" t="str">
        <f t="shared" si="12"/>
        <v>Khanna Karan</v>
      </c>
      <c r="H432" s="22" t="str">
        <f>IFERROR(VLOOKUP(VLOOKUP(A432,'Sales Order'!A:C,3,FALSE),Employee!A:E,5,FALSE)&amp;" "&amp;VLOOKUP(VLOOKUP(A432,'Sales Order'!A:C,3,FALSE),Employee!A:C,3,FALSE)&amp;" "&amp;VLOOKUP(VLOOKUP(A432,'Sales Order'!A:C,3,FALSE),Employee!A:B,2,FALSE),"Not Specified")</f>
        <v>Ms. Maria Cameron</v>
      </c>
      <c r="I432" t="str">
        <f>IFERROR(VLOOKUP(VLOOKUP(A432,'Sales Order'!A:C,3,FALSE),Employee!A:J,10,FALSE),"Not Specified")</f>
        <v>WA</v>
      </c>
      <c r="J432" t="str">
        <f>VLOOKUP(B432,Product!A:B,2,FALSE)</f>
        <v>Product WUXYK</v>
      </c>
      <c r="K432" t="str">
        <f>VLOOKUP(VLOOKUP(B432,Product!A:D,4,FALSE),Category!A:B,2,FALSE)</f>
        <v>Confections</v>
      </c>
      <c r="L432" s="24">
        <f>IFERROR(VLOOKUP(A432,'Sales Order'!A:D,4,FALSE),"")</f>
        <v>39090</v>
      </c>
      <c r="M432" s="24">
        <f>IFERROR(VLOOKUP(A432,'Sales Order'!A:F,6,FALSE),"")</f>
        <v>39096</v>
      </c>
      <c r="N432" t="str">
        <f>IFERROR(VLOOKUP(VLOOKUP(A432,'Sales Order'!A:G,7,FALSE),Shipper!A:B,2,FALSE),"Not Specified")</f>
        <v>Shipper GVSUA</v>
      </c>
      <c r="O432" t="str">
        <f>IFERROR(VLOOKUP(A432,'Sales Order'!A:I,9,FALSE),"Not Specified")</f>
        <v>Destination PXQRR</v>
      </c>
      <c r="P432" t="str">
        <f>IFERROR(VLOOKUP(A432,'Sales Order'!A:N,14,FALSE),"Not Specified")</f>
        <v>France</v>
      </c>
      <c r="Q432" t="str">
        <f>VLOOKUP(VLOOKUP(B432,Product!A:C,3,FALSE),Supplier!A:B,2,FALSE)</f>
        <v>Supplier OGLRK</v>
      </c>
      <c r="R432" t="str">
        <f>VLOOKUP(VLOOKUP(B432,Product!A:C,3,FALSE),Supplier!A:I,9,FALSE)</f>
        <v>Canada</v>
      </c>
      <c r="S432" t="str">
        <f>IFERROR(IF(VLOOKUP(A432,'Sales Order'!A:H,8,FALSE)&gt;100,"High Freight","Low Freight"),"Not Specified")</f>
        <v>Low Freight</v>
      </c>
      <c r="T432">
        <f t="shared" si="13"/>
        <v>1379</v>
      </c>
    </row>
    <row r="433" spans="1:20">
      <c r="A433" s="9">
        <v>10409</v>
      </c>
      <c r="B433" s="6">
        <v>14</v>
      </c>
      <c r="C433" s="6">
        <v>18.600000000000001</v>
      </c>
      <c r="D433" s="6">
        <v>12</v>
      </c>
      <c r="E433" s="18">
        <v>0</v>
      </c>
      <c r="F433" s="6" t="str">
        <f>IFERROR(VLOOKUP(VLOOKUP(A433,'Sales Order'!A:B,2,FALSE),Customer!A:C,3,FALSE),"Not Specified")</f>
        <v>Tiano, Mike</v>
      </c>
      <c r="G433" s="6" t="str">
        <f t="shared" si="12"/>
        <v>Tiano Mike</v>
      </c>
      <c r="H433" s="22" t="str">
        <f>IFERROR(VLOOKUP(VLOOKUP(A433,'Sales Order'!A:C,3,FALSE),Employee!A:E,5,FALSE)&amp;" "&amp;VLOOKUP(VLOOKUP(A433,'Sales Order'!A:C,3,FALSE),Employee!A:C,3,FALSE)&amp;" "&amp;VLOOKUP(VLOOKUP(A433,'Sales Order'!A:C,3,FALSE),Employee!A:B,2,FALSE),"Not Specified")</f>
        <v>Ms. Judy Lew</v>
      </c>
      <c r="I433" t="str">
        <f>IFERROR(VLOOKUP(VLOOKUP(A433,'Sales Order'!A:C,3,FALSE),Employee!A:J,10,FALSE),"Not Specified")</f>
        <v>WA</v>
      </c>
      <c r="J433" t="str">
        <f>VLOOKUP(B433,Product!A:B,2,FALSE)</f>
        <v>Product PWCJB</v>
      </c>
      <c r="K433" t="str">
        <f>VLOOKUP(VLOOKUP(B433,Product!A:D,4,FALSE),Category!A:B,2,FALSE)</f>
        <v>Produce</v>
      </c>
      <c r="L433" s="24">
        <f>IFERROR(VLOOKUP(A433,'Sales Order'!A:D,4,FALSE),"")</f>
        <v>39091</v>
      </c>
      <c r="M433" s="24">
        <f>IFERROR(VLOOKUP(A433,'Sales Order'!A:F,6,FALSE),"")</f>
        <v>39096</v>
      </c>
      <c r="N433" t="str">
        <f>IFERROR(VLOOKUP(VLOOKUP(A433,'Sales Order'!A:G,7,FALSE),Shipper!A:B,2,FALSE),"Not Specified")</f>
        <v>Shipper GVSUA</v>
      </c>
      <c r="O433" t="str">
        <f>IFERROR(VLOOKUP(A433,'Sales Order'!A:I,9,FALSE),"Not Specified")</f>
        <v>Ship to 54-C</v>
      </c>
      <c r="P433" t="str">
        <f>IFERROR(VLOOKUP(A433,'Sales Order'!A:N,14,FALSE),"Not Specified")</f>
        <v>Argentina</v>
      </c>
      <c r="Q433" t="str">
        <f>VLOOKUP(VLOOKUP(B433,Product!A:C,3,FALSE),Supplier!A:B,2,FALSE)</f>
        <v>Supplier QWUSF</v>
      </c>
      <c r="R433" t="str">
        <f>VLOOKUP(VLOOKUP(B433,Product!A:C,3,FALSE),Supplier!A:I,9,FALSE)</f>
        <v>Japan</v>
      </c>
      <c r="S433" t="str">
        <f>IFERROR(IF(VLOOKUP(A433,'Sales Order'!A:H,8,FALSE)&gt;100,"High Freight","Low Freight"),"Not Specified")</f>
        <v>Low Freight</v>
      </c>
      <c r="T433">
        <f t="shared" si="13"/>
        <v>223.20000000000002</v>
      </c>
    </row>
    <row r="434" spans="1:20">
      <c r="A434" s="9">
        <v>10409</v>
      </c>
      <c r="B434" s="6">
        <v>21</v>
      </c>
      <c r="C434" s="6">
        <v>8</v>
      </c>
      <c r="D434" s="6">
        <v>12</v>
      </c>
      <c r="E434" s="18">
        <v>0</v>
      </c>
      <c r="F434" s="6" t="str">
        <f>IFERROR(VLOOKUP(VLOOKUP(A434,'Sales Order'!A:B,2,FALSE),Customer!A:C,3,FALSE),"Not Specified")</f>
        <v>Tiano, Mike</v>
      </c>
      <c r="G434" s="6" t="str">
        <f t="shared" si="12"/>
        <v>Tiano Mike</v>
      </c>
      <c r="H434" s="22" t="str">
        <f>IFERROR(VLOOKUP(VLOOKUP(A434,'Sales Order'!A:C,3,FALSE),Employee!A:E,5,FALSE)&amp;" "&amp;VLOOKUP(VLOOKUP(A434,'Sales Order'!A:C,3,FALSE),Employee!A:C,3,FALSE)&amp;" "&amp;VLOOKUP(VLOOKUP(A434,'Sales Order'!A:C,3,FALSE),Employee!A:B,2,FALSE),"Not Specified")</f>
        <v>Ms. Judy Lew</v>
      </c>
      <c r="I434" t="str">
        <f>IFERROR(VLOOKUP(VLOOKUP(A434,'Sales Order'!A:C,3,FALSE),Employee!A:J,10,FALSE),"Not Specified")</f>
        <v>WA</v>
      </c>
      <c r="J434" t="str">
        <f>VLOOKUP(B434,Product!A:B,2,FALSE)</f>
        <v>Product VJZZH</v>
      </c>
      <c r="K434" t="str">
        <f>VLOOKUP(VLOOKUP(B434,Product!A:D,4,FALSE),Category!A:B,2,FALSE)</f>
        <v>Confections</v>
      </c>
      <c r="L434" s="24">
        <f>IFERROR(VLOOKUP(A434,'Sales Order'!A:D,4,FALSE),"")</f>
        <v>39091</v>
      </c>
      <c r="M434" s="24">
        <f>IFERROR(VLOOKUP(A434,'Sales Order'!A:F,6,FALSE),"")</f>
        <v>39096</v>
      </c>
      <c r="N434" t="str">
        <f>IFERROR(VLOOKUP(VLOOKUP(A434,'Sales Order'!A:G,7,FALSE),Shipper!A:B,2,FALSE),"Not Specified")</f>
        <v>Shipper GVSUA</v>
      </c>
      <c r="O434" t="str">
        <f>IFERROR(VLOOKUP(A434,'Sales Order'!A:I,9,FALSE),"Not Specified")</f>
        <v>Ship to 54-C</v>
      </c>
      <c r="P434" t="str">
        <f>IFERROR(VLOOKUP(A434,'Sales Order'!A:N,14,FALSE),"Not Specified")</f>
        <v>Argentina</v>
      </c>
      <c r="Q434" t="str">
        <f>VLOOKUP(VLOOKUP(B434,Product!A:C,3,FALSE),Supplier!A:B,2,FALSE)</f>
        <v>Supplier BWGYE</v>
      </c>
      <c r="R434" t="str">
        <f>VLOOKUP(VLOOKUP(B434,Product!A:C,3,FALSE),Supplier!A:I,9,FALSE)</f>
        <v>UK</v>
      </c>
      <c r="S434" t="str">
        <f>IFERROR(IF(VLOOKUP(A434,'Sales Order'!A:H,8,FALSE)&gt;100,"High Freight","Low Freight"),"Not Specified")</f>
        <v>Low Freight</v>
      </c>
      <c r="T434">
        <f t="shared" si="13"/>
        <v>96</v>
      </c>
    </row>
    <row r="435" spans="1:20">
      <c r="A435" s="9">
        <v>10410</v>
      </c>
      <c r="B435" s="6">
        <v>33</v>
      </c>
      <c r="C435" s="6">
        <v>2</v>
      </c>
      <c r="D435" s="6">
        <v>49</v>
      </c>
      <c r="E435" s="18">
        <v>0</v>
      </c>
      <c r="F435" s="6" t="str">
        <f>IFERROR(VLOOKUP(VLOOKUP(A435,'Sales Order'!A:B,2,FALSE),Customer!A:C,3,FALSE),"Not Specified")</f>
        <v>Bassols, Pilar Colome</v>
      </c>
      <c r="G435" s="6" t="str">
        <f t="shared" si="12"/>
        <v>Bassols Pilar Colome</v>
      </c>
      <c r="H435" s="22" t="str">
        <f>IFERROR(VLOOKUP(VLOOKUP(A435,'Sales Order'!A:C,3,FALSE),Employee!A:E,5,FALSE)&amp;" "&amp;VLOOKUP(VLOOKUP(A435,'Sales Order'!A:C,3,FALSE),Employee!A:C,3,FALSE)&amp;" "&amp;VLOOKUP(VLOOKUP(A435,'Sales Order'!A:C,3,FALSE),Employee!A:B,2,FALSE),"Not Specified")</f>
        <v>Ms. Judy Lew</v>
      </c>
      <c r="I435" t="str">
        <f>IFERROR(VLOOKUP(VLOOKUP(A435,'Sales Order'!A:C,3,FALSE),Employee!A:J,10,FALSE),"Not Specified")</f>
        <v>WA</v>
      </c>
      <c r="J435" t="str">
        <f>VLOOKUP(B435,Product!A:B,2,FALSE)</f>
        <v>Product ASTMN</v>
      </c>
      <c r="K435" t="str">
        <f>VLOOKUP(VLOOKUP(B435,Product!A:D,4,FALSE),Category!A:B,2,FALSE)</f>
        <v>Dairy Product</v>
      </c>
      <c r="L435" s="24">
        <f>IFERROR(VLOOKUP(A435,'Sales Order'!A:D,4,FALSE),"")</f>
        <v>39092</v>
      </c>
      <c r="M435" s="24">
        <f>IFERROR(VLOOKUP(A435,'Sales Order'!A:F,6,FALSE),"")</f>
        <v>39097</v>
      </c>
      <c r="N435" t="str">
        <f>IFERROR(VLOOKUP(VLOOKUP(A435,'Sales Order'!A:G,7,FALSE),Shipper!A:B,2,FALSE),"Not Specified")</f>
        <v>Shipper ZHISN</v>
      </c>
      <c r="O435" t="str">
        <f>IFERROR(VLOOKUP(A435,'Sales Order'!A:I,9,FALSE),"Not Specified")</f>
        <v>Destination OLSSJ</v>
      </c>
      <c r="P435" t="str">
        <f>IFERROR(VLOOKUP(A435,'Sales Order'!A:N,14,FALSE),"Not Specified")</f>
        <v>Canada</v>
      </c>
      <c r="Q435" t="str">
        <f>VLOOKUP(VLOOKUP(B435,Product!A:C,3,FALSE),Supplier!A:B,2,FALSE)</f>
        <v>Supplier NZLIF</v>
      </c>
      <c r="R435" t="str">
        <f>VLOOKUP(VLOOKUP(B435,Product!A:C,3,FALSE),Supplier!A:I,9,FALSE)</f>
        <v>Norway</v>
      </c>
      <c r="S435" t="str">
        <f>IFERROR(IF(VLOOKUP(A435,'Sales Order'!A:H,8,FALSE)&gt;100,"High Freight","Low Freight"),"Not Specified")</f>
        <v>Low Freight</v>
      </c>
      <c r="T435">
        <f t="shared" si="13"/>
        <v>98</v>
      </c>
    </row>
    <row r="436" spans="1:20">
      <c r="A436" s="9">
        <v>10410</v>
      </c>
      <c r="B436" s="6">
        <v>59</v>
      </c>
      <c r="C436" s="6">
        <v>44</v>
      </c>
      <c r="D436" s="6">
        <v>16</v>
      </c>
      <c r="E436" s="18">
        <v>0</v>
      </c>
      <c r="F436" s="6" t="str">
        <f>IFERROR(VLOOKUP(VLOOKUP(A436,'Sales Order'!A:B,2,FALSE),Customer!A:C,3,FALSE),"Not Specified")</f>
        <v>Bassols, Pilar Colome</v>
      </c>
      <c r="G436" s="6" t="str">
        <f t="shared" si="12"/>
        <v>Bassols Pilar Colome</v>
      </c>
      <c r="H436" s="22" t="str">
        <f>IFERROR(VLOOKUP(VLOOKUP(A436,'Sales Order'!A:C,3,FALSE),Employee!A:E,5,FALSE)&amp;" "&amp;VLOOKUP(VLOOKUP(A436,'Sales Order'!A:C,3,FALSE),Employee!A:C,3,FALSE)&amp;" "&amp;VLOOKUP(VLOOKUP(A436,'Sales Order'!A:C,3,FALSE),Employee!A:B,2,FALSE),"Not Specified")</f>
        <v>Ms. Judy Lew</v>
      </c>
      <c r="I436" t="str">
        <f>IFERROR(VLOOKUP(VLOOKUP(A436,'Sales Order'!A:C,3,FALSE),Employee!A:J,10,FALSE),"Not Specified")</f>
        <v>WA</v>
      </c>
      <c r="J436" t="str">
        <f>VLOOKUP(B436,Product!A:B,2,FALSE)</f>
        <v>Product UKXRI</v>
      </c>
      <c r="K436" t="str">
        <f>VLOOKUP(VLOOKUP(B436,Product!A:D,4,FALSE),Category!A:B,2,FALSE)</f>
        <v>Dairy Product</v>
      </c>
      <c r="L436" s="24">
        <f>IFERROR(VLOOKUP(A436,'Sales Order'!A:D,4,FALSE),"")</f>
        <v>39092</v>
      </c>
      <c r="M436" s="24">
        <f>IFERROR(VLOOKUP(A436,'Sales Order'!A:F,6,FALSE),"")</f>
        <v>39097</v>
      </c>
      <c r="N436" t="str">
        <f>IFERROR(VLOOKUP(VLOOKUP(A436,'Sales Order'!A:G,7,FALSE),Shipper!A:B,2,FALSE),"Not Specified")</f>
        <v>Shipper ZHISN</v>
      </c>
      <c r="O436" t="str">
        <f>IFERROR(VLOOKUP(A436,'Sales Order'!A:I,9,FALSE),"Not Specified")</f>
        <v>Destination OLSSJ</v>
      </c>
      <c r="P436" t="str">
        <f>IFERROR(VLOOKUP(A436,'Sales Order'!A:N,14,FALSE),"Not Specified")</f>
        <v>Canada</v>
      </c>
      <c r="Q436" t="str">
        <f>VLOOKUP(VLOOKUP(B436,Product!A:C,3,FALSE),Supplier!A:B,2,FALSE)</f>
        <v>Supplier OAVQT</v>
      </c>
      <c r="R436" t="str">
        <f>VLOOKUP(VLOOKUP(B436,Product!A:C,3,FALSE),Supplier!A:I,9,FALSE)</f>
        <v>France</v>
      </c>
      <c r="S436" t="str">
        <f>IFERROR(IF(VLOOKUP(A436,'Sales Order'!A:H,8,FALSE)&gt;100,"High Freight","Low Freight"),"Not Specified")</f>
        <v>Low Freight</v>
      </c>
      <c r="T436">
        <f t="shared" si="13"/>
        <v>704</v>
      </c>
    </row>
    <row r="437" spans="1:20">
      <c r="A437" s="9">
        <v>10411</v>
      </c>
      <c r="B437" s="6">
        <v>41</v>
      </c>
      <c r="C437" s="6">
        <v>7.7</v>
      </c>
      <c r="D437" s="6">
        <v>25</v>
      </c>
      <c r="E437" s="18">
        <v>0.2</v>
      </c>
      <c r="F437" s="6" t="str">
        <f>IFERROR(VLOOKUP(VLOOKUP(A437,'Sales Order'!A:B,2,FALSE),Customer!A:C,3,FALSE),"Not Specified")</f>
        <v>Bassols, Pilar Colome</v>
      </c>
      <c r="G437" s="6" t="str">
        <f t="shared" si="12"/>
        <v>Bassols Pilar Colome</v>
      </c>
      <c r="H437" s="22" t="str">
        <f>IFERROR(VLOOKUP(VLOOKUP(A437,'Sales Order'!A:C,3,FALSE),Employee!A:E,5,FALSE)&amp;" "&amp;VLOOKUP(VLOOKUP(A437,'Sales Order'!A:C,3,FALSE),Employee!A:C,3,FALSE)&amp;" "&amp;VLOOKUP(VLOOKUP(A437,'Sales Order'!A:C,3,FALSE),Employee!A:B,2,FALSE),"Not Specified")</f>
        <v>Ms. Zoya Dolgopyatova</v>
      </c>
      <c r="I437">
        <f>IFERROR(VLOOKUP(VLOOKUP(A437,'Sales Order'!A:C,3,FALSE),Employee!A:J,10,FALSE),"Not Specified")</f>
        <v>0</v>
      </c>
      <c r="J437" t="str">
        <f>VLOOKUP(B437,Product!A:B,2,FALSE)</f>
        <v>Product TTEEX</v>
      </c>
      <c r="K437" t="str">
        <f>VLOOKUP(VLOOKUP(B437,Product!A:D,4,FALSE),Category!A:B,2,FALSE)</f>
        <v>Seafood</v>
      </c>
      <c r="L437" s="24">
        <f>IFERROR(VLOOKUP(A437,'Sales Order'!A:D,4,FALSE),"")</f>
        <v>39092</v>
      </c>
      <c r="M437" s="24">
        <f>IFERROR(VLOOKUP(A437,'Sales Order'!A:F,6,FALSE),"")</f>
        <v>39103</v>
      </c>
      <c r="N437" t="str">
        <f>IFERROR(VLOOKUP(VLOOKUP(A437,'Sales Order'!A:G,7,FALSE),Shipper!A:B,2,FALSE),"Not Specified")</f>
        <v>Shipper ZHISN</v>
      </c>
      <c r="O437" t="str">
        <f>IFERROR(VLOOKUP(A437,'Sales Order'!A:I,9,FALSE),"Not Specified")</f>
        <v>Destination XJIBQ</v>
      </c>
      <c r="P437" t="str">
        <f>IFERROR(VLOOKUP(A437,'Sales Order'!A:N,14,FALSE),"Not Specified")</f>
        <v>Canada</v>
      </c>
      <c r="Q437" t="str">
        <f>VLOOKUP(VLOOKUP(B437,Product!A:C,3,FALSE),Supplier!A:B,2,FALSE)</f>
        <v>Supplier JDNUG</v>
      </c>
      <c r="R437" t="str">
        <f>VLOOKUP(VLOOKUP(B437,Product!A:C,3,FALSE),Supplier!A:I,9,FALSE)</f>
        <v>USA</v>
      </c>
      <c r="S437" t="str">
        <f>IFERROR(IF(VLOOKUP(A437,'Sales Order'!A:H,8,FALSE)&gt;100,"High Freight","Low Freight"),"Not Specified")</f>
        <v>Low Freight</v>
      </c>
      <c r="T437">
        <f t="shared" si="13"/>
        <v>154</v>
      </c>
    </row>
    <row r="438" spans="1:20">
      <c r="A438" s="9">
        <v>10411</v>
      </c>
      <c r="B438" s="6">
        <v>44</v>
      </c>
      <c r="C438" s="6">
        <v>15.5</v>
      </c>
      <c r="D438" s="6">
        <v>40</v>
      </c>
      <c r="E438" s="18">
        <v>0.2</v>
      </c>
      <c r="F438" s="6" t="str">
        <f>IFERROR(VLOOKUP(VLOOKUP(A438,'Sales Order'!A:B,2,FALSE),Customer!A:C,3,FALSE),"Not Specified")</f>
        <v>Bassols, Pilar Colome</v>
      </c>
      <c r="G438" s="6" t="str">
        <f t="shared" si="12"/>
        <v>Bassols Pilar Colome</v>
      </c>
      <c r="H438" s="22" t="str">
        <f>IFERROR(VLOOKUP(VLOOKUP(A438,'Sales Order'!A:C,3,FALSE),Employee!A:E,5,FALSE)&amp;" "&amp;VLOOKUP(VLOOKUP(A438,'Sales Order'!A:C,3,FALSE),Employee!A:C,3,FALSE)&amp;" "&amp;VLOOKUP(VLOOKUP(A438,'Sales Order'!A:C,3,FALSE),Employee!A:B,2,FALSE),"Not Specified")</f>
        <v>Ms. Zoya Dolgopyatova</v>
      </c>
      <c r="I438">
        <f>IFERROR(VLOOKUP(VLOOKUP(A438,'Sales Order'!A:C,3,FALSE),Employee!A:J,10,FALSE),"Not Specified")</f>
        <v>0</v>
      </c>
      <c r="J438" t="str">
        <f>VLOOKUP(B438,Product!A:B,2,FALSE)</f>
        <v>Product VJIEO</v>
      </c>
      <c r="K438" t="str">
        <f>VLOOKUP(VLOOKUP(B438,Product!A:D,4,FALSE),Category!A:B,2,FALSE)</f>
        <v>Condiments</v>
      </c>
      <c r="L438" s="24">
        <f>IFERROR(VLOOKUP(A438,'Sales Order'!A:D,4,FALSE),"")</f>
        <v>39092</v>
      </c>
      <c r="M438" s="24">
        <f>IFERROR(VLOOKUP(A438,'Sales Order'!A:F,6,FALSE),"")</f>
        <v>39103</v>
      </c>
      <c r="N438" t="str">
        <f>IFERROR(VLOOKUP(VLOOKUP(A438,'Sales Order'!A:G,7,FALSE),Shipper!A:B,2,FALSE),"Not Specified")</f>
        <v>Shipper ZHISN</v>
      </c>
      <c r="O438" t="str">
        <f>IFERROR(VLOOKUP(A438,'Sales Order'!A:I,9,FALSE),"Not Specified")</f>
        <v>Destination XJIBQ</v>
      </c>
      <c r="P438" t="str">
        <f>IFERROR(VLOOKUP(A438,'Sales Order'!A:N,14,FALSE),"Not Specified")</f>
        <v>Canada</v>
      </c>
      <c r="Q438" t="str">
        <f>VLOOKUP(VLOOKUP(B438,Product!A:C,3,FALSE),Supplier!A:B,2,FALSE)</f>
        <v>Supplier CIYNM</v>
      </c>
      <c r="R438" t="str">
        <f>VLOOKUP(VLOOKUP(B438,Product!A:C,3,FALSE),Supplier!A:I,9,FALSE)</f>
        <v>Singapore</v>
      </c>
      <c r="S438" t="str">
        <f>IFERROR(IF(VLOOKUP(A438,'Sales Order'!A:H,8,FALSE)&gt;100,"High Freight","Low Freight"),"Not Specified")</f>
        <v>Low Freight</v>
      </c>
      <c r="T438">
        <f t="shared" si="13"/>
        <v>496</v>
      </c>
    </row>
    <row r="439" spans="1:20">
      <c r="A439" s="9">
        <v>10411</v>
      </c>
      <c r="B439" s="6">
        <v>59</v>
      </c>
      <c r="C439" s="6">
        <v>44</v>
      </c>
      <c r="D439" s="6">
        <v>9</v>
      </c>
      <c r="E439" s="18">
        <v>0.2</v>
      </c>
      <c r="F439" s="6" t="str">
        <f>IFERROR(VLOOKUP(VLOOKUP(A439,'Sales Order'!A:B,2,FALSE),Customer!A:C,3,FALSE),"Not Specified")</f>
        <v>Bassols, Pilar Colome</v>
      </c>
      <c r="G439" s="6" t="str">
        <f t="shared" si="12"/>
        <v>Bassols Pilar Colome</v>
      </c>
      <c r="H439" s="22" t="str">
        <f>IFERROR(VLOOKUP(VLOOKUP(A439,'Sales Order'!A:C,3,FALSE),Employee!A:E,5,FALSE)&amp;" "&amp;VLOOKUP(VLOOKUP(A439,'Sales Order'!A:C,3,FALSE),Employee!A:C,3,FALSE)&amp;" "&amp;VLOOKUP(VLOOKUP(A439,'Sales Order'!A:C,3,FALSE),Employee!A:B,2,FALSE),"Not Specified")</f>
        <v>Ms. Zoya Dolgopyatova</v>
      </c>
      <c r="I439">
        <f>IFERROR(VLOOKUP(VLOOKUP(A439,'Sales Order'!A:C,3,FALSE),Employee!A:J,10,FALSE),"Not Specified")</f>
        <v>0</v>
      </c>
      <c r="J439" t="str">
        <f>VLOOKUP(B439,Product!A:B,2,FALSE)</f>
        <v>Product UKXRI</v>
      </c>
      <c r="K439" t="str">
        <f>VLOOKUP(VLOOKUP(B439,Product!A:D,4,FALSE),Category!A:B,2,FALSE)</f>
        <v>Dairy Product</v>
      </c>
      <c r="L439" s="24">
        <f>IFERROR(VLOOKUP(A439,'Sales Order'!A:D,4,FALSE),"")</f>
        <v>39092</v>
      </c>
      <c r="M439" s="24">
        <f>IFERROR(VLOOKUP(A439,'Sales Order'!A:F,6,FALSE),"")</f>
        <v>39103</v>
      </c>
      <c r="N439" t="str">
        <f>IFERROR(VLOOKUP(VLOOKUP(A439,'Sales Order'!A:G,7,FALSE),Shipper!A:B,2,FALSE),"Not Specified")</f>
        <v>Shipper ZHISN</v>
      </c>
      <c r="O439" t="str">
        <f>IFERROR(VLOOKUP(A439,'Sales Order'!A:I,9,FALSE),"Not Specified")</f>
        <v>Destination XJIBQ</v>
      </c>
      <c r="P439" t="str">
        <f>IFERROR(VLOOKUP(A439,'Sales Order'!A:N,14,FALSE),"Not Specified")</f>
        <v>Canada</v>
      </c>
      <c r="Q439" t="str">
        <f>VLOOKUP(VLOOKUP(B439,Product!A:C,3,FALSE),Supplier!A:B,2,FALSE)</f>
        <v>Supplier OAVQT</v>
      </c>
      <c r="R439" t="str">
        <f>VLOOKUP(VLOOKUP(B439,Product!A:C,3,FALSE),Supplier!A:I,9,FALSE)</f>
        <v>France</v>
      </c>
      <c r="S439" t="str">
        <f>IFERROR(IF(VLOOKUP(A439,'Sales Order'!A:H,8,FALSE)&gt;100,"High Freight","Low Freight"),"Not Specified")</f>
        <v>Low Freight</v>
      </c>
      <c r="T439">
        <f t="shared" si="13"/>
        <v>316.8</v>
      </c>
    </row>
    <row r="440" spans="1:20">
      <c r="A440" s="9">
        <v>10412</v>
      </c>
      <c r="B440" s="6">
        <v>14</v>
      </c>
      <c r="C440" s="6">
        <v>18.600000000000001</v>
      </c>
      <c r="D440" s="6">
        <v>20</v>
      </c>
      <c r="E440" s="18">
        <v>0.1</v>
      </c>
      <c r="F440" s="6" t="str">
        <f>IFERROR(VLOOKUP(VLOOKUP(A440,'Sales Order'!A:B,2,FALSE),Customer!A:C,3,FALSE),"Not Specified")</f>
        <v>Ludwig, Michael</v>
      </c>
      <c r="G440" s="6" t="str">
        <f t="shared" si="12"/>
        <v>Ludwig Michael</v>
      </c>
      <c r="H440" s="22" t="str">
        <f>IFERROR(VLOOKUP(VLOOKUP(A440,'Sales Order'!A:C,3,FALSE),Employee!A:E,5,FALSE)&amp;" "&amp;VLOOKUP(VLOOKUP(A440,'Sales Order'!A:C,3,FALSE),Employee!A:C,3,FALSE)&amp;" "&amp;VLOOKUP(VLOOKUP(A440,'Sales Order'!A:C,3,FALSE),Employee!A:B,2,FALSE),"Not Specified")</f>
        <v>Ms. Maria Cameron</v>
      </c>
      <c r="I440" t="str">
        <f>IFERROR(VLOOKUP(VLOOKUP(A440,'Sales Order'!A:C,3,FALSE),Employee!A:J,10,FALSE),"Not Specified")</f>
        <v>WA</v>
      </c>
      <c r="J440" t="str">
        <f>VLOOKUP(B440,Product!A:B,2,FALSE)</f>
        <v>Product PWCJB</v>
      </c>
      <c r="K440" t="str">
        <f>VLOOKUP(VLOOKUP(B440,Product!A:D,4,FALSE),Category!A:B,2,FALSE)</f>
        <v>Produce</v>
      </c>
      <c r="L440" s="24">
        <f>IFERROR(VLOOKUP(A440,'Sales Order'!A:D,4,FALSE),"")</f>
        <v>39095</v>
      </c>
      <c r="M440" s="24">
        <f>IFERROR(VLOOKUP(A440,'Sales Order'!A:F,6,FALSE),"")</f>
        <v>39097</v>
      </c>
      <c r="N440" t="str">
        <f>IFERROR(VLOOKUP(VLOOKUP(A440,'Sales Order'!A:G,7,FALSE),Shipper!A:B,2,FALSE),"Not Specified")</f>
        <v>Shipper ETYNR</v>
      </c>
      <c r="O440" t="str">
        <f>IFERROR(VLOOKUP(A440,'Sales Order'!A:I,9,FALSE),"Not Specified")</f>
        <v>Ship to 87-C</v>
      </c>
      <c r="P440" t="str">
        <f>IFERROR(VLOOKUP(A440,'Sales Order'!A:N,14,FALSE),"Not Specified")</f>
        <v>Finland</v>
      </c>
      <c r="Q440" t="str">
        <f>VLOOKUP(VLOOKUP(B440,Product!A:C,3,FALSE),Supplier!A:B,2,FALSE)</f>
        <v>Supplier QWUSF</v>
      </c>
      <c r="R440" t="str">
        <f>VLOOKUP(VLOOKUP(B440,Product!A:C,3,FALSE),Supplier!A:I,9,FALSE)</f>
        <v>Japan</v>
      </c>
      <c r="S440" t="str">
        <f>IFERROR(IF(VLOOKUP(A440,'Sales Order'!A:H,8,FALSE)&gt;100,"High Freight","Low Freight"),"Not Specified")</f>
        <v>Low Freight</v>
      </c>
      <c r="T440">
        <f t="shared" si="13"/>
        <v>334.8</v>
      </c>
    </row>
    <row r="441" spans="1:20">
      <c r="A441" s="9">
        <v>10413</v>
      </c>
      <c r="B441" s="6">
        <v>1</v>
      </c>
      <c r="C441" s="6">
        <v>14.4</v>
      </c>
      <c r="D441" s="6">
        <v>24</v>
      </c>
      <c r="E441" s="18">
        <v>0</v>
      </c>
      <c r="F441" s="6" t="str">
        <f>IFERROR(VLOOKUP(VLOOKUP(A441,'Sales Order'!A:B,2,FALSE),Customer!A:C,3,FALSE),"Not Specified")</f>
        <v>Litton, Tim</v>
      </c>
      <c r="G441" s="6" t="str">
        <f t="shared" si="12"/>
        <v>Litton Tim</v>
      </c>
      <c r="H441" s="22" t="str">
        <f>IFERROR(VLOOKUP(VLOOKUP(A441,'Sales Order'!A:C,3,FALSE),Employee!A:E,5,FALSE)&amp;" "&amp;VLOOKUP(VLOOKUP(A441,'Sales Order'!A:C,3,FALSE),Employee!A:C,3,FALSE)&amp;" "&amp;VLOOKUP(VLOOKUP(A441,'Sales Order'!A:C,3,FALSE),Employee!A:B,2,FALSE),"Not Specified")</f>
        <v>Ms. Judy Lew</v>
      </c>
      <c r="I441" t="str">
        <f>IFERROR(VLOOKUP(VLOOKUP(A441,'Sales Order'!A:C,3,FALSE),Employee!A:J,10,FALSE),"Not Specified")</f>
        <v>WA</v>
      </c>
      <c r="J441" t="str">
        <f>VLOOKUP(B441,Product!A:B,2,FALSE)</f>
        <v>Product HHYDP</v>
      </c>
      <c r="K441" t="str">
        <f>VLOOKUP(VLOOKUP(B441,Product!A:D,4,FALSE),Category!A:B,2,FALSE)</f>
        <v>Beverages</v>
      </c>
      <c r="L441" s="24">
        <f>IFERROR(VLOOKUP(A441,'Sales Order'!A:D,4,FALSE),"")</f>
        <v>39096</v>
      </c>
      <c r="M441" s="24">
        <f>IFERROR(VLOOKUP(A441,'Sales Order'!A:F,6,FALSE),"")</f>
        <v>39098</v>
      </c>
      <c r="N441" t="str">
        <f>IFERROR(VLOOKUP(VLOOKUP(A441,'Sales Order'!A:G,7,FALSE),Shipper!A:B,2,FALSE),"Not Specified")</f>
        <v>Shipper ETYNR</v>
      </c>
      <c r="O441" t="str">
        <f>IFERROR(VLOOKUP(A441,'Sales Order'!A:I,9,FALSE),"Not Specified")</f>
        <v>Destination DWJIO</v>
      </c>
      <c r="P441" t="str">
        <f>IFERROR(VLOOKUP(A441,'Sales Order'!A:N,14,FALSE),"Not Specified")</f>
        <v>France</v>
      </c>
      <c r="Q441" t="str">
        <f>VLOOKUP(VLOOKUP(B441,Product!A:C,3,FALSE),Supplier!A:B,2,FALSE)</f>
        <v>Supplier SWRXU</v>
      </c>
      <c r="R441" t="str">
        <f>VLOOKUP(VLOOKUP(B441,Product!A:C,3,FALSE),Supplier!A:I,9,FALSE)</f>
        <v>UK</v>
      </c>
      <c r="S441" t="str">
        <f>IFERROR(IF(VLOOKUP(A441,'Sales Order'!A:H,8,FALSE)&gt;100,"High Freight","Low Freight"),"Not Specified")</f>
        <v>Low Freight</v>
      </c>
      <c r="T441">
        <f t="shared" si="13"/>
        <v>345.6</v>
      </c>
    </row>
    <row r="442" spans="1:20">
      <c r="A442" s="9">
        <v>10413</v>
      </c>
      <c r="B442" s="6">
        <v>62</v>
      </c>
      <c r="C442" s="6">
        <v>39.4</v>
      </c>
      <c r="D442" s="6">
        <v>40</v>
      </c>
      <c r="E442" s="18">
        <v>0</v>
      </c>
      <c r="F442" s="6" t="str">
        <f>IFERROR(VLOOKUP(VLOOKUP(A442,'Sales Order'!A:B,2,FALSE),Customer!A:C,3,FALSE),"Not Specified")</f>
        <v>Litton, Tim</v>
      </c>
      <c r="G442" s="6" t="str">
        <f t="shared" si="12"/>
        <v>Litton Tim</v>
      </c>
      <c r="H442" s="22" t="str">
        <f>IFERROR(VLOOKUP(VLOOKUP(A442,'Sales Order'!A:C,3,FALSE),Employee!A:E,5,FALSE)&amp;" "&amp;VLOOKUP(VLOOKUP(A442,'Sales Order'!A:C,3,FALSE),Employee!A:C,3,FALSE)&amp;" "&amp;VLOOKUP(VLOOKUP(A442,'Sales Order'!A:C,3,FALSE),Employee!A:B,2,FALSE),"Not Specified")</f>
        <v>Ms. Judy Lew</v>
      </c>
      <c r="I442" t="str">
        <f>IFERROR(VLOOKUP(VLOOKUP(A442,'Sales Order'!A:C,3,FALSE),Employee!A:J,10,FALSE),"Not Specified")</f>
        <v>WA</v>
      </c>
      <c r="J442" t="str">
        <f>VLOOKUP(B442,Product!A:B,2,FALSE)</f>
        <v>Product WUXYK</v>
      </c>
      <c r="K442" t="str">
        <f>VLOOKUP(VLOOKUP(B442,Product!A:D,4,FALSE),Category!A:B,2,FALSE)</f>
        <v>Confections</v>
      </c>
      <c r="L442" s="24">
        <f>IFERROR(VLOOKUP(A442,'Sales Order'!A:D,4,FALSE),"")</f>
        <v>39096</v>
      </c>
      <c r="M442" s="24">
        <f>IFERROR(VLOOKUP(A442,'Sales Order'!A:F,6,FALSE),"")</f>
        <v>39098</v>
      </c>
      <c r="N442" t="str">
        <f>IFERROR(VLOOKUP(VLOOKUP(A442,'Sales Order'!A:G,7,FALSE),Shipper!A:B,2,FALSE),"Not Specified")</f>
        <v>Shipper ETYNR</v>
      </c>
      <c r="O442" t="str">
        <f>IFERROR(VLOOKUP(A442,'Sales Order'!A:I,9,FALSE),"Not Specified")</f>
        <v>Destination DWJIO</v>
      </c>
      <c r="P442" t="str">
        <f>IFERROR(VLOOKUP(A442,'Sales Order'!A:N,14,FALSE),"Not Specified")</f>
        <v>France</v>
      </c>
      <c r="Q442" t="str">
        <f>VLOOKUP(VLOOKUP(B442,Product!A:C,3,FALSE),Supplier!A:B,2,FALSE)</f>
        <v>Supplier OGLRK</v>
      </c>
      <c r="R442" t="str">
        <f>VLOOKUP(VLOOKUP(B442,Product!A:C,3,FALSE),Supplier!A:I,9,FALSE)</f>
        <v>Canada</v>
      </c>
      <c r="S442" t="str">
        <f>IFERROR(IF(VLOOKUP(A442,'Sales Order'!A:H,8,FALSE)&gt;100,"High Freight","Low Freight"),"Not Specified")</f>
        <v>Low Freight</v>
      </c>
      <c r="T442">
        <f t="shared" si="13"/>
        <v>1576</v>
      </c>
    </row>
    <row r="443" spans="1:20">
      <c r="A443" s="9">
        <v>10413</v>
      </c>
      <c r="B443" s="6">
        <v>76</v>
      </c>
      <c r="C443" s="6">
        <v>14.4</v>
      </c>
      <c r="D443" s="6">
        <v>14</v>
      </c>
      <c r="E443" s="18">
        <v>0</v>
      </c>
      <c r="F443" s="6" t="str">
        <f>IFERROR(VLOOKUP(VLOOKUP(A443,'Sales Order'!A:B,2,FALSE),Customer!A:C,3,FALSE),"Not Specified")</f>
        <v>Litton, Tim</v>
      </c>
      <c r="G443" s="6" t="str">
        <f t="shared" si="12"/>
        <v>Litton Tim</v>
      </c>
      <c r="H443" s="22" t="str">
        <f>IFERROR(VLOOKUP(VLOOKUP(A443,'Sales Order'!A:C,3,FALSE),Employee!A:E,5,FALSE)&amp;" "&amp;VLOOKUP(VLOOKUP(A443,'Sales Order'!A:C,3,FALSE),Employee!A:C,3,FALSE)&amp;" "&amp;VLOOKUP(VLOOKUP(A443,'Sales Order'!A:C,3,FALSE),Employee!A:B,2,FALSE),"Not Specified")</f>
        <v>Ms. Judy Lew</v>
      </c>
      <c r="I443" t="str">
        <f>IFERROR(VLOOKUP(VLOOKUP(A443,'Sales Order'!A:C,3,FALSE),Employee!A:J,10,FALSE),"Not Specified")</f>
        <v>WA</v>
      </c>
      <c r="J443" t="str">
        <f>VLOOKUP(B443,Product!A:B,2,FALSE)</f>
        <v>Product JYGFE</v>
      </c>
      <c r="K443" t="str">
        <f>VLOOKUP(VLOOKUP(B443,Product!A:D,4,FALSE),Category!A:B,2,FALSE)</f>
        <v>Beverages</v>
      </c>
      <c r="L443" s="24">
        <f>IFERROR(VLOOKUP(A443,'Sales Order'!A:D,4,FALSE),"")</f>
        <v>39096</v>
      </c>
      <c r="M443" s="24">
        <f>IFERROR(VLOOKUP(A443,'Sales Order'!A:F,6,FALSE),"")</f>
        <v>39098</v>
      </c>
      <c r="N443" t="str">
        <f>IFERROR(VLOOKUP(VLOOKUP(A443,'Sales Order'!A:G,7,FALSE),Shipper!A:B,2,FALSE),"Not Specified")</f>
        <v>Shipper ETYNR</v>
      </c>
      <c r="O443" t="str">
        <f>IFERROR(VLOOKUP(A443,'Sales Order'!A:I,9,FALSE),"Not Specified")</f>
        <v>Destination DWJIO</v>
      </c>
      <c r="P443" t="str">
        <f>IFERROR(VLOOKUP(A443,'Sales Order'!A:N,14,FALSE),"Not Specified")</f>
        <v>France</v>
      </c>
      <c r="Q443" t="str">
        <f>VLOOKUP(VLOOKUP(B443,Product!A:C,3,FALSE),Supplier!A:B,2,FALSE)</f>
        <v>Supplier ELCRN</v>
      </c>
      <c r="R443" t="str">
        <f>VLOOKUP(VLOOKUP(B443,Product!A:C,3,FALSE),Supplier!A:I,9,FALSE)</f>
        <v>Finland</v>
      </c>
      <c r="S443" t="str">
        <f>IFERROR(IF(VLOOKUP(A443,'Sales Order'!A:H,8,FALSE)&gt;100,"High Freight","Low Freight"),"Not Specified")</f>
        <v>Low Freight</v>
      </c>
      <c r="T443">
        <f t="shared" si="13"/>
        <v>201.6</v>
      </c>
    </row>
    <row r="444" spans="1:20">
      <c r="A444" s="9">
        <v>10414</v>
      </c>
      <c r="B444" s="6">
        <v>19</v>
      </c>
      <c r="C444" s="6">
        <v>7.3</v>
      </c>
      <c r="D444" s="6">
        <v>18</v>
      </c>
      <c r="E444" s="18">
        <v>0.05</v>
      </c>
      <c r="F444" s="6" t="str">
        <f>IFERROR(VLOOKUP(VLOOKUP(A444,'Sales Order'!A:B,2,FALSE),Customer!A:C,3,FALSE),"Not Specified")</f>
        <v>Russo, Giuseppe</v>
      </c>
      <c r="G444" s="6" t="str">
        <f t="shared" si="12"/>
        <v>Russo Giuseppe</v>
      </c>
      <c r="H444" s="22" t="str">
        <f>IFERROR(VLOOKUP(VLOOKUP(A444,'Sales Order'!A:C,3,FALSE),Employee!A:E,5,FALSE)&amp;" "&amp;VLOOKUP(VLOOKUP(A444,'Sales Order'!A:C,3,FALSE),Employee!A:C,3,FALSE)&amp;" "&amp;VLOOKUP(VLOOKUP(A444,'Sales Order'!A:C,3,FALSE),Employee!A:B,2,FALSE),"Not Specified")</f>
        <v>Dr. Don Funk</v>
      </c>
      <c r="I444" t="str">
        <f>IFERROR(VLOOKUP(VLOOKUP(A444,'Sales Order'!A:C,3,FALSE),Employee!A:J,10,FALSE),"Not Specified")</f>
        <v>WA</v>
      </c>
      <c r="J444" t="str">
        <f>VLOOKUP(B444,Product!A:B,2,FALSE)</f>
        <v>Product XKXDO</v>
      </c>
      <c r="K444" t="str">
        <f>VLOOKUP(VLOOKUP(B444,Product!A:D,4,FALSE),Category!A:B,2,FALSE)</f>
        <v>Confections</v>
      </c>
      <c r="L444" s="24">
        <f>IFERROR(VLOOKUP(A444,'Sales Order'!A:D,4,FALSE),"")</f>
        <v>39096</v>
      </c>
      <c r="M444" s="24">
        <f>IFERROR(VLOOKUP(A444,'Sales Order'!A:F,6,FALSE),"")</f>
        <v>39099</v>
      </c>
      <c r="N444" t="str">
        <f>IFERROR(VLOOKUP(VLOOKUP(A444,'Sales Order'!A:G,7,FALSE),Shipper!A:B,2,FALSE),"Not Specified")</f>
        <v>Shipper ZHISN</v>
      </c>
      <c r="O444" t="str">
        <f>IFERROR(VLOOKUP(A444,'Sales Order'!A:I,9,FALSE),"Not Specified")</f>
        <v>Destination SSYXZ</v>
      </c>
      <c r="P444" t="str">
        <f>IFERROR(VLOOKUP(A444,'Sales Order'!A:N,14,FALSE),"Not Specified")</f>
        <v>Brazil</v>
      </c>
      <c r="Q444" t="str">
        <f>VLOOKUP(VLOOKUP(B444,Product!A:C,3,FALSE),Supplier!A:B,2,FALSE)</f>
        <v>Supplier BWGYE</v>
      </c>
      <c r="R444" t="str">
        <f>VLOOKUP(VLOOKUP(B444,Product!A:C,3,FALSE),Supplier!A:I,9,FALSE)</f>
        <v>UK</v>
      </c>
      <c r="S444" t="str">
        <f>IFERROR(IF(VLOOKUP(A444,'Sales Order'!A:H,8,FALSE)&gt;100,"High Freight","Low Freight"),"Not Specified")</f>
        <v>Low Freight</v>
      </c>
      <c r="T444">
        <f t="shared" si="13"/>
        <v>124.83</v>
      </c>
    </row>
    <row r="445" spans="1:20">
      <c r="A445" s="9">
        <v>10414</v>
      </c>
      <c r="B445" s="6">
        <v>33</v>
      </c>
      <c r="C445" s="6">
        <v>2</v>
      </c>
      <c r="D445" s="6">
        <v>50</v>
      </c>
      <c r="E445" s="18">
        <v>0</v>
      </c>
      <c r="F445" s="6" t="str">
        <f>IFERROR(VLOOKUP(VLOOKUP(A445,'Sales Order'!A:B,2,FALSE),Customer!A:C,3,FALSE),"Not Specified")</f>
        <v>Russo, Giuseppe</v>
      </c>
      <c r="G445" s="6" t="str">
        <f t="shared" si="12"/>
        <v>Russo Giuseppe</v>
      </c>
      <c r="H445" s="22" t="str">
        <f>IFERROR(VLOOKUP(VLOOKUP(A445,'Sales Order'!A:C,3,FALSE),Employee!A:E,5,FALSE)&amp;" "&amp;VLOOKUP(VLOOKUP(A445,'Sales Order'!A:C,3,FALSE),Employee!A:C,3,FALSE)&amp;" "&amp;VLOOKUP(VLOOKUP(A445,'Sales Order'!A:C,3,FALSE),Employee!A:B,2,FALSE),"Not Specified")</f>
        <v>Dr. Don Funk</v>
      </c>
      <c r="I445" t="str">
        <f>IFERROR(VLOOKUP(VLOOKUP(A445,'Sales Order'!A:C,3,FALSE),Employee!A:J,10,FALSE),"Not Specified")</f>
        <v>WA</v>
      </c>
      <c r="J445" t="str">
        <f>VLOOKUP(B445,Product!A:B,2,FALSE)</f>
        <v>Product ASTMN</v>
      </c>
      <c r="K445" t="str">
        <f>VLOOKUP(VLOOKUP(B445,Product!A:D,4,FALSE),Category!A:B,2,FALSE)</f>
        <v>Dairy Product</v>
      </c>
      <c r="L445" s="24">
        <f>IFERROR(VLOOKUP(A445,'Sales Order'!A:D,4,FALSE),"")</f>
        <v>39096</v>
      </c>
      <c r="M445" s="24">
        <f>IFERROR(VLOOKUP(A445,'Sales Order'!A:F,6,FALSE),"")</f>
        <v>39099</v>
      </c>
      <c r="N445" t="str">
        <f>IFERROR(VLOOKUP(VLOOKUP(A445,'Sales Order'!A:G,7,FALSE),Shipper!A:B,2,FALSE),"Not Specified")</f>
        <v>Shipper ZHISN</v>
      </c>
      <c r="O445" t="str">
        <f>IFERROR(VLOOKUP(A445,'Sales Order'!A:I,9,FALSE),"Not Specified")</f>
        <v>Destination SSYXZ</v>
      </c>
      <c r="P445" t="str">
        <f>IFERROR(VLOOKUP(A445,'Sales Order'!A:N,14,FALSE),"Not Specified")</f>
        <v>Brazil</v>
      </c>
      <c r="Q445" t="str">
        <f>VLOOKUP(VLOOKUP(B445,Product!A:C,3,FALSE),Supplier!A:B,2,FALSE)</f>
        <v>Supplier NZLIF</v>
      </c>
      <c r="R445" t="str">
        <f>VLOOKUP(VLOOKUP(B445,Product!A:C,3,FALSE),Supplier!A:I,9,FALSE)</f>
        <v>Norway</v>
      </c>
      <c r="S445" t="str">
        <f>IFERROR(IF(VLOOKUP(A445,'Sales Order'!A:H,8,FALSE)&gt;100,"High Freight","Low Freight"),"Not Specified")</f>
        <v>Low Freight</v>
      </c>
      <c r="T445">
        <f t="shared" si="13"/>
        <v>100</v>
      </c>
    </row>
    <row r="446" spans="1:20">
      <c r="A446" s="9">
        <v>10415</v>
      </c>
      <c r="B446" s="6">
        <v>17</v>
      </c>
      <c r="C446" s="6">
        <v>31.2</v>
      </c>
      <c r="D446" s="6">
        <v>2</v>
      </c>
      <c r="E446" s="18">
        <v>0</v>
      </c>
      <c r="F446" s="6" t="str">
        <f>IFERROR(VLOOKUP(VLOOKUP(A446,'Sales Order'!A:B,2,FALSE),Customer!A:C,3,FALSE),"Not Specified")</f>
        <v>Smith, Denise</v>
      </c>
      <c r="G446" s="6" t="str">
        <f t="shared" si="12"/>
        <v>Smith Denise</v>
      </c>
      <c r="H446" s="22" t="str">
        <f>IFERROR(VLOOKUP(VLOOKUP(A446,'Sales Order'!A:C,3,FALSE),Employee!A:E,5,FALSE)&amp;" "&amp;VLOOKUP(VLOOKUP(A446,'Sales Order'!A:C,3,FALSE),Employee!A:C,3,FALSE)&amp;" "&amp;VLOOKUP(VLOOKUP(A446,'Sales Order'!A:C,3,FALSE),Employee!A:B,2,FALSE),"Not Specified")</f>
        <v>Ms. Judy Lew</v>
      </c>
      <c r="I446" t="str">
        <f>IFERROR(VLOOKUP(VLOOKUP(A446,'Sales Order'!A:C,3,FALSE),Employee!A:J,10,FALSE),"Not Specified")</f>
        <v>WA</v>
      </c>
      <c r="J446" t="str">
        <f>VLOOKUP(B446,Product!A:B,2,FALSE)</f>
        <v>Product BLCAX</v>
      </c>
      <c r="K446" t="str">
        <f>VLOOKUP(VLOOKUP(B446,Product!A:D,4,FALSE),Category!A:B,2,FALSE)</f>
        <v>Meat/Poultry</v>
      </c>
      <c r="L446" s="24">
        <f>IFERROR(VLOOKUP(A446,'Sales Order'!A:D,4,FALSE),"")</f>
        <v>39097</v>
      </c>
      <c r="M446" s="24">
        <f>IFERROR(VLOOKUP(A446,'Sales Order'!A:F,6,FALSE),"")</f>
        <v>39106</v>
      </c>
      <c r="N446" t="str">
        <f>IFERROR(VLOOKUP(VLOOKUP(A446,'Sales Order'!A:G,7,FALSE),Shipper!A:B,2,FALSE),"Not Specified")</f>
        <v>Shipper GVSUA</v>
      </c>
      <c r="O446" t="str">
        <f>IFERROR(VLOOKUP(A446,'Sales Order'!A:I,9,FALSE),"Not Specified")</f>
        <v>Destination AWPJG</v>
      </c>
      <c r="P446" t="str">
        <f>IFERROR(VLOOKUP(A446,'Sales Order'!A:N,14,FALSE),"Not Specified")</f>
        <v>USA</v>
      </c>
      <c r="Q446" t="str">
        <f>VLOOKUP(VLOOKUP(B446,Product!A:C,3,FALSE),Supplier!A:B,2,FALSE)</f>
        <v>Supplier GQRCV</v>
      </c>
      <c r="R446" t="str">
        <f>VLOOKUP(VLOOKUP(B446,Product!A:C,3,FALSE),Supplier!A:I,9,FALSE)</f>
        <v>Australia</v>
      </c>
      <c r="S446" t="str">
        <f>IFERROR(IF(VLOOKUP(A446,'Sales Order'!A:H,8,FALSE)&gt;100,"High Freight","Low Freight"),"Not Specified")</f>
        <v>Low Freight</v>
      </c>
      <c r="T446">
        <f t="shared" si="13"/>
        <v>62.4</v>
      </c>
    </row>
    <row r="447" spans="1:20">
      <c r="A447" s="9">
        <v>10415</v>
      </c>
      <c r="B447" s="6">
        <v>33</v>
      </c>
      <c r="C447" s="6">
        <v>2</v>
      </c>
      <c r="D447" s="6">
        <v>20</v>
      </c>
      <c r="E447" s="18">
        <v>0</v>
      </c>
      <c r="F447" s="6" t="str">
        <f>IFERROR(VLOOKUP(VLOOKUP(A447,'Sales Order'!A:B,2,FALSE),Customer!A:C,3,FALSE),"Not Specified")</f>
        <v>Smith, Denise</v>
      </c>
      <c r="G447" s="6" t="str">
        <f t="shared" si="12"/>
        <v>Smith Denise</v>
      </c>
      <c r="H447" s="22" t="str">
        <f>IFERROR(VLOOKUP(VLOOKUP(A447,'Sales Order'!A:C,3,FALSE),Employee!A:E,5,FALSE)&amp;" "&amp;VLOOKUP(VLOOKUP(A447,'Sales Order'!A:C,3,FALSE),Employee!A:C,3,FALSE)&amp;" "&amp;VLOOKUP(VLOOKUP(A447,'Sales Order'!A:C,3,FALSE),Employee!A:B,2,FALSE),"Not Specified")</f>
        <v>Ms. Judy Lew</v>
      </c>
      <c r="I447" t="str">
        <f>IFERROR(VLOOKUP(VLOOKUP(A447,'Sales Order'!A:C,3,FALSE),Employee!A:J,10,FALSE),"Not Specified")</f>
        <v>WA</v>
      </c>
      <c r="J447" t="str">
        <f>VLOOKUP(B447,Product!A:B,2,FALSE)</f>
        <v>Product ASTMN</v>
      </c>
      <c r="K447" t="str">
        <f>VLOOKUP(VLOOKUP(B447,Product!A:D,4,FALSE),Category!A:B,2,FALSE)</f>
        <v>Dairy Product</v>
      </c>
      <c r="L447" s="24">
        <f>IFERROR(VLOOKUP(A447,'Sales Order'!A:D,4,FALSE),"")</f>
        <v>39097</v>
      </c>
      <c r="M447" s="24">
        <f>IFERROR(VLOOKUP(A447,'Sales Order'!A:F,6,FALSE),"")</f>
        <v>39106</v>
      </c>
      <c r="N447" t="str">
        <f>IFERROR(VLOOKUP(VLOOKUP(A447,'Sales Order'!A:G,7,FALSE),Shipper!A:B,2,FALSE),"Not Specified")</f>
        <v>Shipper GVSUA</v>
      </c>
      <c r="O447" t="str">
        <f>IFERROR(VLOOKUP(A447,'Sales Order'!A:I,9,FALSE),"Not Specified")</f>
        <v>Destination AWPJG</v>
      </c>
      <c r="P447" t="str">
        <f>IFERROR(VLOOKUP(A447,'Sales Order'!A:N,14,FALSE),"Not Specified")</f>
        <v>USA</v>
      </c>
      <c r="Q447" t="str">
        <f>VLOOKUP(VLOOKUP(B447,Product!A:C,3,FALSE),Supplier!A:B,2,FALSE)</f>
        <v>Supplier NZLIF</v>
      </c>
      <c r="R447" t="str">
        <f>VLOOKUP(VLOOKUP(B447,Product!A:C,3,FALSE),Supplier!A:I,9,FALSE)</f>
        <v>Norway</v>
      </c>
      <c r="S447" t="str">
        <f>IFERROR(IF(VLOOKUP(A447,'Sales Order'!A:H,8,FALSE)&gt;100,"High Freight","Low Freight"),"Not Specified")</f>
        <v>Low Freight</v>
      </c>
      <c r="T447">
        <f t="shared" si="13"/>
        <v>40</v>
      </c>
    </row>
    <row r="448" spans="1:20">
      <c r="A448" s="9">
        <v>10416</v>
      </c>
      <c r="B448" s="6">
        <v>19</v>
      </c>
      <c r="C448" s="6">
        <v>7.3</v>
      </c>
      <c r="D448" s="6">
        <v>20</v>
      </c>
      <c r="E448" s="18">
        <v>0</v>
      </c>
      <c r="F448" s="6" t="str">
        <f>IFERROR(VLOOKUP(VLOOKUP(A448,'Sales Order'!A:B,2,FALSE),Customer!A:C,3,FALSE),"Not Specified")</f>
        <v>Ludwig, Michael</v>
      </c>
      <c r="G448" s="6" t="str">
        <f t="shared" si="12"/>
        <v>Ludwig Michael</v>
      </c>
      <c r="H448" s="22" t="str">
        <f>IFERROR(VLOOKUP(VLOOKUP(A448,'Sales Order'!A:C,3,FALSE),Employee!A:E,5,FALSE)&amp;" "&amp;VLOOKUP(VLOOKUP(A448,'Sales Order'!A:C,3,FALSE),Employee!A:C,3,FALSE)&amp;" "&amp;VLOOKUP(VLOOKUP(A448,'Sales Order'!A:C,3,FALSE),Employee!A:B,2,FALSE),"Not Specified")</f>
        <v>Ms. Maria Cameron</v>
      </c>
      <c r="I448" t="str">
        <f>IFERROR(VLOOKUP(VLOOKUP(A448,'Sales Order'!A:C,3,FALSE),Employee!A:J,10,FALSE),"Not Specified")</f>
        <v>WA</v>
      </c>
      <c r="J448" t="str">
        <f>VLOOKUP(B448,Product!A:B,2,FALSE)</f>
        <v>Product XKXDO</v>
      </c>
      <c r="K448" t="str">
        <f>VLOOKUP(VLOOKUP(B448,Product!A:D,4,FALSE),Category!A:B,2,FALSE)</f>
        <v>Confections</v>
      </c>
      <c r="L448" s="24">
        <f>IFERROR(VLOOKUP(A448,'Sales Order'!A:D,4,FALSE),"")</f>
        <v>39098</v>
      </c>
      <c r="M448" s="24">
        <f>IFERROR(VLOOKUP(A448,'Sales Order'!A:F,6,FALSE),"")</f>
        <v>39109</v>
      </c>
      <c r="N448" t="str">
        <f>IFERROR(VLOOKUP(VLOOKUP(A448,'Sales Order'!A:G,7,FALSE),Shipper!A:B,2,FALSE),"Not Specified")</f>
        <v>Shipper ZHISN</v>
      </c>
      <c r="O448" t="str">
        <f>IFERROR(VLOOKUP(A448,'Sales Order'!A:I,9,FALSE),"Not Specified")</f>
        <v>Ship to 87-A</v>
      </c>
      <c r="P448" t="str">
        <f>IFERROR(VLOOKUP(A448,'Sales Order'!A:N,14,FALSE),"Not Specified")</f>
        <v>Finland</v>
      </c>
      <c r="Q448" t="str">
        <f>VLOOKUP(VLOOKUP(B448,Product!A:C,3,FALSE),Supplier!A:B,2,FALSE)</f>
        <v>Supplier BWGYE</v>
      </c>
      <c r="R448" t="str">
        <f>VLOOKUP(VLOOKUP(B448,Product!A:C,3,FALSE),Supplier!A:I,9,FALSE)</f>
        <v>UK</v>
      </c>
      <c r="S448" t="str">
        <f>IFERROR(IF(VLOOKUP(A448,'Sales Order'!A:H,8,FALSE)&gt;100,"High Freight","Low Freight"),"Not Specified")</f>
        <v>Low Freight</v>
      </c>
      <c r="T448">
        <f t="shared" si="13"/>
        <v>146</v>
      </c>
    </row>
    <row r="449" spans="1:20">
      <c r="A449" s="9">
        <v>10416</v>
      </c>
      <c r="B449" s="6">
        <v>53</v>
      </c>
      <c r="C449" s="6">
        <v>26.2</v>
      </c>
      <c r="D449" s="6">
        <v>10</v>
      </c>
      <c r="E449" s="18">
        <v>0</v>
      </c>
      <c r="F449" s="6" t="str">
        <f>IFERROR(VLOOKUP(VLOOKUP(A449,'Sales Order'!A:B,2,FALSE),Customer!A:C,3,FALSE),"Not Specified")</f>
        <v>Ludwig, Michael</v>
      </c>
      <c r="G449" s="6" t="str">
        <f t="shared" si="12"/>
        <v>Ludwig Michael</v>
      </c>
      <c r="H449" s="22" t="str">
        <f>IFERROR(VLOOKUP(VLOOKUP(A449,'Sales Order'!A:C,3,FALSE),Employee!A:E,5,FALSE)&amp;" "&amp;VLOOKUP(VLOOKUP(A449,'Sales Order'!A:C,3,FALSE),Employee!A:C,3,FALSE)&amp;" "&amp;VLOOKUP(VLOOKUP(A449,'Sales Order'!A:C,3,FALSE),Employee!A:B,2,FALSE),"Not Specified")</f>
        <v>Ms. Maria Cameron</v>
      </c>
      <c r="I449" t="str">
        <f>IFERROR(VLOOKUP(VLOOKUP(A449,'Sales Order'!A:C,3,FALSE),Employee!A:J,10,FALSE),"Not Specified")</f>
        <v>WA</v>
      </c>
      <c r="J449" t="str">
        <f>VLOOKUP(B449,Product!A:B,2,FALSE)</f>
        <v>Product BKGEA</v>
      </c>
      <c r="K449" t="str">
        <f>VLOOKUP(VLOOKUP(B449,Product!A:D,4,FALSE),Category!A:B,2,FALSE)</f>
        <v>Meat/Poultry</v>
      </c>
      <c r="L449" s="24">
        <f>IFERROR(VLOOKUP(A449,'Sales Order'!A:D,4,FALSE),"")</f>
        <v>39098</v>
      </c>
      <c r="M449" s="24">
        <f>IFERROR(VLOOKUP(A449,'Sales Order'!A:F,6,FALSE),"")</f>
        <v>39109</v>
      </c>
      <c r="N449" t="str">
        <f>IFERROR(VLOOKUP(VLOOKUP(A449,'Sales Order'!A:G,7,FALSE),Shipper!A:B,2,FALSE),"Not Specified")</f>
        <v>Shipper ZHISN</v>
      </c>
      <c r="O449" t="str">
        <f>IFERROR(VLOOKUP(A449,'Sales Order'!A:I,9,FALSE),"Not Specified")</f>
        <v>Ship to 87-A</v>
      </c>
      <c r="P449" t="str">
        <f>IFERROR(VLOOKUP(A449,'Sales Order'!A:N,14,FALSE),"Not Specified")</f>
        <v>Finland</v>
      </c>
      <c r="Q449" t="str">
        <f>VLOOKUP(VLOOKUP(B449,Product!A:C,3,FALSE),Supplier!A:B,2,FALSE)</f>
        <v>Supplier JNNES</v>
      </c>
      <c r="R449" t="str">
        <f>VLOOKUP(VLOOKUP(B449,Product!A:C,3,FALSE),Supplier!A:I,9,FALSE)</f>
        <v>Australia</v>
      </c>
      <c r="S449" t="str">
        <f>IFERROR(IF(VLOOKUP(A449,'Sales Order'!A:H,8,FALSE)&gt;100,"High Freight","Low Freight"),"Not Specified")</f>
        <v>Low Freight</v>
      </c>
      <c r="T449">
        <f t="shared" si="13"/>
        <v>262</v>
      </c>
    </row>
    <row r="450" spans="1:20">
      <c r="A450" s="9">
        <v>10416</v>
      </c>
      <c r="B450" s="6">
        <v>57</v>
      </c>
      <c r="C450" s="6">
        <v>15.6</v>
      </c>
      <c r="D450" s="6">
        <v>20</v>
      </c>
      <c r="E450" s="18">
        <v>0</v>
      </c>
      <c r="F450" s="6" t="str">
        <f>IFERROR(VLOOKUP(VLOOKUP(A450,'Sales Order'!A:B,2,FALSE),Customer!A:C,3,FALSE),"Not Specified")</f>
        <v>Ludwig, Michael</v>
      </c>
      <c r="G450" s="6" t="str">
        <f t="shared" si="12"/>
        <v>Ludwig Michael</v>
      </c>
      <c r="H450" s="22" t="str">
        <f>IFERROR(VLOOKUP(VLOOKUP(A450,'Sales Order'!A:C,3,FALSE),Employee!A:E,5,FALSE)&amp;" "&amp;VLOOKUP(VLOOKUP(A450,'Sales Order'!A:C,3,FALSE),Employee!A:C,3,FALSE)&amp;" "&amp;VLOOKUP(VLOOKUP(A450,'Sales Order'!A:C,3,FALSE),Employee!A:B,2,FALSE),"Not Specified")</f>
        <v>Ms. Maria Cameron</v>
      </c>
      <c r="I450" t="str">
        <f>IFERROR(VLOOKUP(VLOOKUP(A450,'Sales Order'!A:C,3,FALSE),Employee!A:J,10,FALSE),"Not Specified")</f>
        <v>WA</v>
      </c>
      <c r="J450" t="str">
        <f>VLOOKUP(B450,Product!A:B,2,FALSE)</f>
        <v>Product OVLQI</v>
      </c>
      <c r="K450" t="str">
        <f>VLOOKUP(VLOOKUP(B450,Product!A:D,4,FALSE),Category!A:B,2,FALSE)</f>
        <v>Grains/Cereals</v>
      </c>
      <c r="L450" s="24">
        <f>IFERROR(VLOOKUP(A450,'Sales Order'!A:D,4,FALSE),"")</f>
        <v>39098</v>
      </c>
      <c r="M450" s="24">
        <f>IFERROR(VLOOKUP(A450,'Sales Order'!A:F,6,FALSE),"")</f>
        <v>39109</v>
      </c>
      <c r="N450" t="str">
        <f>IFERROR(VLOOKUP(VLOOKUP(A450,'Sales Order'!A:G,7,FALSE),Shipper!A:B,2,FALSE),"Not Specified")</f>
        <v>Shipper ZHISN</v>
      </c>
      <c r="O450" t="str">
        <f>IFERROR(VLOOKUP(A450,'Sales Order'!A:I,9,FALSE),"Not Specified")</f>
        <v>Ship to 87-A</v>
      </c>
      <c r="P450" t="str">
        <f>IFERROR(VLOOKUP(A450,'Sales Order'!A:N,14,FALSE),"Not Specified")</f>
        <v>Finland</v>
      </c>
      <c r="Q450" t="str">
        <f>VLOOKUP(VLOOKUP(B450,Product!A:C,3,FALSE),Supplier!A:B,2,FALSE)</f>
        <v>Supplier ZWZDM</v>
      </c>
      <c r="R450" t="str">
        <f>VLOOKUP(VLOOKUP(B450,Product!A:C,3,FALSE),Supplier!A:I,9,FALSE)</f>
        <v>Italy</v>
      </c>
      <c r="S450" t="str">
        <f>IFERROR(IF(VLOOKUP(A450,'Sales Order'!A:H,8,FALSE)&gt;100,"High Freight","Low Freight"),"Not Specified")</f>
        <v>Low Freight</v>
      </c>
      <c r="T450">
        <f t="shared" si="13"/>
        <v>312</v>
      </c>
    </row>
    <row r="451" spans="1:20">
      <c r="A451" s="9">
        <v>10417</v>
      </c>
      <c r="B451" s="6">
        <v>38</v>
      </c>
      <c r="C451" s="6">
        <v>210.8</v>
      </c>
      <c r="D451" s="6">
        <v>50</v>
      </c>
      <c r="E451" s="18">
        <v>0</v>
      </c>
      <c r="F451" s="6" t="str">
        <f>IFERROR(VLOOKUP(VLOOKUP(A451,'Sales Order'!A:B,2,FALSE),Customer!A:C,3,FALSE),"Not Specified")</f>
        <v>Gonzalez, Nuria</v>
      </c>
      <c r="G451" s="6" t="str">
        <f t="shared" ref="G451:G514" si="14">SUBSTITUTE(F451,",","",1)</f>
        <v>Gonzalez Nuria</v>
      </c>
      <c r="H451" s="22" t="str">
        <f>IFERROR(VLOOKUP(VLOOKUP(A451,'Sales Order'!A:C,3,FALSE),Employee!A:E,5,FALSE)&amp;" "&amp;VLOOKUP(VLOOKUP(A451,'Sales Order'!A:C,3,FALSE),Employee!A:C,3,FALSE)&amp;" "&amp;VLOOKUP(VLOOKUP(A451,'Sales Order'!A:C,3,FALSE),Employee!A:B,2,FALSE),"Not Specified")</f>
        <v>Mrs. Yael Peled</v>
      </c>
      <c r="I451" t="str">
        <f>IFERROR(VLOOKUP(VLOOKUP(A451,'Sales Order'!A:C,3,FALSE),Employee!A:J,10,FALSE),"Not Specified")</f>
        <v>WA</v>
      </c>
      <c r="J451" t="str">
        <f>VLOOKUP(B451,Product!A:B,2,FALSE)</f>
        <v>Product QDOMO</v>
      </c>
      <c r="K451" t="str">
        <f>VLOOKUP(VLOOKUP(B451,Product!A:D,4,FALSE),Category!A:B,2,FALSE)</f>
        <v>Beverages</v>
      </c>
      <c r="L451" s="24">
        <f>IFERROR(VLOOKUP(A451,'Sales Order'!A:D,4,FALSE),"")</f>
        <v>39098</v>
      </c>
      <c r="M451" s="24">
        <f>IFERROR(VLOOKUP(A451,'Sales Order'!A:F,6,FALSE),"")</f>
        <v>39110</v>
      </c>
      <c r="N451" t="str">
        <f>IFERROR(VLOOKUP(VLOOKUP(A451,'Sales Order'!A:G,7,FALSE),Shipper!A:B,2,FALSE),"Not Specified")</f>
        <v>Shipper ZHISN</v>
      </c>
      <c r="O451" t="str">
        <f>IFERROR(VLOOKUP(A451,'Sales Order'!A:I,9,FALSE),"Not Specified")</f>
        <v>Ship to 73-C</v>
      </c>
      <c r="P451" t="str">
        <f>IFERROR(VLOOKUP(A451,'Sales Order'!A:N,14,FALSE),"Not Specified")</f>
        <v>Denmark</v>
      </c>
      <c r="Q451" t="str">
        <f>VLOOKUP(VLOOKUP(B451,Product!A:C,3,FALSE),Supplier!A:B,2,FALSE)</f>
        <v>Supplier LVJUA</v>
      </c>
      <c r="R451" t="str">
        <f>VLOOKUP(VLOOKUP(B451,Product!A:C,3,FALSE),Supplier!A:I,9,FALSE)</f>
        <v>France</v>
      </c>
      <c r="S451" t="str">
        <f>IFERROR(IF(VLOOKUP(A451,'Sales Order'!A:H,8,FALSE)&gt;100,"High Freight","Low Freight"),"Not Specified")</f>
        <v>Low Freight</v>
      </c>
      <c r="T451">
        <f t="shared" ref="T451:T514" si="15">C451*D451*(1-E451)</f>
        <v>10540</v>
      </c>
    </row>
    <row r="452" spans="1:20">
      <c r="A452" s="9">
        <v>10417</v>
      </c>
      <c r="B452" s="6">
        <v>46</v>
      </c>
      <c r="C452" s="6">
        <v>9.6</v>
      </c>
      <c r="D452" s="6">
        <v>2</v>
      </c>
      <c r="E452" s="18">
        <v>0.25</v>
      </c>
      <c r="F452" s="6" t="str">
        <f>IFERROR(VLOOKUP(VLOOKUP(A452,'Sales Order'!A:B,2,FALSE),Customer!A:C,3,FALSE),"Not Specified")</f>
        <v>Gonzalez, Nuria</v>
      </c>
      <c r="G452" s="6" t="str">
        <f t="shared" si="14"/>
        <v>Gonzalez Nuria</v>
      </c>
      <c r="H452" s="22" t="str">
        <f>IFERROR(VLOOKUP(VLOOKUP(A452,'Sales Order'!A:C,3,FALSE),Employee!A:E,5,FALSE)&amp;" "&amp;VLOOKUP(VLOOKUP(A452,'Sales Order'!A:C,3,FALSE),Employee!A:C,3,FALSE)&amp;" "&amp;VLOOKUP(VLOOKUP(A452,'Sales Order'!A:C,3,FALSE),Employee!A:B,2,FALSE),"Not Specified")</f>
        <v>Mrs. Yael Peled</v>
      </c>
      <c r="I452" t="str">
        <f>IFERROR(VLOOKUP(VLOOKUP(A452,'Sales Order'!A:C,3,FALSE),Employee!A:J,10,FALSE),"Not Specified")</f>
        <v>WA</v>
      </c>
      <c r="J452" t="str">
        <f>VLOOKUP(B452,Product!A:B,2,FALSE)</f>
        <v>Product CBRRL</v>
      </c>
      <c r="K452" t="str">
        <f>VLOOKUP(VLOOKUP(B452,Product!A:D,4,FALSE),Category!A:B,2,FALSE)</f>
        <v>Seafood</v>
      </c>
      <c r="L452" s="24">
        <f>IFERROR(VLOOKUP(A452,'Sales Order'!A:D,4,FALSE),"")</f>
        <v>39098</v>
      </c>
      <c r="M452" s="24">
        <f>IFERROR(VLOOKUP(A452,'Sales Order'!A:F,6,FALSE),"")</f>
        <v>39110</v>
      </c>
      <c r="N452" t="str">
        <f>IFERROR(VLOOKUP(VLOOKUP(A452,'Sales Order'!A:G,7,FALSE),Shipper!A:B,2,FALSE),"Not Specified")</f>
        <v>Shipper ZHISN</v>
      </c>
      <c r="O452" t="str">
        <f>IFERROR(VLOOKUP(A452,'Sales Order'!A:I,9,FALSE),"Not Specified")</f>
        <v>Ship to 73-C</v>
      </c>
      <c r="P452" t="str">
        <f>IFERROR(VLOOKUP(A452,'Sales Order'!A:N,14,FALSE),"Not Specified")</f>
        <v>Denmark</v>
      </c>
      <c r="Q452" t="str">
        <f>VLOOKUP(VLOOKUP(B452,Product!A:C,3,FALSE),Supplier!A:B,2,FALSE)</f>
        <v>Supplier XOXZA</v>
      </c>
      <c r="R452" t="str">
        <f>VLOOKUP(VLOOKUP(B452,Product!A:C,3,FALSE),Supplier!A:I,9,FALSE)</f>
        <v>Denmark</v>
      </c>
      <c r="S452" t="str">
        <f>IFERROR(IF(VLOOKUP(A452,'Sales Order'!A:H,8,FALSE)&gt;100,"High Freight","Low Freight"),"Not Specified")</f>
        <v>Low Freight</v>
      </c>
      <c r="T452">
        <f t="shared" si="15"/>
        <v>14.399999999999999</v>
      </c>
    </row>
    <row r="453" spans="1:20">
      <c r="A453" s="9">
        <v>10417</v>
      </c>
      <c r="B453" s="6">
        <v>68</v>
      </c>
      <c r="C453" s="6">
        <v>10</v>
      </c>
      <c r="D453" s="6">
        <v>36</v>
      </c>
      <c r="E453" s="18">
        <v>0.25</v>
      </c>
      <c r="F453" s="6" t="str">
        <f>IFERROR(VLOOKUP(VLOOKUP(A453,'Sales Order'!A:B,2,FALSE),Customer!A:C,3,FALSE),"Not Specified")</f>
        <v>Gonzalez, Nuria</v>
      </c>
      <c r="G453" s="6" t="str">
        <f t="shared" si="14"/>
        <v>Gonzalez Nuria</v>
      </c>
      <c r="H453" s="22" t="str">
        <f>IFERROR(VLOOKUP(VLOOKUP(A453,'Sales Order'!A:C,3,FALSE),Employee!A:E,5,FALSE)&amp;" "&amp;VLOOKUP(VLOOKUP(A453,'Sales Order'!A:C,3,FALSE),Employee!A:C,3,FALSE)&amp;" "&amp;VLOOKUP(VLOOKUP(A453,'Sales Order'!A:C,3,FALSE),Employee!A:B,2,FALSE),"Not Specified")</f>
        <v>Mrs. Yael Peled</v>
      </c>
      <c r="I453" t="str">
        <f>IFERROR(VLOOKUP(VLOOKUP(A453,'Sales Order'!A:C,3,FALSE),Employee!A:J,10,FALSE),"Not Specified")</f>
        <v>WA</v>
      </c>
      <c r="J453" t="str">
        <f>VLOOKUP(B453,Product!A:B,2,FALSE)</f>
        <v>Product TBTBL</v>
      </c>
      <c r="K453" t="str">
        <f>VLOOKUP(VLOOKUP(B453,Product!A:D,4,FALSE),Category!A:B,2,FALSE)</f>
        <v>Confections</v>
      </c>
      <c r="L453" s="24">
        <f>IFERROR(VLOOKUP(A453,'Sales Order'!A:D,4,FALSE),"")</f>
        <v>39098</v>
      </c>
      <c r="M453" s="24">
        <f>IFERROR(VLOOKUP(A453,'Sales Order'!A:F,6,FALSE),"")</f>
        <v>39110</v>
      </c>
      <c r="N453" t="str">
        <f>IFERROR(VLOOKUP(VLOOKUP(A453,'Sales Order'!A:G,7,FALSE),Shipper!A:B,2,FALSE),"Not Specified")</f>
        <v>Shipper ZHISN</v>
      </c>
      <c r="O453" t="str">
        <f>IFERROR(VLOOKUP(A453,'Sales Order'!A:I,9,FALSE),"Not Specified")</f>
        <v>Ship to 73-C</v>
      </c>
      <c r="P453" t="str">
        <f>IFERROR(VLOOKUP(A453,'Sales Order'!A:N,14,FALSE),"Not Specified")</f>
        <v>Denmark</v>
      </c>
      <c r="Q453" t="str">
        <f>VLOOKUP(VLOOKUP(B453,Product!A:C,3,FALSE),Supplier!A:B,2,FALSE)</f>
        <v>Supplier BWGYE</v>
      </c>
      <c r="R453" t="str">
        <f>VLOOKUP(VLOOKUP(B453,Product!A:C,3,FALSE),Supplier!A:I,9,FALSE)</f>
        <v>UK</v>
      </c>
      <c r="S453" t="str">
        <f>IFERROR(IF(VLOOKUP(A453,'Sales Order'!A:H,8,FALSE)&gt;100,"High Freight","Low Freight"),"Not Specified")</f>
        <v>Low Freight</v>
      </c>
      <c r="T453">
        <f t="shared" si="15"/>
        <v>270</v>
      </c>
    </row>
    <row r="454" spans="1:20">
      <c r="A454" s="9">
        <v>10417</v>
      </c>
      <c r="B454" s="6">
        <v>77</v>
      </c>
      <c r="C454" s="6">
        <v>10.4</v>
      </c>
      <c r="D454" s="6">
        <v>35</v>
      </c>
      <c r="E454" s="18">
        <v>0</v>
      </c>
      <c r="F454" s="6" t="str">
        <f>IFERROR(VLOOKUP(VLOOKUP(A454,'Sales Order'!A:B,2,FALSE),Customer!A:C,3,FALSE),"Not Specified")</f>
        <v>Gonzalez, Nuria</v>
      </c>
      <c r="G454" s="6" t="str">
        <f t="shared" si="14"/>
        <v>Gonzalez Nuria</v>
      </c>
      <c r="H454" s="22" t="str">
        <f>IFERROR(VLOOKUP(VLOOKUP(A454,'Sales Order'!A:C,3,FALSE),Employee!A:E,5,FALSE)&amp;" "&amp;VLOOKUP(VLOOKUP(A454,'Sales Order'!A:C,3,FALSE),Employee!A:C,3,FALSE)&amp;" "&amp;VLOOKUP(VLOOKUP(A454,'Sales Order'!A:C,3,FALSE),Employee!A:B,2,FALSE),"Not Specified")</f>
        <v>Mrs. Yael Peled</v>
      </c>
      <c r="I454" t="str">
        <f>IFERROR(VLOOKUP(VLOOKUP(A454,'Sales Order'!A:C,3,FALSE),Employee!A:J,10,FALSE),"Not Specified")</f>
        <v>WA</v>
      </c>
      <c r="J454" t="str">
        <f>VLOOKUP(B454,Product!A:B,2,FALSE)</f>
        <v>Product LUNZZ</v>
      </c>
      <c r="K454" t="str">
        <f>VLOOKUP(VLOOKUP(B454,Product!A:D,4,FALSE),Category!A:B,2,FALSE)</f>
        <v>Condiments</v>
      </c>
      <c r="L454" s="24">
        <f>IFERROR(VLOOKUP(A454,'Sales Order'!A:D,4,FALSE),"")</f>
        <v>39098</v>
      </c>
      <c r="M454" s="24">
        <f>IFERROR(VLOOKUP(A454,'Sales Order'!A:F,6,FALSE),"")</f>
        <v>39110</v>
      </c>
      <c r="N454" t="str">
        <f>IFERROR(VLOOKUP(VLOOKUP(A454,'Sales Order'!A:G,7,FALSE),Shipper!A:B,2,FALSE),"Not Specified")</f>
        <v>Shipper ZHISN</v>
      </c>
      <c r="O454" t="str">
        <f>IFERROR(VLOOKUP(A454,'Sales Order'!A:I,9,FALSE),"Not Specified")</f>
        <v>Ship to 73-C</v>
      </c>
      <c r="P454" t="str">
        <f>IFERROR(VLOOKUP(A454,'Sales Order'!A:N,14,FALSE),"Not Specified")</f>
        <v>Denmark</v>
      </c>
      <c r="Q454" t="str">
        <f>VLOOKUP(VLOOKUP(B454,Product!A:C,3,FALSE),Supplier!A:B,2,FALSE)</f>
        <v>Supplier SVIYA</v>
      </c>
      <c r="R454" t="str">
        <f>VLOOKUP(VLOOKUP(B454,Product!A:C,3,FALSE),Supplier!A:I,9,FALSE)</f>
        <v>Germany</v>
      </c>
      <c r="S454" t="str">
        <f>IFERROR(IF(VLOOKUP(A454,'Sales Order'!A:H,8,FALSE)&gt;100,"High Freight","Low Freight"),"Not Specified")</f>
        <v>Low Freight</v>
      </c>
      <c r="T454">
        <f t="shared" si="15"/>
        <v>364</v>
      </c>
    </row>
    <row r="455" spans="1:20">
      <c r="A455" s="9">
        <v>10418</v>
      </c>
      <c r="B455" s="6">
        <v>2</v>
      </c>
      <c r="C455" s="6">
        <v>15.2</v>
      </c>
      <c r="D455" s="6">
        <v>60</v>
      </c>
      <c r="E455" s="18">
        <v>0</v>
      </c>
      <c r="F455" s="6" t="str">
        <f>IFERROR(VLOOKUP(VLOOKUP(A455,'Sales Order'!A:B,2,FALSE),Customer!A:C,3,FALSE),"Not Specified")</f>
        <v>Veronesi, Giorgio</v>
      </c>
      <c r="G455" s="6" t="str">
        <f t="shared" si="14"/>
        <v>Veronesi Giorgio</v>
      </c>
      <c r="H455" s="22" t="str">
        <f>IFERROR(VLOOKUP(VLOOKUP(A455,'Sales Order'!A:C,3,FALSE),Employee!A:E,5,FALSE)&amp;" "&amp;VLOOKUP(VLOOKUP(A455,'Sales Order'!A:C,3,FALSE),Employee!A:C,3,FALSE)&amp;" "&amp;VLOOKUP(VLOOKUP(A455,'Sales Order'!A:C,3,FALSE),Employee!A:B,2,FALSE),"Not Specified")</f>
        <v>Mrs. Yael Peled</v>
      </c>
      <c r="I455" t="str">
        <f>IFERROR(VLOOKUP(VLOOKUP(A455,'Sales Order'!A:C,3,FALSE),Employee!A:J,10,FALSE),"Not Specified")</f>
        <v>WA</v>
      </c>
      <c r="J455" t="str">
        <f>VLOOKUP(B455,Product!A:B,2,FALSE)</f>
        <v>Product RECZE</v>
      </c>
      <c r="K455" t="str">
        <f>VLOOKUP(VLOOKUP(B455,Product!A:D,4,FALSE),Category!A:B,2,FALSE)</f>
        <v>Beverages</v>
      </c>
      <c r="L455" s="24">
        <f>IFERROR(VLOOKUP(A455,'Sales Order'!A:D,4,FALSE),"")</f>
        <v>39099</v>
      </c>
      <c r="M455" s="24">
        <f>IFERROR(VLOOKUP(A455,'Sales Order'!A:F,6,FALSE),"")</f>
        <v>39106</v>
      </c>
      <c r="N455" t="str">
        <f>IFERROR(VLOOKUP(VLOOKUP(A455,'Sales Order'!A:G,7,FALSE),Shipper!A:B,2,FALSE),"Not Specified")</f>
        <v>Shipper GVSUA</v>
      </c>
      <c r="O455" t="str">
        <f>IFERROR(VLOOKUP(A455,'Sales Order'!A:I,9,FALSE),"Not Specified")</f>
        <v>Ship to 63-B</v>
      </c>
      <c r="P455" t="str">
        <f>IFERROR(VLOOKUP(A455,'Sales Order'!A:N,14,FALSE),"Not Specified")</f>
        <v>Germany</v>
      </c>
      <c r="Q455" t="str">
        <f>VLOOKUP(VLOOKUP(B455,Product!A:C,3,FALSE),Supplier!A:B,2,FALSE)</f>
        <v>Supplier SWRXU</v>
      </c>
      <c r="R455" t="str">
        <f>VLOOKUP(VLOOKUP(B455,Product!A:C,3,FALSE),Supplier!A:I,9,FALSE)</f>
        <v>UK</v>
      </c>
      <c r="S455" t="str">
        <f>IFERROR(IF(VLOOKUP(A455,'Sales Order'!A:H,8,FALSE)&gt;100,"High Freight","Low Freight"),"Not Specified")</f>
        <v>Low Freight</v>
      </c>
      <c r="T455">
        <f t="shared" si="15"/>
        <v>912</v>
      </c>
    </row>
    <row r="456" spans="1:20">
      <c r="A456" s="9">
        <v>10418</v>
      </c>
      <c r="B456" s="6">
        <v>47</v>
      </c>
      <c r="C456" s="6">
        <v>7.6</v>
      </c>
      <c r="D456" s="6">
        <v>55</v>
      </c>
      <c r="E456" s="18">
        <v>0</v>
      </c>
      <c r="F456" s="6" t="str">
        <f>IFERROR(VLOOKUP(VLOOKUP(A456,'Sales Order'!A:B,2,FALSE),Customer!A:C,3,FALSE),"Not Specified")</f>
        <v>Veronesi, Giorgio</v>
      </c>
      <c r="G456" s="6" t="str">
        <f t="shared" si="14"/>
        <v>Veronesi Giorgio</v>
      </c>
      <c r="H456" s="22" t="str">
        <f>IFERROR(VLOOKUP(VLOOKUP(A456,'Sales Order'!A:C,3,FALSE),Employee!A:E,5,FALSE)&amp;" "&amp;VLOOKUP(VLOOKUP(A456,'Sales Order'!A:C,3,FALSE),Employee!A:C,3,FALSE)&amp;" "&amp;VLOOKUP(VLOOKUP(A456,'Sales Order'!A:C,3,FALSE),Employee!A:B,2,FALSE),"Not Specified")</f>
        <v>Mrs. Yael Peled</v>
      </c>
      <c r="I456" t="str">
        <f>IFERROR(VLOOKUP(VLOOKUP(A456,'Sales Order'!A:C,3,FALSE),Employee!A:J,10,FALSE),"Not Specified")</f>
        <v>WA</v>
      </c>
      <c r="J456" t="str">
        <f>VLOOKUP(B456,Product!A:B,2,FALSE)</f>
        <v>Product EZZPR</v>
      </c>
      <c r="K456" t="str">
        <f>VLOOKUP(VLOOKUP(B456,Product!A:D,4,FALSE),Category!A:B,2,FALSE)</f>
        <v>Confections</v>
      </c>
      <c r="L456" s="24">
        <f>IFERROR(VLOOKUP(A456,'Sales Order'!A:D,4,FALSE),"")</f>
        <v>39099</v>
      </c>
      <c r="M456" s="24">
        <f>IFERROR(VLOOKUP(A456,'Sales Order'!A:F,6,FALSE),"")</f>
        <v>39106</v>
      </c>
      <c r="N456" t="str">
        <f>IFERROR(VLOOKUP(VLOOKUP(A456,'Sales Order'!A:G,7,FALSE),Shipper!A:B,2,FALSE),"Not Specified")</f>
        <v>Shipper GVSUA</v>
      </c>
      <c r="O456" t="str">
        <f>IFERROR(VLOOKUP(A456,'Sales Order'!A:I,9,FALSE),"Not Specified")</f>
        <v>Ship to 63-B</v>
      </c>
      <c r="P456" t="str">
        <f>IFERROR(VLOOKUP(A456,'Sales Order'!A:N,14,FALSE),"Not Specified")</f>
        <v>Germany</v>
      </c>
      <c r="Q456" t="str">
        <f>VLOOKUP(VLOOKUP(B456,Product!A:C,3,FALSE),Supplier!A:B,2,FALSE)</f>
        <v>Supplier FNUXM</v>
      </c>
      <c r="R456" t="str">
        <f>VLOOKUP(VLOOKUP(B456,Product!A:C,3,FALSE),Supplier!A:I,9,FALSE)</f>
        <v>Netherlands</v>
      </c>
      <c r="S456" t="str">
        <f>IFERROR(IF(VLOOKUP(A456,'Sales Order'!A:H,8,FALSE)&gt;100,"High Freight","Low Freight"),"Not Specified")</f>
        <v>Low Freight</v>
      </c>
      <c r="T456">
        <f t="shared" si="15"/>
        <v>418</v>
      </c>
    </row>
    <row r="457" spans="1:20">
      <c r="A457" s="9">
        <v>10418</v>
      </c>
      <c r="B457" s="6">
        <v>61</v>
      </c>
      <c r="C457" s="6">
        <v>22.8</v>
      </c>
      <c r="D457" s="6">
        <v>16</v>
      </c>
      <c r="E457" s="18">
        <v>0</v>
      </c>
      <c r="F457" s="6" t="str">
        <f>IFERROR(VLOOKUP(VLOOKUP(A457,'Sales Order'!A:B,2,FALSE),Customer!A:C,3,FALSE),"Not Specified")</f>
        <v>Veronesi, Giorgio</v>
      </c>
      <c r="G457" s="6" t="str">
        <f t="shared" si="14"/>
        <v>Veronesi Giorgio</v>
      </c>
      <c r="H457" s="22" t="str">
        <f>IFERROR(VLOOKUP(VLOOKUP(A457,'Sales Order'!A:C,3,FALSE),Employee!A:E,5,FALSE)&amp;" "&amp;VLOOKUP(VLOOKUP(A457,'Sales Order'!A:C,3,FALSE),Employee!A:C,3,FALSE)&amp;" "&amp;VLOOKUP(VLOOKUP(A457,'Sales Order'!A:C,3,FALSE),Employee!A:B,2,FALSE),"Not Specified")</f>
        <v>Mrs. Yael Peled</v>
      </c>
      <c r="I457" t="str">
        <f>IFERROR(VLOOKUP(VLOOKUP(A457,'Sales Order'!A:C,3,FALSE),Employee!A:J,10,FALSE),"Not Specified")</f>
        <v>WA</v>
      </c>
      <c r="J457" t="str">
        <f>VLOOKUP(B457,Product!A:B,2,FALSE)</f>
        <v>Product XYZPE</v>
      </c>
      <c r="K457" t="str">
        <f>VLOOKUP(VLOOKUP(B457,Product!A:D,4,FALSE),Category!A:B,2,FALSE)</f>
        <v>Condiments</v>
      </c>
      <c r="L457" s="24">
        <f>IFERROR(VLOOKUP(A457,'Sales Order'!A:D,4,FALSE),"")</f>
        <v>39099</v>
      </c>
      <c r="M457" s="24">
        <f>IFERROR(VLOOKUP(A457,'Sales Order'!A:F,6,FALSE),"")</f>
        <v>39106</v>
      </c>
      <c r="N457" t="str">
        <f>IFERROR(VLOOKUP(VLOOKUP(A457,'Sales Order'!A:G,7,FALSE),Shipper!A:B,2,FALSE),"Not Specified")</f>
        <v>Shipper GVSUA</v>
      </c>
      <c r="O457" t="str">
        <f>IFERROR(VLOOKUP(A457,'Sales Order'!A:I,9,FALSE),"Not Specified")</f>
        <v>Ship to 63-B</v>
      </c>
      <c r="P457" t="str">
        <f>IFERROR(VLOOKUP(A457,'Sales Order'!A:N,14,FALSE),"Not Specified")</f>
        <v>Germany</v>
      </c>
      <c r="Q457" t="str">
        <f>VLOOKUP(VLOOKUP(B457,Product!A:C,3,FALSE),Supplier!A:B,2,FALSE)</f>
        <v>Supplier OGLRK</v>
      </c>
      <c r="R457" t="str">
        <f>VLOOKUP(VLOOKUP(B457,Product!A:C,3,FALSE),Supplier!A:I,9,FALSE)</f>
        <v>Canada</v>
      </c>
      <c r="S457" t="str">
        <f>IFERROR(IF(VLOOKUP(A457,'Sales Order'!A:H,8,FALSE)&gt;100,"High Freight","Low Freight"),"Not Specified")</f>
        <v>Low Freight</v>
      </c>
      <c r="T457">
        <f t="shared" si="15"/>
        <v>364.8</v>
      </c>
    </row>
    <row r="458" spans="1:20">
      <c r="A458" s="9">
        <v>10418</v>
      </c>
      <c r="B458" s="6">
        <v>74</v>
      </c>
      <c r="C458" s="6">
        <v>8</v>
      </c>
      <c r="D458" s="6">
        <v>15</v>
      </c>
      <c r="E458" s="18">
        <v>0</v>
      </c>
      <c r="F458" s="6" t="str">
        <f>IFERROR(VLOOKUP(VLOOKUP(A458,'Sales Order'!A:B,2,FALSE),Customer!A:C,3,FALSE),"Not Specified")</f>
        <v>Veronesi, Giorgio</v>
      </c>
      <c r="G458" s="6" t="str">
        <f t="shared" si="14"/>
        <v>Veronesi Giorgio</v>
      </c>
      <c r="H458" s="22" t="str">
        <f>IFERROR(VLOOKUP(VLOOKUP(A458,'Sales Order'!A:C,3,FALSE),Employee!A:E,5,FALSE)&amp;" "&amp;VLOOKUP(VLOOKUP(A458,'Sales Order'!A:C,3,FALSE),Employee!A:C,3,FALSE)&amp;" "&amp;VLOOKUP(VLOOKUP(A458,'Sales Order'!A:C,3,FALSE),Employee!A:B,2,FALSE),"Not Specified")</f>
        <v>Mrs. Yael Peled</v>
      </c>
      <c r="I458" t="str">
        <f>IFERROR(VLOOKUP(VLOOKUP(A458,'Sales Order'!A:C,3,FALSE),Employee!A:J,10,FALSE),"Not Specified")</f>
        <v>WA</v>
      </c>
      <c r="J458" t="str">
        <f>VLOOKUP(B458,Product!A:B,2,FALSE)</f>
        <v>Product BKAZJ</v>
      </c>
      <c r="K458" t="str">
        <f>VLOOKUP(VLOOKUP(B458,Product!A:D,4,FALSE),Category!A:B,2,FALSE)</f>
        <v>Produce</v>
      </c>
      <c r="L458" s="24">
        <f>IFERROR(VLOOKUP(A458,'Sales Order'!A:D,4,FALSE),"")</f>
        <v>39099</v>
      </c>
      <c r="M458" s="24">
        <f>IFERROR(VLOOKUP(A458,'Sales Order'!A:F,6,FALSE),"")</f>
        <v>39106</v>
      </c>
      <c r="N458" t="str">
        <f>IFERROR(VLOOKUP(VLOOKUP(A458,'Sales Order'!A:G,7,FALSE),Shipper!A:B,2,FALSE),"Not Specified")</f>
        <v>Shipper GVSUA</v>
      </c>
      <c r="O458" t="str">
        <f>IFERROR(VLOOKUP(A458,'Sales Order'!A:I,9,FALSE),"Not Specified")</f>
        <v>Ship to 63-B</v>
      </c>
      <c r="P458" t="str">
        <f>IFERROR(VLOOKUP(A458,'Sales Order'!A:N,14,FALSE),"Not Specified")</f>
        <v>Germany</v>
      </c>
      <c r="Q458" t="str">
        <f>VLOOKUP(VLOOKUP(B458,Product!A:C,3,FALSE),Supplier!A:B,2,FALSE)</f>
        <v>Supplier QOVFD</v>
      </c>
      <c r="R458" t="str">
        <f>VLOOKUP(VLOOKUP(B458,Product!A:C,3,FALSE),Supplier!A:I,9,FALSE)</f>
        <v>Japan</v>
      </c>
      <c r="S458" t="str">
        <f>IFERROR(IF(VLOOKUP(A458,'Sales Order'!A:H,8,FALSE)&gt;100,"High Freight","Low Freight"),"Not Specified")</f>
        <v>Low Freight</v>
      </c>
      <c r="T458">
        <f t="shared" si="15"/>
        <v>120</v>
      </c>
    </row>
    <row r="459" spans="1:20">
      <c r="A459" s="9">
        <v>10419</v>
      </c>
      <c r="B459" s="6">
        <v>60</v>
      </c>
      <c r="C459" s="6">
        <v>27.2</v>
      </c>
      <c r="D459" s="6">
        <v>60</v>
      </c>
      <c r="E459" s="18">
        <v>0.05</v>
      </c>
      <c r="F459" s="6" t="str">
        <f>IFERROR(VLOOKUP(VLOOKUP(A459,'Sales Order'!A:B,2,FALSE),Customer!A:C,3,FALSE),"Not Specified")</f>
        <v>Myrcha, Jacek</v>
      </c>
      <c r="G459" s="6" t="str">
        <f t="shared" si="14"/>
        <v>Myrcha Jacek</v>
      </c>
      <c r="H459" s="22" t="str">
        <f>IFERROR(VLOOKUP(VLOOKUP(A459,'Sales Order'!A:C,3,FALSE),Employee!A:E,5,FALSE)&amp;" "&amp;VLOOKUP(VLOOKUP(A459,'Sales Order'!A:C,3,FALSE),Employee!A:C,3,FALSE)&amp;" "&amp;VLOOKUP(VLOOKUP(A459,'Sales Order'!A:C,3,FALSE),Employee!A:B,2,FALSE),"Not Specified")</f>
        <v>Mrs. Yael Peled</v>
      </c>
      <c r="I459" t="str">
        <f>IFERROR(VLOOKUP(VLOOKUP(A459,'Sales Order'!A:C,3,FALSE),Employee!A:J,10,FALSE),"Not Specified")</f>
        <v>WA</v>
      </c>
      <c r="J459" t="str">
        <f>VLOOKUP(B459,Product!A:B,2,FALSE)</f>
        <v>Product WHBYK</v>
      </c>
      <c r="K459" t="str">
        <f>VLOOKUP(VLOOKUP(B459,Product!A:D,4,FALSE),Category!A:B,2,FALSE)</f>
        <v>Dairy Product</v>
      </c>
      <c r="L459" s="24">
        <f>IFERROR(VLOOKUP(A459,'Sales Order'!A:D,4,FALSE),"")</f>
        <v>39102</v>
      </c>
      <c r="M459" s="24">
        <f>IFERROR(VLOOKUP(A459,'Sales Order'!A:F,6,FALSE),"")</f>
        <v>39112</v>
      </c>
      <c r="N459" t="str">
        <f>IFERROR(VLOOKUP(VLOOKUP(A459,'Sales Order'!A:G,7,FALSE),Shipper!A:B,2,FALSE),"Not Specified")</f>
        <v>Shipper ETYNR</v>
      </c>
      <c r="O459" t="str">
        <f>IFERROR(VLOOKUP(A459,'Sales Order'!A:I,9,FALSE),"Not Specified")</f>
        <v>Ship to 68-A</v>
      </c>
      <c r="P459" t="str">
        <f>IFERROR(VLOOKUP(A459,'Sales Order'!A:N,14,FALSE),"Not Specified")</f>
        <v>Switzerland</v>
      </c>
      <c r="Q459" t="str">
        <f>VLOOKUP(VLOOKUP(B459,Product!A:C,3,FALSE),Supplier!A:B,2,FALSE)</f>
        <v>Supplier OAVQT</v>
      </c>
      <c r="R459" t="str">
        <f>VLOOKUP(VLOOKUP(B459,Product!A:C,3,FALSE),Supplier!A:I,9,FALSE)</f>
        <v>France</v>
      </c>
      <c r="S459" t="str">
        <f>IFERROR(IF(VLOOKUP(A459,'Sales Order'!A:H,8,FALSE)&gt;100,"High Freight","Low Freight"),"Not Specified")</f>
        <v>High Freight</v>
      </c>
      <c r="T459">
        <f t="shared" si="15"/>
        <v>1550.3999999999999</v>
      </c>
    </row>
    <row r="460" spans="1:20">
      <c r="A460" s="9">
        <v>10419</v>
      </c>
      <c r="B460" s="6">
        <v>69</v>
      </c>
      <c r="C460" s="6">
        <v>28.8</v>
      </c>
      <c r="D460" s="6">
        <v>20</v>
      </c>
      <c r="E460" s="18">
        <v>0.05</v>
      </c>
      <c r="F460" s="6" t="str">
        <f>IFERROR(VLOOKUP(VLOOKUP(A460,'Sales Order'!A:B,2,FALSE),Customer!A:C,3,FALSE),"Not Specified")</f>
        <v>Myrcha, Jacek</v>
      </c>
      <c r="G460" s="6" t="str">
        <f t="shared" si="14"/>
        <v>Myrcha Jacek</v>
      </c>
      <c r="H460" s="22" t="str">
        <f>IFERROR(VLOOKUP(VLOOKUP(A460,'Sales Order'!A:C,3,FALSE),Employee!A:E,5,FALSE)&amp;" "&amp;VLOOKUP(VLOOKUP(A460,'Sales Order'!A:C,3,FALSE),Employee!A:C,3,FALSE)&amp;" "&amp;VLOOKUP(VLOOKUP(A460,'Sales Order'!A:C,3,FALSE),Employee!A:B,2,FALSE),"Not Specified")</f>
        <v>Mrs. Yael Peled</v>
      </c>
      <c r="I460" t="str">
        <f>IFERROR(VLOOKUP(VLOOKUP(A460,'Sales Order'!A:C,3,FALSE),Employee!A:J,10,FALSE),"Not Specified")</f>
        <v>WA</v>
      </c>
      <c r="J460" t="str">
        <f>VLOOKUP(B460,Product!A:B,2,FALSE)</f>
        <v>Product COAXA</v>
      </c>
      <c r="K460" t="str">
        <f>VLOOKUP(VLOOKUP(B460,Product!A:D,4,FALSE),Category!A:B,2,FALSE)</f>
        <v>Dairy Product</v>
      </c>
      <c r="L460" s="24">
        <f>IFERROR(VLOOKUP(A460,'Sales Order'!A:D,4,FALSE),"")</f>
        <v>39102</v>
      </c>
      <c r="M460" s="24">
        <f>IFERROR(VLOOKUP(A460,'Sales Order'!A:F,6,FALSE),"")</f>
        <v>39112</v>
      </c>
      <c r="N460" t="str">
        <f>IFERROR(VLOOKUP(VLOOKUP(A460,'Sales Order'!A:G,7,FALSE),Shipper!A:B,2,FALSE),"Not Specified")</f>
        <v>Shipper ETYNR</v>
      </c>
      <c r="O460" t="str">
        <f>IFERROR(VLOOKUP(A460,'Sales Order'!A:I,9,FALSE),"Not Specified")</f>
        <v>Ship to 68-A</v>
      </c>
      <c r="P460" t="str">
        <f>IFERROR(VLOOKUP(A460,'Sales Order'!A:N,14,FALSE),"Not Specified")</f>
        <v>Switzerland</v>
      </c>
      <c r="Q460" t="str">
        <f>VLOOKUP(VLOOKUP(B460,Product!A:C,3,FALSE),Supplier!A:B,2,FALSE)</f>
        <v>Supplier NZLIF</v>
      </c>
      <c r="R460" t="str">
        <f>VLOOKUP(VLOOKUP(B460,Product!A:C,3,FALSE),Supplier!A:I,9,FALSE)</f>
        <v>Norway</v>
      </c>
      <c r="S460" t="str">
        <f>IFERROR(IF(VLOOKUP(A460,'Sales Order'!A:H,8,FALSE)&gt;100,"High Freight","Low Freight"),"Not Specified")</f>
        <v>High Freight</v>
      </c>
      <c r="T460">
        <f t="shared" si="15"/>
        <v>547.19999999999993</v>
      </c>
    </row>
    <row r="461" spans="1:20">
      <c r="A461" s="9">
        <v>10420</v>
      </c>
      <c r="B461" s="6">
        <v>9</v>
      </c>
      <c r="C461" s="6">
        <v>77.599999999999994</v>
      </c>
      <c r="D461" s="6">
        <v>20</v>
      </c>
      <c r="E461" s="18">
        <v>0.1</v>
      </c>
      <c r="F461" s="6" t="str">
        <f>IFERROR(VLOOKUP(VLOOKUP(A461,'Sales Order'!A:B,2,FALSE),Customer!A:C,3,FALSE),"Not Specified")</f>
        <v>Li, Yan</v>
      </c>
      <c r="G461" s="6" t="str">
        <f t="shared" si="14"/>
        <v>Li Yan</v>
      </c>
      <c r="H461" s="22" t="str">
        <f>IFERROR(VLOOKUP(VLOOKUP(A461,'Sales Order'!A:C,3,FALSE),Employee!A:E,5,FALSE)&amp;" "&amp;VLOOKUP(VLOOKUP(A461,'Sales Order'!A:C,3,FALSE),Employee!A:C,3,FALSE)&amp;" "&amp;VLOOKUP(VLOOKUP(A461,'Sales Order'!A:C,3,FALSE),Employee!A:B,2,FALSE),"Not Specified")</f>
        <v>Ms. Judy Lew</v>
      </c>
      <c r="I461" t="str">
        <f>IFERROR(VLOOKUP(VLOOKUP(A461,'Sales Order'!A:C,3,FALSE),Employee!A:J,10,FALSE),"Not Specified")</f>
        <v>WA</v>
      </c>
      <c r="J461" t="str">
        <f>VLOOKUP(B461,Product!A:B,2,FALSE)</f>
        <v>Product AOZBW</v>
      </c>
      <c r="K461" t="str">
        <f>VLOOKUP(VLOOKUP(B461,Product!A:D,4,FALSE),Category!A:B,2,FALSE)</f>
        <v>Meat/Poultry</v>
      </c>
      <c r="L461" s="24">
        <f>IFERROR(VLOOKUP(A461,'Sales Order'!A:D,4,FALSE),"")</f>
        <v>39103</v>
      </c>
      <c r="M461" s="24">
        <f>IFERROR(VLOOKUP(A461,'Sales Order'!A:F,6,FALSE),"")</f>
        <v>39109</v>
      </c>
      <c r="N461" t="str">
        <f>IFERROR(VLOOKUP(VLOOKUP(A461,'Sales Order'!A:G,7,FALSE),Shipper!A:B,2,FALSE),"Not Specified")</f>
        <v>Shipper GVSUA</v>
      </c>
      <c r="O461" t="str">
        <f>IFERROR(VLOOKUP(A461,'Sales Order'!A:I,9,FALSE),"Not Specified")</f>
        <v>Ship to 88-C</v>
      </c>
      <c r="P461" t="str">
        <f>IFERROR(VLOOKUP(A461,'Sales Order'!A:N,14,FALSE),"Not Specified")</f>
        <v>Brazil</v>
      </c>
      <c r="Q461" t="str">
        <f>VLOOKUP(VLOOKUP(B461,Product!A:C,3,FALSE),Supplier!A:B,2,FALSE)</f>
        <v>Supplier QOVFD</v>
      </c>
      <c r="R461" t="str">
        <f>VLOOKUP(VLOOKUP(B461,Product!A:C,3,FALSE),Supplier!A:I,9,FALSE)</f>
        <v>Japan</v>
      </c>
      <c r="S461" t="str">
        <f>IFERROR(IF(VLOOKUP(A461,'Sales Order'!A:H,8,FALSE)&gt;100,"High Freight","Low Freight"),"Not Specified")</f>
        <v>Low Freight</v>
      </c>
      <c r="T461">
        <f t="shared" si="15"/>
        <v>1396.8</v>
      </c>
    </row>
    <row r="462" spans="1:20">
      <c r="A462" s="9">
        <v>10420</v>
      </c>
      <c r="B462" s="6">
        <v>13</v>
      </c>
      <c r="C462" s="6">
        <v>4.8</v>
      </c>
      <c r="D462" s="6">
        <v>2</v>
      </c>
      <c r="E462" s="18">
        <v>0.1</v>
      </c>
      <c r="F462" s="6" t="str">
        <f>IFERROR(VLOOKUP(VLOOKUP(A462,'Sales Order'!A:B,2,FALSE),Customer!A:C,3,FALSE),"Not Specified")</f>
        <v>Li, Yan</v>
      </c>
      <c r="G462" s="6" t="str">
        <f t="shared" si="14"/>
        <v>Li Yan</v>
      </c>
      <c r="H462" s="22" t="str">
        <f>IFERROR(VLOOKUP(VLOOKUP(A462,'Sales Order'!A:C,3,FALSE),Employee!A:E,5,FALSE)&amp;" "&amp;VLOOKUP(VLOOKUP(A462,'Sales Order'!A:C,3,FALSE),Employee!A:C,3,FALSE)&amp;" "&amp;VLOOKUP(VLOOKUP(A462,'Sales Order'!A:C,3,FALSE),Employee!A:B,2,FALSE),"Not Specified")</f>
        <v>Ms. Judy Lew</v>
      </c>
      <c r="I462" t="str">
        <f>IFERROR(VLOOKUP(VLOOKUP(A462,'Sales Order'!A:C,3,FALSE),Employee!A:J,10,FALSE),"Not Specified")</f>
        <v>WA</v>
      </c>
      <c r="J462" t="str">
        <f>VLOOKUP(B462,Product!A:B,2,FALSE)</f>
        <v>Product POXFU</v>
      </c>
      <c r="K462" t="str">
        <f>VLOOKUP(VLOOKUP(B462,Product!A:D,4,FALSE),Category!A:B,2,FALSE)</f>
        <v>Seafood</v>
      </c>
      <c r="L462" s="24">
        <f>IFERROR(VLOOKUP(A462,'Sales Order'!A:D,4,FALSE),"")</f>
        <v>39103</v>
      </c>
      <c r="M462" s="24">
        <f>IFERROR(VLOOKUP(A462,'Sales Order'!A:F,6,FALSE),"")</f>
        <v>39109</v>
      </c>
      <c r="N462" t="str">
        <f>IFERROR(VLOOKUP(VLOOKUP(A462,'Sales Order'!A:G,7,FALSE),Shipper!A:B,2,FALSE),"Not Specified")</f>
        <v>Shipper GVSUA</v>
      </c>
      <c r="O462" t="str">
        <f>IFERROR(VLOOKUP(A462,'Sales Order'!A:I,9,FALSE),"Not Specified")</f>
        <v>Ship to 88-C</v>
      </c>
      <c r="P462" t="str">
        <f>IFERROR(VLOOKUP(A462,'Sales Order'!A:N,14,FALSE),"Not Specified")</f>
        <v>Brazil</v>
      </c>
      <c r="Q462" t="str">
        <f>VLOOKUP(VLOOKUP(B462,Product!A:C,3,FALSE),Supplier!A:B,2,FALSE)</f>
        <v>Supplier QWUSF</v>
      </c>
      <c r="R462" t="str">
        <f>VLOOKUP(VLOOKUP(B462,Product!A:C,3,FALSE),Supplier!A:I,9,FALSE)</f>
        <v>Japan</v>
      </c>
      <c r="S462" t="str">
        <f>IFERROR(IF(VLOOKUP(A462,'Sales Order'!A:H,8,FALSE)&gt;100,"High Freight","Low Freight"),"Not Specified")</f>
        <v>Low Freight</v>
      </c>
      <c r="T462">
        <f t="shared" si="15"/>
        <v>8.64</v>
      </c>
    </row>
    <row r="463" spans="1:20">
      <c r="A463" s="9">
        <v>10420</v>
      </c>
      <c r="B463" s="6">
        <v>70</v>
      </c>
      <c r="C463" s="6">
        <v>12</v>
      </c>
      <c r="D463" s="6">
        <v>8</v>
      </c>
      <c r="E463" s="18">
        <v>0.1</v>
      </c>
      <c r="F463" s="6" t="str">
        <f>IFERROR(VLOOKUP(VLOOKUP(A463,'Sales Order'!A:B,2,FALSE),Customer!A:C,3,FALSE),"Not Specified")</f>
        <v>Li, Yan</v>
      </c>
      <c r="G463" s="6" t="str">
        <f t="shared" si="14"/>
        <v>Li Yan</v>
      </c>
      <c r="H463" s="22" t="str">
        <f>IFERROR(VLOOKUP(VLOOKUP(A463,'Sales Order'!A:C,3,FALSE),Employee!A:E,5,FALSE)&amp;" "&amp;VLOOKUP(VLOOKUP(A463,'Sales Order'!A:C,3,FALSE),Employee!A:C,3,FALSE)&amp;" "&amp;VLOOKUP(VLOOKUP(A463,'Sales Order'!A:C,3,FALSE),Employee!A:B,2,FALSE),"Not Specified")</f>
        <v>Ms. Judy Lew</v>
      </c>
      <c r="I463" t="str">
        <f>IFERROR(VLOOKUP(VLOOKUP(A463,'Sales Order'!A:C,3,FALSE),Employee!A:J,10,FALSE),"Not Specified")</f>
        <v>WA</v>
      </c>
      <c r="J463" t="str">
        <f>VLOOKUP(B463,Product!A:B,2,FALSE)</f>
        <v>Product TOONT</v>
      </c>
      <c r="K463" t="str">
        <f>VLOOKUP(VLOOKUP(B463,Product!A:D,4,FALSE),Category!A:B,2,FALSE)</f>
        <v>Beverages</v>
      </c>
      <c r="L463" s="24">
        <f>IFERROR(VLOOKUP(A463,'Sales Order'!A:D,4,FALSE),"")</f>
        <v>39103</v>
      </c>
      <c r="M463" s="24">
        <f>IFERROR(VLOOKUP(A463,'Sales Order'!A:F,6,FALSE),"")</f>
        <v>39109</v>
      </c>
      <c r="N463" t="str">
        <f>IFERROR(VLOOKUP(VLOOKUP(A463,'Sales Order'!A:G,7,FALSE),Shipper!A:B,2,FALSE),"Not Specified")</f>
        <v>Shipper GVSUA</v>
      </c>
      <c r="O463" t="str">
        <f>IFERROR(VLOOKUP(A463,'Sales Order'!A:I,9,FALSE),"Not Specified")</f>
        <v>Ship to 88-C</v>
      </c>
      <c r="P463" t="str">
        <f>IFERROR(VLOOKUP(A463,'Sales Order'!A:N,14,FALSE),"Not Specified")</f>
        <v>Brazil</v>
      </c>
      <c r="Q463" t="str">
        <f>VLOOKUP(VLOOKUP(B463,Product!A:C,3,FALSE),Supplier!A:B,2,FALSE)</f>
        <v>Supplier GQRCV</v>
      </c>
      <c r="R463" t="str">
        <f>VLOOKUP(VLOOKUP(B463,Product!A:C,3,FALSE),Supplier!A:I,9,FALSE)</f>
        <v>Australia</v>
      </c>
      <c r="S463" t="str">
        <f>IFERROR(IF(VLOOKUP(A463,'Sales Order'!A:H,8,FALSE)&gt;100,"High Freight","Low Freight"),"Not Specified")</f>
        <v>Low Freight</v>
      </c>
      <c r="T463">
        <f t="shared" si="15"/>
        <v>86.4</v>
      </c>
    </row>
    <row r="464" spans="1:20">
      <c r="A464" s="9">
        <v>10420</v>
      </c>
      <c r="B464" s="6">
        <v>73</v>
      </c>
      <c r="C464" s="6">
        <v>12</v>
      </c>
      <c r="D464" s="6">
        <v>20</v>
      </c>
      <c r="E464" s="18">
        <v>0.1</v>
      </c>
      <c r="F464" s="6" t="str">
        <f>IFERROR(VLOOKUP(VLOOKUP(A464,'Sales Order'!A:B,2,FALSE),Customer!A:C,3,FALSE),"Not Specified")</f>
        <v>Li, Yan</v>
      </c>
      <c r="G464" s="6" t="str">
        <f t="shared" si="14"/>
        <v>Li Yan</v>
      </c>
      <c r="H464" s="22" t="str">
        <f>IFERROR(VLOOKUP(VLOOKUP(A464,'Sales Order'!A:C,3,FALSE),Employee!A:E,5,FALSE)&amp;" "&amp;VLOOKUP(VLOOKUP(A464,'Sales Order'!A:C,3,FALSE),Employee!A:C,3,FALSE)&amp;" "&amp;VLOOKUP(VLOOKUP(A464,'Sales Order'!A:C,3,FALSE),Employee!A:B,2,FALSE),"Not Specified")</f>
        <v>Ms. Judy Lew</v>
      </c>
      <c r="I464" t="str">
        <f>IFERROR(VLOOKUP(VLOOKUP(A464,'Sales Order'!A:C,3,FALSE),Employee!A:J,10,FALSE),"Not Specified")</f>
        <v>WA</v>
      </c>
      <c r="J464" t="str">
        <f>VLOOKUP(B464,Product!A:B,2,FALSE)</f>
        <v>Product WEUJZ</v>
      </c>
      <c r="K464" t="str">
        <f>VLOOKUP(VLOOKUP(B464,Product!A:D,4,FALSE),Category!A:B,2,FALSE)</f>
        <v>Seafood</v>
      </c>
      <c r="L464" s="24">
        <f>IFERROR(VLOOKUP(A464,'Sales Order'!A:D,4,FALSE),"")</f>
        <v>39103</v>
      </c>
      <c r="M464" s="24">
        <f>IFERROR(VLOOKUP(A464,'Sales Order'!A:F,6,FALSE),"")</f>
        <v>39109</v>
      </c>
      <c r="N464" t="str">
        <f>IFERROR(VLOOKUP(VLOOKUP(A464,'Sales Order'!A:G,7,FALSE),Shipper!A:B,2,FALSE),"Not Specified")</f>
        <v>Shipper GVSUA</v>
      </c>
      <c r="O464" t="str">
        <f>IFERROR(VLOOKUP(A464,'Sales Order'!A:I,9,FALSE),"Not Specified")</f>
        <v>Ship to 88-C</v>
      </c>
      <c r="P464" t="str">
        <f>IFERROR(VLOOKUP(A464,'Sales Order'!A:N,14,FALSE),"Not Specified")</f>
        <v>Brazil</v>
      </c>
      <c r="Q464" t="str">
        <f>VLOOKUP(VLOOKUP(B464,Product!A:C,3,FALSE),Supplier!A:B,2,FALSE)</f>
        <v>Supplier QZGUF</v>
      </c>
      <c r="R464" t="str">
        <f>VLOOKUP(VLOOKUP(B464,Product!A:C,3,FALSE),Supplier!A:I,9,FALSE)</f>
        <v>Sweden</v>
      </c>
      <c r="S464" t="str">
        <f>IFERROR(IF(VLOOKUP(A464,'Sales Order'!A:H,8,FALSE)&gt;100,"High Freight","Low Freight"),"Not Specified")</f>
        <v>Low Freight</v>
      </c>
      <c r="T464">
        <f t="shared" si="15"/>
        <v>216</v>
      </c>
    </row>
    <row r="465" spans="1:20">
      <c r="A465" s="9">
        <v>10421</v>
      </c>
      <c r="B465" s="6">
        <v>19</v>
      </c>
      <c r="C465" s="6">
        <v>7.3</v>
      </c>
      <c r="D465" s="6">
        <v>4</v>
      </c>
      <c r="E465" s="18">
        <v>0.15</v>
      </c>
      <c r="F465" s="6" t="str">
        <f>IFERROR(VLOOKUP(VLOOKUP(A465,'Sales Order'!A:B,2,FALSE),Customer!A:C,3,FALSE),"Not Specified")</f>
        <v>Florczyk, Krzysztof</v>
      </c>
      <c r="G465" s="6" t="str">
        <f t="shared" si="14"/>
        <v>Florczyk Krzysztof</v>
      </c>
      <c r="H465" s="22" t="str">
        <f>IFERROR(VLOOKUP(VLOOKUP(A465,'Sales Order'!A:C,3,FALSE),Employee!A:E,5,FALSE)&amp;" "&amp;VLOOKUP(VLOOKUP(A465,'Sales Order'!A:C,3,FALSE),Employee!A:C,3,FALSE)&amp;" "&amp;VLOOKUP(VLOOKUP(A465,'Sales Order'!A:C,3,FALSE),Employee!A:B,2,FALSE),"Not Specified")</f>
        <v>Ms. Maria Cameron</v>
      </c>
      <c r="I465" t="str">
        <f>IFERROR(VLOOKUP(VLOOKUP(A465,'Sales Order'!A:C,3,FALSE),Employee!A:J,10,FALSE),"Not Specified")</f>
        <v>WA</v>
      </c>
      <c r="J465" t="str">
        <f>VLOOKUP(B465,Product!A:B,2,FALSE)</f>
        <v>Product XKXDO</v>
      </c>
      <c r="K465" t="str">
        <f>VLOOKUP(VLOOKUP(B465,Product!A:D,4,FALSE),Category!A:B,2,FALSE)</f>
        <v>Confections</v>
      </c>
      <c r="L465" s="24">
        <f>IFERROR(VLOOKUP(A465,'Sales Order'!A:D,4,FALSE),"")</f>
        <v>39103</v>
      </c>
      <c r="M465" s="24">
        <f>IFERROR(VLOOKUP(A465,'Sales Order'!A:F,6,FALSE),"")</f>
        <v>39109</v>
      </c>
      <c r="N465" t="str">
        <f>IFERROR(VLOOKUP(VLOOKUP(A465,'Sales Order'!A:G,7,FALSE),Shipper!A:B,2,FALSE),"Not Specified")</f>
        <v>Shipper GVSUA</v>
      </c>
      <c r="O465" t="str">
        <f>IFERROR(VLOOKUP(A465,'Sales Order'!A:I,9,FALSE),"Not Specified")</f>
        <v>Ship to 61-C</v>
      </c>
      <c r="P465" t="str">
        <f>IFERROR(VLOOKUP(A465,'Sales Order'!A:N,14,FALSE),"Not Specified")</f>
        <v>Brazil</v>
      </c>
      <c r="Q465" t="str">
        <f>VLOOKUP(VLOOKUP(B465,Product!A:C,3,FALSE),Supplier!A:B,2,FALSE)</f>
        <v>Supplier BWGYE</v>
      </c>
      <c r="R465" t="str">
        <f>VLOOKUP(VLOOKUP(B465,Product!A:C,3,FALSE),Supplier!A:I,9,FALSE)</f>
        <v>UK</v>
      </c>
      <c r="S465" t="str">
        <f>IFERROR(IF(VLOOKUP(A465,'Sales Order'!A:H,8,FALSE)&gt;100,"High Freight","Low Freight"),"Not Specified")</f>
        <v>Low Freight</v>
      </c>
      <c r="T465">
        <f t="shared" si="15"/>
        <v>24.82</v>
      </c>
    </row>
    <row r="466" spans="1:20">
      <c r="A466" s="9">
        <v>10421</v>
      </c>
      <c r="B466" s="6">
        <v>26</v>
      </c>
      <c r="C466" s="6">
        <v>24.9</v>
      </c>
      <c r="D466" s="6">
        <v>30</v>
      </c>
      <c r="E466" s="18">
        <v>0</v>
      </c>
      <c r="F466" s="6" t="str">
        <f>IFERROR(VLOOKUP(VLOOKUP(A466,'Sales Order'!A:B,2,FALSE),Customer!A:C,3,FALSE),"Not Specified")</f>
        <v>Florczyk, Krzysztof</v>
      </c>
      <c r="G466" s="6" t="str">
        <f t="shared" si="14"/>
        <v>Florczyk Krzysztof</v>
      </c>
      <c r="H466" s="22" t="str">
        <f>IFERROR(VLOOKUP(VLOOKUP(A466,'Sales Order'!A:C,3,FALSE),Employee!A:E,5,FALSE)&amp;" "&amp;VLOOKUP(VLOOKUP(A466,'Sales Order'!A:C,3,FALSE),Employee!A:C,3,FALSE)&amp;" "&amp;VLOOKUP(VLOOKUP(A466,'Sales Order'!A:C,3,FALSE),Employee!A:B,2,FALSE),"Not Specified")</f>
        <v>Ms. Maria Cameron</v>
      </c>
      <c r="I466" t="str">
        <f>IFERROR(VLOOKUP(VLOOKUP(A466,'Sales Order'!A:C,3,FALSE),Employee!A:J,10,FALSE),"Not Specified")</f>
        <v>WA</v>
      </c>
      <c r="J466" t="str">
        <f>VLOOKUP(B466,Product!A:B,2,FALSE)</f>
        <v>Product HLGZA</v>
      </c>
      <c r="K466" t="str">
        <f>VLOOKUP(VLOOKUP(B466,Product!A:D,4,FALSE),Category!A:B,2,FALSE)</f>
        <v>Confections</v>
      </c>
      <c r="L466" s="24">
        <f>IFERROR(VLOOKUP(A466,'Sales Order'!A:D,4,FALSE),"")</f>
        <v>39103</v>
      </c>
      <c r="M466" s="24">
        <f>IFERROR(VLOOKUP(A466,'Sales Order'!A:F,6,FALSE),"")</f>
        <v>39109</v>
      </c>
      <c r="N466" t="str">
        <f>IFERROR(VLOOKUP(VLOOKUP(A466,'Sales Order'!A:G,7,FALSE),Shipper!A:B,2,FALSE),"Not Specified")</f>
        <v>Shipper GVSUA</v>
      </c>
      <c r="O466" t="str">
        <f>IFERROR(VLOOKUP(A466,'Sales Order'!A:I,9,FALSE),"Not Specified")</f>
        <v>Ship to 61-C</v>
      </c>
      <c r="P466" t="str">
        <f>IFERROR(VLOOKUP(A466,'Sales Order'!A:N,14,FALSE),"Not Specified")</f>
        <v>Brazil</v>
      </c>
      <c r="Q466" t="str">
        <f>VLOOKUP(VLOOKUP(B466,Product!A:C,3,FALSE),Supplier!A:B,2,FALSE)</f>
        <v>Supplier ZPYVS</v>
      </c>
      <c r="R466" t="str">
        <f>VLOOKUP(VLOOKUP(B466,Product!A:C,3,FALSE),Supplier!A:I,9,FALSE)</f>
        <v>Germany</v>
      </c>
      <c r="S466" t="str">
        <f>IFERROR(IF(VLOOKUP(A466,'Sales Order'!A:H,8,FALSE)&gt;100,"High Freight","Low Freight"),"Not Specified")</f>
        <v>Low Freight</v>
      </c>
      <c r="T466">
        <f t="shared" si="15"/>
        <v>747</v>
      </c>
    </row>
    <row r="467" spans="1:20">
      <c r="A467" s="9">
        <v>10421</v>
      </c>
      <c r="B467" s="6">
        <v>53</v>
      </c>
      <c r="C467" s="6">
        <v>26.2</v>
      </c>
      <c r="D467" s="6">
        <v>15</v>
      </c>
      <c r="E467" s="18">
        <v>0.15</v>
      </c>
      <c r="F467" s="6" t="str">
        <f>IFERROR(VLOOKUP(VLOOKUP(A467,'Sales Order'!A:B,2,FALSE),Customer!A:C,3,FALSE),"Not Specified")</f>
        <v>Florczyk, Krzysztof</v>
      </c>
      <c r="G467" s="6" t="str">
        <f t="shared" si="14"/>
        <v>Florczyk Krzysztof</v>
      </c>
      <c r="H467" s="22" t="str">
        <f>IFERROR(VLOOKUP(VLOOKUP(A467,'Sales Order'!A:C,3,FALSE),Employee!A:E,5,FALSE)&amp;" "&amp;VLOOKUP(VLOOKUP(A467,'Sales Order'!A:C,3,FALSE),Employee!A:C,3,FALSE)&amp;" "&amp;VLOOKUP(VLOOKUP(A467,'Sales Order'!A:C,3,FALSE),Employee!A:B,2,FALSE),"Not Specified")</f>
        <v>Ms. Maria Cameron</v>
      </c>
      <c r="I467" t="str">
        <f>IFERROR(VLOOKUP(VLOOKUP(A467,'Sales Order'!A:C,3,FALSE),Employee!A:J,10,FALSE),"Not Specified")</f>
        <v>WA</v>
      </c>
      <c r="J467" t="str">
        <f>VLOOKUP(B467,Product!A:B,2,FALSE)</f>
        <v>Product BKGEA</v>
      </c>
      <c r="K467" t="str">
        <f>VLOOKUP(VLOOKUP(B467,Product!A:D,4,FALSE),Category!A:B,2,FALSE)</f>
        <v>Meat/Poultry</v>
      </c>
      <c r="L467" s="24">
        <f>IFERROR(VLOOKUP(A467,'Sales Order'!A:D,4,FALSE),"")</f>
        <v>39103</v>
      </c>
      <c r="M467" s="24">
        <f>IFERROR(VLOOKUP(A467,'Sales Order'!A:F,6,FALSE),"")</f>
        <v>39109</v>
      </c>
      <c r="N467" t="str">
        <f>IFERROR(VLOOKUP(VLOOKUP(A467,'Sales Order'!A:G,7,FALSE),Shipper!A:B,2,FALSE),"Not Specified")</f>
        <v>Shipper GVSUA</v>
      </c>
      <c r="O467" t="str">
        <f>IFERROR(VLOOKUP(A467,'Sales Order'!A:I,9,FALSE),"Not Specified")</f>
        <v>Ship to 61-C</v>
      </c>
      <c r="P467" t="str">
        <f>IFERROR(VLOOKUP(A467,'Sales Order'!A:N,14,FALSE),"Not Specified")</f>
        <v>Brazil</v>
      </c>
      <c r="Q467" t="str">
        <f>VLOOKUP(VLOOKUP(B467,Product!A:C,3,FALSE),Supplier!A:B,2,FALSE)</f>
        <v>Supplier JNNES</v>
      </c>
      <c r="R467" t="str">
        <f>VLOOKUP(VLOOKUP(B467,Product!A:C,3,FALSE),Supplier!A:I,9,FALSE)</f>
        <v>Australia</v>
      </c>
      <c r="S467" t="str">
        <f>IFERROR(IF(VLOOKUP(A467,'Sales Order'!A:H,8,FALSE)&gt;100,"High Freight","Low Freight"),"Not Specified")</f>
        <v>Low Freight</v>
      </c>
      <c r="T467">
        <f t="shared" si="15"/>
        <v>334.05</v>
      </c>
    </row>
    <row r="468" spans="1:20">
      <c r="A468" s="9">
        <v>10421</v>
      </c>
      <c r="B468" s="6">
        <v>77</v>
      </c>
      <c r="C468" s="6">
        <v>10.4</v>
      </c>
      <c r="D468" s="6">
        <v>10</v>
      </c>
      <c r="E468" s="18">
        <v>0.15</v>
      </c>
      <c r="F468" s="6" t="str">
        <f>IFERROR(VLOOKUP(VLOOKUP(A468,'Sales Order'!A:B,2,FALSE),Customer!A:C,3,FALSE),"Not Specified")</f>
        <v>Florczyk, Krzysztof</v>
      </c>
      <c r="G468" s="6" t="str">
        <f t="shared" si="14"/>
        <v>Florczyk Krzysztof</v>
      </c>
      <c r="H468" s="22" t="str">
        <f>IFERROR(VLOOKUP(VLOOKUP(A468,'Sales Order'!A:C,3,FALSE),Employee!A:E,5,FALSE)&amp;" "&amp;VLOOKUP(VLOOKUP(A468,'Sales Order'!A:C,3,FALSE),Employee!A:C,3,FALSE)&amp;" "&amp;VLOOKUP(VLOOKUP(A468,'Sales Order'!A:C,3,FALSE),Employee!A:B,2,FALSE),"Not Specified")</f>
        <v>Ms. Maria Cameron</v>
      </c>
      <c r="I468" t="str">
        <f>IFERROR(VLOOKUP(VLOOKUP(A468,'Sales Order'!A:C,3,FALSE),Employee!A:J,10,FALSE),"Not Specified")</f>
        <v>WA</v>
      </c>
      <c r="J468" t="str">
        <f>VLOOKUP(B468,Product!A:B,2,FALSE)</f>
        <v>Product LUNZZ</v>
      </c>
      <c r="K468" t="str">
        <f>VLOOKUP(VLOOKUP(B468,Product!A:D,4,FALSE),Category!A:B,2,FALSE)</f>
        <v>Condiments</v>
      </c>
      <c r="L468" s="24">
        <f>IFERROR(VLOOKUP(A468,'Sales Order'!A:D,4,FALSE),"")</f>
        <v>39103</v>
      </c>
      <c r="M468" s="24">
        <f>IFERROR(VLOOKUP(A468,'Sales Order'!A:F,6,FALSE),"")</f>
        <v>39109</v>
      </c>
      <c r="N468" t="str">
        <f>IFERROR(VLOOKUP(VLOOKUP(A468,'Sales Order'!A:G,7,FALSE),Shipper!A:B,2,FALSE),"Not Specified")</f>
        <v>Shipper GVSUA</v>
      </c>
      <c r="O468" t="str">
        <f>IFERROR(VLOOKUP(A468,'Sales Order'!A:I,9,FALSE),"Not Specified")</f>
        <v>Ship to 61-C</v>
      </c>
      <c r="P468" t="str">
        <f>IFERROR(VLOOKUP(A468,'Sales Order'!A:N,14,FALSE),"Not Specified")</f>
        <v>Brazil</v>
      </c>
      <c r="Q468" t="str">
        <f>VLOOKUP(VLOOKUP(B468,Product!A:C,3,FALSE),Supplier!A:B,2,FALSE)</f>
        <v>Supplier SVIYA</v>
      </c>
      <c r="R468" t="str">
        <f>VLOOKUP(VLOOKUP(B468,Product!A:C,3,FALSE),Supplier!A:I,9,FALSE)</f>
        <v>Germany</v>
      </c>
      <c r="S468" t="str">
        <f>IFERROR(IF(VLOOKUP(A468,'Sales Order'!A:H,8,FALSE)&gt;100,"High Freight","Low Freight"),"Not Specified")</f>
        <v>Low Freight</v>
      </c>
      <c r="T468">
        <f t="shared" si="15"/>
        <v>88.399999999999991</v>
      </c>
    </row>
    <row r="469" spans="1:20">
      <c r="A469" s="9">
        <v>10422</v>
      </c>
      <c r="B469" s="6">
        <v>26</v>
      </c>
      <c r="C469" s="6">
        <v>24.9</v>
      </c>
      <c r="D469" s="6">
        <v>2</v>
      </c>
      <c r="E469" s="18">
        <v>0</v>
      </c>
      <c r="F469" s="6" t="str">
        <f>IFERROR(VLOOKUP(VLOOKUP(A469,'Sales Order'!A:B,2,FALSE),Customer!A:C,3,FALSE),"Not Specified")</f>
        <v>Schmöllerl, Martin</v>
      </c>
      <c r="G469" s="6" t="str">
        <f t="shared" si="14"/>
        <v>Schmöllerl Martin</v>
      </c>
      <c r="H469" s="22" t="str">
        <f>IFERROR(VLOOKUP(VLOOKUP(A469,'Sales Order'!A:C,3,FALSE),Employee!A:E,5,FALSE)&amp;" "&amp;VLOOKUP(VLOOKUP(A469,'Sales Order'!A:C,3,FALSE),Employee!A:C,3,FALSE)&amp;" "&amp;VLOOKUP(VLOOKUP(A469,'Sales Order'!A:C,3,FALSE),Employee!A:B,2,FALSE),"Not Specified")</f>
        <v>Dr. Don Funk</v>
      </c>
      <c r="I469" t="str">
        <f>IFERROR(VLOOKUP(VLOOKUP(A469,'Sales Order'!A:C,3,FALSE),Employee!A:J,10,FALSE),"Not Specified")</f>
        <v>WA</v>
      </c>
      <c r="J469" t="str">
        <f>VLOOKUP(B469,Product!A:B,2,FALSE)</f>
        <v>Product HLGZA</v>
      </c>
      <c r="K469" t="str">
        <f>VLOOKUP(VLOOKUP(B469,Product!A:D,4,FALSE),Category!A:B,2,FALSE)</f>
        <v>Confections</v>
      </c>
      <c r="L469" s="24">
        <f>IFERROR(VLOOKUP(A469,'Sales Order'!A:D,4,FALSE),"")</f>
        <v>39104</v>
      </c>
      <c r="M469" s="24">
        <f>IFERROR(VLOOKUP(A469,'Sales Order'!A:F,6,FALSE),"")</f>
        <v>39113</v>
      </c>
      <c r="N469" t="str">
        <f>IFERROR(VLOOKUP(VLOOKUP(A469,'Sales Order'!A:G,7,FALSE),Shipper!A:B,2,FALSE),"Not Specified")</f>
        <v>Shipper GVSUA</v>
      </c>
      <c r="O469" t="str">
        <f>IFERROR(VLOOKUP(A469,'Sales Order'!A:I,9,FALSE),"Not Specified")</f>
        <v>Destination FFLQT</v>
      </c>
      <c r="P469" t="str">
        <f>IFERROR(VLOOKUP(A469,'Sales Order'!A:N,14,FALSE),"Not Specified")</f>
        <v>Italy</v>
      </c>
      <c r="Q469" t="str">
        <f>VLOOKUP(VLOOKUP(B469,Product!A:C,3,FALSE),Supplier!A:B,2,FALSE)</f>
        <v>Supplier ZPYVS</v>
      </c>
      <c r="R469" t="str">
        <f>VLOOKUP(VLOOKUP(B469,Product!A:C,3,FALSE),Supplier!A:I,9,FALSE)</f>
        <v>Germany</v>
      </c>
      <c r="S469" t="str">
        <f>IFERROR(IF(VLOOKUP(A469,'Sales Order'!A:H,8,FALSE)&gt;100,"High Freight","Low Freight"),"Not Specified")</f>
        <v>Low Freight</v>
      </c>
      <c r="T469">
        <f t="shared" si="15"/>
        <v>49.8</v>
      </c>
    </row>
    <row r="470" spans="1:20">
      <c r="A470" s="9">
        <v>10423</v>
      </c>
      <c r="B470" s="6">
        <v>31</v>
      </c>
      <c r="C470" s="6">
        <v>10</v>
      </c>
      <c r="D470" s="6">
        <v>14</v>
      </c>
      <c r="E470" s="18">
        <v>0</v>
      </c>
      <c r="F470" s="6" t="str">
        <f>IFERROR(VLOOKUP(VLOOKUP(A470,'Sales Order'!A:B,2,FALSE),Customer!A:C,3,FALSE),"Not Specified")</f>
        <v>Cheng, Yao-Qiang</v>
      </c>
      <c r="G470" s="6" t="str">
        <f t="shared" si="14"/>
        <v>Cheng Yao-Qiang</v>
      </c>
      <c r="H470" s="22" t="str">
        <f>IFERROR(VLOOKUP(VLOOKUP(A470,'Sales Order'!A:C,3,FALSE),Employee!A:E,5,FALSE)&amp;" "&amp;VLOOKUP(VLOOKUP(A470,'Sales Order'!A:C,3,FALSE),Employee!A:C,3,FALSE)&amp;" "&amp;VLOOKUP(VLOOKUP(A470,'Sales Order'!A:C,3,FALSE),Employee!A:B,2,FALSE),"Not Specified")</f>
        <v>Mr. Paul Suurs</v>
      </c>
      <c r="I470">
        <f>IFERROR(VLOOKUP(VLOOKUP(A470,'Sales Order'!A:C,3,FALSE),Employee!A:J,10,FALSE),"Not Specified")</f>
        <v>0</v>
      </c>
      <c r="J470" t="str">
        <f>VLOOKUP(B470,Product!A:B,2,FALSE)</f>
        <v>Product XWOXC</v>
      </c>
      <c r="K470" t="str">
        <f>VLOOKUP(VLOOKUP(B470,Product!A:D,4,FALSE),Category!A:B,2,FALSE)</f>
        <v>Dairy Product</v>
      </c>
      <c r="L470" s="24">
        <f>IFERROR(VLOOKUP(A470,'Sales Order'!A:D,4,FALSE),"")</f>
        <v>39105</v>
      </c>
      <c r="M470" s="24">
        <f>IFERROR(VLOOKUP(A470,'Sales Order'!A:F,6,FALSE),"")</f>
        <v>39137</v>
      </c>
      <c r="N470" t="str">
        <f>IFERROR(VLOOKUP(VLOOKUP(A470,'Sales Order'!A:G,7,FALSE),Shipper!A:B,2,FALSE),"Not Specified")</f>
        <v>Shipper ZHISN</v>
      </c>
      <c r="O470" t="str">
        <f>IFERROR(VLOOKUP(A470,'Sales Order'!A:I,9,FALSE),"Not Specified")</f>
        <v>Destination VNIAG</v>
      </c>
      <c r="P470" t="str">
        <f>IFERROR(VLOOKUP(A470,'Sales Order'!A:N,14,FALSE),"Not Specified")</f>
        <v>Brazil</v>
      </c>
      <c r="Q470" t="str">
        <f>VLOOKUP(VLOOKUP(B470,Product!A:C,3,FALSE),Supplier!A:B,2,FALSE)</f>
        <v>Supplier KEREV</v>
      </c>
      <c r="R470" t="str">
        <f>VLOOKUP(VLOOKUP(B470,Product!A:C,3,FALSE),Supplier!A:I,9,FALSE)</f>
        <v>Italy</v>
      </c>
      <c r="S470" t="str">
        <f>IFERROR(IF(VLOOKUP(A470,'Sales Order'!A:H,8,FALSE)&gt;100,"High Freight","Low Freight"),"Not Specified")</f>
        <v>Low Freight</v>
      </c>
      <c r="T470">
        <f t="shared" si="15"/>
        <v>140</v>
      </c>
    </row>
    <row r="471" spans="1:20">
      <c r="A471" s="9">
        <v>10423</v>
      </c>
      <c r="B471" s="6">
        <v>59</v>
      </c>
      <c r="C471" s="6">
        <v>44</v>
      </c>
      <c r="D471" s="6">
        <v>20</v>
      </c>
      <c r="E471" s="18">
        <v>0</v>
      </c>
      <c r="F471" s="6" t="str">
        <f>IFERROR(VLOOKUP(VLOOKUP(A471,'Sales Order'!A:B,2,FALSE),Customer!A:C,3,FALSE),"Not Specified")</f>
        <v>Cheng, Yao-Qiang</v>
      </c>
      <c r="G471" s="6" t="str">
        <f t="shared" si="14"/>
        <v>Cheng Yao-Qiang</v>
      </c>
      <c r="H471" s="22" t="str">
        <f>IFERROR(VLOOKUP(VLOOKUP(A471,'Sales Order'!A:C,3,FALSE),Employee!A:E,5,FALSE)&amp;" "&amp;VLOOKUP(VLOOKUP(A471,'Sales Order'!A:C,3,FALSE),Employee!A:C,3,FALSE)&amp;" "&amp;VLOOKUP(VLOOKUP(A471,'Sales Order'!A:C,3,FALSE),Employee!A:B,2,FALSE),"Not Specified")</f>
        <v>Mr. Paul Suurs</v>
      </c>
      <c r="I471">
        <f>IFERROR(VLOOKUP(VLOOKUP(A471,'Sales Order'!A:C,3,FALSE),Employee!A:J,10,FALSE),"Not Specified")</f>
        <v>0</v>
      </c>
      <c r="J471" t="str">
        <f>VLOOKUP(B471,Product!A:B,2,FALSE)</f>
        <v>Product UKXRI</v>
      </c>
      <c r="K471" t="str">
        <f>VLOOKUP(VLOOKUP(B471,Product!A:D,4,FALSE),Category!A:B,2,FALSE)</f>
        <v>Dairy Product</v>
      </c>
      <c r="L471" s="24">
        <f>IFERROR(VLOOKUP(A471,'Sales Order'!A:D,4,FALSE),"")</f>
        <v>39105</v>
      </c>
      <c r="M471" s="24">
        <f>IFERROR(VLOOKUP(A471,'Sales Order'!A:F,6,FALSE),"")</f>
        <v>39137</v>
      </c>
      <c r="N471" t="str">
        <f>IFERROR(VLOOKUP(VLOOKUP(A471,'Sales Order'!A:G,7,FALSE),Shipper!A:B,2,FALSE),"Not Specified")</f>
        <v>Shipper ZHISN</v>
      </c>
      <c r="O471" t="str">
        <f>IFERROR(VLOOKUP(A471,'Sales Order'!A:I,9,FALSE),"Not Specified")</f>
        <v>Destination VNIAG</v>
      </c>
      <c r="P471" t="str">
        <f>IFERROR(VLOOKUP(A471,'Sales Order'!A:N,14,FALSE),"Not Specified")</f>
        <v>Brazil</v>
      </c>
      <c r="Q471" t="str">
        <f>VLOOKUP(VLOOKUP(B471,Product!A:C,3,FALSE),Supplier!A:B,2,FALSE)</f>
        <v>Supplier OAVQT</v>
      </c>
      <c r="R471" t="str">
        <f>VLOOKUP(VLOOKUP(B471,Product!A:C,3,FALSE),Supplier!A:I,9,FALSE)</f>
        <v>France</v>
      </c>
      <c r="S471" t="str">
        <f>IFERROR(IF(VLOOKUP(A471,'Sales Order'!A:H,8,FALSE)&gt;100,"High Freight","Low Freight"),"Not Specified")</f>
        <v>Low Freight</v>
      </c>
      <c r="T471">
        <f t="shared" si="15"/>
        <v>880</v>
      </c>
    </row>
    <row r="472" spans="1:20">
      <c r="A472" s="9">
        <v>10424</v>
      </c>
      <c r="B472" s="6">
        <v>35</v>
      </c>
      <c r="C472" s="6">
        <v>14.4</v>
      </c>
      <c r="D472" s="6">
        <v>60</v>
      </c>
      <c r="E472" s="18">
        <v>0.2</v>
      </c>
      <c r="F472" s="6" t="str">
        <f>IFERROR(VLOOKUP(VLOOKUP(A472,'Sales Order'!A:B,2,FALSE),Customer!A:C,3,FALSE),"Not Specified")</f>
        <v>Taylor, Maurice</v>
      </c>
      <c r="G472" s="6" t="str">
        <f t="shared" si="14"/>
        <v>Taylor Maurice</v>
      </c>
      <c r="H472" s="22" t="str">
        <f>IFERROR(VLOOKUP(VLOOKUP(A472,'Sales Order'!A:C,3,FALSE),Employee!A:E,5,FALSE)&amp;" "&amp;VLOOKUP(VLOOKUP(A472,'Sales Order'!A:C,3,FALSE),Employee!A:C,3,FALSE)&amp;" "&amp;VLOOKUP(VLOOKUP(A472,'Sales Order'!A:C,3,FALSE),Employee!A:B,2,FALSE),"Not Specified")</f>
        <v>Mr. Russell King</v>
      </c>
      <c r="I472">
        <f>IFERROR(VLOOKUP(VLOOKUP(A472,'Sales Order'!A:C,3,FALSE),Employee!A:J,10,FALSE),"Not Specified")</f>
        <v>0</v>
      </c>
      <c r="J472" t="str">
        <f>VLOOKUP(B472,Product!A:B,2,FALSE)</f>
        <v>Product NEVTJ</v>
      </c>
      <c r="K472" t="str">
        <f>VLOOKUP(VLOOKUP(B472,Product!A:D,4,FALSE),Category!A:B,2,FALSE)</f>
        <v>Beverages</v>
      </c>
      <c r="L472" s="24">
        <f>IFERROR(VLOOKUP(A472,'Sales Order'!A:D,4,FALSE),"")</f>
        <v>39105</v>
      </c>
      <c r="M472" s="24">
        <f>IFERROR(VLOOKUP(A472,'Sales Order'!A:F,6,FALSE),"")</f>
        <v>39109</v>
      </c>
      <c r="N472" t="str">
        <f>IFERROR(VLOOKUP(VLOOKUP(A472,'Sales Order'!A:G,7,FALSE),Shipper!A:B,2,FALSE),"Not Specified")</f>
        <v>Shipper ETYNR</v>
      </c>
      <c r="O472" t="str">
        <f>IFERROR(VLOOKUP(A472,'Sales Order'!A:I,9,FALSE),"Not Specified")</f>
        <v>Ship to 51-C</v>
      </c>
      <c r="P472" t="str">
        <f>IFERROR(VLOOKUP(A472,'Sales Order'!A:N,14,FALSE),"Not Specified")</f>
        <v>Canada</v>
      </c>
      <c r="Q472" t="str">
        <f>VLOOKUP(VLOOKUP(B472,Product!A:C,3,FALSE),Supplier!A:B,2,FALSE)</f>
        <v>Supplier UHZRG</v>
      </c>
      <c r="R472" t="str">
        <f>VLOOKUP(VLOOKUP(B472,Product!A:C,3,FALSE),Supplier!A:I,9,FALSE)</f>
        <v>USA</v>
      </c>
      <c r="S472" t="str">
        <f>IFERROR(IF(VLOOKUP(A472,'Sales Order'!A:H,8,FALSE)&gt;100,"High Freight","Low Freight"),"Not Specified")</f>
        <v>High Freight</v>
      </c>
      <c r="T472">
        <f t="shared" si="15"/>
        <v>691.2</v>
      </c>
    </row>
    <row r="473" spans="1:20">
      <c r="A473" s="9">
        <v>10424</v>
      </c>
      <c r="B473" s="6">
        <v>38</v>
      </c>
      <c r="C473" s="6">
        <v>210.8</v>
      </c>
      <c r="D473" s="6">
        <v>49</v>
      </c>
      <c r="E473" s="18">
        <v>0.2</v>
      </c>
      <c r="F473" s="6" t="str">
        <f>IFERROR(VLOOKUP(VLOOKUP(A473,'Sales Order'!A:B,2,FALSE),Customer!A:C,3,FALSE),"Not Specified")</f>
        <v>Taylor, Maurice</v>
      </c>
      <c r="G473" s="6" t="str">
        <f t="shared" si="14"/>
        <v>Taylor Maurice</v>
      </c>
      <c r="H473" s="22" t="str">
        <f>IFERROR(VLOOKUP(VLOOKUP(A473,'Sales Order'!A:C,3,FALSE),Employee!A:E,5,FALSE)&amp;" "&amp;VLOOKUP(VLOOKUP(A473,'Sales Order'!A:C,3,FALSE),Employee!A:C,3,FALSE)&amp;" "&amp;VLOOKUP(VLOOKUP(A473,'Sales Order'!A:C,3,FALSE),Employee!A:B,2,FALSE),"Not Specified")</f>
        <v>Mr. Russell King</v>
      </c>
      <c r="I473">
        <f>IFERROR(VLOOKUP(VLOOKUP(A473,'Sales Order'!A:C,3,FALSE),Employee!A:J,10,FALSE),"Not Specified")</f>
        <v>0</v>
      </c>
      <c r="J473" t="str">
        <f>VLOOKUP(B473,Product!A:B,2,FALSE)</f>
        <v>Product QDOMO</v>
      </c>
      <c r="K473" t="str">
        <f>VLOOKUP(VLOOKUP(B473,Product!A:D,4,FALSE),Category!A:B,2,FALSE)</f>
        <v>Beverages</v>
      </c>
      <c r="L473" s="24">
        <f>IFERROR(VLOOKUP(A473,'Sales Order'!A:D,4,FALSE),"")</f>
        <v>39105</v>
      </c>
      <c r="M473" s="24">
        <f>IFERROR(VLOOKUP(A473,'Sales Order'!A:F,6,FALSE),"")</f>
        <v>39109</v>
      </c>
      <c r="N473" t="str">
        <f>IFERROR(VLOOKUP(VLOOKUP(A473,'Sales Order'!A:G,7,FALSE),Shipper!A:B,2,FALSE),"Not Specified")</f>
        <v>Shipper ETYNR</v>
      </c>
      <c r="O473" t="str">
        <f>IFERROR(VLOOKUP(A473,'Sales Order'!A:I,9,FALSE),"Not Specified")</f>
        <v>Ship to 51-C</v>
      </c>
      <c r="P473" t="str">
        <f>IFERROR(VLOOKUP(A473,'Sales Order'!A:N,14,FALSE),"Not Specified")</f>
        <v>Canada</v>
      </c>
      <c r="Q473" t="str">
        <f>VLOOKUP(VLOOKUP(B473,Product!A:C,3,FALSE),Supplier!A:B,2,FALSE)</f>
        <v>Supplier LVJUA</v>
      </c>
      <c r="R473" t="str">
        <f>VLOOKUP(VLOOKUP(B473,Product!A:C,3,FALSE),Supplier!A:I,9,FALSE)</f>
        <v>France</v>
      </c>
      <c r="S473" t="str">
        <f>IFERROR(IF(VLOOKUP(A473,'Sales Order'!A:H,8,FALSE)&gt;100,"High Freight","Low Freight"),"Not Specified")</f>
        <v>High Freight</v>
      </c>
      <c r="T473">
        <f t="shared" si="15"/>
        <v>8263.36</v>
      </c>
    </row>
    <row r="474" spans="1:20">
      <c r="A474" s="9">
        <v>10424</v>
      </c>
      <c r="B474" s="6">
        <v>68</v>
      </c>
      <c r="C474" s="6">
        <v>10</v>
      </c>
      <c r="D474" s="6">
        <v>30</v>
      </c>
      <c r="E474" s="18">
        <v>0.2</v>
      </c>
      <c r="F474" s="6" t="str">
        <f>IFERROR(VLOOKUP(VLOOKUP(A474,'Sales Order'!A:B,2,FALSE),Customer!A:C,3,FALSE),"Not Specified")</f>
        <v>Taylor, Maurice</v>
      </c>
      <c r="G474" s="6" t="str">
        <f t="shared" si="14"/>
        <v>Taylor Maurice</v>
      </c>
      <c r="H474" s="22" t="str">
        <f>IFERROR(VLOOKUP(VLOOKUP(A474,'Sales Order'!A:C,3,FALSE),Employee!A:E,5,FALSE)&amp;" "&amp;VLOOKUP(VLOOKUP(A474,'Sales Order'!A:C,3,FALSE),Employee!A:C,3,FALSE)&amp;" "&amp;VLOOKUP(VLOOKUP(A474,'Sales Order'!A:C,3,FALSE),Employee!A:B,2,FALSE),"Not Specified")</f>
        <v>Mr. Russell King</v>
      </c>
      <c r="I474">
        <f>IFERROR(VLOOKUP(VLOOKUP(A474,'Sales Order'!A:C,3,FALSE),Employee!A:J,10,FALSE),"Not Specified")</f>
        <v>0</v>
      </c>
      <c r="J474" t="str">
        <f>VLOOKUP(B474,Product!A:B,2,FALSE)</f>
        <v>Product TBTBL</v>
      </c>
      <c r="K474" t="str">
        <f>VLOOKUP(VLOOKUP(B474,Product!A:D,4,FALSE),Category!A:B,2,FALSE)</f>
        <v>Confections</v>
      </c>
      <c r="L474" s="24">
        <f>IFERROR(VLOOKUP(A474,'Sales Order'!A:D,4,FALSE),"")</f>
        <v>39105</v>
      </c>
      <c r="M474" s="24">
        <f>IFERROR(VLOOKUP(A474,'Sales Order'!A:F,6,FALSE),"")</f>
        <v>39109</v>
      </c>
      <c r="N474" t="str">
        <f>IFERROR(VLOOKUP(VLOOKUP(A474,'Sales Order'!A:G,7,FALSE),Shipper!A:B,2,FALSE),"Not Specified")</f>
        <v>Shipper ETYNR</v>
      </c>
      <c r="O474" t="str">
        <f>IFERROR(VLOOKUP(A474,'Sales Order'!A:I,9,FALSE),"Not Specified")</f>
        <v>Ship to 51-C</v>
      </c>
      <c r="P474" t="str">
        <f>IFERROR(VLOOKUP(A474,'Sales Order'!A:N,14,FALSE),"Not Specified")</f>
        <v>Canada</v>
      </c>
      <c r="Q474" t="str">
        <f>VLOOKUP(VLOOKUP(B474,Product!A:C,3,FALSE),Supplier!A:B,2,FALSE)</f>
        <v>Supplier BWGYE</v>
      </c>
      <c r="R474" t="str">
        <f>VLOOKUP(VLOOKUP(B474,Product!A:C,3,FALSE),Supplier!A:I,9,FALSE)</f>
        <v>UK</v>
      </c>
      <c r="S474" t="str">
        <f>IFERROR(IF(VLOOKUP(A474,'Sales Order'!A:H,8,FALSE)&gt;100,"High Freight","Low Freight"),"Not Specified")</f>
        <v>High Freight</v>
      </c>
      <c r="T474">
        <f t="shared" si="15"/>
        <v>240</v>
      </c>
    </row>
    <row r="475" spans="1:20">
      <c r="A475" s="9">
        <v>10425</v>
      </c>
      <c r="B475" s="6">
        <v>55</v>
      </c>
      <c r="C475" s="6">
        <v>19.2</v>
      </c>
      <c r="D475" s="6">
        <v>10</v>
      </c>
      <c r="E475" s="18">
        <v>0.25</v>
      </c>
      <c r="F475" s="6" t="str">
        <f>IFERROR(VLOOKUP(VLOOKUP(A475,'Sales Order'!A:B,2,FALSE),Customer!A:C,3,FALSE),"Not Specified")</f>
        <v>Litton, Tim</v>
      </c>
      <c r="G475" s="6" t="str">
        <f t="shared" si="14"/>
        <v>Litton Tim</v>
      </c>
      <c r="H475" s="22" t="str">
        <f>IFERROR(VLOOKUP(VLOOKUP(A475,'Sales Order'!A:C,3,FALSE),Employee!A:E,5,FALSE)&amp;" "&amp;VLOOKUP(VLOOKUP(A475,'Sales Order'!A:C,3,FALSE),Employee!A:C,3,FALSE)&amp;" "&amp;VLOOKUP(VLOOKUP(A475,'Sales Order'!A:C,3,FALSE),Employee!A:B,2,FALSE),"Not Specified")</f>
        <v>Mr. Paul Suurs</v>
      </c>
      <c r="I475">
        <f>IFERROR(VLOOKUP(VLOOKUP(A475,'Sales Order'!A:C,3,FALSE),Employee!A:J,10,FALSE),"Not Specified")</f>
        <v>0</v>
      </c>
      <c r="J475" t="str">
        <f>VLOOKUP(B475,Product!A:B,2,FALSE)</f>
        <v>Product YYWRT</v>
      </c>
      <c r="K475" t="str">
        <f>VLOOKUP(VLOOKUP(B475,Product!A:D,4,FALSE),Category!A:B,2,FALSE)</f>
        <v>Meat/Poultry</v>
      </c>
      <c r="L475" s="24">
        <f>IFERROR(VLOOKUP(A475,'Sales Order'!A:D,4,FALSE),"")</f>
        <v>39106</v>
      </c>
      <c r="M475" s="24">
        <f>IFERROR(VLOOKUP(A475,'Sales Order'!A:F,6,FALSE),"")</f>
        <v>39127</v>
      </c>
      <c r="N475" t="str">
        <f>IFERROR(VLOOKUP(VLOOKUP(A475,'Sales Order'!A:G,7,FALSE),Shipper!A:B,2,FALSE),"Not Specified")</f>
        <v>Shipper ETYNR</v>
      </c>
      <c r="O475" t="str">
        <f>IFERROR(VLOOKUP(A475,'Sales Order'!A:I,9,FALSE),"Not Specified")</f>
        <v>Destination DWJIO</v>
      </c>
      <c r="P475" t="str">
        <f>IFERROR(VLOOKUP(A475,'Sales Order'!A:N,14,FALSE),"Not Specified")</f>
        <v>France</v>
      </c>
      <c r="Q475" t="str">
        <f>VLOOKUP(VLOOKUP(B475,Product!A:C,3,FALSE),Supplier!A:B,2,FALSE)</f>
        <v>Supplier ERVYZ</v>
      </c>
      <c r="R475" t="str">
        <f>VLOOKUP(VLOOKUP(B475,Product!A:C,3,FALSE),Supplier!A:I,9,FALSE)</f>
        <v>Canada</v>
      </c>
      <c r="S475" t="str">
        <f>IFERROR(IF(VLOOKUP(A475,'Sales Order'!A:H,8,FALSE)&gt;100,"High Freight","Low Freight"),"Not Specified")</f>
        <v>Low Freight</v>
      </c>
      <c r="T475">
        <f t="shared" si="15"/>
        <v>144</v>
      </c>
    </row>
    <row r="476" spans="1:20">
      <c r="A476" s="9">
        <v>10425</v>
      </c>
      <c r="B476" s="6">
        <v>76</v>
      </c>
      <c r="C476" s="6">
        <v>14.4</v>
      </c>
      <c r="D476" s="6">
        <v>20</v>
      </c>
      <c r="E476" s="18">
        <v>0.25</v>
      </c>
      <c r="F476" s="6" t="str">
        <f>IFERROR(VLOOKUP(VLOOKUP(A476,'Sales Order'!A:B,2,FALSE),Customer!A:C,3,FALSE),"Not Specified")</f>
        <v>Litton, Tim</v>
      </c>
      <c r="G476" s="6" t="str">
        <f t="shared" si="14"/>
        <v>Litton Tim</v>
      </c>
      <c r="H476" s="22" t="str">
        <f>IFERROR(VLOOKUP(VLOOKUP(A476,'Sales Order'!A:C,3,FALSE),Employee!A:E,5,FALSE)&amp;" "&amp;VLOOKUP(VLOOKUP(A476,'Sales Order'!A:C,3,FALSE),Employee!A:C,3,FALSE)&amp;" "&amp;VLOOKUP(VLOOKUP(A476,'Sales Order'!A:C,3,FALSE),Employee!A:B,2,FALSE),"Not Specified")</f>
        <v>Mr. Paul Suurs</v>
      </c>
      <c r="I476">
        <f>IFERROR(VLOOKUP(VLOOKUP(A476,'Sales Order'!A:C,3,FALSE),Employee!A:J,10,FALSE),"Not Specified")</f>
        <v>0</v>
      </c>
      <c r="J476" t="str">
        <f>VLOOKUP(B476,Product!A:B,2,FALSE)</f>
        <v>Product JYGFE</v>
      </c>
      <c r="K476" t="str">
        <f>VLOOKUP(VLOOKUP(B476,Product!A:D,4,FALSE),Category!A:B,2,FALSE)</f>
        <v>Beverages</v>
      </c>
      <c r="L476" s="24">
        <f>IFERROR(VLOOKUP(A476,'Sales Order'!A:D,4,FALSE),"")</f>
        <v>39106</v>
      </c>
      <c r="M476" s="24">
        <f>IFERROR(VLOOKUP(A476,'Sales Order'!A:F,6,FALSE),"")</f>
        <v>39127</v>
      </c>
      <c r="N476" t="str">
        <f>IFERROR(VLOOKUP(VLOOKUP(A476,'Sales Order'!A:G,7,FALSE),Shipper!A:B,2,FALSE),"Not Specified")</f>
        <v>Shipper ETYNR</v>
      </c>
      <c r="O476" t="str">
        <f>IFERROR(VLOOKUP(A476,'Sales Order'!A:I,9,FALSE),"Not Specified")</f>
        <v>Destination DWJIO</v>
      </c>
      <c r="P476" t="str">
        <f>IFERROR(VLOOKUP(A476,'Sales Order'!A:N,14,FALSE),"Not Specified")</f>
        <v>France</v>
      </c>
      <c r="Q476" t="str">
        <f>VLOOKUP(VLOOKUP(B476,Product!A:C,3,FALSE),Supplier!A:B,2,FALSE)</f>
        <v>Supplier ELCRN</v>
      </c>
      <c r="R476" t="str">
        <f>VLOOKUP(VLOOKUP(B476,Product!A:C,3,FALSE),Supplier!A:I,9,FALSE)</f>
        <v>Finland</v>
      </c>
      <c r="S476" t="str">
        <f>IFERROR(IF(VLOOKUP(A476,'Sales Order'!A:H,8,FALSE)&gt;100,"High Freight","Low Freight"),"Not Specified")</f>
        <v>Low Freight</v>
      </c>
      <c r="T476">
        <f t="shared" si="15"/>
        <v>216</v>
      </c>
    </row>
    <row r="477" spans="1:20">
      <c r="A477" s="9">
        <v>10426</v>
      </c>
      <c r="B477" s="6">
        <v>56</v>
      </c>
      <c r="C477" s="6">
        <v>30.4</v>
      </c>
      <c r="D477" s="6">
        <v>5</v>
      </c>
      <c r="E477" s="18">
        <v>0</v>
      </c>
      <c r="F477" s="6" t="str">
        <f>IFERROR(VLOOKUP(VLOOKUP(A477,'Sales Order'!A:B,2,FALSE),Customer!A:C,3,FALSE),"Not Specified")</f>
        <v>Kolesnikova, Katerina</v>
      </c>
      <c r="G477" s="6" t="str">
        <f t="shared" si="14"/>
        <v>Kolesnikova Katerina</v>
      </c>
      <c r="H477" s="22" t="str">
        <f>IFERROR(VLOOKUP(VLOOKUP(A477,'Sales Order'!A:C,3,FALSE),Employee!A:E,5,FALSE)&amp;" "&amp;VLOOKUP(VLOOKUP(A477,'Sales Order'!A:C,3,FALSE),Employee!A:C,3,FALSE)&amp;" "&amp;VLOOKUP(VLOOKUP(A477,'Sales Order'!A:C,3,FALSE),Employee!A:B,2,FALSE),"Not Specified")</f>
        <v>Mrs. Yael Peled</v>
      </c>
      <c r="I477" t="str">
        <f>IFERROR(VLOOKUP(VLOOKUP(A477,'Sales Order'!A:C,3,FALSE),Employee!A:J,10,FALSE),"Not Specified")</f>
        <v>WA</v>
      </c>
      <c r="J477" t="str">
        <f>VLOOKUP(B477,Product!A:B,2,FALSE)</f>
        <v>Product VKCMF</v>
      </c>
      <c r="K477" t="str">
        <f>VLOOKUP(VLOOKUP(B477,Product!A:D,4,FALSE),Category!A:B,2,FALSE)</f>
        <v>Grains/Cereals</v>
      </c>
      <c r="L477" s="24">
        <f>IFERROR(VLOOKUP(A477,'Sales Order'!A:D,4,FALSE),"")</f>
        <v>39109</v>
      </c>
      <c r="M477" s="24">
        <f>IFERROR(VLOOKUP(A477,'Sales Order'!A:F,6,FALSE),"")</f>
        <v>39119</v>
      </c>
      <c r="N477" t="str">
        <f>IFERROR(VLOOKUP(VLOOKUP(A477,'Sales Order'!A:G,7,FALSE),Shipper!A:B,2,FALSE),"Not Specified")</f>
        <v>Shipper GVSUA</v>
      </c>
      <c r="O477" t="str">
        <f>IFERROR(VLOOKUP(A477,'Sales Order'!A:I,9,FALSE),"Not Specified")</f>
        <v>Destination WOFLH</v>
      </c>
      <c r="P477" t="str">
        <f>IFERROR(VLOOKUP(A477,'Sales Order'!A:N,14,FALSE),"Not Specified")</f>
        <v>Spain</v>
      </c>
      <c r="Q477" t="str">
        <f>VLOOKUP(VLOOKUP(B477,Product!A:C,3,FALSE),Supplier!A:B,2,FALSE)</f>
        <v>Supplier ZWZDM</v>
      </c>
      <c r="R477" t="str">
        <f>VLOOKUP(VLOOKUP(B477,Product!A:C,3,FALSE),Supplier!A:I,9,FALSE)</f>
        <v>Italy</v>
      </c>
      <c r="S477" t="str">
        <f>IFERROR(IF(VLOOKUP(A477,'Sales Order'!A:H,8,FALSE)&gt;100,"High Freight","Low Freight"),"Not Specified")</f>
        <v>Low Freight</v>
      </c>
      <c r="T477">
        <f t="shared" si="15"/>
        <v>152</v>
      </c>
    </row>
    <row r="478" spans="1:20">
      <c r="A478" s="9">
        <v>10426</v>
      </c>
      <c r="B478" s="6">
        <v>64</v>
      </c>
      <c r="C478" s="6">
        <v>26.6</v>
      </c>
      <c r="D478" s="6">
        <v>7</v>
      </c>
      <c r="E478" s="18">
        <v>0</v>
      </c>
      <c r="F478" s="6" t="str">
        <f>IFERROR(VLOOKUP(VLOOKUP(A478,'Sales Order'!A:B,2,FALSE),Customer!A:C,3,FALSE),"Not Specified")</f>
        <v>Kolesnikova, Katerina</v>
      </c>
      <c r="G478" s="6" t="str">
        <f t="shared" si="14"/>
        <v>Kolesnikova Katerina</v>
      </c>
      <c r="H478" s="22" t="str">
        <f>IFERROR(VLOOKUP(VLOOKUP(A478,'Sales Order'!A:C,3,FALSE),Employee!A:E,5,FALSE)&amp;" "&amp;VLOOKUP(VLOOKUP(A478,'Sales Order'!A:C,3,FALSE),Employee!A:C,3,FALSE)&amp;" "&amp;VLOOKUP(VLOOKUP(A478,'Sales Order'!A:C,3,FALSE),Employee!A:B,2,FALSE),"Not Specified")</f>
        <v>Mrs. Yael Peled</v>
      </c>
      <c r="I478" t="str">
        <f>IFERROR(VLOOKUP(VLOOKUP(A478,'Sales Order'!A:C,3,FALSE),Employee!A:J,10,FALSE),"Not Specified")</f>
        <v>WA</v>
      </c>
      <c r="J478" t="str">
        <f>VLOOKUP(B478,Product!A:B,2,FALSE)</f>
        <v>Product HCQDE</v>
      </c>
      <c r="K478" t="str">
        <f>VLOOKUP(VLOOKUP(B478,Product!A:D,4,FALSE),Category!A:B,2,FALSE)</f>
        <v>Grains/Cereals</v>
      </c>
      <c r="L478" s="24">
        <f>IFERROR(VLOOKUP(A478,'Sales Order'!A:D,4,FALSE),"")</f>
        <v>39109</v>
      </c>
      <c r="M478" s="24">
        <f>IFERROR(VLOOKUP(A478,'Sales Order'!A:F,6,FALSE),"")</f>
        <v>39119</v>
      </c>
      <c r="N478" t="str">
        <f>IFERROR(VLOOKUP(VLOOKUP(A478,'Sales Order'!A:G,7,FALSE),Shipper!A:B,2,FALSE),"Not Specified")</f>
        <v>Shipper GVSUA</v>
      </c>
      <c r="O478" t="str">
        <f>IFERROR(VLOOKUP(A478,'Sales Order'!A:I,9,FALSE),"Not Specified")</f>
        <v>Destination WOFLH</v>
      </c>
      <c r="P478" t="str">
        <f>IFERROR(VLOOKUP(A478,'Sales Order'!A:N,14,FALSE),"Not Specified")</f>
        <v>Spain</v>
      </c>
      <c r="Q478" t="str">
        <f>VLOOKUP(VLOOKUP(B478,Product!A:C,3,FALSE),Supplier!A:B,2,FALSE)</f>
        <v>Supplier SVIYA</v>
      </c>
      <c r="R478" t="str">
        <f>VLOOKUP(VLOOKUP(B478,Product!A:C,3,FALSE),Supplier!A:I,9,FALSE)</f>
        <v>Germany</v>
      </c>
      <c r="S478" t="str">
        <f>IFERROR(IF(VLOOKUP(A478,'Sales Order'!A:H,8,FALSE)&gt;100,"High Freight","Low Freight"),"Not Specified")</f>
        <v>Low Freight</v>
      </c>
      <c r="T478">
        <f t="shared" si="15"/>
        <v>186.20000000000002</v>
      </c>
    </row>
    <row r="479" spans="1:20">
      <c r="A479" s="9">
        <v>10427</v>
      </c>
      <c r="B479" s="6">
        <v>14</v>
      </c>
      <c r="C479" s="6">
        <v>18.600000000000001</v>
      </c>
      <c r="D479" s="6">
        <v>35</v>
      </c>
      <c r="E479" s="18">
        <v>0</v>
      </c>
      <c r="F479" s="6" t="str">
        <f>IFERROR(VLOOKUP(VLOOKUP(A479,'Sales Order'!A:B,2,FALSE),Customer!A:C,3,FALSE),"Not Specified")</f>
        <v>Meston, Tosh</v>
      </c>
      <c r="G479" s="6" t="str">
        <f t="shared" si="14"/>
        <v>Meston Tosh</v>
      </c>
      <c r="H479" s="22" t="str">
        <f>IFERROR(VLOOKUP(VLOOKUP(A479,'Sales Order'!A:C,3,FALSE),Employee!A:E,5,FALSE)&amp;" "&amp;VLOOKUP(VLOOKUP(A479,'Sales Order'!A:C,3,FALSE),Employee!A:C,3,FALSE)&amp;" "&amp;VLOOKUP(VLOOKUP(A479,'Sales Order'!A:C,3,FALSE),Employee!A:B,2,FALSE),"Not Specified")</f>
        <v>Mrs. Yael Peled</v>
      </c>
      <c r="I479" t="str">
        <f>IFERROR(VLOOKUP(VLOOKUP(A479,'Sales Order'!A:C,3,FALSE),Employee!A:J,10,FALSE),"Not Specified")</f>
        <v>WA</v>
      </c>
      <c r="J479" t="str">
        <f>VLOOKUP(B479,Product!A:B,2,FALSE)</f>
        <v>Product PWCJB</v>
      </c>
      <c r="K479" t="str">
        <f>VLOOKUP(VLOOKUP(B479,Product!A:D,4,FALSE),Category!A:B,2,FALSE)</f>
        <v>Produce</v>
      </c>
      <c r="L479" s="24">
        <f>IFERROR(VLOOKUP(A479,'Sales Order'!A:D,4,FALSE),"")</f>
        <v>39109</v>
      </c>
      <c r="M479" s="24">
        <f>IFERROR(VLOOKUP(A479,'Sales Order'!A:F,6,FALSE),"")</f>
        <v>39144</v>
      </c>
      <c r="N479" t="str">
        <f>IFERROR(VLOOKUP(VLOOKUP(A479,'Sales Order'!A:G,7,FALSE),Shipper!A:B,2,FALSE),"Not Specified")</f>
        <v>Shipper ETYNR</v>
      </c>
      <c r="O479" t="str">
        <f>IFERROR(VLOOKUP(A479,'Sales Order'!A:I,9,FALSE),"Not Specified")</f>
        <v>Ship to 59-C</v>
      </c>
      <c r="P479" t="str">
        <f>IFERROR(VLOOKUP(A479,'Sales Order'!A:N,14,FALSE),"Not Specified")</f>
        <v>Austria</v>
      </c>
      <c r="Q479" t="str">
        <f>VLOOKUP(VLOOKUP(B479,Product!A:C,3,FALSE),Supplier!A:B,2,FALSE)</f>
        <v>Supplier QWUSF</v>
      </c>
      <c r="R479" t="str">
        <f>VLOOKUP(VLOOKUP(B479,Product!A:C,3,FALSE),Supplier!A:I,9,FALSE)</f>
        <v>Japan</v>
      </c>
      <c r="S479" t="str">
        <f>IFERROR(IF(VLOOKUP(A479,'Sales Order'!A:H,8,FALSE)&gt;100,"High Freight","Low Freight"),"Not Specified")</f>
        <v>Low Freight</v>
      </c>
      <c r="T479">
        <f t="shared" si="15"/>
        <v>651</v>
      </c>
    </row>
    <row r="480" spans="1:20">
      <c r="A480" s="9">
        <v>10428</v>
      </c>
      <c r="B480" s="6">
        <v>46</v>
      </c>
      <c r="C480" s="6">
        <v>9.6</v>
      </c>
      <c r="D480" s="6">
        <v>20</v>
      </c>
      <c r="E480" s="18">
        <v>0</v>
      </c>
      <c r="F480" s="6" t="str">
        <f>IFERROR(VLOOKUP(VLOOKUP(A480,'Sales Order'!A:B,2,FALSE),Customer!A:C,3,FALSE),"Not Specified")</f>
        <v>Voss, Florian</v>
      </c>
      <c r="G480" s="6" t="str">
        <f t="shared" si="14"/>
        <v>Voss Florian</v>
      </c>
      <c r="H480" s="22" t="str">
        <f>IFERROR(VLOOKUP(VLOOKUP(A480,'Sales Order'!A:C,3,FALSE),Employee!A:E,5,FALSE)&amp;" "&amp;VLOOKUP(VLOOKUP(A480,'Sales Order'!A:C,3,FALSE),Employee!A:C,3,FALSE)&amp;" "&amp;VLOOKUP(VLOOKUP(A480,'Sales Order'!A:C,3,FALSE),Employee!A:B,2,FALSE),"Not Specified")</f>
        <v>Mr. Russell King</v>
      </c>
      <c r="I480">
        <f>IFERROR(VLOOKUP(VLOOKUP(A480,'Sales Order'!A:C,3,FALSE),Employee!A:J,10,FALSE),"Not Specified")</f>
        <v>0</v>
      </c>
      <c r="J480" t="str">
        <f>VLOOKUP(B480,Product!A:B,2,FALSE)</f>
        <v>Product CBRRL</v>
      </c>
      <c r="K480" t="str">
        <f>VLOOKUP(VLOOKUP(B480,Product!A:D,4,FALSE),Category!A:B,2,FALSE)</f>
        <v>Seafood</v>
      </c>
      <c r="L480" s="24">
        <f>IFERROR(VLOOKUP(A480,'Sales Order'!A:D,4,FALSE),"")</f>
        <v>39110</v>
      </c>
      <c r="M480" s="24">
        <f>IFERROR(VLOOKUP(A480,'Sales Order'!A:F,6,FALSE),"")</f>
        <v>39117</v>
      </c>
      <c r="N480" t="str">
        <f>IFERROR(VLOOKUP(VLOOKUP(A480,'Sales Order'!A:G,7,FALSE),Shipper!A:B,2,FALSE),"Not Specified")</f>
        <v>Shipper GVSUA</v>
      </c>
      <c r="O480" t="str">
        <f>IFERROR(VLOOKUP(A480,'Sales Order'!A:I,9,FALSE),"Not Specified")</f>
        <v>Ship to 66-C</v>
      </c>
      <c r="P480" t="str">
        <f>IFERROR(VLOOKUP(A480,'Sales Order'!A:N,14,FALSE),"Not Specified")</f>
        <v>Italy</v>
      </c>
      <c r="Q480" t="str">
        <f>VLOOKUP(VLOOKUP(B480,Product!A:C,3,FALSE),Supplier!A:B,2,FALSE)</f>
        <v>Supplier XOXZA</v>
      </c>
      <c r="R480" t="str">
        <f>VLOOKUP(VLOOKUP(B480,Product!A:C,3,FALSE),Supplier!A:I,9,FALSE)</f>
        <v>Denmark</v>
      </c>
      <c r="S480" t="str">
        <f>IFERROR(IF(VLOOKUP(A480,'Sales Order'!A:H,8,FALSE)&gt;100,"High Freight","Low Freight"),"Not Specified")</f>
        <v>Low Freight</v>
      </c>
      <c r="T480">
        <f t="shared" si="15"/>
        <v>192</v>
      </c>
    </row>
    <row r="481" spans="1:20">
      <c r="A481" s="9">
        <v>10429</v>
      </c>
      <c r="B481" s="6">
        <v>50</v>
      </c>
      <c r="C481" s="6">
        <v>13</v>
      </c>
      <c r="D481" s="6">
        <v>40</v>
      </c>
      <c r="E481" s="18">
        <v>0</v>
      </c>
      <c r="F481" s="6" t="str">
        <f>IFERROR(VLOOKUP(VLOOKUP(A481,'Sales Order'!A:B,2,FALSE),Customer!A:C,3,FALSE),"Not Specified")</f>
        <v>Crăciun, Ovidiu V.</v>
      </c>
      <c r="G481" s="6" t="str">
        <f t="shared" si="14"/>
        <v>Crăciun Ovidiu V.</v>
      </c>
      <c r="H481" s="22" t="str">
        <f>IFERROR(VLOOKUP(VLOOKUP(A481,'Sales Order'!A:C,3,FALSE),Employee!A:E,5,FALSE)&amp;" "&amp;VLOOKUP(VLOOKUP(A481,'Sales Order'!A:C,3,FALSE),Employee!A:C,3,FALSE)&amp;" "&amp;VLOOKUP(VLOOKUP(A481,'Sales Order'!A:C,3,FALSE),Employee!A:B,2,FALSE),"Not Specified")</f>
        <v>Ms. Judy Lew</v>
      </c>
      <c r="I481" t="str">
        <f>IFERROR(VLOOKUP(VLOOKUP(A481,'Sales Order'!A:C,3,FALSE),Employee!A:J,10,FALSE),"Not Specified")</f>
        <v>WA</v>
      </c>
      <c r="J481" t="str">
        <f>VLOOKUP(B481,Product!A:B,2,FALSE)</f>
        <v>Product BIUDV</v>
      </c>
      <c r="K481" t="str">
        <f>VLOOKUP(VLOOKUP(B481,Product!A:D,4,FALSE),Category!A:B,2,FALSE)</f>
        <v>Confections</v>
      </c>
      <c r="L481" s="24">
        <f>IFERROR(VLOOKUP(A481,'Sales Order'!A:D,4,FALSE),"")</f>
        <v>39111</v>
      </c>
      <c r="M481" s="24">
        <f>IFERROR(VLOOKUP(A481,'Sales Order'!A:F,6,FALSE),"")</f>
        <v>39120</v>
      </c>
      <c r="N481" t="str">
        <f>IFERROR(VLOOKUP(VLOOKUP(A481,'Sales Order'!A:G,7,FALSE),Shipper!A:B,2,FALSE),"Not Specified")</f>
        <v>Shipper ETYNR</v>
      </c>
      <c r="O481" t="str">
        <f>IFERROR(VLOOKUP(A481,'Sales Order'!A:I,9,FALSE),"Not Specified")</f>
        <v>Destination DGKOU</v>
      </c>
      <c r="P481" t="str">
        <f>IFERROR(VLOOKUP(A481,'Sales Order'!A:N,14,FALSE),"Not Specified")</f>
        <v>Ireland</v>
      </c>
      <c r="Q481" t="str">
        <f>VLOOKUP(VLOOKUP(B481,Product!A:C,3,FALSE),Supplier!A:B,2,FALSE)</f>
        <v>Supplier ELCRN</v>
      </c>
      <c r="R481" t="str">
        <f>VLOOKUP(VLOOKUP(B481,Product!A:C,3,FALSE),Supplier!A:I,9,FALSE)</f>
        <v>Finland</v>
      </c>
      <c r="S481" t="str">
        <f>IFERROR(IF(VLOOKUP(A481,'Sales Order'!A:H,8,FALSE)&gt;100,"High Freight","Low Freight"),"Not Specified")</f>
        <v>Low Freight</v>
      </c>
      <c r="T481">
        <f t="shared" si="15"/>
        <v>520</v>
      </c>
    </row>
    <row r="482" spans="1:20">
      <c r="A482" s="9">
        <v>10429</v>
      </c>
      <c r="B482" s="6">
        <v>63</v>
      </c>
      <c r="C482" s="6">
        <v>35.1</v>
      </c>
      <c r="D482" s="6">
        <v>35</v>
      </c>
      <c r="E482" s="18">
        <v>0.25</v>
      </c>
      <c r="F482" s="6" t="str">
        <f>IFERROR(VLOOKUP(VLOOKUP(A482,'Sales Order'!A:B,2,FALSE),Customer!A:C,3,FALSE),"Not Specified")</f>
        <v>Crăciun, Ovidiu V.</v>
      </c>
      <c r="G482" s="6" t="str">
        <f t="shared" si="14"/>
        <v>Crăciun Ovidiu V.</v>
      </c>
      <c r="H482" s="22" t="str">
        <f>IFERROR(VLOOKUP(VLOOKUP(A482,'Sales Order'!A:C,3,FALSE),Employee!A:E,5,FALSE)&amp;" "&amp;VLOOKUP(VLOOKUP(A482,'Sales Order'!A:C,3,FALSE),Employee!A:C,3,FALSE)&amp;" "&amp;VLOOKUP(VLOOKUP(A482,'Sales Order'!A:C,3,FALSE),Employee!A:B,2,FALSE),"Not Specified")</f>
        <v>Ms. Judy Lew</v>
      </c>
      <c r="I482" t="str">
        <f>IFERROR(VLOOKUP(VLOOKUP(A482,'Sales Order'!A:C,3,FALSE),Employee!A:J,10,FALSE),"Not Specified")</f>
        <v>WA</v>
      </c>
      <c r="J482" t="str">
        <f>VLOOKUP(B482,Product!A:B,2,FALSE)</f>
        <v>Product ICKNK</v>
      </c>
      <c r="K482" t="str">
        <f>VLOOKUP(VLOOKUP(B482,Product!A:D,4,FALSE),Category!A:B,2,FALSE)</f>
        <v>Condiments</v>
      </c>
      <c r="L482" s="24">
        <f>IFERROR(VLOOKUP(A482,'Sales Order'!A:D,4,FALSE),"")</f>
        <v>39111</v>
      </c>
      <c r="M482" s="24">
        <f>IFERROR(VLOOKUP(A482,'Sales Order'!A:F,6,FALSE),"")</f>
        <v>39120</v>
      </c>
      <c r="N482" t="str">
        <f>IFERROR(VLOOKUP(VLOOKUP(A482,'Sales Order'!A:G,7,FALSE),Shipper!A:B,2,FALSE),"Not Specified")</f>
        <v>Shipper ETYNR</v>
      </c>
      <c r="O482" t="str">
        <f>IFERROR(VLOOKUP(A482,'Sales Order'!A:I,9,FALSE),"Not Specified")</f>
        <v>Destination DGKOU</v>
      </c>
      <c r="P482" t="str">
        <f>IFERROR(VLOOKUP(A482,'Sales Order'!A:N,14,FALSE),"Not Specified")</f>
        <v>Ireland</v>
      </c>
      <c r="Q482" t="str">
        <f>VLOOKUP(VLOOKUP(B482,Product!A:C,3,FALSE),Supplier!A:B,2,FALSE)</f>
        <v>Supplier GQRCV</v>
      </c>
      <c r="R482" t="str">
        <f>VLOOKUP(VLOOKUP(B482,Product!A:C,3,FALSE),Supplier!A:I,9,FALSE)</f>
        <v>Australia</v>
      </c>
      <c r="S482" t="str">
        <f>IFERROR(IF(VLOOKUP(A482,'Sales Order'!A:H,8,FALSE)&gt;100,"High Freight","Low Freight"),"Not Specified")</f>
        <v>Low Freight</v>
      </c>
      <c r="T482">
        <f t="shared" si="15"/>
        <v>921.375</v>
      </c>
    </row>
    <row r="483" spans="1:20">
      <c r="A483" s="9">
        <v>10430</v>
      </c>
      <c r="B483" s="6">
        <v>17</v>
      </c>
      <c r="C483" s="6">
        <v>31.2</v>
      </c>
      <c r="D483" s="6">
        <v>45</v>
      </c>
      <c r="E483" s="18">
        <v>0.2</v>
      </c>
      <c r="F483" s="6" t="str">
        <f>IFERROR(VLOOKUP(VLOOKUP(A483,'Sales Order'!A:B,2,FALSE),Customer!A:C,3,FALSE),"Not Specified")</f>
        <v>Kane, John</v>
      </c>
      <c r="G483" s="6" t="str">
        <f t="shared" si="14"/>
        <v>Kane John</v>
      </c>
      <c r="H483" s="22" t="str">
        <f>IFERROR(VLOOKUP(VLOOKUP(A483,'Sales Order'!A:C,3,FALSE),Employee!A:E,5,FALSE)&amp;" "&amp;VLOOKUP(VLOOKUP(A483,'Sales Order'!A:C,3,FALSE),Employee!A:C,3,FALSE)&amp;" "&amp;VLOOKUP(VLOOKUP(A483,'Sales Order'!A:C,3,FALSE),Employee!A:B,2,FALSE),"Not Specified")</f>
        <v>Mrs. Yael Peled</v>
      </c>
      <c r="I483" t="str">
        <f>IFERROR(VLOOKUP(VLOOKUP(A483,'Sales Order'!A:C,3,FALSE),Employee!A:J,10,FALSE),"Not Specified")</f>
        <v>WA</v>
      </c>
      <c r="J483" t="str">
        <f>VLOOKUP(B483,Product!A:B,2,FALSE)</f>
        <v>Product BLCAX</v>
      </c>
      <c r="K483" t="str">
        <f>VLOOKUP(VLOOKUP(B483,Product!A:D,4,FALSE),Category!A:B,2,FALSE)</f>
        <v>Meat/Poultry</v>
      </c>
      <c r="L483" s="24">
        <f>IFERROR(VLOOKUP(A483,'Sales Order'!A:D,4,FALSE),"")</f>
        <v>39112</v>
      </c>
      <c r="M483" s="24">
        <f>IFERROR(VLOOKUP(A483,'Sales Order'!A:F,6,FALSE),"")</f>
        <v>39116</v>
      </c>
      <c r="N483" t="str">
        <f>IFERROR(VLOOKUP(VLOOKUP(A483,'Sales Order'!A:G,7,FALSE),Shipper!A:B,2,FALSE),"Not Specified")</f>
        <v>Shipper GVSUA</v>
      </c>
      <c r="O483" t="str">
        <f>IFERROR(VLOOKUP(A483,'Sales Order'!A:I,9,FALSE),"Not Specified")</f>
        <v>Destination CUVPF</v>
      </c>
      <c r="P483" t="str">
        <f>IFERROR(VLOOKUP(A483,'Sales Order'!A:N,14,FALSE),"Not Specified")</f>
        <v>Austria</v>
      </c>
      <c r="Q483" t="str">
        <f>VLOOKUP(VLOOKUP(B483,Product!A:C,3,FALSE),Supplier!A:B,2,FALSE)</f>
        <v>Supplier GQRCV</v>
      </c>
      <c r="R483" t="str">
        <f>VLOOKUP(VLOOKUP(B483,Product!A:C,3,FALSE),Supplier!A:I,9,FALSE)</f>
        <v>Australia</v>
      </c>
      <c r="S483" t="str">
        <f>IFERROR(IF(VLOOKUP(A483,'Sales Order'!A:H,8,FALSE)&gt;100,"High Freight","Low Freight"),"Not Specified")</f>
        <v>High Freight</v>
      </c>
      <c r="T483">
        <f t="shared" si="15"/>
        <v>1123.2</v>
      </c>
    </row>
    <row r="484" spans="1:20">
      <c r="A484" s="9">
        <v>10430</v>
      </c>
      <c r="B484" s="6">
        <v>21</v>
      </c>
      <c r="C484" s="6">
        <v>8</v>
      </c>
      <c r="D484" s="6">
        <v>50</v>
      </c>
      <c r="E484" s="18">
        <v>0</v>
      </c>
      <c r="F484" s="6" t="str">
        <f>IFERROR(VLOOKUP(VLOOKUP(A484,'Sales Order'!A:B,2,FALSE),Customer!A:C,3,FALSE),"Not Specified")</f>
        <v>Kane, John</v>
      </c>
      <c r="G484" s="6" t="str">
        <f t="shared" si="14"/>
        <v>Kane John</v>
      </c>
      <c r="H484" s="22" t="str">
        <f>IFERROR(VLOOKUP(VLOOKUP(A484,'Sales Order'!A:C,3,FALSE),Employee!A:E,5,FALSE)&amp;" "&amp;VLOOKUP(VLOOKUP(A484,'Sales Order'!A:C,3,FALSE),Employee!A:C,3,FALSE)&amp;" "&amp;VLOOKUP(VLOOKUP(A484,'Sales Order'!A:C,3,FALSE),Employee!A:B,2,FALSE),"Not Specified")</f>
        <v>Mrs. Yael Peled</v>
      </c>
      <c r="I484" t="str">
        <f>IFERROR(VLOOKUP(VLOOKUP(A484,'Sales Order'!A:C,3,FALSE),Employee!A:J,10,FALSE),"Not Specified")</f>
        <v>WA</v>
      </c>
      <c r="J484" t="str">
        <f>VLOOKUP(B484,Product!A:B,2,FALSE)</f>
        <v>Product VJZZH</v>
      </c>
      <c r="K484" t="str">
        <f>VLOOKUP(VLOOKUP(B484,Product!A:D,4,FALSE),Category!A:B,2,FALSE)</f>
        <v>Confections</v>
      </c>
      <c r="L484" s="24">
        <f>IFERROR(VLOOKUP(A484,'Sales Order'!A:D,4,FALSE),"")</f>
        <v>39112</v>
      </c>
      <c r="M484" s="24">
        <f>IFERROR(VLOOKUP(A484,'Sales Order'!A:F,6,FALSE),"")</f>
        <v>39116</v>
      </c>
      <c r="N484" t="str">
        <f>IFERROR(VLOOKUP(VLOOKUP(A484,'Sales Order'!A:G,7,FALSE),Shipper!A:B,2,FALSE),"Not Specified")</f>
        <v>Shipper GVSUA</v>
      </c>
      <c r="O484" t="str">
        <f>IFERROR(VLOOKUP(A484,'Sales Order'!A:I,9,FALSE),"Not Specified")</f>
        <v>Destination CUVPF</v>
      </c>
      <c r="P484" t="str">
        <f>IFERROR(VLOOKUP(A484,'Sales Order'!A:N,14,FALSE),"Not Specified")</f>
        <v>Austria</v>
      </c>
      <c r="Q484" t="str">
        <f>VLOOKUP(VLOOKUP(B484,Product!A:C,3,FALSE),Supplier!A:B,2,FALSE)</f>
        <v>Supplier BWGYE</v>
      </c>
      <c r="R484" t="str">
        <f>VLOOKUP(VLOOKUP(B484,Product!A:C,3,FALSE),Supplier!A:I,9,FALSE)</f>
        <v>UK</v>
      </c>
      <c r="S484" t="str">
        <f>IFERROR(IF(VLOOKUP(A484,'Sales Order'!A:H,8,FALSE)&gt;100,"High Freight","Low Freight"),"Not Specified")</f>
        <v>High Freight</v>
      </c>
      <c r="T484">
        <f t="shared" si="15"/>
        <v>400</v>
      </c>
    </row>
    <row r="485" spans="1:20">
      <c r="A485" s="9">
        <v>10430</v>
      </c>
      <c r="B485" s="6">
        <v>56</v>
      </c>
      <c r="C485" s="6">
        <v>30.4</v>
      </c>
      <c r="D485" s="6">
        <v>30</v>
      </c>
      <c r="E485" s="18">
        <v>0</v>
      </c>
      <c r="F485" s="6" t="str">
        <f>IFERROR(VLOOKUP(VLOOKUP(A485,'Sales Order'!A:B,2,FALSE),Customer!A:C,3,FALSE),"Not Specified")</f>
        <v>Kane, John</v>
      </c>
      <c r="G485" s="6" t="str">
        <f t="shared" si="14"/>
        <v>Kane John</v>
      </c>
      <c r="H485" s="22" t="str">
        <f>IFERROR(VLOOKUP(VLOOKUP(A485,'Sales Order'!A:C,3,FALSE),Employee!A:E,5,FALSE)&amp;" "&amp;VLOOKUP(VLOOKUP(A485,'Sales Order'!A:C,3,FALSE),Employee!A:C,3,FALSE)&amp;" "&amp;VLOOKUP(VLOOKUP(A485,'Sales Order'!A:C,3,FALSE),Employee!A:B,2,FALSE),"Not Specified")</f>
        <v>Mrs. Yael Peled</v>
      </c>
      <c r="I485" t="str">
        <f>IFERROR(VLOOKUP(VLOOKUP(A485,'Sales Order'!A:C,3,FALSE),Employee!A:J,10,FALSE),"Not Specified")</f>
        <v>WA</v>
      </c>
      <c r="J485" t="str">
        <f>VLOOKUP(B485,Product!A:B,2,FALSE)</f>
        <v>Product VKCMF</v>
      </c>
      <c r="K485" t="str">
        <f>VLOOKUP(VLOOKUP(B485,Product!A:D,4,FALSE),Category!A:B,2,FALSE)</f>
        <v>Grains/Cereals</v>
      </c>
      <c r="L485" s="24">
        <f>IFERROR(VLOOKUP(A485,'Sales Order'!A:D,4,FALSE),"")</f>
        <v>39112</v>
      </c>
      <c r="M485" s="24">
        <f>IFERROR(VLOOKUP(A485,'Sales Order'!A:F,6,FALSE),"")</f>
        <v>39116</v>
      </c>
      <c r="N485" t="str">
        <f>IFERROR(VLOOKUP(VLOOKUP(A485,'Sales Order'!A:G,7,FALSE),Shipper!A:B,2,FALSE),"Not Specified")</f>
        <v>Shipper GVSUA</v>
      </c>
      <c r="O485" t="str">
        <f>IFERROR(VLOOKUP(A485,'Sales Order'!A:I,9,FALSE),"Not Specified")</f>
        <v>Destination CUVPF</v>
      </c>
      <c r="P485" t="str">
        <f>IFERROR(VLOOKUP(A485,'Sales Order'!A:N,14,FALSE),"Not Specified")</f>
        <v>Austria</v>
      </c>
      <c r="Q485" t="str">
        <f>VLOOKUP(VLOOKUP(B485,Product!A:C,3,FALSE),Supplier!A:B,2,FALSE)</f>
        <v>Supplier ZWZDM</v>
      </c>
      <c r="R485" t="str">
        <f>VLOOKUP(VLOOKUP(B485,Product!A:C,3,FALSE),Supplier!A:I,9,FALSE)</f>
        <v>Italy</v>
      </c>
      <c r="S485" t="str">
        <f>IFERROR(IF(VLOOKUP(A485,'Sales Order'!A:H,8,FALSE)&gt;100,"High Freight","Low Freight"),"Not Specified")</f>
        <v>High Freight</v>
      </c>
      <c r="T485">
        <f t="shared" si="15"/>
        <v>912</v>
      </c>
    </row>
    <row r="486" spans="1:20">
      <c r="A486" s="9">
        <v>10430</v>
      </c>
      <c r="B486" s="6">
        <v>59</v>
      </c>
      <c r="C486" s="6">
        <v>44</v>
      </c>
      <c r="D486" s="6">
        <v>70</v>
      </c>
      <c r="E486" s="18">
        <v>0.2</v>
      </c>
      <c r="F486" s="6" t="str">
        <f>IFERROR(VLOOKUP(VLOOKUP(A486,'Sales Order'!A:B,2,FALSE),Customer!A:C,3,FALSE),"Not Specified")</f>
        <v>Kane, John</v>
      </c>
      <c r="G486" s="6" t="str">
        <f t="shared" si="14"/>
        <v>Kane John</v>
      </c>
      <c r="H486" s="22" t="str">
        <f>IFERROR(VLOOKUP(VLOOKUP(A486,'Sales Order'!A:C,3,FALSE),Employee!A:E,5,FALSE)&amp;" "&amp;VLOOKUP(VLOOKUP(A486,'Sales Order'!A:C,3,FALSE),Employee!A:C,3,FALSE)&amp;" "&amp;VLOOKUP(VLOOKUP(A486,'Sales Order'!A:C,3,FALSE),Employee!A:B,2,FALSE),"Not Specified")</f>
        <v>Mrs. Yael Peled</v>
      </c>
      <c r="I486" t="str">
        <f>IFERROR(VLOOKUP(VLOOKUP(A486,'Sales Order'!A:C,3,FALSE),Employee!A:J,10,FALSE),"Not Specified")</f>
        <v>WA</v>
      </c>
      <c r="J486" t="str">
        <f>VLOOKUP(B486,Product!A:B,2,FALSE)</f>
        <v>Product UKXRI</v>
      </c>
      <c r="K486" t="str">
        <f>VLOOKUP(VLOOKUP(B486,Product!A:D,4,FALSE),Category!A:B,2,FALSE)</f>
        <v>Dairy Product</v>
      </c>
      <c r="L486" s="24">
        <f>IFERROR(VLOOKUP(A486,'Sales Order'!A:D,4,FALSE),"")</f>
        <v>39112</v>
      </c>
      <c r="M486" s="24">
        <f>IFERROR(VLOOKUP(A486,'Sales Order'!A:F,6,FALSE),"")</f>
        <v>39116</v>
      </c>
      <c r="N486" t="str">
        <f>IFERROR(VLOOKUP(VLOOKUP(A486,'Sales Order'!A:G,7,FALSE),Shipper!A:B,2,FALSE),"Not Specified")</f>
        <v>Shipper GVSUA</v>
      </c>
      <c r="O486" t="str">
        <f>IFERROR(VLOOKUP(A486,'Sales Order'!A:I,9,FALSE),"Not Specified")</f>
        <v>Destination CUVPF</v>
      </c>
      <c r="P486" t="str">
        <f>IFERROR(VLOOKUP(A486,'Sales Order'!A:N,14,FALSE),"Not Specified")</f>
        <v>Austria</v>
      </c>
      <c r="Q486" t="str">
        <f>VLOOKUP(VLOOKUP(B486,Product!A:C,3,FALSE),Supplier!A:B,2,FALSE)</f>
        <v>Supplier OAVQT</v>
      </c>
      <c r="R486" t="str">
        <f>VLOOKUP(VLOOKUP(B486,Product!A:C,3,FALSE),Supplier!A:I,9,FALSE)</f>
        <v>France</v>
      </c>
      <c r="S486" t="str">
        <f>IFERROR(IF(VLOOKUP(A486,'Sales Order'!A:H,8,FALSE)&gt;100,"High Freight","Low Freight"),"Not Specified")</f>
        <v>High Freight</v>
      </c>
      <c r="T486">
        <f t="shared" si="15"/>
        <v>2464</v>
      </c>
    </row>
    <row r="487" spans="1:20">
      <c r="A487" s="9">
        <v>10431</v>
      </c>
      <c r="B487" s="6">
        <v>17</v>
      </c>
      <c r="C487" s="6">
        <v>31.2</v>
      </c>
      <c r="D487" s="6">
        <v>50</v>
      </c>
      <c r="E487" s="18">
        <v>0.25</v>
      </c>
      <c r="F487" s="6" t="str">
        <f>IFERROR(VLOOKUP(VLOOKUP(A487,'Sales Order'!A:B,2,FALSE),Customer!A:C,3,FALSE),"Not Specified")</f>
        <v>Bassols, Pilar Colome</v>
      </c>
      <c r="G487" s="6" t="str">
        <f t="shared" si="14"/>
        <v>Bassols Pilar Colome</v>
      </c>
      <c r="H487" s="22" t="str">
        <f>IFERROR(VLOOKUP(VLOOKUP(A487,'Sales Order'!A:C,3,FALSE),Employee!A:E,5,FALSE)&amp;" "&amp;VLOOKUP(VLOOKUP(A487,'Sales Order'!A:C,3,FALSE),Employee!A:C,3,FALSE)&amp;" "&amp;VLOOKUP(VLOOKUP(A487,'Sales Order'!A:C,3,FALSE),Employee!A:B,2,FALSE),"Not Specified")</f>
        <v>Mrs. Yael Peled</v>
      </c>
      <c r="I487" t="str">
        <f>IFERROR(VLOOKUP(VLOOKUP(A487,'Sales Order'!A:C,3,FALSE),Employee!A:J,10,FALSE),"Not Specified")</f>
        <v>WA</v>
      </c>
      <c r="J487" t="str">
        <f>VLOOKUP(B487,Product!A:B,2,FALSE)</f>
        <v>Product BLCAX</v>
      </c>
      <c r="K487" t="str">
        <f>VLOOKUP(VLOOKUP(B487,Product!A:D,4,FALSE),Category!A:B,2,FALSE)</f>
        <v>Meat/Poultry</v>
      </c>
      <c r="L487" s="24">
        <f>IFERROR(VLOOKUP(A487,'Sales Order'!A:D,4,FALSE),"")</f>
        <v>39112</v>
      </c>
      <c r="M487" s="24">
        <f>IFERROR(VLOOKUP(A487,'Sales Order'!A:F,6,FALSE),"")</f>
        <v>39120</v>
      </c>
      <c r="N487" t="str">
        <f>IFERROR(VLOOKUP(VLOOKUP(A487,'Sales Order'!A:G,7,FALSE),Shipper!A:B,2,FALSE),"Not Specified")</f>
        <v>Shipper ETYNR</v>
      </c>
      <c r="O487" t="str">
        <f>IFERROR(VLOOKUP(A487,'Sales Order'!A:I,9,FALSE),"Not Specified")</f>
        <v>Destination OLSSJ</v>
      </c>
      <c r="P487" t="str">
        <f>IFERROR(VLOOKUP(A487,'Sales Order'!A:N,14,FALSE),"Not Specified")</f>
        <v>Canada</v>
      </c>
      <c r="Q487" t="str">
        <f>VLOOKUP(VLOOKUP(B487,Product!A:C,3,FALSE),Supplier!A:B,2,FALSE)</f>
        <v>Supplier GQRCV</v>
      </c>
      <c r="R487" t="str">
        <f>VLOOKUP(VLOOKUP(B487,Product!A:C,3,FALSE),Supplier!A:I,9,FALSE)</f>
        <v>Australia</v>
      </c>
      <c r="S487" t="str">
        <f>IFERROR(IF(VLOOKUP(A487,'Sales Order'!A:H,8,FALSE)&gt;100,"High Freight","Low Freight"),"Not Specified")</f>
        <v>Low Freight</v>
      </c>
      <c r="T487">
        <f t="shared" si="15"/>
        <v>1170</v>
      </c>
    </row>
    <row r="488" spans="1:20">
      <c r="A488" s="9">
        <v>10431</v>
      </c>
      <c r="B488" s="6">
        <v>40</v>
      </c>
      <c r="C488" s="6">
        <v>14.7</v>
      </c>
      <c r="D488" s="6">
        <v>50</v>
      </c>
      <c r="E488" s="18">
        <v>0.25</v>
      </c>
      <c r="F488" s="6" t="str">
        <f>IFERROR(VLOOKUP(VLOOKUP(A488,'Sales Order'!A:B,2,FALSE),Customer!A:C,3,FALSE),"Not Specified")</f>
        <v>Bassols, Pilar Colome</v>
      </c>
      <c r="G488" s="6" t="str">
        <f t="shared" si="14"/>
        <v>Bassols Pilar Colome</v>
      </c>
      <c r="H488" s="22" t="str">
        <f>IFERROR(VLOOKUP(VLOOKUP(A488,'Sales Order'!A:C,3,FALSE),Employee!A:E,5,FALSE)&amp;" "&amp;VLOOKUP(VLOOKUP(A488,'Sales Order'!A:C,3,FALSE),Employee!A:C,3,FALSE)&amp;" "&amp;VLOOKUP(VLOOKUP(A488,'Sales Order'!A:C,3,FALSE),Employee!A:B,2,FALSE),"Not Specified")</f>
        <v>Mrs. Yael Peled</v>
      </c>
      <c r="I488" t="str">
        <f>IFERROR(VLOOKUP(VLOOKUP(A488,'Sales Order'!A:C,3,FALSE),Employee!A:J,10,FALSE),"Not Specified")</f>
        <v>WA</v>
      </c>
      <c r="J488" t="str">
        <f>VLOOKUP(B488,Product!A:B,2,FALSE)</f>
        <v>Product YZIXQ</v>
      </c>
      <c r="K488" t="str">
        <f>VLOOKUP(VLOOKUP(B488,Product!A:D,4,FALSE),Category!A:B,2,FALSE)</f>
        <v>Seafood</v>
      </c>
      <c r="L488" s="24">
        <f>IFERROR(VLOOKUP(A488,'Sales Order'!A:D,4,FALSE),"")</f>
        <v>39112</v>
      </c>
      <c r="M488" s="24">
        <f>IFERROR(VLOOKUP(A488,'Sales Order'!A:F,6,FALSE),"")</f>
        <v>39120</v>
      </c>
      <c r="N488" t="str">
        <f>IFERROR(VLOOKUP(VLOOKUP(A488,'Sales Order'!A:G,7,FALSE),Shipper!A:B,2,FALSE),"Not Specified")</f>
        <v>Shipper ETYNR</v>
      </c>
      <c r="O488" t="str">
        <f>IFERROR(VLOOKUP(A488,'Sales Order'!A:I,9,FALSE),"Not Specified")</f>
        <v>Destination OLSSJ</v>
      </c>
      <c r="P488" t="str">
        <f>IFERROR(VLOOKUP(A488,'Sales Order'!A:N,14,FALSE),"Not Specified")</f>
        <v>Canada</v>
      </c>
      <c r="Q488" t="str">
        <f>VLOOKUP(VLOOKUP(B488,Product!A:C,3,FALSE),Supplier!A:B,2,FALSE)</f>
        <v>Supplier JDNUG</v>
      </c>
      <c r="R488" t="str">
        <f>VLOOKUP(VLOOKUP(B488,Product!A:C,3,FALSE),Supplier!A:I,9,FALSE)</f>
        <v>USA</v>
      </c>
      <c r="S488" t="str">
        <f>IFERROR(IF(VLOOKUP(A488,'Sales Order'!A:H,8,FALSE)&gt;100,"High Freight","Low Freight"),"Not Specified")</f>
        <v>Low Freight</v>
      </c>
      <c r="T488">
        <f t="shared" si="15"/>
        <v>551.25</v>
      </c>
    </row>
    <row r="489" spans="1:20">
      <c r="A489" s="9">
        <v>10431</v>
      </c>
      <c r="B489" s="6">
        <v>47</v>
      </c>
      <c r="C489" s="6">
        <v>7.6</v>
      </c>
      <c r="D489" s="6">
        <v>30</v>
      </c>
      <c r="E489" s="18">
        <v>0.25</v>
      </c>
      <c r="F489" s="6" t="str">
        <f>IFERROR(VLOOKUP(VLOOKUP(A489,'Sales Order'!A:B,2,FALSE),Customer!A:C,3,FALSE),"Not Specified")</f>
        <v>Bassols, Pilar Colome</v>
      </c>
      <c r="G489" s="6" t="str">
        <f t="shared" si="14"/>
        <v>Bassols Pilar Colome</v>
      </c>
      <c r="H489" s="22" t="str">
        <f>IFERROR(VLOOKUP(VLOOKUP(A489,'Sales Order'!A:C,3,FALSE),Employee!A:E,5,FALSE)&amp;" "&amp;VLOOKUP(VLOOKUP(A489,'Sales Order'!A:C,3,FALSE),Employee!A:C,3,FALSE)&amp;" "&amp;VLOOKUP(VLOOKUP(A489,'Sales Order'!A:C,3,FALSE),Employee!A:B,2,FALSE),"Not Specified")</f>
        <v>Mrs. Yael Peled</v>
      </c>
      <c r="I489" t="str">
        <f>IFERROR(VLOOKUP(VLOOKUP(A489,'Sales Order'!A:C,3,FALSE),Employee!A:J,10,FALSE),"Not Specified")</f>
        <v>WA</v>
      </c>
      <c r="J489" t="str">
        <f>VLOOKUP(B489,Product!A:B,2,FALSE)</f>
        <v>Product EZZPR</v>
      </c>
      <c r="K489" t="str">
        <f>VLOOKUP(VLOOKUP(B489,Product!A:D,4,FALSE),Category!A:B,2,FALSE)</f>
        <v>Confections</v>
      </c>
      <c r="L489" s="24">
        <f>IFERROR(VLOOKUP(A489,'Sales Order'!A:D,4,FALSE),"")</f>
        <v>39112</v>
      </c>
      <c r="M489" s="24">
        <f>IFERROR(VLOOKUP(A489,'Sales Order'!A:F,6,FALSE),"")</f>
        <v>39120</v>
      </c>
      <c r="N489" t="str">
        <f>IFERROR(VLOOKUP(VLOOKUP(A489,'Sales Order'!A:G,7,FALSE),Shipper!A:B,2,FALSE),"Not Specified")</f>
        <v>Shipper ETYNR</v>
      </c>
      <c r="O489" t="str">
        <f>IFERROR(VLOOKUP(A489,'Sales Order'!A:I,9,FALSE),"Not Specified")</f>
        <v>Destination OLSSJ</v>
      </c>
      <c r="P489" t="str">
        <f>IFERROR(VLOOKUP(A489,'Sales Order'!A:N,14,FALSE),"Not Specified")</f>
        <v>Canada</v>
      </c>
      <c r="Q489" t="str">
        <f>VLOOKUP(VLOOKUP(B489,Product!A:C,3,FALSE),Supplier!A:B,2,FALSE)</f>
        <v>Supplier FNUXM</v>
      </c>
      <c r="R489" t="str">
        <f>VLOOKUP(VLOOKUP(B489,Product!A:C,3,FALSE),Supplier!A:I,9,FALSE)</f>
        <v>Netherlands</v>
      </c>
      <c r="S489" t="str">
        <f>IFERROR(IF(VLOOKUP(A489,'Sales Order'!A:H,8,FALSE)&gt;100,"High Freight","Low Freight"),"Not Specified")</f>
        <v>Low Freight</v>
      </c>
      <c r="T489">
        <f t="shared" si="15"/>
        <v>171</v>
      </c>
    </row>
    <row r="490" spans="1:20">
      <c r="A490" s="9">
        <v>10432</v>
      </c>
      <c r="B490" s="6">
        <v>26</v>
      </c>
      <c r="C490" s="6">
        <v>24.9</v>
      </c>
      <c r="D490" s="6">
        <v>10</v>
      </c>
      <c r="E490" s="18">
        <v>0</v>
      </c>
      <c r="F490" s="6" t="str">
        <f>IFERROR(VLOOKUP(VLOOKUP(A490,'Sales Order'!A:B,2,FALSE),Customer!A:C,3,FALSE),"Not Specified")</f>
        <v>Wojciechowska, Agnieszka</v>
      </c>
      <c r="G490" s="6" t="str">
        <f t="shared" si="14"/>
        <v>Wojciechowska Agnieszka</v>
      </c>
      <c r="H490" s="22" t="str">
        <f>IFERROR(VLOOKUP(VLOOKUP(A490,'Sales Order'!A:C,3,FALSE),Employee!A:E,5,FALSE)&amp;" "&amp;VLOOKUP(VLOOKUP(A490,'Sales Order'!A:C,3,FALSE),Employee!A:C,3,FALSE)&amp;" "&amp;VLOOKUP(VLOOKUP(A490,'Sales Order'!A:C,3,FALSE),Employee!A:B,2,FALSE),"Not Specified")</f>
        <v>Ms. Judy Lew</v>
      </c>
      <c r="I490" t="str">
        <f>IFERROR(VLOOKUP(VLOOKUP(A490,'Sales Order'!A:C,3,FALSE),Employee!A:J,10,FALSE),"Not Specified")</f>
        <v>WA</v>
      </c>
      <c r="J490" t="str">
        <f>VLOOKUP(B490,Product!A:B,2,FALSE)</f>
        <v>Product HLGZA</v>
      </c>
      <c r="K490" t="str">
        <f>VLOOKUP(VLOOKUP(B490,Product!A:D,4,FALSE),Category!A:B,2,FALSE)</f>
        <v>Confections</v>
      </c>
      <c r="L490" s="24">
        <f>IFERROR(VLOOKUP(A490,'Sales Order'!A:D,4,FALSE),"")</f>
        <v>39113</v>
      </c>
      <c r="M490" s="24">
        <f>IFERROR(VLOOKUP(A490,'Sales Order'!A:F,6,FALSE),"")</f>
        <v>39120</v>
      </c>
      <c r="N490" t="str">
        <f>IFERROR(VLOOKUP(VLOOKUP(A490,'Sales Order'!A:G,7,FALSE),Shipper!A:B,2,FALSE),"Not Specified")</f>
        <v>Shipper ETYNR</v>
      </c>
      <c r="O490" t="str">
        <f>IFERROR(VLOOKUP(A490,'Sales Order'!A:I,9,FALSE),"Not Specified")</f>
        <v>Ship to 75-A</v>
      </c>
      <c r="P490" t="str">
        <f>IFERROR(VLOOKUP(A490,'Sales Order'!A:N,14,FALSE),"Not Specified")</f>
        <v>USA</v>
      </c>
      <c r="Q490" t="str">
        <f>VLOOKUP(VLOOKUP(B490,Product!A:C,3,FALSE),Supplier!A:B,2,FALSE)</f>
        <v>Supplier ZPYVS</v>
      </c>
      <c r="R490" t="str">
        <f>VLOOKUP(VLOOKUP(B490,Product!A:C,3,FALSE),Supplier!A:I,9,FALSE)</f>
        <v>Germany</v>
      </c>
      <c r="S490" t="str">
        <f>IFERROR(IF(VLOOKUP(A490,'Sales Order'!A:H,8,FALSE)&gt;100,"High Freight","Low Freight"),"Not Specified")</f>
        <v>Low Freight</v>
      </c>
      <c r="T490">
        <f t="shared" si="15"/>
        <v>249</v>
      </c>
    </row>
    <row r="491" spans="1:20">
      <c r="A491" s="9">
        <v>10432</v>
      </c>
      <c r="B491" s="6">
        <v>54</v>
      </c>
      <c r="C491" s="6">
        <v>5.9</v>
      </c>
      <c r="D491" s="6">
        <v>40</v>
      </c>
      <c r="E491" s="18">
        <v>0</v>
      </c>
      <c r="F491" s="6" t="str">
        <f>IFERROR(VLOOKUP(VLOOKUP(A491,'Sales Order'!A:B,2,FALSE),Customer!A:C,3,FALSE),"Not Specified")</f>
        <v>Wojciechowska, Agnieszka</v>
      </c>
      <c r="G491" s="6" t="str">
        <f t="shared" si="14"/>
        <v>Wojciechowska Agnieszka</v>
      </c>
      <c r="H491" s="22" t="str">
        <f>IFERROR(VLOOKUP(VLOOKUP(A491,'Sales Order'!A:C,3,FALSE),Employee!A:E,5,FALSE)&amp;" "&amp;VLOOKUP(VLOOKUP(A491,'Sales Order'!A:C,3,FALSE),Employee!A:C,3,FALSE)&amp;" "&amp;VLOOKUP(VLOOKUP(A491,'Sales Order'!A:C,3,FALSE),Employee!A:B,2,FALSE),"Not Specified")</f>
        <v>Ms. Judy Lew</v>
      </c>
      <c r="I491" t="str">
        <f>IFERROR(VLOOKUP(VLOOKUP(A491,'Sales Order'!A:C,3,FALSE),Employee!A:J,10,FALSE),"Not Specified")</f>
        <v>WA</v>
      </c>
      <c r="J491" t="str">
        <f>VLOOKUP(B491,Product!A:B,2,FALSE)</f>
        <v>Product QAQRL</v>
      </c>
      <c r="K491" t="str">
        <f>VLOOKUP(VLOOKUP(B491,Product!A:D,4,FALSE),Category!A:B,2,FALSE)</f>
        <v>Meat/Poultry</v>
      </c>
      <c r="L491" s="24">
        <f>IFERROR(VLOOKUP(A491,'Sales Order'!A:D,4,FALSE),"")</f>
        <v>39113</v>
      </c>
      <c r="M491" s="24">
        <f>IFERROR(VLOOKUP(A491,'Sales Order'!A:F,6,FALSE),"")</f>
        <v>39120</v>
      </c>
      <c r="N491" t="str">
        <f>IFERROR(VLOOKUP(VLOOKUP(A491,'Sales Order'!A:G,7,FALSE),Shipper!A:B,2,FALSE),"Not Specified")</f>
        <v>Shipper ETYNR</v>
      </c>
      <c r="O491" t="str">
        <f>IFERROR(VLOOKUP(A491,'Sales Order'!A:I,9,FALSE),"Not Specified")</f>
        <v>Ship to 75-A</v>
      </c>
      <c r="P491" t="str">
        <f>IFERROR(VLOOKUP(A491,'Sales Order'!A:N,14,FALSE),"Not Specified")</f>
        <v>USA</v>
      </c>
      <c r="Q491" t="str">
        <f>VLOOKUP(VLOOKUP(B491,Product!A:C,3,FALSE),Supplier!A:B,2,FALSE)</f>
        <v>Supplier ERVYZ</v>
      </c>
      <c r="R491" t="str">
        <f>VLOOKUP(VLOOKUP(B491,Product!A:C,3,FALSE),Supplier!A:I,9,FALSE)</f>
        <v>Canada</v>
      </c>
      <c r="S491" t="str">
        <f>IFERROR(IF(VLOOKUP(A491,'Sales Order'!A:H,8,FALSE)&gt;100,"High Freight","Low Freight"),"Not Specified")</f>
        <v>Low Freight</v>
      </c>
      <c r="T491">
        <f t="shared" si="15"/>
        <v>236</v>
      </c>
    </row>
    <row r="492" spans="1:20">
      <c r="A492" s="9">
        <v>10433</v>
      </c>
      <c r="B492" s="6">
        <v>56</v>
      </c>
      <c r="C492" s="6">
        <v>30.4</v>
      </c>
      <c r="D492" s="6">
        <v>28</v>
      </c>
      <c r="E492" s="18">
        <v>0</v>
      </c>
      <c r="F492" s="6" t="str">
        <f>IFERROR(VLOOKUP(VLOOKUP(A492,'Sales Order'!A:B,2,FALSE),Customer!A:C,3,FALSE),"Not Specified")</f>
        <v>Uppal, Sunil</v>
      </c>
      <c r="G492" s="6" t="str">
        <f t="shared" si="14"/>
        <v>Uppal Sunil</v>
      </c>
      <c r="H492" s="22" t="str">
        <f>IFERROR(VLOOKUP(VLOOKUP(A492,'Sales Order'!A:C,3,FALSE),Employee!A:E,5,FALSE)&amp;" "&amp;VLOOKUP(VLOOKUP(A492,'Sales Order'!A:C,3,FALSE),Employee!A:C,3,FALSE)&amp;" "&amp;VLOOKUP(VLOOKUP(A492,'Sales Order'!A:C,3,FALSE),Employee!A:B,2,FALSE),"Not Specified")</f>
        <v>Ms. Judy Lew</v>
      </c>
      <c r="I492" t="str">
        <f>IFERROR(VLOOKUP(VLOOKUP(A492,'Sales Order'!A:C,3,FALSE),Employee!A:J,10,FALSE),"Not Specified")</f>
        <v>WA</v>
      </c>
      <c r="J492" t="str">
        <f>VLOOKUP(B492,Product!A:B,2,FALSE)</f>
        <v>Product VKCMF</v>
      </c>
      <c r="K492" t="str">
        <f>VLOOKUP(VLOOKUP(B492,Product!A:D,4,FALSE),Category!A:B,2,FALSE)</f>
        <v>Grains/Cereals</v>
      </c>
      <c r="L492" s="24">
        <f>IFERROR(VLOOKUP(A492,'Sales Order'!A:D,4,FALSE),"")</f>
        <v>39116</v>
      </c>
      <c r="M492" s="24">
        <f>IFERROR(VLOOKUP(A492,'Sales Order'!A:F,6,FALSE),"")</f>
        <v>39145</v>
      </c>
      <c r="N492" t="str">
        <f>IFERROR(VLOOKUP(VLOOKUP(A492,'Sales Order'!A:G,7,FALSE),Shipper!A:B,2,FALSE),"Not Specified")</f>
        <v>Shipper ZHISN</v>
      </c>
      <c r="O492" t="str">
        <f>IFERROR(VLOOKUP(A492,'Sales Order'!A:I,9,FALSE),"Not Specified")</f>
        <v>Ship to 60-A</v>
      </c>
      <c r="P492" t="str">
        <f>IFERROR(VLOOKUP(A492,'Sales Order'!A:N,14,FALSE),"Not Specified")</f>
        <v>Portugal</v>
      </c>
      <c r="Q492" t="str">
        <f>VLOOKUP(VLOOKUP(B492,Product!A:C,3,FALSE),Supplier!A:B,2,FALSE)</f>
        <v>Supplier ZWZDM</v>
      </c>
      <c r="R492" t="str">
        <f>VLOOKUP(VLOOKUP(B492,Product!A:C,3,FALSE),Supplier!A:I,9,FALSE)</f>
        <v>Italy</v>
      </c>
      <c r="S492" t="str">
        <f>IFERROR(IF(VLOOKUP(A492,'Sales Order'!A:H,8,FALSE)&gt;100,"High Freight","Low Freight"),"Not Specified")</f>
        <v>Low Freight</v>
      </c>
      <c r="T492">
        <f t="shared" si="15"/>
        <v>851.19999999999993</v>
      </c>
    </row>
    <row r="493" spans="1:20">
      <c r="A493" s="9">
        <v>10434</v>
      </c>
      <c r="B493" s="6">
        <v>11</v>
      </c>
      <c r="C493" s="6">
        <v>16.8</v>
      </c>
      <c r="D493" s="6">
        <v>6</v>
      </c>
      <c r="E493" s="18">
        <v>0</v>
      </c>
      <c r="F493" s="6" t="str">
        <f>IFERROR(VLOOKUP(VLOOKUP(A493,'Sales Order'!A:B,2,FALSE),Customer!A:C,3,FALSE),"Not Specified")</f>
        <v>San Juan, Patricia</v>
      </c>
      <c r="G493" s="6" t="str">
        <f t="shared" si="14"/>
        <v>San Juan Patricia</v>
      </c>
      <c r="H493" s="22" t="str">
        <f>IFERROR(VLOOKUP(VLOOKUP(A493,'Sales Order'!A:C,3,FALSE),Employee!A:E,5,FALSE)&amp;" "&amp;VLOOKUP(VLOOKUP(A493,'Sales Order'!A:C,3,FALSE),Employee!A:C,3,FALSE)&amp;" "&amp;VLOOKUP(VLOOKUP(A493,'Sales Order'!A:C,3,FALSE),Employee!A:B,2,FALSE),"Not Specified")</f>
        <v>Ms. Judy Lew</v>
      </c>
      <c r="I493" t="str">
        <f>IFERROR(VLOOKUP(VLOOKUP(A493,'Sales Order'!A:C,3,FALSE),Employee!A:J,10,FALSE),"Not Specified")</f>
        <v>WA</v>
      </c>
      <c r="J493" t="str">
        <f>VLOOKUP(B493,Product!A:B,2,FALSE)</f>
        <v>Product QMVUN</v>
      </c>
      <c r="K493" t="str">
        <f>VLOOKUP(VLOOKUP(B493,Product!A:D,4,FALSE),Category!A:B,2,FALSE)</f>
        <v>Dairy Product</v>
      </c>
      <c r="L493" s="24">
        <f>IFERROR(VLOOKUP(A493,'Sales Order'!A:D,4,FALSE),"")</f>
        <v>39116</v>
      </c>
      <c r="M493" s="24">
        <f>IFERROR(VLOOKUP(A493,'Sales Order'!A:F,6,FALSE),"")</f>
        <v>39126</v>
      </c>
      <c r="N493" t="str">
        <f>IFERROR(VLOOKUP(VLOOKUP(A493,'Sales Order'!A:G,7,FALSE),Shipper!A:B,2,FALSE),"Not Specified")</f>
        <v>Shipper ETYNR</v>
      </c>
      <c r="O493" t="str">
        <f>IFERROR(VLOOKUP(A493,'Sales Order'!A:I,9,FALSE),"Not Specified")</f>
        <v>Destination NCKKO</v>
      </c>
      <c r="P493" t="str">
        <f>IFERROR(VLOOKUP(A493,'Sales Order'!A:N,14,FALSE),"Not Specified")</f>
        <v>Sweden</v>
      </c>
      <c r="Q493" t="str">
        <f>VLOOKUP(VLOOKUP(B493,Product!A:C,3,FALSE),Supplier!A:B,2,FALSE)</f>
        <v>Supplier EQPNC</v>
      </c>
      <c r="R493" t="str">
        <f>VLOOKUP(VLOOKUP(B493,Product!A:C,3,FALSE),Supplier!A:I,9,FALSE)</f>
        <v>Spain</v>
      </c>
      <c r="S493" t="str">
        <f>IFERROR(IF(VLOOKUP(A493,'Sales Order'!A:H,8,FALSE)&gt;100,"High Freight","Low Freight"),"Not Specified")</f>
        <v>Low Freight</v>
      </c>
      <c r="T493">
        <f t="shared" si="15"/>
        <v>100.80000000000001</v>
      </c>
    </row>
    <row r="494" spans="1:20">
      <c r="A494" s="9">
        <v>10434</v>
      </c>
      <c r="B494" s="6">
        <v>76</v>
      </c>
      <c r="C494" s="6">
        <v>14.4</v>
      </c>
      <c r="D494" s="6">
        <v>18</v>
      </c>
      <c r="E494" s="18">
        <v>0.15</v>
      </c>
      <c r="F494" s="6" t="str">
        <f>IFERROR(VLOOKUP(VLOOKUP(A494,'Sales Order'!A:B,2,FALSE),Customer!A:C,3,FALSE),"Not Specified")</f>
        <v>San Juan, Patricia</v>
      </c>
      <c r="G494" s="6" t="str">
        <f t="shared" si="14"/>
        <v>San Juan Patricia</v>
      </c>
      <c r="H494" s="22" t="str">
        <f>IFERROR(VLOOKUP(VLOOKUP(A494,'Sales Order'!A:C,3,FALSE),Employee!A:E,5,FALSE)&amp;" "&amp;VLOOKUP(VLOOKUP(A494,'Sales Order'!A:C,3,FALSE),Employee!A:C,3,FALSE)&amp;" "&amp;VLOOKUP(VLOOKUP(A494,'Sales Order'!A:C,3,FALSE),Employee!A:B,2,FALSE),"Not Specified")</f>
        <v>Ms. Judy Lew</v>
      </c>
      <c r="I494" t="str">
        <f>IFERROR(VLOOKUP(VLOOKUP(A494,'Sales Order'!A:C,3,FALSE),Employee!A:J,10,FALSE),"Not Specified")</f>
        <v>WA</v>
      </c>
      <c r="J494" t="str">
        <f>VLOOKUP(B494,Product!A:B,2,FALSE)</f>
        <v>Product JYGFE</v>
      </c>
      <c r="K494" t="str">
        <f>VLOOKUP(VLOOKUP(B494,Product!A:D,4,FALSE),Category!A:B,2,FALSE)</f>
        <v>Beverages</v>
      </c>
      <c r="L494" s="24">
        <f>IFERROR(VLOOKUP(A494,'Sales Order'!A:D,4,FALSE),"")</f>
        <v>39116</v>
      </c>
      <c r="M494" s="24">
        <f>IFERROR(VLOOKUP(A494,'Sales Order'!A:F,6,FALSE),"")</f>
        <v>39126</v>
      </c>
      <c r="N494" t="str">
        <f>IFERROR(VLOOKUP(VLOOKUP(A494,'Sales Order'!A:G,7,FALSE),Shipper!A:B,2,FALSE),"Not Specified")</f>
        <v>Shipper ETYNR</v>
      </c>
      <c r="O494" t="str">
        <f>IFERROR(VLOOKUP(A494,'Sales Order'!A:I,9,FALSE),"Not Specified")</f>
        <v>Destination NCKKO</v>
      </c>
      <c r="P494" t="str">
        <f>IFERROR(VLOOKUP(A494,'Sales Order'!A:N,14,FALSE),"Not Specified")</f>
        <v>Sweden</v>
      </c>
      <c r="Q494" t="str">
        <f>VLOOKUP(VLOOKUP(B494,Product!A:C,3,FALSE),Supplier!A:B,2,FALSE)</f>
        <v>Supplier ELCRN</v>
      </c>
      <c r="R494" t="str">
        <f>VLOOKUP(VLOOKUP(B494,Product!A:C,3,FALSE),Supplier!A:I,9,FALSE)</f>
        <v>Finland</v>
      </c>
      <c r="S494" t="str">
        <f>IFERROR(IF(VLOOKUP(A494,'Sales Order'!A:H,8,FALSE)&gt;100,"High Freight","Low Freight"),"Not Specified")</f>
        <v>Low Freight</v>
      </c>
      <c r="T494">
        <f t="shared" si="15"/>
        <v>220.32</v>
      </c>
    </row>
    <row r="495" spans="1:20">
      <c r="A495" s="9">
        <v>10435</v>
      </c>
      <c r="B495" s="6">
        <v>2</v>
      </c>
      <c r="C495" s="6">
        <v>15.2</v>
      </c>
      <c r="D495" s="6">
        <v>10</v>
      </c>
      <c r="E495" s="18">
        <v>0</v>
      </c>
      <c r="F495" s="6" t="str">
        <f>IFERROR(VLOOKUP(VLOOKUP(A495,'Sales Order'!A:B,2,FALSE),Customer!A:C,3,FALSE),"Not Specified")</f>
        <v>Birkby, Dana</v>
      </c>
      <c r="G495" s="6" t="str">
        <f t="shared" si="14"/>
        <v>Birkby Dana</v>
      </c>
      <c r="H495" s="22" t="str">
        <f>IFERROR(VLOOKUP(VLOOKUP(A495,'Sales Order'!A:C,3,FALSE),Employee!A:E,5,FALSE)&amp;" "&amp;VLOOKUP(VLOOKUP(A495,'Sales Order'!A:C,3,FALSE),Employee!A:C,3,FALSE)&amp;" "&amp;VLOOKUP(VLOOKUP(A495,'Sales Order'!A:C,3,FALSE),Employee!A:B,2,FALSE),"Not Specified")</f>
        <v>Ms. Maria Cameron</v>
      </c>
      <c r="I495" t="str">
        <f>IFERROR(VLOOKUP(VLOOKUP(A495,'Sales Order'!A:C,3,FALSE),Employee!A:J,10,FALSE),"Not Specified")</f>
        <v>WA</v>
      </c>
      <c r="J495" t="str">
        <f>VLOOKUP(B495,Product!A:B,2,FALSE)</f>
        <v>Product RECZE</v>
      </c>
      <c r="K495" t="str">
        <f>VLOOKUP(VLOOKUP(B495,Product!A:D,4,FALSE),Category!A:B,2,FALSE)</f>
        <v>Beverages</v>
      </c>
      <c r="L495" s="24">
        <f>IFERROR(VLOOKUP(A495,'Sales Order'!A:D,4,FALSE),"")</f>
        <v>39117</v>
      </c>
      <c r="M495" s="24">
        <f>IFERROR(VLOOKUP(A495,'Sales Order'!A:F,6,FALSE),"")</f>
        <v>39120</v>
      </c>
      <c r="N495" t="str">
        <f>IFERROR(VLOOKUP(VLOOKUP(A495,'Sales Order'!A:G,7,FALSE),Shipper!A:B,2,FALSE),"Not Specified")</f>
        <v>Shipper ETYNR</v>
      </c>
      <c r="O495" t="str">
        <f>IFERROR(VLOOKUP(A495,'Sales Order'!A:I,9,FALSE),"Not Specified")</f>
        <v>Destination QKQNB</v>
      </c>
      <c r="P495" t="str">
        <f>IFERROR(VLOOKUP(A495,'Sales Order'!A:N,14,FALSE),"Not Specified")</f>
        <v>UK</v>
      </c>
      <c r="Q495" t="str">
        <f>VLOOKUP(VLOOKUP(B495,Product!A:C,3,FALSE),Supplier!A:B,2,FALSE)</f>
        <v>Supplier SWRXU</v>
      </c>
      <c r="R495" t="str">
        <f>VLOOKUP(VLOOKUP(B495,Product!A:C,3,FALSE),Supplier!A:I,9,FALSE)</f>
        <v>UK</v>
      </c>
      <c r="S495" t="str">
        <f>IFERROR(IF(VLOOKUP(A495,'Sales Order'!A:H,8,FALSE)&gt;100,"High Freight","Low Freight"),"Not Specified")</f>
        <v>Low Freight</v>
      </c>
      <c r="T495">
        <f t="shared" si="15"/>
        <v>152</v>
      </c>
    </row>
    <row r="496" spans="1:20">
      <c r="A496" s="9">
        <v>10435</v>
      </c>
      <c r="B496" s="6">
        <v>22</v>
      </c>
      <c r="C496" s="6">
        <v>16.8</v>
      </c>
      <c r="D496" s="6">
        <v>12</v>
      </c>
      <c r="E496" s="18">
        <v>0</v>
      </c>
      <c r="F496" s="6" t="str">
        <f>IFERROR(VLOOKUP(VLOOKUP(A496,'Sales Order'!A:B,2,FALSE),Customer!A:C,3,FALSE),"Not Specified")</f>
        <v>Birkby, Dana</v>
      </c>
      <c r="G496" s="6" t="str">
        <f t="shared" si="14"/>
        <v>Birkby Dana</v>
      </c>
      <c r="H496" s="22" t="str">
        <f>IFERROR(VLOOKUP(VLOOKUP(A496,'Sales Order'!A:C,3,FALSE),Employee!A:E,5,FALSE)&amp;" "&amp;VLOOKUP(VLOOKUP(A496,'Sales Order'!A:C,3,FALSE),Employee!A:C,3,FALSE)&amp;" "&amp;VLOOKUP(VLOOKUP(A496,'Sales Order'!A:C,3,FALSE),Employee!A:B,2,FALSE),"Not Specified")</f>
        <v>Ms. Maria Cameron</v>
      </c>
      <c r="I496" t="str">
        <f>IFERROR(VLOOKUP(VLOOKUP(A496,'Sales Order'!A:C,3,FALSE),Employee!A:J,10,FALSE),"Not Specified")</f>
        <v>WA</v>
      </c>
      <c r="J496" t="str">
        <f>VLOOKUP(B496,Product!A:B,2,FALSE)</f>
        <v>Product CPHFY</v>
      </c>
      <c r="K496" t="str">
        <f>VLOOKUP(VLOOKUP(B496,Product!A:D,4,FALSE),Category!A:B,2,FALSE)</f>
        <v>Grains/Cereals</v>
      </c>
      <c r="L496" s="24">
        <f>IFERROR(VLOOKUP(A496,'Sales Order'!A:D,4,FALSE),"")</f>
        <v>39117</v>
      </c>
      <c r="M496" s="24">
        <f>IFERROR(VLOOKUP(A496,'Sales Order'!A:F,6,FALSE),"")</f>
        <v>39120</v>
      </c>
      <c r="N496" t="str">
        <f>IFERROR(VLOOKUP(VLOOKUP(A496,'Sales Order'!A:G,7,FALSE),Shipper!A:B,2,FALSE),"Not Specified")</f>
        <v>Shipper ETYNR</v>
      </c>
      <c r="O496" t="str">
        <f>IFERROR(VLOOKUP(A496,'Sales Order'!A:I,9,FALSE),"Not Specified")</f>
        <v>Destination QKQNB</v>
      </c>
      <c r="P496" t="str">
        <f>IFERROR(VLOOKUP(A496,'Sales Order'!A:N,14,FALSE),"Not Specified")</f>
        <v>UK</v>
      </c>
      <c r="Q496" t="str">
        <f>VLOOKUP(VLOOKUP(B496,Product!A:C,3,FALSE),Supplier!A:B,2,FALSE)</f>
        <v>Supplier QQYEU</v>
      </c>
      <c r="R496" t="str">
        <f>VLOOKUP(VLOOKUP(B496,Product!A:C,3,FALSE),Supplier!A:I,9,FALSE)</f>
        <v>Sweden</v>
      </c>
      <c r="S496" t="str">
        <f>IFERROR(IF(VLOOKUP(A496,'Sales Order'!A:H,8,FALSE)&gt;100,"High Freight","Low Freight"),"Not Specified")</f>
        <v>Low Freight</v>
      </c>
      <c r="T496">
        <f t="shared" si="15"/>
        <v>201.60000000000002</v>
      </c>
    </row>
    <row r="497" spans="1:20">
      <c r="A497" s="9">
        <v>10435</v>
      </c>
      <c r="B497" s="6">
        <v>72</v>
      </c>
      <c r="C497" s="6">
        <v>27.8</v>
      </c>
      <c r="D497" s="6">
        <v>10</v>
      </c>
      <c r="E497" s="18">
        <v>0</v>
      </c>
      <c r="F497" s="6" t="str">
        <f>IFERROR(VLOOKUP(VLOOKUP(A497,'Sales Order'!A:B,2,FALSE),Customer!A:C,3,FALSE),"Not Specified")</f>
        <v>Birkby, Dana</v>
      </c>
      <c r="G497" s="6" t="str">
        <f t="shared" si="14"/>
        <v>Birkby Dana</v>
      </c>
      <c r="H497" s="22" t="str">
        <f>IFERROR(VLOOKUP(VLOOKUP(A497,'Sales Order'!A:C,3,FALSE),Employee!A:E,5,FALSE)&amp;" "&amp;VLOOKUP(VLOOKUP(A497,'Sales Order'!A:C,3,FALSE),Employee!A:C,3,FALSE)&amp;" "&amp;VLOOKUP(VLOOKUP(A497,'Sales Order'!A:C,3,FALSE),Employee!A:B,2,FALSE),"Not Specified")</f>
        <v>Ms. Maria Cameron</v>
      </c>
      <c r="I497" t="str">
        <f>IFERROR(VLOOKUP(VLOOKUP(A497,'Sales Order'!A:C,3,FALSE),Employee!A:J,10,FALSE),"Not Specified")</f>
        <v>WA</v>
      </c>
      <c r="J497" t="str">
        <f>VLOOKUP(B497,Product!A:B,2,FALSE)</f>
        <v>Product GEEOO</v>
      </c>
      <c r="K497" t="str">
        <f>VLOOKUP(VLOOKUP(B497,Product!A:D,4,FALSE),Category!A:B,2,FALSE)</f>
        <v>Dairy Product</v>
      </c>
      <c r="L497" s="24">
        <f>IFERROR(VLOOKUP(A497,'Sales Order'!A:D,4,FALSE),"")</f>
        <v>39117</v>
      </c>
      <c r="M497" s="24">
        <f>IFERROR(VLOOKUP(A497,'Sales Order'!A:F,6,FALSE),"")</f>
        <v>39120</v>
      </c>
      <c r="N497" t="str">
        <f>IFERROR(VLOOKUP(VLOOKUP(A497,'Sales Order'!A:G,7,FALSE),Shipper!A:B,2,FALSE),"Not Specified")</f>
        <v>Shipper ETYNR</v>
      </c>
      <c r="O497" t="str">
        <f>IFERROR(VLOOKUP(A497,'Sales Order'!A:I,9,FALSE),"Not Specified")</f>
        <v>Destination QKQNB</v>
      </c>
      <c r="P497" t="str">
        <f>IFERROR(VLOOKUP(A497,'Sales Order'!A:N,14,FALSE),"Not Specified")</f>
        <v>UK</v>
      </c>
      <c r="Q497" t="str">
        <f>VLOOKUP(VLOOKUP(B497,Product!A:C,3,FALSE),Supplier!A:B,2,FALSE)</f>
        <v>Supplier KEREV</v>
      </c>
      <c r="R497" t="str">
        <f>VLOOKUP(VLOOKUP(B497,Product!A:C,3,FALSE),Supplier!A:I,9,FALSE)</f>
        <v>Italy</v>
      </c>
      <c r="S497" t="str">
        <f>IFERROR(IF(VLOOKUP(A497,'Sales Order'!A:H,8,FALSE)&gt;100,"High Freight","Low Freight"),"Not Specified")</f>
        <v>Low Freight</v>
      </c>
      <c r="T497">
        <f t="shared" si="15"/>
        <v>278</v>
      </c>
    </row>
    <row r="498" spans="1:20">
      <c r="A498" s="9">
        <v>10436</v>
      </c>
      <c r="B498" s="6">
        <v>46</v>
      </c>
      <c r="C498" s="6">
        <v>9.6</v>
      </c>
      <c r="D498" s="6">
        <v>5</v>
      </c>
      <c r="E498" s="18">
        <v>0</v>
      </c>
      <c r="F498" s="6" t="str">
        <f>IFERROR(VLOOKUP(VLOOKUP(A498,'Sales Order'!A:B,2,FALSE),Customer!A:C,3,FALSE),"Not Specified")</f>
        <v>Bansal, Dushyant</v>
      </c>
      <c r="G498" s="6" t="str">
        <f t="shared" si="14"/>
        <v>Bansal Dushyant</v>
      </c>
      <c r="H498" s="22" t="str">
        <f>IFERROR(VLOOKUP(VLOOKUP(A498,'Sales Order'!A:C,3,FALSE),Employee!A:E,5,FALSE)&amp;" "&amp;VLOOKUP(VLOOKUP(A498,'Sales Order'!A:C,3,FALSE),Employee!A:C,3,FALSE)&amp;" "&amp;VLOOKUP(VLOOKUP(A498,'Sales Order'!A:C,3,FALSE),Employee!A:B,2,FALSE),"Not Specified")</f>
        <v>Ms. Judy Lew</v>
      </c>
      <c r="I498" t="str">
        <f>IFERROR(VLOOKUP(VLOOKUP(A498,'Sales Order'!A:C,3,FALSE),Employee!A:J,10,FALSE),"Not Specified")</f>
        <v>WA</v>
      </c>
      <c r="J498" t="str">
        <f>VLOOKUP(B498,Product!A:B,2,FALSE)</f>
        <v>Product CBRRL</v>
      </c>
      <c r="K498" t="str">
        <f>VLOOKUP(VLOOKUP(B498,Product!A:D,4,FALSE),Category!A:B,2,FALSE)</f>
        <v>Seafood</v>
      </c>
      <c r="L498" s="24">
        <f>IFERROR(VLOOKUP(A498,'Sales Order'!A:D,4,FALSE),"")</f>
        <v>39118</v>
      </c>
      <c r="M498" s="24">
        <f>IFERROR(VLOOKUP(A498,'Sales Order'!A:F,6,FALSE),"")</f>
        <v>39124</v>
      </c>
      <c r="N498" t="str">
        <f>IFERROR(VLOOKUP(VLOOKUP(A498,'Sales Order'!A:G,7,FALSE),Shipper!A:B,2,FALSE),"Not Specified")</f>
        <v>Shipper ETYNR</v>
      </c>
      <c r="O498" t="str">
        <f>IFERROR(VLOOKUP(A498,'Sales Order'!A:I,9,FALSE),"Not Specified")</f>
        <v>Ship to 7-C</v>
      </c>
      <c r="P498" t="str">
        <f>IFERROR(VLOOKUP(A498,'Sales Order'!A:N,14,FALSE),"Not Specified")</f>
        <v>France</v>
      </c>
      <c r="Q498" t="str">
        <f>VLOOKUP(VLOOKUP(B498,Product!A:C,3,FALSE),Supplier!A:B,2,FALSE)</f>
        <v>Supplier XOXZA</v>
      </c>
      <c r="R498" t="str">
        <f>VLOOKUP(VLOOKUP(B498,Product!A:C,3,FALSE),Supplier!A:I,9,FALSE)</f>
        <v>Denmark</v>
      </c>
      <c r="S498" t="str">
        <f>IFERROR(IF(VLOOKUP(A498,'Sales Order'!A:H,8,FALSE)&gt;100,"High Freight","Low Freight"),"Not Specified")</f>
        <v>High Freight</v>
      </c>
      <c r="T498">
        <f t="shared" si="15"/>
        <v>48</v>
      </c>
    </row>
    <row r="499" spans="1:20">
      <c r="A499" s="9">
        <v>10436</v>
      </c>
      <c r="B499" s="6">
        <v>56</v>
      </c>
      <c r="C499" s="6">
        <v>30.4</v>
      </c>
      <c r="D499" s="6">
        <v>40</v>
      </c>
      <c r="E499" s="18">
        <v>0.1</v>
      </c>
      <c r="F499" s="6" t="str">
        <f>IFERROR(VLOOKUP(VLOOKUP(A499,'Sales Order'!A:B,2,FALSE),Customer!A:C,3,FALSE),"Not Specified")</f>
        <v>Bansal, Dushyant</v>
      </c>
      <c r="G499" s="6" t="str">
        <f t="shared" si="14"/>
        <v>Bansal Dushyant</v>
      </c>
      <c r="H499" s="22" t="str">
        <f>IFERROR(VLOOKUP(VLOOKUP(A499,'Sales Order'!A:C,3,FALSE),Employee!A:E,5,FALSE)&amp;" "&amp;VLOOKUP(VLOOKUP(A499,'Sales Order'!A:C,3,FALSE),Employee!A:C,3,FALSE)&amp;" "&amp;VLOOKUP(VLOOKUP(A499,'Sales Order'!A:C,3,FALSE),Employee!A:B,2,FALSE),"Not Specified")</f>
        <v>Ms. Judy Lew</v>
      </c>
      <c r="I499" t="str">
        <f>IFERROR(VLOOKUP(VLOOKUP(A499,'Sales Order'!A:C,3,FALSE),Employee!A:J,10,FALSE),"Not Specified")</f>
        <v>WA</v>
      </c>
      <c r="J499" t="str">
        <f>VLOOKUP(B499,Product!A:B,2,FALSE)</f>
        <v>Product VKCMF</v>
      </c>
      <c r="K499" t="str">
        <f>VLOOKUP(VLOOKUP(B499,Product!A:D,4,FALSE),Category!A:B,2,FALSE)</f>
        <v>Grains/Cereals</v>
      </c>
      <c r="L499" s="24">
        <f>IFERROR(VLOOKUP(A499,'Sales Order'!A:D,4,FALSE),"")</f>
        <v>39118</v>
      </c>
      <c r="M499" s="24">
        <f>IFERROR(VLOOKUP(A499,'Sales Order'!A:F,6,FALSE),"")</f>
        <v>39124</v>
      </c>
      <c r="N499" t="str">
        <f>IFERROR(VLOOKUP(VLOOKUP(A499,'Sales Order'!A:G,7,FALSE),Shipper!A:B,2,FALSE),"Not Specified")</f>
        <v>Shipper ETYNR</v>
      </c>
      <c r="O499" t="str">
        <f>IFERROR(VLOOKUP(A499,'Sales Order'!A:I,9,FALSE),"Not Specified")</f>
        <v>Ship to 7-C</v>
      </c>
      <c r="P499" t="str">
        <f>IFERROR(VLOOKUP(A499,'Sales Order'!A:N,14,FALSE),"Not Specified")</f>
        <v>France</v>
      </c>
      <c r="Q499" t="str">
        <f>VLOOKUP(VLOOKUP(B499,Product!A:C,3,FALSE),Supplier!A:B,2,FALSE)</f>
        <v>Supplier ZWZDM</v>
      </c>
      <c r="R499" t="str">
        <f>VLOOKUP(VLOOKUP(B499,Product!A:C,3,FALSE),Supplier!A:I,9,FALSE)</f>
        <v>Italy</v>
      </c>
      <c r="S499" t="str">
        <f>IFERROR(IF(VLOOKUP(A499,'Sales Order'!A:H,8,FALSE)&gt;100,"High Freight","Low Freight"),"Not Specified")</f>
        <v>High Freight</v>
      </c>
      <c r="T499">
        <f t="shared" si="15"/>
        <v>1094.4000000000001</v>
      </c>
    </row>
    <row r="500" spans="1:20">
      <c r="A500" s="9">
        <v>10436</v>
      </c>
      <c r="B500" s="6">
        <v>64</v>
      </c>
      <c r="C500" s="6">
        <v>26.6</v>
      </c>
      <c r="D500" s="6">
        <v>30</v>
      </c>
      <c r="E500" s="18">
        <v>0.1</v>
      </c>
      <c r="F500" s="6" t="str">
        <f>IFERROR(VLOOKUP(VLOOKUP(A500,'Sales Order'!A:B,2,FALSE),Customer!A:C,3,FALSE),"Not Specified")</f>
        <v>Bansal, Dushyant</v>
      </c>
      <c r="G500" s="6" t="str">
        <f t="shared" si="14"/>
        <v>Bansal Dushyant</v>
      </c>
      <c r="H500" s="22" t="str">
        <f>IFERROR(VLOOKUP(VLOOKUP(A500,'Sales Order'!A:C,3,FALSE),Employee!A:E,5,FALSE)&amp;" "&amp;VLOOKUP(VLOOKUP(A500,'Sales Order'!A:C,3,FALSE),Employee!A:C,3,FALSE)&amp;" "&amp;VLOOKUP(VLOOKUP(A500,'Sales Order'!A:C,3,FALSE),Employee!A:B,2,FALSE),"Not Specified")</f>
        <v>Ms. Judy Lew</v>
      </c>
      <c r="I500" t="str">
        <f>IFERROR(VLOOKUP(VLOOKUP(A500,'Sales Order'!A:C,3,FALSE),Employee!A:J,10,FALSE),"Not Specified")</f>
        <v>WA</v>
      </c>
      <c r="J500" t="str">
        <f>VLOOKUP(B500,Product!A:B,2,FALSE)</f>
        <v>Product HCQDE</v>
      </c>
      <c r="K500" t="str">
        <f>VLOOKUP(VLOOKUP(B500,Product!A:D,4,FALSE),Category!A:B,2,FALSE)</f>
        <v>Grains/Cereals</v>
      </c>
      <c r="L500" s="24">
        <f>IFERROR(VLOOKUP(A500,'Sales Order'!A:D,4,FALSE),"")</f>
        <v>39118</v>
      </c>
      <c r="M500" s="24">
        <f>IFERROR(VLOOKUP(A500,'Sales Order'!A:F,6,FALSE),"")</f>
        <v>39124</v>
      </c>
      <c r="N500" t="str">
        <f>IFERROR(VLOOKUP(VLOOKUP(A500,'Sales Order'!A:G,7,FALSE),Shipper!A:B,2,FALSE),"Not Specified")</f>
        <v>Shipper ETYNR</v>
      </c>
      <c r="O500" t="str">
        <f>IFERROR(VLOOKUP(A500,'Sales Order'!A:I,9,FALSE),"Not Specified")</f>
        <v>Ship to 7-C</v>
      </c>
      <c r="P500" t="str">
        <f>IFERROR(VLOOKUP(A500,'Sales Order'!A:N,14,FALSE),"Not Specified")</f>
        <v>France</v>
      </c>
      <c r="Q500" t="str">
        <f>VLOOKUP(VLOOKUP(B500,Product!A:C,3,FALSE),Supplier!A:B,2,FALSE)</f>
        <v>Supplier SVIYA</v>
      </c>
      <c r="R500" t="str">
        <f>VLOOKUP(VLOOKUP(B500,Product!A:C,3,FALSE),Supplier!A:I,9,FALSE)</f>
        <v>Germany</v>
      </c>
      <c r="S500" t="str">
        <f>IFERROR(IF(VLOOKUP(A500,'Sales Order'!A:H,8,FALSE)&gt;100,"High Freight","Low Freight"),"Not Specified")</f>
        <v>High Freight</v>
      </c>
      <c r="T500">
        <f t="shared" si="15"/>
        <v>718.2</v>
      </c>
    </row>
    <row r="501" spans="1:20">
      <c r="A501" s="9">
        <v>10436</v>
      </c>
      <c r="B501" s="6">
        <v>75</v>
      </c>
      <c r="C501" s="6">
        <v>6.2</v>
      </c>
      <c r="D501" s="6">
        <v>24</v>
      </c>
      <c r="E501" s="18">
        <v>0.1</v>
      </c>
      <c r="F501" s="6" t="str">
        <f>IFERROR(VLOOKUP(VLOOKUP(A501,'Sales Order'!A:B,2,FALSE),Customer!A:C,3,FALSE),"Not Specified")</f>
        <v>Bansal, Dushyant</v>
      </c>
      <c r="G501" s="6" t="str">
        <f t="shared" si="14"/>
        <v>Bansal Dushyant</v>
      </c>
      <c r="H501" s="22" t="str">
        <f>IFERROR(VLOOKUP(VLOOKUP(A501,'Sales Order'!A:C,3,FALSE),Employee!A:E,5,FALSE)&amp;" "&amp;VLOOKUP(VLOOKUP(A501,'Sales Order'!A:C,3,FALSE),Employee!A:C,3,FALSE)&amp;" "&amp;VLOOKUP(VLOOKUP(A501,'Sales Order'!A:C,3,FALSE),Employee!A:B,2,FALSE),"Not Specified")</f>
        <v>Ms. Judy Lew</v>
      </c>
      <c r="I501" t="str">
        <f>IFERROR(VLOOKUP(VLOOKUP(A501,'Sales Order'!A:C,3,FALSE),Employee!A:J,10,FALSE),"Not Specified")</f>
        <v>WA</v>
      </c>
      <c r="J501" t="str">
        <f>VLOOKUP(B501,Product!A:B,2,FALSE)</f>
        <v>Product BWRLG</v>
      </c>
      <c r="K501" t="str">
        <f>VLOOKUP(VLOOKUP(B501,Product!A:D,4,FALSE),Category!A:B,2,FALSE)</f>
        <v>Beverages</v>
      </c>
      <c r="L501" s="24">
        <f>IFERROR(VLOOKUP(A501,'Sales Order'!A:D,4,FALSE),"")</f>
        <v>39118</v>
      </c>
      <c r="M501" s="24">
        <f>IFERROR(VLOOKUP(A501,'Sales Order'!A:F,6,FALSE),"")</f>
        <v>39124</v>
      </c>
      <c r="N501" t="str">
        <f>IFERROR(VLOOKUP(VLOOKUP(A501,'Sales Order'!A:G,7,FALSE),Shipper!A:B,2,FALSE),"Not Specified")</f>
        <v>Shipper ETYNR</v>
      </c>
      <c r="O501" t="str">
        <f>IFERROR(VLOOKUP(A501,'Sales Order'!A:I,9,FALSE),"Not Specified")</f>
        <v>Ship to 7-C</v>
      </c>
      <c r="P501" t="str">
        <f>IFERROR(VLOOKUP(A501,'Sales Order'!A:N,14,FALSE),"Not Specified")</f>
        <v>France</v>
      </c>
      <c r="Q501" t="str">
        <f>VLOOKUP(VLOOKUP(B501,Product!A:C,3,FALSE),Supplier!A:B,2,FALSE)</f>
        <v>Supplier SVIYA</v>
      </c>
      <c r="R501" t="str">
        <f>VLOOKUP(VLOOKUP(B501,Product!A:C,3,FALSE),Supplier!A:I,9,FALSE)</f>
        <v>Germany</v>
      </c>
      <c r="S501" t="str">
        <f>IFERROR(IF(VLOOKUP(A501,'Sales Order'!A:H,8,FALSE)&gt;100,"High Freight","Low Freight"),"Not Specified")</f>
        <v>High Freight</v>
      </c>
      <c r="T501">
        <f t="shared" si="15"/>
        <v>133.92000000000002</v>
      </c>
    </row>
    <row r="502" spans="1:20">
      <c r="A502" s="9">
        <v>10437</v>
      </c>
      <c r="B502" s="6">
        <v>53</v>
      </c>
      <c r="C502" s="6">
        <v>26.2</v>
      </c>
      <c r="D502" s="6">
        <v>15</v>
      </c>
      <c r="E502" s="18">
        <v>0</v>
      </c>
      <c r="F502" s="6" t="str">
        <f>IFERROR(VLOOKUP(VLOOKUP(A502,'Sales Order'!A:B,2,FALSE),Customer!A:C,3,FALSE),"Not Specified")</f>
        <v>Ludwig, Michael</v>
      </c>
      <c r="G502" s="6" t="str">
        <f t="shared" si="14"/>
        <v>Ludwig Michael</v>
      </c>
      <c r="H502" s="22" t="str">
        <f>IFERROR(VLOOKUP(VLOOKUP(A502,'Sales Order'!A:C,3,FALSE),Employee!A:E,5,FALSE)&amp;" "&amp;VLOOKUP(VLOOKUP(A502,'Sales Order'!A:C,3,FALSE),Employee!A:C,3,FALSE)&amp;" "&amp;VLOOKUP(VLOOKUP(A502,'Sales Order'!A:C,3,FALSE),Employee!A:B,2,FALSE),"Not Specified")</f>
        <v>Ms. Maria Cameron</v>
      </c>
      <c r="I502" t="str">
        <f>IFERROR(VLOOKUP(VLOOKUP(A502,'Sales Order'!A:C,3,FALSE),Employee!A:J,10,FALSE),"Not Specified")</f>
        <v>WA</v>
      </c>
      <c r="J502" t="str">
        <f>VLOOKUP(B502,Product!A:B,2,FALSE)</f>
        <v>Product BKGEA</v>
      </c>
      <c r="K502" t="str">
        <f>VLOOKUP(VLOOKUP(B502,Product!A:D,4,FALSE),Category!A:B,2,FALSE)</f>
        <v>Meat/Poultry</v>
      </c>
      <c r="L502" s="24">
        <f>IFERROR(VLOOKUP(A502,'Sales Order'!A:D,4,FALSE),"")</f>
        <v>39118</v>
      </c>
      <c r="M502" s="24">
        <f>IFERROR(VLOOKUP(A502,'Sales Order'!A:F,6,FALSE),"")</f>
        <v>39125</v>
      </c>
      <c r="N502" t="str">
        <f>IFERROR(VLOOKUP(VLOOKUP(A502,'Sales Order'!A:G,7,FALSE),Shipper!A:B,2,FALSE),"Not Specified")</f>
        <v>Shipper GVSUA</v>
      </c>
      <c r="O502" t="str">
        <f>IFERROR(VLOOKUP(A502,'Sales Order'!A:I,9,FALSE),"Not Specified")</f>
        <v>Ship to 87-A</v>
      </c>
      <c r="P502" t="str">
        <f>IFERROR(VLOOKUP(A502,'Sales Order'!A:N,14,FALSE),"Not Specified")</f>
        <v>Finland</v>
      </c>
      <c r="Q502" t="str">
        <f>VLOOKUP(VLOOKUP(B502,Product!A:C,3,FALSE),Supplier!A:B,2,FALSE)</f>
        <v>Supplier JNNES</v>
      </c>
      <c r="R502" t="str">
        <f>VLOOKUP(VLOOKUP(B502,Product!A:C,3,FALSE),Supplier!A:I,9,FALSE)</f>
        <v>Australia</v>
      </c>
      <c r="S502" t="str">
        <f>IFERROR(IF(VLOOKUP(A502,'Sales Order'!A:H,8,FALSE)&gt;100,"High Freight","Low Freight"),"Not Specified")</f>
        <v>Low Freight</v>
      </c>
      <c r="T502">
        <f t="shared" si="15"/>
        <v>393</v>
      </c>
    </row>
    <row r="503" spans="1:20">
      <c r="A503" s="9">
        <v>10438</v>
      </c>
      <c r="B503" s="6">
        <v>19</v>
      </c>
      <c r="C503" s="6">
        <v>7.3</v>
      </c>
      <c r="D503" s="6">
        <v>15</v>
      </c>
      <c r="E503" s="18">
        <v>0.2</v>
      </c>
      <c r="F503" s="6" t="str">
        <f>IFERROR(VLOOKUP(VLOOKUP(A503,'Sales Order'!A:B,2,FALSE),Customer!A:C,3,FALSE),"Not Specified")</f>
        <v>Wickham, Jim</v>
      </c>
      <c r="G503" s="6" t="str">
        <f t="shared" si="14"/>
        <v>Wickham Jim</v>
      </c>
      <c r="H503" s="22" t="str">
        <f>IFERROR(VLOOKUP(VLOOKUP(A503,'Sales Order'!A:C,3,FALSE),Employee!A:E,5,FALSE)&amp;" "&amp;VLOOKUP(VLOOKUP(A503,'Sales Order'!A:C,3,FALSE),Employee!A:C,3,FALSE)&amp;" "&amp;VLOOKUP(VLOOKUP(A503,'Sales Order'!A:C,3,FALSE),Employee!A:B,2,FALSE),"Not Specified")</f>
        <v>Ms. Judy Lew</v>
      </c>
      <c r="I503" t="str">
        <f>IFERROR(VLOOKUP(VLOOKUP(A503,'Sales Order'!A:C,3,FALSE),Employee!A:J,10,FALSE),"Not Specified")</f>
        <v>WA</v>
      </c>
      <c r="J503" t="str">
        <f>VLOOKUP(B503,Product!A:B,2,FALSE)</f>
        <v>Product XKXDO</v>
      </c>
      <c r="K503" t="str">
        <f>VLOOKUP(VLOOKUP(B503,Product!A:D,4,FALSE),Category!A:B,2,FALSE)</f>
        <v>Confections</v>
      </c>
      <c r="L503" s="24">
        <f>IFERROR(VLOOKUP(A503,'Sales Order'!A:D,4,FALSE),"")</f>
        <v>39119</v>
      </c>
      <c r="M503" s="24">
        <f>IFERROR(VLOOKUP(A503,'Sales Order'!A:F,6,FALSE),"")</f>
        <v>39127</v>
      </c>
      <c r="N503" t="str">
        <f>IFERROR(VLOOKUP(VLOOKUP(A503,'Sales Order'!A:G,7,FALSE),Shipper!A:B,2,FALSE),"Not Specified")</f>
        <v>Shipper ETYNR</v>
      </c>
      <c r="O503" t="str">
        <f>IFERROR(VLOOKUP(A503,'Sales Order'!A:I,9,FALSE),"Not Specified")</f>
        <v>Ship to 79-A</v>
      </c>
      <c r="P503" t="str">
        <f>IFERROR(VLOOKUP(A503,'Sales Order'!A:N,14,FALSE),"Not Specified")</f>
        <v>Germany</v>
      </c>
      <c r="Q503" t="str">
        <f>VLOOKUP(VLOOKUP(B503,Product!A:C,3,FALSE),Supplier!A:B,2,FALSE)</f>
        <v>Supplier BWGYE</v>
      </c>
      <c r="R503" t="str">
        <f>VLOOKUP(VLOOKUP(B503,Product!A:C,3,FALSE),Supplier!A:I,9,FALSE)</f>
        <v>UK</v>
      </c>
      <c r="S503" t="str">
        <f>IFERROR(IF(VLOOKUP(A503,'Sales Order'!A:H,8,FALSE)&gt;100,"High Freight","Low Freight"),"Not Specified")</f>
        <v>Low Freight</v>
      </c>
      <c r="T503">
        <f t="shared" si="15"/>
        <v>87.600000000000009</v>
      </c>
    </row>
    <row r="504" spans="1:20">
      <c r="A504" s="9">
        <v>10438</v>
      </c>
      <c r="B504" s="6">
        <v>34</v>
      </c>
      <c r="C504" s="6">
        <v>11.2</v>
      </c>
      <c r="D504" s="6">
        <v>20</v>
      </c>
      <c r="E504" s="18">
        <v>0.2</v>
      </c>
      <c r="F504" s="6" t="str">
        <f>IFERROR(VLOOKUP(VLOOKUP(A504,'Sales Order'!A:B,2,FALSE),Customer!A:C,3,FALSE),"Not Specified")</f>
        <v>Wickham, Jim</v>
      </c>
      <c r="G504" s="6" t="str">
        <f t="shared" si="14"/>
        <v>Wickham Jim</v>
      </c>
      <c r="H504" s="22" t="str">
        <f>IFERROR(VLOOKUP(VLOOKUP(A504,'Sales Order'!A:C,3,FALSE),Employee!A:E,5,FALSE)&amp;" "&amp;VLOOKUP(VLOOKUP(A504,'Sales Order'!A:C,3,FALSE),Employee!A:C,3,FALSE)&amp;" "&amp;VLOOKUP(VLOOKUP(A504,'Sales Order'!A:C,3,FALSE),Employee!A:B,2,FALSE),"Not Specified")</f>
        <v>Ms. Judy Lew</v>
      </c>
      <c r="I504" t="str">
        <f>IFERROR(VLOOKUP(VLOOKUP(A504,'Sales Order'!A:C,3,FALSE),Employee!A:J,10,FALSE),"Not Specified")</f>
        <v>WA</v>
      </c>
      <c r="J504" t="str">
        <f>VLOOKUP(B504,Product!A:B,2,FALSE)</f>
        <v>Product SWNJY</v>
      </c>
      <c r="K504" t="str">
        <f>VLOOKUP(VLOOKUP(B504,Product!A:D,4,FALSE),Category!A:B,2,FALSE)</f>
        <v>Beverages</v>
      </c>
      <c r="L504" s="24">
        <f>IFERROR(VLOOKUP(A504,'Sales Order'!A:D,4,FALSE),"")</f>
        <v>39119</v>
      </c>
      <c r="M504" s="24">
        <f>IFERROR(VLOOKUP(A504,'Sales Order'!A:F,6,FALSE),"")</f>
        <v>39127</v>
      </c>
      <c r="N504" t="str">
        <f>IFERROR(VLOOKUP(VLOOKUP(A504,'Sales Order'!A:G,7,FALSE),Shipper!A:B,2,FALSE),"Not Specified")</f>
        <v>Shipper ETYNR</v>
      </c>
      <c r="O504" t="str">
        <f>IFERROR(VLOOKUP(A504,'Sales Order'!A:I,9,FALSE),"Not Specified")</f>
        <v>Ship to 79-A</v>
      </c>
      <c r="P504" t="str">
        <f>IFERROR(VLOOKUP(A504,'Sales Order'!A:N,14,FALSE),"Not Specified")</f>
        <v>Germany</v>
      </c>
      <c r="Q504" t="str">
        <f>VLOOKUP(VLOOKUP(B504,Product!A:C,3,FALSE),Supplier!A:B,2,FALSE)</f>
        <v>Supplier UHZRG</v>
      </c>
      <c r="R504" t="str">
        <f>VLOOKUP(VLOOKUP(B504,Product!A:C,3,FALSE),Supplier!A:I,9,FALSE)</f>
        <v>USA</v>
      </c>
      <c r="S504" t="str">
        <f>IFERROR(IF(VLOOKUP(A504,'Sales Order'!A:H,8,FALSE)&gt;100,"High Freight","Low Freight"),"Not Specified")</f>
        <v>Low Freight</v>
      </c>
      <c r="T504">
        <f t="shared" si="15"/>
        <v>179.20000000000002</v>
      </c>
    </row>
    <row r="505" spans="1:20">
      <c r="A505" s="9">
        <v>10438</v>
      </c>
      <c r="B505" s="6">
        <v>57</v>
      </c>
      <c r="C505" s="6">
        <v>15.6</v>
      </c>
      <c r="D505" s="6">
        <v>15</v>
      </c>
      <c r="E505" s="18">
        <v>0.2</v>
      </c>
      <c r="F505" s="6" t="str">
        <f>IFERROR(VLOOKUP(VLOOKUP(A505,'Sales Order'!A:B,2,FALSE),Customer!A:C,3,FALSE),"Not Specified")</f>
        <v>Wickham, Jim</v>
      </c>
      <c r="G505" s="6" t="str">
        <f t="shared" si="14"/>
        <v>Wickham Jim</v>
      </c>
      <c r="H505" s="22" t="str">
        <f>IFERROR(VLOOKUP(VLOOKUP(A505,'Sales Order'!A:C,3,FALSE),Employee!A:E,5,FALSE)&amp;" "&amp;VLOOKUP(VLOOKUP(A505,'Sales Order'!A:C,3,FALSE),Employee!A:C,3,FALSE)&amp;" "&amp;VLOOKUP(VLOOKUP(A505,'Sales Order'!A:C,3,FALSE),Employee!A:B,2,FALSE),"Not Specified")</f>
        <v>Ms. Judy Lew</v>
      </c>
      <c r="I505" t="str">
        <f>IFERROR(VLOOKUP(VLOOKUP(A505,'Sales Order'!A:C,3,FALSE),Employee!A:J,10,FALSE),"Not Specified")</f>
        <v>WA</v>
      </c>
      <c r="J505" t="str">
        <f>VLOOKUP(B505,Product!A:B,2,FALSE)</f>
        <v>Product OVLQI</v>
      </c>
      <c r="K505" t="str">
        <f>VLOOKUP(VLOOKUP(B505,Product!A:D,4,FALSE),Category!A:B,2,FALSE)</f>
        <v>Grains/Cereals</v>
      </c>
      <c r="L505" s="24">
        <f>IFERROR(VLOOKUP(A505,'Sales Order'!A:D,4,FALSE),"")</f>
        <v>39119</v>
      </c>
      <c r="M505" s="24">
        <f>IFERROR(VLOOKUP(A505,'Sales Order'!A:F,6,FALSE),"")</f>
        <v>39127</v>
      </c>
      <c r="N505" t="str">
        <f>IFERROR(VLOOKUP(VLOOKUP(A505,'Sales Order'!A:G,7,FALSE),Shipper!A:B,2,FALSE),"Not Specified")</f>
        <v>Shipper ETYNR</v>
      </c>
      <c r="O505" t="str">
        <f>IFERROR(VLOOKUP(A505,'Sales Order'!A:I,9,FALSE),"Not Specified")</f>
        <v>Ship to 79-A</v>
      </c>
      <c r="P505" t="str">
        <f>IFERROR(VLOOKUP(A505,'Sales Order'!A:N,14,FALSE),"Not Specified")</f>
        <v>Germany</v>
      </c>
      <c r="Q505" t="str">
        <f>VLOOKUP(VLOOKUP(B505,Product!A:C,3,FALSE),Supplier!A:B,2,FALSE)</f>
        <v>Supplier ZWZDM</v>
      </c>
      <c r="R505" t="str">
        <f>VLOOKUP(VLOOKUP(B505,Product!A:C,3,FALSE),Supplier!A:I,9,FALSE)</f>
        <v>Italy</v>
      </c>
      <c r="S505" t="str">
        <f>IFERROR(IF(VLOOKUP(A505,'Sales Order'!A:H,8,FALSE)&gt;100,"High Freight","Low Freight"),"Not Specified")</f>
        <v>Low Freight</v>
      </c>
      <c r="T505">
        <f t="shared" si="15"/>
        <v>187.20000000000002</v>
      </c>
    </row>
    <row r="506" spans="1:20">
      <c r="A506" s="9">
        <v>10439</v>
      </c>
      <c r="B506" s="6">
        <v>12</v>
      </c>
      <c r="C506" s="6">
        <v>30.4</v>
      </c>
      <c r="D506" s="6">
        <v>15</v>
      </c>
      <c r="E506" s="18">
        <v>0</v>
      </c>
      <c r="F506" s="6" t="str">
        <f>IFERROR(VLOOKUP(VLOOKUP(A506,'Sales Order'!A:B,2,FALSE),Customer!A:C,3,FALSE),"Not Specified")</f>
        <v>Taylor, Maurice</v>
      </c>
      <c r="G506" s="6" t="str">
        <f t="shared" si="14"/>
        <v>Taylor Maurice</v>
      </c>
      <c r="H506" s="22" t="str">
        <f>IFERROR(VLOOKUP(VLOOKUP(A506,'Sales Order'!A:C,3,FALSE),Employee!A:E,5,FALSE)&amp;" "&amp;VLOOKUP(VLOOKUP(A506,'Sales Order'!A:C,3,FALSE),Employee!A:C,3,FALSE)&amp;" "&amp;VLOOKUP(VLOOKUP(A506,'Sales Order'!A:C,3,FALSE),Employee!A:B,2,FALSE),"Not Specified")</f>
        <v>Mr. Paul Suurs</v>
      </c>
      <c r="I506">
        <f>IFERROR(VLOOKUP(VLOOKUP(A506,'Sales Order'!A:C,3,FALSE),Employee!A:J,10,FALSE),"Not Specified")</f>
        <v>0</v>
      </c>
      <c r="J506" t="str">
        <f>VLOOKUP(B506,Product!A:B,2,FALSE)</f>
        <v>Product OSFNS</v>
      </c>
      <c r="K506" t="str">
        <f>VLOOKUP(VLOOKUP(B506,Product!A:D,4,FALSE),Category!A:B,2,FALSE)</f>
        <v>Dairy Product</v>
      </c>
      <c r="L506" s="24">
        <f>IFERROR(VLOOKUP(A506,'Sales Order'!A:D,4,FALSE),"")</f>
        <v>39120</v>
      </c>
      <c r="M506" s="24">
        <f>IFERROR(VLOOKUP(A506,'Sales Order'!A:F,6,FALSE),"")</f>
        <v>39123</v>
      </c>
      <c r="N506" t="str">
        <f>IFERROR(VLOOKUP(VLOOKUP(A506,'Sales Order'!A:G,7,FALSE),Shipper!A:B,2,FALSE),"Not Specified")</f>
        <v>Shipper ZHISN</v>
      </c>
      <c r="O506" t="str">
        <f>IFERROR(VLOOKUP(A506,'Sales Order'!A:I,9,FALSE),"Not Specified")</f>
        <v>Ship to 51-C</v>
      </c>
      <c r="P506" t="str">
        <f>IFERROR(VLOOKUP(A506,'Sales Order'!A:N,14,FALSE),"Not Specified")</f>
        <v>Canada</v>
      </c>
      <c r="Q506" t="str">
        <f>VLOOKUP(VLOOKUP(B506,Product!A:C,3,FALSE),Supplier!A:B,2,FALSE)</f>
        <v>Supplier EQPNC</v>
      </c>
      <c r="R506" t="str">
        <f>VLOOKUP(VLOOKUP(B506,Product!A:C,3,FALSE),Supplier!A:I,9,FALSE)</f>
        <v>Spain</v>
      </c>
      <c r="S506" t="str">
        <f>IFERROR(IF(VLOOKUP(A506,'Sales Order'!A:H,8,FALSE)&gt;100,"High Freight","Low Freight"),"Not Specified")</f>
        <v>Low Freight</v>
      </c>
      <c r="T506">
        <f t="shared" si="15"/>
        <v>456</v>
      </c>
    </row>
    <row r="507" spans="1:20">
      <c r="A507" s="9">
        <v>10439</v>
      </c>
      <c r="B507" s="6">
        <v>16</v>
      </c>
      <c r="C507" s="6">
        <v>13.9</v>
      </c>
      <c r="D507" s="6">
        <v>16</v>
      </c>
      <c r="E507" s="18">
        <v>0</v>
      </c>
      <c r="F507" s="6" t="str">
        <f>IFERROR(VLOOKUP(VLOOKUP(A507,'Sales Order'!A:B,2,FALSE),Customer!A:C,3,FALSE),"Not Specified")</f>
        <v>Taylor, Maurice</v>
      </c>
      <c r="G507" s="6" t="str">
        <f t="shared" si="14"/>
        <v>Taylor Maurice</v>
      </c>
      <c r="H507" s="22" t="str">
        <f>IFERROR(VLOOKUP(VLOOKUP(A507,'Sales Order'!A:C,3,FALSE),Employee!A:E,5,FALSE)&amp;" "&amp;VLOOKUP(VLOOKUP(A507,'Sales Order'!A:C,3,FALSE),Employee!A:C,3,FALSE)&amp;" "&amp;VLOOKUP(VLOOKUP(A507,'Sales Order'!A:C,3,FALSE),Employee!A:B,2,FALSE),"Not Specified")</f>
        <v>Mr. Paul Suurs</v>
      </c>
      <c r="I507">
        <f>IFERROR(VLOOKUP(VLOOKUP(A507,'Sales Order'!A:C,3,FALSE),Employee!A:J,10,FALSE),"Not Specified")</f>
        <v>0</v>
      </c>
      <c r="J507" t="str">
        <f>VLOOKUP(B507,Product!A:B,2,FALSE)</f>
        <v>Product PAFRH</v>
      </c>
      <c r="K507" t="str">
        <f>VLOOKUP(VLOOKUP(B507,Product!A:D,4,FALSE),Category!A:B,2,FALSE)</f>
        <v>Confections</v>
      </c>
      <c r="L507" s="24">
        <f>IFERROR(VLOOKUP(A507,'Sales Order'!A:D,4,FALSE),"")</f>
        <v>39120</v>
      </c>
      <c r="M507" s="24">
        <f>IFERROR(VLOOKUP(A507,'Sales Order'!A:F,6,FALSE),"")</f>
        <v>39123</v>
      </c>
      <c r="N507" t="str">
        <f>IFERROR(VLOOKUP(VLOOKUP(A507,'Sales Order'!A:G,7,FALSE),Shipper!A:B,2,FALSE),"Not Specified")</f>
        <v>Shipper ZHISN</v>
      </c>
      <c r="O507" t="str">
        <f>IFERROR(VLOOKUP(A507,'Sales Order'!A:I,9,FALSE),"Not Specified")</f>
        <v>Ship to 51-C</v>
      </c>
      <c r="P507" t="str">
        <f>IFERROR(VLOOKUP(A507,'Sales Order'!A:N,14,FALSE),"Not Specified")</f>
        <v>Canada</v>
      </c>
      <c r="Q507" t="str">
        <f>VLOOKUP(VLOOKUP(B507,Product!A:C,3,FALSE),Supplier!A:B,2,FALSE)</f>
        <v>Supplier GQRCV</v>
      </c>
      <c r="R507" t="str">
        <f>VLOOKUP(VLOOKUP(B507,Product!A:C,3,FALSE),Supplier!A:I,9,FALSE)</f>
        <v>Australia</v>
      </c>
      <c r="S507" t="str">
        <f>IFERROR(IF(VLOOKUP(A507,'Sales Order'!A:H,8,FALSE)&gt;100,"High Freight","Low Freight"),"Not Specified")</f>
        <v>Low Freight</v>
      </c>
      <c r="T507">
        <f t="shared" si="15"/>
        <v>222.4</v>
      </c>
    </row>
    <row r="508" spans="1:20">
      <c r="A508" s="9">
        <v>10439</v>
      </c>
      <c r="B508" s="6">
        <v>64</v>
      </c>
      <c r="C508" s="6">
        <v>26.6</v>
      </c>
      <c r="D508" s="6">
        <v>6</v>
      </c>
      <c r="E508" s="18">
        <v>0</v>
      </c>
      <c r="F508" s="6" t="str">
        <f>IFERROR(VLOOKUP(VLOOKUP(A508,'Sales Order'!A:B,2,FALSE),Customer!A:C,3,FALSE),"Not Specified")</f>
        <v>Taylor, Maurice</v>
      </c>
      <c r="G508" s="6" t="str">
        <f t="shared" si="14"/>
        <v>Taylor Maurice</v>
      </c>
      <c r="H508" s="22" t="str">
        <f>IFERROR(VLOOKUP(VLOOKUP(A508,'Sales Order'!A:C,3,FALSE),Employee!A:E,5,FALSE)&amp;" "&amp;VLOOKUP(VLOOKUP(A508,'Sales Order'!A:C,3,FALSE),Employee!A:C,3,FALSE)&amp;" "&amp;VLOOKUP(VLOOKUP(A508,'Sales Order'!A:C,3,FALSE),Employee!A:B,2,FALSE),"Not Specified")</f>
        <v>Mr. Paul Suurs</v>
      </c>
      <c r="I508">
        <f>IFERROR(VLOOKUP(VLOOKUP(A508,'Sales Order'!A:C,3,FALSE),Employee!A:J,10,FALSE),"Not Specified")</f>
        <v>0</v>
      </c>
      <c r="J508" t="str">
        <f>VLOOKUP(B508,Product!A:B,2,FALSE)</f>
        <v>Product HCQDE</v>
      </c>
      <c r="K508" t="str">
        <f>VLOOKUP(VLOOKUP(B508,Product!A:D,4,FALSE),Category!A:B,2,FALSE)</f>
        <v>Grains/Cereals</v>
      </c>
      <c r="L508" s="24">
        <f>IFERROR(VLOOKUP(A508,'Sales Order'!A:D,4,FALSE),"")</f>
        <v>39120</v>
      </c>
      <c r="M508" s="24">
        <f>IFERROR(VLOOKUP(A508,'Sales Order'!A:F,6,FALSE),"")</f>
        <v>39123</v>
      </c>
      <c r="N508" t="str">
        <f>IFERROR(VLOOKUP(VLOOKUP(A508,'Sales Order'!A:G,7,FALSE),Shipper!A:B,2,FALSE),"Not Specified")</f>
        <v>Shipper ZHISN</v>
      </c>
      <c r="O508" t="str">
        <f>IFERROR(VLOOKUP(A508,'Sales Order'!A:I,9,FALSE),"Not Specified")</f>
        <v>Ship to 51-C</v>
      </c>
      <c r="P508" t="str">
        <f>IFERROR(VLOOKUP(A508,'Sales Order'!A:N,14,FALSE),"Not Specified")</f>
        <v>Canada</v>
      </c>
      <c r="Q508" t="str">
        <f>VLOOKUP(VLOOKUP(B508,Product!A:C,3,FALSE),Supplier!A:B,2,FALSE)</f>
        <v>Supplier SVIYA</v>
      </c>
      <c r="R508" t="str">
        <f>VLOOKUP(VLOOKUP(B508,Product!A:C,3,FALSE),Supplier!A:I,9,FALSE)</f>
        <v>Germany</v>
      </c>
      <c r="S508" t="str">
        <f>IFERROR(IF(VLOOKUP(A508,'Sales Order'!A:H,8,FALSE)&gt;100,"High Freight","Low Freight"),"Not Specified")</f>
        <v>Low Freight</v>
      </c>
      <c r="T508">
        <f t="shared" si="15"/>
        <v>159.60000000000002</v>
      </c>
    </row>
    <row r="509" spans="1:20">
      <c r="A509" s="9">
        <v>10439</v>
      </c>
      <c r="B509" s="6">
        <v>74</v>
      </c>
      <c r="C509" s="6">
        <v>8</v>
      </c>
      <c r="D509" s="6">
        <v>30</v>
      </c>
      <c r="E509" s="18">
        <v>0</v>
      </c>
      <c r="F509" s="6" t="str">
        <f>IFERROR(VLOOKUP(VLOOKUP(A509,'Sales Order'!A:B,2,FALSE),Customer!A:C,3,FALSE),"Not Specified")</f>
        <v>Taylor, Maurice</v>
      </c>
      <c r="G509" s="6" t="str">
        <f t="shared" si="14"/>
        <v>Taylor Maurice</v>
      </c>
      <c r="H509" s="22" t="str">
        <f>IFERROR(VLOOKUP(VLOOKUP(A509,'Sales Order'!A:C,3,FALSE),Employee!A:E,5,FALSE)&amp;" "&amp;VLOOKUP(VLOOKUP(A509,'Sales Order'!A:C,3,FALSE),Employee!A:C,3,FALSE)&amp;" "&amp;VLOOKUP(VLOOKUP(A509,'Sales Order'!A:C,3,FALSE),Employee!A:B,2,FALSE),"Not Specified")</f>
        <v>Mr. Paul Suurs</v>
      </c>
      <c r="I509">
        <f>IFERROR(VLOOKUP(VLOOKUP(A509,'Sales Order'!A:C,3,FALSE),Employee!A:J,10,FALSE),"Not Specified")</f>
        <v>0</v>
      </c>
      <c r="J509" t="str">
        <f>VLOOKUP(B509,Product!A:B,2,FALSE)</f>
        <v>Product BKAZJ</v>
      </c>
      <c r="K509" t="str">
        <f>VLOOKUP(VLOOKUP(B509,Product!A:D,4,FALSE),Category!A:B,2,FALSE)</f>
        <v>Produce</v>
      </c>
      <c r="L509" s="24">
        <f>IFERROR(VLOOKUP(A509,'Sales Order'!A:D,4,FALSE),"")</f>
        <v>39120</v>
      </c>
      <c r="M509" s="24">
        <f>IFERROR(VLOOKUP(A509,'Sales Order'!A:F,6,FALSE),"")</f>
        <v>39123</v>
      </c>
      <c r="N509" t="str">
        <f>IFERROR(VLOOKUP(VLOOKUP(A509,'Sales Order'!A:G,7,FALSE),Shipper!A:B,2,FALSE),"Not Specified")</f>
        <v>Shipper ZHISN</v>
      </c>
      <c r="O509" t="str">
        <f>IFERROR(VLOOKUP(A509,'Sales Order'!A:I,9,FALSE),"Not Specified")</f>
        <v>Ship to 51-C</v>
      </c>
      <c r="P509" t="str">
        <f>IFERROR(VLOOKUP(A509,'Sales Order'!A:N,14,FALSE),"Not Specified")</f>
        <v>Canada</v>
      </c>
      <c r="Q509" t="str">
        <f>VLOOKUP(VLOOKUP(B509,Product!A:C,3,FALSE),Supplier!A:B,2,FALSE)</f>
        <v>Supplier QOVFD</v>
      </c>
      <c r="R509" t="str">
        <f>VLOOKUP(VLOOKUP(B509,Product!A:C,3,FALSE),Supplier!A:I,9,FALSE)</f>
        <v>Japan</v>
      </c>
      <c r="S509" t="str">
        <f>IFERROR(IF(VLOOKUP(A509,'Sales Order'!A:H,8,FALSE)&gt;100,"High Freight","Low Freight"),"Not Specified")</f>
        <v>Low Freight</v>
      </c>
      <c r="T509">
        <f t="shared" si="15"/>
        <v>240</v>
      </c>
    </row>
    <row r="510" spans="1:20">
      <c r="A510" s="9">
        <v>10440</v>
      </c>
      <c r="B510" s="6">
        <v>2</v>
      </c>
      <c r="C510" s="6">
        <v>15.2</v>
      </c>
      <c r="D510" s="6">
        <v>45</v>
      </c>
      <c r="E510" s="18">
        <v>0.15</v>
      </c>
      <c r="F510" s="6" t="str">
        <f>IFERROR(VLOOKUP(VLOOKUP(A510,'Sales Order'!A:B,2,FALSE),Customer!A:C,3,FALSE),"Not Specified")</f>
        <v>Navarro, Tomás</v>
      </c>
      <c r="G510" s="6" t="str">
        <f t="shared" si="14"/>
        <v>Navarro Tomás</v>
      </c>
      <c r="H510" s="22" t="str">
        <f>IFERROR(VLOOKUP(VLOOKUP(A510,'Sales Order'!A:C,3,FALSE),Employee!A:E,5,FALSE)&amp;" "&amp;VLOOKUP(VLOOKUP(A510,'Sales Order'!A:C,3,FALSE),Employee!A:C,3,FALSE)&amp;" "&amp;VLOOKUP(VLOOKUP(A510,'Sales Order'!A:C,3,FALSE),Employee!A:B,2,FALSE),"Not Specified")</f>
        <v>Mrs. Yael Peled</v>
      </c>
      <c r="I510" t="str">
        <f>IFERROR(VLOOKUP(VLOOKUP(A510,'Sales Order'!A:C,3,FALSE),Employee!A:J,10,FALSE),"Not Specified")</f>
        <v>WA</v>
      </c>
      <c r="J510" t="str">
        <f>VLOOKUP(B510,Product!A:B,2,FALSE)</f>
        <v>Product RECZE</v>
      </c>
      <c r="K510" t="str">
        <f>VLOOKUP(VLOOKUP(B510,Product!A:D,4,FALSE),Category!A:B,2,FALSE)</f>
        <v>Beverages</v>
      </c>
      <c r="L510" s="24">
        <f>IFERROR(VLOOKUP(A510,'Sales Order'!A:D,4,FALSE),"")</f>
        <v>39123</v>
      </c>
      <c r="M510" s="24">
        <f>IFERROR(VLOOKUP(A510,'Sales Order'!A:F,6,FALSE),"")</f>
        <v>39141</v>
      </c>
      <c r="N510" t="str">
        <f>IFERROR(VLOOKUP(VLOOKUP(A510,'Sales Order'!A:G,7,FALSE),Shipper!A:B,2,FALSE),"Not Specified")</f>
        <v>Shipper ETYNR</v>
      </c>
      <c r="O510" t="str">
        <f>IFERROR(VLOOKUP(A510,'Sales Order'!A:I,9,FALSE),"Not Specified")</f>
        <v>Ship to 71-B</v>
      </c>
      <c r="P510" t="str">
        <f>IFERROR(VLOOKUP(A510,'Sales Order'!A:N,14,FALSE),"Not Specified")</f>
        <v>USA</v>
      </c>
      <c r="Q510" t="str">
        <f>VLOOKUP(VLOOKUP(B510,Product!A:C,3,FALSE),Supplier!A:B,2,FALSE)</f>
        <v>Supplier SWRXU</v>
      </c>
      <c r="R510" t="str">
        <f>VLOOKUP(VLOOKUP(B510,Product!A:C,3,FALSE),Supplier!A:I,9,FALSE)</f>
        <v>UK</v>
      </c>
      <c r="S510" t="str">
        <f>IFERROR(IF(VLOOKUP(A510,'Sales Order'!A:H,8,FALSE)&gt;100,"High Freight","Low Freight"),"Not Specified")</f>
        <v>Low Freight</v>
      </c>
      <c r="T510">
        <f t="shared" si="15"/>
        <v>581.4</v>
      </c>
    </row>
    <row r="511" spans="1:20">
      <c r="A511" s="9">
        <v>10440</v>
      </c>
      <c r="B511" s="6">
        <v>16</v>
      </c>
      <c r="C511" s="6">
        <v>13.9</v>
      </c>
      <c r="D511" s="6">
        <v>49</v>
      </c>
      <c r="E511" s="18">
        <v>0.15</v>
      </c>
      <c r="F511" s="6" t="str">
        <f>IFERROR(VLOOKUP(VLOOKUP(A511,'Sales Order'!A:B,2,FALSE),Customer!A:C,3,FALSE),"Not Specified")</f>
        <v>Navarro, Tomás</v>
      </c>
      <c r="G511" s="6" t="str">
        <f t="shared" si="14"/>
        <v>Navarro Tomás</v>
      </c>
      <c r="H511" s="22" t="str">
        <f>IFERROR(VLOOKUP(VLOOKUP(A511,'Sales Order'!A:C,3,FALSE),Employee!A:E,5,FALSE)&amp;" "&amp;VLOOKUP(VLOOKUP(A511,'Sales Order'!A:C,3,FALSE),Employee!A:C,3,FALSE)&amp;" "&amp;VLOOKUP(VLOOKUP(A511,'Sales Order'!A:C,3,FALSE),Employee!A:B,2,FALSE),"Not Specified")</f>
        <v>Mrs. Yael Peled</v>
      </c>
      <c r="I511" t="str">
        <f>IFERROR(VLOOKUP(VLOOKUP(A511,'Sales Order'!A:C,3,FALSE),Employee!A:J,10,FALSE),"Not Specified")</f>
        <v>WA</v>
      </c>
      <c r="J511" t="str">
        <f>VLOOKUP(B511,Product!A:B,2,FALSE)</f>
        <v>Product PAFRH</v>
      </c>
      <c r="K511" t="str">
        <f>VLOOKUP(VLOOKUP(B511,Product!A:D,4,FALSE),Category!A:B,2,FALSE)</f>
        <v>Confections</v>
      </c>
      <c r="L511" s="24">
        <f>IFERROR(VLOOKUP(A511,'Sales Order'!A:D,4,FALSE),"")</f>
        <v>39123</v>
      </c>
      <c r="M511" s="24">
        <f>IFERROR(VLOOKUP(A511,'Sales Order'!A:F,6,FALSE),"")</f>
        <v>39141</v>
      </c>
      <c r="N511" t="str">
        <f>IFERROR(VLOOKUP(VLOOKUP(A511,'Sales Order'!A:G,7,FALSE),Shipper!A:B,2,FALSE),"Not Specified")</f>
        <v>Shipper ETYNR</v>
      </c>
      <c r="O511" t="str">
        <f>IFERROR(VLOOKUP(A511,'Sales Order'!A:I,9,FALSE),"Not Specified")</f>
        <v>Ship to 71-B</v>
      </c>
      <c r="P511" t="str">
        <f>IFERROR(VLOOKUP(A511,'Sales Order'!A:N,14,FALSE),"Not Specified")</f>
        <v>USA</v>
      </c>
      <c r="Q511" t="str">
        <f>VLOOKUP(VLOOKUP(B511,Product!A:C,3,FALSE),Supplier!A:B,2,FALSE)</f>
        <v>Supplier GQRCV</v>
      </c>
      <c r="R511" t="str">
        <f>VLOOKUP(VLOOKUP(B511,Product!A:C,3,FALSE),Supplier!A:I,9,FALSE)</f>
        <v>Australia</v>
      </c>
      <c r="S511" t="str">
        <f>IFERROR(IF(VLOOKUP(A511,'Sales Order'!A:H,8,FALSE)&gt;100,"High Freight","Low Freight"),"Not Specified")</f>
        <v>Low Freight</v>
      </c>
      <c r="T511">
        <f t="shared" si="15"/>
        <v>578.93500000000006</v>
      </c>
    </row>
    <row r="512" spans="1:20">
      <c r="A512" s="9">
        <v>10440</v>
      </c>
      <c r="B512" s="6">
        <v>29</v>
      </c>
      <c r="C512" s="6">
        <v>99</v>
      </c>
      <c r="D512" s="6">
        <v>24</v>
      </c>
      <c r="E512" s="18">
        <v>0.15</v>
      </c>
      <c r="F512" s="6" t="str">
        <f>IFERROR(VLOOKUP(VLOOKUP(A512,'Sales Order'!A:B,2,FALSE),Customer!A:C,3,FALSE),"Not Specified")</f>
        <v>Navarro, Tomás</v>
      </c>
      <c r="G512" s="6" t="str">
        <f t="shared" si="14"/>
        <v>Navarro Tomás</v>
      </c>
      <c r="H512" s="22" t="str">
        <f>IFERROR(VLOOKUP(VLOOKUP(A512,'Sales Order'!A:C,3,FALSE),Employee!A:E,5,FALSE)&amp;" "&amp;VLOOKUP(VLOOKUP(A512,'Sales Order'!A:C,3,FALSE),Employee!A:C,3,FALSE)&amp;" "&amp;VLOOKUP(VLOOKUP(A512,'Sales Order'!A:C,3,FALSE),Employee!A:B,2,FALSE),"Not Specified")</f>
        <v>Mrs. Yael Peled</v>
      </c>
      <c r="I512" t="str">
        <f>IFERROR(VLOOKUP(VLOOKUP(A512,'Sales Order'!A:C,3,FALSE),Employee!A:J,10,FALSE),"Not Specified")</f>
        <v>WA</v>
      </c>
      <c r="J512" t="str">
        <f>VLOOKUP(B512,Product!A:B,2,FALSE)</f>
        <v>Product VJXYN</v>
      </c>
      <c r="K512" t="str">
        <f>VLOOKUP(VLOOKUP(B512,Product!A:D,4,FALSE),Category!A:B,2,FALSE)</f>
        <v>Meat/Poultry</v>
      </c>
      <c r="L512" s="24">
        <f>IFERROR(VLOOKUP(A512,'Sales Order'!A:D,4,FALSE),"")</f>
        <v>39123</v>
      </c>
      <c r="M512" s="24">
        <f>IFERROR(VLOOKUP(A512,'Sales Order'!A:F,6,FALSE),"")</f>
        <v>39141</v>
      </c>
      <c r="N512" t="str">
        <f>IFERROR(VLOOKUP(VLOOKUP(A512,'Sales Order'!A:G,7,FALSE),Shipper!A:B,2,FALSE),"Not Specified")</f>
        <v>Shipper ETYNR</v>
      </c>
      <c r="O512" t="str">
        <f>IFERROR(VLOOKUP(A512,'Sales Order'!A:I,9,FALSE),"Not Specified")</f>
        <v>Ship to 71-B</v>
      </c>
      <c r="P512" t="str">
        <f>IFERROR(VLOOKUP(A512,'Sales Order'!A:N,14,FALSE),"Not Specified")</f>
        <v>USA</v>
      </c>
      <c r="Q512" t="str">
        <f>VLOOKUP(VLOOKUP(B512,Product!A:C,3,FALSE),Supplier!A:B,2,FALSE)</f>
        <v>Supplier SVIYA</v>
      </c>
      <c r="R512" t="str">
        <f>VLOOKUP(VLOOKUP(B512,Product!A:C,3,FALSE),Supplier!A:I,9,FALSE)</f>
        <v>Germany</v>
      </c>
      <c r="S512" t="str">
        <f>IFERROR(IF(VLOOKUP(A512,'Sales Order'!A:H,8,FALSE)&gt;100,"High Freight","Low Freight"),"Not Specified")</f>
        <v>Low Freight</v>
      </c>
      <c r="T512">
        <f t="shared" si="15"/>
        <v>2019.6</v>
      </c>
    </row>
    <row r="513" spans="1:20">
      <c r="A513" s="9">
        <v>10440</v>
      </c>
      <c r="B513" s="6">
        <v>61</v>
      </c>
      <c r="C513" s="6">
        <v>22.8</v>
      </c>
      <c r="D513" s="6">
        <v>90</v>
      </c>
      <c r="E513" s="18">
        <v>0.15</v>
      </c>
      <c r="F513" s="6" t="str">
        <f>IFERROR(VLOOKUP(VLOOKUP(A513,'Sales Order'!A:B,2,FALSE),Customer!A:C,3,FALSE),"Not Specified")</f>
        <v>Navarro, Tomás</v>
      </c>
      <c r="G513" s="6" t="str">
        <f t="shared" si="14"/>
        <v>Navarro Tomás</v>
      </c>
      <c r="H513" s="22" t="str">
        <f>IFERROR(VLOOKUP(VLOOKUP(A513,'Sales Order'!A:C,3,FALSE),Employee!A:E,5,FALSE)&amp;" "&amp;VLOOKUP(VLOOKUP(A513,'Sales Order'!A:C,3,FALSE),Employee!A:C,3,FALSE)&amp;" "&amp;VLOOKUP(VLOOKUP(A513,'Sales Order'!A:C,3,FALSE),Employee!A:B,2,FALSE),"Not Specified")</f>
        <v>Mrs. Yael Peled</v>
      </c>
      <c r="I513" t="str">
        <f>IFERROR(VLOOKUP(VLOOKUP(A513,'Sales Order'!A:C,3,FALSE),Employee!A:J,10,FALSE),"Not Specified")</f>
        <v>WA</v>
      </c>
      <c r="J513" t="str">
        <f>VLOOKUP(B513,Product!A:B,2,FALSE)</f>
        <v>Product XYZPE</v>
      </c>
      <c r="K513" t="str">
        <f>VLOOKUP(VLOOKUP(B513,Product!A:D,4,FALSE),Category!A:B,2,FALSE)</f>
        <v>Condiments</v>
      </c>
      <c r="L513" s="24">
        <f>IFERROR(VLOOKUP(A513,'Sales Order'!A:D,4,FALSE),"")</f>
        <v>39123</v>
      </c>
      <c r="M513" s="24">
        <f>IFERROR(VLOOKUP(A513,'Sales Order'!A:F,6,FALSE),"")</f>
        <v>39141</v>
      </c>
      <c r="N513" t="str">
        <f>IFERROR(VLOOKUP(VLOOKUP(A513,'Sales Order'!A:G,7,FALSE),Shipper!A:B,2,FALSE),"Not Specified")</f>
        <v>Shipper ETYNR</v>
      </c>
      <c r="O513" t="str">
        <f>IFERROR(VLOOKUP(A513,'Sales Order'!A:I,9,FALSE),"Not Specified")</f>
        <v>Ship to 71-B</v>
      </c>
      <c r="P513" t="str">
        <f>IFERROR(VLOOKUP(A513,'Sales Order'!A:N,14,FALSE),"Not Specified")</f>
        <v>USA</v>
      </c>
      <c r="Q513" t="str">
        <f>VLOOKUP(VLOOKUP(B513,Product!A:C,3,FALSE),Supplier!A:B,2,FALSE)</f>
        <v>Supplier OGLRK</v>
      </c>
      <c r="R513" t="str">
        <f>VLOOKUP(VLOOKUP(B513,Product!A:C,3,FALSE),Supplier!A:I,9,FALSE)</f>
        <v>Canada</v>
      </c>
      <c r="S513" t="str">
        <f>IFERROR(IF(VLOOKUP(A513,'Sales Order'!A:H,8,FALSE)&gt;100,"High Freight","Low Freight"),"Not Specified")</f>
        <v>Low Freight</v>
      </c>
      <c r="T513">
        <f t="shared" si="15"/>
        <v>1744.2</v>
      </c>
    </row>
    <row r="514" spans="1:20">
      <c r="A514" s="9">
        <v>10441</v>
      </c>
      <c r="B514" s="6">
        <v>27</v>
      </c>
      <c r="C514" s="6">
        <v>35.1</v>
      </c>
      <c r="D514" s="6">
        <v>50</v>
      </c>
      <c r="E514" s="18">
        <v>0</v>
      </c>
      <c r="F514" s="6" t="str">
        <f>IFERROR(VLOOKUP(VLOOKUP(A514,'Sales Order'!A:B,2,FALSE),Customer!A:C,3,FALSE),"Not Specified")</f>
        <v>Egelund-Muller, Anja</v>
      </c>
      <c r="G514" s="6" t="str">
        <f t="shared" si="14"/>
        <v>Egelund-Muller Anja</v>
      </c>
      <c r="H514" s="22" t="str">
        <f>IFERROR(VLOOKUP(VLOOKUP(A514,'Sales Order'!A:C,3,FALSE),Employee!A:E,5,FALSE)&amp;" "&amp;VLOOKUP(VLOOKUP(A514,'Sales Order'!A:C,3,FALSE),Employee!A:C,3,FALSE)&amp;" "&amp;VLOOKUP(VLOOKUP(A514,'Sales Order'!A:C,3,FALSE),Employee!A:B,2,FALSE),"Not Specified")</f>
        <v>Ms. Judy Lew</v>
      </c>
      <c r="I514" t="str">
        <f>IFERROR(VLOOKUP(VLOOKUP(A514,'Sales Order'!A:C,3,FALSE),Employee!A:J,10,FALSE),"Not Specified")</f>
        <v>WA</v>
      </c>
      <c r="J514" t="str">
        <f>VLOOKUP(B514,Product!A:B,2,FALSE)</f>
        <v>Product SMIOH</v>
      </c>
      <c r="K514" t="str">
        <f>VLOOKUP(VLOOKUP(B514,Product!A:D,4,FALSE),Category!A:B,2,FALSE)</f>
        <v>Confections</v>
      </c>
      <c r="L514" s="24">
        <f>IFERROR(VLOOKUP(A514,'Sales Order'!A:D,4,FALSE),"")</f>
        <v>39123</v>
      </c>
      <c r="M514" s="24">
        <f>IFERROR(VLOOKUP(A514,'Sales Order'!A:F,6,FALSE),"")</f>
        <v>39155</v>
      </c>
      <c r="N514" t="str">
        <f>IFERROR(VLOOKUP(VLOOKUP(A514,'Sales Order'!A:G,7,FALSE),Shipper!A:B,2,FALSE),"Not Specified")</f>
        <v>Shipper ETYNR</v>
      </c>
      <c r="O514" t="str">
        <f>IFERROR(VLOOKUP(A514,'Sales Order'!A:I,9,FALSE),"Not Specified")</f>
        <v>Ship to 55-C</v>
      </c>
      <c r="P514" t="str">
        <f>IFERROR(VLOOKUP(A514,'Sales Order'!A:N,14,FALSE),"Not Specified")</f>
        <v>USA</v>
      </c>
      <c r="Q514" t="str">
        <f>VLOOKUP(VLOOKUP(B514,Product!A:C,3,FALSE),Supplier!A:B,2,FALSE)</f>
        <v>Supplier ZPYVS</v>
      </c>
      <c r="R514" t="str">
        <f>VLOOKUP(VLOOKUP(B514,Product!A:C,3,FALSE),Supplier!A:I,9,FALSE)</f>
        <v>Germany</v>
      </c>
      <c r="S514" t="str">
        <f>IFERROR(IF(VLOOKUP(A514,'Sales Order'!A:H,8,FALSE)&gt;100,"High Freight","Low Freight"),"Not Specified")</f>
        <v>Low Freight</v>
      </c>
      <c r="T514">
        <f t="shared" si="15"/>
        <v>1755</v>
      </c>
    </row>
    <row r="515" spans="1:20">
      <c r="A515" s="9">
        <v>10442</v>
      </c>
      <c r="B515" s="6">
        <v>11</v>
      </c>
      <c r="C515" s="6">
        <v>16.8</v>
      </c>
      <c r="D515" s="6">
        <v>30</v>
      </c>
      <c r="E515" s="18">
        <v>0</v>
      </c>
      <c r="F515" s="6" t="str">
        <f>IFERROR(VLOOKUP(VLOOKUP(A515,'Sales Order'!A:B,2,FALSE),Customer!A:C,3,FALSE),"Not Specified")</f>
        <v>Kane, John</v>
      </c>
      <c r="G515" s="6" t="str">
        <f t="shared" ref="G515:G578" si="16">SUBSTITUTE(F515,",","",1)</f>
        <v>Kane John</v>
      </c>
      <c r="H515" s="22" t="str">
        <f>IFERROR(VLOOKUP(VLOOKUP(A515,'Sales Order'!A:C,3,FALSE),Employee!A:E,5,FALSE)&amp;" "&amp;VLOOKUP(VLOOKUP(A515,'Sales Order'!A:C,3,FALSE),Employee!A:C,3,FALSE)&amp;" "&amp;VLOOKUP(VLOOKUP(A515,'Sales Order'!A:C,3,FALSE),Employee!A:B,2,FALSE),"Not Specified")</f>
        <v>Ms. Judy Lew</v>
      </c>
      <c r="I515" t="str">
        <f>IFERROR(VLOOKUP(VLOOKUP(A515,'Sales Order'!A:C,3,FALSE),Employee!A:J,10,FALSE),"Not Specified")</f>
        <v>WA</v>
      </c>
      <c r="J515" t="str">
        <f>VLOOKUP(B515,Product!A:B,2,FALSE)</f>
        <v>Product QMVUN</v>
      </c>
      <c r="K515" t="str">
        <f>VLOOKUP(VLOOKUP(B515,Product!A:D,4,FALSE),Category!A:B,2,FALSE)</f>
        <v>Dairy Product</v>
      </c>
      <c r="L515" s="24">
        <f>IFERROR(VLOOKUP(A515,'Sales Order'!A:D,4,FALSE),"")</f>
        <v>39124</v>
      </c>
      <c r="M515" s="24">
        <f>IFERROR(VLOOKUP(A515,'Sales Order'!A:F,6,FALSE),"")</f>
        <v>39131</v>
      </c>
      <c r="N515" t="str">
        <f>IFERROR(VLOOKUP(VLOOKUP(A515,'Sales Order'!A:G,7,FALSE),Shipper!A:B,2,FALSE),"Not Specified")</f>
        <v>Shipper ETYNR</v>
      </c>
      <c r="O515" t="str">
        <f>IFERROR(VLOOKUP(A515,'Sales Order'!A:I,9,FALSE),"Not Specified")</f>
        <v>Destination RVDMF</v>
      </c>
      <c r="P515" t="str">
        <f>IFERROR(VLOOKUP(A515,'Sales Order'!A:N,14,FALSE),"Not Specified")</f>
        <v>Austria</v>
      </c>
      <c r="Q515" t="str">
        <f>VLOOKUP(VLOOKUP(B515,Product!A:C,3,FALSE),Supplier!A:B,2,FALSE)</f>
        <v>Supplier EQPNC</v>
      </c>
      <c r="R515" t="str">
        <f>VLOOKUP(VLOOKUP(B515,Product!A:C,3,FALSE),Supplier!A:I,9,FALSE)</f>
        <v>Spain</v>
      </c>
      <c r="S515" t="str">
        <f>IFERROR(IF(VLOOKUP(A515,'Sales Order'!A:H,8,FALSE)&gt;100,"High Freight","Low Freight"),"Not Specified")</f>
        <v>Low Freight</v>
      </c>
      <c r="T515">
        <f t="shared" ref="T515:T578" si="17">C515*D515*(1-E515)</f>
        <v>504</v>
      </c>
    </row>
    <row r="516" spans="1:20">
      <c r="A516" s="9">
        <v>10442</v>
      </c>
      <c r="B516" s="6">
        <v>54</v>
      </c>
      <c r="C516" s="6">
        <v>5.9</v>
      </c>
      <c r="D516" s="6">
        <v>80</v>
      </c>
      <c r="E516" s="18">
        <v>0</v>
      </c>
      <c r="F516" s="6" t="str">
        <f>IFERROR(VLOOKUP(VLOOKUP(A516,'Sales Order'!A:B,2,FALSE),Customer!A:C,3,FALSE),"Not Specified")</f>
        <v>Kane, John</v>
      </c>
      <c r="G516" s="6" t="str">
        <f t="shared" si="16"/>
        <v>Kane John</v>
      </c>
      <c r="H516" s="22" t="str">
        <f>IFERROR(VLOOKUP(VLOOKUP(A516,'Sales Order'!A:C,3,FALSE),Employee!A:E,5,FALSE)&amp;" "&amp;VLOOKUP(VLOOKUP(A516,'Sales Order'!A:C,3,FALSE),Employee!A:C,3,FALSE)&amp;" "&amp;VLOOKUP(VLOOKUP(A516,'Sales Order'!A:C,3,FALSE),Employee!A:B,2,FALSE),"Not Specified")</f>
        <v>Ms. Judy Lew</v>
      </c>
      <c r="I516" t="str">
        <f>IFERROR(VLOOKUP(VLOOKUP(A516,'Sales Order'!A:C,3,FALSE),Employee!A:J,10,FALSE),"Not Specified")</f>
        <v>WA</v>
      </c>
      <c r="J516" t="str">
        <f>VLOOKUP(B516,Product!A:B,2,FALSE)</f>
        <v>Product QAQRL</v>
      </c>
      <c r="K516" t="str">
        <f>VLOOKUP(VLOOKUP(B516,Product!A:D,4,FALSE),Category!A:B,2,FALSE)</f>
        <v>Meat/Poultry</v>
      </c>
      <c r="L516" s="24">
        <f>IFERROR(VLOOKUP(A516,'Sales Order'!A:D,4,FALSE),"")</f>
        <v>39124</v>
      </c>
      <c r="M516" s="24">
        <f>IFERROR(VLOOKUP(A516,'Sales Order'!A:F,6,FALSE),"")</f>
        <v>39131</v>
      </c>
      <c r="N516" t="str">
        <f>IFERROR(VLOOKUP(VLOOKUP(A516,'Sales Order'!A:G,7,FALSE),Shipper!A:B,2,FALSE),"Not Specified")</f>
        <v>Shipper ETYNR</v>
      </c>
      <c r="O516" t="str">
        <f>IFERROR(VLOOKUP(A516,'Sales Order'!A:I,9,FALSE),"Not Specified")</f>
        <v>Destination RVDMF</v>
      </c>
      <c r="P516" t="str">
        <f>IFERROR(VLOOKUP(A516,'Sales Order'!A:N,14,FALSE),"Not Specified")</f>
        <v>Austria</v>
      </c>
      <c r="Q516" t="str">
        <f>VLOOKUP(VLOOKUP(B516,Product!A:C,3,FALSE),Supplier!A:B,2,FALSE)</f>
        <v>Supplier ERVYZ</v>
      </c>
      <c r="R516" t="str">
        <f>VLOOKUP(VLOOKUP(B516,Product!A:C,3,FALSE),Supplier!A:I,9,FALSE)</f>
        <v>Canada</v>
      </c>
      <c r="S516" t="str">
        <f>IFERROR(IF(VLOOKUP(A516,'Sales Order'!A:H,8,FALSE)&gt;100,"High Freight","Low Freight"),"Not Specified")</f>
        <v>Low Freight</v>
      </c>
      <c r="T516">
        <f t="shared" si="17"/>
        <v>472</v>
      </c>
    </row>
    <row r="517" spans="1:20">
      <c r="A517" s="9">
        <v>10442</v>
      </c>
      <c r="B517" s="6">
        <v>66</v>
      </c>
      <c r="C517" s="6">
        <v>13.6</v>
      </c>
      <c r="D517" s="6">
        <v>60</v>
      </c>
      <c r="E517" s="18">
        <v>0</v>
      </c>
      <c r="F517" s="6" t="str">
        <f>IFERROR(VLOOKUP(VLOOKUP(A517,'Sales Order'!A:B,2,FALSE),Customer!A:C,3,FALSE),"Not Specified")</f>
        <v>Kane, John</v>
      </c>
      <c r="G517" s="6" t="str">
        <f t="shared" si="16"/>
        <v>Kane John</v>
      </c>
      <c r="H517" s="22" t="str">
        <f>IFERROR(VLOOKUP(VLOOKUP(A517,'Sales Order'!A:C,3,FALSE),Employee!A:E,5,FALSE)&amp;" "&amp;VLOOKUP(VLOOKUP(A517,'Sales Order'!A:C,3,FALSE),Employee!A:C,3,FALSE)&amp;" "&amp;VLOOKUP(VLOOKUP(A517,'Sales Order'!A:C,3,FALSE),Employee!A:B,2,FALSE),"Not Specified")</f>
        <v>Ms. Judy Lew</v>
      </c>
      <c r="I517" t="str">
        <f>IFERROR(VLOOKUP(VLOOKUP(A517,'Sales Order'!A:C,3,FALSE),Employee!A:J,10,FALSE),"Not Specified")</f>
        <v>WA</v>
      </c>
      <c r="J517" t="str">
        <f>VLOOKUP(B517,Product!A:B,2,FALSE)</f>
        <v>Product LQMGN</v>
      </c>
      <c r="K517" t="str">
        <f>VLOOKUP(VLOOKUP(B517,Product!A:D,4,FALSE),Category!A:B,2,FALSE)</f>
        <v>Condiments</v>
      </c>
      <c r="L517" s="24">
        <f>IFERROR(VLOOKUP(A517,'Sales Order'!A:D,4,FALSE),"")</f>
        <v>39124</v>
      </c>
      <c r="M517" s="24">
        <f>IFERROR(VLOOKUP(A517,'Sales Order'!A:F,6,FALSE),"")</f>
        <v>39131</v>
      </c>
      <c r="N517" t="str">
        <f>IFERROR(VLOOKUP(VLOOKUP(A517,'Sales Order'!A:G,7,FALSE),Shipper!A:B,2,FALSE),"Not Specified")</f>
        <v>Shipper ETYNR</v>
      </c>
      <c r="O517" t="str">
        <f>IFERROR(VLOOKUP(A517,'Sales Order'!A:I,9,FALSE),"Not Specified")</f>
        <v>Destination RVDMF</v>
      </c>
      <c r="P517" t="str">
        <f>IFERROR(VLOOKUP(A517,'Sales Order'!A:N,14,FALSE),"Not Specified")</f>
        <v>Austria</v>
      </c>
      <c r="Q517" t="str">
        <f>VLOOKUP(VLOOKUP(B517,Product!A:C,3,FALSE),Supplier!A:B,2,FALSE)</f>
        <v>Supplier VHQZD</v>
      </c>
      <c r="R517" t="str">
        <f>VLOOKUP(VLOOKUP(B517,Product!A:C,3,FALSE),Supplier!A:I,9,FALSE)</f>
        <v>USA</v>
      </c>
      <c r="S517" t="str">
        <f>IFERROR(IF(VLOOKUP(A517,'Sales Order'!A:H,8,FALSE)&gt;100,"High Freight","Low Freight"),"Not Specified")</f>
        <v>Low Freight</v>
      </c>
      <c r="T517">
        <f t="shared" si="17"/>
        <v>816</v>
      </c>
    </row>
    <row r="518" spans="1:20">
      <c r="A518" s="9">
        <v>10443</v>
      </c>
      <c r="B518" s="6">
        <v>11</v>
      </c>
      <c r="C518" s="6">
        <v>16.8</v>
      </c>
      <c r="D518" s="6">
        <v>6</v>
      </c>
      <c r="E518" s="18">
        <v>0.2</v>
      </c>
      <c r="F518" s="6" t="str">
        <f>IFERROR(VLOOKUP(VLOOKUP(A518,'Sales Order'!A:B,2,FALSE),Customer!A:C,3,FALSE),"Not Specified")</f>
        <v>Voss, Florian</v>
      </c>
      <c r="G518" s="6" t="str">
        <f t="shared" si="16"/>
        <v>Voss Florian</v>
      </c>
      <c r="H518" s="22" t="str">
        <f>IFERROR(VLOOKUP(VLOOKUP(A518,'Sales Order'!A:C,3,FALSE),Employee!A:E,5,FALSE)&amp;" "&amp;VLOOKUP(VLOOKUP(A518,'Sales Order'!A:C,3,FALSE),Employee!A:C,3,FALSE)&amp;" "&amp;VLOOKUP(VLOOKUP(A518,'Sales Order'!A:C,3,FALSE),Employee!A:B,2,FALSE),"Not Specified")</f>
        <v>Ms. Maria Cameron</v>
      </c>
      <c r="I518" t="str">
        <f>IFERROR(VLOOKUP(VLOOKUP(A518,'Sales Order'!A:C,3,FALSE),Employee!A:J,10,FALSE),"Not Specified")</f>
        <v>WA</v>
      </c>
      <c r="J518" t="str">
        <f>VLOOKUP(B518,Product!A:B,2,FALSE)</f>
        <v>Product QMVUN</v>
      </c>
      <c r="K518" t="str">
        <f>VLOOKUP(VLOOKUP(B518,Product!A:D,4,FALSE),Category!A:B,2,FALSE)</f>
        <v>Dairy Product</v>
      </c>
      <c r="L518" s="24">
        <f>IFERROR(VLOOKUP(A518,'Sales Order'!A:D,4,FALSE),"")</f>
        <v>39125</v>
      </c>
      <c r="M518" s="24">
        <f>IFERROR(VLOOKUP(A518,'Sales Order'!A:F,6,FALSE),"")</f>
        <v>39127</v>
      </c>
      <c r="N518" t="str">
        <f>IFERROR(VLOOKUP(VLOOKUP(A518,'Sales Order'!A:G,7,FALSE),Shipper!A:B,2,FALSE),"Not Specified")</f>
        <v>Shipper GVSUA</v>
      </c>
      <c r="O518" t="str">
        <f>IFERROR(VLOOKUP(A518,'Sales Order'!A:I,9,FALSE),"Not Specified")</f>
        <v>Ship to 66-C</v>
      </c>
      <c r="P518" t="str">
        <f>IFERROR(VLOOKUP(A518,'Sales Order'!A:N,14,FALSE),"Not Specified")</f>
        <v>Italy</v>
      </c>
      <c r="Q518" t="str">
        <f>VLOOKUP(VLOOKUP(B518,Product!A:C,3,FALSE),Supplier!A:B,2,FALSE)</f>
        <v>Supplier EQPNC</v>
      </c>
      <c r="R518" t="str">
        <f>VLOOKUP(VLOOKUP(B518,Product!A:C,3,FALSE),Supplier!A:I,9,FALSE)</f>
        <v>Spain</v>
      </c>
      <c r="S518" t="str">
        <f>IFERROR(IF(VLOOKUP(A518,'Sales Order'!A:H,8,FALSE)&gt;100,"High Freight","Low Freight"),"Not Specified")</f>
        <v>Low Freight</v>
      </c>
      <c r="T518">
        <f t="shared" si="17"/>
        <v>80.640000000000015</v>
      </c>
    </row>
    <row r="519" spans="1:20">
      <c r="A519" s="9">
        <v>10443</v>
      </c>
      <c r="B519" s="6">
        <v>28</v>
      </c>
      <c r="C519" s="6">
        <v>36.4</v>
      </c>
      <c r="D519" s="6">
        <v>12</v>
      </c>
      <c r="E519" s="18">
        <v>0</v>
      </c>
      <c r="F519" s="6" t="str">
        <f>IFERROR(VLOOKUP(VLOOKUP(A519,'Sales Order'!A:B,2,FALSE),Customer!A:C,3,FALSE),"Not Specified")</f>
        <v>Voss, Florian</v>
      </c>
      <c r="G519" s="6" t="str">
        <f t="shared" si="16"/>
        <v>Voss Florian</v>
      </c>
      <c r="H519" s="22" t="str">
        <f>IFERROR(VLOOKUP(VLOOKUP(A519,'Sales Order'!A:C,3,FALSE),Employee!A:E,5,FALSE)&amp;" "&amp;VLOOKUP(VLOOKUP(A519,'Sales Order'!A:C,3,FALSE),Employee!A:C,3,FALSE)&amp;" "&amp;VLOOKUP(VLOOKUP(A519,'Sales Order'!A:C,3,FALSE),Employee!A:B,2,FALSE),"Not Specified")</f>
        <v>Ms. Maria Cameron</v>
      </c>
      <c r="I519" t="str">
        <f>IFERROR(VLOOKUP(VLOOKUP(A519,'Sales Order'!A:C,3,FALSE),Employee!A:J,10,FALSE),"Not Specified")</f>
        <v>WA</v>
      </c>
      <c r="J519" t="str">
        <f>VLOOKUP(B519,Product!A:B,2,FALSE)</f>
        <v>Product OFBNT</v>
      </c>
      <c r="K519" t="str">
        <f>VLOOKUP(VLOOKUP(B519,Product!A:D,4,FALSE),Category!A:B,2,FALSE)</f>
        <v>Produce</v>
      </c>
      <c r="L519" s="24">
        <f>IFERROR(VLOOKUP(A519,'Sales Order'!A:D,4,FALSE),"")</f>
        <v>39125</v>
      </c>
      <c r="M519" s="24">
        <f>IFERROR(VLOOKUP(A519,'Sales Order'!A:F,6,FALSE),"")</f>
        <v>39127</v>
      </c>
      <c r="N519" t="str">
        <f>IFERROR(VLOOKUP(VLOOKUP(A519,'Sales Order'!A:G,7,FALSE),Shipper!A:B,2,FALSE),"Not Specified")</f>
        <v>Shipper GVSUA</v>
      </c>
      <c r="O519" t="str">
        <f>IFERROR(VLOOKUP(A519,'Sales Order'!A:I,9,FALSE),"Not Specified")</f>
        <v>Ship to 66-C</v>
      </c>
      <c r="P519" t="str">
        <f>IFERROR(VLOOKUP(A519,'Sales Order'!A:N,14,FALSE),"Not Specified")</f>
        <v>Italy</v>
      </c>
      <c r="Q519" t="str">
        <f>VLOOKUP(VLOOKUP(B519,Product!A:C,3,FALSE),Supplier!A:B,2,FALSE)</f>
        <v>Supplier SVIYA</v>
      </c>
      <c r="R519" t="str">
        <f>VLOOKUP(VLOOKUP(B519,Product!A:C,3,FALSE),Supplier!A:I,9,FALSE)</f>
        <v>Germany</v>
      </c>
      <c r="S519" t="str">
        <f>IFERROR(IF(VLOOKUP(A519,'Sales Order'!A:H,8,FALSE)&gt;100,"High Freight","Low Freight"),"Not Specified")</f>
        <v>Low Freight</v>
      </c>
      <c r="T519">
        <f t="shared" si="17"/>
        <v>436.79999999999995</v>
      </c>
    </row>
    <row r="520" spans="1:20">
      <c r="A520" s="9">
        <v>10444</v>
      </c>
      <c r="B520" s="6">
        <v>17</v>
      </c>
      <c r="C520" s="6">
        <v>31.2</v>
      </c>
      <c r="D520" s="6">
        <v>10</v>
      </c>
      <c r="E520" s="18">
        <v>0</v>
      </c>
      <c r="F520" s="6" t="str">
        <f>IFERROR(VLOOKUP(VLOOKUP(A520,'Sales Order'!A:B,2,FALSE),Customer!A:C,3,FALSE),"Not Specified")</f>
        <v>Higginbotham, Tom</v>
      </c>
      <c r="G520" s="6" t="str">
        <f t="shared" si="16"/>
        <v>Higginbotham Tom</v>
      </c>
      <c r="H520" s="22" t="str">
        <f>IFERROR(VLOOKUP(VLOOKUP(A520,'Sales Order'!A:C,3,FALSE),Employee!A:E,5,FALSE)&amp;" "&amp;VLOOKUP(VLOOKUP(A520,'Sales Order'!A:C,3,FALSE),Employee!A:C,3,FALSE)&amp;" "&amp;VLOOKUP(VLOOKUP(A520,'Sales Order'!A:C,3,FALSE),Employee!A:B,2,FALSE),"Not Specified")</f>
        <v>Ms. Judy Lew</v>
      </c>
      <c r="I520" t="str">
        <f>IFERROR(VLOOKUP(VLOOKUP(A520,'Sales Order'!A:C,3,FALSE),Employee!A:J,10,FALSE),"Not Specified")</f>
        <v>WA</v>
      </c>
      <c r="J520" t="str">
        <f>VLOOKUP(B520,Product!A:B,2,FALSE)</f>
        <v>Product BLCAX</v>
      </c>
      <c r="K520" t="str">
        <f>VLOOKUP(VLOOKUP(B520,Product!A:D,4,FALSE),Category!A:B,2,FALSE)</f>
        <v>Meat/Poultry</v>
      </c>
      <c r="L520" s="24">
        <f>IFERROR(VLOOKUP(A520,'Sales Order'!A:D,4,FALSE),"")</f>
        <v>39125</v>
      </c>
      <c r="M520" s="24">
        <f>IFERROR(VLOOKUP(A520,'Sales Order'!A:F,6,FALSE),"")</f>
        <v>39134</v>
      </c>
      <c r="N520" t="str">
        <f>IFERROR(VLOOKUP(VLOOKUP(A520,'Sales Order'!A:G,7,FALSE),Shipper!A:B,2,FALSE),"Not Specified")</f>
        <v>Shipper ZHISN</v>
      </c>
      <c r="O520" t="str">
        <f>IFERROR(VLOOKUP(A520,'Sales Order'!A:I,9,FALSE),"Not Specified")</f>
        <v>Ship to 5-B</v>
      </c>
      <c r="P520" t="str">
        <f>IFERROR(VLOOKUP(A520,'Sales Order'!A:N,14,FALSE),"Not Specified")</f>
        <v>Sweden</v>
      </c>
      <c r="Q520" t="str">
        <f>VLOOKUP(VLOOKUP(B520,Product!A:C,3,FALSE),Supplier!A:B,2,FALSE)</f>
        <v>Supplier GQRCV</v>
      </c>
      <c r="R520" t="str">
        <f>VLOOKUP(VLOOKUP(B520,Product!A:C,3,FALSE),Supplier!A:I,9,FALSE)</f>
        <v>Australia</v>
      </c>
      <c r="S520" t="str">
        <f>IFERROR(IF(VLOOKUP(A520,'Sales Order'!A:H,8,FALSE)&gt;100,"High Freight","Low Freight"),"Not Specified")</f>
        <v>Low Freight</v>
      </c>
      <c r="T520">
        <f t="shared" si="17"/>
        <v>312</v>
      </c>
    </row>
    <row r="521" spans="1:20">
      <c r="A521" s="9">
        <v>10444</v>
      </c>
      <c r="B521" s="6">
        <v>26</v>
      </c>
      <c r="C521" s="6">
        <v>24.9</v>
      </c>
      <c r="D521" s="6">
        <v>15</v>
      </c>
      <c r="E521" s="18">
        <v>0</v>
      </c>
      <c r="F521" s="6" t="str">
        <f>IFERROR(VLOOKUP(VLOOKUP(A521,'Sales Order'!A:B,2,FALSE),Customer!A:C,3,FALSE),"Not Specified")</f>
        <v>Higginbotham, Tom</v>
      </c>
      <c r="G521" s="6" t="str">
        <f t="shared" si="16"/>
        <v>Higginbotham Tom</v>
      </c>
      <c r="H521" s="22" t="str">
        <f>IFERROR(VLOOKUP(VLOOKUP(A521,'Sales Order'!A:C,3,FALSE),Employee!A:E,5,FALSE)&amp;" "&amp;VLOOKUP(VLOOKUP(A521,'Sales Order'!A:C,3,FALSE),Employee!A:C,3,FALSE)&amp;" "&amp;VLOOKUP(VLOOKUP(A521,'Sales Order'!A:C,3,FALSE),Employee!A:B,2,FALSE),"Not Specified")</f>
        <v>Ms. Judy Lew</v>
      </c>
      <c r="I521" t="str">
        <f>IFERROR(VLOOKUP(VLOOKUP(A521,'Sales Order'!A:C,3,FALSE),Employee!A:J,10,FALSE),"Not Specified")</f>
        <v>WA</v>
      </c>
      <c r="J521" t="str">
        <f>VLOOKUP(B521,Product!A:B,2,FALSE)</f>
        <v>Product HLGZA</v>
      </c>
      <c r="K521" t="str">
        <f>VLOOKUP(VLOOKUP(B521,Product!A:D,4,FALSE),Category!A:B,2,FALSE)</f>
        <v>Confections</v>
      </c>
      <c r="L521" s="24">
        <f>IFERROR(VLOOKUP(A521,'Sales Order'!A:D,4,FALSE),"")</f>
        <v>39125</v>
      </c>
      <c r="M521" s="24">
        <f>IFERROR(VLOOKUP(A521,'Sales Order'!A:F,6,FALSE),"")</f>
        <v>39134</v>
      </c>
      <c r="N521" t="str">
        <f>IFERROR(VLOOKUP(VLOOKUP(A521,'Sales Order'!A:G,7,FALSE),Shipper!A:B,2,FALSE),"Not Specified")</f>
        <v>Shipper ZHISN</v>
      </c>
      <c r="O521" t="str">
        <f>IFERROR(VLOOKUP(A521,'Sales Order'!A:I,9,FALSE),"Not Specified")</f>
        <v>Ship to 5-B</v>
      </c>
      <c r="P521" t="str">
        <f>IFERROR(VLOOKUP(A521,'Sales Order'!A:N,14,FALSE),"Not Specified")</f>
        <v>Sweden</v>
      </c>
      <c r="Q521" t="str">
        <f>VLOOKUP(VLOOKUP(B521,Product!A:C,3,FALSE),Supplier!A:B,2,FALSE)</f>
        <v>Supplier ZPYVS</v>
      </c>
      <c r="R521" t="str">
        <f>VLOOKUP(VLOOKUP(B521,Product!A:C,3,FALSE),Supplier!A:I,9,FALSE)</f>
        <v>Germany</v>
      </c>
      <c r="S521" t="str">
        <f>IFERROR(IF(VLOOKUP(A521,'Sales Order'!A:H,8,FALSE)&gt;100,"High Freight","Low Freight"),"Not Specified")</f>
        <v>Low Freight</v>
      </c>
      <c r="T521">
        <f t="shared" si="17"/>
        <v>373.5</v>
      </c>
    </row>
    <row r="522" spans="1:20">
      <c r="A522" s="9">
        <v>10444</v>
      </c>
      <c r="B522" s="6">
        <v>35</v>
      </c>
      <c r="C522" s="6">
        <v>14.4</v>
      </c>
      <c r="D522" s="6">
        <v>8</v>
      </c>
      <c r="E522" s="18">
        <v>0</v>
      </c>
      <c r="F522" s="6" t="str">
        <f>IFERROR(VLOOKUP(VLOOKUP(A522,'Sales Order'!A:B,2,FALSE),Customer!A:C,3,FALSE),"Not Specified")</f>
        <v>Higginbotham, Tom</v>
      </c>
      <c r="G522" s="6" t="str">
        <f t="shared" si="16"/>
        <v>Higginbotham Tom</v>
      </c>
      <c r="H522" s="22" t="str">
        <f>IFERROR(VLOOKUP(VLOOKUP(A522,'Sales Order'!A:C,3,FALSE),Employee!A:E,5,FALSE)&amp;" "&amp;VLOOKUP(VLOOKUP(A522,'Sales Order'!A:C,3,FALSE),Employee!A:C,3,FALSE)&amp;" "&amp;VLOOKUP(VLOOKUP(A522,'Sales Order'!A:C,3,FALSE),Employee!A:B,2,FALSE),"Not Specified")</f>
        <v>Ms. Judy Lew</v>
      </c>
      <c r="I522" t="str">
        <f>IFERROR(VLOOKUP(VLOOKUP(A522,'Sales Order'!A:C,3,FALSE),Employee!A:J,10,FALSE),"Not Specified")</f>
        <v>WA</v>
      </c>
      <c r="J522" t="str">
        <f>VLOOKUP(B522,Product!A:B,2,FALSE)</f>
        <v>Product NEVTJ</v>
      </c>
      <c r="K522" t="str">
        <f>VLOOKUP(VLOOKUP(B522,Product!A:D,4,FALSE),Category!A:B,2,FALSE)</f>
        <v>Beverages</v>
      </c>
      <c r="L522" s="24">
        <f>IFERROR(VLOOKUP(A522,'Sales Order'!A:D,4,FALSE),"")</f>
        <v>39125</v>
      </c>
      <c r="M522" s="24">
        <f>IFERROR(VLOOKUP(A522,'Sales Order'!A:F,6,FALSE),"")</f>
        <v>39134</v>
      </c>
      <c r="N522" t="str">
        <f>IFERROR(VLOOKUP(VLOOKUP(A522,'Sales Order'!A:G,7,FALSE),Shipper!A:B,2,FALSE),"Not Specified")</f>
        <v>Shipper ZHISN</v>
      </c>
      <c r="O522" t="str">
        <f>IFERROR(VLOOKUP(A522,'Sales Order'!A:I,9,FALSE),"Not Specified")</f>
        <v>Ship to 5-B</v>
      </c>
      <c r="P522" t="str">
        <f>IFERROR(VLOOKUP(A522,'Sales Order'!A:N,14,FALSE),"Not Specified")</f>
        <v>Sweden</v>
      </c>
      <c r="Q522" t="str">
        <f>VLOOKUP(VLOOKUP(B522,Product!A:C,3,FALSE),Supplier!A:B,2,FALSE)</f>
        <v>Supplier UHZRG</v>
      </c>
      <c r="R522" t="str">
        <f>VLOOKUP(VLOOKUP(B522,Product!A:C,3,FALSE),Supplier!A:I,9,FALSE)</f>
        <v>USA</v>
      </c>
      <c r="S522" t="str">
        <f>IFERROR(IF(VLOOKUP(A522,'Sales Order'!A:H,8,FALSE)&gt;100,"High Freight","Low Freight"),"Not Specified")</f>
        <v>Low Freight</v>
      </c>
      <c r="T522">
        <f t="shared" si="17"/>
        <v>115.2</v>
      </c>
    </row>
    <row r="523" spans="1:20">
      <c r="A523" s="9">
        <v>10444</v>
      </c>
      <c r="B523" s="6">
        <v>41</v>
      </c>
      <c r="C523" s="6">
        <v>7.7</v>
      </c>
      <c r="D523" s="6">
        <v>30</v>
      </c>
      <c r="E523" s="18">
        <v>0</v>
      </c>
      <c r="F523" s="6" t="str">
        <f>IFERROR(VLOOKUP(VLOOKUP(A523,'Sales Order'!A:B,2,FALSE),Customer!A:C,3,FALSE),"Not Specified")</f>
        <v>Higginbotham, Tom</v>
      </c>
      <c r="G523" s="6" t="str">
        <f t="shared" si="16"/>
        <v>Higginbotham Tom</v>
      </c>
      <c r="H523" s="22" t="str">
        <f>IFERROR(VLOOKUP(VLOOKUP(A523,'Sales Order'!A:C,3,FALSE),Employee!A:E,5,FALSE)&amp;" "&amp;VLOOKUP(VLOOKUP(A523,'Sales Order'!A:C,3,FALSE),Employee!A:C,3,FALSE)&amp;" "&amp;VLOOKUP(VLOOKUP(A523,'Sales Order'!A:C,3,FALSE),Employee!A:B,2,FALSE),"Not Specified")</f>
        <v>Ms. Judy Lew</v>
      </c>
      <c r="I523" t="str">
        <f>IFERROR(VLOOKUP(VLOOKUP(A523,'Sales Order'!A:C,3,FALSE),Employee!A:J,10,FALSE),"Not Specified")</f>
        <v>WA</v>
      </c>
      <c r="J523" t="str">
        <f>VLOOKUP(B523,Product!A:B,2,FALSE)</f>
        <v>Product TTEEX</v>
      </c>
      <c r="K523" t="str">
        <f>VLOOKUP(VLOOKUP(B523,Product!A:D,4,FALSE),Category!A:B,2,FALSE)</f>
        <v>Seafood</v>
      </c>
      <c r="L523" s="24">
        <f>IFERROR(VLOOKUP(A523,'Sales Order'!A:D,4,FALSE),"")</f>
        <v>39125</v>
      </c>
      <c r="M523" s="24">
        <f>IFERROR(VLOOKUP(A523,'Sales Order'!A:F,6,FALSE),"")</f>
        <v>39134</v>
      </c>
      <c r="N523" t="str">
        <f>IFERROR(VLOOKUP(VLOOKUP(A523,'Sales Order'!A:G,7,FALSE),Shipper!A:B,2,FALSE),"Not Specified")</f>
        <v>Shipper ZHISN</v>
      </c>
      <c r="O523" t="str">
        <f>IFERROR(VLOOKUP(A523,'Sales Order'!A:I,9,FALSE),"Not Specified")</f>
        <v>Ship to 5-B</v>
      </c>
      <c r="P523" t="str">
        <f>IFERROR(VLOOKUP(A523,'Sales Order'!A:N,14,FALSE),"Not Specified")</f>
        <v>Sweden</v>
      </c>
      <c r="Q523" t="str">
        <f>VLOOKUP(VLOOKUP(B523,Product!A:C,3,FALSE),Supplier!A:B,2,FALSE)</f>
        <v>Supplier JDNUG</v>
      </c>
      <c r="R523" t="str">
        <f>VLOOKUP(VLOOKUP(B523,Product!A:C,3,FALSE),Supplier!A:I,9,FALSE)</f>
        <v>USA</v>
      </c>
      <c r="S523" t="str">
        <f>IFERROR(IF(VLOOKUP(A523,'Sales Order'!A:H,8,FALSE)&gt;100,"High Freight","Low Freight"),"Not Specified")</f>
        <v>Low Freight</v>
      </c>
      <c r="T523">
        <f t="shared" si="17"/>
        <v>231</v>
      </c>
    </row>
    <row r="524" spans="1:20">
      <c r="A524" s="9">
        <v>10445</v>
      </c>
      <c r="B524" s="6">
        <v>39</v>
      </c>
      <c r="C524" s="6">
        <v>14.4</v>
      </c>
      <c r="D524" s="6">
        <v>6</v>
      </c>
      <c r="E524" s="18">
        <v>0</v>
      </c>
      <c r="F524" s="6" t="str">
        <f>IFERROR(VLOOKUP(VLOOKUP(A524,'Sales Order'!A:B,2,FALSE),Customer!A:C,3,FALSE),"Not Specified")</f>
        <v>Higginbotham, Tom</v>
      </c>
      <c r="G524" s="6" t="str">
        <f t="shared" si="16"/>
        <v>Higginbotham Tom</v>
      </c>
      <c r="H524" s="22" t="str">
        <f>IFERROR(VLOOKUP(VLOOKUP(A524,'Sales Order'!A:C,3,FALSE),Employee!A:E,5,FALSE)&amp;" "&amp;VLOOKUP(VLOOKUP(A524,'Sales Order'!A:C,3,FALSE),Employee!A:C,3,FALSE)&amp;" "&amp;VLOOKUP(VLOOKUP(A524,'Sales Order'!A:C,3,FALSE),Employee!A:B,2,FALSE),"Not Specified")</f>
        <v>Ms. Judy Lew</v>
      </c>
      <c r="I524" t="str">
        <f>IFERROR(VLOOKUP(VLOOKUP(A524,'Sales Order'!A:C,3,FALSE),Employee!A:J,10,FALSE),"Not Specified")</f>
        <v>WA</v>
      </c>
      <c r="J524" t="str">
        <f>VLOOKUP(B524,Product!A:B,2,FALSE)</f>
        <v>Product LSOFL</v>
      </c>
      <c r="K524" t="str">
        <f>VLOOKUP(VLOOKUP(B524,Product!A:D,4,FALSE),Category!A:B,2,FALSE)</f>
        <v>Beverages</v>
      </c>
      <c r="L524" s="24">
        <f>IFERROR(VLOOKUP(A524,'Sales Order'!A:D,4,FALSE),"")</f>
        <v>39126</v>
      </c>
      <c r="M524" s="24">
        <f>IFERROR(VLOOKUP(A524,'Sales Order'!A:F,6,FALSE),"")</f>
        <v>39133</v>
      </c>
      <c r="N524" t="str">
        <f>IFERROR(VLOOKUP(VLOOKUP(A524,'Sales Order'!A:G,7,FALSE),Shipper!A:B,2,FALSE),"Not Specified")</f>
        <v>Shipper GVSUA</v>
      </c>
      <c r="O524" t="str">
        <f>IFERROR(VLOOKUP(A524,'Sales Order'!A:I,9,FALSE),"Not Specified")</f>
        <v>Ship to 5-A</v>
      </c>
      <c r="P524" t="str">
        <f>IFERROR(VLOOKUP(A524,'Sales Order'!A:N,14,FALSE),"Not Specified")</f>
        <v>Sweden</v>
      </c>
      <c r="Q524" t="str">
        <f>VLOOKUP(VLOOKUP(B524,Product!A:C,3,FALSE),Supplier!A:B,2,FALSE)</f>
        <v>Supplier LVJUA</v>
      </c>
      <c r="R524" t="str">
        <f>VLOOKUP(VLOOKUP(B524,Product!A:C,3,FALSE),Supplier!A:I,9,FALSE)</f>
        <v>France</v>
      </c>
      <c r="S524" t="str">
        <f>IFERROR(IF(VLOOKUP(A524,'Sales Order'!A:H,8,FALSE)&gt;100,"High Freight","Low Freight"),"Not Specified")</f>
        <v>Low Freight</v>
      </c>
      <c r="T524">
        <f t="shared" si="17"/>
        <v>86.4</v>
      </c>
    </row>
    <row r="525" spans="1:20">
      <c r="A525" s="9">
        <v>10445</v>
      </c>
      <c r="B525" s="6">
        <v>54</v>
      </c>
      <c r="C525" s="6">
        <v>5.9</v>
      </c>
      <c r="D525" s="6">
        <v>15</v>
      </c>
      <c r="E525" s="18">
        <v>0</v>
      </c>
      <c r="F525" s="6" t="str">
        <f>IFERROR(VLOOKUP(VLOOKUP(A525,'Sales Order'!A:B,2,FALSE),Customer!A:C,3,FALSE),"Not Specified")</f>
        <v>Higginbotham, Tom</v>
      </c>
      <c r="G525" s="6" t="str">
        <f t="shared" si="16"/>
        <v>Higginbotham Tom</v>
      </c>
      <c r="H525" s="22" t="str">
        <f>IFERROR(VLOOKUP(VLOOKUP(A525,'Sales Order'!A:C,3,FALSE),Employee!A:E,5,FALSE)&amp;" "&amp;VLOOKUP(VLOOKUP(A525,'Sales Order'!A:C,3,FALSE),Employee!A:C,3,FALSE)&amp;" "&amp;VLOOKUP(VLOOKUP(A525,'Sales Order'!A:C,3,FALSE),Employee!A:B,2,FALSE),"Not Specified")</f>
        <v>Ms. Judy Lew</v>
      </c>
      <c r="I525" t="str">
        <f>IFERROR(VLOOKUP(VLOOKUP(A525,'Sales Order'!A:C,3,FALSE),Employee!A:J,10,FALSE),"Not Specified")</f>
        <v>WA</v>
      </c>
      <c r="J525" t="str">
        <f>VLOOKUP(B525,Product!A:B,2,FALSE)</f>
        <v>Product QAQRL</v>
      </c>
      <c r="K525" t="str">
        <f>VLOOKUP(VLOOKUP(B525,Product!A:D,4,FALSE),Category!A:B,2,FALSE)</f>
        <v>Meat/Poultry</v>
      </c>
      <c r="L525" s="24">
        <f>IFERROR(VLOOKUP(A525,'Sales Order'!A:D,4,FALSE),"")</f>
        <v>39126</v>
      </c>
      <c r="M525" s="24">
        <f>IFERROR(VLOOKUP(A525,'Sales Order'!A:F,6,FALSE),"")</f>
        <v>39133</v>
      </c>
      <c r="N525" t="str">
        <f>IFERROR(VLOOKUP(VLOOKUP(A525,'Sales Order'!A:G,7,FALSE),Shipper!A:B,2,FALSE),"Not Specified")</f>
        <v>Shipper GVSUA</v>
      </c>
      <c r="O525" t="str">
        <f>IFERROR(VLOOKUP(A525,'Sales Order'!A:I,9,FALSE),"Not Specified")</f>
        <v>Ship to 5-A</v>
      </c>
      <c r="P525" t="str">
        <f>IFERROR(VLOOKUP(A525,'Sales Order'!A:N,14,FALSE),"Not Specified")</f>
        <v>Sweden</v>
      </c>
      <c r="Q525" t="str">
        <f>VLOOKUP(VLOOKUP(B525,Product!A:C,3,FALSE),Supplier!A:B,2,FALSE)</f>
        <v>Supplier ERVYZ</v>
      </c>
      <c r="R525" t="str">
        <f>VLOOKUP(VLOOKUP(B525,Product!A:C,3,FALSE),Supplier!A:I,9,FALSE)</f>
        <v>Canada</v>
      </c>
      <c r="S525" t="str">
        <f>IFERROR(IF(VLOOKUP(A525,'Sales Order'!A:H,8,FALSE)&gt;100,"High Freight","Low Freight"),"Not Specified")</f>
        <v>Low Freight</v>
      </c>
      <c r="T525">
        <f t="shared" si="17"/>
        <v>88.5</v>
      </c>
    </row>
    <row r="526" spans="1:20">
      <c r="A526" s="9">
        <v>10446</v>
      </c>
      <c r="B526" s="6">
        <v>19</v>
      </c>
      <c r="C526" s="6">
        <v>7.3</v>
      </c>
      <c r="D526" s="6">
        <v>12</v>
      </c>
      <c r="E526" s="18">
        <v>0.1</v>
      </c>
      <c r="F526" s="6" t="str">
        <f>IFERROR(VLOOKUP(VLOOKUP(A526,'Sales Order'!A:B,2,FALSE),Customer!A:C,3,FALSE),"Not Specified")</f>
        <v>Wickham, Jim</v>
      </c>
      <c r="G526" s="6" t="str">
        <f t="shared" si="16"/>
        <v>Wickham Jim</v>
      </c>
      <c r="H526" s="22" t="str">
        <f>IFERROR(VLOOKUP(VLOOKUP(A526,'Sales Order'!A:C,3,FALSE),Employee!A:E,5,FALSE)&amp;" "&amp;VLOOKUP(VLOOKUP(A526,'Sales Order'!A:C,3,FALSE),Employee!A:C,3,FALSE)&amp;" "&amp;VLOOKUP(VLOOKUP(A526,'Sales Order'!A:C,3,FALSE),Employee!A:B,2,FALSE),"Not Specified")</f>
        <v>Mr. Paul Suurs</v>
      </c>
      <c r="I526">
        <f>IFERROR(VLOOKUP(VLOOKUP(A526,'Sales Order'!A:C,3,FALSE),Employee!A:J,10,FALSE),"Not Specified")</f>
        <v>0</v>
      </c>
      <c r="J526" t="str">
        <f>VLOOKUP(B526,Product!A:B,2,FALSE)</f>
        <v>Product XKXDO</v>
      </c>
      <c r="K526" t="str">
        <f>VLOOKUP(VLOOKUP(B526,Product!A:D,4,FALSE),Category!A:B,2,FALSE)</f>
        <v>Confections</v>
      </c>
      <c r="L526" s="24">
        <f>IFERROR(VLOOKUP(A526,'Sales Order'!A:D,4,FALSE),"")</f>
        <v>39127</v>
      </c>
      <c r="M526" s="24">
        <f>IFERROR(VLOOKUP(A526,'Sales Order'!A:F,6,FALSE),"")</f>
        <v>39132</v>
      </c>
      <c r="N526" t="str">
        <f>IFERROR(VLOOKUP(VLOOKUP(A526,'Sales Order'!A:G,7,FALSE),Shipper!A:B,2,FALSE),"Not Specified")</f>
        <v>Shipper GVSUA</v>
      </c>
      <c r="O526" t="str">
        <f>IFERROR(VLOOKUP(A526,'Sales Order'!A:I,9,FALSE),"Not Specified")</f>
        <v>Ship to 79-C</v>
      </c>
      <c r="P526" t="str">
        <f>IFERROR(VLOOKUP(A526,'Sales Order'!A:N,14,FALSE),"Not Specified")</f>
        <v>Germany</v>
      </c>
      <c r="Q526" t="str">
        <f>VLOOKUP(VLOOKUP(B526,Product!A:C,3,FALSE),Supplier!A:B,2,FALSE)</f>
        <v>Supplier BWGYE</v>
      </c>
      <c r="R526" t="str">
        <f>VLOOKUP(VLOOKUP(B526,Product!A:C,3,FALSE),Supplier!A:I,9,FALSE)</f>
        <v>UK</v>
      </c>
      <c r="S526" t="str">
        <f>IFERROR(IF(VLOOKUP(A526,'Sales Order'!A:H,8,FALSE)&gt;100,"High Freight","Low Freight"),"Not Specified")</f>
        <v>Low Freight</v>
      </c>
      <c r="T526">
        <f t="shared" si="17"/>
        <v>78.84</v>
      </c>
    </row>
    <row r="527" spans="1:20">
      <c r="A527" s="9">
        <v>10446</v>
      </c>
      <c r="B527" s="6">
        <v>24</v>
      </c>
      <c r="C527" s="6">
        <v>3.6</v>
      </c>
      <c r="D527" s="6">
        <v>20</v>
      </c>
      <c r="E527" s="18">
        <v>0.1</v>
      </c>
      <c r="F527" s="6" t="str">
        <f>IFERROR(VLOOKUP(VLOOKUP(A527,'Sales Order'!A:B,2,FALSE),Customer!A:C,3,FALSE),"Not Specified")</f>
        <v>Wickham, Jim</v>
      </c>
      <c r="G527" s="6" t="str">
        <f t="shared" si="16"/>
        <v>Wickham Jim</v>
      </c>
      <c r="H527" s="22" t="str">
        <f>IFERROR(VLOOKUP(VLOOKUP(A527,'Sales Order'!A:C,3,FALSE),Employee!A:E,5,FALSE)&amp;" "&amp;VLOOKUP(VLOOKUP(A527,'Sales Order'!A:C,3,FALSE),Employee!A:C,3,FALSE)&amp;" "&amp;VLOOKUP(VLOOKUP(A527,'Sales Order'!A:C,3,FALSE),Employee!A:B,2,FALSE),"Not Specified")</f>
        <v>Mr. Paul Suurs</v>
      </c>
      <c r="I527">
        <f>IFERROR(VLOOKUP(VLOOKUP(A527,'Sales Order'!A:C,3,FALSE),Employee!A:J,10,FALSE),"Not Specified")</f>
        <v>0</v>
      </c>
      <c r="J527" t="str">
        <f>VLOOKUP(B527,Product!A:B,2,FALSE)</f>
        <v>Product QOGNU</v>
      </c>
      <c r="K527" t="str">
        <f>VLOOKUP(VLOOKUP(B527,Product!A:D,4,FALSE),Category!A:B,2,FALSE)</f>
        <v>Beverages</v>
      </c>
      <c r="L527" s="24">
        <f>IFERROR(VLOOKUP(A527,'Sales Order'!A:D,4,FALSE),"")</f>
        <v>39127</v>
      </c>
      <c r="M527" s="24">
        <f>IFERROR(VLOOKUP(A527,'Sales Order'!A:F,6,FALSE),"")</f>
        <v>39132</v>
      </c>
      <c r="N527" t="str">
        <f>IFERROR(VLOOKUP(VLOOKUP(A527,'Sales Order'!A:G,7,FALSE),Shipper!A:B,2,FALSE),"Not Specified")</f>
        <v>Shipper GVSUA</v>
      </c>
      <c r="O527" t="str">
        <f>IFERROR(VLOOKUP(A527,'Sales Order'!A:I,9,FALSE),"Not Specified")</f>
        <v>Ship to 79-C</v>
      </c>
      <c r="P527" t="str">
        <f>IFERROR(VLOOKUP(A527,'Sales Order'!A:N,14,FALSE),"Not Specified")</f>
        <v>Germany</v>
      </c>
      <c r="Q527" t="str">
        <f>VLOOKUP(VLOOKUP(B527,Product!A:C,3,FALSE),Supplier!A:B,2,FALSE)</f>
        <v>Supplier UNAHG</v>
      </c>
      <c r="R527" t="str">
        <f>VLOOKUP(VLOOKUP(B527,Product!A:C,3,FALSE),Supplier!A:I,9,FALSE)</f>
        <v>Brazil</v>
      </c>
      <c r="S527" t="str">
        <f>IFERROR(IF(VLOOKUP(A527,'Sales Order'!A:H,8,FALSE)&gt;100,"High Freight","Low Freight"),"Not Specified")</f>
        <v>Low Freight</v>
      </c>
      <c r="T527">
        <f t="shared" si="17"/>
        <v>64.8</v>
      </c>
    </row>
    <row r="528" spans="1:20">
      <c r="A528" s="9">
        <v>10446</v>
      </c>
      <c r="B528" s="6">
        <v>31</v>
      </c>
      <c r="C528" s="6">
        <v>10</v>
      </c>
      <c r="D528" s="6">
        <v>3</v>
      </c>
      <c r="E528" s="18">
        <v>0.1</v>
      </c>
      <c r="F528" s="6" t="str">
        <f>IFERROR(VLOOKUP(VLOOKUP(A528,'Sales Order'!A:B,2,FALSE),Customer!A:C,3,FALSE),"Not Specified")</f>
        <v>Wickham, Jim</v>
      </c>
      <c r="G528" s="6" t="str">
        <f t="shared" si="16"/>
        <v>Wickham Jim</v>
      </c>
      <c r="H528" s="22" t="str">
        <f>IFERROR(VLOOKUP(VLOOKUP(A528,'Sales Order'!A:C,3,FALSE),Employee!A:E,5,FALSE)&amp;" "&amp;VLOOKUP(VLOOKUP(A528,'Sales Order'!A:C,3,FALSE),Employee!A:C,3,FALSE)&amp;" "&amp;VLOOKUP(VLOOKUP(A528,'Sales Order'!A:C,3,FALSE),Employee!A:B,2,FALSE),"Not Specified")</f>
        <v>Mr. Paul Suurs</v>
      </c>
      <c r="I528">
        <f>IFERROR(VLOOKUP(VLOOKUP(A528,'Sales Order'!A:C,3,FALSE),Employee!A:J,10,FALSE),"Not Specified")</f>
        <v>0</v>
      </c>
      <c r="J528" t="str">
        <f>VLOOKUP(B528,Product!A:B,2,FALSE)</f>
        <v>Product XWOXC</v>
      </c>
      <c r="K528" t="str">
        <f>VLOOKUP(VLOOKUP(B528,Product!A:D,4,FALSE),Category!A:B,2,FALSE)</f>
        <v>Dairy Product</v>
      </c>
      <c r="L528" s="24">
        <f>IFERROR(VLOOKUP(A528,'Sales Order'!A:D,4,FALSE),"")</f>
        <v>39127</v>
      </c>
      <c r="M528" s="24">
        <f>IFERROR(VLOOKUP(A528,'Sales Order'!A:F,6,FALSE),"")</f>
        <v>39132</v>
      </c>
      <c r="N528" t="str">
        <f>IFERROR(VLOOKUP(VLOOKUP(A528,'Sales Order'!A:G,7,FALSE),Shipper!A:B,2,FALSE),"Not Specified")</f>
        <v>Shipper GVSUA</v>
      </c>
      <c r="O528" t="str">
        <f>IFERROR(VLOOKUP(A528,'Sales Order'!A:I,9,FALSE),"Not Specified")</f>
        <v>Ship to 79-C</v>
      </c>
      <c r="P528" t="str">
        <f>IFERROR(VLOOKUP(A528,'Sales Order'!A:N,14,FALSE),"Not Specified")</f>
        <v>Germany</v>
      </c>
      <c r="Q528" t="str">
        <f>VLOOKUP(VLOOKUP(B528,Product!A:C,3,FALSE),Supplier!A:B,2,FALSE)</f>
        <v>Supplier KEREV</v>
      </c>
      <c r="R528" t="str">
        <f>VLOOKUP(VLOOKUP(B528,Product!A:C,3,FALSE),Supplier!A:I,9,FALSE)</f>
        <v>Italy</v>
      </c>
      <c r="S528" t="str">
        <f>IFERROR(IF(VLOOKUP(A528,'Sales Order'!A:H,8,FALSE)&gt;100,"High Freight","Low Freight"),"Not Specified")</f>
        <v>Low Freight</v>
      </c>
      <c r="T528">
        <f t="shared" si="17"/>
        <v>27</v>
      </c>
    </row>
    <row r="529" spans="1:20">
      <c r="A529" s="9">
        <v>10446</v>
      </c>
      <c r="B529" s="6">
        <v>52</v>
      </c>
      <c r="C529" s="6">
        <v>5.6</v>
      </c>
      <c r="D529" s="6">
        <v>15</v>
      </c>
      <c r="E529" s="18">
        <v>0.1</v>
      </c>
      <c r="F529" s="6" t="str">
        <f>IFERROR(VLOOKUP(VLOOKUP(A529,'Sales Order'!A:B,2,FALSE),Customer!A:C,3,FALSE),"Not Specified")</f>
        <v>Wickham, Jim</v>
      </c>
      <c r="G529" s="6" t="str">
        <f t="shared" si="16"/>
        <v>Wickham Jim</v>
      </c>
      <c r="H529" s="22" t="str">
        <f>IFERROR(VLOOKUP(VLOOKUP(A529,'Sales Order'!A:C,3,FALSE),Employee!A:E,5,FALSE)&amp;" "&amp;VLOOKUP(VLOOKUP(A529,'Sales Order'!A:C,3,FALSE),Employee!A:C,3,FALSE)&amp;" "&amp;VLOOKUP(VLOOKUP(A529,'Sales Order'!A:C,3,FALSE),Employee!A:B,2,FALSE),"Not Specified")</f>
        <v>Mr. Paul Suurs</v>
      </c>
      <c r="I529">
        <f>IFERROR(VLOOKUP(VLOOKUP(A529,'Sales Order'!A:C,3,FALSE),Employee!A:J,10,FALSE),"Not Specified")</f>
        <v>0</v>
      </c>
      <c r="J529" t="str">
        <f>VLOOKUP(B529,Product!A:B,2,FALSE)</f>
        <v>Product QSRXF</v>
      </c>
      <c r="K529" t="str">
        <f>VLOOKUP(VLOOKUP(B529,Product!A:D,4,FALSE),Category!A:B,2,FALSE)</f>
        <v>Grains/Cereals</v>
      </c>
      <c r="L529" s="24">
        <f>IFERROR(VLOOKUP(A529,'Sales Order'!A:D,4,FALSE),"")</f>
        <v>39127</v>
      </c>
      <c r="M529" s="24">
        <f>IFERROR(VLOOKUP(A529,'Sales Order'!A:F,6,FALSE),"")</f>
        <v>39132</v>
      </c>
      <c r="N529" t="str">
        <f>IFERROR(VLOOKUP(VLOOKUP(A529,'Sales Order'!A:G,7,FALSE),Shipper!A:B,2,FALSE),"Not Specified")</f>
        <v>Shipper GVSUA</v>
      </c>
      <c r="O529" t="str">
        <f>IFERROR(VLOOKUP(A529,'Sales Order'!A:I,9,FALSE),"Not Specified")</f>
        <v>Ship to 79-C</v>
      </c>
      <c r="P529" t="str">
        <f>IFERROR(VLOOKUP(A529,'Sales Order'!A:N,14,FALSE),"Not Specified")</f>
        <v>Germany</v>
      </c>
      <c r="Q529" t="str">
        <f>VLOOKUP(VLOOKUP(B529,Product!A:C,3,FALSE),Supplier!A:B,2,FALSE)</f>
        <v>Supplier JNNES</v>
      </c>
      <c r="R529" t="str">
        <f>VLOOKUP(VLOOKUP(B529,Product!A:C,3,FALSE),Supplier!A:I,9,FALSE)</f>
        <v>Australia</v>
      </c>
      <c r="S529" t="str">
        <f>IFERROR(IF(VLOOKUP(A529,'Sales Order'!A:H,8,FALSE)&gt;100,"High Freight","Low Freight"),"Not Specified")</f>
        <v>Low Freight</v>
      </c>
      <c r="T529">
        <f t="shared" si="17"/>
        <v>75.600000000000009</v>
      </c>
    </row>
    <row r="530" spans="1:20">
      <c r="A530" s="9">
        <v>10447</v>
      </c>
      <c r="B530" s="6">
        <v>19</v>
      </c>
      <c r="C530" s="6">
        <v>7.3</v>
      </c>
      <c r="D530" s="6">
        <v>40</v>
      </c>
      <c r="E530" s="18">
        <v>0</v>
      </c>
      <c r="F530" s="6" t="str">
        <f>IFERROR(VLOOKUP(VLOOKUP(A530,'Sales Order'!A:B,2,FALSE),Customer!A:C,3,FALSE),"Not Specified")</f>
        <v>Garden, Euan</v>
      </c>
      <c r="G530" s="6" t="str">
        <f t="shared" si="16"/>
        <v>Garden Euan</v>
      </c>
      <c r="H530" s="22" t="str">
        <f>IFERROR(VLOOKUP(VLOOKUP(A530,'Sales Order'!A:C,3,FALSE),Employee!A:E,5,FALSE)&amp;" "&amp;VLOOKUP(VLOOKUP(A530,'Sales Order'!A:C,3,FALSE),Employee!A:C,3,FALSE)&amp;" "&amp;VLOOKUP(VLOOKUP(A530,'Sales Order'!A:C,3,FALSE),Employee!A:B,2,FALSE),"Not Specified")</f>
        <v>Mrs. Yael Peled</v>
      </c>
      <c r="I530" t="str">
        <f>IFERROR(VLOOKUP(VLOOKUP(A530,'Sales Order'!A:C,3,FALSE),Employee!A:J,10,FALSE),"Not Specified")</f>
        <v>WA</v>
      </c>
      <c r="J530" t="str">
        <f>VLOOKUP(B530,Product!A:B,2,FALSE)</f>
        <v>Product XKXDO</v>
      </c>
      <c r="K530" t="str">
        <f>VLOOKUP(VLOOKUP(B530,Product!A:D,4,FALSE),Category!A:B,2,FALSE)</f>
        <v>Confections</v>
      </c>
      <c r="L530" s="24">
        <f>IFERROR(VLOOKUP(A530,'Sales Order'!A:D,4,FALSE),"")</f>
        <v>39127</v>
      </c>
      <c r="M530" s="24">
        <f>IFERROR(VLOOKUP(A530,'Sales Order'!A:F,6,FALSE),"")</f>
        <v>39148</v>
      </c>
      <c r="N530" t="str">
        <f>IFERROR(VLOOKUP(VLOOKUP(A530,'Sales Order'!A:G,7,FALSE),Shipper!A:B,2,FALSE),"Not Specified")</f>
        <v>Shipper ETYNR</v>
      </c>
      <c r="O530" t="str">
        <f>IFERROR(VLOOKUP(A530,'Sales Order'!A:I,9,FALSE),"Not Specified")</f>
        <v>Ship to 67-C</v>
      </c>
      <c r="P530" t="str">
        <f>IFERROR(VLOOKUP(A530,'Sales Order'!A:N,14,FALSE),"Not Specified")</f>
        <v>Brazil</v>
      </c>
      <c r="Q530" t="str">
        <f>VLOOKUP(VLOOKUP(B530,Product!A:C,3,FALSE),Supplier!A:B,2,FALSE)</f>
        <v>Supplier BWGYE</v>
      </c>
      <c r="R530" t="str">
        <f>VLOOKUP(VLOOKUP(B530,Product!A:C,3,FALSE),Supplier!A:I,9,FALSE)</f>
        <v>UK</v>
      </c>
      <c r="S530" t="str">
        <f>IFERROR(IF(VLOOKUP(A530,'Sales Order'!A:H,8,FALSE)&gt;100,"High Freight","Low Freight"),"Not Specified")</f>
        <v>Low Freight</v>
      </c>
      <c r="T530">
        <f t="shared" si="17"/>
        <v>292</v>
      </c>
    </row>
    <row r="531" spans="1:20">
      <c r="A531" s="9">
        <v>10447</v>
      </c>
      <c r="B531" s="6">
        <v>65</v>
      </c>
      <c r="C531" s="6">
        <v>16.8</v>
      </c>
      <c r="D531" s="6">
        <v>35</v>
      </c>
      <c r="E531" s="18">
        <v>0</v>
      </c>
      <c r="F531" s="6" t="str">
        <f>IFERROR(VLOOKUP(VLOOKUP(A531,'Sales Order'!A:B,2,FALSE),Customer!A:C,3,FALSE),"Not Specified")</f>
        <v>Garden, Euan</v>
      </c>
      <c r="G531" s="6" t="str">
        <f t="shared" si="16"/>
        <v>Garden Euan</v>
      </c>
      <c r="H531" s="22" t="str">
        <f>IFERROR(VLOOKUP(VLOOKUP(A531,'Sales Order'!A:C,3,FALSE),Employee!A:E,5,FALSE)&amp;" "&amp;VLOOKUP(VLOOKUP(A531,'Sales Order'!A:C,3,FALSE),Employee!A:C,3,FALSE)&amp;" "&amp;VLOOKUP(VLOOKUP(A531,'Sales Order'!A:C,3,FALSE),Employee!A:B,2,FALSE),"Not Specified")</f>
        <v>Mrs. Yael Peled</v>
      </c>
      <c r="I531" t="str">
        <f>IFERROR(VLOOKUP(VLOOKUP(A531,'Sales Order'!A:C,3,FALSE),Employee!A:J,10,FALSE),"Not Specified")</f>
        <v>WA</v>
      </c>
      <c r="J531" t="str">
        <f>VLOOKUP(B531,Product!A:B,2,FALSE)</f>
        <v>Product XYWBZ</v>
      </c>
      <c r="K531" t="str">
        <f>VLOOKUP(VLOOKUP(B531,Product!A:D,4,FALSE),Category!A:B,2,FALSE)</f>
        <v>Condiments</v>
      </c>
      <c r="L531" s="24">
        <f>IFERROR(VLOOKUP(A531,'Sales Order'!A:D,4,FALSE),"")</f>
        <v>39127</v>
      </c>
      <c r="M531" s="24">
        <f>IFERROR(VLOOKUP(A531,'Sales Order'!A:F,6,FALSE),"")</f>
        <v>39148</v>
      </c>
      <c r="N531" t="str">
        <f>IFERROR(VLOOKUP(VLOOKUP(A531,'Sales Order'!A:G,7,FALSE),Shipper!A:B,2,FALSE),"Not Specified")</f>
        <v>Shipper ETYNR</v>
      </c>
      <c r="O531" t="str">
        <f>IFERROR(VLOOKUP(A531,'Sales Order'!A:I,9,FALSE),"Not Specified")</f>
        <v>Ship to 67-C</v>
      </c>
      <c r="P531" t="str">
        <f>IFERROR(VLOOKUP(A531,'Sales Order'!A:N,14,FALSE),"Not Specified")</f>
        <v>Brazil</v>
      </c>
      <c r="Q531" t="str">
        <f>VLOOKUP(VLOOKUP(B531,Product!A:C,3,FALSE),Supplier!A:B,2,FALSE)</f>
        <v>Supplier VHQZD</v>
      </c>
      <c r="R531" t="str">
        <f>VLOOKUP(VLOOKUP(B531,Product!A:C,3,FALSE),Supplier!A:I,9,FALSE)</f>
        <v>USA</v>
      </c>
      <c r="S531" t="str">
        <f>IFERROR(IF(VLOOKUP(A531,'Sales Order'!A:H,8,FALSE)&gt;100,"High Freight","Low Freight"),"Not Specified")</f>
        <v>Low Freight</v>
      </c>
      <c r="T531">
        <f t="shared" si="17"/>
        <v>588</v>
      </c>
    </row>
    <row r="532" spans="1:20">
      <c r="A532" s="9">
        <v>10447</v>
      </c>
      <c r="B532" s="6">
        <v>71</v>
      </c>
      <c r="C532" s="6">
        <v>17.2</v>
      </c>
      <c r="D532" s="6">
        <v>2</v>
      </c>
      <c r="E532" s="18">
        <v>0</v>
      </c>
      <c r="F532" s="6" t="str">
        <f>IFERROR(VLOOKUP(VLOOKUP(A532,'Sales Order'!A:B,2,FALSE),Customer!A:C,3,FALSE),"Not Specified")</f>
        <v>Garden, Euan</v>
      </c>
      <c r="G532" s="6" t="str">
        <f t="shared" si="16"/>
        <v>Garden Euan</v>
      </c>
      <c r="H532" s="22" t="str">
        <f>IFERROR(VLOOKUP(VLOOKUP(A532,'Sales Order'!A:C,3,FALSE),Employee!A:E,5,FALSE)&amp;" "&amp;VLOOKUP(VLOOKUP(A532,'Sales Order'!A:C,3,FALSE),Employee!A:C,3,FALSE)&amp;" "&amp;VLOOKUP(VLOOKUP(A532,'Sales Order'!A:C,3,FALSE),Employee!A:B,2,FALSE),"Not Specified")</f>
        <v>Mrs. Yael Peled</v>
      </c>
      <c r="I532" t="str">
        <f>IFERROR(VLOOKUP(VLOOKUP(A532,'Sales Order'!A:C,3,FALSE),Employee!A:J,10,FALSE),"Not Specified")</f>
        <v>WA</v>
      </c>
      <c r="J532" t="str">
        <f>VLOOKUP(B532,Product!A:B,2,FALSE)</f>
        <v>Product MYMOI</v>
      </c>
      <c r="K532" t="str">
        <f>VLOOKUP(VLOOKUP(B532,Product!A:D,4,FALSE),Category!A:B,2,FALSE)</f>
        <v>Dairy Product</v>
      </c>
      <c r="L532" s="24">
        <f>IFERROR(VLOOKUP(A532,'Sales Order'!A:D,4,FALSE),"")</f>
        <v>39127</v>
      </c>
      <c r="M532" s="24">
        <f>IFERROR(VLOOKUP(A532,'Sales Order'!A:F,6,FALSE),"")</f>
        <v>39148</v>
      </c>
      <c r="N532" t="str">
        <f>IFERROR(VLOOKUP(VLOOKUP(A532,'Sales Order'!A:G,7,FALSE),Shipper!A:B,2,FALSE),"Not Specified")</f>
        <v>Shipper ETYNR</v>
      </c>
      <c r="O532" t="str">
        <f>IFERROR(VLOOKUP(A532,'Sales Order'!A:I,9,FALSE),"Not Specified")</f>
        <v>Ship to 67-C</v>
      </c>
      <c r="P532" t="str">
        <f>IFERROR(VLOOKUP(A532,'Sales Order'!A:N,14,FALSE),"Not Specified")</f>
        <v>Brazil</v>
      </c>
      <c r="Q532" t="str">
        <f>VLOOKUP(VLOOKUP(B532,Product!A:C,3,FALSE),Supplier!A:B,2,FALSE)</f>
        <v>Supplier NZLIF</v>
      </c>
      <c r="R532" t="str">
        <f>VLOOKUP(VLOOKUP(B532,Product!A:C,3,FALSE),Supplier!A:I,9,FALSE)</f>
        <v>Norway</v>
      </c>
      <c r="S532" t="str">
        <f>IFERROR(IF(VLOOKUP(A532,'Sales Order'!A:H,8,FALSE)&gt;100,"High Freight","Low Freight"),"Not Specified")</f>
        <v>Low Freight</v>
      </c>
      <c r="T532">
        <f t="shared" si="17"/>
        <v>34.4</v>
      </c>
    </row>
    <row r="533" spans="1:20">
      <c r="A533" s="9">
        <v>10448</v>
      </c>
      <c r="B533" s="6">
        <v>26</v>
      </c>
      <c r="C533" s="6">
        <v>24.9</v>
      </c>
      <c r="D533" s="6">
        <v>6</v>
      </c>
      <c r="E533" s="18">
        <v>0</v>
      </c>
      <c r="F533" s="6" t="str">
        <f>IFERROR(VLOOKUP(VLOOKUP(A533,'Sales Order'!A:B,2,FALSE),Customer!A:C,3,FALSE),"Not Specified")</f>
        <v>Gaffney, Lawrie</v>
      </c>
      <c r="G533" s="6" t="str">
        <f t="shared" si="16"/>
        <v>Gaffney Lawrie</v>
      </c>
      <c r="H533" s="22" t="str">
        <f>IFERROR(VLOOKUP(VLOOKUP(A533,'Sales Order'!A:C,3,FALSE),Employee!A:E,5,FALSE)&amp;" "&amp;VLOOKUP(VLOOKUP(A533,'Sales Order'!A:C,3,FALSE),Employee!A:C,3,FALSE)&amp;" "&amp;VLOOKUP(VLOOKUP(A533,'Sales Order'!A:C,3,FALSE),Employee!A:B,2,FALSE),"Not Specified")</f>
        <v>Mrs. Yael Peled</v>
      </c>
      <c r="I533" t="str">
        <f>IFERROR(VLOOKUP(VLOOKUP(A533,'Sales Order'!A:C,3,FALSE),Employee!A:J,10,FALSE),"Not Specified")</f>
        <v>WA</v>
      </c>
      <c r="J533" t="str">
        <f>VLOOKUP(B533,Product!A:B,2,FALSE)</f>
        <v>Product HLGZA</v>
      </c>
      <c r="K533" t="str">
        <f>VLOOKUP(VLOOKUP(B533,Product!A:D,4,FALSE),Category!A:B,2,FALSE)</f>
        <v>Confections</v>
      </c>
      <c r="L533" s="24">
        <f>IFERROR(VLOOKUP(A533,'Sales Order'!A:D,4,FALSE),"")</f>
        <v>39130</v>
      </c>
      <c r="M533" s="24">
        <f>IFERROR(VLOOKUP(A533,'Sales Order'!A:F,6,FALSE),"")</f>
        <v>39137</v>
      </c>
      <c r="N533" t="str">
        <f>IFERROR(VLOOKUP(VLOOKUP(A533,'Sales Order'!A:G,7,FALSE),Shipper!A:B,2,FALSE),"Not Specified")</f>
        <v>Shipper ETYNR</v>
      </c>
      <c r="O533" t="str">
        <f>IFERROR(VLOOKUP(A533,'Sales Order'!A:I,9,FALSE),"Not Specified")</f>
        <v>Ship to 64-A</v>
      </c>
      <c r="P533" t="str">
        <f>IFERROR(VLOOKUP(A533,'Sales Order'!A:N,14,FALSE),"Not Specified")</f>
        <v>Argentina</v>
      </c>
      <c r="Q533" t="str">
        <f>VLOOKUP(VLOOKUP(B533,Product!A:C,3,FALSE),Supplier!A:B,2,FALSE)</f>
        <v>Supplier ZPYVS</v>
      </c>
      <c r="R533" t="str">
        <f>VLOOKUP(VLOOKUP(B533,Product!A:C,3,FALSE),Supplier!A:I,9,FALSE)</f>
        <v>Germany</v>
      </c>
      <c r="S533" t="str">
        <f>IFERROR(IF(VLOOKUP(A533,'Sales Order'!A:H,8,FALSE)&gt;100,"High Freight","Low Freight"),"Not Specified")</f>
        <v>Low Freight</v>
      </c>
      <c r="T533">
        <f t="shared" si="17"/>
        <v>149.39999999999998</v>
      </c>
    </row>
    <row r="534" spans="1:20">
      <c r="A534" s="9">
        <v>10448</v>
      </c>
      <c r="B534" s="6">
        <v>40</v>
      </c>
      <c r="C534" s="6">
        <v>14.7</v>
      </c>
      <c r="D534" s="6">
        <v>20</v>
      </c>
      <c r="E534" s="18">
        <v>0</v>
      </c>
      <c r="F534" s="6" t="str">
        <f>IFERROR(VLOOKUP(VLOOKUP(A534,'Sales Order'!A:B,2,FALSE),Customer!A:C,3,FALSE),"Not Specified")</f>
        <v>Gaffney, Lawrie</v>
      </c>
      <c r="G534" s="6" t="str">
        <f t="shared" si="16"/>
        <v>Gaffney Lawrie</v>
      </c>
      <c r="H534" s="22" t="str">
        <f>IFERROR(VLOOKUP(VLOOKUP(A534,'Sales Order'!A:C,3,FALSE),Employee!A:E,5,FALSE)&amp;" "&amp;VLOOKUP(VLOOKUP(A534,'Sales Order'!A:C,3,FALSE),Employee!A:C,3,FALSE)&amp;" "&amp;VLOOKUP(VLOOKUP(A534,'Sales Order'!A:C,3,FALSE),Employee!A:B,2,FALSE),"Not Specified")</f>
        <v>Mrs. Yael Peled</v>
      </c>
      <c r="I534" t="str">
        <f>IFERROR(VLOOKUP(VLOOKUP(A534,'Sales Order'!A:C,3,FALSE),Employee!A:J,10,FALSE),"Not Specified")</f>
        <v>WA</v>
      </c>
      <c r="J534" t="str">
        <f>VLOOKUP(B534,Product!A:B,2,FALSE)</f>
        <v>Product YZIXQ</v>
      </c>
      <c r="K534" t="str">
        <f>VLOOKUP(VLOOKUP(B534,Product!A:D,4,FALSE),Category!A:B,2,FALSE)</f>
        <v>Seafood</v>
      </c>
      <c r="L534" s="24">
        <f>IFERROR(VLOOKUP(A534,'Sales Order'!A:D,4,FALSE),"")</f>
        <v>39130</v>
      </c>
      <c r="M534" s="24">
        <f>IFERROR(VLOOKUP(A534,'Sales Order'!A:F,6,FALSE),"")</f>
        <v>39137</v>
      </c>
      <c r="N534" t="str">
        <f>IFERROR(VLOOKUP(VLOOKUP(A534,'Sales Order'!A:G,7,FALSE),Shipper!A:B,2,FALSE),"Not Specified")</f>
        <v>Shipper ETYNR</v>
      </c>
      <c r="O534" t="str">
        <f>IFERROR(VLOOKUP(A534,'Sales Order'!A:I,9,FALSE),"Not Specified")</f>
        <v>Ship to 64-A</v>
      </c>
      <c r="P534" t="str">
        <f>IFERROR(VLOOKUP(A534,'Sales Order'!A:N,14,FALSE),"Not Specified")</f>
        <v>Argentina</v>
      </c>
      <c r="Q534" t="str">
        <f>VLOOKUP(VLOOKUP(B534,Product!A:C,3,FALSE),Supplier!A:B,2,FALSE)</f>
        <v>Supplier JDNUG</v>
      </c>
      <c r="R534" t="str">
        <f>VLOOKUP(VLOOKUP(B534,Product!A:C,3,FALSE),Supplier!A:I,9,FALSE)</f>
        <v>USA</v>
      </c>
      <c r="S534" t="str">
        <f>IFERROR(IF(VLOOKUP(A534,'Sales Order'!A:H,8,FALSE)&gt;100,"High Freight","Low Freight"),"Not Specified")</f>
        <v>Low Freight</v>
      </c>
      <c r="T534">
        <f t="shared" si="17"/>
        <v>294</v>
      </c>
    </row>
    <row r="535" spans="1:20">
      <c r="A535" s="9">
        <v>10449</v>
      </c>
      <c r="B535" s="6">
        <v>10</v>
      </c>
      <c r="C535" s="6">
        <v>24.8</v>
      </c>
      <c r="D535" s="6">
        <v>14</v>
      </c>
      <c r="E535" s="18">
        <v>0</v>
      </c>
      <c r="F535" s="6" t="str">
        <f>IFERROR(VLOOKUP(VLOOKUP(A535,'Sales Order'!A:B,2,FALSE),Customer!A:C,3,FALSE),"Not Specified")</f>
        <v>Bansal, Dushyant</v>
      </c>
      <c r="G535" s="6" t="str">
        <f t="shared" si="16"/>
        <v>Bansal Dushyant</v>
      </c>
      <c r="H535" s="22" t="str">
        <f>IFERROR(VLOOKUP(VLOOKUP(A535,'Sales Order'!A:C,3,FALSE),Employee!A:E,5,FALSE)&amp;" "&amp;VLOOKUP(VLOOKUP(A535,'Sales Order'!A:C,3,FALSE),Employee!A:C,3,FALSE)&amp;" "&amp;VLOOKUP(VLOOKUP(A535,'Sales Order'!A:C,3,FALSE),Employee!A:B,2,FALSE),"Not Specified")</f>
        <v>Ms. Judy Lew</v>
      </c>
      <c r="I535" t="str">
        <f>IFERROR(VLOOKUP(VLOOKUP(A535,'Sales Order'!A:C,3,FALSE),Employee!A:J,10,FALSE),"Not Specified")</f>
        <v>WA</v>
      </c>
      <c r="J535" t="str">
        <f>VLOOKUP(B535,Product!A:B,2,FALSE)</f>
        <v>Product YHXGE</v>
      </c>
      <c r="K535" t="str">
        <f>VLOOKUP(VLOOKUP(B535,Product!A:D,4,FALSE),Category!A:B,2,FALSE)</f>
        <v>Seafood</v>
      </c>
      <c r="L535" s="24">
        <f>IFERROR(VLOOKUP(A535,'Sales Order'!A:D,4,FALSE),"")</f>
        <v>39131</v>
      </c>
      <c r="M535" s="24">
        <f>IFERROR(VLOOKUP(A535,'Sales Order'!A:F,6,FALSE),"")</f>
        <v>39140</v>
      </c>
      <c r="N535" t="str">
        <f>IFERROR(VLOOKUP(VLOOKUP(A535,'Sales Order'!A:G,7,FALSE),Shipper!A:B,2,FALSE),"Not Specified")</f>
        <v>Shipper ETYNR</v>
      </c>
      <c r="O535" t="str">
        <f>IFERROR(VLOOKUP(A535,'Sales Order'!A:I,9,FALSE),"Not Specified")</f>
        <v>Ship to 7-C</v>
      </c>
      <c r="P535" t="str">
        <f>IFERROR(VLOOKUP(A535,'Sales Order'!A:N,14,FALSE),"Not Specified")</f>
        <v>France</v>
      </c>
      <c r="Q535" t="str">
        <f>VLOOKUP(VLOOKUP(B535,Product!A:C,3,FALSE),Supplier!A:B,2,FALSE)</f>
        <v>Supplier QOVFD</v>
      </c>
      <c r="R535" t="str">
        <f>VLOOKUP(VLOOKUP(B535,Product!A:C,3,FALSE),Supplier!A:I,9,FALSE)</f>
        <v>Japan</v>
      </c>
      <c r="S535" t="str">
        <f>IFERROR(IF(VLOOKUP(A535,'Sales Order'!A:H,8,FALSE)&gt;100,"High Freight","Low Freight"),"Not Specified")</f>
        <v>Low Freight</v>
      </c>
      <c r="T535">
        <f t="shared" si="17"/>
        <v>347.2</v>
      </c>
    </row>
    <row r="536" spans="1:20">
      <c r="A536" s="9">
        <v>10449</v>
      </c>
      <c r="B536" s="6">
        <v>52</v>
      </c>
      <c r="C536" s="6">
        <v>5.6</v>
      </c>
      <c r="D536" s="6">
        <v>20</v>
      </c>
      <c r="E536" s="18">
        <v>0</v>
      </c>
      <c r="F536" s="6" t="str">
        <f>IFERROR(VLOOKUP(VLOOKUP(A536,'Sales Order'!A:B,2,FALSE),Customer!A:C,3,FALSE),"Not Specified")</f>
        <v>Bansal, Dushyant</v>
      </c>
      <c r="G536" s="6" t="str">
        <f t="shared" si="16"/>
        <v>Bansal Dushyant</v>
      </c>
      <c r="H536" s="22" t="str">
        <f>IFERROR(VLOOKUP(VLOOKUP(A536,'Sales Order'!A:C,3,FALSE),Employee!A:E,5,FALSE)&amp;" "&amp;VLOOKUP(VLOOKUP(A536,'Sales Order'!A:C,3,FALSE),Employee!A:C,3,FALSE)&amp;" "&amp;VLOOKUP(VLOOKUP(A536,'Sales Order'!A:C,3,FALSE),Employee!A:B,2,FALSE),"Not Specified")</f>
        <v>Ms. Judy Lew</v>
      </c>
      <c r="I536" t="str">
        <f>IFERROR(VLOOKUP(VLOOKUP(A536,'Sales Order'!A:C,3,FALSE),Employee!A:J,10,FALSE),"Not Specified")</f>
        <v>WA</v>
      </c>
      <c r="J536" t="str">
        <f>VLOOKUP(B536,Product!A:B,2,FALSE)</f>
        <v>Product QSRXF</v>
      </c>
      <c r="K536" t="str">
        <f>VLOOKUP(VLOOKUP(B536,Product!A:D,4,FALSE),Category!A:B,2,FALSE)</f>
        <v>Grains/Cereals</v>
      </c>
      <c r="L536" s="24">
        <f>IFERROR(VLOOKUP(A536,'Sales Order'!A:D,4,FALSE),"")</f>
        <v>39131</v>
      </c>
      <c r="M536" s="24">
        <f>IFERROR(VLOOKUP(A536,'Sales Order'!A:F,6,FALSE),"")</f>
        <v>39140</v>
      </c>
      <c r="N536" t="str">
        <f>IFERROR(VLOOKUP(VLOOKUP(A536,'Sales Order'!A:G,7,FALSE),Shipper!A:B,2,FALSE),"Not Specified")</f>
        <v>Shipper ETYNR</v>
      </c>
      <c r="O536" t="str">
        <f>IFERROR(VLOOKUP(A536,'Sales Order'!A:I,9,FALSE),"Not Specified")</f>
        <v>Ship to 7-C</v>
      </c>
      <c r="P536" t="str">
        <f>IFERROR(VLOOKUP(A536,'Sales Order'!A:N,14,FALSE),"Not Specified")</f>
        <v>France</v>
      </c>
      <c r="Q536" t="str">
        <f>VLOOKUP(VLOOKUP(B536,Product!A:C,3,FALSE),Supplier!A:B,2,FALSE)</f>
        <v>Supplier JNNES</v>
      </c>
      <c r="R536" t="str">
        <f>VLOOKUP(VLOOKUP(B536,Product!A:C,3,FALSE),Supplier!A:I,9,FALSE)</f>
        <v>Australia</v>
      </c>
      <c r="S536" t="str">
        <f>IFERROR(IF(VLOOKUP(A536,'Sales Order'!A:H,8,FALSE)&gt;100,"High Freight","Low Freight"),"Not Specified")</f>
        <v>Low Freight</v>
      </c>
      <c r="T536">
        <f t="shared" si="17"/>
        <v>112</v>
      </c>
    </row>
    <row r="537" spans="1:20">
      <c r="A537" s="9">
        <v>10449</v>
      </c>
      <c r="B537" s="6">
        <v>62</v>
      </c>
      <c r="C537" s="6">
        <v>39.4</v>
      </c>
      <c r="D537" s="6">
        <v>35</v>
      </c>
      <c r="E537" s="18">
        <v>0</v>
      </c>
      <c r="F537" s="6" t="str">
        <f>IFERROR(VLOOKUP(VLOOKUP(A537,'Sales Order'!A:B,2,FALSE),Customer!A:C,3,FALSE),"Not Specified")</f>
        <v>Bansal, Dushyant</v>
      </c>
      <c r="G537" s="6" t="str">
        <f t="shared" si="16"/>
        <v>Bansal Dushyant</v>
      </c>
      <c r="H537" s="22" t="str">
        <f>IFERROR(VLOOKUP(VLOOKUP(A537,'Sales Order'!A:C,3,FALSE),Employee!A:E,5,FALSE)&amp;" "&amp;VLOOKUP(VLOOKUP(A537,'Sales Order'!A:C,3,FALSE),Employee!A:C,3,FALSE)&amp;" "&amp;VLOOKUP(VLOOKUP(A537,'Sales Order'!A:C,3,FALSE),Employee!A:B,2,FALSE),"Not Specified")</f>
        <v>Ms. Judy Lew</v>
      </c>
      <c r="I537" t="str">
        <f>IFERROR(VLOOKUP(VLOOKUP(A537,'Sales Order'!A:C,3,FALSE),Employee!A:J,10,FALSE),"Not Specified")</f>
        <v>WA</v>
      </c>
      <c r="J537" t="str">
        <f>VLOOKUP(B537,Product!A:B,2,FALSE)</f>
        <v>Product WUXYK</v>
      </c>
      <c r="K537" t="str">
        <f>VLOOKUP(VLOOKUP(B537,Product!A:D,4,FALSE),Category!A:B,2,FALSE)</f>
        <v>Confections</v>
      </c>
      <c r="L537" s="24">
        <f>IFERROR(VLOOKUP(A537,'Sales Order'!A:D,4,FALSE),"")</f>
        <v>39131</v>
      </c>
      <c r="M537" s="24">
        <f>IFERROR(VLOOKUP(A537,'Sales Order'!A:F,6,FALSE),"")</f>
        <v>39140</v>
      </c>
      <c r="N537" t="str">
        <f>IFERROR(VLOOKUP(VLOOKUP(A537,'Sales Order'!A:G,7,FALSE),Shipper!A:B,2,FALSE),"Not Specified")</f>
        <v>Shipper ETYNR</v>
      </c>
      <c r="O537" t="str">
        <f>IFERROR(VLOOKUP(A537,'Sales Order'!A:I,9,FALSE),"Not Specified")</f>
        <v>Ship to 7-C</v>
      </c>
      <c r="P537" t="str">
        <f>IFERROR(VLOOKUP(A537,'Sales Order'!A:N,14,FALSE),"Not Specified")</f>
        <v>France</v>
      </c>
      <c r="Q537" t="str">
        <f>VLOOKUP(VLOOKUP(B537,Product!A:C,3,FALSE),Supplier!A:B,2,FALSE)</f>
        <v>Supplier OGLRK</v>
      </c>
      <c r="R537" t="str">
        <f>VLOOKUP(VLOOKUP(B537,Product!A:C,3,FALSE),Supplier!A:I,9,FALSE)</f>
        <v>Canada</v>
      </c>
      <c r="S537" t="str">
        <f>IFERROR(IF(VLOOKUP(A537,'Sales Order'!A:H,8,FALSE)&gt;100,"High Freight","Low Freight"),"Not Specified")</f>
        <v>Low Freight</v>
      </c>
      <c r="T537">
        <f t="shared" si="17"/>
        <v>1379</v>
      </c>
    </row>
    <row r="538" spans="1:20">
      <c r="A538" s="9">
        <v>10450</v>
      </c>
      <c r="B538" s="6">
        <v>10</v>
      </c>
      <c r="C538" s="6">
        <v>24.8</v>
      </c>
      <c r="D538" s="6">
        <v>20</v>
      </c>
      <c r="E538" s="18">
        <v>0.2</v>
      </c>
      <c r="F538" s="6" t="str">
        <f>IFERROR(VLOOKUP(VLOOKUP(A538,'Sales Order'!A:B,2,FALSE),Customer!A:C,3,FALSE),"Not Specified")</f>
        <v>Tuntisangaroon, Sittichai</v>
      </c>
      <c r="G538" s="6" t="str">
        <f t="shared" si="16"/>
        <v>Tuntisangaroon Sittichai</v>
      </c>
      <c r="H538" s="22" t="str">
        <f>IFERROR(VLOOKUP(VLOOKUP(A538,'Sales Order'!A:C,3,FALSE),Employee!A:E,5,FALSE)&amp;" "&amp;VLOOKUP(VLOOKUP(A538,'Sales Order'!A:C,3,FALSE),Employee!A:C,3,FALSE)&amp;" "&amp;VLOOKUP(VLOOKUP(A538,'Sales Order'!A:C,3,FALSE),Employee!A:B,2,FALSE),"Not Specified")</f>
        <v>Ms. Maria Cameron</v>
      </c>
      <c r="I538" t="str">
        <f>IFERROR(VLOOKUP(VLOOKUP(A538,'Sales Order'!A:C,3,FALSE),Employee!A:J,10,FALSE),"Not Specified")</f>
        <v>WA</v>
      </c>
      <c r="J538" t="str">
        <f>VLOOKUP(B538,Product!A:B,2,FALSE)</f>
        <v>Product YHXGE</v>
      </c>
      <c r="K538" t="str">
        <f>VLOOKUP(VLOOKUP(B538,Product!A:D,4,FALSE),Category!A:B,2,FALSE)</f>
        <v>Seafood</v>
      </c>
      <c r="L538" s="24">
        <f>IFERROR(VLOOKUP(A538,'Sales Order'!A:D,4,FALSE),"")</f>
        <v>39132</v>
      </c>
      <c r="M538" s="24">
        <f>IFERROR(VLOOKUP(A538,'Sales Order'!A:F,6,FALSE),"")</f>
        <v>39152</v>
      </c>
      <c r="N538" t="str">
        <f>IFERROR(VLOOKUP(VLOOKUP(A538,'Sales Order'!A:G,7,FALSE),Shipper!A:B,2,FALSE),"Not Specified")</f>
        <v>Shipper ETYNR</v>
      </c>
      <c r="O538" t="str">
        <f>IFERROR(VLOOKUP(A538,'Sales Order'!A:I,9,FALSE),"Not Specified")</f>
        <v>Ship to 84-C</v>
      </c>
      <c r="P538" t="str">
        <f>IFERROR(VLOOKUP(A538,'Sales Order'!A:N,14,FALSE),"Not Specified")</f>
        <v>France</v>
      </c>
      <c r="Q538" t="str">
        <f>VLOOKUP(VLOOKUP(B538,Product!A:C,3,FALSE),Supplier!A:B,2,FALSE)</f>
        <v>Supplier QOVFD</v>
      </c>
      <c r="R538" t="str">
        <f>VLOOKUP(VLOOKUP(B538,Product!A:C,3,FALSE),Supplier!A:I,9,FALSE)</f>
        <v>Japan</v>
      </c>
      <c r="S538" t="str">
        <f>IFERROR(IF(VLOOKUP(A538,'Sales Order'!A:H,8,FALSE)&gt;100,"High Freight","Low Freight"),"Not Specified")</f>
        <v>Low Freight</v>
      </c>
      <c r="T538">
        <f t="shared" si="17"/>
        <v>396.8</v>
      </c>
    </row>
    <row r="539" spans="1:20">
      <c r="A539" s="9">
        <v>10450</v>
      </c>
      <c r="B539" s="6">
        <v>54</v>
      </c>
      <c r="C539" s="6">
        <v>5.9</v>
      </c>
      <c r="D539" s="6">
        <v>6</v>
      </c>
      <c r="E539" s="18">
        <v>0.2</v>
      </c>
      <c r="F539" s="6" t="str">
        <f>IFERROR(VLOOKUP(VLOOKUP(A539,'Sales Order'!A:B,2,FALSE),Customer!A:C,3,FALSE),"Not Specified")</f>
        <v>Tuntisangaroon, Sittichai</v>
      </c>
      <c r="G539" s="6" t="str">
        <f t="shared" si="16"/>
        <v>Tuntisangaroon Sittichai</v>
      </c>
      <c r="H539" s="22" t="str">
        <f>IFERROR(VLOOKUP(VLOOKUP(A539,'Sales Order'!A:C,3,FALSE),Employee!A:E,5,FALSE)&amp;" "&amp;VLOOKUP(VLOOKUP(A539,'Sales Order'!A:C,3,FALSE),Employee!A:C,3,FALSE)&amp;" "&amp;VLOOKUP(VLOOKUP(A539,'Sales Order'!A:C,3,FALSE),Employee!A:B,2,FALSE),"Not Specified")</f>
        <v>Ms. Maria Cameron</v>
      </c>
      <c r="I539" t="str">
        <f>IFERROR(VLOOKUP(VLOOKUP(A539,'Sales Order'!A:C,3,FALSE),Employee!A:J,10,FALSE),"Not Specified")</f>
        <v>WA</v>
      </c>
      <c r="J539" t="str">
        <f>VLOOKUP(B539,Product!A:B,2,FALSE)</f>
        <v>Product QAQRL</v>
      </c>
      <c r="K539" t="str">
        <f>VLOOKUP(VLOOKUP(B539,Product!A:D,4,FALSE),Category!A:B,2,FALSE)</f>
        <v>Meat/Poultry</v>
      </c>
      <c r="L539" s="24">
        <f>IFERROR(VLOOKUP(A539,'Sales Order'!A:D,4,FALSE),"")</f>
        <v>39132</v>
      </c>
      <c r="M539" s="24">
        <f>IFERROR(VLOOKUP(A539,'Sales Order'!A:F,6,FALSE),"")</f>
        <v>39152</v>
      </c>
      <c r="N539" t="str">
        <f>IFERROR(VLOOKUP(VLOOKUP(A539,'Sales Order'!A:G,7,FALSE),Shipper!A:B,2,FALSE),"Not Specified")</f>
        <v>Shipper ETYNR</v>
      </c>
      <c r="O539" t="str">
        <f>IFERROR(VLOOKUP(A539,'Sales Order'!A:I,9,FALSE),"Not Specified")</f>
        <v>Ship to 84-C</v>
      </c>
      <c r="P539" t="str">
        <f>IFERROR(VLOOKUP(A539,'Sales Order'!A:N,14,FALSE),"Not Specified")</f>
        <v>France</v>
      </c>
      <c r="Q539" t="str">
        <f>VLOOKUP(VLOOKUP(B539,Product!A:C,3,FALSE),Supplier!A:B,2,FALSE)</f>
        <v>Supplier ERVYZ</v>
      </c>
      <c r="R539" t="str">
        <f>VLOOKUP(VLOOKUP(B539,Product!A:C,3,FALSE),Supplier!A:I,9,FALSE)</f>
        <v>Canada</v>
      </c>
      <c r="S539" t="str">
        <f>IFERROR(IF(VLOOKUP(A539,'Sales Order'!A:H,8,FALSE)&gt;100,"High Freight","Low Freight"),"Not Specified")</f>
        <v>Low Freight</v>
      </c>
      <c r="T539">
        <f t="shared" si="17"/>
        <v>28.320000000000007</v>
      </c>
    </row>
    <row r="540" spans="1:20">
      <c r="A540" s="9">
        <v>10451</v>
      </c>
      <c r="B540" s="6">
        <v>55</v>
      </c>
      <c r="C540" s="6">
        <v>19.2</v>
      </c>
      <c r="D540" s="6">
        <v>120</v>
      </c>
      <c r="E540" s="18">
        <v>0.1</v>
      </c>
      <c r="F540" s="6" t="str">
        <f>IFERROR(VLOOKUP(VLOOKUP(A540,'Sales Order'!A:B,2,FALSE),Customer!A:C,3,FALSE),"Not Specified")</f>
        <v>Veronesi, Giorgio</v>
      </c>
      <c r="G540" s="6" t="str">
        <f t="shared" si="16"/>
        <v>Veronesi Giorgio</v>
      </c>
      <c r="H540" s="22" t="str">
        <f>IFERROR(VLOOKUP(VLOOKUP(A540,'Sales Order'!A:C,3,FALSE),Employee!A:E,5,FALSE)&amp;" "&amp;VLOOKUP(VLOOKUP(A540,'Sales Order'!A:C,3,FALSE),Employee!A:C,3,FALSE)&amp;" "&amp;VLOOKUP(VLOOKUP(A540,'Sales Order'!A:C,3,FALSE),Employee!A:B,2,FALSE),"Not Specified")</f>
        <v>Mrs. Yael Peled</v>
      </c>
      <c r="I540" t="str">
        <f>IFERROR(VLOOKUP(VLOOKUP(A540,'Sales Order'!A:C,3,FALSE),Employee!A:J,10,FALSE),"Not Specified")</f>
        <v>WA</v>
      </c>
      <c r="J540" t="str">
        <f>VLOOKUP(B540,Product!A:B,2,FALSE)</f>
        <v>Product YYWRT</v>
      </c>
      <c r="K540" t="str">
        <f>VLOOKUP(VLOOKUP(B540,Product!A:D,4,FALSE),Category!A:B,2,FALSE)</f>
        <v>Meat/Poultry</v>
      </c>
      <c r="L540" s="24">
        <f>IFERROR(VLOOKUP(A540,'Sales Order'!A:D,4,FALSE),"")</f>
        <v>39132</v>
      </c>
      <c r="M540" s="24">
        <f>IFERROR(VLOOKUP(A540,'Sales Order'!A:F,6,FALSE),"")</f>
        <v>39153</v>
      </c>
      <c r="N540" t="str">
        <f>IFERROR(VLOOKUP(VLOOKUP(A540,'Sales Order'!A:G,7,FALSE),Shipper!A:B,2,FALSE),"Not Specified")</f>
        <v>Shipper ZHISN</v>
      </c>
      <c r="O540" t="str">
        <f>IFERROR(VLOOKUP(A540,'Sales Order'!A:I,9,FALSE),"Not Specified")</f>
        <v>Ship to 63-C</v>
      </c>
      <c r="P540" t="str">
        <f>IFERROR(VLOOKUP(A540,'Sales Order'!A:N,14,FALSE),"Not Specified")</f>
        <v>Germany</v>
      </c>
      <c r="Q540" t="str">
        <f>VLOOKUP(VLOOKUP(B540,Product!A:C,3,FALSE),Supplier!A:B,2,FALSE)</f>
        <v>Supplier ERVYZ</v>
      </c>
      <c r="R540" t="str">
        <f>VLOOKUP(VLOOKUP(B540,Product!A:C,3,FALSE),Supplier!A:I,9,FALSE)</f>
        <v>Canada</v>
      </c>
      <c r="S540" t="str">
        <f>IFERROR(IF(VLOOKUP(A540,'Sales Order'!A:H,8,FALSE)&gt;100,"High Freight","Low Freight"),"Not Specified")</f>
        <v>High Freight</v>
      </c>
      <c r="T540">
        <f t="shared" si="17"/>
        <v>2073.6</v>
      </c>
    </row>
    <row r="541" spans="1:20">
      <c r="A541" s="9">
        <v>10451</v>
      </c>
      <c r="B541" s="6">
        <v>64</v>
      </c>
      <c r="C541" s="6">
        <v>26.6</v>
      </c>
      <c r="D541" s="6">
        <v>35</v>
      </c>
      <c r="E541" s="18">
        <v>0.1</v>
      </c>
      <c r="F541" s="6" t="str">
        <f>IFERROR(VLOOKUP(VLOOKUP(A541,'Sales Order'!A:B,2,FALSE),Customer!A:C,3,FALSE),"Not Specified")</f>
        <v>Veronesi, Giorgio</v>
      </c>
      <c r="G541" s="6" t="str">
        <f t="shared" si="16"/>
        <v>Veronesi Giorgio</v>
      </c>
      <c r="H541" s="22" t="str">
        <f>IFERROR(VLOOKUP(VLOOKUP(A541,'Sales Order'!A:C,3,FALSE),Employee!A:E,5,FALSE)&amp;" "&amp;VLOOKUP(VLOOKUP(A541,'Sales Order'!A:C,3,FALSE),Employee!A:C,3,FALSE)&amp;" "&amp;VLOOKUP(VLOOKUP(A541,'Sales Order'!A:C,3,FALSE),Employee!A:B,2,FALSE),"Not Specified")</f>
        <v>Mrs. Yael Peled</v>
      </c>
      <c r="I541" t="str">
        <f>IFERROR(VLOOKUP(VLOOKUP(A541,'Sales Order'!A:C,3,FALSE),Employee!A:J,10,FALSE),"Not Specified")</f>
        <v>WA</v>
      </c>
      <c r="J541" t="str">
        <f>VLOOKUP(B541,Product!A:B,2,FALSE)</f>
        <v>Product HCQDE</v>
      </c>
      <c r="K541" t="str">
        <f>VLOOKUP(VLOOKUP(B541,Product!A:D,4,FALSE),Category!A:B,2,FALSE)</f>
        <v>Grains/Cereals</v>
      </c>
      <c r="L541" s="24">
        <f>IFERROR(VLOOKUP(A541,'Sales Order'!A:D,4,FALSE),"")</f>
        <v>39132</v>
      </c>
      <c r="M541" s="24">
        <f>IFERROR(VLOOKUP(A541,'Sales Order'!A:F,6,FALSE),"")</f>
        <v>39153</v>
      </c>
      <c r="N541" t="str">
        <f>IFERROR(VLOOKUP(VLOOKUP(A541,'Sales Order'!A:G,7,FALSE),Shipper!A:B,2,FALSE),"Not Specified")</f>
        <v>Shipper ZHISN</v>
      </c>
      <c r="O541" t="str">
        <f>IFERROR(VLOOKUP(A541,'Sales Order'!A:I,9,FALSE),"Not Specified")</f>
        <v>Ship to 63-C</v>
      </c>
      <c r="P541" t="str">
        <f>IFERROR(VLOOKUP(A541,'Sales Order'!A:N,14,FALSE),"Not Specified")</f>
        <v>Germany</v>
      </c>
      <c r="Q541" t="str">
        <f>VLOOKUP(VLOOKUP(B541,Product!A:C,3,FALSE),Supplier!A:B,2,FALSE)</f>
        <v>Supplier SVIYA</v>
      </c>
      <c r="R541" t="str">
        <f>VLOOKUP(VLOOKUP(B541,Product!A:C,3,FALSE),Supplier!A:I,9,FALSE)</f>
        <v>Germany</v>
      </c>
      <c r="S541" t="str">
        <f>IFERROR(IF(VLOOKUP(A541,'Sales Order'!A:H,8,FALSE)&gt;100,"High Freight","Low Freight"),"Not Specified")</f>
        <v>High Freight</v>
      </c>
      <c r="T541">
        <f t="shared" si="17"/>
        <v>837.9</v>
      </c>
    </row>
    <row r="542" spans="1:20">
      <c r="A542" s="9">
        <v>10451</v>
      </c>
      <c r="B542" s="6">
        <v>65</v>
      </c>
      <c r="C542" s="6">
        <v>16.8</v>
      </c>
      <c r="D542" s="6">
        <v>28</v>
      </c>
      <c r="E542" s="18">
        <v>0.1</v>
      </c>
      <c r="F542" s="6" t="str">
        <f>IFERROR(VLOOKUP(VLOOKUP(A542,'Sales Order'!A:B,2,FALSE),Customer!A:C,3,FALSE),"Not Specified")</f>
        <v>Veronesi, Giorgio</v>
      </c>
      <c r="G542" s="6" t="str">
        <f t="shared" si="16"/>
        <v>Veronesi Giorgio</v>
      </c>
      <c r="H542" s="22" t="str">
        <f>IFERROR(VLOOKUP(VLOOKUP(A542,'Sales Order'!A:C,3,FALSE),Employee!A:E,5,FALSE)&amp;" "&amp;VLOOKUP(VLOOKUP(A542,'Sales Order'!A:C,3,FALSE),Employee!A:C,3,FALSE)&amp;" "&amp;VLOOKUP(VLOOKUP(A542,'Sales Order'!A:C,3,FALSE),Employee!A:B,2,FALSE),"Not Specified")</f>
        <v>Mrs. Yael Peled</v>
      </c>
      <c r="I542" t="str">
        <f>IFERROR(VLOOKUP(VLOOKUP(A542,'Sales Order'!A:C,3,FALSE),Employee!A:J,10,FALSE),"Not Specified")</f>
        <v>WA</v>
      </c>
      <c r="J542" t="str">
        <f>VLOOKUP(B542,Product!A:B,2,FALSE)</f>
        <v>Product XYWBZ</v>
      </c>
      <c r="K542" t="str">
        <f>VLOOKUP(VLOOKUP(B542,Product!A:D,4,FALSE),Category!A:B,2,FALSE)</f>
        <v>Condiments</v>
      </c>
      <c r="L542" s="24">
        <f>IFERROR(VLOOKUP(A542,'Sales Order'!A:D,4,FALSE),"")</f>
        <v>39132</v>
      </c>
      <c r="M542" s="24">
        <f>IFERROR(VLOOKUP(A542,'Sales Order'!A:F,6,FALSE),"")</f>
        <v>39153</v>
      </c>
      <c r="N542" t="str">
        <f>IFERROR(VLOOKUP(VLOOKUP(A542,'Sales Order'!A:G,7,FALSE),Shipper!A:B,2,FALSE),"Not Specified")</f>
        <v>Shipper ZHISN</v>
      </c>
      <c r="O542" t="str">
        <f>IFERROR(VLOOKUP(A542,'Sales Order'!A:I,9,FALSE),"Not Specified")</f>
        <v>Ship to 63-C</v>
      </c>
      <c r="P542" t="str">
        <f>IFERROR(VLOOKUP(A542,'Sales Order'!A:N,14,FALSE),"Not Specified")</f>
        <v>Germany</v>
      </c>
      <c r="Q542" t="str">
        <f>VLOOKUP(VLOOKUP(B542,Product!A:C,3,FALSE),Supplier!A:B,2,FALSE)</f>
        <v>Supplier VHQZD</v>
      </c>
      <c r="R542" t="str">
        <f>VLOOKUP(VLOOKUP(B542,Product!A:C,3,FALSE),Supplier!A:I,9,FALSE)</f>
        <v>USA</v>
      </c>
      <c r="S542" t="str">
        <f>IFERROR(IF(VLOOKUP(A542,'Sales Order'!A:H,8,FALSE)&gt;100,"High Freight","Low Freight"),"Not Specified")</f>
        <v>High Freight</v>
      </c>
      <c r="T542">
        <f t="shared" si="17"/>
        <v>423.36</v>
      </c>
    </row>
    <row r="543" spans="1:20">
      <c r="A543" s="9">
        <v>10451</v>
      </c>
      <c r="B543" s="6">
        <v>77</v>
      </c>
      <c r="C543" s="6">
        <v>10.4</v>
      </c>
      <c r="D543" s="6">
        <v>55</v>
      </c>
      <c r="E543" s="18">
        <v>0.1</v>
      </c>
      <c r="F543" s="6" t="str">
        <f>IFERROR(VLOOKUP(VLOOKUP(A543,'Sales Order'!A:B,2,FALSE),Customer!A:C,3,FALSE),"Not Specified")</f>
        <v>Veronesi, Giorgio</v>
      </c>
      <c r="G543" s="6" t="str">
        <f t="shared" si="16"/>
        <v>Veronesi Giorgio</v>
      </c>
      <c r="H543" s="22" t="str">
        <f>IFERROR(VLOOKUP(VLOOKUP(A543,'Sales Order'!A:C,3,FALSE),Employee!A:E,5,FALSE)&amp;" "&amp;VLOOKUP(VLOOKUP(A543,'Sales Order'!A:C,3,FALSE),Employee!A:C,3,FALSE)&amp;" "&amp;VLOOKUP(VLOOKUP(A543,'Sales Order'!A:C,3,FALSE),Employee!A:B,2,FALSE),"Not Specified")</f>
        <v>Mrs. Yael Peled</v>
      </c>
      <c r="I543" t="str">
        <f>IFERROR(VLOOKUP(VLOOKUP(A543,'Sales Order'!A:C,3,FALSE),Employee!A:J,10,FALSE),"Not Specified")</f>
        <v>WA</v>
      </c>
      <c r="J543" t="str">
        <f>VLOOKUP(B543,Product!A:B,2,FALSE)</f>
        <v>Product LUNZZ</v>
      </c>
      <c r="K543" t="str">
        <f>VLOOKUP(VLOOKUP(B543,Product!A:D,4,FALSE),Category!A:B,2,FALSE)</f>
        <v>Condiments</v>
      </c>
      <c r="L543" s="24">
        <f>IFERROR(VLOOKUP(A543,'Sales Order'!A:D,4,FALSE),"")</f>
        <v>39132</v>
      </c>
      <c r="M543" s="24">
        <f>IFERROR(VLOOKUP(A543,'Sales Order'!A:F,6,FALSE),"")</f>
        <v>39153</v>
      </c>
      <c r="N543" t="str">
        <f>IFERROR(VLOOKUP(VLOOKUP(A543,'Sales Order'!A:G,7,FALSE),Shipper!A:B,2,FALSE),"Not Specified")</f>
        <v>Shipper ZHISN</v>
      </c>
      <c r="O543" t="str">
        <f>IFERROR(VLOOKUP(A543,'Sales Order'!A:I,9,FALSE),"Not Specified")</f>
        <v>Ship to 63-C</v>
      </c>
      <c r="P543" t="str">
        <f>IFERROR(VLOOKUP(A543,'Sales Order'!A:N,14,FALSE),"Not Specified")</f>
        <v>Germany</v>
      </c>
      <c r="Q543" t="str">
        <f>VLOOKUP(VLOOKUP(B543,Product!A:C,3,FALSE),Supplier!A:B,2,FALSE)</f>
        <v>Supplier SVIYA</v>
      </c>
      <c r="R543" t="str">
        <f>VLOOKUP(VLOOKUP(B543,Product!A:C,3,FALSE),Supplier!A:I,9,FALSE)</f>
        <v>Germany</v>
      </c>
      <c r="S543" t="str">
        <f>IFERROR(IF(VLOOKUP(A543,'Sales Order'!A:H,8,FALSE)&gt;100,"High Freight","Low Freight"),"Not Specified")</f>
        <v>High Freight</v>
      </c>
      <c r="T543">
        <f t="shared" si="17"/>
        <v>514.80000000000007</v>
      </c>
    </row>
    <row r="544" spans="1:20">
      <c r="A544" s="9">
        <v>10452</v>
      </c>
      <c r="B544" s="6">
        <v>28</v>
      </c>
      <c r="C544" s="6">
        <v>36.4</v>
      </c>
      <c r="D544" s="6">
        <v>15</v>
      </c>
      <c r="E544" s="18">
        <v>0</v>
      </c>
      <c r="F544" s="6" t="str">
        <f>IFERROR(VLOOKUP(VLOOKUP(A544,'Sales Order'!A:B,2,FALSE),Customer!A:C,3,FALSE),"Not Specified")</f>
        <v>Navarro, Tomás</v>
      </c>
      <c r="G544" s="6" t="str">
        <f t="shared" si="16"/>
        <v>Navarro Tomás</v>
      </c>
      <c r="H544" s="22" t="str">
        <f>IFERROR(VLOOKUP(VLOOKUP(A544,'Sales Order'!A:C,3,FALSE),Employee!A:E,5,FALSE)&amp;" "&amp;VLOOKUP(VLOOKUP(A544,'Sales Order'!A:C,3,FALSE),Employee!A:C,3,FALSE)&amp;" "&amp;VLOOKUP(VLOOKUP(A544,'Sales Order'!A:C,3,FALSE),Employee!A:B,2,FALSE),"Not Specified")</f>
        <v>Ms. Maria Cameron</v>
      </c>
      <c r="I544" t="str">
        <f>IFERROR(VLOOKUP(VLOOKUP(A544,'Sales Order'!A:C,3,FALSE),Employee!A:J,10,FALSE),"Not Specified")</f>
        <v>WA</v>
      </c>
      <c r="J544" t="str">
        <f>VLOOKUP(B544,Product!A:B,2,FALSE)</f>
        <v>Product OFBNT</v>
      </c>
      <c r="K544" t="str">
        <f>VLOOKUP(VLOOKUP(B544,Product!A:D,4,FALSE),Category!A:B,2,FALSE)</f>
        <v>Produce</v>
      </c>
      <c r="L544" s="24">
        <f>IFERROR(VLOOKUP(A544,'Sales Order'!A:D,4,FALSE),"")</f>
        <v>39133</v>
      </c>
      <c r="M544" s="24">
        <f>IFERROR(VLOOKUP(A544,'Sales Order'!A:F,6,FALSE),"")</f>
        <v>39139</v>
      </c>
      <c r="N544" t="str">
        <f>IFERROR(VLOOKUP(VLOOKUP(A544,'Sales Order'!A:G,7,FALSE),Shipper!A:B,2,FALSE),"Not Specified")</f>
        <v>Shipper GVSUA</v>
      </c>
      <c r="O544" t="str">
        <f>IFERROR(VLOOKUP(A544,'Sales Order'!A:I,9,FALSE),"Not Specified")</f>
        <v>Ship to 71-B</v>
      </c>
      <c r="P544" t="str">
        <f>IFERROR(VLOOKUP(A544,'Sales Order'!A:N,14,FALSE),"Not Specified")</f>
        <v>USA</v>
      </c>
      <c r="Q544" t="str">
        <f>VLOOKUP(VLOOKUP(B544,Product!A:C,3,FALSE),Supplier!A:B,2,FALSE)</f>
        <v>Supplier SVIYA</v>
      </c>
      <c r="R544" t="str">
        <f>VLOOKUP(VLOOKUP(B544,Product!A:C,3,FALSE),Supplier!A:I,9,FALSE)</f>
        <v>Germany</v>
      </c>
      <c r="S544" t="str">
        <f>IFERROR(IF(VLOOKUP(A544,'Sales Order'!A:H,8,FALSE)&gt;100,"High Freight","Low Freight"),"Not Specified")</f>
        <v>High Freight</v>
      </c>
      <c r="T544">
        <f t="shared" si="17"/>
        <v>546</v>
      </c>
    </row>
    <row r="545" spans="1:20">
      <c r="A545" s="9">
        <v>10452</v>
      </c>
      <c r="B545" s="6">
        <v>44</v>
      </c>
      <c r="C545" s="6">
        <v>15.5</v>
      </c>
      <c r="D545" s="6">
        <v>100</v>
      </c>
      <c r="E545" s="18">
        <v>0.05</v>
      </c>
      <c r="F545" s="6" t="str">
        <f>IFERROR(VLOOKUP(VLOOKUP(A545,'Sales Order'!A:B,2,FALSE),Customer!A:C,3,FALSE),"Not Specified")</f>
        <v>Navarro, Tomás</v>
      </c>
      <c r="G545" s="6" t="str">
        <f t="shared" si="16"/>
        <v>Navarro Tomás</v>
      </c>
      <c r="H545" s="22" t="str">
        <f>IFERROR(VLOOKUP(VLOOKUP(A545,'Sales Order'!A:C,3,FALSE),Employee!A:E,5,FALSE)&amp;" "&amp;VLOOKUP(VLOOKUP(A545,'Sales Order'!A:C,3,FALSE),Employee!A:C,3,FALSE)&amp;" "&amp;VLOOKUP(VLOOKUP(A545,'Sales Order'!A:C,3,FALSE),Employee!A:B,2,FALSE),"Not Specified")</f>
        <v>Ms. Maria Cameron</v>
      </c>
      <c r="I545" t="str">
        <f>IFERROR(VLOOKUP(VLOOKUP(A545,'Sales Order'!A:C,3,FALSE),Employee!A:J,10,FALSE),"Not Specified")</f>
        <v>WA</v>
      </c>
      <c r="J545" t="str">
        <f>VLOOKUP(B545,Product!A:B,2,FALSE)</f>
        <v>Product VJIEO</v>
      </c>
      <c r="K545" t="str">
        <f>VLOOKUP(VLOOKUP(B545,Product!A:D,4,FALSE),Category!A:B,2,FALSE)</f>
        <v>Condiments</v>
      </c>
      <c r="L545" s="24">
        <f>IFERROR(VLOOKUP(A545,'Sales Order'!A:D,4,FALSE),"")</f>
        <v>39133</v>
      </c>
      <c r="M545" s="24">
        <f>IFERROR(VLOOKUP(A545,'Sales Order'!A:F,6,FALSE),"")</f>
        <v>39139</v>
      </c>
      <c r="N545" t="str">
        <f>IFERROR(VLOOKUP(VLOOKUP(A545,'Sales Order'!A:G,7,FALSE),Shipper!A:B,2,FALSE),"Not Specified")</f>
        <v>Shipper GVSUA</v>
      </c>
      <c r="O545" t="str">
        <f>IFERROR(VLOOKUP(A545,'Sales Order'!A:I,9,FALSE),"Not Specified")</f>
        <v>Ship to 71-B</v>
      </c>
      <c r="P545" t="str">
        <f>IFERROR(VLOOKUP(A545,'Sales Order'!A:N,14,FALSE),"Not Specified")</f>
        <v>USA</v>
      </c>
      <c r="Q545" t="str">
        <f>VLOOKUP(VLOOKUP(B545,Product!A:C,3,FALSE),Supplier!A:B,2,FALSE)</f>
        <v>Supplier CIYNM</v>
      </c>
      <c r="R545" t="str">
        <f>VLOOKUP(VLOOKUP(B545,Product!A:C,3,FALSE),Supplier!A:I,9,FALSE)</f>
        <v>Singapore</v>
      </c>
      <c r="S545" t="str">
        <f>IFERROR(IF(VLOOKUP(A545,'Sales Order'!A:H,8,FALSE)&gt;100,"High Freight","Low Freight"),"Not Specified")</f>
        <v>High Freight</v>
      </c>
      <c r="T545">
        <f t="shared" si="17"/>
        <v>1472.5</v>
      </c>
    </row>
    <row r="546" spans="1:20">
      <c r="A546" s="9">
        <v>10453</v>
      </c>
      <c r="B546" s="6">
        <v>48</v>
      </c>
      <c r="C546" s="6">
        <v>10.199999999999999</v>
      </c>
      <c r="D546" s="6">
        <v>15</v>
      </c>
      <c r="E546" s="18">
        <v>0.1</v>
      </c>
      <c r="F546" s="6" t="str">
        <f>IFERROR(VLOOKUP(VLOOKUP(A546,'Sales Order'!A:B,2,FALSE),Customer!A:C,3,FALSE),"Not Specified")</f>
        <v>Arndt, Torsten</v>
      </c>
      <c r="G546" s="6" t="str">
        <f t="shared" si="16"/>
        <v>Arndt Torsten</v>
      </c>
      <c r="H546" s="22" t="str">
        <f>IFERROR(VLOOKUP(VLOOKUP(A546,'Sales Order'!A:C,3,FALSE),Employee!A:E,5,FALSE)&amp;" "&amp;VLOOKUP(VLOOKUP(A546,'Sales Order'!A:C,3,FALSE),Employee!A:C,3,FALSE)&amp;" "&amp;VLOOKUP(VLOOKUP(A546,'Sales Order'!A:C,3,FALSE),Employee!A:B,2,FALSE),"Not Specified")</f>
        <v>Ms. Sara Davis</v>
      </c>
      <c r="I546" t="str">
        <f>IFERROR(VLOOKUP(VLOOKUP(A546,'Sales Order'!A:C,3,FALSE),Employee!A:J,10,FALSE),"Not Specified")</f>
        <v>WA</v>
      </c>
      <c r="J546" t="str">
        <f>VLOOKUP(B546,Product!A:B,2,FALSE)</f>
        <v>Product MYNXN</v>
      </c>
      <c r="K546" t="str">
        <f>VLOOKUP(VLOOKUP(B546,Product!A:D,4,FALSE),Category!A:B,2,FALSE)</f>
        <v>Confections</v>
      </c>
      <c r="L546" s="24">
        <f>IFERROR(VLOOKUP(A546,'Sales Order'!A:D,4,FALSE),"")</f>
        <v>39134</v>
      </c>
      <c r="M546" s="24">
        <f>IFERROR(VLOOKUP(A546,'Sales Order'!A:F,6,FALSE),"")</f>
        <v>39139</v>
      </c>
      <c r="N546" t="str">
        <f>IFERROR(VLOOKUP(VLOOKUP(A546,'Sales Order'!A:G,7,FALSE),Shipper!A:B,2,FALSE),"Not Specified")</f>
        <v>Shipper ETYNR</v>
      </c>
      <c r="O546" t="str">
        <f>IFERROR(VLOOKUP(A546,'Sales Order'!A:I,9,FALSE),"Not Specified")</f>
        <v>Ship to 4-C</v>
      </c>
      <c r="P546" t="str">
        <f>IFERROR(VLOOKUP(A546,'Sales Order'!A:N,14,FALSE),"Not Specified")</f>
        <v>UK</v>
      </c>
      <c r="Q546" t="str">
        <f>VLOOKUP(VLOOKUP(B546,Product!A:C,3,FALSE),Supplier!A:B,2,FALSE)</f>
        <v>Supplier FNUXM</v>
      </c>
      <c r="R546" t="str">
        <f>VLOOKUP(VLOOKUP(B546,Product!A:C,3,FALSE),Supplier!A:I,9,FALSE)</f>
        <v>Netherlands</v>
      </c>
      <c r="S546" t="str">
        <f>IFERROR(IF(VLOOKUP(A546,'Sales Order'!A:H,8,FALSE)&gt;100,"High Freight","Low Freight"),"Not Specified")</f>
        <v>Low Freight</v>
      </c>
      <c r="T546">
        <f t="shared" si="17"/>
        <v>137.70000000000002</v>
      </c>
    </row>
    <row r="547" spans="1:20">
      <c r="A547" s="9">
        <v>10453</v>
      </c>
      <c r="B547" s="6">
        <v>70</v>
      </c>
      <c r="C547" s="6">
        <v>12</v>
      </c>
      <c r="D547" s="6">
        <v>25</v>
      </c>
      <c r="E547" s="18">
        <v>0.1</v>
      </c>
      <c r="F547" s="6" t="str">
        <f>IFERROR(VLOOKUP(VLOOKUP(A547,'Sales Order'!A:B,2,FALSE),Customer!A:C,3,FALSE),"Not Specified")</f>
        <v>Arndt, Torsten</v>
      </c>
      <c r="G547" s="6" t="str">
        <f t="shared" si="16"/>
        <v>Arndt Torsten</v>
      </c>
      <c r="H547" s="22" t="str">
        <f>IFERROR(VLOOKUP(VLOOKUP(A547,'Sales Order'!A:C,3,FALSE),Employee!A:E,5,FALSE)&amp;" "&amp;VLOOKUP(VLOOKUP(A547,'Sales Order'!A:C,3,FALSE),Employee!A:C,3,FALSE)&amp;" "&amp;VLOOKUP(VLOOKUP(A547,'Sales Order'!A:C,3,FALSE),Employee!A:B,2,FALSE),"Not Specified")</f>
        <v>Ms. Sara Davis</v>
      </c>
      <c r="I547" t="str">
        <f>IFERROR(VLOOKUP(VLOOKUP(A547,'Sales Order'!A:C,3,FALSE),Employee!A:J,10,FALSE),"Not Specified")</f>
        <v>WA</v>
      </c>
      <c r="J547" t="str">
        <f>VLOOKUP(B547,Product!A:B,2,FALSE)</f>
        <v>Product TOONT</v>
      </c>
      <c r="K547" t="str">
        <f>VLOOKUP(VLOOKUP(B547,Product!A:D,4,FALSE),Category!A:B,2,FALSE)</f>
        <v>Beverages</v>
      </c>
      <c r="L547" s="24">
        <f>IFERROR(VLOOKUP(A547,'Sales Order'!A:D,4,FALSE),"")</f>
        <v>39134</v>
      </c>
      <c r="M547" s="24">
        <f>IFERROR(VLOOKUP(A547,'Sales Order'!A:F,6,FALSE),"")</f>
        <v>39139</v>
      </c>
      <c r="N547" t="str">
        <f>IFERROR(VLOOKUP(VLOOKUP(A547,'Sales Order'!A:G,7,FALSE),Shipper!A:B,2,FALSE),"Not Specified")</f>
        <v>Shipper ETYNR</v>
      </c>
      <c r="O547" t="str">
        <f>IFERROR(VLOOKUP(A547,'Sales Order'!A:I,9,FALSE),"Not Specified")</f>
        <v>Ship to 4-C</v>
      </c>
      <c r="P547" t="str">
        <f>IFERROR(VLOOKUP(A547,'Sales Order'!A:N,14,FALSE),"Not Specified")</f>
        <v>UK</v>
      </c>
      <c r="Q547" t="str">
        <f>VLOOKUP(VLOOKUP(B547,Product!A:C,3,FALSE),Supplier!A:B,2,FALSE)</f>
        <v>Supplier GQRCV</v>
      </c>
      <c r="R547" t="str">
        <f>VLOOKUP(VLOOKUP(B547,Product!A:C,3,FALSE),Supplier!A:I,9,FALSE)</f>
        <v>Australia</v>
      </c>
      <c r="S547" t="str">
        <f>IFERROR(IF(VLOOKUP(A547,'Sales Order'!A:H,8,FALSE)&gt;100,"High Freight","Low Freight"),"Not Specified")</f>
        <v>Low Freight</v>
      </c>
      <c r="T547">
        <f t="shared" si="17"/>
        <v>270</v>
      </c>
    </row>
    <row r="548" spans="1:20">
      <c r="A548" s="9">
        <v>10454</v>
      </c>
      <c r="B548" s="6">
        <v>16</v>
      </c>
      <c r="C548" s="6">
        <v>13.9</v>
      </c>
      <c r="D548" s="6">
        <v>20</v>
      </c>
      <c r="E548" s="18">
        <v>0.2</v>
      </c>
      <c r="F548" s="6" t="str">
        <f>IFERROR(VLOOKUP(VLOOKUP(A548,'Sales Order'!A:B,2,FALSE),Customer!A:C,3,FALSE),"Not Specified")</f>
        <v>Litton, Tim</v>
      </c>
      <c r="G548" s="6" t="str">
        <f t="shared" si="16"/>
        <v>Litton Tim</v>
      </c>
      <c r="H548" s="22" t="str">
        <f>IFERROR(VLOOKUP(VLOOKUP(A548,'Sales Order'!A:C,3,FALSE),Employee!A:E,5,FALSE)&amp;" "&amp;VLOOKUP(VLOOKUP(A548,'Sales Order'!A:C,3,FALSE),Employee!A:C,3,FALSE)&amp;" "&amp;VLOOKUP(VLOOKUP(A548,'Sales Order'!A:C,3,FALSE),Employee!A:B,2,FALSE),"Not Specified")</f>
        <v>Mrs. Yael Peled</v>
      </c>
      <c r="I548" t="str">
        <f>IFERROR(VLOOKUP(VLOOKUP(A548,'Sales Order'!A:C,3,FALSE),Employee!A:J,10,FALSE),"Not Specified")</f>
        <v>WA</v>
      </c>
      <c r="J548" t="str">
        <f>VLOOKUP(B548,Product!A:B,2,FALSE)</f>
        <v>Product PAFRH</v>
      </c>
      <c r="K548" t="str">
        <f>VLOOKUP(VLOOKUP(B548,Product!A:D,4,FALSE),Category!A:B,2,FALSE)</f>
        <v>Confections</v>
      </c>
      <c r="L548" s="24">
        <f>IFERROR(VLOOKUP(A548,'Sales Order'!A:D,4,FALSE),"")</f>
        <v>39134</v>
      </c>
      <c r="M548" s="24">
        <f>IFERROR(VLOOKUP(A548,'Sales Order'!A:F,6,FALSE),"")</f>
        <v>39138</v>
      </c>
      <c r="N548" t="str">
        <f>IFERROR(VLOOKUP(VLOOKUP(A548,'Sales Order'!A:G,7,FALSE),Shipper!A:B,2,FALSE),"Not Specified")</f>
        <v>Shipper ZHISN</v>
      </c>
      <c r="O548" t="str">
        <f>IFERROR(VLOOKUP(A548,'Sales Order'!A:I,9,FALSE),"Not Specified")</f>
        <v>Ship to 41-C</v>
      </c>
      <c r="P548" t="str">
        <f>IFERROR(VLOOKUP(A548,'Sales Order'!A:N,14,FALSE),"Not Specified")</f>
        <v>France</v>
      </c>
      <c r="Q548" t="str">
        <f>VLOOKUP(VLOOKUP(B548,Product!A:C,3,FALSE),Supplier!A:B,2,FALSE)</f>
        <v>Supplier GQRCV</v>
      </c>
      <c r="R548" t="str">
        <f>VLOOKUP(VLOOKUP(B548,Product!A:C,3,FALSE),Supplier!A:I,9,FALSE)</f>
        <v>Australia</v>
      </c>
      <c r="S548" t="str">
        <f>IFERROR(IF(VLOOKUP(A548,'Sales Order'!A:H,8,FALSE)&gt;100,"High Freight","Low Freight"),"Not Specified")</f>
        <v>Low Freight</v>
      </c>
      <c r="T548">
        <f t="shared" si="17"/>
        <v>222.4</v>
      </c>
    </row>
    <row r="549" spans="1:20">
      <c r="A549" s="9">
        <v>10454</v>
      </c>
      <c r="B549" s="6">
        <v>33</v>
      </c>
      <c r="C549" s="6">
        <v>2</v>
      </c>
      <c r="D549" s="6">
        <v>20</v>
      </c>
      <c r="E549" s="18">
        <v>0.2</v>
      </c>
      <c r="F549" s="6" t="str">
        <f>IFERROR(VLOOKUP(VLOOKUP(A549,'Sales Order'!A:B,2,FALSE),Customer!A:C,3,FALSE),"Not Specified")</f>
        <v>Litton, Tim</v>
      </c>
      <c r="G549" s="6" t="str">
        <f t="shared" si="16"/>
        <v>Litton Tim</v>
      </c>
      <c r="H549" s="22" t="str">
        <f>IFERROR(VLOOKUP(VLOOKUP(A549,'Sales Order'!A:C,3,FALSE),Employee!A:E,5,FALSE)&amp;" "&amp;VLOOKUP(VLOOKUP(A549,'Sales Order'!A:C,3,FALSE),Employee!A:C,3,FALSE)&amp;" "&amp;VLOOKUP(VLOOKUP(A549,'Sales Order'!A:C,3,FALSE),Employee!A:B,2,FALSE),"Not Specified")</f>
        <v>Mrs. Yael Peled</v>
      </c>
      <c r="I549" t="str">
        <f>IFERROR(VLOOKUP(VLOOKUP(A549,'Sales Order'!A:C,3,FALSE),Employee!A:J,10,FALSE),"Not Specified")</f>
        <v>WA</v>
      </c>
      <c r="J549" t="str">
        <f>VLOOKUP(B549,Product!A:B,2,FALSE)</f>
        <v>Product ASTMN</v>
      </c>
      <c r="K549" t="str">
        <f>VLOOKUP(VLOOKUP(B549,Product!A:D,4,FALSE),Category!A:B,2,FALSE)</f>
        <v>Dairy Product</v>
      </c>
      <c r="L549" s="24">
        <f>IFERROR(VLOOKUP(A549,'Sales Order'!A:D,4,FALSE),"")</f>
        <v>39134</v>
      </c>
      <c r="M549" s="24">
        <f>IFERROR(VLOOKUP(A549,'Sales Order'!A:F,6,FALSE),"")</f>
        <v>39138</v>
      </c>
      <c r="N549" t="str">
        <f>IFERROR(VLOOKUP(VLOOKUP(A549,'Sales Order'!A:G,7,FALSE),Shipper!A:B,2,FALSE),"Not Specified")</f>
        <v>Shipper ZHISN</v>
      </c>
      <c r="O549" t="str">
        <f>IFERROR(VLOOKUP(A549,'Sales Order'!A:I,9,FALSE),"Not Specified")</f>
        <v>Ship to 41-C</v>
      </c>
      <c r="P549" t="str">
        <f>IFERROR(VLOOKUP(A549,'Sales Order'!A:N,14,FALSE),"Not Specified")</f>
        <v>France</v>
      </c>
      <c r="Q549" t="str">
        <f>VLOOKUP(VLOOKUP(B549,Product!A:C,3,FALSE),Supplier!A:B,2,FALSE)</f>
        <v>Supplier NZLIF</v>
      </c>
      <c r="R549" t="str">
        <f>VLOOKUP(VLOOKUP(B549,Product!A:C,3,FALSE),Supplier!A:I,9,FALSE)</f>
        <v>Norway</v>
      </c>
      <c r="S549" t="str">
        <f>IFERROR(IF(VLOOKUP(A549,'Sales Order'!A:H,8,FALSE)&gt;100,"High Freight","Low Freight"),"Not Specified")</f>
        <v>Low Freight</v>
      </c>
      <c r="T549">
        <f t="shared" si="17"/>
        <v>32</v>
      </c>
    </row>
    <row r="550" spans="1:20">
      <c r="A550" s="9">
        <v>10454</v>
      </c>
      <c r="B550" s="6">
        <v>46</v>
      </c>
      <c r="C550" s="6">
        <v>9.6</v>
      </c>
      <c r="D550" s="6">
        <v>10</v>
      </c>
      <c r="E550" s="18">
        <v>0.2</v>
      </c>
      <c r="F550" s="6" t="str">
        <f>IFERROR(VLOOKUP(VLOOKUP(A550,'Sales Order'!A:B,2,FALSE),Customer!A:C,3,FALSE),"Not Specified")</f>
        <v>Litton, Tim</v>
      </c>
      <c r="G550" s="6" t="str">
        <f t="shared" si="16"/>
        <v>Litton Tim</v>
      </c>
      <c r="H550" s="22" t="str">
        <f>IFERROR(VLOOKUP(VLOOKUP(A550,'Sales Order'!A:C,3,FALSE),Employee!A:E,5,FALSE)&amp;" "&amp;VLOOKUP(VLOOKUP(A550,'Sales Order'!A:C,3,FALSE),Employee!A:C,3,FALSE)&amp;" "&amp;VLOOKUP(VLOOKUP(A550,'Sales Order'!A:C,3,FALSE),Employee!A:B,2,FALSE),"Not Specified")</f>
        <v>Mrs. Yael Peled</v>
      </c>
      <c r="I550" t="str">
        <f>IFERROR(VLOOKUP(VLOOKUP(A550,'Sales Order'!A:C,3,FALSE),Employee!A:J,10,FALSE),"Not Specified")</f>
        <v>WA</v>
      </c>
      <c r="J550" t="str">
        <f>VLOOKUP(B550,Product!A:B,2,FALSE)</f>
        <v>Product CBRRL</v>
      </c>
      <c r="K550" t="str">
        <f>VLOOKUP(VLOOKUP(B550,Product!A:D,4,FALSE),Category!A:B,2,FALSE)</f>
        <v>Seafood</v>
      </c>
      <c r="L550" s="24">
        <f>IFERROR(VLOOKUP(A550,'Sales Order'!A:D,4,FALSE),"")</f>
        <v>39134</v>
      </c>
      <c r="M550" s="24">
        <f>IFERROR(VLOOKUP(A550,'Sales Order'!A:F,6,FALSE),"")</f>
        <v>39138</v>
      </c>
      <c r="N550" t="str">
        <f>IFERROR(VLOOKUP(VLOOKUP(A550,'Sales Order'!A:G,7,FALSE),Shipper!A:B,2,FALSE),"Not Specified")</f>
        <v>Shipper ZHISN</v>
      </c>
      <c r="O550" t="str">
        <f>IFERROR(VLOOKUP(A550,'Sales Order'!A:I,9,FALSE),"Not Specified")</f>
        <v>Ship to 41-C</v>
      </c>
      <c r="P550" t="str">
        <f>IFERROR(VLOOKUP(A550,'Sales Order'!A:N,14,FALSE),"Not Specified")</f>
        <v>France</v>
      </c>
      <c r="Q550" t="str">
        <f>VLOOKUP(VLOOKUP(B550,Product!A:C,3,FALSE),Supplier!A:B,2,FALSE)</f>
        <v>Supplier XOXZA</v>
      </c>
      <c r="R550" t="str">
        <f>VLOOKUP(VLOOKUP(B550,Product!A:C,3,FALSE),Supplier!A:I,9,FALSE)</f>
        <v>Denmark</v>
      </c>
      <c r="S550" t="str">
        <f>IFERROR(IF(VLOOKUP(A550,'Sales Order'!A:H,8,FALSE)&gt;100,"High Freight","Low Freight"),"Not Specified")</f>
        <v>Low Freight</v>
      </c>
      <c r="T550">
        <f t="shared" si="17"/>
        <v>76.800000000000011</v>
      </c>
    </row>
    <row r="551" spans="1:20">
      <c r="A551" s="9">
        <v>10455</v>
      </c>
      <c r="B551" s="6">
        <v>39</v>
      </c>
      <c r="C551" s="6">
        <v>14.4</v>
      </c>
      <c r="D551" s="6">
        <v>20</v>
      </c>
      <c r="E551" s="18">
        <v>0</v>
      </c>
      <c r="F551" s="6" t="str">
        <f>IFERROR(VLOOKUP(VLOOKUP(A551,'Sales Order'!A:B,2,FALSE),Customer!A:C,3,FALSE),"Not Specified")</f>
        <v>Ludwig, Michael</v>
      </c>
      <c r="G551" s="6" t="str">
        <f t="shared" si="16"/>
        <v>Ludwig Michael</v>
      </c>
      <c r="H551" s="22" t="str">
        <f>IFERROR(VLOOKUP(VLOOKUP(A551,'Sales Order'!A:C,3,FALSE),Employee!A:E,5,FALSE)&amp;" "&amp;VLOOKUP(VLOOKUP(A551,'Sales Order'!A:C,3,FALSE),Employee!A:C,3,FALSE)&amp;" "&amp;VLOOKUP(VLOOKUP(A551,'Sales Order'!A:C,3,FALSE),Employee!A:B,2,FALSE),"Not Specified")</f>
        <v>Ms. Maria Cameron</v>
      </c>
      <c r="I551" t="str">
        <f>IFERROR(VLOOKUP(VLOOKUP(A551,'Sales Order'!A:C,3,FALSE),Employee!A:J,10,FALSE),"Not Specified")</f>
        <v>WA</v>
      </c>
      <c r="J551" t="str">
        <f>VLOOKUP(B551,Product!A:B,2,FALSE)</f>
        <v>Product LSOFL</v>
      </c>
      <c r="K551" t="str">
        <f>VLOOKUP(VLOOKUP(B551,Product!A:D,4,FALSE),Category!A:B,2,FALSE)</f>
        <v>Beverages</v>
      </c>
      <c r="L551" s="24">
        <f>IFERROR(VLOOKUP(A551,'Sales Order'!A:D,4,FALSE),"")</f>
        <v>39137</v>
      </c>
      <c r="M551" s="24">
        <f>IFERROR(VLOOKUP(A551,'Sales Order'!A:F,6,FALSE),"")</f>
        <v>39144</v>
      </c>
      <c r="N551" t="str">
        <f>IFERROR(VLOOKUP(VLOOKUP(A551,'Sales Order'!A:G,7,FALSE),Shipper!A:B,2,FALSE),"Not Specified")</f>
        <v>Shipper ETYNR</v>
      </c>
      <c r="O551" t="str">
        <f>IFERROR(VLOOKUP(A551,'Sales Order'!A:I,9,FALSE),"Not Specified")</f>
        <v>Ship to 87-B</v>
      </c>
      <c r="P551" t="str">
        <f>IFERROR(VLOOKUP(A551,'Sales Order'!A:N,14,FALSE),"Not Specified")</f>
        <v>Finland</v>
      </c>
      <c r="Q551" t="str">
        <f>VLOOKUP(VLOOKUP(B551,Product!A:C,3,FALSE),Supplier!A:B,2,FALSE)</f>
        <v>Supplier LVJUA</v>
      </c>
      <c r="R551" t="str">
        <f>VLOOKUP(VLOOKUP(B551,Product!A:C,3,FALSE),Supplier!A:I,9,FALSE)</f>
        <v>France</v>
      </c>
      <c r="S551" t="str">
        <f>IFERROR(IF(VLOOKUP(A551,'Sales Order'!A:H,8,FALSE)&gt;100,"High Freight","Low Freight"),"Not Specified")</f>
        <v>High Freight</v>
      </c>
      <c r="T551">
        <f t="shared" si="17"/>
        <v>288</v>
      </c>
    </row>
    <row r="552" spans="1:20">
      <c r="A552" s="9">
        <v>10455</v>
      </c>
      <c r="B552" s="6">
        <v>53</v>
      </c>
      <c r="C552" s="6">
        <v>26.2</v>
      </c>
      <c r="D552" s="6">
        <v>50</v>
      </c>
      <c r="E552" s="18">
        <v>0</v>
      </c>
      <c r="F552" s="6" t="str">
        <f>IFERROR(VLOOKUP(VLOOKUP(A552,'Sales Order'!A:B,2,FALSE),Customer!A:C,3,FALSE),"Not Specified")</f>
        <v>Ludwig, Michael</v>
      </c>
      <c r="G552" s="6" t="str">
        <f t="shared" si="16"/>
        <v>Ludwig Michael</v>
      </c>
      <c r="H552" s="22" t="str">
        <f>IFERROR(VLOOKUP(VLOOKUP(A552,'Sales Order'!A:C,3,FALSE),Employee!A:E,5,FALSE)&amp;" "&amp;VLOOKUP(VLOOKUP(A552,'Sales Order'!A:C,3,FALSE),Employee!A:C,3,FALSE)&amp;" "&amp;VLOOKUP(VLOOKUP(A552,'Sales Order'!A:C,3,FALSE),Employee!A:B,2,FALSE),"Not Specified")</f>
        <v>Ms. Maria Cameron</v>
      </c>
      <c r="I552" t="str">
        <f>IFERROR(VLOOKUP(VLOOKUP(A552,'Sales Order'!A:C,3,FALSE),Employee!A:J,10,FALSE),"Not Specified")</f>
        <v>WA</v>
      </c>
      <c r="J552" t="str">
        <f>VLOOKUP(B552,Product!A:B,2,FALSE)</f>
        <v>Product BKGEA</v>
      </c>
      <c r="K552" t="str">
        <f>VLOOKUP(VLOOKUP(B552,Product!A:D,4,FALSE),Category!A:B,2,FALSE)</f>
        <v>Meat/Poultry</v>
      </c>
      <c r="L552" s="24">
        <f>IFERROR(VLOOKUP(A552,'Sales Order'!A:D,4,FALSE),"")</f>
        <v>39137</v>
      </c>
      <c r="M552" s="24">
        <f>IFERROR(VLOOKUP(A552,'Sales Order'!A:F,6,FALSE),"")</f>
        <v>39144</v>
      </c>
      <c r="N552" t="str">
        <f>IFERROR(VLOOKUP(VLOOKUP(A552,'Sales Order'!A:G,7,FALSE),Shipper!A:B,2,FALSE),"Not Specified")</f>
        <v>Shipper ETYNR</v>
      </c>
      <c r="O552" t="str">
        <f>IFERROR(VLOOKUP(A552,'Sales Order'!A:I,9,FALSE),"Not Specified")</f>
        <v>Ship to 87-B</v>
      </c>
      <c r="P552" t="str">
        <f>IFERROR(VLOOKUP(A552,'Sales Order'!A:N,14,FALSE),"Not Specified")</f>
        <v>Finland</v>
      </c>
      <c r="Q552" t="str">
        <f>VLOOKUP(VLOOKUP(B552,Product!A:C,3,FALSE),Supplier!A:B,2,FALSE)</f>
        <v>Supplier JNNES</v>
      </c>
      <c r="R552" t="str">
        <f>VLOOKUP(VLOOKUP(B552,Product!A:C,3,FALSE),Supplier!A:I,9,FALSE)</f>
        <v>Australia</v>
      </c>
      <c r="S552" t="str">
        <f>IFERROR(IF(VLOOKUP(A552,'Sales Order'!A:H,8,FALSE)&gt;100,"High Freight","Low Freight"),"Not Specified")</f>
        <v>High Freight</v>
      </c>
      <c r="T552">
        <f t="shared" si="17"/>
        <v>1310</v>
      </c>
    </row>
    <row r="553" spans="1:20">
      <c r="A553" s="9">
        <v>10455</v>
      </c>
      <c r="B553" s="6">
        <v>61</v>
      </c>
      <c r="C553" s="6">
        <v>22.8</v>
      </c>
      <c r="D553" s="6">
        <v>25</v>
      </c>
      <c r="E553" s="18">
        <v>0</v>
      </c>
      <c r="F553" s="6" t="str">
        <f>IFERROR(VLOOKUP(VLOOKUP(A553,'Sales Order'!A:B,2,FALSE),Customer!A:C,3,FALSE),"Not Specified")</f>
        <v>Ludwig, Michael</v>
      </c>
      <c r="G553" s="6" t="str">
        <f t="shared" si="16"/>
        <v>Ludwig Michael</v>
      </c>
      <c r="H553" s="22" t="str">
        <f>IFERROR(VLOOKUP(VLOOKUP(A553,'Sales Order'!A:C,3,FALSE),Employee!A:E,5,FALSE)&amp;" "&amp;VLOOKUP(VLOOKUP(A553,'Sales Order'!A:C,3,FALSE),Employee!A:C,3,FALSE)&amp;" "&amp;VLOOKUP(VLOOKUP(A553,'Sales Order'!A:C,3,FALSE),Employee!A:B,2,FALSE),"Not Specified")</f>
        <v>Ms. Maria Cameron</v>
      </c>
      <c r="I553" t="str">
        <f>IFERROR(VLOOKUP(VLOOKUP(A553,'Sales Order'!A:C,3,FALSE),Employee!A:J,10,FALSE),"Not Specified")</f>
        <v>WA</v>
      </c>
      <c r="J553" t="str">
        <f>VLOOKUP(B553,Product!A:B,2,FALSE)</f>
        <v>Product XYZPE</v>
      </c>
      <c r="K553" t="str">
        <f>VLOOKUP(VLOOKUP(B553,Product!A:D,4,FALSE),Category!A:B,2,FALSE)</f>
        <v>Condiments</v>
      </c>
      <c r="L553" s="24">
        <f>IFERROR(VLOOKUP(A553,'Sales Order'!A:D,4,FALSE),"")</f>
        <v>39137</v>
      </c>
      <c r="M553" s="24">
        <f>IFERROR(VLOOKUP(A553,'Sales Order'!A:F,6,FALSE),"")</f>
        <v>39144</v>
      </c>
      <c r="N553" t="str">
        <f>IFERROR(VLOOKUP(VLOOKUP(A553,'Sales Order'!A:G,7,FALSE),Shipper!A:B,2,FALSE),"Not Specified")</f>
        <v>Shipper ETYNR</v>
      </c>
      <c r="O553" t="str">
        <f>IFERROR(VLOOKUP(A553,'Sales Order'!A:I,9,FALSE),"Not Specified")</f>
        <v>Ship to 87-B</v>
      </c>
      <c r="P553" t="str">
        <f>IFERROR(VLOOKUP(A553,'Sales Order'!A:N,14,FALSE),"Not Specified")</f>
        <v>Finland</v>
      </c>
      <c r="Q553" t="str">
        <f>VLOOKUP(VLOOKUP(B553,Product!A:C,3,FALSE),Supplier!A:B,2,FALSE)</f>
        <v>Supplier OGLRK</v>
      </c>
      <c r="R553" t="str">
        <f>VLOOKUP(VLOOKUP(B553,Product!A:C,3,FALSE),Supplier!A:I,9,FALSE)</f>
        <v>Canada</v>
      </c>
      <c r="S553" t="str">
        <f>IFERROR(IF(VLOOKUP(A553,'Sales Order'!A:H,8,FALSE)&gt;100,"High Freight","Low Freight"),"Not Specified")</f>
        <v>High Freight</v>
      </c>
      <c r="T553">
        <f t="shared" si="17"/>
        <v>570</v>
      </c>
    </row>
    <row r="554" spans="1:20">
      <c r="A554" s="9">
        <v>10455</v>
      </c>
      <c r="B554" s="6">
        <v>71</v>
      </c>
      <c r="C554" s="6">
        <v>17.2</v>
      </c>
      <c r="D554" s="6">
        <v>30</v>
      </c>
      <c r="E554" s="18">
        <v>0</v>
      </c>
      <c r="F554" s="6" t="str">
        <f>IFERROR(VLOOKUP(VLOOKUP(A554,'Sales Order'!A:B,2,FALSE),Customer!A:C,3,FALSE),"Not Specified")</f>
        <v>Ludwig, Michael</v>
      </c>
      <c r="G554" s="6" t="str">
        <f t="shared" si="16"/>
        <v>Ludwig Michael</v>
      </c>
      <c r="H554" s="22" t="str">
        <f>IFERROR(VLOOKUP(VLOOKUP(A554,'Sales Order'!A:C,3,FALSE),Employee!A:E,5,FALSE)&amp;" "&amp;VLOOKUP(VLOOKUP(A554,'Sales Order'!A:C,3,FALSE),Employee!A:C,3,FALSE)&amp;" "&amp;VLOOKUP(VLOOKUP(A554,'Sales Order'!A:C,3,FALSE),Employee!A:B,2,FALSE),"Not Specified")</f>
        <v>Ms. Maria Cameron</v>
      </c>
      <c r="I554" t="str">
        <f>IFERROR(VLOOKUP(VLOOKUP(A554,'Sales Order'!A:C,3,FALSE),Employee!A:J,10,FALSE),"Not Specified")</f>
        <v>WA</v>
      </c>
      <c r="J554" t="str">
        <f>VLOOKUP(B554,Product!A:B,2,FALSE)</f>
        <v>Product MYMOI</v>
      </c>
      <c r="K554" t="str">
        <f>VLOOKUP(VLOOKUP(B554,Product!A:D,4,FALSE),Category!A:B,2,FALSE)</f>
        <v>Dairy Product</v>
      </c>
      <c r="L554" s="24">
        <f>IFERROR(VLOOKUP(A554,'Sales Order'!A:D,4,FALSE),"")</f>
        <v>39137</v>
      </c>
      <c r="M554" s="24">
        <f>IFERROR(VLOOKUP(A554,'Sales Order'!A:F,6,FALSE),"")</f>
        <v>39144</v>
      </c>
      <c r="N554" t="str">
        <f>IFERROR(VLOOKUP(VLOOKUP(A554,'Sales Order'!A:G,7,FALSE),Shipper!A:B,2,FALSE),"Not Specified")</f>
        <v>Shipper ETYNR</v>
      </c>
      <c r="O554" t="str">
        <f>IFERROR(VLOOKUP(A554,'Sales Order'!A:I,9,FALSE),"Not Specified")</f>
        <v>Ship to 87-B</v>
      </c>
      <c r="P554" t="str">
        <f>IFERROR(VLOOKUP(A554,'Sales Order'!A:N,14,FALSE),"Not Specified")</f>
        <v>Finland</v>
      </c>
      <c r="Q554" t="str">
        <f>VLOOKUP(VLOOKUP(B554,Product!A:C,3,FALSE),Supplier!A:B,2,FALSE)</f>
        <v>Supplier NZLIF</v>
      </c>
      <c r="R554" t="str">
        <f>VLOOKUP(VLOOKUP(B554,Product!A:C,3,FALSE),Supplier!A:I,9,FALSE)</f>
        <v>Norway</v>
      </c>
      <c r="S554" t="str">
        <f>IFERROR(IF(VLOOKUP(A554,'Sales Order'!A:H,8,FALSE)&gt;100,"High Freight","Low Freight"),"Not Specified")</f>
        <v>High Freight</v>
      </c>
      <c r="T554">
        <f t="shared" si="17"/>
        <v>516</v>
      </c>
    </row>
    <row r="555" spans="1:20">
      <c r="A555" s="9">
        <v>10456</v>
      </c>
      <c r="B555" s="6">
        <v>21</v>
      </c>
      <c r="C555" s="6">
        <v>8</v>
      </c>
      <c r="D555" s="6">
        <v>40</v>
      </c>
      <c r="E555" s="18">
        <v>0.15</v>
      </c>
      <c r="F555" s="6" t="str">
        <f>IFERROR(VLOOKUP(VLOOKUP(A555,'Sales Order'!A:B,2,FALSE),Customer!A:C,3,FALSE),"Not Specified")</f>
        <v>Song, Lolan</v>
      </c>
      <c r="G555" s="6" t="str">
        <f t="shared" si="16"/>
        <v>Song Lolan</v>
      </c>
      <c r="H555" s="22" t="str">
        <f>IFERROR(VLOOKUP(VLOOKUP(A555,'Sales Order'!A:C,3,FALSE),Employee!A:E,5,FALSE)&amp;" "&amp;VLOOKUP(VLOOKUP(A555,'Sales Order'!A:C,3,FALSE),Employee!A:C,3,FALSE)&amp;" "&amp;VLOOKUP(VLOOKUP(A555,'Sales Order'!A:C,3,FALSE),Employee!A:B,2,FALSE),"Not Specified")</f>
        <v>Ms. Maria Cameron</v>
      </c>
      <c r="I555" t="str">
        <f>IFERROR(VLOOKUP(VLOOKUP(A555,'Sales Order'!A:C,3,FALSE),Employee!A:J,10,FALSE),"Not Specified")</f>
        <v>WA</v>
      </c>
      <c r="J555" t="str">
        <f>VLOOKUP(B555,Product!A:B,2,FALSE)</f>
        <v>Product VJZZH</v>
      </c>
      <c r="K555" t="str">
        <f>VLOOKUP(VLOOKUP(B555,Product!A:D,4,FALSE),Category!A:B,2,FALSE)</f>
        <v>Confections</v>
      </c>
      <c r="L555" s="24">
        <f>IFERROR(VLOOKUP(A555,'Sales Order'!A:D,4,FALSE),"")</f>
        <v>39138</v>
      </c>
      <c r="M555" s="24">
        <f>IFERROR(VLOOKUP(A555,'Sales Order'!A:F,6,FALSE),"")</f>
        <v>39141</v>
      </c>
      <c r="N555" t="str">
        <f>IFERROR(VLOOKUP(VLOOKUP(A555,'Sales Order'!A:G,7,FALSE),Shipper!A:B,2,FALSE),"Not Specified")</f>
        <v>Shipper ETYNR</v>
      </c>
      <c r="O555" t="str">
        <f>IFERROR(VLOOKUP(A555,'Sales Order'!A:I,9,FALSE),"Not Specified")</f>
        <v>Destination DKMQA</v>
      </c>
      <c r="P555" t="str">
        <f>IFERROR(VLOOKUP(A555,'Sales Order'!A:N,14,FALSE),"Not Specified")</f>
        <v>Germany</v>
      </c>
      <c r="Q555" t="str">
        <f>VLOOKUP(VLOOKUP(B555,Product!A:C,3,FALSE),Supplier!A:B,2,FALSE)</f>
        <v>Supplier BWGYE</v>
      </c>
      <c r="R555" t="str">
        <f>VLOOKUP(VLOOKUP(B555,Product!A:C,3,FALSE),Supplier!A:I,9,FALSE)</f>
        <v>UK</v>
      </c>
      <c r="S555" t="str">
        <f>IFERROR(IF(VLOOKUP(A555,'Sales Order'!A:H,8,FALSE)&gt;100,"High Freight","Low Freight"),"Not Specified")</f>
        <v>Low Freight</v>
      </c>
      <c r="T555">
        <f t="shared" si="17"/>
        <v>272</v>
      </c>
    </row>
    <row r="556" spans="1:20">
      <c r="A556" s="9">
        <v>10456</v>
      </c>
      <c r="B556" s="6">
        <v>49</v>
      </c>
      <c r="C556" s="6">
        <v>16</v>
      </c>
      <c r="D556" s="6">
        <v>21</v>
      </c>
      <c r="E556" s="18">
        <v>0.15</v>
      </c>
      <c r="F556" s="6" t="str">
        <f>IFERROR(VLOOKUP(VLOOKUP(A556,'Sales Order'!A:B,2,FALSE),Customer!A:C,3,FALSE),"Not Specified")</f>
        <v>Song, Lolan</v>
      </c>
      <c r="G556" s="6" t="str">
        <f t="shared" si="16"/>
        <v>Song Lolan</v>
      </c>
      <c r="H556" s="22" t="str">
        <f>IFERROR(VLOOKUP(VLOOKUP(A556,'Sales Order'!A:C,3,FALSE),Employee!A:E,5,FALSE)&amp;" "&amp;VLOOKUP(VLOOKUP(A556,'Sales Order'!A:C,3,FALSE),Employee!A:C,3,FALSE)&amp;" "&amp;VLOOKUP(VLOOKUP(A556,'Sales Order'!A:C,3,FALSE),Employee!A:B,2,FALSE),"Not Specified")</f>
        <v>Ms. Maria Cameron</v>
      </c>
      <c r="I556" t="str">
        <f>IFERROR(VLOOKUP(VLOOKUP(A556,'Sales Order'!A:C,3,FALSE),Employee!A:J,10,FALSE),"Not Specified")</f>
        <v>WA</v>
      </c>
      <c r="J556" t="str">
        <f>VLOOKUP(B556,Product!A:B,2,FALSE)</f>
        <v>Product FPYPN</v>
      </c>
      <c r="K556" t="str">
        <f>VLOOKUP(VLOOKUP(B556,Product!A:D,4,FALSE),Category!A:B,2,FALSE)</f>
        <v>Confections</v>
      </c>
      <c r="L556" s="24">
        <f>IFERROR(VLOOKUP(A556,'Sales Order'!A:D,4,FALSE),"")</f>
        <v>39138</v>
      </c>
      <c r="M556" s="24">
        <f>IFERROR(VLOOKUP(A556,'Sales Order'!A:F,6,FALSE),"")</f>
        <v>39141</v>
      </c>
      <c r="N556" t="str">
        <f>IFERROR(VLOOKUP(VLOOKUP(A556,'Sales Order'!A:G,7,FALSE),Shipper!A:B,2,FALSE),"Not Specified")</f>
        <v>Shipper ETYNR</v>
      </c>
      <c r="O556" t="str">
        <f>IFERROR(VLOOKUP(A556,'Sales Order'!A:I,9,FALSE),"Not Specified")</f>
        <v>Destination DKMQA</v>
      </c>
      <c r="P556" t="str">
        <f>IFERROR(VLOOKUP(A556,'Sales Order'!A:N,14,FALSE),"Not Specified")</f>
        <v>Germany</v>
      </c>
      <c r="Q556" t="str">
        <f>VLOOKUP(VLOOKUP(B556,Product!A:C,3,FALSE),Supplier!A:B,2,FALSE)</f>
        <v>Supplier ELCRN</v>
      </c>
      <c r="R556" t="str">
        <f>VLOOKUP(VLOOKUP(B556,Product!A:C,3,FALSE),Supplier!A:I,9,FALSE)</f>
        <v>Finland</v>
      </c>
      <c r="S556" t="str">
        <f>IFERROR(IF(VLOOKUP(A556,'Sales Order'!A:H,8,FALSE)&gt;100,"High Freight","Low Freight"),"Not Specified")</f>
        <v>Low Freight</v>
      </c>
      <c r="T556">
        <f t="shared" si="17"/>
        <v>285.59999999999997</v>
      </c>
    </row>
    <row r="557" spans="1:20">
      <c r="A557" s="9">
        <v>10457</v>
      </c>
      <c r="B557" s="6">
        <v>59</v>
      </c>
      <c r="C557" s="6">
        <v>44</v>
      </c>
      <c r="D557" s="6">
        <v>36</v>
      </c>
      <c r="E557" s="18">
        <v>0</v>
      </c>
      <c r="F557" s="6" t="str">
        <f>IFERROR(VLOOKUP(VLOOKUP(A557,'Sales Order'!A:B,2,FALSE),Customer!A:C,3,FALSE),"Not Specified")</f>
        <v>Song, Lolan</v>
      </c>
      <c r="G557" s="6" t="str">
        <f t="shared" si="16"/>
        <v>Song Lolan</v>
      </c>
      <c r="H557" s="22" t="str">
        <f>IFERROR(VLOOKUP(VLOOKUP(A557,'Sales Order'!A:C,3,FALSE),Employee!A:E,5,FALSE)&amp;" "&amp;VLOOKUP(VLOOKUP(A557,'Sales Order'!A:C,3,FALSE),Employee!A:C,3,FALSE)&amp;" "&amp;VLOOKUP(VLOOKUP(A557,'Sales Order'!A:C,3,FALSE),Employee!A:B,2,FALSE),"Not Specified")</f>
        <v>Dr. Don Funk</v>
      </c>
      <c r="I557" t="str">
        <f>IFERROR(VLOOKUP(VLOOKUP(A557,'Sales Order'!A:C,3,FALSE),Employee!A:J,10,FALSE),"Not Specified")</f>
        <v>WA</v>
      </c>
      <c r="J557" t="str">
        <f>VLOOKUP(B557,Product!A:B,2,FALSE)</f>
        <v>Product UKXRI</v>
      </c>
      <c r="K557" t="str">
        <f>VLOOKUP(VLOOKUP(B557,Product!A:D,4,FALSE),Category!A:B,2,FALSE)</f>
        <v>Dairy Product</v>
      </c>
      <c r="L557" s="24">
        <f>IFERROR(VLOOKUP(A557,'Sales Order'!A:D,4,FALSE),"")</f>
        <v>39138</v>
      </c>
      <c r="M557" s="24">
        <f>IFERROR(VLOOKUP(A557,'Sales Order'!A:F,6,FALSE),"")</f>
        <v>39144</v>
      </c>
      <c r="N557" t="str">
        <f>IFERROR(VLOOKUP(VLOOKUP(A557,'Sales Order'!A:G,7,FALSE),Shipper!A:B,2,FALSE),"Not Specified")</f>
        <v>Shipper GVSUA</v>
      </c>
      <c r="O557" t="str">
        <f>IFERROR(VLOOKUP(A557,'Sales Order'!A:I,9,FALSE),"Not Specified")</f>
        <v>Destination RMBHM</v>
      </c>
      <c r="P557" t="str">
        <f>IFERROR(VLOOKUP(A557,'Sales Order'!A:N,14,FALSE),"Not Specified")</f>
        <v>Germany</v>
      </c>
      <c r="Q557" t="str">
        <f>VLOOKUP(VLOOKUP(B557,Product!A:C,3,FALSE),Supplier!A:B,2,FALSE)</f>
        <v>Supplier OAVQT</v>
      </c>
      <c r="R557" t="str">
        <f>VLOOKUP(VLOOKUP(B557,Product!A:C,3,FALSE),Supplier!A:I,9,FALSE)</f>
        <v>France</v>
      </c>
      <c r="S557" t="str">
        <f>IFERROR(IF(VLOOKUP(A557,'Sales Order'!A:H,8,FALSE)&gt;100,"High Freight","Low Freight"),"Not Specified")</f>
        <v>Low Freight</v>
      </c>
      <c r="T557">
        <f t="shared" si="17"/>
        <v>1584</v>
      </c>
    </row>
    <row r="558" spans="1:20">
      <c r="A558" s="9">
        <v>10458</v>
      </c>
      <c r="B558" s="6">
        <v>26</v>
      </c>
      <c r="C558" s="6">
        <v>24.9</v>
      </c>
      <c r="D558" s="6">
        <v>30</v>
      </c>
      <c r="E558" s="18">
        <v>0</v>
      </c>
      <c r="F558" s="6" t="str">
        <f>IFERROR(VLOOKUP(VLOOKUP(A558,'Sales Order'!A:B,2,FALSE),Customer!A:C,3,FALSE),"Not Specified")</f>
        <v>Gulbis, Katrin</v>
      </c>
      <c r="G558" s="6" t="str">
        <f t="shared" si="16"/>
        <v>Gulbis Katrin</v>
      </c>
      <c r="H558" s="22" t="str">
        <f>IFERROR(VLOOKUP(VLOOKUP(A558,'Sales Order'!A:C,3,FALSE),Employee!A:E,5,FALSE)&amp;" "&amp;VLOOKUP(VLOOKUP(A558,'Sales Order'!A:C,3,FALSE),Employee!A:C,3,FALSE)&amp;" "&amp;VLOOKUP(VLOOKUP(A558,'Sales Order'!A:C,3,FALSE),Employee!A:B,2,FALSE),"Not Specified")</f>
        <v>Mr. Russell King</v>
      </c>
      <c r="I558">
        <f>IFERROR(VLOOKUP(VLOOKUP(A558,'Sales Order'!A:C,3,FALSE),Employee!A:J,10,FALSE),"Not Specified")</f>
        <v>0</v>
      </c>
      <c r="J558" t="str">
        <f>VLOOKUP(B558,Product!A:B,2,FALSE)</f>
        <v>Product HLGZA</v>
      </c>
      <c r="K558" t="str">
        <f>VLOOKUP(VLOOKUP(B558,Product!A:D,4,FALSE),Category!A:B,2,FALSE)</f>
        <v>Confections</v>
      </c>
      <c r="L558" s="24">
        <f>IFERROR(VLOOKUP(A558,'Sales Order'!A:D,4,FALSE),"")</f>
        <v>39139</v>
      </c>
      <c r="M558" s="24">
        <f>IFERROR(VLOOKUP(A558,'Sales Order'!A:F,6,FALSE),"")</f>
        <v>39145</v>
      </c>
      <c r="N558" t="str">
        <f>IFERROR(VLOOKUP(VLOOKUP(A558,'Sales Order'!A:G,7,FALSE),Shipper!A:B,2,FALSE),"Not Specified")</f>
        <v>Shipper ZHISN</v>
      </c>
      <c r="O558" t="str">
        <f>IFERROR(VLOOKUP(A558,'Sales Order'!A:I,9,FALSE),"Not Specified")</f>
        <v>Ship to 76-A</v>
      </c>
      <c r="P558" t="str">
        <f>IFERROR(VLOOKUP(A558,'Sales Order'!A:N,14,FALSE),"Not Specified")</f>
        <v>Belgium</v>
      </c>
      <c r="Q558" t="str">
        <f>VLOOKUP(VLOOKUP(B558,Product!A:C,3,FALSE),Supplier!A:B,2,FALSE)</f>
        <v>Supplier ZPYVS</v>
      </c>
      <c r="R558" t="str">
        <f>VLOOKUP(VLOOKUP(B558,Product!A:C,3,FALSE),Supplier!A:I,9,FALSE)</f>
        <v>Germany</v>
      </c>
      <c r="S558" t="str">
        <f>IFERROR(IF(VLOOKUP(A558,'Sales Order'!A:H,8,FALSE)&gt;100,"High Freight","Low Freight"),"Not Specified")</f>
        <v>High Freight</v>
      </c>
      <c r="T558">
        <f t="shared" si="17"/>
        <v>747</v>
      </c>
    </row>
    <row r="559" spans="1:20">
      <c r="A559" s="9">
        <v>10458</v>
      </c>
      <c r="B559" s="6">
        <v>28</v>
      </c>
      <c r="C559" s="6">
        <v>36.4</v>
      </c>
      <c r="D559" s="6">
        <v>30</v>
      </c>
      <c r="E559" s="18">
        <v>0</v>
      </c>
      <c r="F559" s="6" t="str">
        <f>IFERROR(VLOOKUP(VLOOKUP(A559,'Sales Order'!A:B,2,FALSE),Customer!A:C,3,FALSE),"Not Specified")</f>
        <v>Gulbis, Katrin</v>
      </c>
      <c r="G559" s="6" t="str">
        <f t="shared" si="16"/>
        <v>Gulbis Katrin</v>
      </c>
      <c r="H559" s="22" t="str">
        <f>IFERROR(VLOOKUP(VLOOKUP(A559,'Sales Order'!A:C,3,FALSE),Employee!A:E,5,FALSE)&amp;" "&amp;VLOOKUP(VLOOKUP(A559,'Sales Order'!A:C,3,FALSE),Employee!A:C,3,FALSE)&amp;" "&amp;VLOOKUP(VLOOKUP(A559,'Sales Order'!A:C,3,FALSE),Employee!A:B,2,FALSE),"Not Specified")</f>
        <v>Mr. Russell King</v>
      </c>
      <c r="I559">
        <f>IFERROR(VLOOKUP(VLOOKUP(A559,'Sales Order'!A:C,3,FALSE),Employee!A:J,10,FALSE),"Not Specified")</f>
        <v>0</v>
      </c>
      <c r="J559" t="str">
        <f>VLOOKUP(B559,Product!A:B,2,FALSE)</f>
        <v>Product OFBNT</v>
      </c>
      <c r="K559" t="str">
        <f>VLOOKUP(VLOOKUP(B559,Product!A:D,4,FALSE),Category!A:B,2,FALSE)</f>
        <v>Produce</v>
      </c>
      <c r="L559" s="24">
        <f>IFERROR(VLOOKUP(A559,'Sales Order'!A:D,4,FALSE),"")</f>
        <v>39139</v>
      </c>
      <c r="M559" s="24">
        <f>IFERROR(VLOOKUP(A559,'Sales Order'!A:F,6,FALSE),"")</f>
        <v>39145</v>
      </c>
      <c r="N559" t="str">
        <f>IFERROR(VLOOKUP(VLOOKUP(A559,'Sales Order'!A:G,7,FALSE),Shipper!A:B,2,FALSE),"Not Specified")</f>
        <v>Shipper ZHISN</v>
      </c>
      <c r="O559" t="str">
        <f>IFERROR(VLOOKUP(A559,'Sales Order'!A:I,9,FALSE),"Not Specified")</f>
        <v>Ship to 76-A</v>
      </c>
      <c r="P559" t="str">
        <f>IFERROR(VLOOKUP(A559,'Sales Order'!A:N,14,FALSE),"Not Specified")</f>
        <v>Belgium</v>
      </c>
      <c r="Q559" t="str">
        <f>VLOOKUP(VLOOKUP(B559,Product!A:C,3,FALSE),Supplier!A:B,2,FALSE)</f>
        <v>Supplier SVIYA</v>
      </c>
      <c r="R559" t="str">
        <f>VLOOKUP(VLOOKUP(B559,Product!A:C,3,FALSE),Supplier!A:I,9,FALSE)</f>
        <v>Germany</v>
      </c>
      <c r="S559" t="str">
        <f>IFERROR(IF(VLOOKUP(A559,'Sales Order'!A:H,8,FALSE)&gt;100,"High Freight","Low Freight"),"Not Specified")</f>
        <v>High Freight</v>
      </c>
      <c r="T559">
        <f t="shared" si="17"/>
        <v>1092</v>
      </c>
    </row>
    <row r="560" spans="1:20">
      <c r="A560" s="9">
        <v>10458</v>
      </c>
      <c r="B560" s="6">
        <v>43</v>
      </c>
      <c r="C560" s="6">
        <v>36.799999999999997</v>
      </c>
      <c r="D560" s="6">
        <v>20</v>
      </c>
      <c r="E560" s="18">
        <v>0</v>
      </c>
      <c r="F560" s="6" t="str">
        <f>IFERROR(VLOOKUP(VLOOKUP(A560,'Sales Order'!A:B,2,FALSE),Customer!A:C,3,FALSE),"Not Specified")</f>
        <v>Gulbis, Katrin</v>
      </c>
      <c r="G560" s="6" t="str">
        <f t="shared" si="16"/>
        <v>Gulbis Katrin</v>
      </c>
      <c r="H560" s="22" t="str">
        <f>IFERROR(VLOOKUP(VLOOKUP(A560,'Sales Order'!A:C,3,FALSE),Employee!A:E,5,FALSE)&amp;" "&amp;VLOOKUP(VLOOKUP(A560,'Sales Order'!A:C,3,FALSE),Employee!A:C,3,FALSE)&amp;" "&amp;VLOOKUP(VLOOKUP(A560,'Sales Order'!A:C,3,FALSE),Employee!A:B,2,FALSE),"Not Specified")</f>
        <v>Mr. Russell King</v>
      </c>
      <c r="I560">
        <f>IFERROR(VLOOKUP(VLOOKUP(A560,'Sales Order'!A:C,3,FALSE),Employee!A:J,10,FALSE),"Not Specified")</f>
        <v>0</v>
      </c>
      <c r="J560" t="str">
        <f>VLOOKUP(B560,Product!A:B,2,FALSE)</f>
        <v>Product ZZZHR</v>
      </c>
      <c r="K560" t="str">
        <f>VLOOKUP(VLOOKUP(B560,Product!A:D,4,FALSE),Category!A:B,2,FALSE)</f>
        <v>Beverages</v>
      </c>
      <c r="L560" s="24">
        <f>IFERROR(VLOOKUP(A560,'Sales Order'!A:D,4,FALSE),"")</f>
        <v>39139</v>
      </c>
      <c r="M560" s="24">
        <f>IFERROR(VLOOKUP(A560,'Sales Order'!A:F,6,FALSE),"")</f>
        <v>39145</v>
      </c>
      <c r="N560" t="str">
        <f>IFERROR(VLOOKUP(VLOOKUP(A560,'Sales Order'!A:G,7,FALSE),Shipper!A:B,2,FALSE),"Not Specified")</f>
        <v>Shipper ZHISN</v>
      </c>
      <c r="O560" t="str">
        <f>IFERROR(VLOOKUP(A560,'Sales Order'!A:I,9,FALSE),"Not Specified")</f>
        <v>Ship to 76-A</v>
      </c>
      <c r="P560" t="str">
        <f>IFERROR(VLOOKUP(A560,'Sales Order'!A:N,14,FALSE),"Not Specified")</f>
        <v>Belgium</v>
      </c>
      <c r="Q560" t="str">
        <f>VLOOKUP(VLOOKUP(B560,Product!A:C,3,FALSE),Supplier!A:B,2,FALSE)</f>
        <v>Supplier CIYNM</v>
      </c>
      <c r="R560" t="str">
        <f>VLOOKUP(VLOOKUP(B560,Product!A:C,3,FALSE),Supplier!A:I,9,FALSE)</f>
        <v>Singapore</v>
      </c>
      <c r="S560" t="str">
        <f>IFERROR(IF(VLOOKUP(A560,'Sales Order'!A:H,8,FALSE)&gt;100,"High Freight","Low Freight"),"Not Specified")</f>
        <v>High Freight</v>
      </c>
      <c r="T560">
        <f t="shared" si="17"/>
        <v>736</v>
      </c>
    </row>
    <row r="561" spans="1:20">
      <c r="A561" s="9">
        <v>10458</v>
      </c>
      <c r="B561" s="6">
        <v>56</v>
      </c>
      <c r="C561" s="6">
        <v>30.4</v>
      </c>
      <c r="D561" s="6">
        <v>15</v>
      </c>
      <c r="E561" s="18">
        <v>0</v>
      </c>
      <c r="F561" s="6" t="str">
        <f>IFERROR(VLOOKUP(VLOOKUP(A561,'Sales Order'!A:B,2,FALSE),Customer!A:C,3,FALSE),"Not Specified")</f>
        <v>Gulbis, Katrin</v>
      </c>
      <c r="G561" s="6" t="str">
        <f t="shared" si="16"/>
        <v>Gulbis Katrin</v>
      </c>
      <c r="H561" s="22" t="str">
        <f>IFERROR(VLOOKUP(VLOOKUP(A561,'Sales Order'!A:C,3,FALSE),Employee!A:E,5,FALSE)&amp;" "&amp;VLOOKUP(VLOOKUP(A561,'Sales Order'!A:C,3,FALSE),Employee!A:C,3,FALSE)&amp;" "&amp;VLOOKUP(VLOOKUP(A561,'Sales Order'!A:C,3,FALSE),Employee!A:B,2,FALSE),"Not Specified")</f>
        <v>Mr. Russell King</v>
      </c>
      <c r="I561">
        <f>IFERROR(VLOOKUP(VLOOKUP(A561,'Sales Order'!A:C,3,FALSE),Employee!A:J,10,FALSE),"Not Specified")</f>
        <v>0</v>
      </c>
      <c r="J561" t="str">
        <f>VLOOKUP(B561,Product!A:B,2,FALSE)</f>
        <v>Product VKCMF</v>
      </c>
      <c r="K561" t="str">
        <f>VLOOKUP(VLOOKUP(B561,Product!A:D,4,FALSE),Category!A:B,2,FALSE)</f>
        <v>Grains/Cereals</v>
      </c>
      <c r="L561" s="24">
        <f>IFERROR(VLOOKUP(A561,'Sales Order'!A:D,4,FALSE),"")</f>
        <v>39139</v>
      </c>
      <c r="M561" s="24">
        <f>IFERROR(VLOOKUP(A561,'Sales Order'!A:F,6,FALSE),"")</f>
        <v>39145</v>
      </c>
      <c r="N561" t="str">
        <f>IFERROR(VLOOKUP(VLOOKUP(A561,'Sales Order'!A:G,7,FALSE),Shipper!A:B,2,FALSE),"Not Specified")</f>
        <v>Shipper ZHISN</v>
      </c>
      <c r="O561" t="str">
        <f>IFERROR(VLOOKUP(A561,'Sales Order'!A:I,9,FALSE),"Not Specified")</f>
        <v>Ship to 76-A</v>
      </c>
      <c r="P561" t="str">
        <f>IFERROR(VLOOKUP(A561,'Sales Order'!A:N,14,FALSE),"Not Specified")</f>
        <v>Belgium</v>
      </c>
      <c r="Q561" t="str">
        <f>VLOOKUP(VLOOKUP(B561,Product!A:C,3,FALSE),Supplier!A:B,2,FALSE)</f>
        <v>Supplier ZWZDM</v>
      </c>
      <c r="R561" t="str">
        <f>VLOOKUP(VLOOKUP(B561,Product!A:C,3,FALSE),Supplier!A:I,9,FALSE)</f>
        <v>Italy</v>
      </c>
      <c r="S561" t="str">
        <f>IFERROR(IF(VLOOKUP(A561,'Sales Order'!A:H,8,FALSE)&gt;100,"High Freight","Low Freight"),"Not Specified")</f>
        <v>High Freight</v>
      </c>
      <c r="T561">
        <f t="shared" si="17"/>
        <v>456</v>
      </c>
    </row>
    <row r="562" spans="1:20">
      <c r="A562" s="9">
        <v>10458</v>
      </c>
      <c r="B562" s="6">
        <v>71</v>
      </c>
      <c r="C562" s="6">
        <v>17.2</v>
      </c>
      <c r="D562" s="6">
        <v>50</v>
      </c>
      <c r="E562" s="18">
        <v>0</v>
      </c>
      <c r="F562" s="6" t="str">
        <f>IFERROR(VLOOKUP(VLOOKUP(A562,'Sales Order'!A:B,2,FALSE),Customer!A:C,3,FALSE),"Not Specified")</f>
        <v>Gulbis, Katrin</v>
      </c>
      <c r="G562" s="6" t="str">
        <f t="shared" si="16"/>
        <v>Gulbis Katrin</v>
      </c>
      <c r="H562" s="22" t="str">
        <f>IFERROR(VLOOKUP(VLOOKUP(A562,'Sales Order'!A:C,3,FALSE),Employee!A:E,5,FALSE)&amp;" "&amp;VLOOKUP(VLOOKUP(A562,'Sales Order'!A:C,3,FALSE),Employee!A:C,3,FALSE)&amp;" "&amp;VLOOKUP(VLOOKUP(A562,'Sales Order'!A:C,3,FALSE),Employee!A:B,2,FALSE),"Not Specified")</f>
        <v>Mr. Russell King</v>
      </c>
      <c r="I562">
        <f>IFERROR(VLOOKUP(VLOOKUP(A562,'Sales Order'!A:C,3,FALSE),Employee!A:J,10,FALSE),"Not Specified")</f>
        <v>0</v>
      </c>
      <c r="J562" t="str">
        <f>VLOOKUP(B562,Product!A:B,2,FALSE)</f>
        <v>Product MYMOI</v>
      </c>
      <c r="K562" t="str">
        <f>VLOOKUP(VLOOKUP(B562,Product!A:D,4,FALSE),Category!A:B,2,FALSE)</f>
        <v>Dairy Product</v>
      </c>
      <c r="L562" s="24">
        <f>IFERROR(VLOOKUP(A562,'Sales Order'!A:D,4,FALSE),"")</f>
        <v>39139</v>
      </c>
      <c r="M562" s="24">
        <f>IFERROR(VLOOKUP(A562,'Sales Order'!A:F,6,FALSE),"")</f>
        <v>39145</v>
      </c>
      <c r="N562" t="str">
        <f>IFERROR(VLOOKUP(VLOOKUP(A562,'Sales Order'!A:G,7,FALSE),Shipper!A:B,2,FALSE),"Not Specified")</f>
        <v>Shipper ZHISN</v>
      </c>
      <c r="O562" t="str">
        <f>IFERROR(VLOOKUP(A562,'Sales Order'!A:I,9,FALSE),"Not Specified")</f>
        <v>Ship to 76-A</v>
      </c>
      <c r="P562" t="str">
        <f>IFERROR(VLOOKUP(A562,'Sales Order'!A:N,14,FALSE),"Not Specified")</f>
        <v>Belgium</v>
      </c>
      <c r="Q562" t="str">
        <f>VLOOKUP(VLOOKUP(B562,Product!A:C,3,FALSE),Supplier!A:B,2,FALSE)</f>
        <v>Supplier NZLIF</v>
      </c>
      <c r="R562" t="str">
        <f>VLOOKUP(VLOOKUP(B562,Product!A:C,3,FALSE),Supplier!A:I,9,FALSE)</f>
        <v>Norway</v>
      </c>
      <c r="S562" t="str">
        <f>IFERROR(IF(VLOOKUP(A562,'Sales Order'!A:H,8,FALSE)&gt;100,"High Freight","Low Freight"),"Not Specified")</f>
        <v>High Freight</v>
      </c>
      <c r="T562">
        <f t="shared" si="17"/>
        <v>860</v>
      </c>
    </row>
    <row r="563" spans="1:20">
      <c r="A563" s="9">
        <v>10459</v>
      </c>
      <c r="B563" s="6">
        <v>7</v>
      </c>
      <c r="C563" s="6">
        <v>24</v>
      </c>
      <c r="D563" s="6">
        <v>16</v>
      </c>
      <c r="E563" s="18">
        <v>0.05</v>
      </c>
      <c r="F563" s="6" t="str">
        <f>IFERROR(VLOOKUP(VLOOKUP(A563,'Sales Order'!A:B,2,FALSE),Customer!A:C,3,FALSE),"Not Specified")</f>
        <v>Tuntisangaroon, Sittichai</v>
      </c>
      <c r="G563" s="6" t="str">
        <f t="shared" si="16"/>
        <v>Tuntisangaroon Sittichai</v>
      </c>
      <c r="H563" s="22" t="str">
        <f>IFERROR(VLOOKUP(VLOOKUP(A563,'Sales Order'!A:C,3,FALSE),Employee!A:E,5,FALSE)&amp;" "&amp;VLOOKUP(VLOOKUP(A563,'Sales Order'!A:C,3,FALSE),Employee!A:C,3,FALSE)&amp;" "&amp;VLOOKUP(VLOOKUP(A563,'Sales Order'!A:C,3,FALSE),Employee!A:B,2,FALSE),"Not Specified")</f>
        <v>Mrs. Yael Peled</v>
      </c>
      <c r="I563" t="str">
        <f>IFERROR(VLOOKUP(VLOOKUP(A563,'Sales Order'!A:C,3,FALSE),Employee!A:J,10,FALSE),"Not Specified")</f>
        <v>WA</v>
      </c>
      <c r="J563" t="str">
        <f>VLOOKUP(B563,Product!A:B,2,FALSE)</f>
        <v>Product HMLNI</v>
      </c>
      <c r="K563" t="str">
        <f>VLOOKUP(VLOOKUP(B563,Product!A:D,4,FALSE),Category!A:B,2,FALSE)</f>
        <v>Produce</v>
      </c>
      <c r="L563" s="24">
        <f>IFERROR(VLOOKUP(A563,'Sales Order'!A:D,4,FALSE),"")</f>
        <v>39140</v>
      </c>
      <c r="M563" s="24">
        <f>IFERROR(VLOOKUP(A563,'Sales Order'!A:F,6,FALSE),"")</f>
        <v>39141</v>
      </c>
      <c r="N563" t="str">
        <f>IFERROR(VLOOKUP(VLOOKUP(A563,'Sales Order'!A:G,7,FALSE),Shipper!A:B,2,FALSE),"Not Specified")</f>
        <v>Shipper ETYNR</v>
      </c>
      <c r="O563" t="str">
        <f>IFERROR(VLOOKUP(A563,'Sales Order'!A:I,9,FALSE),"Not Specified")</f>
        <v>Ship to 84-B</v>
      </c>
      <c r="P563" t="str">
        <f>IFERROR(VLOOKUP(A563,'Sales Order'!A:N,14,FALSE),"Not Specified")</f>
        <v>France</v>
      </c>
      <c r="Q563" t="str">
        <f>VLOOKUP(VLOOKUP(B563,Product!A:C,3,FALSE),Supplier!A:B,2,FALSE)</f>
        <v>Supplier STUAZ</v>
      </c>
      <c r="R563" t="str">
        <f>VLOOKUP(VLOOKUP(B563,Product!A:C,3,FALSE),Supplier!A:I,9,FALSE)</f>
        <v>USA</v>
      </c>
      <c r="S563" t="str">
        <f>IFERROR(IF(VLOOKUP(A563,'Sales Order'!A:H,8,FALSE)&gt;100,"High Freight","Low Freight"),"Not Specified")</f>
        <v>Low Freight</v>
      </c>
      <c r="T563">
        <f t="shared" si="17"/>
        <v>364.79999999999995</v>
      </c>
    </row>
    <row r="564" spans="1:20">
      <c r="A564" s="9">
        <v>10459</v>
      </c>
      <c r="B564" s="6">
        <v>46</v>
      </c>
      <c r="C564" s="6">
        <v>9.6</v>
      </c>
      <c r="D564" s="6">
        <v>20</v>
      </c>
      <c r="E564" s="18">
        <v>0.05</v>
      </c>
      <c r="F564" s="6" t="str">
        <f>IFERROR(VLOOKUP(VLOOKUP(A564,'Sales Order'!A:B,2,FALSE),Customer!A:C,3,FALSE),"Not Specified")</f>
        <v>Tuntisangaroon, Sittichai</v>
      </c>
      <c r="G564" s="6" t="str">
        <f t="shared" si="16"/>
        <v>Tuntisangaroon Sittichai</v>
      </c>
      <c r="H564" s="22" t="str">
        <f>IFERROR(VLOOKUP(VLOOKUP(A564,'Sales Order'!A:C,3,FALSE),Employee!A:E,5,FALSE)&amp;" "&amp;VLOOKUP(VLOOKUP(A564,'Sales Order'!A:C,3,FALSE),Employee!A:C,3,FALSE)&amp;" "&amp;VLOOKUP(VLOOKUP(A564,'Sales Order'!A:C,3,FALSE),Employee!A:B,2,FALSE),"Not Specified")</f>
        <v>Mrs. Yael Peled</v>
      </c>
      <c r="I564" t="str">
        <f>IFERROR(VLOOKUP(VLOOKUP(A564,'Sales Order'!A:C,3,FALSE),Employee!A:J,10,FALSE),"Not Specified")</f>
        <v>WA</v>
      </c>
      <c r="J564" t="str">
        <f>VLOOKUP(B564,Product!A:B,2,FALSE)</f>
        <v>Product CBRRL</v>
      </c>
      <c r="K564" t="str">
        <f>VLOOKUP(VLOOKUP(B564,Product!A:D,4,FALSE),Category!A:B,2,FALSE)</f>
        <v>Seafood</v>
      </c>
      <c r="L564" s="24">
        <f>IFERROR(VLOOKUP(A564,'Sales Order'!A:D,4,FALSE),"")</f>
        <v>39140</v>
      </c>
      <c r="M564" s="24">
        <f>IFERROR(VLOOKUP(A564,'Sales Order'!A:F,6,FALSE),"")</f>
        <v>39141</v>
      </c>
      <c r="N564" t="str">
        <f>IFERROR(VLOOKUP(VLOOKUP(A564,'Sales Order'!A:G,7,FALSE),Shipper!A:B,2,FALSE),"Not Specified")</f>
        <v>Shipper ETYNR</v>
      </c>
      <c r="O564" t="str">
        <f>IFERROR(VLOOKUP(A564,'Sales Order'!A:I,9,FALSE),"Not Specified")</f>
        <v>Ship to 84-B</v>
      </c>
      <c r="P564" t="str">
        <f>IFERROR(VLOOKUP(A564,'Sales Order'!A:N,14,FALSE),"Not Specified")</f>
        <v>France</v>
      </c>
      <c r="Q564" t="str">
        <f>VLOOKUP(VLOOKUP(B564,Product!A:C,3,FALSE),Supplier!A:B,2,FALSE)</f>
        <v>Supplier XOXZA</v>
      </c>
      <c r="R564" t="str">
        <f>VLOOKUP(VLOOKUP(B564,Product!A:C,3,FALSE),Supplier!A:I,9,FALSE)</f>
        <v>Denmark</v>
      </c>
      <c r="S564" t="str">
        <f>IFERROR(IF(VLOOKUP(A564,'Sales Order'!A:H,8,FALSE)&gt;100,"High Freight","Low Freight"),"Not Specified")</f>
        <v>Low Freight</v>
      </c>
      <c r="T564">
        <f t="shared" si="17"/>
        <v>182.39999999999998</v>
      </c>
    </row>
    <row r="565" spans="1:20">
      <c r="A565" s="9">
        <v>10459</v>
      </c>
      <c r="B565" s="6">
        <v>72</v>
      </c>
      <c r="C565" s="6">
        <v>27.8</v>
      </c>
      <c r="D565" s="6">
        <v>40</v>
      </c>
      <c r="E565" s="18">
        <v>0</v>
      </c>
      <c r="F565" s="6" t="str">
        <f>IFERROR(VLOOKUP(VLOOKUP(A565,'Sales Order'!A:B,2,FALSE),Customer!A:C,3,FALSE),"Not Specified")</f>
        <v>Tuntisangaroon, Sittichai</v>
      </c>
      <c r="G565" s="6" t="str">
        <f t="shared" si="16"/>
        <v>Tuntisangaroon Sittichai</v>
      </c>
      <c r="H565" s="22" t="str">
        <f>IFERROR(VLOOKUP(VLOOKUP(A565,'Sales Order'!A:C,3,FALSE),Employee!A:E,5,FALSE)&amp;" "&amp;VLOOKUP(VLOOKUP(A565,'Sales Order'!A:C,3,FALSE),Employee!A:C,3,FALSE)&amp;" "&amp;VLOOKUP(VLOOKUP(A565,'Sales Order'!A:C,3,FALSE),Employee!A:B,2,FALSE),"Not Specified")</f>
        <v>Mrs. Yael Peled</v>
      </c>
      <c r="I565" t="str">
        <f>IFERROR(VLOOKUP(VLOOKUP(A565,'Sales Order'!A:C,3,FALSE),Employee!A:J,10,FALSE),"Not Specified")</f>
        <v>WA</v>
      </c>
      <c r="J565" t="str">
        <f>VLOOKUP(B565,Product!A:B,2,FALSE)</f>
        <v>Product GEEOO</v>
      </c>
      <c r="K565" t="str">
        <f>VLOOKUP(VLOOKUP(B565,Product!A:D,4,FALSE),Category!A:B,2,FALSE)</f>
        <v>Dairy Product</v>
      </c>
      <c r="L565" s="24">
        <f>IFERROR(VLOOKUP(A565,'Sales Order'!A:D,4,FALSE),"")</f>
        <v>39140</v>
      </c>
      <c r="M565" s="24">
        <f>IFERROR(VLOOKUP(A565,'Sales Order'!A:F,6,FALSE),"")</f>
        <v>39141</v>
      </c>
      <c r="N565" t="str">
        <f>IFERROR(VLOOKUP(VLOOKUP(A565,'Sales Order'!A:G,7,FALSE),Shipper!A:B,2,FALSE),"Not Specified")</f>
        <v>Shipper ETYNR</v>
      </c>
      <c r="O565" t="str">
        <f>IFERROR(VLOOKUP(A565,'Sales Order'!A:I,9,FALSE),"Not Specified")</f>
        <v>Ship to 84-B</v>
      </c>
      <c r="P565" t="str">
        <f>IFERROR(VLOOKUP(A565,'Sales Order'!A:N,14,FALSE),"Not Specified")</f>
        <v>France</v>
      </c>
      <c r="Q565" t="str">
        <f>VLOOKUP(VLOOKUP(B565,Product!A:C,3,FALSE),Supplier!A:B,2,FALSE)</f>
        <v>Supplier KEREV</v>
      </c>
      <c r="R565" t="str">
        <f>VLOOKUP(VLOOKUP(B565,Product!A:C,3,FALSE),Supplier!A:I,9,FALSE)</f>
        <v>Italy</v>
      </c>
      <c r="S565" t="str">
        <f>IFERROR(IF(VLOOKUP(A565,'Sales Order'!A:H,8,FALSE)&gt;100,"High Freight","Low Freight"),"Not Specified")</f>
        <v>Low Freight</v>
      </c>
      <c r="T565">
        <f t="shared" si="17"/>
        <v>1112</v>
      </c>
    </row>
    <row r="566" spans="1:20">
      <c r="A566" s="9">
        <v>10460</v>
      </c>
      <c r="B566" s="6">
        <v>68</v>
      </c>
      <c r="C566" s="6">
        <v>10</v>
      </c>
      <c r="D566" s="6">
        <v>21</v>
      </c>
      <c r="E566" s="18">
        <v>0.25</v>
      </c>
      <c r="F566" s="6" t="str">
        <f>IFERROR(VLOOKUP(VLOOKUP(A566,'Sales Order'!A:B,2,FALSE),Customer!A:C,3,FALSE),"Not Specified")</f>
        <v>San Juan, Patricia</v>
      </c>
      <c r="G566" s="6" t="str">
        <f t="shared" si="16"/>
        <v>San Juan Patricia</v>
      </c>
      <c r="H566" s="22" t="str">
        <f>IFERROR(VLOOKUP(VLOOKUP(A566,'Sales Order'!A:C,3,FALSE),Employee!A:E,5,FALSE)&amp;" "&amp;VLOOKUP(VLOOKUP(A566,'Sales Order'!A:C,3,FALSE),Employee!A:C,3,FALSE)&amp;" "&amp;VLOOKUP(VLOOKUP(A566,'Sales Order'!A:C,3,FALSE),Employee!A:B,2,FALSE),"Not Specified")</f>
        <v>Ms. Maria Cameron</v>
      </c>
      <c r="I566" t="str">
        <f>IFERROR(VLOOKUP(VLOOKUP(A566,'Sales Order'!A:C,3,FALSE),Employee!A:J,10,FALSE),"Not Specified")</f>
        <v>WA</v>
      </c>
      <c r="J566" t="str">
        <f>VLOOKUP(B566,Product!A:B,2,FALSE)</f>
        <v>Product TBTBL</v>
      </c>
      <c r="K566" t="str">
        <f>VLOOKUP(VLOOKUP(B566,Product!A:D,4,FALSE),Category!A:B,2,FALSE)</f>
        <v>Confections</v>
      </c>
      <c r="L566" s="24">
        <f>IFERROR(VLOOKUP(A566,'Sales Order'!A:D,4,FALSE),"")</f>
        <v>39141</v>
      </c>
      <c r="M566" s="24">
        <f>IFERROR(VLOOKUP(A566,'Sales Order'!A:F,6,FALSE),"")</f>
        <v>39144</v>
      </c>
      <c r="N566" t="str">
        <f>IFERROR(VLOOKUP(VLOOKUP(A566,'Sales Order'!A:G,7,FALSE),Shipper!A:B,2,FALSE),"Not Specified")</f>
        <v>Shipper GVSUA</v>
      </c>
      <c r="O566" t="str">
        <f>IFERROR(VLOOKUP(A566,'Sales Order'!A:I,9,FALSE),"Not Specified")</f>
        <v>Destination YCMPK</v>
      </c>
      <c r="P566" t="str">
        <f>IFERROR(VLOOKUP(A566,'Sales Order'!A:N,14,FALSE),"Not Specified")</f>
        <v>Sweden</v>
      </c>
      <c r="Q566" t="str">
        <f>VLOOKUP(VLOOKUP(B566,Product!A:C,3,FALSE),Supplier!A:B,2,FALSE)</f>
        <v>Supplier BWGYE</v>
      </c>
      <c r="R566" t="str">
        <f>VLOOKUP(VLOOKUP(B566,Product!A:C,3,FALSE),Supplier!A:I,9,FALSE)</f>
        <v>UK</v>
      </c>
      <c r="S566" t="str">
        <f>IFERROR(IF(VLOOKUP(A566,'Sales Order'!A:H,8,FALSE)&gt;100,"High Freight","Low Freight"),"Not Specified")</f>
        <v>Low Freight</v>
      </c>
      <c r="T566">
        <f t="shared" si="17"/>
        <v>157.5</v>
      </c>
    </row>
    <row r="567" spans="1:20">
      <c r="A567" s="9">
        <v>10460</v>
      </c>
      <c r="B567" s="6">
        <v>75</v>
      </c>
      <c r="C567" s="6">
        <v>6.2</v>
      </c>
      <c r="D567" s="6">
        <v>4</v>
      </c>
      <c r="E567" s="18">
        <v>0.25</v>
      </c>
      <c r="F567" s="6" t="str">
        <f>IFERROR(VLOOKUP(VLOOKUP(A567,'Sales Order'!A:B,2,FALSE),Customer!A:C,3,FALSE),"Not Specified")</f>
        <v>San Juan, Patricia</v>
      </c>
      <c r="G567" s="6" t="str">
        <f t="shared" si="16"/>
        <v>San Juan Patricia</v>
      </c>
      <c r="H567" s="22" t="str">
        <f>IFERROR(VLOOKUP(VLOOKUP(A567,'Sales Order'!A:C,3,FALSE),Employee!A:E,5,FALSE)&amp;" "&amp;VLOOKUP(VLOOKUP(A567,'Sales Order'!A:C,3,FALSE),Employee!A:C,3,FALSE)&amp;" "&amp;VLOOKUP(VLOOKUP(A567,'Sales Order'!A:C,3,FALSE),Employee!A:B,2,FALSE),"Not Specified")</f>
        <v>Ms. Maria Cameron</v>
      </c>
      <c r="I567" t="str">
        <f>IFERROR(VLOOKUP(VLOOKUP(A567,'Sales Order'!A:C,3,FALSE),Employee!A:J,10,FALSE),"Not Specified")</f>
        <v>WA</v>
      </c>
      <c r="J567" t="str">
        <f>VLOOKUP(B567,Product!A:B,2,FALSE)</f>
        <v>Product BWRLG</v>
      </c>
      <c r="K567" t="str">
        <f>VLOOKUP(VLOOKUP(B567,Product!A:D,4,FALSE),Category!A:B,2,FALSE)</f>
        <v>Beverages</v>
      </c>
      <c r="L567" s="24">
        <f>IFERROR(VLOOKUP(A567,'Sales Order'!A:D,4,FALSE),"")</f>
        <v>39141</v>
      </c>
      <c r="M567" s="24">
        <f>IFERROR(VLOOKUP(A567,'Sales Order'!A:F,6,FALSE),"")</f>
        <v>39144</v>
      </c>
      <c r="N567" t="str">
        <f>IFERROR(VLOOKUP(VLOOKUP(A567,'Sales Order'!A:G,7,FALSE),Shipper!A:B,2,FALSE),"Not Specified")</f>
        <v>Shipper GVSUA</v>
      </c>
      <c r="O567" t="str">
        <f>IFERROR(VLOOKUP(A567,'Sales Order'!A:I,9,FALSE),"Not Specified")</f>
        <v>Destination YCMPK</v>
      </c>
      <c r="P567" t="str">
        <f>IFERROR(VLOOKUP(A567,'Sales Order'!A:N,14,FALSE),"Not Specified")</f>
        <v>Sweden</v>
      </c>
      <c r="Q567" t="str">
        <f>VLOOKUP(VLOOKUP(B567,Product!A:C,3,FALSE),Supplier!A:B,2,FALSE)</f>
        <v>Supplier SVIYA</v>
      </c>
      <c r="R567" t="str">
        <f>VLOOKUP(VLOOKUP(B567,Product!A:C,3,FALSE),Supplier!A:I,9,FALSE)</f>
        <v>Germany</v>
      </c>
      <c r="S567" t="str">
        <f>IFERROR(IF(VLOOKUP(A567,'Sales Order'!A:H,8,FALSE)&gt;100,"High Freight","Low Freight"),"Not Specified")</f>
        <v>Low Freight</v>
      </c>
      <c r="T567">
        <f t="shared" si="17"/>
        <v>18.600000000000001</v>
      </c>
    </row>
    <row r="568" spans="1:20">
      <c r="A568" s="9">
        <v>10461</v>
      </c>
      <c r="B568" s="6">
        <v>21</v>
      </c>
      <c r="C568" s="6">
        <v>8</v>
      </c>
      <c r="D568" s="6">
        <v>40</v>
      </c>
      <c r="E568" s="18">
        <v>0.25</v>
      </c>
      <c r="F568" s="6" t="str">
        <f>IFERROR(VLOOKUP(VLOOKUP(A568,'Sales Order'!A:B,2,FALSE),Customer!A:C,3,FALSE),"Not Specified")</f>
        <v>Dressler, Marlies</v>
      </c>
      <c r="G568" s="6" t="str">
        <f t="shared" si="16"/>
        <v>Dressler Marlies</v>
      </c>
      <c r="H568" s="22" t="str">
        <f>IFERROR(VLOOKUP(VLOOKUP(A568,'Sales Order'!A:C,3,FALSE),Employee!A:E,5,FALSE)&amp;" "&amp;VLOOKUP(VLOOKUP(A568,'Sales Order'!A:C,3,FALSE),Employee!A:C,3,FALSE)&amp;" "&amp;VLOOKUP(VLOOKUP(A568,'Sales Order'!A:C,3,FALSE),Employee!A:B,2,FALSE),"Not Specified")</f>
        <v>Ms. Sara Davis</v>
      </c>
      <c r="I568" t="str">
        <f>IFERROR(VLOOKUP(VLOOKUP(A568,'Sales Order'!A:C,3,FALSE),Employee!A:J,10,FALSE),"Not Specified")</f>
        <v>WA</v>
      </c>
      <c r="J568" t="str">
        <f>VLOOKUP(B568,Product!A:B,2,FALSE)</f>
        <v>Product VJZZH</v>
      </c>
      <c r="K568" t="str">
        <f>VLOOKUP(VLOOKUP(B568,Product!A:D,4,FALSE),Category!A:B,2,FALSE)</f>
        <v>Confections</v>
      </c>
      <c r="L568" s="24">
        <f>IFERROR(VLOOKUP(A568,'Sales Order'!A:D,4,FALSE),"")</f>
        <v>39141</v>
      </c>
      <c r="M568" s="24">
        <f>IFERROR(VLOOKUP(A568,'Sales Order'!A:F,6,FALSE),"")</f>
        <v>39146</v>
      </c>
      <c r="N568" t="str">
        <f>IFERROR(VLOOKUP(VLOOKUP(A568,'Sales Order'!A:G,7,FALSE),Shipper!A:B,2,FALSE),"Not Specified")</f>
        <v>Shipper ZHISN</v>
      </c>
      <c r="O568" t="str">
        <f>IFERROR(VLOOKUP(A568,'Sales Order'!A:I,9,FALSE),"Not Specified")</f>
        <v>Ship to 46-A</v>
      </c>
      <c r="P568" t="str">
        <f>IFERROR(VLOOKUP(A568,'Sales Order'!A:N,14,FALSE),"Not Specified")</f>
        <v>Venezuela</v>
      </c>
      <c r="Q568" t="str">
        <f>VLOOKUP(VLOOKUP(B568,Product!A:C,3,FALSE),Supplier!A:B,2,FALSE)</f>
        <v>Supplier BWGYE</v>
      </c>
      <c r="R568" t="str">
        <f>VLOOKUP(VLOOKUP(B568,Product!A:C,3,FALSE),Supplier!A:I,9,FALSE)</f>
        <v>UK</v>
      </c>
      <c r="S568" t="str">
        <f>IFERROR(IF(VLOOKUP(A568,'Sales Order'!A:H,8,FALSE)&gt;100,"High Freight","Low Freight"),"Not Specified")</f>
        <v>High Freight</v>
      </c>
      <c r="T568">
        <f t="shared" si="17"/>
        <v>240</v>
      </c>
    </row>
    <row r="569" spans="1:20">
      <c r="A569" s="9">
        <v>10461</v>
      </c>
      <c r="B569" s="6">
        <v>30</v>
      </c>
      <c r="C569" s="6">
        <v>20.7</v>
      </c>
      <c r="D569" s="6">
        <v>28</v>
      </c>
      <c r="E569" s="18">
        <v>0.25</v>
      </c>
      <c r="F569" s="6" t="str">
        <f>IFERROR(VLOOKUP(VLOOKUP(A569,'Sales Order'!A:B,2,FALSE),Customer!A:C,3,FALSE),"Not Specified")</f>
        <v>Dressler, Marlies</v>
      </c>
      <c r="G569" s="6" t="str">
        <f t="shared" si="16"/>
        <v>Dressler Marlies</v>
      </c>
      <c r="H569" s="22" t="str">
        <f>IFERROR(VLOOKUP(VLOOKUP(A569,'Sales Order'!A:C,3,FALSE),Employee!A:E,5,FALSE)&amp;" "&amp;VLOOKUP(VLOOKUP(A569,'Sales Order'!A:C,3,FALSE),Employee!A:C,3,FALSE)&amp;" "&amp;VLOOKUP(VLOOKUP(A569,'Sales Order'!A:C,3,FALSE),Employee!A:B,2,FALSE),"Not Specified")</f>
        <v>Ms. Sara Davis</v>
      </c>
      <c r="I569" t="str">
        <f>IFERROR(VLOOKUP(VLOOKUP(A569,'Sales Order'!A:C,3,FALSE),Employee!A:J,10,FALSE),"Not Specified")</f>
        <v>WA</v>
      </c>
      <c r="J569" t="str">
        <f>VLOOKUP(B569,Product!A:B,2,FALSE)</f>
        <v>Product LYERX</v>
      </c>
      <c r="K569" t="str">
        <f>VLOOKUP(VLOOKUP(B569,Product!A:D,4,FALSE),Category!A:B,2,FALSE)</f>
        <v>Seafood</v>
      </c>
      <c r="L569" s="24">
        <f>IFERROR(VLOOKUP(A569,'Sales Order'!A:D,4,FALSE),"")</f>
        <v>39141</v>
      </c>
      <c r="M569" s="24">
        <f>IFERROR(VLOOKUP(A569,'Sales Order'!A:F,6,FALSE),"")</f>
        <v>39146</v>
      </c>
      <c r="N569" t="str">
        <f>IFERROR(VLOOKUP(VLOOKUP(A569,'Sales Order'!A:G,7,FALSE),Shipper!A:B,2,FALSE),"Not Specified")</f>
        <v>Shipper ZHISN</v>
      </c>
      <c r="O569" t="str">
        <f>IFERROR(VLOOKUP(A569,'Sales Order'!A:I,9,FALSE),"Not Specified")</f>
        <v>Ship to 46-A</v>
      </c>
      <c r="P569" t="str">
        <f>IFERROR(VLOOKUP(A569,'Sales Order'!A:N,14,FALSE),"Not Specified")</f>
        <v>Venezuela</v>
      </c>
      <c r="Q569" t="str">
        <f>VLOOKUP(VLOOKUP(B569,Product!A:C,3,FALSE),Supplier!A:B,2,FALSE)</f>
        <v>Supplier TEGSC</v>
      </c>
      <c r="R569" t="str">
        <f>VLOOKUP(VLOOKUP(B569,Product!A:C,3,FALSE),Supplier!A:I,9,FALSE)</f>
        <v>Germany</v>
      </c>
      <c r="S569" t="str">
        <f>IFERROR(IF(VLOOKUP(A569,'Sales Order'!A:H,8,FALSE)&gt;100,"High Freight","Low Freight"),"Not Specified")</f>
        <v>High Freight</v>
      </c>
      <c r="T569">
        <f t="shared" si="17"/>
        <v>434.70000000000005</v>
      </c>
    </row>
    <row r="570" spans="1:20">
      <c r="A570" s="9">
        <v>10461</v>
      </c>
      <c r="B570" s="6">
        <v>55</v>
      </c>
      <c r="C570" s="6">
        <v>19.2</v>
      </c>
      <c r="D570" s="6">
        <v>60</v>
      </c>
      <c r="E570" s="18">
        <v>0.25</v>
      </c>
      <c r="F570" s="6" t="str">
        <f>IFERROR(VLOOKUP(VLOOKUP(A570,'Sales Order'!A:B,2,FALSE),Customer!A:C,3,FALSE),"Not Specified")</f>
        <v>Dressler, Marlies</v>
      </c>
      <c r="G570" s="6" t="str">
        <f t="shared" si="16"/>
        <v>Dressler Marlies</v>
      </c>
      <c r="H570" s="22" t="str">
        <f>IFERROR(VLOOKUP(VLOOKUP(A570,'Sales Order'!A:C,3,FALSE),Employee!A:E,5,FALSE)&amp;" "&amp;VLOOKUP(VLOOKUP(A570,'Sales Order'!A:C,3,FALSE),Employee!A:C,3,FALSE)&amp;" "&amp;VLOOKUP(VLOOKUP(A570,'Sales Order'!A:C,3,FALSE),Employee!A:B,2,FALSE),"Not Specified")</f>
        <v>Ms. Sara Davis</v>
      </c>
      <c r="I570" t="str">
        <f>IFERROR(VLOOKUP(VLOOKUP(A570,'Sales Order'!A:C,3,FALSE),Employee!A:J,10,FALSE),"Not Specified")</f>
        <v>WA</v>
      </c>
      <c r="J570" t="str">
        <f>VLOOKUP(B570,Product!A:B,2,FALSE)</f>
        <v>Product YYWRT</v>
      </c>
      <c r="K570" t="str">
        <f>VLOOKUP(VLOOKUP(B570,Product!A:D,4,FALSE),Category!A:B,2,FALSE)</f>
        <v>Meat/Poultry</v>
      </c>
      <c r="L570" s="24">
        <f>IFERROR(VLOOKUP(A570,'Sales Order'!A:D,4,FALSE),"")</f>
        <v>39141</v>
      </c>
      <c r="M570" s="24">
        <f>IFERROR(VLOOKUP(A570,'Sales Order'!A:F,6,FALSE),"")</f>
        <v>39146</v>
      </c>
      <c r="N570" t="str">
        <f>IFERROR(VLOOKUP(VLOOKUP(A570,'Sales Order'!A:G,7,FALSE),Shipper!A:B,2,FALSE),"Not Specified")</f>
        <v>Shipper ZHISN</v>
      </c>
      <c r="O570" t="str">
        <f>IFERROR(VLOOKUP(A570,'Sales Order'!A:I,9,FALSE),"Not Specified")</f>
        <v>Ship to 46-A</v>
      </c>
      <c r="P570" t="str">
        <f>IFERROR(VLOOKUP(A570,'Sales Order'!A:N,14,FALSE),"Not Specified")</f>
        <v>Venezuela</v>
      </c>
      <c r="Q570" t="str">
        <f>VLOOKUP(VLOOKUP(B570,Product!A:C,3,FALSE),Supplier!A:B,2,FALSE)</f>
        <v>Supplier ERVYZ</v>
      </c>
      <c r="R570" t="str">
        <f>VLOOKUP(VLOOKUP(B570,Product!A:C,3,FALSE),Supplier!A:I,9,FALSE)</f>
        <v>Canada</v>
      </c>
      <c r="S570" t="str">
        <f>IFERROR(IF(VLOOKUP(A570,'Sales Order'!A:H,8,FALSE)&gt;100,"High Freight","Low Freight"),"Not Specified")</f>
        <v>High Freight</v>
      </c>
      <c r="T570">
        <f t="shared" si="17"/>
        <v>864</v>
      </c>
    </row>
    <row r="571" spans="1:20">
      <c r="A571" s="9">
        <v>10462</v>
      </c>
      <c r="B571" s="6">
        <v>13</v>
      </c>
      <c r="C571" s="6">
        <v>4.8</v>
      </c>
      <c r="D571" s="6">
        <v>1</v>
      </c>
      <c r="E571" s="18">
        <v>0</v>
      </c>
      <c r="F571" s="6" t="str">
        <f>IFERROR(VLOOKUP(VLOOKUP(A571,'Sales Order'!A:B,2,FALSE),Customer!A:C,3,FALSE),"Not Specified")</f>
        <v>Birkby, Dana</v>
      </c>
      <c r="G571" s="6" t="str">
        <f t="shared" si="16"/>
        <v>Birkby Dana</v>
      </c>
      <c r="H571" s="22" t="str">
        <f>IFERROR(VLOOKUP(VLOOKUP(A571,'Sales Order'!A:C,3,FALSE),Employee!A:E,5,FALSE)&amp;" "&amp;VLOOKUP(VLOOKUP(A571,'Sales Order'!A:C,3,FALSE),Employee!A:C,3,FALSE)&amp;" "&amp;VLOOKUP(VLOOKUP(A571,'Sales Order'!A:C,3,FALSE),Employee!A:B,2,FALSE),"Not Specified")</f>
        <v>Dr. Don Funk</v>
      </c>
      <c r="I571" t="str">
        <f>IFERROR(VLOOKUP(VLOOKUP(A571,'Sales Order'!A:C,3,FALSE),Employee!A:J,10,FALSE),"Not Specified")</f>
        <v>WA</v>
      </c>
      <c r="J571" t="str">
        <f>VLOOKUP(B571,Product!A:B,2,FALSE)</f>
        <v>Product POXFU</v>
      </c>
      <c r="K571" t="str">
        <f>VLOOKUP(VLOOKUP(B571,Product!A:D,4,FALSE),Category!A:B,2,FALSE)</f>
        <v>Seafood</v>
      </c>
      <c r="L571" s="24">
        <f>IFERROR(VLOOKUP(A571,'Sales Order'!A:D,4,FALSE),"")</f>
        <v>39144</v>
      </c>
      <c r="M571" s="24">
        <f>IFERROR(VLOOKUP(A571,'Sales Order'!A:F,6,FALSE),"")</f>
        <v>39159</v>
      </c>
      <c r="N571" t="str">
        <f>IFERROR(VLOOKUP(VLOOKUP(A571,'Sales Order'!A:G,7,FALSE),Shipper!A:B,2,FALSE),"Not Specified")</f>
        <v>Shipper GVSUA</v>
      </c>
      <c r="O571" t="str">
        <f>IFERROR(VLOOKUP(A571,'Sales Order'!A:I,9,FALSE),"Not Specified")</f>
        <v>Destination ARRMM</v>
      </c>
      <c r="P571" t="str">
        <f>IFERROR(VLOOKUP(A571,'Sales Order'!A:N,14,FALSE),"Not Specified")</f>
        <v>UK</v>
      </c>
      <c r="Q571" t="str">
        <f>VLOOKUP(VLOOKUP(B571,Product!A:C,3,FALSE),Supplier!A:B,2,FALSE)</f>
        <v>Supplier QWUSF</v>
      </c>
      <c r="R571" t="str">
        <f>VLOOKUP(VLOOKUP(B571,Product!A:C,3,FALSE),Supplier!A:I,9,FALSE)</f>
        <v>Japan</v>
      </c>
      <c r="S571" t="str">
        <f>IFERROR(IF(VLOOKUP(A571,'Sales Order'!A:H,8,FALSE)&gt;100,"High Freight","Low Freight"),"Not Specified")</f>
        <v>Low Freight</v>
      </c>
      <c r="T571">
        <f t="shared" si="17"/>
        <v>4.8</v>
      </c>
    </row>
    <row r="572" spans="1:20">
      <c r="A572" s="9">
        <v>10462</v>
      </c>
      <c r="B572" s="6">
        <v>23</v>
      </c>
      <c r="C572" s="6">
        <v>7.2</v>
      </c>
      <c r="D572" s="6">
        <v>21</v>
      </c>
      <c r="E572" s="18">
        <v>0</v>
      </c>
      <c r="F572" s="6" t="str">
        <f>IFERROR(VLOOKUP(VLOOKUP(A572,'Sales Order'!A:B,2,FALSE),Customer!A:C,3,FALSE),"Not Specified")</f>
        <v>Birkby, Dana</v>
      </c>
      <c r="G572" s="6" t="str">
        <f t="shared" si="16"/>
        <v>Birkby Dana</v>
      </c>
      <c r="H572" s="22" t="str">
        <f>IFERROR(VLOOKUP(VLOOKUP(A572,'Sales Order'!A:C,3,FALSE),Employee!A:E,5,FALSE)&amp;" "&amp;VLOOKUP(VLOOKUP(A572,'Sales Order'!A:C,3,FALSE),Employee!A:C,3,FALSE)&amp;" "&amp;VLOOKUP(VLOOKUP(A572,'Sales Order'!A:C,3,FALSE),Employee!A:B,2,FALSE),"Not Specified")</f>
        <v>Dr. Don Funk</v>
      </c>
      <c r="I572" t="str">
        <f>IFERROR(VLOOKUP(VLOOKUP(A572,'Sales Order'!A:C,3,FALSE),Employee!A:J,10,FALSE),"Not Specified")</f>
        <v>WA</v>
      </c>
      <c r="J572" t="str">
        <f>VLOOKUP(B572,Product!A:B,2,FALSE)</f>
        <v>Product JLUDZ</v>
      </c>
      <c r="K572" t="str">
        <f>VLOOKUP(VLOOKUP(B572,Product!A:D,4,FALSE),Category!A:B,2,FALSE)</f>
        <v>Grains/Cereals</v>
      </c>
      <c r="L572" s="24">
        <f>IFERROR(VLOOKUP(A572,'Sales Order'!A:D,4,FALSE),"")</f>
        <v>39144</v>
      </c>
      <c r="M572" s="24">
        <f>IFERROR(VLOOKUP(A572,'Sales Order'!A:F,6,FALSE),"")</f>
        <v>39159</v>
      </c>
      <c r="N572" t="str">
        <f>IFERROR(VLOOKUP(VLOOKUP(A572,'Sales Order'!A:G,7,FALSE),Shipper!A:B,2,FALSE),"Not Specified")</f>
        <v>Shipper GVSUA</v>
      </c>
      <c r="O572" t="str">
        <f>IFERROR(VLOOKUP(A572,'Sales Order'!A:I,9,FALSE),"Not Specified")</f>
        <v>Destination ARRMM</v>
      </c>
      <c r="P572" t="str">
        <f>IFERROR(VLOOKUP(A572,'Sales Order'!A:N,14,FALSE),"Not Specified")</f>
        <v>UK</v>
      </c>
      <c r="Q572" t="str">
        <f>VLOOKUP(VLOOKUP(B572,Product!A:C,3,FALSE),Supplier!A:B,2,FALSE)</f>
        <v>Supplier QQYEU</v>
      </c>
      <c r="R572" t="str">
        <f>VLOOKUP(VLOOKUP(B572,Product!A:C,3,FALSE),Supplier!A:I,9,FALSE)</f>
        <v>Sweden</v>
      </c>
      <c r="S572" t="str">
        <f>IFERROR(IF(VLOOKUP(A572,'Sales Order'!A:H,8,FALSE)&gt;100,"High Freight","Low Freight"),"Not Specified")</f>
        <v>Low Freight</v>
      </c>
      <c r="T572">
        <f t="shared" si="17"/>
        <v>151.20000000000002</v>
      </c>
    </row>
    <row r="573" spans="1:20">
      <c r="A573" s="9">
        <v>10463</v>
      </c>
      <c r="B573" s="6">
        <v>19</v>
      </c>
      <c r="C573" s="6">
        <v>7.3</v>
      </c>
      <c r="D573" s="6">
        <v>21</v>
      </c>
      <c r="E573" s="18">
        <v>0</v>
      </c>
      <c r="F573" s="6" t="str">
        <f>IFERROR(VLOOKUP(VLOOKUP(A573,'Sales Order'!A:B,2,FALSE),Customer!A:C,3,FALSE),"Not Specified")</f>
        <v>Gulbis, Katrin</v>
      </c>
      <c r="G573" s="6" t="str">
        <f t="shared" si="16"/>
        <v>Gulbis Katrin</v>
      </c>
      <c r="H573" s="22" t="str">
        <f>IFERROR(VLOOKUP(VLOOKUP(A573,'Sales Order'!A:C,3,FALSE),Employee!A:E,5,FALSE)&amp;" "&amp;VLOOKUP(VLOOKUP(A573,'Sales Order'!A:C,3,FALSE),Employee!A:C,3,FALSE)&amp;" "&amp;VLOOKUP(VLOOKUP(A573,'Sales Order'!A:C,3,FALSE),Employee!A:B,2,FALSE),"Not Specified")</f>
        <v>Mr. Sven Buck</v>
      </c>
      <c r="I573">
        <f>IFERROR(VLOOKUP(VLOOKUP(A573,'Sales Order'!A:C,3,FALSE),Employee!A:J,10,FALSE),"Not Specified")</f>
        <v>0</v>
      </c>
      <c r="J573" t="str">
        <f>VLOOKUP(B573,Product!A:B,2,FALSE)</f>
        <v>Product XKXDO</v>
      </c>
      <c r="K573" t="str">
        <f>VLOOKUP(VLOOKUP(B573,Product!A:D,4,FALSE),Category!A:B,2,FALSE)</f>
        <v>Confections</v>
      </c>
      <c r="L573" s="24">
        <f>IFERROR(VLOOKUP(A573,'Sales Order'!A:D,4,FALSE),"")</f>
        <v>39145</v>
      </c>
      <c r="M573" s="24">
        <f>IFERROR(VLOOKUP(A573,'Sales Order'!A:F,6,FALSE),"")</f>
        <v>39147</v>
      </c>
      <c r="N573" t="str">
        <f>IFERROR(VLOOKUP(VLOOKUP(A573,'Sales Order'!A:G,7,FALSE),Shipper!A:B,2,FALSE),"Not Specified")</f>
        <v>Shipper ZHISN</v>
      </c>
      <c r="O573" t="str">
        <f>IFERROR(VLOOKUP(A573,'Sales Order'!A:I,9,FALSE),"Not Specified")</f>
        <v>Ship to 76-B</v>
      </c>
      <c r="P573" t="str">
        <f>IFERROR(VLOOKUP(A573,'Sales Order'!A:N,14,FALSE),"Not Specified")</f>
        <v>Belgium</v>
      </c>
      <c r="Q573" t="str">
        <f>VLOOKUP(VLOOKUP(B573,Product!A:C,3,FALSE),Supplier!A:B,2,FALSE)</f>
        <v>Supplier BWGYE</v>
      </c>
      <c r="R573" t="str">
        <f>VLOOKUP(VLOOKUP(B573,Product!A:C,3,FALSE),Supplier!A:I,9,FALSE)</f>
        <v>UK</v>
      </c>
      <c r="S573" t="str">
        <f>IFERROR(IF(VLOOKUP(A573,'Sales Order'!A:H,8,FALSE)&gt;100,"High Freight","Low Freight"),"Not Specified")</f>
        <v>Low Freight</v>
      </c>
      <c r="T573">
        <f t="shared" si="17"/>
        <v>153.29999999999998</v>
      </c>
    </row>
    <row r="574" spans="1:20">
      <c r="A574" s="9">
        <v>10463</v>
      </c>
      <c r="B574" s="6">
        <v>42</v>
      </c>
      <c r="C574" s="6">
        <v>11.2</v>
      </c>
      <c r="D574" s="6">
        <v>50</v>
      </c>
      <c r="E574" s="18">
        <v>0</v>
      </c>
      <c r="F574" s="6" t="str">
        <f>IFERROR(VLOOKUP(VLOOKUP(A574,'Sales Order'!A:B,2,FALSE),Customer!A:C,3,FALSE),"Not Specified")</f>
        <v>Gulbis, Katrin</v>
      </c>
      <c r="G574" s="6" t="str">
        <f t="shared" si="16"/>
        <v>Gulbis Katrin</v>
      </c>
      <c r="H574" s="22" t="str">
        <f>IFERROR(VLOOKUP(VLOOKUP(A574,'Sales Order'!A:C,3,FALSE),Employee!A:E,5,FALSE)&amp;" "&amp;VLOOKUP(VLOOKUP(A574,'Sales Order'!A:C,3,FALSE),Employee!A:C,3,FALSE)&amp;" "&amp;VLOOKUP(VLOOKUP(A574,'Sales Order'!A:C,3,FALSE),Employee!A:B,2,FALSE),"Not Specified")</f>
        <v>Mr. Sven Buck</v>
      </c>
      <c r="I574">
        <f>IFERROR(VLOOKUP(VLOOKUP(A574,'Sales Order'!A:C,3,FALSE),Employee!A:J,10,FALSE),"Not Specified")</f>
        <v>0</v>
      </c>
      <c r="J574" t="str">
        <f>VLOOKUP(B574,Product!A:B,2,FALSE)</f>
        <v>Product RJVNM</v>
      </c>
      <c r="K574" t="str">
        <f>VLOOKUP(VLOOKUP(B574,Product!A:D,4,FALSE),Category!A:B,2,FALSE)</f>
        <v>Grains/Cereals</v>
      </c>
      <c r="L574" s="24">
        <f>IFERROR(VLOOKUP(A574,'Sales Order'!A:D,4,FALSE),"")</f>
        <v>39145</v>
      </c>
      <c r="M574" s="24">
        <f>IFERROR(VLOOKUP(A574,'Sales Order'!A:F,6,FALSE),"")</f>
        <v>39147</v>
      </c>
      <c r="N574" t="str">
        <f>IFERROR(VLOOKUP(VLOOKUP(A574,'Sales Order'!A:G,7,FALSE),Shipper!A:B,2,FALSE),"Not Specified")</f>
        <v>Shipper ZHISN</v>
      </c>
      <c r="O574" t="str">
        <f>IFERROR(VLOOKUP(A574,'Sales Order'!A:I,9,FALSE),"Not Specified")</f>
        <v>Ship to 76-B</v>
      </c>
      <c r="P574" t="str">
        <f>IFERROR(VLOOKUP(A574,'Sales Order'!A:N,14,FALSE),"Not Specified")</f>
        <v>Belgium</v>
      </c>
      <c r="Q574" t="str">
        <f>VLOOKUP(VLOOKUP(B574,Product!A:C,3,FALSE),Supplier!A:B,2,FALSE)</f>
        <v>Supplier CIYNM</v>
      </c>
      <c r="R574" t="str">
        <f>VLOOKUP(VLOOKUP(B574,Product!A:C,3,FALSE),Supplier!A:I,9,FALSE)</f>
        <v>Singapore</v>
      </c>
      <c r="S574" t="str">
        <f>IFERROR(IF(VLOOKUP(A574,'Sales Order'!A:H,8,FALSE)&gt;100,"High Freight","Low Freight"),"Not Specified")</f>
        <v>Low Freight</v>
      </c>
      <c r="T574">
        <f t="shared" si="17"/>
        <v>560</v>
      </c>
    </row>
    <row r="575" spans="1:20">
      <c r="A575" s="9">
        <v>10464</v>
      </c>
      <c r="B575" s="6">
        <v>4</v>
      </c>
      <c r="C575" s="6">
        <v>17.600000000000001</v>
      </c>
      <c r="D575" s="6">
        <v>16</v>
      </c>
      <c r="E575" s="18">
        <v>0.2</v>
      </c>
      <c r="F575" s="6" t="str">
        <f>IFERROR(VLOOKUP(VLOOKUP(A575,'Sales Order'!A:B,2,FALSE),Customer!A:C,3,FALSE),"Not Specified")</f>
        <v>Cavaglieri, Giorgio</v>
      </c>
      <c r="G575" s="6" t="str">
        <f t="shared" si="16"/>
        <v>Cavaglieri Giorgio</v>
      </c>
      <c r="H575" s="22" t="str">
        <f>IFERROR(VLOOKUP(VLOOKUP(A575,'Sales Order'!A:C,3,FALSE),Employee!A:E,5,FALSE)&amp;" "&amp;VLOOKUP(VLOOKUP(A575,'Sales Order'!A:C,3,FALSE),Employee!A:C,3,FALSE)&amp;" "&amp;VLOOKUP(VLOOKUP(A575,'Sales Order'!A:C,3,FALSE),Employee!A:B,2,FALSE),"Not Specified")</f>
        <v>Mrs. Yael Peled</v>
      </c>
      <c r="I575" t="str">
        <f>IFERROR(VLOOKUP(VLOOKUP(A575,'Sales Order'!A:C,3,FALSE),Employee!A:J,10,FALSE),"Not Specified")</f>
        <v>WA</v>
      </c>
      <c r="J575" t="str">
        <f>VLOOKUP(B575,Product!A:B,2,FALSE)</f>
        <v>Product KSBRM</v>
      </c>
      <c r="K575" t="str">
        <f>VLOOKUP(VLOOKUP(B575,Product!A:D,4,FALSE),Category!A:B,2,FALSE)</f>
        <v>Condiments</v>
      </c>
      <c r="L575" s="24">
        <f>IFERROR(VLOOKUP(A575,'Sales Order'!A:D,4,FALSE),"")</f>
        <v>39145</v>
      </c>
      <c r="M575" s="24">
        <f>IFERROR(VLOOKUP(A575,'Sales Order'!A:F,6,FALSE),"")</f>
        <v>39155</v>
      </c>
      <c r="N575" t="str">
        <f>IFERROR(VLOOKUP(VLOOKUP(A575,'Sales Order'!A:G,7,FALSE),Shipper!A:B,2,FALSE),"Not Specified")</f>
        <v>Shipper ETYNR</v>
      </c>
      <c r="O575" t="str">
        <f>IFERROR(VLOOKUP(A575,'Sales Order'!A:I,9,FALSE),"Not Specified")</f>
        <v>Destination OTSWR</v>
      </c>
      <c r="P575" t="str">
        <f>IFERROR(VLOOKUP(A575,'Sales Order'!A:N,14,FALSE),"Not Specified")</f>
        <v>Portugal</v>
      </c>
      <c r="Q575" t="str">
        <f>VLOOKUP(VLOOKUP(B575,Product!A:C,3,FALSE),Supplier!A:B,2,FALSE)</f>
        <v>Supplier VHQZD</v>
      </c>
      <c r="R575" t="str">
        <f>VLOOKUP(VLOOKUP(B575,Product!A:C,3,FALSE),Supplier!A:I,9,FALSE)</f>
        <v>USA</v>
      </c>
      <c r="S575" t="str">
        <f>IFERROR(IF(VLOOKUP(A575,'Sales Order'!A:H,8,FALSE)&gt;100,"High Freight","Low Freight"),"Not Specified")</f>
        <v>Low Freight</v>
      </c>
      <c r="T575">
        <f t="shared" si="17"/>
        <v>225.28000000000003</v>
      </c>
    </row>
    <row r="576" spans="1:20">
      <c r="A576" s="9">
        <v>10464</v>
      </c>
      <c r="B576" s="6">
        <v>43</v>
      </c>
      <c r="C576" s="6">
        <v>36.799999999999997</v>
      </c>
      <c r="D576" s="6">
        <v>3</v>
      </c>
      <c r="E576" s="18">
        <v>0</v>
      </c>
      <c r="F576" s="6" t="str">
        <f>IFERROR(VLOOKUP(VLOOKUP(A576,'Sales Order'!A:B,2,FALSE),Customer!A:C,3,FALSE),"Not Specified")</f>
        <v>Cavaglieri, Giorgio</v>
      </c>
      <c r="G576" s="6" t="str">
        <f t="shared" si="16"/>
        <v>Cavaglieri Giorgio</v>
      </c>
      <c r="H576" s="22" t="str">
        <f>IFERROR(VLOOKUP(VLOOKUP(A576,'Sales Order'!A:C,3,FALSE),Employee!A:E,5,FALSE)&amp;" "&amp;VLOOKUP(VLOOKUP(A576,'Sales Order'!A:C,3,FALSE),Employee!A:C,3,FALSE)&amp;" "&amp;VLOOKUP(VLOOKUP(A576,'Sales Order'!A:C,3,FALSE),Employee!A:B,2,FALSE),"Not Specified")</f>
        <v>Mrs. Yael Peled</v>
      </c>
      <c r="I576" t="str">
        <f>IFERROR(VLOOKUP(VLOOKUP(A576,'Sales Order'!A:C,3,FALSE),Employee!A:J,10,FALSE),"Not Specified")</f>
        <v>WA</v>
      </c>
      <c r="J576" t="str">
        <f>VLOOKUP(B576,Product!A:B,2,FALSE)</f>
        <v>Product ZZZHR</v>
      </c>
      <c r="K576" t="str">
        <f>VLOOKUP(VLOOKUP(B576,Product!A:D,4,FALSE),Category!A:B,2,FALSE)</f>
        <v>Beverages</v>
      </c>
      <c r="L576" s="24">
        <f>IFERROR(VLOOKUP(A576,'Sales Order'!A:D,4,FALSE),"")</f>
        <v>39145</v>
      </c>
      <c r="M576" s="24">
        <f>IFERROR(VLOOKUP(A576,'Sales Order'!A:F,6,FALSE),"")</f>
        <v>39155</v>
      </c>
      <c r="N576" t="str">
        <f>IFERROR(VLOOKUP(VLOOKUP(A576,'Sales Order'!A:G,7,FALSE),Shipper!A:B,2,FALSE),"Not Specified")</f>
        <v>Shipper ETYNR</v>
      </c>
      <c r="O576" t="str">
        <f>IFERROR(VLOOKUP(A576,'Sales Order'!A:I,9,FALSE),"Not Specified")</f>
        <v>Destination OTSWR</v>
      </c>
      <c r="P576" t="str">
        <f>IFERROR(VLOOKUP(A576,'Sales Order'!A:N,14,FALSE),"Not Specified")</f>
        <v>Portugal</v>
      </c>
      <c r="Q576" t="str">
        <f>VLOOKUP(VLOOKUP(B576,Product!A:C,3,FALSE),Supplier!A:B,2,FALSE)</f>
        <v>Supplier CIYNM</v>
      </c>
      <c r="R576" t="str">
        <f>VLOOKUP(VLOOKUP(B576,Product!A:C,3,FALSE),Supplier!A:I,9,FALSE)</f>
        <v>Singapore</v>
      </c>
      <c r="S576" t="str">
        <f>IFERROR(IF(VLOOKUP(A576,'Sales Order'!A:H,8,FALSE)&gt;100,"High Freight","Low Freight"),"Not Specified")</f>
        <v>Low Freight</v>
      </c>
      <c r="T576">
        <f t="shared" si="17"/>
        <v>110.39999999999999</v>
      </c>
    </row>
    <row r="577" spans="1:20">
      <c r="A577" s="9">
        <v>10464</v>
      </c>
      <c r="B577" s="6">
        <v>56</v>
      </c>
      <c r="C577" s="6">
        <v>30.4</v>
      </c>
      <c r="D577" s="6">
        <v>30</v>
      </c>
      <c r="E577" s="18">
        <v>0.2</v>
      </c>
      <c r="F577" s="6" t="str">
        <f>IFERROR(VLOOKUP(VLOOKUP(A577,'Sales Order'!A:B,2,FALSE),Customer!A:C,3,FALSE),"Not Specified")</f>
        <v>Cavaglieri, Giorgio</v>
      </c>
      <c r="G577" s="6" t="str">
        <f t="shared" si="16"/>
        <v>Cavaglieri Giorgio</v>
      </c>
      <c r="H577" s="22" t="str">
        <f>IFERROR(VLOOKUP(VLOOKUP(A577,'Sales Order'!A:C,3,FALSE),Employee!A:E,5,FALSE)&amp;" "&amp;VLOOKUP(VLOOKUP(A577,'Sales Order'!A:C,3,FALSE),Employee!A:C,3,FALSE)&amp;" "&amp;VLOOKUP(VLOOKUP(A577,'Sales Order'!A:C,3,FALSE),Employee!A:B,2,FALSE),"Not Specified")</f>
        <v>Mrs. Yael Peled</v>
      </c>
      <c r="I577" t="str">
        <f>IFERROR(VLOOKUP(VLOOKUP(A577,'Sales Order'!A:C,3,FALSE),Employee!A:J,10,FALSE),"Not Specified")</f>
        <v>WA</v>
      </c>
      <c r="J577" t="str">
        <f>VLOOKUP(B577,Product!A:B,2,FALSE)</f>
        <v>Product VKCMF</v>
      </c>
      <c r="K577" t="str">
        <f>VLOOKUP(VLOOKUP(B577,Product!A:D,4,FALSE),Category!A:B,2,FALSE)</f>
        <v>Grains/Cereals</v>
      </c>
      <c r="L577" s="24">
        <f>IFERROR(VLOOKUP(A577,'Sales Order'!A:D,4,FALSE),"")</f>
        <v>39145</v>
      </c>
      <c r="M577" s="24">
        <f>IFERROR(VLOOKUP(A577,'Sales Order'!A:F,6,FALSE),"")</f>
        <v>39155</v>
      </c>
      <c r="N577" t="str">
        <f>IFERROR(VLOOKUP(VLOOKUP(A577,'Sales Order'!A:G,7,FALSE),Shipper!A:B,2,FALSE),"Not Specified")</f>
        <v>Shipper ETYNR</v>
      </c>
      <c r="O577" t="str">
        <f>IFERROR(VLOOKUP(A577,'Sales Order'!A:I,9,FALSE),"Not Specified")</f>
        <v>Destination OTSWR</v>
      </c>
      <c r="P577" t="str">
        <f>IFERROR(VLOOKUP(A577,'Sales Order'!A:N,14,FALSE),"Not Specified")</f>
        <v>Portugal</v>
      </c>
      <c r="Q577" t="str">
        <f>VLOOKUP(VLOOKUP(B577,Product!A:C,3,FALSE),Supplier!A:B,2,FALSE)</f>
        <v>Supplier ZWZDM</v>
      </c>
      <c r="R577" t="str">
        <f>VLOOKUP(VLOOKUP(B577,Product!A:C,3,FALSE),Supplier!A:I,9,FALSE)</f>
        <v>Italy</v>
      </c>
      <c r="S577" t="str">
        <f>IFERROR(IF(VLOOKUP(A577,'Sales Order'!A:H,8,FALSE)&gt;100,"High Freight","Low Freight"),"Not Specified")</f>
        <v>Low Freight</v>
      </c>
      <c r="T577">
        <f t="shared" si="17"/>
        <v>729.6</v>
      </c>
    </row>
    <row r="578" spans="1:20">
      <c r="A578" s="9">
        <v>10464</v>
      </c>
      <c r="B578" s="6">
        <v>60</v>
      </c>
      <c r="C578" s="6">
        <v>27.2</v>
      </c>
      <c r="D578" s="6">
        <v>20</v>
      </c>
      <c r="E578" s="18">
        <v>0</v>
      </c>
      <c r="F578" s="6" t="str">
        <f>IFERROR(VLOOKUP(VLOOKUP(A578,'Sales Order'!A:B,2,FALSE),Customer!A:C,3,FALSE),"Not Specified")</f>
        <v>Cavaglieri, Giorgio</v>
      </c>
      <c r="G578" s="6" t="str">
        <f t="shared" si="16"/>
        <v>Cavaglieri Giorgio</v>
      </c>
      <c r="H578" s="22" t="str">
        <f>IFERROR(VLOOKUP(VLOOKUP(A578,'Sales Order'!A:C,3,FALSE),Employee!A:E,5,FALSE)&amp;" "&amp;VLOOKUP(VLOOKUP(A578,'Sales Order'!A:C,3,FALSE),Employee!A:C,3,FALSE)&amp;" "&amp;VLOOKUP(VLOOKUP(A578,'Sales Order'!A:C,3,FALSE),Employee!A:B,2,FALSE),"Not Specified")</f>
        <v>Mrs. Yael Peled</v>
      </c>
      <c r="I578" t="str">
        <f>IFERROR(VLOOKUP(VLOOKUP(A578,'Sales Order'!A:C,3,FALSE),Employee!A:J,10,FALSE),"Not Specified")</f>
        <v>WA</v>
      </c>
      <c r="J578" t="str">
        <f>VLOOKUP(B578,Product!A:B,2,FALSE)</f>
        <v>Product WHBYK</v>
      </c>
      <c r="K578" t="str">
        <f>VLOOKUP(VLOOKUP(B578,Product!A:D,4,FALSE),Category!A:B,2,FALSE)</f>
        <v>Dairy Product</v>
      </c>
      <c r="L578" s="24">
        <f>IFERROR(VLOOKUP(A578,'Sales Order'!A:D,4,FALSE),"")</f>
        <v>39145</v>
      </c>
      <c r="M578" s="24">
        <f>IFERROR(VLOOKUP(A578,'Sales Order'!A:F,6,FALSE),"")</f>
        <v>39155</v>
      </c>
      <c r="N578" t="str">
        <f>IFERROR(VLOOKUP(VLOOKUP(A578,'Sales Order'!A:G,7,FALSE),Shipper!A:B,2,FALSE),"Not Specified")</f>
        <v>Shipper ETYNR</v>
      </c>
      <c r="O578" t="str">
        <f>IFERROR(VLOOKUP(A578,'Sales Order'!A:I,9,FALSE),"Not Specified")</f>
        <v>Destination OTSWR</v>
      </c>
      <c r="P578" t="str">
        <f>IFERROR(VLOOKUP(A578,'Sales Order'!A:N,14,FALSE),"Not Specified")</f>
        <v>Portugal</v>
      </c>
      <c r="Q578" t="str">
        <f>VLOOKUP(VLOOKUP(B578,Product!A:C,3,FALSE),Supplier!A:B,2,FALSE)</f>
        <v>Supplier OAVQT</v>
      </c>
      <c r="R578" t="str">
        <f>VLOOKUP(VLOOKUP(B578,Product!A:C,3,FALSE),Supplier!A:I,9,FALSE)</f>
        <v>France</v>
      </c>
      <c r="S578" t="str">
        <f>IFERROR(IF(VLOOKUP(A578,'Sales Order'!A:H,8,FALSE)&gt;100,"High Freight","Low Freight"),"Not Specified")</f>
        <v>Low Freight</v>
      </c>
      <c r="T578">
        <f t="shared" si="17"/>
        <v>544</v>
      </c>
    </row>
    <row r="579" spans="1:20">
      <c r="A579" s="9">
        <v>10465</v>
      </c>
      <c r="B579" s="6">
        <v>24</v>
      </c>
      <c r="C579" s="6">
        <v>3.6</v>
      </c>
      <c r="D579" s="6">
        <v>25</v>
      </c>
      <c r="E579" s="18">
        <v>0</v>
      </c>
      <c r="F579" s="6" t="str">
        <f>IFERROR(VLOOKUP(VLOOKUP(A579,'Sales Order'!A:B,2,FALSE),Customer!A:C,3,FALSE),"Not Specified")</f>
        <v>Fonteneau, Karl</v>
      </c>
      <c r="G579" s="6" t="str">
        <f t="shared" ref="G579:G642" si="18">SUBSTITUTE(F579,",","",1)</f>
        <v>Fonteneau Karl</v>
      </c>
      <c r="H579" s="22" t="str">
        <f>IFERROR(VLOOKUP(VLOOKUP(A579,'Sales Order'!A:C,3,FALSE),Employee!A:E,5,FALSE)&amp;" "&amp;VLOOKUP(VLOOKUP(A579,'Sales Order'!A:C,3,FALSE),Employee!A:C,3,FALSE)&amp;" "&amp;VLOOKUP(VLOOKUP(A579,'Sales Order'!A:C,3,FALSE),Employee!A:B,2,FALSE),"Not Specified")</f>
        <v>Ms. Sara Davis</v>
      </c>
      <c r="I579" t="str">
        <f>IFERROR(VLOOKUP(VLOOKUP(A579,'Sales Order'!A:C,3,FALSE),Employee!A:J,10,FALSE),"Not Specified")</f>
        <v>WA</v>
      </c>
      <c r="J579" t="str">
        <f>VLOOKUP(B579,Product!A:B,2,FALSE)</f>
        <v>Product QOGNU</v>
      </c>
      <c r="K579" t="str">
        <f>VLOOKUP(VLOOKUP(B579,Product!A:D,4,FALSE),Category!A:B,2,FALSE)</f>
        <v>Beverages</v>
      </c>
      <c r="L579" s="24">
        <f>IFERROR(VLOOKUP(A579,'Sales Order'!A:D,4,FALSE),"")</f>
        <v>39146</v>
      </c>
      <c r="M579" s="24">
        <f>IFERROR(VLOOKUP(A579,'Sales Order'!A:F,6,FALSE),"")</f>
        <v>39155</v>
      </c>
      <c r="N579" t="str">
        <f>IFERROR(VLOOKUP(VLOOKUP(A579,'Sales Order'!A:G,7,FALSE),Shipper!A:B,2,FALSE),"Not Specified")</f>
        <v>Shipper ZHISN</v>
      </c>
      <c r="O579" t="str">
        <f>IFERROR(VLOOKUP(A579,'Sales Order'!A:I,9,FALSE),"Not Specified")</f>
        <v>Ship to 83-A</v>
      </c>
      <c r="P579" t="str">
        <f>IFERROR(VLOOKUP(A579,'Sales Order'!A:N,14,FALSE),"Not Specified")</f>
        <v>Denmark</v>
      </c>
      <c r="Q579" t="str">
        <f>VLOOKUP(VLOOKUP(B579,Product!A:C,3,FALSE),Supplier!A:B,2,FALSE)</f>
        <v>Supplier UNAHG</v>
      </c>
      <c r="R579" t="str">
        <f>VLOOKUP(VLOOKUP(B579,Product!A:C,3,FALSE),Supplier!A:I,9,FALSE)</f>
        <v>Brazil</v>
      </c>
      <c r="S579" t="str">
        <f>IFERROR(IF(VLOOKUP(A579,'Sales Order'!A:H,8,FALSE)&gt;100,"High Freight","Low Freight"),"Not Specified")</f>
        <v>High Freight</v>
      </c>
      <c r="T579">
        <f t="shared" ref="T579:T642" si="19">C579*D579*(1-E579)</f>
        <v>90</v>
      </c>
    </row>
    <row r="580" spans="1:20">
      <c r="A580" s="9">
        <v>10465</v>
      </c>
      <c r="B580" s="6">
        <v>29</v>
      </c>
      <c r="C580" s="6">
        <v>99</v>
      </c>
      <c r="D580" s="6">
        <v>18</v>
      </c>
      <c r="E580" s="18">
        <v>0.1</v>
      </c>
      <c r="F580" s="6" t="str">
        <f>IFERROR(VLOOKUP(VLOOKUP(A580,'Sales Order'!A:B,2,FALSE),Customer!A:C,3,FALSE),"Not Specified")</f>
        <v>Fonteneau, Karl</v>
      </c>
      <c r="G580" s="6" t="str">
        <f t="shared" si="18"/>
        <v>Fonteneau Karl</v>
      </c>
      <c r="H580" s="22" t="str">
        <f>IFERROR(VLOOKUP(VLOOKUP(A580,'Sales Order'!A:C,3,FALSE),Employee!A:E,5,FALSE)&amp;" "&amp;VLOOKUP(VLOOKUP(A580,'Sales Order'!A:C,3,FALSE),Employee!A:C,3,FALSE)&amp;" "&amp;VLOOKUP(VLOOKUP(A580,'Sales Order'!A:C,3,FALSE),Employee!A:B,2,FALSE),"Not Specified")</f>
        <v>Ms. Sara Davis</v>
      </c>
      <c r="I580" t="str">
        <f>IFERROR(VLOOKUP(VLOOKUP(A580,'Sales Order'!A:C,3,FALSE),Employee!A:J,10,FALSE),"Not Specified")</f>
        <v>WA</v>
      </c>
      <c r="J580" t="str">
        <f>VLOOKUP(B580,Product!A:B,2,FALSE)</f>
        <v>Product VJXYN</v>
      </c>
      <c r="K580" t="str">
        <f>VLOOKUP(VLOOKUP(B580,Product!A:D,4,FALSE),Category!A:B,2,FALSE)</f>
        <v>Meat/Poultry</v>
      </c>
      <c r="L580" s="24">
        <f>IFERROR(VLOOKUP(A580,'Sales Order'!A:D,4,FALSE),"")</f>
        <v>39146</v>
      </c>
      <c r="M580" s="24">
        <f>IFERROR(VLOOKUP(A580,'Sales Order'!A:F,6,FALSE),"")</f>
        <v>39155</v>
      </c>
      <c r="N580" t="str">
        <f>IFERROR(VLOOKUP(VLOOKUP(A580,'Sales Order'!A:G,7,FALSE),Shipper!A:B,2,FALSE),"Not Specified")</f>
        <v>Shipper ZHISN</v>
      </c>
      <c r="O580" t="str">
        <f>IFERROR(VLOOKUP(A580,'Sales Order'!A:I,9,FALSE),"Not Specified")</f>
        <v>Ship to 83-A</v>
      </c>
      <c r="P580" t="str">
        <f>IFERROR(VLOOKUP(A580,'Sales Order'!A:N,14,FALSE),"Not Specified")</f>
        <v>Denmark</v>
      </c>
      <c r="Q580" t="str">
        <f>VLOOKUP(VLOOKUP(B580,Product!A:C,3,FALSE),Supplier!A:B,2,FALSE)</f>
        <v>Supplier SVIYA</v>
      </c>
      <c r="R580" t="str">
        <f>VLOOKUP(VLOOKUP(B580,Product!A:C,3,FALSE),Supplier!A:I,9,FALSE)</f>
        <v>Germany</v>
      </c>
      <c r="S580" t="str">
        <f>IFERROR(IF(VLOOKUP(A580,'Sales Order'!A:H,8,FALSE)&gt;100,"High Freight","Low Freight"),"Not Specified")</f>
        <v>High Freight</v>
      </c>
      <c r="T580">
        <f t="shared" si="19"/>
        <v>1603.8</v>
      </c>
    </row>
    <row r="581" spans="1:20">
      <c r="A581" s="9">
        <v>10465</v>
      </c>
      <c r="B581" s="6">
        <v>40</v>
      </c>
      <c r="C581" s="6">
        <v>14.7</v>
      </c>
      <c r="D581" s="6">
        <v>20</v>
      </c>
      <c r="E581" s="18">
        <v>0</v>
      </c>
      <c r="F581" s="6" t="str">
        <f>IFERROR(VLOOKUP(VLOOKUP(A581,'Sales Order'!A:B,2,FALSE),Customer!A:C,3,FALSE),"Not Specified")</f>
        <v>Fonteneau, Karl</v>
      </c>
      <c r="G581" s="6" t="str">
        <f t="shared" si="18"/>
        <v>Fonteneau Karl</v>
      </c>
      <c r="H581" s="22" t="str">
        <f>IFERROR(VLOOKUP(VLOOKUP(A581,'Sales Order'!A:C,3,FALSE),Employee!A:E,5,FALSE)&amp;" "&amp;VLOOKUP(VLOOKUP(A581,'Sales Order'!A:C,3,FALSE),Employee!A:C,3,FALSE)&amp;" "&amp;VLOOKUP(VLOOKUP(A581,'Sales Order'!A:C,3,FALSE),Employee!A:B,2,FALSE),"Not Specified")</f>
        <v>Ms. Sara Davis</v>
      </c>
      <c r="I581" t="str">
        <f>IFERROR(VLOOKUP(VLOOKUP(A581,'Sales Order'!A:C,3,FALSE),Employee!A:J,10,FALSE),"Not Specified")</f>
        <v>WA</v>
      </c>
      <c r="J581" t="str">
        <f>VLOOKUP(B581,Product!A:B,2,FALSE)</f>
        <v>Product YZIXQ</v>
      </c>
      <c r="K581" t="str">
        <f>VLOOKUP(VLOOKUP(B581,Product!A:D,4,FALSE),Category!A:B,2,FALSE)</f>
        <v>Seafood</v>
      </c>
      <c r="L581" s="24">
        <f>IFERROR(VLOOKUP(A581,'Sales Order'!A:D,4,FALSE),"")</f>
        <v>39146</v>
      </c>
      <c r="M581" s="24">
        <f>IFERROR(VLOOKUP(A581,'Sales Order'!A:F,6,FALSE),"")</f>
        <v>39155</v>
      </c>
      <c r="N581" t="str">
        <f>IFERROR(VLOOKUP(VLOOKUP(A581,'Sales Order'!A:G,7,FALSE),Shipper!A:B,2,FALSE),"Not Specified")</f>
        <v>Shipper ZHISN</v>
      </c>
      <c r="O581" t="str">
        <f>IFERROR(VLOOKUP(A581,'Sales Order'!A:I,9,FALSE),"Not Specified")</f>
        <v>Ship to 83-A</v>
      </c>
      <c r="P581" t="str">
        <f>IFERROR(VLOOKUP(A581,'Sales Order'!A:N,14,FALSE),"Not Specified")</f>
        <v>Denmark</v>
      </c>
      <c r="Q581" t="str">
        <f>VLOOKUP(VLOOKUP(B581,Product!A:C,3,FALSE),Supplier!A:B,2,FALSE)</f>
        <v>Supplier JDNUG</v>
      </c>
      <c r="R581" t="str">
        <f>VLOOKUP(VLOOKUP(B581,Product!A:C,3,FALSE),Supplier!A:I,9,FALSE)</f>
        <v>USA</v>
      </c>
      <c r="S581" t="str">
        <f>IFERROR(IF(VLOOKUP(A581,'Sales Order'!A:H,8,FALSE)&gt;100,"High Freight","Low Freight"),"Not Specified")</f>
        <v>High Freight</v>
      </c>
      <c r="T581">
        <f t="shared" si="19"/>
        <v>294</v>
      </c>
    </row>
    <row r="582" spans="1:20">
      <c r="A582" s="9">
        <v>10465</v>
      </c>
      <c r="B582" s="6">
        <v>45</v>
      </c>
      <c r="C582" s="6">
        <v>7.6</v>
      </c>
      <c r="D582" s="6">
        <v>30</v>
      </c>
      <c r="E582" s="18">
        <v>0.1</v>
      </c>
      <c r="F582" s="6" t="str">
        <f>IFERROR(VLOOKUP(VLOOKUP(A582,'Sales Order'!A:B,2,FALSE),Customer!A:C,3,FALSE),"Not Specified")</f>
        <v>Fonteneau, Karl</v>
      </c>
      <c r="G582" s="6" t="str">
        <f t="shared" si="18"/>
        <v>Fonteneau Karl</v>
      </c>
      <c r="H582" s="22" t="str">
        <f>IFERROR(VLOOKUP(VLOOKUP(A582,'Sales Order'!A:C,3,FALSE),Employee!A:E,5,FALSE)&amp;" "&amp;VLOOKUP(VLOOKUP(A582,'Sales Order'!A:C,3,FALSE),Employee!A:C,3,FALSE)&amp;" "&amp;VLOOKUP(VLOOKUP(A582,'Sales Order'!A:C,3,FALSE),Employee!A:B,2,FALSE),"Not Specified")</f>
        <v>Ms. Sara Davis</v>
      </c>
      <c r="I582" t="str">
        <f>IFERROR(VLOOKUP(VLOOKUP(A582,'Sales Order'!A:C,3,FALSE),Employee!A:J,10,FALSE),"Not Specified")</f>
        <v>WA</v>
      </c>
      <c r="J582" t="str">
        <f>VLOOKUP(B582,Product!A:B,2,FALSE)</f>
        <v>Product AQOKR</v>
      </c>
      <c r="K582" t="str">
        <f>VLOOKUP(VLOOKUP(B582,Product!A:D,4,FALSE),Category!A:B,2,FALSE)</f>
        <v>Seafood</v>
      </c>
      <c r="L582" s="24">
        <f>IFERROR(VLOOKUP(A582,'Sales Order'!A:D,4,FALSE),"")</f>
        <v>39146</v>
      </c>
      <c r="M582" s="24">
        <f>IFERROR(VLOOKUP(A582,'Sales Order'!A:F,6,FALSE),"")</f>
        <v>39155</v>
      </c>
      <c r="N582" t="str">
        <f>IFERROR(VLOOKUP(VLOOKUP(A582,'Sales Order'!A:G,7,FALSE),Shipper!A:B,2,FALSE),"Not Specified")</f>
        <v>Shipper ZHISN</v>
      </c>
      <c r="O582" t="str">
        <f>IFERROR(VLOOKUP(A582,'Sales Order'!A:I,9,FALSE),"Not Specified")</f>
        <v>Ship to 83-A</v>
      </c>
      <c r="P582" t="str">
        <f>IFERROR(VLOOKUP(A582,'Sales Order'!A:N,14,FALSE),"Not Specified")</f>
        <v>Denmark</v>
      </c>
      <c r="Q582" t="str">
        <f>VLOOKUP(VLOOKUP(B582,Product!A:C,3,FALSE),Supplier!A:B,2,FALSE)</f>
        <v>Supplier XOXZA</v>
      </c>
      <c r="R582" t="str">
        <f>VLOOKUP(VLOOKUP(B582,Product!A:C,3,FALSE),Supplier!A:I,9,FALSE)</f>
        <v>Denmark</v>
      </c>
      <c r="S582" t="str">
        <f>IFERROR(IF(VLOOKUP(A582,'Sales Order'!A:H,8,FALSE)&gt;100,"High Freight","Low Freight"),"Not Specified")</f>
        <v>High Freight</v>
      </c>
      <c r="T582">
        <f t="shared" si="19"/>
        <v>205.20000000000002</v>
      </c>
    </row>
    <row r="583" spans="1:20">
      <c r="A583" s="9">
        <v>10465</v>
      </c>
      <c r="B583" s="6">
        <v>50</v>
      </c>
      <c r="C583" s="6">
        <v>13</v>
      </c>
      <c r="D583" s="6">
        <v>25</v>
      </c>
      <c r="E583" s="18">
        <v>0</v>
      </c>
      <c r="F583" s="6" t="str">
        <f>IFERROR(VLOOKUP(VLOOKUP(A583,'Sales Order'!A:B,2,FALSE),Customer!A:C,3,FALSE),"Not Specified")</f>
        <v>Fonteneau, Karl</v>
      </c>
      <c r="G583" s="6" t="str">
        <f t="shared" si="18"/>
        <v>Fonteneau Karl</v>
      </c>
      <c r="H583" s="22" t="str">
        <f>IFERROR(VLOOKUP(VLOOKUP(A583,'Sales Order'!A:C,3,FALSE),Employee!A:E,5,FALSE)&amp;" "&amp;VLOOKUP(VLOOKUP(A583,'Sales Order'!A:C,3,FALSE),Employee!A:C,3,FALSE)&amp;" "&amp;VLOOKUP(VLOOKUP(A583,'Sales Order'!A:C,3,FALSE),Employee!A:B,2,FALSE),"Not Specified")</f>
        <v>Ms. Sara Davis</v>
      </c>
      <c r="I583" t="str">
        <f>IFERROR(VLOOKUP(VLOOKUP(A583,'Sales Order'!A:C,3,FALSE),Employee!A:J,10,FALSE),"Not Specified")</f>
        <v>WA</v>
      </c>
      <c r="J583" t="str">
        <f>VLOOKUP(B583,Product!A:B,2,FALSE)</f>
        <v>Product BIUDV</v>
      </c>
      <c r="K583" t="str">
        <f>VLOOKUP(VLOOKUP(B583,Product!A:D,4,FALSE),Category!A:B,2,FALSE)</f>
        <v>Confections</v>
      </c>
      <c r="L583" s="24">
        <f>IFERROR(VLOOKUP(A583,'Sales Order'!A:D,4,FALSE),"")</f>
        <v>39146</v>
      </c>
      <c r="M583" s="24">
        <f>IFERROR(VLOOKUP(A583,'Sales Order'!A:F,6,FALSE),"")</f>
        <v>39155</v>
      </c>
      <c r="N583" t="str">
        <f>IFERROR(VLOOKUP(VLOOKUP(A583,'Sales Order'!A:G,7,FALSE),Shipper!A:B,2,FALSE),"Not Specified")</f>
        <v>Shipper ZHISN</v>
      </c>
      <c r="O583" t="str">
        <f>IFERROR(VLOOKUP(A583,'Sales Order'!A:I,9,FALSE),"Not Specified")</f>
        <v>Ship to 83-A</v>
      </c>
      <c r="P583" t="str">
        <f>IFERROR(VLOOKUP(A583,'Sales Order'!A:N,14,FALSE),"Not Specified")</f>
        <v>Denmark</v>
      </c>
      <c r="Q583" t="str">
        <f>VLOOKUP(VLOOKUP(B583,Product!A:C,3,FALSE),Supplier!A:B,2,FALSE)</f>
        <v>Supplier ELCRN</v>
      </c>
      <c r="R583" t="str">
        <f>VLOOKUP(VLOOKUP(B583,Product!A:C,3,FALSE),Supplier!A:I,9,FALSE)</f>
        <v>Finland</v>
      </c>
      <c r="S583" t="str">
        <f>IFERROR(IF(VLOOKUP(A583,'Sales Order'!A:H,8,FALSE)&gt;100,"High Freight","Low Freight"),"Not Specified")</f>
        <v>High Freight</v>
      </c>
      <c r="T583">
        <f t="shared" si="19"/>
        <v>325</v>
      </c>
    </row>
    <row r="584" spans="1:20">
      <c r="A584" s="9">
        <v>10466</v>
      </c>
      <c r="B584" s="6">
        <v>11</v>
      </c>
      <c r="C584" s="6">
        <v>16.8</v>
      </c>
      <c r="D584" s="6">
        <v>10</v>
      </c>
      <c r="E584" s="18">
        <v>0</v>
      </c>
      <c r="F584" s="6" t="str">
        <f>IFERROR(VLOOKUP(VLOOKUP(A584,'Sales Order'!A:B,2,FALSE),Customer!A:C,3,FALSE),"Not Specified")</f>
        <v>Richardson, Shawn</v>
      </c>
      <c r="G584" s="6" t="str">
        <f t="shared" si="18"/>
        <v>Richardson Shawn</v>
      </c>
      <c r="H584" s="22" t="str">
        <f>IFERROR(VLOOKUP(VLOOKUP(A584,'Sales Order'!A:C,3,FALSE),Employee!A:E,5,FALSE)&amp;" "&amp;VLOOKUP(VLOOKUP(A584,'Sales Order'!A:C,3,FALSE),Employee!A:C,3,FALSE)&amp;" "&amp;VLOOKUP(VLOOKUP(A584,'Sales Order'!A:C,3,FALSE),Employee!A:B,2,FALSE),"Not Specified")</f>
        <v>Mrs. Yael Peled</v>
      </c>
      <c r="I584" t="str">
        <f>IFERROR(VLOOKUP(VLOOKUP(A584,'Sales Order'!A:C,3,FALSE),Employee!A:J,10,FALSE),"Not Specified")</f>
        <v>WA</v>
      </c>
      <c r="J584" t="str">
        <f>VLOOKUP(B584,Product!A:B,2,FALSE)</f>
        <v>Product QMVUN</v>
      </c>
      <c r="K584" t="str">
        <f>VLOOKUP(VLOOKUP(B584,Product!A:D,4,FALSE),Category!A:B,2,FALSE)</f>
        <v>Dairy Product</v>
      </c>
      <c r="L584" s="24">
        <f>IFERROR(VLOOKUP(A584,'Sales Order'!A:D,4,FALSE),"")</f>
        <v>39147</v>
      </c>
      <c r="M584" s="24">
        <f>IFERROR(VLOOKUP(A584,'Sales Order'!A:F,6,FALSE),"")</f>
        <v>39154</v>
      </c>
      <c r="N584" t="str">
        <f>IFERROR(VLOOKUP(VLOOKUP(A584,'Sales Order'!A:G,7,FALSE),Shipper!A:B,2,FALSE),"Not Specified")</f>
        <v>Shipper GVSUA</v>
      </c>
      <c r="O584" t="str">
        <f>IFERROR(VLOOKUP(A584,'Sales Order'!A:I,9,FALSE),"Not Specified")</f>
        <v>Destination GGSQD</v>
      </c>
      <c r="P584" t="str">
        <f>IFERROR(VLOOKUP(A584,'Sales Order'!A:N,14,FALSE),"Not Specified")</f>
        <v>Brazil</v>
      </c>
      <c r="Q584" t="str">
        <f>VLOOKUP(VLOOKUP(B584,Product!A:C,3,FALSE),Supplier!A:B,2,FALSE)</f>
        <v>Supplier EQPNC</v>
      </c>
      <c r="R584" t="str">
        <f>VLOOKUP(VLOOKUP(B584,Product!A:C,3,FALSE),Supplier!A:I,9,FALSE)</f>
        <v>Spain</v>
      </c>
      <c r="S584" t="str">
        <f>IFERROR(IF(VLOOKUP(A584,'Sales Order'!A:H,8,FALSE)&gt;100,"High Freight","Low Freight"),"Not Specified")</f>
        <v>Low Freight</v>
      </c>
      <c r="T584">
        <f t="shared" si="19"/>
        <v>168</v>
      </c>
    </row>
    <row r="585" spans="1:20">
      <c r="A585" s="9">
        <v>10466</v>
      </c>
      <c r="B585" s="6">
        <v>46</v>
      </c>
      <c r="C585" s="6">
        <v>9.6</v>
      </c>
      <c r="D585" s="6">
        <v>5</v>
      </c>
      <c r="E585" s="18">
        <v>0</v>
      </c>
      <c r="F585" s="6" t="str">
        <f>IFERROR(VLOOKUP(VLOOKUP(A585,'Sales Order'!A:B,2,FALSE),Customer!A:C,3,FALSE),"Not Specified")</f>
        <v>Richardson, Shawn</v>
      </c>
      <c r="G585" s="6" t="str">
        <f t="shared" si="18"/>
        <v>Richardson Shawn</v>
      </c>
      <c r="H585" s="22" t="str">
        <f>IFERROR(VLOOKUP(VLOOKUP(A585,'Sales Order'!A:C,3,FALSE),Employee!A:E,5,FALSE)&amp;" "&amp;VLOOKUP(VLOOKUP(A585,'Sales Order'!A:C,3,FALSE),Employee!A:C,3,FALSE)&amp;" "&amp;VLOOKUP(VLOOKUP(A585,'Sales Order'!A:C,3,FALSE),Employee!A:B,2,FALSE),"Not Specified")</f>
        <v>Mrs. Yael Peled</v>
      </c>
      <c r="I585" t="str">
        <f>IFERROR(VLOOKUP(VLOOKUP(A585,'Sales Order'!A:C,3,FALSE),Employee!A:J,10,FALSE),"Not Specified")</f>
        <v>WA</v>
      </c>
      <c r="J585" t="str">
        <f>VLOOKUP(B585,Product!A:B,2,FALSE)</f>
        <v>Product CBRRL</v>
      </c>
      <c r="K585" t="str">
        <f>VLOOKUP(VLOOKUP(B585,Product!A:D,4,FALSE),Category!A:B,2,FALSE)</f>
        <v>Seafood</v>
      </c>
      <c r="L585" s="24">
        <f>IFERROR(VLOOKUP(A585,'Sales Order'!A:D,4,FALSE),"")</f>
        <v>39147</v>
      </c>
      <c r="M585" s="24">
        <f>IFERROR(VLOOKUP(A585,'Sales Order'!A:F,6,FALSE),"")</f>
        <v>39154</v>
      </c>
      <c r="N585" t="str">
        <f>IFERROR(VLOOKUP(VLOOKUP(A585,'Sales Order'!A:G,7,FALSE),Shipper!A:B,2,FALSE),"Not Specified")</f>
        <v>Shipper GVSUA</v>
      </c>
      <c r="O585" t="str">
        <f>IFERROR(VLOOKUP(A585,'Sales Order'!A:I,9,FALSE),"Not Specified")</f>
        <v>Destination GGSQD</v>
      </c>
      <c r="P585" t="str">
        <f>IFERROR(VLOOKUP(A585,'Sales Order'!A:N,14,FALSE),"Not Specified")</f>
        <v>Brazil</v>
      </c>
      <c r="Q585" t="str">
        <f>VLOOKUP(VLOOKUP(B585,Product!A:C,3,FALSE),Supplier!A:B,2,FALSE)</f>
        <v>Supplier XOXZA</v>
      </c>
      <c r="R585" t="str">
        <f>VLOOKUP(VLOOKUP(B585,Product!A:C,3,FALSE),Supplier!A:I,9,FALSE)</f>
        <v>Denmark</v>
      </c>
      <c r="S585" t="str">
        <f>IFERROR(IF(VLOOKUP(A585,'Sales Order'!A:H,8,FALSE)&gt;100,"High Freight","Low Freight"),"Not Specified")</f>
        <v>Low Freight</v>
      </c>
      <c r="T585">
        <f t="shared" si="19"/>
        <v>48</v>
      </c>
    </row>
    <row r="586" spans="1:20">
      <c r="A586" s="9">
        <v>10467</v>
      </c>
      <c r="B586" s="6">
        <v>24</v>
      </c>
      <c r="C586" s="6">
        <v>3.6</v>
      </c>
      <c r="D586" s="6">
        <v>28</v>
      </c>
      <c r="E586" s="18">
        <v>0</v>
      </c>
      <c r="F586" s="6" t="str">
        <f>IFERROR(VLOOKUP(VLOOKUP(A586,'Sales Order'!A:B,2,FALSE),Customer!A:C,3,FALSE),"Not Specified")</f>
        <v>Duerr, Bernard</v>
      </c>
      <c r="G586" s="6" t="str">
        <f t="shared" si="18"/>
        <v>Duerr Bernard</v>
      </c>
      <c r="H586" s="22" t="str">
        <f>IFERROR(VLOOKUP(VLOOKUP(A586,'Sales Order'!A:C,3,FALSE),Employee!A:E,5,FALSE)&amp;" "&amp;VLOOKUP(VLOOKUP(A586,'Sales Order'!A:C,3,FALSE),Employee!A:C,3,FALSE)&amp;" "&amp;VLOOKUP(VLOOKUP(A586,'Sales Order'!A:C,3,FALSE),Employee!A:B,2,FALSE),"Not Specified")</f>
        <v>Ms. Maria Cameron</v>
      </c>
      <c r="I586" t="str">
        <f>IFERROR(VLOOKUP(VLOOKUP(A586,'Sales Order'!A:C,3,FALSE),Employee!A:J,10,FALSE),"Not Specified")</f>
        <v>WA</v>
      </c>
      <c r="J586" t="str">
        <f>VLOOKUP(B586,Product!A:B,2,FALSE)</f>
        <v>Product QOGNU</v>
      </c>
      <c r="K586" t="str">
        <f>VLOOKUP(VLOOKUP(B586,Product!A:D,4,FALSE),Category!A:B,2,FALSE)</f>
        <v>Beverages</v>
      </c>
      <c r="L586" s="24">
        <f>IFERROR(VLOOKUP(A586,'Sales Order'!A:D,4,FALSE),"")</f>
        <v>39147</v>
      </c>
      <c r="M586" s="24">
        <f>IFERROR(VLOOKUP(A586,'Sales Order'!A:F,6,FALSE),"")</f>
        <v>39152</v>
      </c>
      <c r="N586" t="str">
        <f>IFERROR(VLOOKUP(VLOOKUP(A586,'Sales Order'!A:G,7,FALSE),Shipper!A:B,2,FALSE),"Not Specified")</f>
        <v>Shipper ETYNR</v>
      </c>
      <c r="O586" t="str">
        <f>IFERROR(VLOOKUP(A586,'Sales Order'!A:I,9,FALSE),"Not Specified")</f>
        <v>Ship to 49-C</v>
      </c>
      <c r="P586" t="str">
        <f>IFERROR(VLOOKUP(A586,'Sales Order'!A:N,14,FALSE),"Not Specified")</f>
        <v>Italy</v>
      </c>
      <c r="Q586" t="str">
        <f>VLOOKUP(VLOOKUP(B586,Product!A:C,3,FALSE),Supplier!A:B,2,FALSE)</f>
        <v>Supplier UNAHG</v>
      </c>
      <c r="R586" t="str">
        <f>VLOOKUP(VLOOKUP(B586,Product!A:C,3,FALSE),Supplier!A:I,9,FALSE)</f>
        <v>Brazil</v>
      </c>
      <c r="S586" t="str">
        <f>IFERROR(IF(VLOOKUP(A586,'Sales Order'!A:H,8,FALSE)&gt;100,"High Freight","Low Freight"),"Not Specified")</f>
        <v>Low Freight</v>
      </c>
      <c r="T586">
        <f t="shared" si="19"/>
        <v>100.8</v>
      </c>
    </row>
    <row r="587" spans="1:20">
      <c r="A587" s="9">
        <v>10467</v>
      </c>
      <c r="B587" s="6">
        <v>25</v>
      </c>
      <c r="C587" s="6">
        <v>11.2</v>
      </c>
      <c r="D587" s="6">
        <v>12</v>
      </c>
      <c r="E587" s="18">
        <v>0</v>
      </c>
      <c r="F587" s="6" t="str">
        <f>IFERROR(VLOOKUP(VLOOKUP(A587,'Sales Order'!A:B,2,FALSE),Customer!A:C,3,FALSE),"Not Specified")</f>
        <v>Duerr, Bernard</v>
      </c>
      <c r="G587" s="6" t="str">
        <f t="shared" si="18"/>
        <v>Duerr Bernard</v>
      </c>
      <c r="H587" s="22" t="str">
        <f>IFERROR(VLOOKUP(VLOOKUP(A587,'Sales Order'!A:C,3,FALSE),Employee!A:E,5,FALSE)&amp;" "&amp;VLOOKUP(VLOOKUP(A587,'Sales Order'!A:C,3,FALSE),Employee!A:C,3,FALSE)&amp;" "&amp;VLOOKUP(VLOOKUP(A587,'Sales Order'!A:C,3,FALSE),Employee!A:B,2,FALSE),"Not Specified")</f>
        <v>Ms. Maria Cameron</v>
      </c>
      <c r="I587" t="str">
        <f>IFERROR(VLOOKUP(VLOOKUP(A587,'Sales Order'!A:C,3,FALSE),Employee!A:J,10,FALSE),"Not Specified")</f>
        <v>WA</v>
      </c>
      <c r="J587" t="str">
        <f>VLOOKUP(B587,Product!A:B,2,FALSE)</f>
        <v>Product LYLNI</v>
      </c>
      <c r="K587" t="str">
        <f>VLOOKUP(VLOOKUP(B587,Product!A:D,4,FALSE),Category!A:B,2,FALSE)</f>
        <v>Confections</v>
      </c>
      <c r="L587" s="24">
        <f>IFERROR(VLOOKUP(A587,'Sales Order'!A:D,4,FALSE),"")</f>
        <v>39147</v>
      </c>
      <c r="M587" s="24">
        <f>IFERROR(VLOOKUP(A587,'Sales Order'!A:F,6,FALSE),"")</f>
        <v>39152</v>
      </c>
      <c r="N587" t="str">
        <f>IFERROR(VLOOKUP(VLOOKUP(A587,'Sales Order'!A:G,7,FALSE),Shipper!A:B,2,FALSE),"Not Specified")</f>
        <v>Shipper ETYNR</v>
      </c>
      <c r="O587" t="str">
        <f>IFERROR(VLOOKUP(A587,'Sales Order'!A:I,9,FALSE),"Not Specified")</f>
        <v>Ship to 49-C</v>
      </c>
      <c r="P587" t="str">
        <f>IFERROR(VLOOKUP(A587,'Sales Order'!A:N,14,FALSE),"Not Specified")</f>
        <v>Italy</v>
      </c>
      <c r="Q587" t="str">
        <f>VLOOKUP(VLOOKUP(B587,Product!A:C,3,FALSE),Supplier!A:B,2,FALSE)</f>
        <v>Supplier ZPYVS</v>
      </c>
      <c r="R587" t="str">
        <f>VLOOKUP(VLOOKUP(B587,Product!A:C,3,FALSE),Supplier!A:I,9,FALSE)</f>
        <v>Germany</v>
      </c>
      <c r="S587" t="str">
        <f>IFERROR(IF(VLOOKUP(A587,'Sales Order'!A:H,8,FALSE)&gt;100,"High Freight","Low Freight"),"Not Specified")</f>
        <v>Low Freight</v>
      </c>
      <c r="T587">
        <f t="shared" si="19"/>
        <v>134.39999999999998</v>
      </c>
    </row>
    <row r="588" spans="1:20">
      <c r="A588" s="9">
        <v>10468</v>
      </c>
      <c r="B588" s="6">
        <v>30</v>
      </c>
      <c r="C588" s="6">
        <v>20.7</v>
      </c>
      <c r="D588" s="6">
        <v>8</v>
      </c>
      <c r="E588" s="18">
        <v>0</v>
      </c>
      <c r="F588" s="6" t="str">
        <f>IFERROR(VLOOKUP(VLOOKUP(A588,'Sales Order'!A:B,2,FALSE),Customer!A:C,3,FALSE),"Not Specified")</f>
        <v>Song, Lolan</v>
      </c>
      <c r="G588" s="6" t="str">
        <f t="shared" si="18"/>
        <v>Song Lolan</v>
      </c>
      <c r="H588" s="22" t="str">
        <f>IFERROR(VLOOKUP(VLOOKUP(A588,'Sales Order'!A:C,3,FALSE),Employee!A:E,5,FALSE)&amp;" "&amp;VLOOKUP(VLOOKUP(A588,'Sales Order'!A:C,3,FALSE),Employee!A:C,3,FALSE)&amp;" "&amp;VLOOKUP(VLOOKUP(A588,'Sales Order'!A:C,3,FALSE),Employee!A:B,2,FALSE),"Not Specified")</f>
        <v>Ms. Judy Lew</v>
      </c>
      <c r="I588" t="str">
        <f>IFERROR(VLOOKUP(VLOOKUP(A588,'Sales Order'!A:C,3,FALSE),Employee!A:J,10,FALSE),"Not Specified")</f>
        <v>WA</v>
      </c>
      <c r="J588" t="str">
        <f>VLOOKUP(B588,Product!A:B,2,FALSE)</f>
        <v>Product LYERX</v>
      </c>
      <c r="K588" t="str">
        <f>VLOOKUP(VLOOKUP(B588,Product!A:D,4,FALSE),Category!A:B,2,FALSE)</f>
        <v>Seafood</v>
      </c>
      <c r="L588" s="24">
        <f>IFERROR(VLOOKUP(A588,'Sales Order'!A:D,4,FALSE),"")</f>
        <v>39148</v>
      </c>
      <c r="M588" s="24">
        <f>IFERROR(VLOOKUP(A588,'Sales Order'!A:F,6,FALSE),"")</f>
        <v>39153</v>
      </c>
      <c r="N588" t="str">
        <f>IFERROR(VLOOKUP(VLOOKUP(A588,'Sales Order'!A:G,7,FALSE),Shipper!A:B,2,FALSE),"Not Specified")</f>
        <v>Shipper ZHISN</v>
      </c>
      <c r="O588" t="str">
        <f>IFERROR(VLOOKUP(A588,'Sales Order'!A:I,9,FALSE),"Not Specified")</f>
        <v>Destination RMBHM</v>
      </c>
      <c r="P588" t="str">
        <f>IFERROR(VLOOKUP(A588,'Sales Order'!A:N,14,FALSE),"Not Specified")</f>
        <v>Germany</v>
      </c>
      <c r="Q588" t="str">
        <f>VLOOKUP(VLOOKUP(B588,Product!A:C,3,FALSE),Supplier!A:B,2,FALSE)</f>
        <v>Supplier TEGSC</v>
      </c>
      <c r="R588" t="str">
        <f>VLOOKUP(VLOOKUP(B588,Product!A:C,3,FALSE),Supplier!A:I,9,FALSE)</f>
        <v>Germany</v>
      </c>
      <c r="S588" t="str">
        <f>IFERROR(IF(VLOOKUP(A588,'Sales Order'!A:H,8,FALSE)&gt;100,"High Freight","Low Freight"),"Not Specified")</f>
        <v>Low Freight</v>
      </c>
      <c r="T588">
        <f t="shared" si="19"/>
        <v>165.6</v>
      </c>
    </row>
    <row r="589" spans="1:20">
      <c r="A589" s="9">
        <v>10468</v>
      </c>
      <c r="B589" s="6">
        <v>43</v>
      </c>
      <c r="C589" s="6">
        <v>36.799999999999997</v>
      </c>
      <c r="D589" s="6">
        <v>15</v>
      </c>
      <c r="E589" s="18">
        <v>0</v>
      </c>
      <c r="F589" s="6" t="str">
        <f>IFERROR(VLOOKUP(VLOOKUP(A589,'Sales Order'!A:B,2,FALSE),Customer!A:C,3,FALSE),"Not Specified")</f>
        <v>Song, Lolan</v>
      </c>
      <c r="G589" s="6" t="str">
        <f t="shared" si="18"/>
        <v>Song Lolan</v>
      </c>
      <c r="H589" s="22" t="str">
        <f>IFERROR(VLOOKUP(VLOOKUP(A589,'Sales Order'!A:C,3,FALSE),Employee!A:E,5,FALSE)&amp;" "&amp;VLOOKUP(VLOOKUP(A589,'Sales Order'!A:C,3,FALSE),Employee!A:C,3,FALSE)&amp;" "&amp;VLOOKUP(VLOOKUP(A589,'Sales Order'!A:C,3,FALSE),Employee!A:B,2,FALSE),"Not Specified")</f>
        <v>Ms. Judy Lew</v>
      </c>
      <c r="I589" t="str">
        <f>IFERROR(VLOOKUP(VLOOKUP(A589,'Sales Order'!A:C,3,FALSE),Employee!A:J,10,FALSE),"Not Specified")</f>
        <v>WA</v>
      </c>
      <c r="J589" t="str">
        <f>VLOOKUP(B589,Product!A:B,2,FALSE)</f>
        <v>Product ZZZHR</v>
      </c>
      <c r="K589" t="str">
        <f>VLOOKUP(VLOOKUP(B589,Product!A:D,4,FALSE),Category!A:B,2,FALSE)</f>
        <v>Beverages</v>
      </c>
      <c r="L589" s="24">
        <f>IFERROR(VLOOKUP(A589,'Sales Order'!A:D,4,FALSE),"")</f>
        <v>39148</v>
      </c>
      <c r="M589" s="24">
        <f>IFERROR(VLOOKUP(A589,'Sales Order'!A:F,6,FALSE),"")</f>
        <v>39153</v>
      </c>
      <c r="N589" t="str">
        <f>IFERROR(VLOOKUP(VLOOKUP(A589,'Sales Order'!A:G,7,FALSE),Shipper!A:B,2,FALSE),"Not Specified")</f>
        <v>Shipper ZHISN</v>
      </c>
      <c r="O589" t="str">
        <f>IFERROR(VLOOKUP(A589,'Sales Order'!A:I,9,FALSE),"Not Specified")</f>
        <v>Destination RMBHM</v>
      </c>
      <c r="P589" t="str">
        <f>IFERROR(VLOOKUP(A589,'Sales Order'!A:N,14,FALSE),"Not Specified")</f>
        <v>Germany</v>
      </c>
      <c r="Q589" t="str">
        <f>VLOOKUP(VLOOKUP(B589,Product!A:C,3,FALSE),Supplier!A:B,2,FALSE)</f>
        <v>Supplier CIYNM</v>
      </c>
      <c r="R589" t="str">
        <f>VLOOKUP(VLOOKUP(B589,Product!A:C,3,FALSE),Supplier!A:I,9,FALSE)</f>
        <v>Singapore</v>
      </c>
      <c r="S589" t="str">
        <f>IFERROR(IF(VLOOKUP(A589,'Sales Order'!A:H,8,FALSE)&gt;100,"High Freight","Low Freight"),"Not Specified")</f>
        <v>Low Freight</v>
      </c>
      <c r="T589">
        <f t="shared" si="19"/>
        <v>552</v>
      </c>
    </row>
    <row r="590" spans="1:20">
      <c r="A590" s="9">
        <v>10469</v>
      </c>
      <c r="B590" s="6">
        <v>2</v>
      </c>
      <c r="C590" s="6">
        <v>15.2</v>
      </c>
      <c r="D590" s="6">
        <v>40</v>
      </c>
      <c r="E590" s="18">
        <v>0.15</v>
      </c>
      <c r="F590" s="6" t="str">
        <f>IFERROR(VLOOKUP(VLOOKUP(A590,'Sales Order'!A:B,2,FALSE),Customer!A:C,3,FALSE),"Not Specified")</f>
        <v>Smith Jr., Ronaldo</v>
      </c>
      <c r="G590" s="6" t="str">
        <f t="shared" si="18"/>
        <v>Smith Jr. Ronaldo</v>
      </c>
      <c r="H590" s="22" t="str">
        <f>IFERROR(VLOOKUP(VLOOKUP(A590,'Sales Order'!A:C,3,FALSE),Employee!A:E,5,FALSE)&amp;" "&amp;VLOOKUP(VLOOKUP(A590,'Sales Order'!A:C,3,FALSE),Employee!A:C,3,FALSE)&amp;" "&amp;VLOOKUP(VLOOKUP(A590,'Sales Order'!A:C,3,FALSE),Employee!A:B,2,FALSE),"Not Specified")</f>
        <v>Ms. Sara Davis</v>
      </c>
      <c r="I590" t="str">
        <f>IFERROR(VLOOKUP(VLOOKUP(A590,'Sales Order'!A:C,3,FALSE),Employee!A:J,10,FALSE),"Not Specified")</f>
        <v>WA</v>
      </c>
      <c r="J590" t="str">
        <f>VLOOKUP(B590,Product!A:B,2,FALSE)</f>
        <v>Product RECZE</v>
      </c>
      <c r="K590" t="str">
        <f>VLOOKUP(VLOOKUP(B590,Product!A:D,4,FALSE),Category!A:B,2,FALSE)</f>
        <v>Beverages</v>
      </c>
      <c r="L590" s="24">
        <f>IFERROR(VLOOKUP(A590,'Sales Order'!A:D,4,FALSE),"")</f>
        <v>39151</v>
      </c>
      <c r="M590" s="24">
        <f>IFERROR(VLOOKUP(A590,'Sales Order'!A:F,6,FALSE),"")</f>
        <v>39155</v>
      </c>
      <c r="N590" t="str">
        <f>IFERROR(VLOOKUP(VLOOKUP(A590,'Sales Order'!A:G,7,FALSE),Shipper!A:B,2,FALSE),"Not Specified")</f>
        <v>Shipper GVSUA</v>
      </c>
      <c r="O590" t="str">
        <f>IFERROR(VLOOKUP(A590,'Sales Order'!A:I,9,FALSE),"Not Specified")</f>
        <v>Ship to 89-C</v>
      </c>
      <c r="P590" t="str">
        <f>IFERROR(VLOOKUP(A590,'Sales Order'!A:N,14,FALSE),"Not Specified")</f>
        <v>USA</v>
      </c>
      <c r="Q590" t="str">
        <f>VLOOKUP(VLOOKUP(B590,Product!A:C,3,FALSE),Supplier!A:B,2,FALSE)</f>
        <v>Supplier SWRXU</v>
      </c>
      <c r="R590" t="str">
        <f>VLOOKUP(VLOOKUP(B590,Product!A:C,3,FALSE),Supplier!A:I,9,FALSE)</f>
        <v>UK</v>
      </c>
      <c r="S590" t="str">
        <f>IFERROR(IF(VLOOKUP(A590,'Sales Order'!A:H,8,FALSE)&gt;100,"High Freight","Low Freight"),"Not Specified")</f>
        <v>Low Freight</v>
      </c>
      <c r="T590">
        <f t="shared" si="19"/>
        <v>516.79999999999995</v>
      </c>
    </row>
    <row r="591" spans="1:20">
      <c r="A591" s="9">
        <v>10469</v>
      </c>
      <c r="B591" s="6">
        <v>16</v>
      </c>
      <c r="C591" s="6">
        <v>13.9</v>
      </c>
      <c r="D591" s="6">
        <v>35</v>
      </c>
      <c r="E591" s="18">
        <v>0.15</v>
      </c>
      <c r="F591" s="6" t="str">
        <f>IFERROR(VLOOKUP(VLOOKUP(A591,'Sales Order'!A:B,2,FALSE),Customer!A:C,3,FALSE),"Not Specified")</f>
        <v>Smith Jr., Ronaldo</v>
      </c>
      <c r="G591" s="6" t="str">
        <f t="shared" si="18"/>
        <v>Smith Jr. Ronaldo</v>
      </c>
      <c r="H591" s="22" t="str">
        <f>IFERROR(VLOOKUP(VLOOKUP(A591,'Sales Order'!A:C,3,FALSE),Employee!A:E,5,FALSE)&amp;" "&amp;VLOOKUP(VLOOKUP(A591,'Sales Order'!A:C,3,FALSE),Employee!A:C,3,FALSE)&amp;" "&amp;VLOOKUP(VLOOKUP(A591,'Sales Order'!A:C,3,FALSE),Employee!A:B,2,FALSE),"Not Specified")</f>
        <v>Ms. Sara Davis</v>
      </c>
      <c r="I591" t="str">
        <f>IFERROR(VLOOKUP(VLOOKUP(A591,'Sales Order'!A:C,3,FALSE),Employee!A:J,10,FALSE),"Not Specified")</f>
        <v>WA</v>
      </c>
      <c r="J591" t="str">
        <f>VLOOKUP(B591,Product!A:B,2,FALSE)</f>
        <v>Product PAFRH</v>
      </c>
      <c r="K591" t="str">
        <f>VLOOKUP(VLOOKUP(B591,Product!A:D,4,FALSE),Category!A:B,2,FALSE)</f>
        <v>Confections</v>
      </c>
      <c r="L591" s="24">
        <f>IFERROR(VLOOKUP(A591,'Sales Order'!A:D,4,FALSE),"")</f>
        <v>39151</v>
      </c>
      <c r="M591" s="24">
        <f>IFERROR(VLOOKUP(A591,'Sales Order'!A:F,6,FALSE),"")</f>
        <v>39155</v>
      </c>
      <c r="N591" t="str">
        <f>IFERROR(VLOOKUP(VLOOKUP(A591,'Sales Order'!A:G,7,FALSE),Shipper!A:B,2,FALSE),"Not Specified")</f>
        <v>Shipper GVSUA</v>
      </c>
      <c r="O591" t="str">
        <f>IFERROR(VLOOKUP(A591,'Sales Order'!A:I,9,FALSE),"Not Specified")</f>
        <v>Ship to 89-C</v>
      </c>
      <c r="P591" t="str">
        <f>IFERROR(VLOOKUP(A591,'Sales Order'!A:N,14,FALSE),"Not Specified")</f>
        <v>USA</v>
      </c>
      <c r="Q591" t="str">
        <f>VLOOKUP(VLOOKUP(B591,Product!A:C,3,FALSE),Supplier!A:B,2,FALSE)</f>
        <v>Supplier GQRCV</v>
      </c>
      <c r="R591" t="str">
        <f>VLOOKUP(VLOOKUP(B591,Product!A:C,3,FALSE),Supplier!A:I,9,FALSE)</f>
        <v>Australia</v>
      </c>
      <c r="S591" t="str">
        <f>IFERROR(IF(VLOOKUP(A591,'Sales Order'!A:H,8,FALSE)&gt;100,"High Freight","Low Freight"),"Not Specified")</f>
        <v>Low Freight</v>
      </c>
      <c r="T591">
        <f t="shared" si="19"/>
        <v>413.52499999999998</v>
      </c>
    </row>
    <row r="592" spans="1:20">
      <c r="A592" s="9">
        <v>10469</v>
      </c>
      <c r="B592" s="6">
        <v>44</v>
      </c>
      <c r="C592" s="6">
        <v>15.5</v>
      </c>
      <c r="D592" s="6">
        <v>2</v>
      </c>
      <c r="E592" s="18">
        <v>0.15</v>
      </c>
      <c r="F592" s="6" t="str">
        <f>IFERROR(VLOOKUP(VLOOKUP(A592,'Sales Order'!A:B,2,FALSE),Customer!A:C,3,FALSE),"Not Specified")</f>
        <v>Smith Jr., Ronaldo</v>
      </c>
      <c r="G592" s="6" t="str">
        <f t="shared" si="18"/>
        <v>Smith Jr. Ronaldo</v>
      </c>
      <c r="H592" s="22" t="str">
        <f>IFERROR(VLOOKUP(VLOOKUP(A592,'Sales Order'!A:C,3,FALSE),Employee!A:E,5,FALSE)&amp;" "&amp;VLOOKUP(VLOOKUP(A592,'Sales Order'!A:C,3,FALSE),Employee!A:C,3,FALSE)&amp;" "&amp;VLOOKUP(VLOOKUP(A592,'Sales Order'!A:C,3,FALSE),Employee!A:B,2,FALSE),"Not Specified")</f>
        <v>Ms. Sara Davis</v>
      </c>
      <c r="I592" t="str">
        <f>IFERROR(VLOOKUP(VLOOKUP(A592,'Sales Order'!A:C,3,FALSE),Employee!A:J,10,FALSE),"Not Specified")</f>
        <v>WA</v>
      </c>
      <c r="J592" t="str">
        <f>VLOOKUP(B592,Product!A:B,2,FALSE)</f>
        <v>Product VJIEO</v>
      </c>
      <c r="K592" t="str">
        <f>VLOOKUP(VLOOKUP(B592,Product!A:D,4,FALSE),Category!A:B,2,FALSE)</f>
        <v>Condiments</v>
      </c>
      <c r="L592" s="24">
        <f>IFERROR(VLOOKUP(A592,'Sales Order'!A:D,4,FALSE),"")</f>
        <v>39151</v>
      </c>
      <c r="M592" s="24">
        <f>IFERROR(VLOOKUP(A592,'Sales Order'!A:F,6,FALSE),"")</f>
        <v>39155</v>
      </c>
      <c r="N592" t="str">
        <f>IFERROR(VLOOKUP(VLOOKUP(A592,'Sales Order'!A:G,7,FALSE),Shipper!A:B,2,FALSE),"Not Specified")</f>
        <v>Shipper GVSUA</v>
      </c>
      <c r="O592" t="str">
        <f>IFERROR(VLOOKUP(A592,'Sales Order'!A:I,9,FALSE),"Not Specified")</f>
        <v>Ship to 89-C</v>
      </c>
      <c r="P592" t="str">
        <f>IFERROR(VLOOKUP(A592,'Sales Order'!A:N,14,FALSE),"Not Specified")</f>
        <v>USA</v>
      </c>
      <c r="Q592" t="str">
        <f>VLOOKUP(VLOOKUP(B592,Product!A:C,3,FALSE),Supplier!A:B,2,FALSE)</f>
        <v>Supplier CIYNM</v>
      </c>
      <c r="R592" t="str">
        <f>VLOOKUP(VLOOKUP(B592,Product!A:C,3,FALSE),Supplier!A:I,9,FALSE)</f>
        <v>Singapore</v>
      </c>
      <c r="S592" t="str">
        <f>IFERROR(IF(VLOOKUP(A592,'Sales Order'!A:H,8,FALSE)&gt;100,"High Freight","Low Freight"),"Not Specified")</f>
        <v>Low Freight</v>
      </c>
      <c r="T592">
        <f t="shared" si="19"/>
        <v>26.349999999999998</v>
      </c>
    </row>
    <row r="593" spans="1:20">
      <c r="A593" s="9">
        <v>10470</v>
      </c>
      <c r="B593" s="6">
        <v>18</v>
      </c>
      <c r="C593" s="6">
        <v>50</v>
      </c>
      <c r="D593" s="6">
        <v>30</v>
      </c>
      <c r="E593" s="18">
        <v>0</v>
      </c>
      <c r="F593" s="6" t="str">
        <f>IFERROR(VLOOKUP(VLOOKUP(A593,'Sales Order'!A:B,2,FALSE),Customer!A:C,3,FALSE),"Not Specified")</f>
        <v>Raghav, Amritansh</v>
      </c>
      <c r="G593" s="6" t="str">
        <f t="shared" si="18"/>
        <v>Raghav Amritansh</v>
      </c>
      <c r="H593" s="22" t="str">
        <f>IFERROR(VLOOKUP(VLOOKUP(A593,'Sales Order'!A:C,3,FALSE),Employee!A:E,5,FALSE)&amp;" "&amp;VLOOKUP(VLOOKUP(A593,'Sales Order'!A:C,3,FALSE),Employee!A:C,3,FALSE)&amp;" "&amp;VLOOKUP(VLOOKUP(A593,'Sales Order'!A:C,3,FALSE),Employee!A:B,2,FALSE),"Not Specified")</f>
        <v>Mrs. Yael Peled</v>
      </c>
      <c r="I593" t="str">
        <f>IFERROR(VLOOKUP(VLOOKUP(A593,'Sales Order'!A:C,3,FALSE),Employee!A:J,10,FALSE),"Not Specified")</f>
        <v>WA</v>
      </c>
      <c r="J593" t="str">
        <f>VLOOKUP(B593,Product!A:B,2,FALSE)</f>
        <v>Product CKEDC</v>
      </c>
      <c r="K593" t="str">
        <f>VLOOKUP(VLOOKUP(B593,Product!A:D,4,FALSE),Category!A:B,2,FALSE)</f>
        <v>Seafood</v>
      </c>
      <c r="L593" s="24">
        <f>IFERROR(VLOOKUP(A593,'Sales Order'!A:D,4,FALSE),"")</f>
        <v>39152</v>
      </c>
      <c r="M593" s="24">
        <f>IFERROR(VLOOKUP(A593,'Sales Order'!A:F,6,FALSE),"")</f>
        <v>39155</v>
      </c>
      <c r="N593" t="str">
        <f>IFERROR(VLOOKUP(VLOOKUP(A593,'Sales Order'!A:G,7,FALSE),Shipper!A:B,2,FALSE),"Not Specified")</f>
        <v>Shipper ETYNR</v>
      </c>
      <c r="O593" t="str">
        <f>IFERROR(VLOOKUP(A593,'Sales Order'!A:I,9,FALSE),"Not Specified")</f>
        <v>Ship to 9-C</v>
      </c>
      <c r="P593" t="str">
        <f>IFERROR(VLOOKUP(A593,'Sales Order'!A:N,14,FALSE),"Not Specified")</f>
        <v>France</v>
      </c>
      <c r="Q593" t="str">
        <f>VLOOKUP(VLOOKUP(B593,Product!A:C,3,FALSE),Supplier!A:B,2,FALSE)</f>
        <v>Supplier GQRCV</v>
      </c>
      <c r="R593" t="str">
        <f>VLOOKUP(VLOOKUP(B593,Product!A:C,3,FALSE),Supplier!A:I,9,FALSE)</f>
        <v>Australia</v>
      </c>
      <c r="S593" t="str">
        <f>IFERROR(IF(VLOOKUP(A593,'Sales Order'!A:H,8,FALSE)&gt;100,"High Freight","Low Freight"),"Not Specified")</f>
        <v>Low Freight</v>
      </c>
      <c r="T593">
        <f t="shared" si="19"/>
        <v>1500</v>
      </c>
    </row>
    <row r="594" spans="1:20">
      <c r="A594" s="9">
        <v>10470</v>
      </c>
      <c r="B594" s="6">
        <v>23</v>
      </c>
      <c r="C594" s="6">
        <v>7.2</v>
      </c>
      <c r="D594" s="6">
        <v>15</v>
      </c>
      <c r="E594" s="18">
        <v>0</v>
      </c>
      <c r="F594" s="6" t="str">
        <f>IFERROR(VLOOKUP(VLOOKUP(A594,'Sales Order'!A:B,2,FALSE),Customer!A:C,3,FALSE),"Not Specified")</f>
        <v>Raghav, Amritansh</v>
      </c>
      <c r="G594" s="6" t="str">
        <f t="shared" si="18"/>
        <v>Raghav Amritansh</v>
      </c>
      <c r="H594" s="22" t="str">
        <f>IFERROR(VLOOKUP(VLOOKUP(A594,'Sales Order'!A:C,3,FALSE),Employee!A:E,5,FALSE)&amp;" "&amp;VLOOKUP(VLOOKUP(A594,'Sales Order'!A:C,3,FALSE),Employee!A:C,3,FALSE)&amp;" "&amp;VLOOKUP(VLOOKUP(A594,'Sales Order'!A:C,3,FALSE),Employee!A:B,2,FALSE),"Not Specified")</f>
        <v>Mrs. Yael Peled</v>
      </c>
      <c r="I594" t="str">
        <f>IFERROR(VLOOKUP(VLOOKUP(A594,'Sales Order'!A:C,3,FALSE),Employee!A:J,10,FALSE),"Not Specified")</f>
        <v>WA</v>
      </c>
      <c r="J594" t="str">
        <f>VLOOKUP(B594,Product!A:B,2,FALSE)</f>
        <v>Product JLUDZ</v>
      </c>
      <c r="K594" t="str">
        <f>VLOOKUP(VLOOKUP(B594,Product!A:D,4,FALSE),Category!A:B,2,FALSE)</f>
        <v>Grains/Cereals</v>
      </c>
      <c r="L594" s="24">
        <f>IFERROR(VLOOKUP(A594,'Sales Order'!A:D,4,FALSE),"")</f>
        <v>39152</v>
      </c>
      <c r="M594" s="24">
        <f>IFERROR(VLOOKUP(A594,'Sales Order'!A:F,6,FALSE),"")</f>
        <v>39155</v>
      </c>
      <c r="N594" t="str">
        <f>IFERROR(VLOOKUP(VLOOKUP(A594,'Sales Order'!A:G,7,FALSE),Shipper!A:B,2,FALSE),"Not Specified")</f>
        <v>Shipper ETYNR</v>
      </c>
      <c r="O594" t="str">
        <f>IFERROR(VLOOKUP(A594,'Sales Order'!A:I,9,FALSE),"Not Specified")</f>
        <v>Ship to 9-C</v>
      </c>
      <c r="P594" t="str">
        <f>IFERROR(VLOOKUP(A594,'Sales Order'!A:N,14,FALSE),"Not Specified")</f>
        <v>France</v>
      </c>
      <c r="Q594" t="str">
        <f>VLOOKUP(VLOOKUP(B594,Product!A:C,3,FALSE),Supplier!A:B,2,FALSE)</f>
        <v>Supplier QQYEU</v>
      </c>
      <c r="R594" t="str">
        <f>VLOOKUP(VLOOKUP(B594,Product!A:C,3,FALSE),Supplier!A:I,9,FALSE)</f>
        <v>Sweden</v>
      </c>
      <c r="S594" t="str">
        <f>IFERROR(IF(VLOOKUP(A594,'Sales Order'!A:H,8,FALSE)&gt;100,"High Freight","Low Freight"),"Not Specified")</f>
        <v>Low Freight</v>
      </c>
      <c r="T594">
        <f t="shared" si="19"/>
        <v>108</v>
      </c>
    </row>
    <row r="595" spans="1:20">
      <c r="A595" s="9">
        <v>10470</v>
      </c>
      <c r="B595" s="6">
        <v>64</v>
      </c>
      <c r="C595" s="6">
        <v>26.6</v>
      </c>
      <c r="D595" s="6">
        <v>8</v>
      </c>
      <c r="E595" s="18">
        <v>0</v>
      </c>
      <c r="F595" s="6" t="str">
        <f>IFERROR(VLOOKUP(VLOOKUP(A595,'Sales Order'!A:B,2,FALSE),Customer!A:C,3,FALSE),"Not Specified")</f>
        <v>Raghav, Amritansh</v>
      </c>
      <c r="G595" s="6" t="str">
        <f t="shared" si="18"/>
        <v>Raghav Amritansh</v>
      </c>
      <c r="H595" s="22" t="str">
        <f>IFERROR(VLOOKUP(VLOOKUP(A595,'Sales Order'!A:C,3,FALSE),Employee!A:E,5,FALSE)&amp;" "&amp;VLOOKUP(VLOOKUP(A595,'Sales Order'!A:C,3,FALSE),Employee!A:C,3,FALSE)&amp;" "&amp;VLOOKUP(VLOOKUP(A595,'Sales Order'!A:C,3,FALSE),Employee!A:B,2,FALSE),"Not Specified")</f>
        <v>Mrs. Yael Peled</v>
      </c>
      <c r="I595" t="str">
        <f>IFERROR(VLOOKUP(VLOOKUP(A595,'Sales Order'!A:C,3,FALSE),Employee!A:J,10,FALSE),"Not Specified")</f>
        <v>WA</v>
      </c>
      <c r="J595" t="str">
        <f>VLOOKUP(B595,Product!A:B,2,FALSE)</f>
        <v>Product HCQDE</v>
      </c>
      <c r="K595" t="str">
        <f>VLOOKUP(VLOOKUP(B595,Product!A:D,4,FALSE),Category!A:B,2,FALSE)</f>
        <v>Grains/Cereals</v>
      </c>
      <c r="L595" s="24">
        <f>IFERROR(VLOOKUP(A595,'Sales Order'!A:D,4,FALSE),"")</f>
        <v>39152</v>
      </c>
      <c r="M595" s="24">
        <f>IFERROR(VLOOKUP(A595,'Sales Order'!A:F,6,FALSE),"")</f>
        <v>39155</v>
      </c>
      <c r="N595" t="str">
        <f>IFERROR(VLOOKUP(VLOOKUP(A595,'Sales Order'!A:G,7,FALSE),Shipper!A:B,2,FALSE),"Not Specified")</f>
        <v>Shipper ETYNR</v>
      </c>
      <c r="O595" t="str">
        <f>IFERROR(VLOOKUP(A595,'Sales Order'!A:I,9,FALSE),"Not Specified")</f>
        <v>Ship to 9-C</v>
      </c>
      <c r="P595" t="str">
        <f>IFERROR(VLOOKUP(A595,'Sales Order'!A:N,14,FALSE),"Not Specified")</f>
        <v>France</v>
      </c>
      <c r="Q595" t="str">
        <f>VLOOKUP(VLOOKUP(B595,Product!A:C,3,FALSE),Supplier!A:B,2,FALSE)</f>
        <v>Supplier SVIYA</v>
      </c>
      <c r="R595" t="str">
        <f>VLOOKUP(VLOOKUP(B595,Product!A:C,3,FALSE),Supplier!A:I,9,FALSE)</f>
        <v>Germany</v>
      </c>
      <c r="S595" t="str">
        <f>IFERROR(IF(VLOOKUP(A595,'Sales Order'!A:H,8,FALSE)&gt;100,"High Freight","Low Freight"),"Not Specified")</f>
        <v>Low Freight</v>
      </c>
      <c r="T595">
        <f t="shared" si="19"/>
        <v>212.8</v>
      </c>
    </row>
    <row r="596" spans="1:20">
      <c r="A596" s="9">
        <v>10471</v>
      </c>
      <c r="B596" s="6">
        <v>7</v>
      </c>
      <c r="C596" s="6">
        <v>24</v>
      </c>
      <c r="D596" s="6">
        <v>30</v>
      </c>
      <c r="E596" s="18">
        <v>0</v>
      </c>
      <c r="F596" s="6" t="str">
        <f>IFERROR(VLOOKUP(VLOOKUP(A596,'Sales Order'!A:B,2,FALSE),Customer!A:C,3,FALSE),"Not Specified")</f>
        <v>Jaffe, David</v>
      </c>
      <c r="G596" s="6" t="str">
        <f t="shared" si="18"/>
        <v>Jaffe David</v>
      </c>
      <c r="H596" s="22" t="str">
        <f>IFERROR(VLOOKUP(VLOOKUP(A596,'Sales Order'!A:C,3,FALSE),Employee!A:E,5,FALSE)&amp;" "&amp;VLOOKUP(VLOOKUP(A596,'Sales Order'!A:C,3,FALSE),Employee!A:C,3,FALSE)&amp;" "&amp;VLOOKUP(VLOOKUP(A596,'Sales Order'!A:C,3,FALSE),Employee!A:B,2,FALSE),"Not Specified")</f>
        <v>Dr. Don Funk</v>
      </c>
      <c r="I596" t="str">
        <f>IFERROR(VLOOKUP(VLOOKUP(A596,'Sales Order'!A:C,3,FALSE),Employee!A:J,10,FALSE),"Not Specified")</f>
        <v>WA</v>
      </c>
      <c r="J596" t="str">
        <f>VLOOKUP(B596,Product!A:B,2,FALSE)</f>
        <v>Product HMLNI</v>
      </c>
      <c r="K596" t="str">
        <f>VLOOKUP(VLOOKUP(B596,Product!A:D,4,FALSE),Category!A:B,2,FALSE)</f>
        <v>Produce</v>
      </c>
      <c r="L596" s="24">
        <f>IFERROR(VLOOKUP(A596,'Sales Order'!A:D,4,FALSE),"")</f>
        <v>39152</v>
      </c>
      <c r="M596" s="24">
        <f>IFERROR(VLOOKUP(A596,'Sales Order'!A:F,6,FALSE),"")</f>
        <v>39159</v>
      </c>
      <c r="N596" t="str">
        <f>IFERROR(VLOOKUP(VLOOKUP(A596,'Sales Order'!A:G,7,FALSE),Shipper!A:B,2,FALSE),"Not Specified")</f>
        <v>Shipper ZHISN</v>
      </c>
      <c r="O596" t="str">
        <f>IFERROR(VLOOKUP(A596,'Sales Order'!A:I,9,FALSE),"Not Specified")</f>
        <v>Destination NZASL</v>
      </c>
      <c r="P596" t="str">
        <f>IFERROR(VLOOKUP(A596,'Sales Order'!A:N,14,FALSE),"Not Specified")</f>
        <v>UK</v>
      </c>
      <c r="Q596" t="str">
        <f>VLOOKUP(VLOOKUP(B596,Product!A:C,3,FALSE),Supplier!A:B,2,FALSE)</f>
        <v>Supplier STUAZ</v>
      </c>
      <c r="R596" t="str">
        <f>VLOOKUP(VLOOKUP(B596,Product!A:C,3,FALSE),Supplier!A:I,9,FALSE)</f>
        <v>USA</v>
      </c>
      <c r="S596" t="str">
        <f>IFERROR(IF(VLOOKUP(A596,'Sales Order'!A:H,8,FALSE)&gt;100,"High Freight","Low Freight"),"Not Specified")</f>
        <v>Low Freight</v>
      </c>
      <c r="T596">
        <f t="shared" si="19"/>
        <v>720</v>
      </c>
    </row>
    <row r="597" spans="1:20">
      <c r="A597" s="9">
        <v>10471</v>
      </c>
      <c r="B597" s="6">
        <v>56</v>
      </c>
      <c r="C597" s="6">
        <v>30.4</v>
      </c>
      <c r="D597" s="6">
        <v>20</v>
      </c>
      <c r="E597" s="18">
        <v>0</v>
      </c>
      <c r="F597" s="6" t="str">
        <f>IFERROR(VLOOKUP(VLOOKUP(A597,'Sales Order'!A:B,2,FALSE),Customer!A:C,3,FALSE),"Not Specified")</f>
        <v>Jaffe, David</v>
      </c>
      <c r="G597" s="6" t="str">
        <f t="shared" si="18"/>
        <v>Jaffe David</v>
      </c>
      <c r="H597" s="22" t="str">
        <f>IFERROR(VLOOKUP(VLOOKUP(A597,'Sales Order'!A:C,3,FALSE),Employee!A:E,5,FALSE)&amp;" "&amp;VLOOKUP(VLOOKUP(A597,'Sales Order'!A:C,3,FALSE),Employee!A:C,3,FALSE)&amp;" "&amp;VLOOKUP(VLOOKUP(A597,'Sales Order'!A:C,3,FALSE),Employee!A:B,2,FALSE),"Not Specified")</f>
        <v>Dr. Don Funk</v>
      </c>
      <c r="I597" t="str">
        <f>IFERROR(VLOOKUP(VLOOKUP(A597,'Sales Order'!A:C,3,FALSE),Employee!A:J,10,FALSE),"Not Specified")</f>
        <v>WA</v>
      </c>
      <c r="J597" t="str">
        <f>VLOOKUP(B597,Product!A:B,2,FALSE)</f>
        <v>Product VKCMF</v>
      </c>
      <c r="K597" t="str">
        <f>VLOOKUP(VLOOKUP(B597,Product!A:D,4,FALSE),Category!A:B,2,FALSE)</f>
        <v>Grains/Cereals</v>
      </c>
      <c r="L597" s="24">
        <f>IFERROR(VLOOKUP(A597,'Sales Order'!A:D,4,FALSE),"")</f>
        <v>39152</v>
      </c>
      <c r="M597" s="24">
        <f>IFERROR(VLOOKUP(A597,'Sales Order'!A:F,6,FALSE),"")</f>
        <v>39159</v>
      </c>
      <c r="N597" t="str">
        <f>IFERROR(VLOOKUP(VLOOKUP(A597,'Sales Order'!A:G,7,FALSE),Shipper!A:B,2,FALSE),"Not Specified")</f>
        <v>Shipper ZHISN</v>
      </c>
      <c r="O597" t="str">
        <f>IFERROR(VLOOKUP(A597,'Sales Order'!A:I,9,FALSE),"Not Specified")</f>
        <v>Destination NZASL</v>
      </c>
      <c r="P597" t="str">
        <f>IFERROR(VLOOKUP(A597,'Sales Order'!A:N,14,FALSE),"Not Specified")</f>
        <v>UK</v>
      </c>
      <c r="Q597" t="str">
        <f>VLOOKUP(VLOOKUP(B597,Product!A:C,3,FALSE),Supplier!A:B,2,FALSE)</f>
        <v>Supplier ZWZDM</v>
      </c>
      <c r="R597" t="str">
        <f>VLOOKUP(VLOOKUP(B597,Product!A:C,3,FALSE),Supplier!A:I,9,FALSE)</f>
        <v>Italy</v>
      </c>
      <c r="S597" t="str">
        <f>IFERROR(IF(VLOOKUP(A597,'Sales Order'!A:H,8,FALSE)&gt;100,"High Freight","Low Freight"),"Not Specified")</f>
        <v>Low Freight</v>
      </c>
      <c r="T597">
        <f t="shared" si="19"/>
        <v>608</v>
      </c>
    </row>
    <row r="598" spans="1:20">
      <c r="A598" s="9">
        <v>10472</v>
      </c>
      <c r="B598" s="6">
        <v>24</v>
      </c>
      <c r="C598" s="6">
        <v>3.6</v>
      </c>
      <c r="D598" s="6">
        <v>80</v>
      </c>
      <c r="E598" s="18">
        <v>0.05</v>
      </c>
      <c r="F598" s="6" t="str">
        <f>IFERROR(VLOOKUP(VLOOKUP(A598,'Sales Order'!A:B,2,FALSE),Customer!A:C,3,FALSE),"Not Specified")</f>
        <v>Welcker, Brian</v>
      </c>
      <c r="G598" s="6" t="str">
        <f t="shared" si="18"/>
        <v>Welcker Brian</v>
      </c>
      <c r="H598" s="22" t="str">
        <f>IFERROR(VLOOKUP(VLOOKUP(A598,'Sales Order'!A:C,3,FALSE),Employee!A:E,5,FALSE)&amp;" "&amp;VLOOKUP(VLOOKUP(A598,'Sales Order'!A:C,3,FALSE),Employee!A:C,3,FALSE)&amp;" "&amp;VLOOKUP(VLOOKUP(A598,'Sales Order'!A:C,3,FALSE),Employee!A:B,2,FALSE),"Not Specified")</f>
        <v>Ms. Maria Cameron</v>
      </c>
      <c r="I598" t="str">
        <f>IFERROR(VLOOKUP(VLOOKUP(A598,'Sales Order'!A:C,3,FALSE),Employee!A:J,10,FALSE),"Not Specified")</f>
        <v>WA</v>
      </c>
      <c r="J598" t="str">
        <f>VLOOKUP(B598,Product!A:B,2,FALSE)</f>
        <v>Product QOGNU</v>
      </c>
      <c r="K598" t="str">
        <f>VLOOKUP(VLOOKUP(B598,Product!A:D,4,FALSE),Category!A:B,2,FALSE)</f>
        <v>Beverages</v>
      </c>
      <c r="L598" s="24">
        <f>IFERROR(VLOOKUP(A598,'Sales Order'!A:D,4,FALSE),"")</f>
        <v>39153</v>
      </c>
      <c r="M598" s="24">
        <f>IFERROR(VLOOKUP(A598,'Sales Order'!A:F,6,FALSE),"")</f>
        <v>39160</v>
      </c>
      <c r="N598" t="str">
        <f>IFERROR(VLOOKUP(VLOOKUP(A598,'Sales Order'!A:G,7,FALSE),Shipper!A:B,2,FALSE),"Not Specified")</f>
        <v>Shipper GVSUA</v>
      </c>
      <c r="O598" t="str">
        <f>IFERROR(VLOOKUP(A598,'Sales Order'!A:I,9,FALSE),"Not Specified")</f>
        <v>Ship to 72-A</v>
      </c>
      <c r="P598" t="str">
        <f>IFERROR(VLOOKUP(A598,'Sales Order'!A:N,14,FALSE),"Not Specified")</f>
        <v>UK</v>
      </c>
      <c r="Q598" t="str">
        <f>VLOOKUP(VLOOKUP(B598,Product!A:C,3,FALSE),Supplier!A:B,2,FALSE)</f>
        <v>Supplier UNAHG</v>
      </c>
      <c r="R598" t="str">
        <f>VLOOKUP(VLOOKUP(B598,Product!A:C,3,FALSE),Supplier!A:I,9,FALSE)</f>
        <v>Brazil</v>
      </c>
      <c r="S598" t="str">
        <f>IFERROR(IF(VLOOKUP(A598,'Sales Order'!A:H,8,FALSE)&gt;100,"High Freight","Low Freight"),"Not Specified")</f>
        <v>Low Freight</v>
      </c>
      <c r="T598">
        <f t="shared" si="19"/>
        <v>273.59999999999997</v>
      </c>
    </row>
    <row r="599" spans="1:20">
      <c r="A599" s="9">
        <v>10472</v>
      </c>
      <c r="B599" s="6">
        <v>51</v>
      </c>
      <c r="C599" s="6">
        <v>42.4</v>
      </c>
      <c r="D599" s="6">
        <v>18</v>
      </c>
      <c r="E599" s="18">
        <v>0</v>
      </c>
      <c r="F599" s="6" t="str">
        <f>IFERROR(VLOOKUP(VLOOKUP(A599,'Sales Order'!A:B,2,FALSE),Customer!A:C,3,FALSE),"Not Specified")</f>
        <v>Welcker, Brian</v>
      </c>
      <c r="G599" s="6" t="str">
        <f t="shared" si="18"/>
        <v>Welcker Brian</v>
      </c>
      <c r="H599" s="22" t="str">
        <f>IFERROR(VLOOKUP(VLOOKUP(A599,'Sales Order'!A:C,3,FALSE),Employee!A:E,5,FALSE)&amp;" "&amp;VLOOKUP(VLOOKUP(A599,'Sales Order'!A:C,3,FALSE),Employee!A:C,3,FALSE)&amp;" "&amp;VLOOKUP(VLOOKUP(A599,'Sales Order'!A:C,3,FALSE),Employee!A:B,2,FALSE),"Not Specified")</f>
        <v>Ms. Maria Cameron</v>
      </c>
      <c r="I599" t="str">
        <f>IFERROR(VLOOKUP(VLOOKUP(A599,'Sales Order'!A:C,3,FALSE),Employee!A:J,10,FALSE),"Not Specified")</f>
        <v>WA</v>
      </c>
      <c r="J599" t="str">
        <f>VLOOKUP(B599,Product!A:B,2,FALSE)</f>
        <v>Product APITJ</v>
      </c>
      <c r="K599" t="str">
        <f>VLOOKUP(VLOOKUP(B599,Product!A:D,4,FALSE),Category!A:B,2,FALSE)</f>
        <v>Produce</v>
      </c>
      <c r="L599" s="24">
        <f>IFERROR(VLOOKUP(A599,'Sales Order'!A:D,4,FALSE),"")</f>
        <v>39153</v>
      </c>
      <c r="M599" s="24">
        <f>IFERROR(VLOOKUP(A599,'Sales Order'!A:F,6,FALSE),"")</f>
        <v>39160</v>
      </c>
      <c r="N599" t="str">
        <f>IFERROR(VLOOKUP(VLOOKUP(A599,'Sales Order'!A:G,7,FALSE),Shipper!A:B,2,FALSE),"Not Specified")</f>
        <v>Shipper GVSUA</v>
      </c>
      <c r="O599" t="str">
        <f>IFERROR(VLOOKUP(A599,'Sales Order'!A:I,9,FALSE),"Not Specified")</f>
        <v>Ship to 72-A</v>
      </c>
      <c r="P599" t="str">
        <f>IFERROR(VLOOKUP(A599,'Sales Order'!A:N,14,FALSE),"Not Specified")</f>
        <v>UK</v>
      </c>
      <c r="Q599" t="str">
        <f>VLOOKUP(VLOOKUP(B599,Product!A:C,3,FALSE),Supplier!A:B,2,FALSE)</f>
        <v>Supplier JNNES</v>
      </c>
      <c r="R599" t="str">
        <f>VLOOKUP(VLOOKUP(B599,Product!A:C,3,FALSE),Supplier!A:I,9,FALSE)</f>
        <v>Australia</v>
      </c>
      <c r="S599" t="str">
        <f>IFERROR(IF(VLOOKUP(A599,'Sales Order'!A:H,8,FALSE)&gt;100,"High Freight","Low Freight"),"Not Specified")</f>
        <v>Low Freight</v>
      </c>
      <c r="T599">
        <f t="shared" si="19"/>
        <v>763.19999999999993</v>
      </c>
    </row>
    <row r="600" spans="1:20">
      <c r="A600" s="9">
        <v>10473</v>
      </c>
      <c r="B600" s="6">
        <v>33</v>
      </c>
      <c r="C600" s="6">
        <v>2</v>
      </c>
      <c r="D600" s="6">
        <v>12</v>
      </c>
      <c r="E600" s="18">
        <v>0</v>
      </c>
      <c r="F600" s="6" t="str">
        <f>IFERROR(VLOOKUP(VLOOKUP(A600,'Sales Order'!A:B,2,FALSE),Customer!A:C,3,FALSE),"Not Specified")</f>
        <v>Lee, Frank</v>
      </c>
      <c r="G600" s="6" t="str">
        <f t="shared" si="18"/>
        <v>Lee Frank</v>
      </c>
      <c r="H600" s="22" t="str">
        <f>IFERROR(VLOOKUP(VLOOKUP(A600,'Sales Order'!A:C,3,FALSE),Employee!A:E,5,FALSE)&amp;" "&amp;VLOOKUP(VLOOKUP(A600,'Sales Order'!A:C,3,FALSE),Employee!A:C,3,FALSE)&amp;" "&amp;VLOOKUP(VLOOKUP(A600,'Sales Order'!A:C,3,FALSE),Employee!A:B,2,FALSE),"Not Specified")</f>
        <v>Ms. Sara Davis</v>
      </c>
      <c r="I600" t="str">
        <f>IFERROR(VLOOKUP(VLOOKUP(A600,'Sales Order'!A:C,3,FALSE),Employee!A:J,10,FALSE),"Not Specified")</f>
        <v>WA</v>
      </c>
      <c r="J600" t="str">
        <f>VLOOKUP(B600,Product!A:B,2,FALSE)</f>
        <v>Product ASTMN</v>
      </c>
      <c r="K600" t="str">
        <f>VLOOKUP(VLOOKUP(B600,Product!A:D,4,FALSE),Category!A:B,2,FALSE)</f>
        <v>Dairy Product</v>
      </c>
      <c r="L600" s="24">
        <f>IFERROR(VLOOKUP(A600,'Sales Order'!A:D,4,FALSE),"")</f>
        <v>39154</v>
      </c>
      <c r="M600" s="24">
        <f>IFERROR(VLOOKUP(A600,'Sales Order'!A:F,6,FALSE),"")</f>
        <v>39162</v>
      </c>
      <c r="N600" t="str">
        <f>IFERROR(VLOOKUP(VLOOKUP(A600,'Sales Order'!A:G,7,FALSE),Shipper!A:B,2,FALSE),"Not Specified")</f>
        <v>Shipper ZHISN</v>
      </c>
      <c r="O600" t="str">
        <f>IFERROR(VLOOKUP(A600,'Sales Order'!A:I,9,FALSE),"Not Specified")</f>
        <v>Destination AXVHD</v>
      </c>
      <c r="P600" t="str">
        <f>IFERROR(VLOOKUP(A600,'Sales Order'!A:N,14,FALSE),"Not Specified")</f>
        <v>UK</v>
      </c>
      <c r="Q600" t="str">
        <f>VLOOKUP(VLOOKUP(B600,Product!A:C,3,FALSE),Supplier!A:B,2,FALSE)</f>
        <v>Supplier NZLIF</v>
      </c>
      <c r="R600" t="str">
        <f>VLOOKUP(VLOOKUP(B600,Product!A:C,3,FALSE),Supplier!A:I,9,FALSE)</f>
        <v>Norway</v>
      </c>
      <c r="S600" t="str">
        <f>IFERROR(IF(VLOOKUP(A600,'Sales Order'!A:H,8,FALSE)&gt;100,"High Freight","Low Freight"),"Not Specified")</f>
        <v>Low Freight</v>
      </c>
      <c r="T600">
        <f t="shared" si="19"/>
        <v>24</v>
      </c>
    </row>
    <row r="601" spans="1:20">
      <c r="A601" s="9">
        <v>10473</v>
      </c>
      <c r="B601" s="6">
        <v>71</v>
      </c>
      <c r="C601" s="6">
        <v>17.2</v>
      </c>
      <c r="D601" s="6">
        <v>12</v>
      </c>
      <c r="E601" s="18">
        <v>0</v>
      </c>
      <c r="F601" s="6" t="str">
        <f>IFERROR(VLOOKUP(VLOOKUP(A601,'Sales Order'!A:B,2,FALSE),Customer!A:C,3,FALSE),"Not Specified")</f>
        <v>Lee, Frank</v>
      </c>
      <c r="G601" s="6" t="str">
        <f t="shared" si="18"/>
        <v>Lee Frank</v>
      </c>
      <c r="H601" s="22" t="str">
        <f>IFERROR(VLOOKUP(VLOOKUP(A601,'Sales Order'!A:C,3,FALSE),Employee!A:E,5,FALSE)&amp;" "&amp;VLOOKUP(VLOOKUP(A601,'Sales Order'!A:C,3,FALSE),Employee!A:C,3,FALSE)&amp;" "&amp;VLOOKUP(VLOOKUP(A601,'Sales Order'!A:C,3,FALSE),Employee!A:B,2,FALSE),"Not Specified")</f>
        <v>Ms. Sara Davis</v>
      </c>
      <c r="I601" t="str">
        <f>IFERROR(VLOOKUP(VLOOKUP(A601,'Sales Order'!A:C,3,FALSE),Employee!A:J,10,FALSE),"Not Specified")</f>
        <v>WA</v>
      </c>
      <c r="J601" t="str">
        <f>VLOOKUP(B601,Product!A:B,2,FALSE)</f>
        <v>Product MYMOI</v>
      </c>
      <c r="K601" t="str">
        <f>VLOOKUP(VLOOKUP(B601,Product!A:D,4,FALSE),Category!A:B,2,FALSE)</f>
        <v>Dairy Product</v>
      </c>
      <c r="L601" s="24">
        <f>IFERROR(VLOOKUP(A601,'Sales Order'!A:D,4,FALSE),"")</f>
        <v>39154</v>
      </c>
      <c r="M601" s="24">
        <f>IFERROR(VLOOKUP(A601,'Sales Order'!A:F,6,FALSE),"")</f>
        <v>39162</v>
      </c>
      <c r="N601" t="str">
        <f>IFERROR(VLOOKUP(VLOOKUP(A601,'Sales Order'!A:G,7,FALSE),Shipper!A:B,2,FALSE),"Not Specified")</f>
        <v>Shipper ZHISN</v>
      </c>
      <c r="O601" t="str">
        <f>IFERROR(VLOOKUP(A601,'Sales Order'!A:I,9,FALSE),"Not Specified")</f>
        <v>Destination AXVHD</v>
      </c>
      <c r="P601" t="str">
        <f>IFERROR(VLOOKUP(A601,'Sales Order'!A:N,14,FALSE),"Not Specified")</f>
        <v>UK</v>
      </c>
      <c r="Q601" t="str">
        <f>VLOOKUP(VLOOKUP(B601,Product!A:C,3,FALSE),Supplier!A:B,2,FALSE)</f>
        <v>Supplier NZLIF</v>
      </c>
      <c r="R601" t="str">
        <f>VLOOKUP(VLOOKUP(B601,Product!A:C,3,FALSE),Supplier!A:I,9,FALSE)</f>
        <v>Norway</v>
      </c>
      <c r="S601" t="str">
        <f>IFERROR(IF(VLOOKUP(A601,'Sales Order'!A:H,8,FALSE)&gt;100,"High Freight","Low Freight"),"Not Specified")</f>
        <v>Low Freight</v>
      </c>
      <c r="T601">
        <f t="shared" si="19"/>
        <v>206.39999999999998</v>
      </c>
    </row>
    <row r="602" spans="1:20">
      <c r="A602" s="9">
        <v>10474</v>
      </c>
      <c r="B602" s="6">
        <v>14</v>
      </c>
      <c r="C602" s="6">
        <v>18.600000000000001</v>
      </c>
      <c r="D602" s="6">
        <v>12</v>
      </c>
      <c r="E602" s="18">
        <v>0</v>
      </c>
      <c r="F602" s="6" t="str">
        <f>IFERROR(VLOOKUP(VLOOKUP(A602,'Sales Order'!A:B,2,FALSE),Customer!A:C,3,FALSE),"Not Specified")</f>
        <v>Fakhouri, Fadi</v>
      </c>
      <c r="G602" s="6" t="str">
        <f t="shared" si="18"/>
        <v>Fakhouri Fadi</v>
      </c>
      <c r="H602" s="22" t="str">
        <f>IFERROR(VLOOKUP(VLOOKUP(A602,'Sales Order'!A:C,3,FALSE),Employee!A:E,5,FALSE)&amp;" "&amp;VLOOKUP(VLOOKUP(A602,'Sales Order'!A:C,3,FALSE),Employee!A:C,3,FALSE)&amp;" "&amp;VLOOKUP(VLOOKUP(A602,'Sales Order'!A:C,3,FALSE),Employee!A:B,2,FALSE),"Not Specified")</f>
        <v>Mr. Sven Buck</v>
      </c>
      <c r="I602">
        <f>IFERROR(VLOOKUP(VLOOKUP(A602,'Sales Order'!A:C,3,FALSE),Employee!A:J,10,FALSE),"Not Specified")</f>
        <v>0</v>
      </c>
      <c r="J602" t="str">
        <f>VLOOKUP(B602,Product!A:B,2,FALSE)</f>
        <v>Product PWCJB</v>
      </c>
      <c r="K602" t="str">
        <f>VLOOKUP(VLOOKUP(B602,Product!A:D,4,FALSE),Category!A:B,2,FALSE)</f>
        <v>Produce</v>
      </c>
      <c r="L602" s="24">
        <f>IFERROR(VLOOKUP(A602,'Sales Order'!A:D,4,FALSE),"")</f>
        <v>39154</v>
      </c>
      <c r="M602" s="24">
        <f>IFERROR(VLOOKUP(A602,'Sales Order'!A:F,6,FALSE),"")</f>
        <v>39162</v>
      </c>
      <c r="N602" t="str">
        <f>IFERROR(VLOOKUP(VLOOKUP(A602,'Sales Order'!A:G,7,FALSE),Shipper!A:B,2,FALSE),"Not Specified")</f>
        <v>Shipper ETYNR</v>
      </c>
      <c r="O602" t="str">
        <f>IFERROR(VLOOKUP(A602,'Sales Order'!A:I,9,FALSE),"Not Specified")</f>
        <v>Ship to 58-C</v>
      </c>
      <c r="P602" t="str">
        <f>IFERROR(VLOOKUP(A602,'Sales Order'!A:N,14,FALSE),"Not Specified")</f>
        <v>Mexico</v>
      </c>
      <c r="Q602" t="str">
        <f>VLOOKUP(VLOOKUP(B602,Product!A:C,3,FALSE),Supplier!A:B,2,FALSE)</f>
        <v>Supplier QWUSF</v>
      </c>
      <c r="R602" t="str">
        <f>VLOOKUP(VLOOKUP(B602,Product!A:C,3,FALSE),Supplier!A:I,9,FALSE)</f>
        <v>Japan</v>
      </c>
      <c r="S602" t="str">
        <f>IFERROR(IF(VLOOKUP(A602,'Sales Order'!A:H,8,FALSE)&gt;100,"High Freight","Low Freight"),"Not Specified")</f>
        <v>Low Freight</v>
      </c>
      <c r="T602">
        <f t="shared" si="19"/>
        <v>223.20000000000002</v>
      </c>
    </row>
    <row r="603" spans="1:20">
      <c r="A603" s="9">
        <v>10474</v>
      </c>
      <c r="B603" s="6">
        <v>28</v>
      </c>
      <c r="C603" s="6">
        <v>36.4</v>
      </c>
      <c r="D603" s="6">
        <v>18</v>
      </c>
      <c r="E603" s="18">
        <v>0</v>
      </c>
      <c r="F603" s="6" t="str">
        <f>IFERROR(VLOOKUP(VLOOKUP(A603,'Sales Order'!A:B,2,FALSE),Customer!A:C,3,FALSE),"Not Specified")</f>
        <v>Fakhouri, Fadi</v>
      </c>
      <c r="G603" s="6" t="str">
        <f t="shared" si="18"/>
        <v>Fakhouri Fadi</v>
      </c>
      <c r="H603" s="22" t="str">
        <f>IFERROR(VLOOKUP(VLOOKUP(A603,'Sales Order'!A:C,3,FALSE),Employee!A:E,5,FALSE)&amp;" "&amp;VLOOKUP(VLOOKUP(A603,'Sales Order'!A:C,3,FALSE),Employee!A:C,3,FALSE)&amp;" "&amp;VLOOKUP(VLOOKUP(A603,'Sales Order'!A:C,3,FALSE),Employee!A:B,2,FALSE),"Not Specified")</f>
        <v>Mr. Sven Buck</v>
      </c>
      <c r="I603">
        <f>IFERROR(VLOOKUP(VLOOKUP(A603,'Sales Order'!A:C,3,FALSE),Employee!A:J,10,FALSE),"Not Specified")</f>
        <v>0</v>
      </c>
      <c r="J603" t="str">
        <f>VLOOKUP(B603,Product!A:B,2,FALSE)</f>
        <v>Product OFBNT</v>
      </c>
      <c r="K603" t="str">
        <f>VLOOKUP(VLOOKUP(B603,Product!A:D,4,FALSE),Category!A:B,2,FALSE)</f>
        <v>Produce</v>
      </c>
      <c r="L603" s="24">
        <f>IFERROR(VLOOKUP(A603,'Sales Order'!A:D,4,FALSE),"")</f>
        <v>39154</v>
      </c>
      <c r="M603" s="24">
        <f>IFERROR(VLOOKUP(A603,'Sales Order'!A:F,6,FALSE),"")</f>
        <v>39162</v>
      </c>
      <c r="N603" t="str">
        <f>IFERROR(VLOOKUP(VLOOKUP(A603,'Sales Order'!A:G,7,FALSE),Shipper!A:B,2,FALSE),"Not Specified")</f>
        <v>Shipper ETYNR</v>
      </c>
      <c r="O603" t="str">
        <f>IFERROR(VLOOKUP(A603,'Sales Order'!A:I,9,FALSE),"Not Specified")</f>
        <v>Ship to 58-C</v>
      </c>
      <c r="P603" t="str">
        <f>IFERROR(VLOOKUP(A603,'Sales Order'!A:N,14,FALSE),"Not Specified")</f>
        <v>Mexico</v>
      </c>
      <c r="Q603" t="str">
        <f>VLOOKUP(VLOOKUP(B603,Product!A:C,3,FALSE),Supplier!A:B,2,FALSE)</f>
        <v>Supplier SVIYA</v>
      </c>
      <c r="R603" t="str">
        <f>VLOOKUP(VLOOKUP(B603,Product!A:C,3,FALSE),Supplier!A:I,9,FALSE)</f>
        <v>Germany</v>
      </c>
      <c r="S603" t="str">
        <f>IFERROR(IF(VLOOKUP(A603,'Sales Order'!A:H,8,FALSE)&gt;100,"High Freight","Low Freight"),"Not Specified")</f>
        <v>Low Freight</v>
      </c>
      <c r="T603">
        <f t="shared" si="19"/>
        <v>655.19999999999993</v>
      </c>
    </row>
    <row r="604" spans="1:20">
      <c r="A604" s="9">
        <v>10474</v>
      </c>
      <c r="B604" s="6">
        <v>40</v>
      </c>
      <c r="C604" s="6">
        <v>14.7</v>
      </c>
      <c r="D604" s="6">
        <v>21</v>
      </c>
      <c r="E604" s="18">
        <v>0</v>
      </c>
      <c r="F604" s="6" t="str">
        <f>IFERROR(VLOOKUP(VLOOKUP(A604,'Sales Order'!A:B,2,FALSE),Customer!A:C,3,FALSE),"Not Specified")</f>
        <v>Fakhouri, Fadi</v>
      </c>
      <c r="G604" s="6" t="str">
        <f t="shared" si="18"/>
        <v>Fakhouri Fadi</v>
      </c>
      <c r="H604" s="22" t="str">
        <f>IFERROR(VLOOKUP(VLOOKUP(A604,'Sales Order'!A:C,3,FALSE),Employee!A:E,5,FALSE)&amp;" "&amp;VLOOKUP(VLOOKUP(A604,'Sales Order'!A:C,3,FALSE),Employee!A:C,3,FALSE)&amp;" "&amp;VLOOKUP(VLOOKUP(A604,'Sales Order'!A:C,3,FALSE),Employee!A:B,2,FALSE),"Not Specified")</f>
        <v>Mr. Sven Buck</v>
      </c>
      <c r="I604">
        <f>IFERROR(VLOOKUP(VLOOKUP(A604,'Sales Order'!A:C,3,FALSE),Employee!A:J,10,FALSE),"Not Specified")</f>
        <v>0</v>
      </c>
      <c r="J604" t="str">
        <f>VLOOKUP(B604,Product!A:B,2,FALSE)</f>
        <v>Product YZIXQ</v>
      </c>
      <c r="K604" t="str">
        <f>VLOOKUP(VLOOKUP(B604,Product!A:D,4,FALSE),Category!A:B,2,FALSE)</f>
        <v>Seafood</v>
      </c>
      <c r="L604" s="24">
        <f>IFERROR(VLOOKUP(A604,'Sales Order'!A:D,4,FALSE),"")</f>
        <v>39154</v>
      </c>
      <c r="M604" s="24">
        <f>IFERROR(VLOOKUP(A604,'Sales Order'!A:F,6,FALSE),"")</f>
        <v>39162</v>
      </c>
      <c r="N604" t="str">
        <f>IFERROR(VLOOKUP(VLOOKUP(A604,'Sales Order'!A:G,7,FALSE),Shipper!A:B,2,FALSE),"Not Specified")</f>
        <v>Shipper ETYNR</v>
      </c>
      <c r="O604" t="str">
        <f>IFERROR(VLOOKUP(A604,'Sales Order'!A:I,9,FALSE),"Not Specified")</f>
        <v>Ship to 58-C</v>
      </c>
      <c r="P604" t="str">
        <f>IFERROR(VLOOKUP(A604,'Sales Order'!A:N,14,FALSE),"Not Specified")</f>
        <v>Mexico</v>
      </c>
      <c r="Q604" t="str">
        <f>VLOOKUP(VLOOKUP(B604,Product!A:C,3,FALSE),Supplier!A:B,2,FALSE)</f>
        <v>Supplier JDNUG</v>
      </c>
      <c r="R604" t="str">
        <f>VLOOKUP(VLOOKUP(B604,Product!A:C,3,FALSE),Supplier!A:I,9,FALSE)</f>
        <v>USA</v>
      </c>
      <c r="S604" t="str">
        <f>IFERROR(IF(VLOOKUP(A604,'Sales Order'!A:H,8,FALSE)&gt;100,"High Freight","Low Freight"),"Not Specified")</f>
        <v>Low Freight</v>
      </c>
      <c r="T604">
        <f t="shared" si="19"/>
        <v>308.7</v>
      </c>
    </row>
    <row r="605" spans="1:20">
      <c r="A605" s="9">
        <v>10474</v>
      </c>
      <c r="B605" s="6">
        <v>75</v>
      </c>
      <c r="C605" s="6">
        <v>6.2</v>
      </c>
      <c r="D605" s="6">
        <v>10</v>
      </c>
      <c r="E605" s="18">
        <v>0</v>
      </c>
      <c r="F605" s="6" t="str">
        <f>IFERROR(VLOOKUP(VLOOKUP(A605,'Sales Order'!A:B,2,FALSE),Customer!A:C,3,FALSE),"Not Specified")</f>
        <v>Fakhouri, Fadi</v>
      </c>
      <c r="G605" s="6" t="str">
        <f t="shared" si="18"/>
        <v>Fakhouri Fadi</v>
      </c>
      <c r="H605" s="22" t="str">
        <f>IFERROR(VLOOKUP(VLOOKUP(A605,'Sales Order'!A:C,3,FALSE),Employee!A:E,5,FALSE)&amp;" "&amp;VLOOKUP(VLOOKUP(A605,'Sales Order'!A:C,3,FALSE),Employee!A:C,3,FALSE)&amp;" "&amp;VLOOKUP(VLOOKUP(A605,'Sales Order'!A:C,3,FALSE),Employee!A:B,2,FALSE),"Not Specified")</f>
        <v>Mr. Sven Buck</v>
      </c>
      <c r="I605">
        <f>IFERROR(VLOOKUP(VLOOKUP(A605,'Sales Order'!A:C,3,FALSE),Employee!A:J,10,FALSE),"Not Specified")</f>
        <v>0</v>
      </c>
      <c r="J605" t="str">
        <f>VLOOKUP(B605,Product!A:B,2,FALSE)</f>
        <v>Product BWRLG</v>
      </c>
      <c r="K605" t="str">
        <f>VLOOKUP(VLOOKUP(B605,Product!A:D,4,FALSE),Category!A:B,2,FALSE)</f>
        <v>Beverages</v>
      </c>
      <c r="L605" s="24">
        <f>IFERROR(VLOOKUP(A605,'Sales Order'!A:D,4,FALSE),"")</f>
        <v>39154</v>
      </c>
      <c r="M605" s="24">
        <f>IFERROR(VLOOKUP(A605,'Sales Order'!A:F,6,FALSE),"")</f>
        <v>39162</v>
      </c>
      <c r="N605" t="str">
        <f>IFERROR(VLOOKUP(VLOOKUP(A605,'Sales Order'!A:G,7,FALSE),Shipper!A:B,2,FALSE),"Not Specified")</f>
        <v>Shipper ETYNR</v>
      </c>
      <c r="O605" t="str">
        <f>IFERROR(VLOOKUP(A605,'Sales Order'!A:I,9,FALSE),"Not Specified")</f>
        <v>Ship to 58-C</v>
      </c>
      <c r="P605" t="str">
        <f>IFERROR(VLOOKUP(A605,'Sales Order'!A:N,14,FALSE),"Not Specified")</f>
        <v>Mexico</v>
      </c>
      <c r="Q605" t="str">
        <f>VLOOKUP(VLOOKUP(B605,Product!A:C,3,FALSE),Supplier!A:B,2,FALSE)</f>
        <v>Supplier SVIYA</v>
      </c>
      <c r="R605" t="str">
        <f>VLOOKUP(VLOOKUP(B605,Product!A:C,3,FALSE),Supplier!A:I,9,FALSE)</f>
        <v>Germany</v>
      </c>
      <c r="S605" t="str">
        <f>IFERROR(IF(VLOOKUP(A605,'Sales Order'!A:H,8,FALSE)&gt;100,"High Freight","Low Freight"),"Not Specified")</f>
        <v>Low Freight</v>
      </c>
      <c r="T605">
        <f t="shared" si="19"/>
        <v>62</v>
      </c>
    </row>
    <row r="606" spans="1:20">
      <c r="A606" s="9">
        <v>10475</v>
      </c>
      <c r="B606" s="6">
        <v>31</v>
      </c>
      <c r="C606" s="6">
        <v>10</v>
      </c>
      <c r="D606" s="6">
        <v>35</v>
      </c>
      <c r="E606" s="18">
        <v>0.15</v>
      </c>
      <c r="F606" s="6" t="str">
        <f>IFERROR(VLOOKUP(VLOOKUP(A606,'Sales Order'!A:B,2,FALSE),Customer!A:C,3,FALSE),"Not Specified")</f>
        <v>Gulbis, Katrin</v>
      </c>
      <c r="G606" s="6" t="str">
        <f t="shared" si="18"/>
        <v>Gulbis Katrin</v>
      </c>
      <c r="H606" s="22" t="str">
        <f>IFERROR(VLOOKUP(VLOOKUP(A606,'Sales Order'!A:C,3,FALSE),Employee!A:E,5,FALSE)&amp;" "&amp;VLOOKUP(VLOOKUP(A606,'Sales Order'!A:C,3,FALSE),Employee!A:C,3,FALSE)&amp;" "&amp;VLOOKUP(VLOOKUP(A606,'Sales Order'!A:C,3,FALSE),Employee!A:B,2,FALSE),"Not Specified")</f>
        <v>Ms. Zoya Dolgopyatova</v>
      </c>
      <c r="I606">
        <f>IFERROR(VLOOKUP(VLOOKUP(A606,'Sales Order'!A:C,3,FALSE),Employee!A:J,10,FALSE),"Not Specified")</f>
        <v>0</v>
      </c>
      <c r="J606" t="str">
        <f>VLOOKUP(B606,Product!A:B,2,FALSE)</f>
        <v>Product XWOXC</v>
      </c>
      <c r="K606" t="str">
        <f>VLOOKUP(VLOOKUP(B606,Product!A:D,4,FALSE),Category!A:B,2,FALSE)</f>
        <v>Dairy Product</v>
      </c>
      <c r="L606" s="24">
        <f>IFERROR(VLOOKUP(A606,'Sales Order'!A:D,4,FALSE),"")</f>
        <v>39155</v>
      </c>
      <c r="M606" s="24">
        <f>IFERROR(VLOOKUP(A606,'Sales Order'!A:F,6,FALSE),"")</f>
        <v>39176</v>
      </c>
      <c r="N606" t="str">
        <f>IFERROR(VLOOKUP(VLOOKUP(A606,'Sales Order'!A:G,7,FALSE),Shipper!A:B,2,FALSE),"Not Specified")</f>
        <v>Shipper GVSUA</v>
      </c>
      <c r="O606" t="str">
        <f>IFERROR(VLOOKUP(A606,'Sales Order'!A:I,9,FALSE),"Not Specified")</f>
        <v>Ship to 76-C</v>
      </c>
      <c r="P606" t="str">
        <f>IFERROR(VLOOKUP(A606,'Sales Order'!A:N,14,FALSE),"Not Specified")</f>
        <v>Belgium</v>
      </c>
      <c r="Q606" t="str">
        <f>VLOOKUP(VLOOKUP(B606,Product!A:C,3,FALSE),Supplier!A:B,2,FALSE)</f>
        <v>Supplier KEREV</v>
      </c>
      <c r="R606" t="str">
        <f>VLOOKUP(VLOOKUP(B606,Product!A:C,3,FALSE),Supplier!A:I,9,FALSE)</f>
        <v>Italy</v>
      </c>
      <c r="S606" t="str">
        <f>IFERROR(IF(VLOOKUP(A606,'Sales Order'!A:H,8,FALSE)&gt;100,"High Freight","Low Freight"),"Not Specified")</f>
        <v>Low Freight</v>
      </c>
      <c r="T606">
        <f t="shared" si="19"/>
        <v>297.5</v>
      </c>
    </row>
    <row r="607" spans="1:20">
      <c r="A607" s="9">
        <v>10475</v>
      </c>
      <c r="B607" s="6">
        <v>66</v>
      </c>
      <c r="C607" s="6">
        <v>13.6</v>
      </c>
      <c r="D607" s="6">
        <v>60</v>
      </c>
      <c r="E607" s="18">
        <v>0.15</v>
      </c>
      <c r="F607" s="6" t="str">
        <f>IFERROR(VLOOKUP(VLOOKUP(A607,'Sales Order'!A:B,2,FALSE),Customer!A:C,3,FALSE),"Not Specified")</f>
        <v>Gulbis, Katrin</v>
      </c>
      <c r="G607" s="6" t="str">
        <f t="shared" si="18"/>
        <v>Gulbis Katrin</v>
      </c>
      <c r="H607" s="22" t="str">
        <f>IFERROR(VLOOKUP(VLOOKUP(A607,'Sales Order'!A:C,3,FALSE),Employee!A:E,5,FALSE)&amp;" "&amp;VLOOKUP(VLOOKUP(A607,'Sales Order'!A:C,3,FALSE),Employee!A:C,3,FALSE)&amp;" "&amp;VLOOKUP(VLOOKUP(A607,'Sales Order'!A:C,3,FALSE),Employee!A:B,2,FALSE),"Not Specified")</f>
        <v>Ms. Zoya Dolgopyatova</v>
      </c>
      <c r="I607">
        <f>IFERROR(VLOOKUP(VLOOKUP(A607,'Sales Order'!A:C,3,FALSE),Employee!A:J,10,FALSE),"Not Specified")</f>
        <v>0</v>
      </c>
      <c r="J607" t="str">
        <f>VLOOKUP(B607,Product!A:B,2,FALSE)</f>
        <v>Product LQMGN</v>
      </c>
      <c r="K607" t="str">
        <f>VLOOKUP(VLOOKUP(B607,Product!A:D,4,FALSE),Category!A:B,2,FALSE)</f>
        <v>Condiments</v>
      </c>
      <c r="L607" s="24">
        <f>IFERROR(VLOOKUP(A607,'Sales Order'!A:D,4,FALSE),"")</f>
        <v>39155</v>
      </c>
      <c r="M607" s="24">
        <f>IFERROR(VLOOKUP(A607,'Sales Order'!A:F,6,FALSE),"")</f>
        <v>39176</v>
      </c>
      <c r="N607" t="str">
        <f>IFERROR(VLOOKUP(VLOOKUP(A607,'Sales Order'!A:G,7,FALSE),Shipper!A:B,2,FALSE),"Not Specified")</f>
        <v>Shipper GVSUA</v>
      </c>
      <c r="O607" t="str">
        <f>IFERROR(VLOOKUP(A607,'Sales Order'!A:I,9,FALSE),"Not Specified")</f>
        <v>Ship to 76-C</v>
      </c>
      <c r="P607" t="str">
        <f>IFERROR(VLOOKUP(A607,'Sales Order'!A:N,14,FALSE),"Not Specified")</f>
        <v>Belgium</v>
      </c>
      <c r="Q607" t="str">
        <f>VLOOKUP(VLOOKUP(B607,Product!A:C,3,FALSE),Supplier!A:B,2,FALSE)</f>
        <v>Supplier VHQZD</v>
      </c>
      <c r="R607" t="str">
        <f>VLOOKUP(VLOOKUP(B607,Product!A:C,3,FALSE),Supplier!A:I,9,FALSE)</f>
        <v>USA</v>
      </c>
      <c r="S607" t="str">
        <f>IFERROR(IF(VLOOKUP(A607,'Sales Order'!A:H,8,FALSE)&gt;100,"High Freight","Low Freight"),"Not Specified")</f>
        <v>Low Freight</v>
      </c>
      <c r="T607">
        <f t="shared" si="19"/>
        <v>693.6</v>
      </c>
    </row>
    <row r="608" spans="1:20">
      <c r="A608" s="9">
        <v>10475</v>
      </c>
      <c r="B608" s="6">
        <v>76</v>
      </c>
      <c r="C608" s="6">
        <v>14.4</v>
      </c>
      <c r="D608" s="6">
        <v>42</v>
      </c>
      <c r="E608" s="18">
        <v>0.15</v>
      </c>
      <c r="F608" s="6" t="str">
        <f>IFERROR(VLOOKUP(VLOOKUP(A608,'Sales Order'!A:B,2,FALSE),Customer!A:C,3,FALSE),"Not Specified")</f>
        <v>Gulbis, Katrin</v>
      </c>
      <c r="G608" s="6" t="str">
        <f t="shared" si="18"/>
        <v>Gulbis Katrin</v>
      </c>
      <c r="H608" s="22" t="str">
        <f>IFERROR(VLOOKUP(VLOOKUP(A608,'Sales Order'!A:C,3,FALSE),Employee!A:E,5,FALSE)&amp;" "&amp;VLOOKUP(VLOOKUP(A608,'Sales Order'!A:C,3,FALSE),Employee!A:C,3,FALSE)&amp;" "&amp;VLOOKUP(VLOOKUP(A608,'Sales Order'!A:C,3,FALSE),Employee!A:B,2,FALSE),"Not Specified")</f>
        <v>Ms. Zoya Dolgopyatova</v>
      </c>
      <c r="I608">
        <f>IFERROR(VLOOKUP(VLOOKUP(A608,'Sales Order'!A:C,3,FALSE),Employee!A:J,10,FALSE),"Not Specified")</f>
        <v>0</v>
      </c>
      <c r="J608" t="str">
        <f>VLOOKUP(B608,Product!A:B,2,FALSE)</f>
        <v>Product JYGFE</v>
      </c>
      <c r="K608" t="str">
        <f>VLOOKUP(VLOOKUP(B608,Product!A:D,4,FALSE),Category!A:B,2,FALSE)</f>
        <v>Beverages</v>
      </c>
      <c r="L608" s="24">
        <f>IFERROR(VLOOKUP(A608,'Sales Order'!A:D,4,FALSE),"")</f>
        <v>39155</v>
      </c>
      <c r="M608" s="24">
        <f>IFERROR(VLOOKUP(A608,'Sales Order'!A:F,6,FALSE),"")</f>
        <v>39176</v>
      </c>
      <c r="N608" t="str">
        <f>IFERROR(VLOOKUP(VLOOKUP(A608,'Sales Order'!A:G,7,FALSE),Shipper!A:B,2,FALSE),"Not Specified")</f>
        <v>Shipper GVSUA</v>
      </c>
      <c r="O608" t="str">
        <f>IFERROR(VLOOKUP(A608,'Sales Order'!A:I,9,FALSE),"Not Specified")</f>
        <v>Ship to 76-C</v>
      </c>
      <c r="P608" t="str">
        <f>IFERROR(VLOOKUP(A608,'Sales Order'!A:N,14,FALSE),"Not Specified")</f>
        <v>Belgium</v>
      </c>
      <c r="Q608" t="str">
        <f>VLOOKUP(VLOOKUP(B608,Product!A:C,3,FALSE),Supplier!A:B,2,FALSE)</f>
        <v>Supplier ELCRN</v>
      </c>
      <c r="R608" t="str">
        <f>VLOOKUP(VLOOKUP(B608,Product!A:C,3,FALSE),Supplier!A:I,9,FALSE)</f>
        <v>Finland</v>
      </c>
      <c r="S608" t="str">
        <f>IFERROR(IF(VLOOKUP(A608,'Sales Order'!A:H,8,FALSE)&gt;100,"High Freight","Low Freight"),"Not Specified")</f>
        <v>Low Freight</v>
      </c>
      <c r="T608">
        <f t="shared" si="19"/>
        <v>514.08000000000004</v>
      </c>
    </row>
    <row r="609" spans="1:20">
      <c r="A609" s="9">
        <v>10476</v>
      </c>
      <c r="B609" s="6">
        <v>55</v>
      </c>
      <c r="C609" s="6">
        <v>19.2</v>
      </c>
      <c r="D609" s="6">
        <v>2</v>
      </c>
      <c r="E609" s="18">
        <v>0.05</v>
      </c>
      <c r="F609" s="6" t="str">
        <f>IFERROR(VLOOKUP(VLOOKUP(A609,'Sales Order'!A:B,2,FALSE),Customer!A:C,3,FALSE),"Not Specified")</f>
        <v>Langohr, Kris</v>
      </c>
      <c r="G609" s="6" t="str">
        <f t="shared" si="18"/>
        <v>Langohr Kris</v>
      </c>
      <c r="H609" s="22" t="str">
        <f>IFERROR(VLOOKUP(VLOOKUP(A609,'Sales Order'!A:C,3,FALSE),Employee!A:E,5,FALSE)&amp;" "&amp;VLOOKUP(VLOOKUP(A609,'Sales Order'!A:C,3,FALSE),Employee!A:C,3,FALSE)&amp;" "&amp;VLOOKUP(VLOOKUP(A609,'Sales Order'!A:C,3,FALSE),Employee!A:B,2,FALSE),"Not Specified")</f>
        <v>Ms. Maria Cameron</v>
      </c>
      <c r="I609" t="str">
        <f>IFERROR(VLOOKUP(VLOOKUP(A609,'Sales Order'!A:C,3,FALSE),Employee!A:J,10,FALSE),"Not Specified")</f>
        <v>WA</v>
      </c>
      <c r="J609" t="str">
        <f>VLOOKUP(B609,Product!A:B,2,FALSE)</f>
        <v>Product YYWRT</v>
      </c>
      <c r="K609" t="str">
        <f>VLOOKUP(VLOOKUP(B609,Product!A:D,4,FALSE),Category!A:B,2,FALSE)</f>
        <v>Meat/Poultry</v>
      </c>
      <c r="L609" s="24">
        <f>IFERROR(VLOOKUP(A609,'Sales Order'!A:D,4,FALSE),"")</f>
        <v>39158</v>
      </c>
      <c r="M609" s="24">
        <f>IFERROR(VLOOKUP(A609,'Sales Order'!A:F,6,FALSE),"")</f>
        <v>39165</v>
      </c>
      <c r="N609" t="str">
        <f>IFERROR(VLOOKUP(VLOOKUP(A609,'Sales Order'!A:G,7,FALSE),Shipper!A:B,2,FALSE),"Not Specified")</f>
        <v>Shipper ZHISN</v>
      </c>
      <c r="O609" t="str">
        <f>IFERROR(VLOOKUP(A609,'Sales Order'!A:I,9,FALSE),"Not Specified")</f>
        <v>Destination SXYQX</v>
      </c>
      <c r="P609" t="str">
        <f>IFERROR(VLOOKUP(A609,'Sales Order'!A:N,14,FALSE),"Not Specified")</f>
        <v>Venezuela</v>
      </c>
      <c r="Q609" t="str">
        <f>VLOOKUP(VLOOKUP(B609,Product!A:C,3,FALSE),Supplier!A:B,2,FALSE)</f>
        <v>Supplier ERVYZ</v>
      </c>
      <c r="R609" t="str">
        <f>VLOOKUP(VLOOKUP(B609,Product!A:C,3,FALSE),Supplier!A:I,9,FALSE)</f>
        <v>Canada</v>
      </c>
      <c r="S609" t="str">
        <f>IFERROR(IF(VLOOKUP(A609,'Sales Order'!A:H,8,FALSE)&gt;100,"High Freight","Low Freight"),"Not Specified")</f>
        <v>Low Freight</v>
      </c>
      <c r="T609">
        <f t="shared" si="19"/>
        <v>36.479999999999997</v>
      </c>
    </row>
    <row r="610" spans="1:20">
      <c r="A610" s="9">
        <v>10476</v>
      </c>
      <c r="B610" s="6">
        <v>70</v>
      </c>
      <c r="C610" s="6">
        <v>12</v>
      </c>
      <c r="D610" s="6">
        <v>12</v>
      </c>
      <c r="E610" s="18">
        <v>0</v>
      </c>
      <c r="F610" s="6" t="str">
        <f>IFERROR(VLOOKUP(VLOOKUP(A610,'Sales Order'!A:B,2,FALSE),Customer!A:C,3,FALSE),"Not Specified")</f>
        <v>Langohr, Kris</v>
      </c>
      <c r="G610" s="6" t="str">
        <f t="shared" si="18"/>
        <v>Langohr Kris</v>
      </c>
      <c r="H610" s="22" t="str">
        <f>IFERROR(VLOOKUP(VLOOKUP(A610,'Sales Order'!A:C,3,FALSE),Employee!A:E,5,FALSE)&amp;" "&amp;VLOOKUP(VLOOKUP(A610,'Sales Order'!A:C,3,FALSE),Employee!A:C,3,FALSE)&amp;" "&amp;VLOOKUP(VLOOKUP(A610,'Sales Order'!A:C,3,FALSE),Employee!A:B,2,FALSE),"Not Specified")</f>
        <v>Ms. Maria Cameron</v>
      </c>
      <c r="I610" t="str">
        <f>IFERROR(VLOOKUP(VLOOKUP(A610,'Sales Order'!A:C,3,FALSE),Employee!A:J,10,FALSE),"Not Specified")</f>
        <v>WA</v>
      </c>
      <c r="J610" t="str">
        <f>VLOOKUP(B610,Product!A:B,2,FALSE)</f>
        <v>Product TOONT</v>
      </c>
      <c r="K610" t="str">
        <f>VLOOKUP(VLOOKUP(B610,Product!A:D,4,FALSE),Category!A:B,2,FALSE)</f>
        <v>Beverages</v>
      </c>
      <c r="L610" s="24">
        <f>IFERROR(VLOOKUP(A610,'Sales Order'!A:D,4,FALSE),"")</f>
        <v>39158</v>
      </c>
      <c r="M610" s="24">
        <f>IFERROR(VLOOKUP(A610,'Sales Order'!A:F,6,FALSE),"")</f>
        <v>39165</v>
      </c>
      <c r="N610" t="str">
        <f>IFERROR(VLOOKUP(VLOOKUP(A610,'Sales Order'!A:G,7,FALSE),Shipper!A:B,2,FALSE),"Not Specified")</f>
        <v>Shipper ZHISN</v>
      </c>
      <c r="O610" t="str">
        <f>IFERROR(VLOOKUP(A610,'Sales Order'!A:I,9,FALSE),"Not Specified")</f>
        <v>Destination SXYQX</v>
      </c>
      <c r="P610" t="str">
        <f>IFERROR(VLOOKUP(A610,'Sales Order'!A:N,14,FALSE),"Not Specified")</f>
        <v>Venezuela</v>
      </c>
      <c r="Q610" t="str">
        <f>VLOOKUP(VLOOKUP(B610,Product!A:C,3,FALSE),Supplier!A:B,2,FALSE)</f>
        <v>Supplier GQRCV</v>
      </c>
      <c r="R610" t="str">
        <f>VLOOKUP(VLOOKUP(B610,Product!A:C,3,FALSE),Supplier!A:I,9,FALSE)</f>
        <v>Australia</v>
      </c>
      <c r="S610" t="str">
        <f>IFERROR(IF(VLOOKUP(A610,'Sales Order'!A:H,8,FALSE)&gt;100,"High Freight","Low Freight"),"Not Specified")</f>
        <v>Low Freight</v>
      </c>
      <c r="T610">
        <f t="shared" si="19"/>
        <v>144</v>
      </c>
    </row>
    <row r="611" spans="1:20">
      <c r="A611" s="9">
        <v>10477</v>
      </c>
      <c r="B611" s="6">
        <v>1</v>
      </c>
      <c r="C611" s="6">
        <v>14.4</v>
      </c>
      <c r="D611" s="6">
        <v>15</v>
      </c>
      <c r="E611" s="18">
        <v>0</v>
      </c>
      <c r="F611" s="6" t="str">
        <f>IFERROR(VLOOKUP(VLOOKUP(A611,'Sales Order'!A:B,2,FALSE),Customer!A:C,3,FALSE),"Not Specified")</f>
        <v>Uppal, Sunil</v>
      </c>
      <c r="G611" s="6" t="str">
        <f t="shared" si="18"/>
        <v>Uppal Sunil</v>
      </c>
      <c r="H611" s="22" t="str">
        <f>IFERROR(VLOOKUP(VLOOKUP(A611,'Sales Order'!A:C,3,FALSE),Employee!A:E,5,FALSE)&amp;" "&amp;VLOOKUP(VLOOKUP(A611,'Sales Order'!A:C,3,FALSE),Employee!A:C,3,FALSE)&amp;" "&amp;VLOOKUP(VLOOKUP(A611,'Sales Order'!A:C,3,FALSE),Employee!A:B,2,FALSE),"Not Specified")</f>
        <v>Mr. Sven Buck</v>
      </c>
      <c r="I611">
        <f>IFERROR(VLOOKUP(VLOOKUP(A611,'Sales Order'!A:C,3,FALSE),Employee!A:J,10,FALSE),"Not Specified")</f>
        <v>0</v>
      </c>
      <c r="J611" t="str">
        <f>VLOOKUP(B611,Product!A:B,2,FALSE)</f>
        <v>Product HHYDP</v>
      </c>
      <c r="K611" t="str">
        <f>VLOOKUP(VLOOKUP(B611,Product!A:D,4,FALSE),Category!A:B,2,FALSE)</f>
        <v>Beverages</v>
      </c>
      <c r="L611" s="24">
        <f>IFERROR(VLOOKUP(A611,'Sales Order'!A:D,4,FALSE),"")</f>
        <v>39158</v>
      </c>
      <c r="M611" s="24">
        <f>IFERROR(VLOOKUP(A611,'Sales Order'!A:F,6,FALSE),"")</f>
        <v>39166</v>
      </c>
      <c r="N611" t="str">
        <f>IFERROR(VLOOKUP(VLOOKUP(A611,'Sales Order'!A:G,7,FALSE),Shipper!A:B,2,FALSE),"Not Specified")</f>
        <v>Shipper ETYNR</v>
      </c>
      <c r="O611" t="str">
        <f>IFERROR(VLOOKUP(A611,'Sales Order'!A:I,9,FALSE),"Not Specified")</f>
        <v>Ship to 60-A</v>
      </c>
      <c r="P611" t="str">
        <f>IFERROR(VLOOKUP(A611,'Sales Order'!A:N,14,FALSE),"Not Specified")</f>
        <v>Portugal</v>
      </c>
      <c r="Q611" t="str">
        <f>VLOOKUP(VLOOKUP(B611,Product!A:C,3,FALSE),Supplier!A:B,2,FALSE)</f>
        <v>Supplier SWRXU</v>
      </c>
      <c r="R611" t="str">
        <f>VLOOKUP(VLOOKUP(B611,Product!A:C,3,FALSE),Supplier!A:I,9,FALSE)</f>
        <v>UK</v>
      </c>
      <c r="S611" t="str">
        <f>IFERROR(IF(VLOOKUP(A611,'Sales Order'!A:H,8,FALSE)&gt;100,"High Freight","Low Freight"),"Not Specified")</f>
        <v>Low Freight</v>
      </c>
      <c r="T611">
        <f t="shared" si="19"/>
        <v>216</v>
      </c>
    </row>
    <row r="612" spans="1:20">
      <c r="A612" s="9">
        <v>10477</v>
      </c>
      <c r="B612" s="6">
        <v>21</v>
      </c>
      <c r="C612" s="6">
        <v>8</v>
      </c>
      <c r="D612" s="6">
        <v>21</v>
      </c>
      <c r="E612" s="18">
        <v>0.25</v>
      </c>
      <c r="F612" s="6" t="str">
        <f>IFERROR(VLOOKUP(VLOOKUP(A612,'Sales Order'!A:B,2,FALSE),Customer!A:C,3,FALSE),"Not Specified")</f>
        <v>Uppal, Sunil</v>
      </c>
      <c r="G612" s="6" t="str">
        <f t="shared" si="18"/>
        <v>Uppal Sunil</v>
      </c>
      <c r="H612" s="22" t="str">
        <f>IFERROR(VLOOKUP(VLOOKUP(A612,'Sales Order'!A:C,3,FALSE),Employee!A:E,5,FALSE)&amp;" "&amp;VLOOKUP(VLOOKUP(A612,'Sales Order'!A:C,3,FALSE),Employee!A:C,3,FALSE)&amp;" "&amp;VLOOKUP(VLOOKUP(A612,'Sales Order'!A:C,3,FALSE),Employee!A:B,2,FALSE),"Not Specified")</f>
        <v>Mr. Sven Buck</v>
      </c>
      <c r="I612">
        <f>IFERROR(VLOOKUP(VLOOKUP(A612,'Sales Order'!A:C,3,FALSE),Employee!A:J,10,FALSE),"Not Specified")</f>
        <v>0</v>
      </c>
      <c r="J612" t="str">
        <f>VLOOKUP(B612,Product!A:B,2,FALSE)</f>
        <v>Product VJZZH</v>
      </c>
      <c r="K612" t="str">
        <f>VLOOKUP(VLOOKUP(B612,Product!A:D,4,FALSE),Category!A:B,2,FALSE)</f>
        <v>Confections</v>
      </c>
      <c r="L612" s="24">
        <f>IFERROR(VLOOKUP(A612,'Sales Order'!A:D,4,FALSE),"")</f>
        <v>39158</v>
      </c>
      <c r="M612" s="24">
        <f>IFERROR(VLOOKUP(A612,'Sales Order'!A:F,6,FALSE),"")</f>
        <v>39166</v>
      </c>
      <c r="N612" t="str">
        <f>IFERROR(VLOOKUP(VLOOKUP(A612,'Sales Order'!A:G,7,FALSE),Shipper!A:B,2,FALSE),"Not Specified")</f>
        <v>Shipper ETYNR</v>
      </c>
      <c r="O612" t="str">
        <f>IFERROR(VLOOKUP(A612,'Sales Order'!A:I,9,FALSE),"Not Specified")</f>
        <v>Ship to 60-A</v>
      </c>
      <c r="P612" t="str">
        <f>IFERROR(VLOOKUP(A612,'Sales Order'!A:N,14,FALSE),"Not Specified")</f>
        <v>Portugal</v>
      </c>
      <c r="Q612" t="str">
        <f>VLOOKUP(VLOOKUP(B612,Product!A:C,3,FALSE),Supplier!A:B,2,FALSE)</f>
        <v>Supplier BWGYE</v>
      </c>
      <c r="R612" t="str">
        <f>VLOOKUP(VLOOKUP(B612,Product!A:C,3,FALSE),Supplier!A:I,9,FALSE)</f>
        <v>UK</v>
      </c>
      <c r="S612" t="str">
        <f>IFERROR(IF(VLOOKUP(A612,'Sales Order'!A:H,8,FALSE)&gt;100,"High Freight","Low Freight"),"Not Specified")</f>
        <v>Low Freight</v>
      </c>
      <c r="T612">
        <f t="shared" si="19"/>
        <v>126</v>
      </c>
    </row>
    <row r="613" spans="1:20">
      <c r="A613" s="9">
        <v>10477</v>
      </c>
      <c r="B613" s="6">
        <v>39</v>
      </c>
      <c r="C613" s="6">
        <v>14.4</v>
      </c>
      <c r="D613" s="6">
        <v>20</v>
      </c>
      <c r="E613" s="18">
        <v>0.25</v>
      </c>
      <c r="F613" s="6" t="str">
        <f>IFERROR(VLOOKUP(VLOOKUP(A613,'Sales Order'!A:B,2,FALSE),Customer!A:C,3,FALSE),"Not Specified")</f>
        <v>Uppal, Sunil</v>
      </c>
      <c r="G613" s="6" t="str">
        <f t="shared" si="18"/>
        <v>Uppal Sunil</v>
      </c>
      <c r="H613" s="22" t="str">
        <f>IFERROR(VLOOKUP(VLOOKUP(A613,'Sales Order'!A:C,3,FALSE),Employee!A:E,5,FALSE)&amp;" "&amp;VLOOKUP(VLOOKUP(A613,'Sales Order'!A:C,3,FALSE),Employee!A:C,3,FALSE)&amp;" "&amp;VLOOKUP(VLOOKUP(A613,'Sales Order'!A:C,3,FALSE),Employee!A:B,2,FALSE),"Not Specified")</f>
        <v>Mr. Sven Buck</v>
      </c>
      <c r="I613">
        <f>IFERROR(VLOOKUP(VLOOKUP(A613,'Sales Order'!A:C,3,FALSE),Employee!A:J,10,FALSE),"Not Specified")</f>
        <v>0</v>
      </c>
      <c r="J613" t="str">
        <f>VLOOKUP(B613,Product!A:B,2,FALSE)</f>
        <v>Product LSOFL</v>
      </c>
      <c r="K613" t="str">
        <f>VLOOKUP(VLOOKUP(B613,Product!A:D,4,FALSE),Category!A:B,2,FALSE)</f>
        <v>Beverages</v>
      </c>
      <c r="L613" s="24">
        <f>IFERROR(VLOOKUP(A613,'Sales Order'!A:D,4,FALSE),"")</f>
        <v>39158</v>
      </c>
      <c r="M613" s="24">
        <f>IFERROR(VLOOKUP(A613,'Sales Order'!A:F,6,FALSE),"")</f>
        <v>39166</v>
      </c>
      <c r="N613" t="str">
        <f>IFERROR(VLOOKUP(VLOOKUP(A613,'Sales Order'!A:G,7,FALSE),Shipper!A:B,2,FALSE),"Not Specified")</f>
        <v>Shipper ETYNR</v>
      </c>
      <c r="O613" t="str">
        <f>IFERROR(VLOOKUP(A613,'Sales Order'!A:I,9,FALSE),"Not Specified")</f>
        <v>Ship to 60-A</v>
      </c>
      <c r="P613" t="str">
        <f>IFERROR(VLOOKUP(A613,'Sales Order'!A:N,14,FALSE),"Not Specified")</f>
        <v>Portugal</v>
      </c>
      <c r="Q613" t="str">
        <f>VLOOKUP(VLOOKUP(B613,Product!A:C,3,FALSE),Supplier!A:B,2,FALSE)</f>
        <v>Supplier LVJUA</v>
      </c>
      <c r="R613" t="str">
        <f>VLOOKUP(VLOOKUP(B613,Product!A:C,3,FALSE),Supplier!A:I,9,FALSE)</f>
        <v>France</v>
      </c>
      <c r="S613" t="str">
        <f>IFERROR(IF(VLOOKUP(A613,'Sales Order'!A:H,8,FALSE)&gt;100,"High Freight","Low Freight"),"Not Specified")</f>
        <v>Low Freight</v>
      </c>
      <c r="T613">
        <f t="shared" si="19"/>
        <v>216</v>
      </c>
    </row>
    <row r="614" spans="1:20">
      <c r="A614" s="9">
        <v>10478</v>
      </c>
      <c r="B614" s="6">
        <v>10</v>
      </c>
      <c r="C614" s="6">
        <v>24.8</v>
      </c>
      <c r="D614" s="6">
        <v>20</v>
      </c>
      <c r="E614" s="18">
        <v>0.05</v>
      </c>
      <c r="F614" s="6" t="str">
        <f>IFERROR(VLOOKUP(VLOOKUP(A614,'Sales Order'!A:B,2,FALSE),Customer!A:C,3,FALSE),"Not Specified")</f>
        <v>Tuntisangaroon, Sittichai</v>
      </c>
      <c r="G614" s="6" t="str">
        <f t="shared" si="18"/>
        <v>Tuntisangaroon Sittichai</v>
      </c>
      <c r="H614" s="22" t="str">
        <f>IFERROR(VLOOKUP(VLOOKUP(A614,'Sales Order'!A:C,3,FALSE),Employee!A:E,5,FALSE)&amp;" "&amp;VLOOKUP(VLOOKUP(A614,'Sales Order'!A:C,3,FALSE),Employee!A:C,3,FALSE)&amp;" "&amp;VLOOKUP(VLOOKUP(A614,'Sales Order'!A:C,3,FALSE),Employee!A:B,2,FALSE),"Not Specified")</f>
        <v>Dr. Don Funk</v>
      </c>
      <c r="I614" t="str">
        <f>IFERROR(VLOOKUP(VLOOKUP(A614,'Sales Order'!A:C,3,FALSE),Employee!A:J,10,FALSE),"Not Specified")</f>
        <v>WA</v>
      </c>
      <c r="J614" t="str">
        <f>VLOOKUP(B614,Product!A:B,2,FALSE)</f>
        <v>Product YHXGE</v>
      </c>
      <c r="K614" t="str">
        <f>VLOOKUP(VLOOKUP(B614,Product!A:D,4,FALSE),Category!A:B,2,FALSE)</f>
        <v>Seafood</v>
      </c>
      <c r="L614" s="24">
        <f>IFERROR(VLOOKUP(A614,'Sales Order'!A:D,4,FALSE),"")</f>
        <v>39159</v>
      </c>
      <c r="M614" s="24">
        <f>IFERROR(VLOOKUP(A614,'Sales Order'!A:F,6,FALSE),"")</f>
        <v>39167</v>
      </c>
      <c r="N614" t="str">
        <f>IFERROR(VLOOKUP(VLOOKUP(A614,'Sales Order'!A:G,7,FALSE),Shipper!A:B,2,FALSE),"Not Specified")</f>
        <v>Shipper ZHISN</v>
      </c>
      <c r="O614" t="str">
        <f>IFERROR(VLOOKUP(A614,'Sales Order'!A:I,9,FALSE),"Not Specified")</f>
        <v>Ship to 84-C</v>
      </c>
      <c r="P614" t="str">
        <f>IFERROR(VLOOKUP(A614,'Sales Order'!A:N,14,FALSE),"Not Specified")</f>
        <v>France</v>
      </c>
      <c r="Q614" t="str">
        <f>VLOOKUP(VLOOKUP(B614,Product!A:C,3,FALSE),Supplier!A:B,2,FALSE)</f>
        <v>Supplier QOVFD</v>
      </c>
      <c r="R614" t="str">
        <f>VLOOKUP(VLOOKUP(B614,Product!A:C,3,FALSE),Supplier!A:I,9,FALSE)</f>
        <v>Japan</v>
      </c>
      <c r="S614" t="str">
        <f>IFERROR(IF(VLOOKUP(A614,'Sales Order'!A:H,8,FALSE)&gt;100,"High Freight","Low Freight"),"Not Specified")</f>
        <v>Low Freight</v>
      </c>
      <c r="T614">
        <f t="shared" si="19"/>
        <v>471.2</v>
      </c>
    </row>
    <row r="615" spans="1:20">
      <c r="A615" s="9">
        <v>10479</v>
      </c>
      <c r="B615" s="6">
        <v>38</v>
      </c>
      <c r="C615" s="6">
        <v>210.8</v>
      </c>
      <c r="D615" s="6">
        <v>30</v>
      </c>
      <c r="E615" s="18">
        <v>0</v>
      </c>
      <c r="F615" s="6" t="str">
        <f>IFERROR(VLOOKUP(VLOOKUP(A615,'Sales Order'!A:B,2,FALSE),Customer!A:C,3,FALSE),"Not Specified")</f>
        <v>Moore, Michael</v>
      </c>
      <c r="G615" s="6" t="str">
        <f t="shared" si="18"/>
        <v>Moore Michael</v>
      </c>
      <c r="H615" s="22" t="str">
        <f>IFERROR(VLOOKUP(VLOOKUP(A615,'Sales Order'!A:C,3,FALSE),Employee!A:E,5,FALSE)&amp;" "&amp;VLOOKUP(VLOOKUP(A615,'Sales Order'!A:C,3,FALSE),Employee!A:C,3,FALSE)&amp;" "&amp;VLOOKUP(VLOOKUP(A615,'Sales Order'!A:C,3,FALSE),Employee!A:B,2,FALSE),"Not Specified")</f>
        <v>Ms. Judy Lew</v>
      </c>
      <c r="I615" t="str">
        <f>IFERROR(VLOOKUP(VLOOKUP(A615,'Sales Order'!A:C,3,FALSE),Employee!A:J,10,FALSE),"Not Specified")</f>
        <v>WA</v>
      </c>
      <c r="J615" t="str">
        <f>VLOOKUP(B615,Product!A:B,2,FALSE)</f>
        <v>Product QDOMO</v>
      </c>
      <c r="K615" t="str">
        <f>VLOOKUP(VLOOKUP(B615,Product!A:D,4,FALSE),Category!A:B,2,FALSE)</f>
        <v>Beverages</v>
      </c>
      <c r="L615" s="24">
        <f>IFERROR(VLOOKUP(A615,'Sales Order'!A:D,4,FALSE),"")</f>
        <v>39160</v>
      </c>
      <c r="M615" s="24">
        <f>IFERROR(VLOOKUP(A615,'Sales Order'!A:F,6,FALSE),"")</f>
        <v>39162</v>
      </c>
      <c r="N615" t="str">
        <f>IFERROR(VLOOKUP(VLOOKUP(A615,'Sales Order'!A:G,7,FALSE),Shipper!A:B,2,FALSE),"Not Specified")</f>
        <v>Shipper ZHISN</v>
      </c>
      <c r="O615" t="str">
        <f>IFERROR(VLOOKUP(A615,'Sales Order'!A:I,9,FALSE),"Not Specified")</f>
        <v>Ship to 65-C</v>
      </c>
      <c r="P615" t="str">
        <f>IFERROR(VLOOKUP(A615,'Sales Order'!A:N,14,FALSE),"Not Specified")</f>
        <v>USA</v>
      </c>
      <c r="Q615" t="str">
        <f>VLOOKUP(VLOOKUP(B615,Product!A:C,3,FALSE),Supplier!A:B,2,FALSE)</f>
        <v>Supplier LVJUA</v>
      </c>
      <c r="R615" t="str">
        <f>VLOOKUP(VLOOKUP(B615,Product!A:C,3,FALSE),Supplier!A:I,9,FALSE)</f>
        <v>France</v>
      </c>
      <c r="S615" t="str">
        <f>IFERROR(IF(VLOOKUP(A615,'Sales Order'!A:H,8,FALSE)&gt;100,"High Freight","Low Freight"),"Not Specified")</f>
        <v>High Freight</v>
      </c>
      <c r="T615">
        <f t="shared" si="19"/>
        <v>6324</v>
      </c>
    </row>
    <row r="616" spans="1:20">
      <c r="A616" s="9">
        <v>10479</v>
      </c>
      <c r="B616" s="6">
        <v>53</v>
      </c>
      <c r="C616" s="6">
        <v>26.2</v>
      </c>
      <c r="D616" s="6">
        <v>28</v>
      </c>
      <c r="E616" s="18">
        <v>0</v>
      </c>
      <c r="F616" s="6" t="str">
        <f>IFERROR(VLOOKUP(VLOOKUP(A616,'Sales Order'!A:B,2,FALSE),Customer!A:C,3,FALSE),"Not Specified")</f>
        <v>Moore, Michael</v>
      </c>
      <c r="G616" s="6" t="str">
        <f t="shared" si="18"/>
        <v>Moore Michael</v>
      </c>
      <c r="H616" s="22" t="str">
        <f>IFERROR(VLOOKUP(VLOOKUP(A616,'Sales Order'!A:C,3,FALSE),Employee!A:E,5,FALSE)&amp;" "&amp;VLOOKUP(VLOOKUP(A616,'Sales Order'!A:C,3,FALSE),Employee!A:C,3,FALSE)&amp;" "&amp;VLOOKUP(VLOOKUP(A616,'Sales Order'!A:C,3,FALSE),Employee!A:B,2,FALSE),"Not Specified")</f>
        <v>Ms. Judy Lew</v>
      </c>
      <c r="I616" t="str">
        <f>IFERROR(VLOOKUP(VLOOKUP(A616,'Sales Order'!A:C,3,FALSE),Employee!A:J,10,FALSE),"Not Specified")</f>
        <v>WA</v>
      </c>
      <c r="J616" t="str">
        <f>VLOOKUP(B616,Product!A:B,2,FALSE)</f>
        <v>Product BKGEA</v>
      </c>
      <c r="K616" t="str">
        <f>VLOOKUP(VLOOKUP(B616,Product!A:D,4,FALSE),Category!A:B,2,FALSE)</f>
        <v>Meat/Poultry</v>
      </c>
      <c r="L616" s="24">
        <f>IFERROR(VLOOKUP(A616,'Sales Order'!A:D,4,FALSE),"")</f>
        <v>39160</v>
      </c>
      <c r="M616" s="24">
        <f>IFERROR(VLOOKUP(A616,'Sales Order'!A:F,6,FALSE),"")</f>
        <v>39162</v>
      </c>
      <c r="N616" t="str">
        <f>IFERROR(VLOOKUP(VLOOKUP(A616,'Sales Order'!A:G,7,FALSE),Shipper!A:B,2,FALSE),"Not Specified")</f>
        <v>Shipper ZHISN</v>
      </c>
      <c r="O616" t="str">
        <f>IFERROR(VLOOKUP(A616,'Sales Order'!A:I,9,FALSE),"Not Specified")</f>
        <v>Ship to 65-C</v>
      </c>
      <c r="P616" t="str">
        <f>IFERROR(VLOOKUP(A616,'Sales Order'!A:N,14,FALSE),"Not Specified")</f>
        <v>USA</v>
      </c>
      <c r="Q616" t="str">
        <f>VLOOKUP(VLOOKUP(B616,Product!A:C,3,FALSE),Supplier!A:B,2,FALSE)</f>
        <v>Supplier JNNES</v>
      </c>
      <c r="R616" t="str">
        <f>VLOOKUP(VLOOKUP(B616,Product!A:C,3,FALSE),Supplier!A:I,9,FALSE)</f>
        <v>Australia</v>
      </c>
      <c r="S616" t="str">
        <f>IFERROR(IF(VLOOKUP(A616,'Sales Order'!A:H,8,FALSE)&gt;100,"High Freight","Low Freight"),"Not Specified")</f>
        <v>High Freight</v>
      </c>
      <c r="T616">
        <f t="shared" si="19"/>
        <v>733.6</v>
      </c>
    </row>
    <row r="617" spans="1:20">
      <c r="A617" s="9">
        <v>10479</v>
      </c>
      <c r="B617" s="6">
        <v>59</v>
      </c>
      <c r="C617" s="6">
        <v>44</v>
      </c>
      <c r="D617" s="6">
        <v>60</v>
      </c>
      <c r="E617" s="18">
        <v>0</v>
      </c>
      <c r="F617" s="6" t="str">
        <f>IFERROR(VLOOKUP(VLOOKUP(A617,'Sales Order'!A:B,2,FALSE),Customer!A:C,3,FALSE),"Not Specified")</f>
        <v>Moore, Michael</v>
      </c>
      <c r="G617" s="6" t="str">
        <f t="shared" si="18"/>
        <v>Moore Michael</v>
      </c>
      <c r="H617" s="22" t="str">
        <f>IFERROR(VLOOKUP(VLOOKUP(A617,'Sales Order'!A:C,3,FALSE),Employee!A:E,5,FALSE)&amp;" "&amp;VLOOKUP(VLOOKUP(A617,'Sales Order'!A:C,3,FALSE),Employee!A:C,3,FALSE)&amp;" "&amp;VLOOKUP(VLOOKUP(A617,'Sales Order'!A:C,3,FALSE),Employee!A:B,2,FALSE),"Not Specified")</f>
        <v>Ms. Judy Lew</v>
      </c>
      <c r="I617" t="str">
        <f>IFERROR(VLOOKUP(VLOOKUP(A617,'Sales Order'!A:C,3,FALSE),Employee!A:J,10,FALSE),"Not Specified")</f>
        <v>WA</v>
      </c>
      <c r="J617" t="str">
        <f>VLOOKUP(B617,Product!A:B,2,FALSE)</f>
        <v>Product UKXRI</v>
      </c>
      <c r="K617" t="str">
        <f>VLOOKUP(VLOOKUP(B617,Product!A:D,4,FALSE),Category!A:B,2,FALSE)</f>
        <v>Dairy Product</v>
      </c>
      <c r="L617" s="24">
        <f>IFERROR(VLOOKUP(A617,'Sales Order'!A:D,4,FALSE),"")</f>
        <v>39160</v>
      </c>
      <c r="M617" s="24">
        <f>IFERROR(VLOOKUP(A617,'Sales Order'!A:F,6,FALSE),"")</f>
        <v>39162</v>
      </c>
      <c r="N617" t="str">
        <f>IFERROR(VLOOKUP(VLOOKUP(A617,'Sales Order'!A:G,7,FALSE),Shipper!A:B,2,FALSE),"Not Specified")</f>
        <v>Shipper ZHISN</v>
      </c>
      <c r="O617" t="str">
        <f>IFERROR(VLOOKUP(A617,'Sales Order'!A:I,9,FALSE),"Not Specified")</f>
        <v>Ship to 65-C</v>
      </c>
      <c r="P617" t="str">
        <f>IFERROR(VLOOKUP(A617,'Sales Order'!A:N,14,FALSE),"Not Specified")</f>
        <v>USA</v>
      </c>
      <c r="Q617" t="str">
        <f>VLOOKUP(VLOOKUP(B617,Product!A:C,3,FALSE),Supplier!A:B,2,FALSE)</f>
        <v>Supplier OAVQT</v>
      </c>
      <c r="R617" t="str">
        <f>VLOOKUP(VLOOKUP(B617,Product!A:C,3,FALSE),Supplier!A:I,9,FALSE)</f>
        <v>France</v>
      </c>
      <c r="S617" t="str">
        <f>IFERROR(IF(VLOOKUP(A617,'Sales Order'!A:H,8,FALSE)&gt;100,"High Freight","Low Freight"),"Not Specified")</f>
        <v>High Freight</v>
      </c>
      <c r="T617">
        <f t="shared" si="19"/>
        <v>2640</v>
      </c>
    </row>
    <row r="618" spans="1:20">
      <c r="A618" s="9">
        <v>10479</v>
      </c>
      <c r="B618" s="6">
        <v>64</v>
      </c>
      <c r="C618" s="6">
        <v>26.6</v>
      </c>
      <c r="D618" s="6">
        <v>30</v>
      </c>
      <c r="E618" s="18">
        <v>0</v>
      </c>
      <c r="F618" s="6" t="str">
        <f>IFERROR(VLOOKUP(VLOOKUP(A618,'Sales Order'!A:B,2,FALSE),Customer!A:C,3,FALSE),"Not Specified")</f>
        <v>Moore, Michael</v>
      </c>
      <c r="G618" s="6" t="str">
        <f t="shared" si="18"/>
        <v>Moore Michael</v>
      </c>
      <c r="H618" s="22" t="str">
        <f>IFERROR(VLOOKUP(VLOOKUP(A618,'Sales Order'!A:C,3,FALSE),Employee!A:E,5,FALSE)&amp;" "&amp;VLOOKUP(VLOOKUP(A618,'Sales Order'!A:C,3,FALSE),Employee!A:C,3,FALSE)&amp;" "&amp;VLOOKUP(VLOOKUP(A618,'Sales Order'!A:C,3,FALSE),Employee!A:B,2,FALSE),"Not Specified")</f>
        <v>Ms. Judy Lew</v>
      </c>
      <c r="I618" t="str">
        <f>IFERROR(VLOOKUP(VLOOKUP(A618,'Sales Order'!A:C,3,FALSE),Employee!A:J,10,FALSE),"Not Specified")</f>
        <v>WA</v>
      </c>
      <c r="J618" t="str">
        <f>VLOOKUP(B618,Product!A:B,2,FALSE)</f>
        <v>Product HCQDE</v>
      </c>
      <c r="K618" t="str">
        <f>VLOOKUP(VLOOKUP(B618,Product!A:D,4,FALSE),Category!A:B,2,FALSE)</f>
        <v>Grains/Cereals</v>
      </c>
      <c r="L618" s="24">
        <f>IFERROR(VLOOKUP(A618,'Sales Order'!A:D,4,FALSE),"")</f>
        <v>39160</v>
      </c>
      <c r="M618" s="24">
        <f>IFERROR(VLOOKUP(A618,'Sales Order'!A:F,6,FALSE),"")</f>
        <v>39162</v>
      </c>
      <c r="N618" t="str">
        <f>IFERROR(VLOOKUP(VLOOKUP(A618,'Sales Order'!A:G,7,FALSE),Shipper!A:B,2,FALSE),"Not Specified")</f>
        <v>Shipper ZHISN</v>
      </c>
      <c r="O618" t="str">
        <f>IFERROR(VLOOKUP(A618,'Sales Order'!A:I,9,FALSE),"Not Specified")</f>
        <v>Ship to 65-C</v>
      </c>
      <c r="P618" t="str">
        <f>IFERROR(VLOOKUP(A618,'Sales Order'!A:N,14,FALSE),"Not Specified")</f>
        <v>USA</v>
      </c>
      <c r="Q618" t="str">
        <f>VLOOKUP(VLOOKUP(B618,Product!A:C,3,FALSE),Supplier!A:B,2,FALSE)</f>
        <v>Supplier SVIYA</v>
      </c>
      <c r="R618" t="str">
        <f>VLOOKUP(VLOOKUP(B618,Product!A:C,3,FALSE),Supplier!A:I,9,FALSE)</f>
        <v>Germany</v>
      </c>
      <c r="S618" t="str">
        <f>IFERROR(IF(VLOOKUP(A618,'Sales Order'!A:H,8,FALSE)&gt;100,"High Freight","Low Freight"),"Not Specified")</f>
        <v>High Freight</v>
      </c>
      <c r="T618">
        <f t="shared" si="19"/>
        <v>798</v>
      </c>
    </row>
    <row r="619" spans="1:20">
      <c r="A619" s="9">
        <v>10480</v>
      </c>
      <c r="B619" s="6">
        <v>47</v>
      </c>
      <c r="C619" s="6">
        <v>7.6</v>
      </c>
      <c r="D619" s="6">
        <v>30</v>
      </c>
      <c r="E619" s="18">
        <v>0</v>
      </c>
      <c r="F619" s="6" t="str">
        <f>IFERROR(VLOOKUP(VLOOKUP(A619,'Sales Order'!A:B,2,FALSE),Customer!A:C,3,FALSE),"Not Specified")</f>
        <v>Khanna, Karan</v>
      </c>
      <c r="G619" s="6" t="str">
        <f t="shared" si="18"/>
        <v>Khanna Karan</v>
      </c>
      <c r="H619" s="22" t="str">
        <f>IFERROR(VLOOKUP(VLOOKUP(A619,'Sales Order'!A:C,3,FALSE),Employee!A:E,5,FALSE)&amp;" "&amp;VLOOKUP(VLOOKUP(A619,'Sales Order'!A:C,3,FALSE),Employee!A:C,3,FALSE)&amp;" "&amp;VLOOKUP(VLOOKUP(A619,'Sales Order'!A:C,3,FALSE),Employee!A:B,2,FALSE),"Not Specified")</f>
        <v>Mr. Paul Suurs</v>
      </c>
      <c r="I619">
        <f>IFERROR(VLOOKUP(VLOOKUP(A619,'Sales Order'!A:C,3,FALSE),Employee!A:J,10,FALSE),"Not Specified")</f>
        <v>0</v>
      </c>
      <c r="J619" t="str">
        <f>VLOOKUP(B619,Product!A:B,2,FALSE)</f>
        <v>Product EZZPR</v>
      </c>
      <c r="K619" t="str">
        <f>VLOOKUP(VLOOKUP(B619,Product!A:D,4,FALSE),Category!A:B,2,FALSE)</f>
        <v>Confections</v>
      </c>
      <c r="L619" s="24">
        <f>IFERROR(VLOOKUP(A619,'Sales Order'!A:D,4,FALSE),"")</f>
        <v>39161</v>
      </c>
      <c r="M619" s="24">
        <f>IFERROR(VLOOKUP(A619,'Sales Order'!A:F,6,FALSE),"")</f>
        <v>39165</v>
      </c>
      <c r="N619" t="str">
        <f>IFERROR(VLOOKUP(VLOOKUP(A619,'Sales Order'!A:G,7,FALSE),Shipper!A:B,2,FALSE),"Not Specified")</f>
        <v>Shipper ETYNR</v>
      </c>
      <c r="O619" t="str">
        <f>IFERROR(VLOOKUP(A619,'Sales Order'!A:I,9,FALSE),"Not Specified")</f>
        <v>Destination AGPCO</v>
      </c>
      <c r="P619" t="str">
        <f>IFERROR(VLOOKUP(A619,'Sales Order'!A:N,14,FALSE),"Not Specified")</f>
        <v>France</v>
      </c>
      <c r="Q619" t="str">
        <f>VLOOKUP(VLOOKUP(B619,Product!A:C,3,FALSE),Supplier!A:B,2,FALSE)</f>
        <v>Supplier FNUXM</v>
      </c>
      <c r="R619" t="str">
        <f>VLOOKUP(VLOOKUP(B619,Product!A:C,3,FALSE),Supplier!A:I,9,FALSE)</f>
        <v>Netherlands</v>
      </c>
      <c r="S619" t="str">
        <f>IFERROR(IF(VLOOKUP(A619,'Sales Order'!A:H,8,FALSE)&gt;100,"High Freight","Low Freight"),"Not Specified")</f>
        <v>Low Freight</v>
      </c>
      <c r="T619">
        <f t="shared" si="19"/>
        <v>228</v>
      </c>
    </row>
    <row r="620" spans="1:20">
      <c r="A620" s="9">
        <v>10480</v>
      </c>
      <c r="B620" s="6">
        <v>59</v>
      </c>
      <c r="C620" s="6">
        <v>44</v>
      </c>
      <c r="D620" s="6">
        <v>12</v>
      </c>
      <c r="E620" s="18">
        <v>0</v>
      </c>
      <c r="F620" s="6" t="str">
        <f>IFERROR(VLOOKUP(VLOOKUP(A620,'Sales Order'!A:B,2,FALSE),Customer!A:C,3,FALSE),"Not Specified")</f>
        <v>Khanna, Karan</v>
      </c>
      <c r="G620" s="6" t="str">
        <f t="shared" si="18"/>
        <v>Khanna Karan</v>
      </c>
      <c r="H620" s="22" t="str">
        <f>IFERROR(VLOOKUP(VLOOKUP(A620,'Sales Order'!A:C,3,FALSE),Employee!A:E,5,FALSE)&amp;" "&amp;VLOOKUP(VLOOKUP(A620,'Sales Order'!A:C,3,FALSE),Employee!A:C,3,FALSE)&amp;" "&amp;VLOOKUP(VLOOKUP(A620,'Sales Order'!A:C,3,FALSE),Employee!A:B,2,FALSE),"Not Specified")</f>
        <v>Mr. Paul Suurs</v>
      </c>
      <c r="I620">
        <f>IFERROR(VLOOKUP(VLOOKUP(A620,'Sales Order'!A:C,3,FALSE),Employee!A:J,10,FALSE),"Not Specified")</f>
        <v>0</v>
      </c>
      <c r="J620" t="str">
        <f>VLOOKUP(B620,Product!A:B,2,FALSE)</f>
        <v>Product UKXRI</v>
      </c>
      <c r="K620" t="str">
        <f>VLOOKUP(VLOOKUP(B620,Product!A:D,4,FALSE),Category!A:B,2,FALSE)</f>
        <v>Dairy Product</v>
      </c>
      <c r="L620" s="24">
        <f>IFERROR(VLOOKUP(A620,'Sales Order'!A:D,4,FALSE),"")</f>
        <v>39161</v>
      </c>
      <c r="M620" s="24">
        <f>IFERROR(VLOOKUP(A620,'Sales Order'!A:F,6,FALSE),"")</f>
        <v>39165</v>
      </c>
      <c r="N620" t="str">
        <f>IFERROR(VLOOKUP(VLOOKUP(A620,'Sales Order'!A:G,7,FALSE),Shipper!A:B,2,FALSE),"Not Specified")</f>
        <v>Shipper ETYNR</v>
      </c>
      <c r="O620" t="str">
        <f>IFERROR(VLOOKUP(A620,'Sales Order'!A:I,9,FALSE),"Not Specified")</f>
        <v>Destination AGPCO</v>
      </c>
      <c r="P620" t="str">
        <f>IFERROR(VLOOKUP(A620,'Sales Order'!A:N,14,FALSE),"Not Specified")</f>
        <v>France</v>
      </c>
      <c r="Q620" t="str">
        <f>VLOOKUP(VLOOKUP(B620,Product!A:C,3,FALSE),Supplier!A:B,2,FALSE)</f>
        <v>Supplier OAVQT</v>
      </c>
      <c r="R620" t="str">
        <f>VLOOKUP(VLOOKUP(B620,Product!A:C,3,FALSE),Supplier!A:I,9,FALSE)</f>
        <v>France</v>
      </c>
      <c r="S620" t="str">
        <f>IFERROR(IF(VLOOKUP(A620,'Sales Order'!A:H,8,FALSE)&gt;100,"High Freight","Low Freight"),"Not Specified")</f>
        <v>Low Freight</v>
      </c>
      <c r="T620">
        <f t="shared" si="19"/>
        <v>528</v>
      </c>
    </row>
    <row r="621" spans="1:20">
      <c r="A621" s="9">
        <v>10481</v>
      </c>
      <c r="B621" s="6">
        <v>49</v>
      </c>
      <c r="C621" s="6">
        <v>16</v>
      </c>
      <c r="D621" s="6">
        <v>24</v>
      </c>
      <c r="E621" s="18">
        <v>0</v>
      </c>
      <c r="F621" s="6" t="str">
        <f>IFERROR(VLOOKUP(VLOOKUP(A621,'Sales Order'!A:B,2,FALSE),Customer!A:C,3,FALSE),"Not Specified")</f>
        <v>Garden, Euan</v>
      </c>
      <c r="G621" s="6" t="str">
        <f t="shared" si="18"/>
        <v>Garden Euan</v>
      </c>
      <c r="H621" s="22" t="str">
        <f>IFERROR(VLOOKUP(VLOOKUP(A621,'Sales Order'!A:C,3,FALSE),Employee!A:E,5,FALSE)&amp;" "&amp;VLOOKUP(VLOOKUP(A621,'Sales Order'!A:C,3,FALSE),Employee!A:C,3,FALSE)&amp;" "&amp;VLOOKUP(VLOOKUP(A621,'Sales Order'!A:C,3,FALSE),Employee!A:B,2,FALSE),"Not Specified")</f>
        <v>Ms. Maria Cameron</v>
      </c>
      <c r="I621" t="str">
        <f>IFERROR(VLOOKUP(VLOOKUP(A621,'Sales Order'!A:C,3,FALSE),Employee!A:J,10,FALSE),"Not Specified")</f>
        <v>WA</v>
      </c>
      <c r="J621" t="str">
        <f>VLOOKUP(B621,Product!A:B,2,FALSE)</f>
        <v>Product FPYPN</v>
      </c>
      <c r="K621" t="str">
        <f>VLOOKUP(VLOOKUP(B621,Product!A:D,4,FALSE),Category!A:B,2,FALSE)</f>
        <v>Confections</v>
      </c>
      <c r="L621" s="24">
        <f>IFERROR(VLOOKUP(A621,'Sales Order'!A:D,4,FALSE),"")</f>
        <v>39161</v>
      </c>
      <c r="M621" s="24">
        <f>IFERROR(VLOOKUP(A621,'Sales Order'!A:F,6,FALSE),"")</f>
        <v>39166</v>
      </c>
      <c r="N621" t="str">
        <f>IFERROR(VLOOKUP(VLOOKUP(A621,'Sales Order'!A:G,7,FALSE),Shipper!A:B,2,FALSE),"Not Specified")</f>
        <v>Shipper ETYNR</v>
      </c>
      <c r="O621" t="str">
        <f>IFERROR(VLOOKUP(A621,'Sales Order'!A:I,9,FALSE),"Not Specified")</f>
        <v>Ship to 67-A</v>
      </c>
      <c r="P621" t="str">
        <f>IFERROR(VLOOKUP(A621,'Sales Order'!A:N,14,FALSE),"Not Specified")</f>
        <v>Brazil</v>
      </c>
      <c r="Q621" t="str">
        <f>VLOOKUP(VLOOKUP(B621,Product!A:C,3,FALSE),Supplier!A:B,2,FALSE)</f>
        <v>Supplier ELCRN</v>
      </c>
      <c r="R621" t="str">
        <f>VLOOKUP(VLOOKUP(B621,Product!A:C,3,FALSE),Supplier!A:I,9,FALSE)</f>
        <v>Finland</v>
      </c>
      <c r="S621" t="str">
        <f>IFERROR(IF(VLOOKUP(A621,'Sales Order'!A:H,8,FALSE)&gt;100,"High Freight","Low Freight"),"Not Specified")</f>
        <v>Low Freight</v>
      </c>
      <c r="T621">
        <f t="shared" si="19"/>
        <v>384</v>
      </c>
    </row>
    <row r="622" spans="1:20">
      <c r="A622" s="9">
        <v>10481</v>
      </c>
      <c r="B622" s="6">
        <v>60</v>
      </c>
      <c r="C622" s="6">
        <v>27.2</v>
      </c>
      <c r="D622" s="6">
        <v>40</v>
      </c>
      <c r="E622" s="18">
        <v>0</v>
      </c>
      <c r="F622" s="6" t="str">
        <f>IFERROR(VLOOKUP(VLOOKUP(A622,'Sales Order'!A:B,2,FALSE),Customer!A:C,3,FALSE),"Not Specified")</f>
        <v>Garden, Euan</v>
      </c>
      <c r="G622" s="6" t="str">
        <f t="shared" si="18"/>
        <v>Garden Euan</v>
      </c>
      <c r="H622" s="22" t="str">
        <f>IFERROR(VLOOKUP(VLOOKUP(A622,'Sales Order'!A:C,3,FALSE),Employee!A:E,5,FALSE)&amp;" "&amp;VLOOKUP(VLOOKUP(A622,'Sales Order'!A:C,3,FALSE),Employee!A:C,3,FALSE)&amp;" "&amp;VLOOKUP(VLOOKUP(A622,'Sales Order'!A:C,3,FALSE),Employee!A:B,2,FALSE),"Not Specified")</f>
        <v>Ms. Maria Cameron</v>
      </c>
      <c r="I622" t="str">
        <f>IFERROR(VLOOKUP(VLOOKUP(A622,'Sales Order'!A:C,3,FALSE),Employee!A:J,10,FALSE),"Not Specified")</f>
        <v>WA</v>
      </c>
      <c r="J622" t="str">
        <f>VLOOKUP(B622,Product!A:B,2,FALSE)</f>
        <v>Product WHBYK</v>
      </c>
      <c r="K622" t="str">
        <f>VLOOKUP(VLOOKUP(B622,Product!A:D,4,FALSE),Category!A:B,2,FALSE)</f>
        <v>Dairy Product</v>
      </c>
      <c r="L622" s="24">
        <f>IFERROR(VLOOKUP(A622,'Sales Order'!A:D,4,FALSE),"")</f>
        <v>39161</v>
      </c>
      <c r="M622" s="24">
        <f>IFERROR(VLOOKUP(A622,'Sales Order'!A:F,6,FALSE),"")</f>
        <v>39166</v>
      </c>
      <c r="N622" t="str">
        <f>IFERROR(VLOOKUP(VLOOKUP(A622,'Sales Order'!A:G,7,FALSE),Shipper!A:B,2,FALSE),"Not Specified")</f>
        <v>Shipper ETYNR</v>
      </c>
      <c r="O622" t="str">
        <f>IFERROR(VLOOKUP(A622,'Sales Order'!A:I,9,FALSE),"Not Specified")</f>
        <v>Ship to 67-A</v>
      </c>
      <c r="P622" t="str">
        <f>IFERROR(VLOOKUP(A622,'Sales Order'!A:N,14,FALSE),"Not Specified")</f>
        <v>Brazil</v>
      </c>
      <c r="Q622" t="str">
        <f>VLOOKUP(VLOOKUP(B622,Product!A:C,3,FALSE),Supplier!A:B,2,FALSE)</f>
        <v>Supplier OAVQT</v>
      </c>
      <c r="R622" t="str">
        <f>VLOOKUP(VLOOKUP(B622,Product!A:C,3,FALSE),Supplier!A:I,9,FALSE)</f>
        <v>France</v>
      </c>
      <c r="S622" t="str">
        <f>IFERROR(IF(VLOOKUP(A622,'Sales Order'!A:H,8,FALSE)&gt;100,"High Freight","Low Freight"),"Not Specified")</f>
        <v>Low Freight</v>
      </c>
      <c r="T622">
        <f t="shared" si="19"/>
        <v>1088</v>
      </c>
    </row>
    <row r="623" spans="1:20">
      <c r="A623" s="9">
        <v>10482</v>
      </c>
      <c r="B623" s="6">
        <v>40</v>
      </c>
      <c r="C623" s="6">
        <v>14.7</v>
      </c>
      <c r="D623" s="6">
        <v>10</v>
      </c>
      <c r="E623" s="18">
        <v>0</v>
      </c>
      <c r="F623" s="6" t="str">
        <f>IFERROR(VLOOKUP(VLOOKUP(A623,'Sales Order'!A:B,2,FALSE),Customer!A:C,3,FALSE),"Not Specified")</f>
        <v>Deshpande, Anu</v>
      </c>
      <c r="G623" s="6" t="str">
        <f t="shared" si="18"/>
        <v>Deshpande Anu</v>
      </c>
      <c r="H623" s="22" t="str">
        <f>IFERROR(VLOOKUP(VLOOKUP(A623,'Sales Order'!A:C,3,FALSE),Employee!A:E,5,FALSE)&amp;" "&amp;VLOOKUP(VLOOKUP(A623,'Sales Order'!A:C,3,FALSE),Employee!A:C,3,FALSE)&amp;" "&amp;VLOOKUP(VLOOKUP(A623,'Sales Order'!A:C,3,FALSE),Employee!A:B,2,FALSE),"Not Specified")</f>
        <v>Ms. Sara Davis</v>
      </c>
      <c r="I623" t="str">
        <f>IFERROR(VLOOKUP(VLOOKUP(A623,'Sales Order'!A:C,3,FALSE),Employee!A:J,10,FALSE),"Not Specified")</f>
        <v>WA</v>
      </c>
      <c r="J623" t="str">
        <f>VLOOKUP(B623,Product!A:B,2,FALSE)</f>
        <v>Product YZIXQ</v>
      </c>
      <c r="K623" t="str">
        <f>VLOOKUP(VLOOKUP(B623,Product!A:D,4,FALSE),Category!A:B,2,FALSE)</f>
        <v>Seafood</v>
      </c>
      <c r="L623" s="24">
        <f>IFERROR(VLOOKUP(A623,'Sales Order'!A:D,4,FALSE),"")</f>
        <v>39162</v>
      </c>
      <c r="M623" s="24">
        <f>IFERROR(VLOOKUP(A623,'Sales Order'!A:F,6,FALSE),"")</f>
        <v>39182</v>
      </c>
      <c r="N623" t="str">
        <f>IFERROR(VLOOKUP(VLOOKUP(A623,'Sales Order'!A:G,7,FALSE),Shipper!A:B,2,FALSE),"Not Specified")</f>
        <v>Shipper ZHISN</v>
      </c>
      <c r="O623" t="str">
        <f>IFERROR(VLOOKUP(A623,'Sales Order'!A:I,9,FALSE),"Not Specified")</f>
        <v>Ship to 43-B</v>
      </c>
      <c r="P623" t="str">
        <f>IFERROR(VLOOKUP(A623,'Sales Order'!A:N,14,FALSE),"Not Specified")</f>
        <v>USA</v>
      </c>
      <c r="Q623" t="str">
        <f>VLOOKUP(VLOOKUP(B623,Product!A:C,3,FALSE),Supplier!A:B,2,FALSE)</f>
        <v>Supplier JDNUG</v>
      </c>
      <c r="R623" t="str">
        <f>VLOOKUP(VLOOKUP(B623,Product!A:C,3,FALSE),Supplier!A:I,9,FALSE)</f>
        <v>USA</v>
      </c>
      <c r="S623" t="str">
        <f>IFERROR(IF(VLOOKUP(A623,'Sales Order'!A:H,8,FALSE)&gt;100,"High Freight","Low Freight"),"Not Specified")</f>
        <v>Low Freight</v>
      </c>
      <c r="T623">
        <f t="shared" si="19"/>
        <v>147</v>
      </c>
    </row>
    <row r="624" spans="1:20">
      <c r="A624" s="9">
        <v>10483</v>
      </c>
      <c r="B624" s="6">
        <v>34</v>
      </c>
      <c r="C624" s="6">
        <v>11.2</v>
      </c>
      <c r="D624" s="6">
        <v>35</v>
      </c>
      <c r="E624" s="18">
        <v>0.05</v>
      </c>
      <c r="F624" s="6" t="str">
        <f>IFERROR(VLOOKUP(VLOOKUP(A624,'Sales Order'!A:B,2,FALSE),Customer!A:C,3,FALSE),"Not Specified")</f>
        <v>Smith Jr., Ronaldo</v>
      </c>
      <c r="G624" s="6" t="str">
        <f t="shared" si="18"/>
        <v>Smith Jr. Ronaldo</v>
      </c>
      <c r="H624" s="22" t="str">
        <f>IFERROR(VLOOKUP(VLOOKUP(A624,'Sales Order'!A:C,3,FALSE),Employee!A:E,5,FALSE)&amp;" "&amp;VLOOKUP(VLOOKUP(A624,'Sales Order'!A:C,3,FALSE),Employee!A:C,3,FALSE)&amp;" "&amp;VLOOKUP(VLOOKUP(A624,'Sales Order'!A:C,3,FALSE),Employee!A:B,2,FALSE),"Not Specified")</f>
        <v>Mr. Russell King</v>
      </c>
      <c r="I624">
        <f>IFERROR(VLOOKUP(VLOOKUP(A624,'Sales Order'!A:C,3,FALSE),Employee!A:J,10,FALSE),"Not Specified")</f>
        <v>0</v>
      </c>
      <c r="J624" t="str">
        <f>VLOOKUP(B624,Product!A:B,2,FALSE)</f>
        <v>Product SWNJY</v>
      </c>
      <c r="K624" t="str">
        <f>VLOOKUP(VLOOKUP(B624,Product!A:D,4,FALSE),Category!A:B,2,FALSE)</f>
        <v>Beverages</v>
      </c>
      <c r="L624" s="24">
        <f>IFERROR(VLOOKUP(A624,'Sales Order'!A:D,4,FALSE),"")</f>
        <v>39165</v>
      </c>
      <c r="M624" s="24">
        <f>IFERROR(VLOOKUP(A624,'Sales Order'!A:F,6,FALSE),"")</f>
        <v>39197</v>
      </c>
      <c r="N624" t="str">
        <f>IFERROR(VLOOKUP(VLOOKUP(A624,'Sales Order'!A:G,7,FALSE),Shipper!A:B,2,FALSE),"Not Specified")</f>
        <v>Shipper ETYNR</v>
      </c>
      <c r="O624" t="str">
        <f>IFERROR(VLOOKUP(A624,'Sales Order'!A:I,9,FALSE),"Not Specified")</f>
        <v>Ship to 89-A</v>
      </c>
      <c r="P624" t="str">
        <f>IFERROR(VLOOKUP(A624,'Sales Order'!A:N,14,FALSE),"Not Specified")</f>
        <v>USA</v>
      </c>
      <c r="Q624" t="str">
        <f>VLOOKUP(VLOOKUP(B624,Product!A:C,3,FALSE),Supplier!A:B,2,FALSE)</f>
        <v>Supplier UHZRG</v>
      </c>
      <c r="R624" t="str">
        <f>VLOOKUP(VLOOKUP(B624,Product!A:C,3,FALSE),Supplier!A:I,9,FALSE)</f>
        <v>USA</v>
      </c>
      <c r="S624" t="str">
        <f>IFERROR(IF(VLOOKUP(A624,'Sales Order'!A:H,8,FALSE)&gt;100,"High Freight","Low Freight"),"Not Specified")</f>
        <v>Low Freight</v>
      </c>
      <c r="T624">
        <f t="shared" si="19"/>
        <v>372.4</v>
      </c>
    </row>
    <row r="625" spans="1:20">
      <c r="A625" s="9">
        <v>10483</v>
      </c>
      <c r="B625" s="6">
        <v>77</v>
      </c>
      <c r="C625" s="6">
        <v>10.4</v>
      </c>
      <c r="D625" s="6">
        <v>30</v>
      </c>
      <c r="E625" s="18">
        <v>0.05</v>
      </c>
      <c r="F625" s="6" t="str">
        <f>IFERROR(VLOOKUP(VLOOKUP(A625,'Sales Order'!A:B,2,FALSE),Customer!A:C,3,FALSE),"Not Specified")</f>
        <v>Smith Jr., Ronaldo</v>
      </c>
      <c r="G625" s="6" t="str">
        <f t="shared" si="18"/>
        <v>Smith Jr. Ronaldo</v>
      </c>
      <c r="H625" s="22" t="str">
        <f>IFERROR(VLOOKUP(VLOOKUP(A625,'Sales Order'!A:C,3,FALSE),Employee!A:E,5,FALSE)&amp;" "&amp;VLOOKUP(VLOOKUP(A625,'Sales Order'!A:C,3,FALSE),Employee!A:C,3,FALSE)&amp;" "&amp;VLOOKUP(VLOOKUP(A625,'Sales Order'!A:C,3,FALSE),Employee!A:B,2,FALSE),"Not Specified")</f>
        <v>Mr. Russell King</v>
      </c>
      <c r="I625">
        <f>IFERROR(VLOOKUP(VLOOKUP(A625,'Sales Order'!A:C,3,FALSE),Employee!A:J,10,FALSE),"Not Specified")</f>
        <v>0</v>
      </c>
      <c r="J625" t="str">
        <f>VLOOKUP(B625,Product!A:B,2,FALSE)</f>
        <v>Product LUNZZ</v>
      </c>
      <c r="K625" t="str">
        <f>VLOOKUP(VLOOKUP(B625,Product!A:D,4,FALSE),Category!A:B,2,FALSE)</f>
        <v>Condiments</v>
      </c>
      <c r="L625" s="24">
        <f>IFERROR(VLOOKUP(A625,'Sales Order'!A:D,4,FALSE),"")</f>
        <v>39165</v>
      </c>
      <c r="M625" s="24">
        <f>IFERROR(VLOOKUP(A625,'Sales Order'!A:F,6,FALSE),"")</f>
        <v>39197</v>
      </c>
      <c r="N625" t="str">
        <f>IFERROR(VLOOKUP(VLOOKUP(A625,'Sales Order'!A:G,7,FALSE),Shipper!A:B,2,FALSE),"Not Specified")</f>
        <v>Shipper ETYNR</v>
      </c>
      <c r="O625" t="str">
        <f>IFERROR(VLOOKUP(A625,'Sales Order'!A:I,9,FALSE),"Not Specified")</f>
        <v>Ship to 89-A</v>
      </c>
      <c r="P625" t="str">
        <f>IFERROR(VLOOKUP(A625,'Sales Order'!A:N,14,FALSE),"Not Specified")</f>
        <v>USA</v>
      </c>
      <c r="Q625" t="str">
        <f>VLOOKUP(VLOOKUP(B625,Product!A:C,3,FALSE),Supplier!A:B,2,FALSE)</f>
        <v>Supplier SVIYA</v>
      </c>
      <c r="R625" t="str">
        <f>VLOOKUP(VLOOKUP(B625,Product!A:C,3,FALSE),Supplier!A:I,9,FALSE)</f>
        <v>Germany</v>
      </c>
      <c r="S625" t="str">
        <f>IFERROR(IF(VLOOKUP(A625,'Sales Order'!A:H,8,FALSE)&gt;100,"High Freight","Low Freight"),"Not Specified")</f>
        <v>Low Freight</v>
      </c>
      <c r="T625">
        <f t="shared" si="19"/>
        <v>296.39999999999998</v>
      </c>
    </row>
    <row r="626" spans="1:20">
      <c r="A626" s="9">
        <v>10484</v>
      </c>
      <c r="B626" s="6">
        <v>21</v>
      </c>
      <c r="C626" s="6">
        <v>8</v>
      </c>
      <c r="D626" s="6">
        <v>14</v>
      </c>
      <c r="E626" s="18">
        <v>0</v>
      </c>
      <c r="F626" s="6" t="str">
        <f>IFERROR(VLOOKUP(VLOOKUP(A626,'Sales Order'!A:B,2,FALSE),Customer!A:C,3,FALSE),"Not Specified")</f>
        <v>Jaffe, David</v>
      </c>
      <c r="G626" s="6" t="str">
        <f t="shared" si="18"/>
        <v>Jaffe David</v>
      </c>
      <c r="H626" s="22" t="str">
        <f>IFERROR(VLOOKUP(VLOOKUP(A626,'Sales Order'!A:C,3,FALSE),Employee!A:E,5,FALSE)&amp;" "&amp;VLOOKUP(VLOOKUP(A626,'Sales Order'!A:C,3,FALSE),Employee!A:C,3,FALSE)&amp;" "&amp;VLOOKUP(VLOOKUP(A626,'Sales Order'!A:C,3,FALSE),Employee!A:B,2,FALSE),"Not Specified")</f>
        <v>Ms. Judy Lew</v>
      </c>
      <c r="I626" t="str">
        <f>IFERROR(VLOOKUP(VLOOKUP(A626,'Sales Order'!A:C,3,FALSE),Employee!A:J,10,FALSE),"Not Specified")</f>
        <v>WA</v>
      </c>
      <c r="J626" t="str">
        <f>VLOOKUP(B626,Product!A:B,2,FALSE)</f>
        <v>Product VJZZH</v>
      </c>
      <c r="K626" t="str">
        <f>VLOOKUP(VLOOKUP(B626,Product!A:D,4,FALSE),Category!A:B,2,FALSE)</f>
        <v>Confections</v>
      </c>
      <c r="L626" s="24">
        <f>IFERROR(VLOOKUP(A626,'Sales Order'!A:D,4,FALSE),"")</f>
        <v>39165</v>
      </c>
      <c r="M626" s="24">
        <f>IFERROR(VLOOKUP(A626,'Sales Order'!A:F,6,FALSE),"")</f>
        <v>39173</v>
      </c>
      <c r="N626" t="str">
        <f>IFERROR(VLOOKUP(VLOOKUP(A626,'Sales Order'!A:G,7,FALSE),Shipper!A:B,2,FALSE),"Not Specified")</f>
        <v>Shipper ZHISN</v>
      </c>
      <c r="O626" t="str">
        <f>IFERROR(VLOOKUP(A626,'Sales Order'!A:I,9,FALSE),"Not Specified")</f>
        <v>Destination DLEUN</v>
      </c>
      <c r="P626" t="str">
        <f>IFERROR(VLOOKUP(A626,'Sales Order'!A:N,14,FALSE),"Not Specified")</f>
        <v>UK</v>
      </c>
      <c r="Q626" t="str">
        <f>VLOOKUP(VLOOKUP(B626,Product!A:C,3,FALSE),Supplier!A:B,2,FALSE)</f>
        <v>Supplier BWGYE</v>
      </c>
      <c r="R626" t="str">
        <f>VLOOKUP(VLOOKUP(B626,Product!A:C,3,FALSE),Supplier!A:I,9,FALSE)</f>
        <v>UK</v>
      </c>
      <c r="S626" t="str">
        <f>IFERROR(IF(VLOOKUP(A626,'Sales Order'!A:H,8,FALSE)&gt;100,"High Freight","Low Freight"),"Not Specified")</f>
        <v>Low Freight</v>
      </c>
      <c r="T626">
        <f t="shared" si="19"/>
        <v>112</v>
      </c>
    </row>
    <row r="627" spans="1:20">
      <c r="A627" s="9">
        <v>10484</v>
      </c>
      <c r="B627" s="6">
        <v>40</v>
      </c>
      <c r="C627" s="6">
        <v>14.7</v>
      </c>
      <c r="D627" s="6">
        <v>10</v>
      </c>
      <c r="E627" s="18">
        <v>0</v>
      </c>
      <c r="F627" s="6" t="str">
        <f>IFERROR(VLOOKUP(VLOOKUP(A627,'Sales Order'!A:B,2,FALSE),Customer!A:C,3,FALSE),"Not Specified")</f>
        <v>Jaffe, David</v>
      </c>
      <c r="G627" s="6" t="str">
        <f t="shared" si="18"/>
        <v>Jaffe David</v>
      </c>
      <c r="H627" s="22" t="str">
        <f>IFERROR(VLOOKUP(VLOOKUP(A627,'Sales Order'!A:C,3,FALSE),Employee!A:E,5,FALSE)&amp;" "&amp;VLOOKUP(VLOOKUP(A627,'Sales Order'!A:C,3,FALSE),Employee!A:C,3,FALSE)&amp;" "&amp;VLOOKUP(VLOOKUP(A627,'Sales Order'!A:C,3,FALSE),Employee!A:B,2,FALSE),"Not Specified")</f>
        <v>Ms. Judy Lew</v>
      </c>
      <c r="I627" t="str">
        <f>IFERROR(VLOOKUP(VLOOKUP(A627,'Sales Order'!A:C,3,FALSE),Employee!A:J,10,FALSE),"Not Specified")</f>
        <v>WA</v>
      </c>
      <c r="J627" t="str">
        <f>VLOOKUP(B627,Product!A:B,2,FALSE)</f>
        <v>Product YZIXQ</v>
      </c>
      <c r="K627" t="str">
        <f>VLOOKUP(VLOOKUP(B627,Product!A:D,4,FALSE),Category!A:B,2,FALSE)</f>
        <v>Seafood</v>
      </c>
      <c r="L627" s="24">
        <f>IFERROR(VLOOKUP(A627,'Sales Order'!A:D,4,FALSE),"")</f>
        <v>39165</v>
      </c>
      <c r="M627" s="24">
        <f>IFERROR(VLOOKUP(A627,'Sales Order'!A:F,6,FALSE),"")</f>
        <v>39173</v>
      </c>
      <c r="N627" t="str">
        <f>IFERROR(VLOOKUP(VLOOKUP(A627,'Sales Order'!A:G,7,FALSE),Shipper!A:B,2,FALSE),"Not Specified")</f>
        <v>Shipper ZHISN</v>
      </c>
      <c r="O627" t="str">
        <f>IFERROR(VLOOKUP(A627,'Sales Order'!A:I,9,FALSE),"Not Specified")</f>
        <v>Destination DLEUN</v>
      </c>
      <c r="P627" t="str">
        <f>IFERROR(VLOOKUP(A627,'Sales Order'!A:N,14,FALSE),"Not Specified")</f>
        <v>UK</v>
      </c>
      <c r="Q627" t="str">
        <f>VLOOKUP(VLOOKUP(B627,Product!A:C,3,FALSE),Supplier!A:B,2,FALSE)</f>
        <v>Supplier JDNUG</v>
      </c>
      <c r="R627" t="str">
        <f>VLOOKUP(VLOOKUP(B627,Product!A:C,3,FALSE),Supplier!A:I,9,FALSE)</f>
        <v>USA</v>
      </c>
      <c r="S627" t="str">
        <f>IFERROR(IF(VLOOKUP(A627,'Sales Order'!A:H,8,FALSE)&gt;100,"High Freight","Low Freight"),"Not Specified")</f>
        <v>Low Freight</v>
      </c>
      <c r="T627">
        <f t="shared" si="19"/>
        <v>147</v>
      </c>
    </row>
    <row r="628" spans="1:20">
      <c r="A628" s="9">
        <v>10484</v>
      </c>
      <c r="B628" s="6">
        <v>51</v>
      </c>
      <c r="C628" s="6">
        <v>42.4</v>
      </c>
      <c r="D628" s="6">
        <v>3</v>
      </c>
      <c r="E628" s="18">
        <v>0</v>
      </c>
      <c r="F628" s="6" t="str">
        <f>IFERROR(VLOOKUP(VLOOKUP(A628,'Sales Order'!A:B,2,FALSE),Customer!A:C,3,FALSE),"Not Specified")</f>
        <v>Jaffe, David</v>
      </c>
      <c r="G628" s="6" t="str">
        <f t="shared" si="18"/>
        <v>Jaffe David</v>
      </c>
      <c r="H628" s="22" t="str">
        <f>IFERROR(VLOOKUP(VLOOKUP(A628,'Sales Order'!A:C,3,FALSE),Employee!A:E,5,FALSE)&amp;" "&amp;VLOOKUP(VLOOKUP(A628,'Sales Order'!A:C,3,FALSE),Employee!A:C,3,FALSE)&amp;" "&amp;VLOOKUP(VLOOKUP(A628,'Sales Order'!A:C,3,FALSE),Employee!A:B,2,FALSE),"Not Specified")</f>
        <v>Ms. Judy Lew</v>
      </c>
      <c r="I628" t="str">
        <f>IFERROR(VLOOKUP(VLOOKUP(A628,'Sales Order'!A:C,3,FALSE),Employee!A:J,10,FALSE),"Not Specified")</f>
        <v>WA</v>
      </c>
      <c r="J628" t="str">
        <f>VLOOKUP(B628,Product!A:B,2,FALSE)</f>
        <v>Product APITJ</v>
      </c>
      <c r="K628" t="str">
        <f>VLOOKUP(VLOOKUP(B628,Product!A:D,4,FALSE),Category!A:B,2,FALSE)</f>
        <v>Produce</v>
      </c>
      <c r="L628" s="24">
        <f>IFERROR(VLOOKUP(A628,'Sales Order'!A:D,4,FALSE),"")</f>
        <v>39165</v>
      </c>
      <c r="M628" s="24">
        <f>IFERROR(VLOOKUP(A628,'Sales Order'!A:F,6,FALSE),"")</f>
        <v>39173</v>
      </c>
      <c r="N628" t="str">
        <f>IFERROR(VLOOKUP(VLOOKUP(A628,'Sales Order'!A:G,7,FALSE),Shipper!A:B,2,FALSE),"Not Specified")</f>
        <v>Shipper ZHISN</v>
      </c>
      <c r="O628" t="str">
        <f>IFERROR(VLOOKUP(A628,'Sales Order'!A:I,9,FALSE),"Not Specified")</f>
        <v>Destination DLEUN</v>
      </c>
      <c r="P628" t="str">
        <f>IFERROR(VLOOKUP(A628,'Sales Order'!A:N,14,FALSE),"Not Specified")</f>
        <v>UK</v>
      </c>
      <c r="Q628" t="str">
        <f>VLOOKUP(VLOOKUP(B628,Product!A:C,3,FALSE),Supplier!A:B,2,FALSE)</f>
        <v>Supplier JNNES</v>
      </c>
      <c r="R628" t="str">
        <f>VLOOKUP(VLOOKUP(B628,Product!A:C,3,FALSE),Supplier!A:I,9,FALSE)</f>
        <v>Australia</v>
      </c>
      <c r="S628" t="str">
        <f>IFERROR(IF(VLOOKUP(A628,'Sales Order'!A:H,8,FALSE)&gt;100,"High Freight","Low Freight"),"Not Specified")</f>
        <v>Low Freight</v>
      </c>
      <c r="T628">
        <f t="shared" si="19"/>
        <v>127.19999999999999</v>
      </c>
    </row>
    <row r="629" spans="1:20">
      <c r="A629" s="9">
        <v>10485</v>
      </c>
      <c r="B629" s="6">
        <v>2</v>
      </c>
      <c r="C629" s="6">
        <v>15.2</v>
      </c>
      <c r="D629" s="6">
        <v>20</v>
      </c>
      <c r="E629" s="18">
        <v>0.1</v>
      </c>
      <c r="F629" s="6" t="str">
        <f>IFERROR(VLOOKUP(VLOOKUP(A629,'Sales Order'!A:B,2,FALSE),Customer!A:C,3,FALSE),"Not Specified")</f>
        <v>Lupu, Cornel</v>
      </c>
      <c r="G629" s="6" t="str">
        <f t="shared" si="18"/>
        <v>Lupu Cornel</v>
      </c>
      <c r="H629" s="22" t="str">
        <f>IFERROR(VLOOKUP(VLOOKUP(A629,'Sales Order'!A:C,3,FALSE),Employee!A:E,5,FALSE)&amp;" "&amp;VLOOKUP(VLOOKUP(A629,'Sales Order'!A:C,3,FALSE),Employee!A:C,3,FALSE)&amp;" "&amp;VLOOKUP(VLOOKUP(A629,'Sales Order'!A:C,3,FALSE),Employee!A:B,2,FALSE),"Not Specified")</f>
        <v>Mrs. Yael Peled</v>
      </c>
      <c r="I629" t="str">
        <f>IFERROR(VLOOKUP(VLOOKUP(A629,'Sales Order'!A:C,3,FALSE),Employee!A:J,10,FALSE),"Not Specified")</f>
        <v>WA</v>
      </c>
      <c r="J629" t="str">
        <f>VLOOKUP(B629,Product!A:B,2,FALSE)</f>
        <v>Product RECZE</v>
      </c>
      <c r="K629" t="str">
        <f>VLOOKUP(VLOOKUP(B629,Product!A:D,4,FALSE),Category!A:B,2,FALSE)</f>
        <v>Beverages</v>
      </c>
      <c r="L629" s="24">
        <f>IFERROR(VLOOKUP(A629,'Sales Order'!A:D,4,FALSE),"")</f>
        <v>39166</v>
      </c>
      <c r="M629" s="24">
        <f>IFERROR(VLOOKUP(A629,'Sales Order'!A:F,6,FALSE),"")</f>
        <v>39172</v>
      </c>
      <c r="N629" t="str">
        <f>IFERROR(VLOOKUP(VLOOKUP(A629,'Sales Order'!A:G,7,FALSE),Shipper!A:B,2,FALSE),"Not Specified")</f>
        <v>Shipper ETYNR</v>
      </c>
      <c r="O629" t="str">
        <f>IFERROR(VLOOKUP(A629,'Sales Order'!A:I,9,FALSE),"Not Specified")</f>
        <v>Ship to 47-B</v>
      </c>
      <c r="P629" t="str">
        <f>IFERROR(VLOOKUP(A629,'Sales Order'!A:N,14,FALSE),"Not Specified")</f>
        <v>Venezuela</v>
      </c>
      <c r="Q629" t="str">
        <f>VLOOKUP(VLOOKUP(B629,Product!A:C,3,FALSE),Supplier!A:B,2,FALSE)</f>
        <v>Supplier SWRXU</v>
      </c>
      <c r="R629" t="str">
        <f>VLOOKUP(VLOOKUP(B629,Product!A:C,3,FALSE),Supplier!A:I,9,FALSE)</f>
        <v>UK</v>
      </c>
      <c r="S629" t="str">
        <f>IFERROR(IF(VLOOKUP(A629,'Sales Order'!A:H,8,FALSE)&gt;100,"High Freight","Low Freight"),"Not Specified")</f>
        <v>Low Freight</v>
      </c>
      <c r="T629">
        <f t="shared" si="19"/>
        <v>273.60000000000002</v>
      </c>
    </row>
    <row r="630" spans="1:20">
      <c r="A630" s="9">
        <v>10485</v>
      </c>
      <c r="B630" s="6">
        <v>3</v>
      </c>
      <c r="C630" s="6">
        <v>8</v>
      </c>
      <c r="D630" s="6">
        <v>20</v>
      </c>
      <c r="E630" s="18">
        <v>0.1</v>
      </c>
      <c r="F630" s="6" t="str">
        <f>IFERROR(VLOOKUP(VLOOKUP(A630,'Sales Order'!A:B,2,FALSE),Customer!A:C,3,FALSE),"Not Specified")</f>
        <v>Lupu, Cornel</v>
      </c>
      <c r="G630" s="6" t="str">
        <f t="shared" si="18"/>
        <v>Lupu Cornel</v>
      </c>
      <c r="H630" s="22" t="str">
        <f>IFERROR(VLOOKUP(VLOOKUP(A630,'Sales Order'!A:C,3,FALSE),Employee!A:E,5,FALSE)&amp;" "&amp;VLOOKUP(VLOOKUP(A630,'Sales Order'!A:C,3,FALSE),Employee!A:C,3,FALSE)&amp;" "&amp;VLOOKUP(VLOOKUP(A630,'Sales Order'!A:C,3,FALSE),Employee!A:B,2,FALSE),"Not Specified")</f>
        <v>Mrs. Yael Peled</v>
      </c>
      <c r="I630" t="str">
        <f>IFERROR(VLOOKUP(VLOOKUP(A630,'Sales Order'!A:C,3,FALSE),Employee!A:J,10,FALSE),"Not Specified")</f>
        <v>WA</v>
      </c>
      <c r="J630" t="str">
        <f>VLOOKUP(B630,Product!A:B,2,FALSE)</f>
        <v>Product IMEHJ</v>
      </c>
      <c r="K630" t="str">
        <f>VLOOKUP(VLOOKUP(B630,Product!A:D,4,FALSE),Category!A:B,2,FALSE)</f>
        <v>Condiments</v>
      </c>
      <c r="L630" s="24">
        <f>IFERROR(VLOOKUP(A630,'Sales Order'!A:D,4,FALSE),"")</f>
        <v>39166</v>
      </c>
      <c r="M630" s="24">
        <f>IFERROR(VLOOKUP(A630,'Sales Order'!A:F,6,FALSE),"")</f>
        <v>39172</v>
      </c>
      <c r="N630" t="str">
        <f>IFERROR(VLOOKUP(VLOOKUP(A630,'Sales Order'!A:G,7,FALSE),Shipper!A:B,2,FALSE),"Not Specified")</f>
        <v>Shipper ETYNR</v>
      </c>
      <c r="O630" t="str">
        <f>IFERROR(VLOOKUP(A630,'Sales Order'!A:I,9,FALSE),"Not Specified")</f>
        <v>Ship to 47-B</v>
      </c>
      <c r="P630" t="str">
        <f>IFERROR(VLOOKUP(A630,'Sales Order'!A:N,14,FALSE),"Not Specified")</f>
        <v>Venezuela</v>
      </c>
      <c r="Q630" t="str">
        <f>VLOOKUP(VLOOKUP(B630,Product!A:C,3,FALSE),Supplier!A:B,2,FALSE)</f>
        <v>Supplier SWRXU</v>
      </c>
      <c r="R630" t="str">
        <f>VLOOKUP(VLOOKUP(B630,Product!A:C,3,FALSE),Supplier!A:I,9,FALSE)</f>
        <v>UK</v>
      </c>
      <c r="S630" t="str">
        <f>IFERROR(IF(VLOOKUP(A630,'Sales Order'!A:H,8,FALSE)&gt;100,"High Freight","Low Freight"),"Not Specified")</f>
        <v>Low Freight</v>
      </c>
      <c r="T630">
        <f t="shared" si="19"/>
        <v>144</v>
      </c>
    </row>
    <row r="631" spans="1:20">
      <c r="A631" s="9">
        <v>10485</v>
      </c>
      <c r="B631" s="6">
        <v>55</v>
      </c>
      <c r="C631" s="6">
        <v>19.2</v>
      </c>
      <c r="D631" s="6">
        <v>30</v>
      </c>
      <c r="E631" s="18">
        <v>0.1</v>
      </c>
      <c r="F631" s="6" t="str">
        <f>IFERROR(VLOOKUP(VLOOKUP(A631,'Sales Order'!A:B,2,FALSE),Customer!A:C,3,FALSE),"Not Specified")</f>
        <v>Lupu, Cornel</v>
      </c>
      <c r="G631" s="6" t="str">
        <f t="shared" si="18"/>
        <v>Lupu Cornel</v>
      </c>
      <c r="H631" s="22" t="str">
        <f>IFERROR(VLOOKUP(VLOOKUP(A631,'Sales Order'!A:C,3,FALSE),Employee!A:E,5,FALSE)&amp;" "&amp;VLOOKUP(VLOOKUP(A631,'Sales Order'!A:C,3,FALSE),Employee!A:C,3,FALSE)&amp;" "&amp;VLOOKUP(VLOOKUP(A631,'Sales Order'!A:C,3,FALSE),Employee!A:B,2,FALSE),"Not Specified")</f>
        <v>Mrs. Yael Peled</v>
      </c>
      <c r="I631" t="str">
        <f>IFERROR(VLOOKUP(VLOOKUP(A631,'Sales Order'!A:C,3,FALSE),Employee!A:J,10,FALSE),"Not Specified")</f>
        <v>WA</v>
      </c>
      <c r="J631" t="str">
        <f>VLOOKUP(B631,Product!A:B,2,FALSE)</f>
        <v>Product YYWRT</v>
      </c>
      <c r="K631" t="str">
        <f>VLOOKUP(VLOOKUP(B631,Product!A:D,4,FALSE),Category!A:B,2,FALSE)</f>
        <v>Meat/Poultry</v>
      </c>
      <c r="L631" s="24">
        <f>IFERROR(VLOOKUP(A631,'Sales Order'!A:D,4,FALSE),"")</f>
        <v>39166</v>
      </c>
      <c r="M631" s="24">
        <f>IFERROR(VLOOKUP(A631,'Sales Order'!A:F,6,FALSE),"")</f>
        <v>39172</v>
      </c>
      <c r="N631" t="str">
        <f>IFERROR(VLOOKUP(VLOOKUP(A631,'Sales Order'!A:G,7,FALSE),Shipper!A:B,2,FALSE),"Not Specified")</f>
        <v>Shipper ETYNR</v>
      </c>
      <c r="O631" t="str">
        <f>IFERROR(VLOOKUP(A631,'Sales Order'!A:I,9,FALSE),"Not Specified")</f>
        <v>Ship to 47-B</v>
      </c>
      <c r="P631" t="str">
        <f>IFERROR(VLOOKUP(A631,'Sales Order'!A:N,14,FALSE),"Not Specified")</f>
        <v>Venezuela</v>
      </c>
      <c r="Q631" t="str">
        <f>VLOOKUP(VLOOKUP(B631,Product!A:C,3,FALSE),Supplier!A:B,2,FALSE)</f>
        <v>Supplier ERVYZ</v>
      </c>
      <c r="R631" t="str">
        <f>VLOOKUP(VLOOKUP(B631,Product!A:C,3,FALSE),Supplier!A:I,9,FALSE)</f>
        <v>Canada</v>
      </c>
      <c r="S631" t="str">
        <f>IFERROR(IF(VLOOKUP(A631,'Sales Order'!A:H,8,FALSE)&gt;100,"High Freight","Low Freight"),"Not Specified")</f>
        <v>Low Freight</v>
      </c>
      <c r="T631">
        <f t="shared" si="19"/>
        <v>518.4</v>
      </c>
    </row>
    <row r="632" spans="1:20">
      <c r="A632" s="9">
        <v>10485</v>
      </c>
      <c r="B632" s="6">
        <v>70</v>
      </c>
      <c r="C632" s="6">
        <v>12</v>
      </c>
      <c r="D632" s="6">
        <v>60</v>
      </c>
      <c r="E632" s="18">
        <v>0.1</v>
      </c>
      <c r="F632" s="6" t="str">
        <f>IFERROR(VLOOKUP(VLOOKUP(A632,'Sales Order'!A:B,2,FALSE),Customer!A:C,3,FALSE),"Not Specified")</f>
        <v>Lupu, Cornel</v>
      </c>
      <c r="G632" s="6" t="str">
        <f t="shared" si="18"/>
        <v>Lupu Cornel</v>
      </c>
      <c r="H632" s="22" t="str">
        <f>IFERROR(VLOOKUP(VLOOKUP(A632,'Sales Order'!A:C,3,FALSE),Employee!A:E,5,FALSE)&amp;" "&amp;VLOOKUP(VLOOKUP(A632,'Sales Order'!A:C,3,FALSE),Employee!A:C,3,FALSE)&amp;" "&amp;VLOOKUP(VLOOKUP(A632,'Sales Order'!A:C,3,FALSE),Employee!A:B,2,FALSE),"Not Specified")</f>
        <v>Mrs. Yael Peled</v>
      </c>
      <c r="I632" t="str">
        <f>IFERROR(VLOOKUP(VLOOKUP(A632,'Sales Order'!A:C,3,FALSE),Employee!A:J,10,FALSE),"Not Specified")</f>
        <v>WA</v>
      </c>
      <c r="J632" t="str">
        <f>VLOOKUP(B632,Product!A:B,2,FALSE)</f>
        <v>Product TOONT</v>
      </c>
      <c r="K632" t="str">
        <f>VLOOKUP(VLOOKUP(B632,Product!A:D,4,FALSE),Category!A:B,2,FALSE)</f>
        <v>Beverages</v>
      </c>
      <c r="L632" s="24">
        <f>IFERROR(VLOOKUP(A632,'Sales Order'!A:D,4,FALSE),"")</f>
        <v>39166</v>
      </c>
      <c r="M632" s="24">
        <f>IFERROR(VLOOKUP(A632,'Sales Order'!A:F,6,FALSE),"")</f>
        <v>39172</v>
      </c>
      <c r="N632" t="str">
        <f>IFERROR(VLOOKUP(VLOOKUP(A632,'Sales Order'!A:G,7,FALSE),Shipper!A:B,2,FALSE),"Not Specified")</f>
        <v>Shipper ETYNR</v>
      </c>
      <c r="O632" t="str">
        <f>IFERROR(VLOOKUP(A632,'Sales Order'!A:I,9,FALSE),"Not Specified")</f>
        <v>Ship to 47-B</v>
      </c>
      <c r="P632" t="str">
        <f>IFERROR(VLOOKUP(A632,'Sales Order'!A:N,14,FALSE),"Not Specified")</f>
        <v>Venezuela</v>
      </c>
      <c r="Q632" t="str">
        <f>VLOOKUP(VLOOKUP(B632,Product!A:C,3,FALSE),Supplier!A:B,2,FALSE)</f>
        <v>Supplier GQRCV</v>
      </c>
      <c r="R632" t="str">
        <f>VLOOKUP(VLOOKUP(B632,Product!A:C,3,FALSE),Supplier!A:I,9,FALSE)</f>
        <v>Australia</v>
      </c>
      <c r="S632" t="str">
        <f>IFERROR(IF(VLOOKUP(A632,'Sales Order'!A:H,8,FALSE)&gt;100,"High Freight","Low Freight"),"Not Specified")</f>
        <v>Low Freight</v>
      </c>
      <c r="T632">
        <f t="shared" si="19"/>
        <v>648</v>
      </c>
    </row>
    <row r="633" spans="1:20">
      <c r="A633" s="9">
        <v>10486</v>
      </c>
      <c r="B633" s="6">
        <v>11</v>
      </c>
      <c r="C633" s="6">
        <v>16.8</v>
      </c>
      <c r="D633" s="6">
        <v>5</v>
      </c>
      <c r="E633" s="18">
        <v>0</v>
      </c>
      <c r="F633" s="6" t="str">
        <f>IFERROR(VLOOKUP(VLOOKUP(A633,'Sales Order'!A:B,2,FALSE),Customer!A:C,3,FALSE),"Not Specified")</f>
        <v>Langohr, Kris</v>
      </c>
      <c r="G633" s="6" t="str">
        <f t="shared" si="18"/>
        <v>Langohr Kris</v>
      </c>
      <c r="H633" s="22" t="str">
        <f>IFERROR(VLOOKUP(VLOOKUP(A633,'Sales Order'!A:C,3,FALSE),Employee!A:E,5,FALSE)&amp;" "&amp;VLOOKUP(VLOOKUP(A633,'Sales Order'!A:C,3,FALSE),Employee!A:C,3,FALSE)&amp;" "&amp;VLOOKUP(VLOOKUP(A633,'Sales Order'!A:C,3,FALSE),Employee!A:B,2,FALSE),"Not Specified")</f>
        <v>Ms. Sara Davis</v>
      </c>
      <c r="I633" t="str">
        <f>IFERROR(VLOOKUP(VLOOKUP(A633,'Sales Order'!A:C,3,FALSE),Employee!A:J,10,FALSE),"Not Specified")</f>
        <v>WA</v>
      </c>
      <c r="J633" t="str">
        <f>VLOOKUP(B633,Product!A:B,2,FALSE)</f>
        <v>Product QMVUN</v>
      </c>
      <c r="K633" t="str">
        <f>VLOOKUP(VLOOKUP(B633,Product!A:D,4,FALSE),Category!A:B,2,FALSE)</f>
        <v>Dairy Product</v>
      </c>
      <c r="L633" s="24">
        <f>IFERROR(VLOOKUP(A633,'Sales Order'!A:D,4,FALSE),"")</f>
        <v>39167</v>
      </c>
      <c r="M633" s="24">
        <f>IFERROR(VLOOKUP(A633,'Sales Order'!A:F,6,FALSE),"")</f>
        <v>39174</v>
      </c>
      <c r="N633" t="str">
        <f>IFERROR(VLOOKUP(VLOOKUP(A633,'Sales Order'!A:G,7,FALSE),Shipper!A:B,2,FALSE),"Not Specified")</f>
        <v>Shipper ETYNR</v>
      </c>
      <c r="O633" t="str">
        <f>IFERROR(VLOOKUP(A633,'Sales Order'!A:I,9,FALSE),"Not Specified")</f>
        <v>Destination UOUWK</v>
      </c>
      <c r="P633" t="str">
        <f>IFERROR(VLOOKUP(A633,'Sales Order'!A:N,14,FALSE),"Not Specified")</f>
        <v>Venezuela</v>
      </c>
      <c r="Q633" t="str">
        <f>VLOOKUP(VLOOKUP(B633,Product!A:C,3,FALSE),Supplier!A:B,2,FALSE)</f>
        <v>Supplier EQPNC</v>
      </c>
      <c r="R633" t="str">
        <f>VLOOKUP(VLOOKUP(B633,Product!A:C,3,FALSE),Supplier!A:I,9,FALSE)</f>
        <v>Spain</v>
      </c>
      <c r="S633" t="str">
        <f>IFERROR(IF(VLOOKUP(A633,'Sales Order'!A:H,8,FALSE)&gt;100,"High Freight","Low Freight"),"Not Specified")</f>
        <v>Low Freight</v>
      </c>
      <c r="T633">
        <f t="shared" si="19"/>
        <v>84</v>
      </c>
    </row>
    <row r="634" spans="1:20">
      <c r="A634" s="9">
        <v>10486</v>
      </c>
      <c r="B634" s="6">
        <v>51</v>
      </c>
      <c r="C634" s="6">
        <v>42.4</v>
      </c>
      <c r="D634" s="6">
        <v>25</v>
      </c>
      <c r="E634" s="18">
        <v>0</v>
      </c>
      <c r="F634" s="6" t="str">
        <f>IFERROR(VLOOKUP(VLOOKUP(A634,'Sales Order'!A:B,2,FALSE),Customer!A:C,3,FALSE),"Not Specified")</f>
        <v>Langohr, Kris</v>
      </c>
      <c r="G634" s="6" t="str">
        <f t="shared" si="18"/>
        <v>Langohr Kris</v>
      </c>
      <c r="H634" s="22" t="str">
        <f>IFERROR(VLOOKUP(VLOOKUP(A634,'Sales Order'!A:C,3,FALSE),Employee!A:E,5,FALSE)&amp;" "&amp;VLOOKUP(VLOOKUP(A634,'Sales Order'!A:C,3,FALSE),Employee!A:C,3,FALSE)&amp;" "&amp;VLOOKUP(VLOOKUP(A634,'Sales Order'!A:C,3,FALSE),Employee!A:B,2,FALSE),"Not Specified")</f>
        <v>Ms. Sara Davis</v>
      </c>
      <c r="I634" t="str">
        <f>IFERROR(VLOOKUP(VLOOKUP(A634,'Sales Order'!A:C,3,FALSE),Employee!A:J,10,FALSE),"Not Specified")</f>
        <v>WA</v>
      </c>
      <c r="J634" t="str">
        <f>VLOOKUP(B634,Product!A:B,2,FALSE)</f>
        <v>Product APITJ</v>
      </c>
      <c r="K634" t="str">
        <f>VLOOKUP(VLOOKUP(B634,Product!A:D,4,FALSE),Category!A:B,2,FALSE)</f>
        <v>Produce</v>
      </c>
      <c r="L634" s="24">
        <f>IFERROR(VLOOKUP(A634,'Sales Order'!A:D,4,FALSE),"")</f>
        <v>39167</v>
      </c>
      <c r="M634" s="24">
        <f>IFERROR(VLOOKUP(A634,'Sales Order'!A:F,6,FALSE),"")</f>
        <v>39174</v>
      </c>
      <c r="N634" t="str">
        <f>IFERROR(VLOOKUP(VLOOKUP(A634,'Sales Order'!A:G,7,FALSE),Shipper!A:B,2,FALSE),"Not Specified")</f>
        <v>Shipper ETYNR</v>
      </c>
      <c r="O634" t="str">
        <f>IFERROR(VLOOKUP(A634,'Sales Order'!A:I,9,FALSE),"Not Specified")</f>
        <v>Destination UOUWK</v>
      </c>
      <c r="P634" t="str">
        <f>IFERROR(VLOOKUP(A634,'Sales Order'!A:N,14,FALSE),"Not Specified")</f>
        <v>Venezuela</v>
      </c>
      <c r="Q634" t="str">
        <f>VLOOKUP(VLOOKUP(B634,Product!A:C,3,FALSE),Supplier!A:B,2,FALSE)</f>
        <v>Supplier JNNES</v>
      </c>
      <c r="R634" t="str">
        <f>VLOOKUP(VLOOKUP(B634,Product!A:C,3,FALSE),Supplier!A:I,9,FALSE)</f>
        <v>Australia</v>
      </c>
      <c r="S634" t="str">
        <f>IFERROR(IF(VLOOKUP(A634,'Sales Order'!A:H,8,FALSE)&gt;100,"High Freight","Low Freight"),"Not Specified")</f>
        <v>Low Freight</v>
      </c>
      <c r="T634">
        <f t="shared" si="19"/>
        <v>1060</v>
      </c>
    </row>
    <row r="635" spans="1:20">
      <c r="A635" s="9">
        <v>10486</v>
      </c>
      <c r="B635" s="6">
        <v>74</v>
      </c>
      <c r="C635" s="6">
        <v>8</v>
      </c>
      <c r="D635" s="6">
        <v>16</v>
      </c>
      <c r="E635" s="18">
        <v>0</v>
      </c>
      <c r="F635" s="6" t="str">
        <f>IFERROR(VLOOKUP(VLOOKUP(A635,'Sales Order'!A:B,2,FALSE),Customer!A:C,3,FALSE),"Not Specified")</f>
        <v>Langohr, Kris</v>
      </c>
      <c r="G635" s="6" t="str">
        <f t="shared" si="18"/>
        <v>Langohr Kris</v>
      </c>
      <c r="H635" s="22" t="str">
        <f>IFERROR(VLOOKUP(VLOOKUP(A635,'Sales Order'!A:C,3,FALSE),Employee!A:E,5,FALSE)&amp;" "&amp;VLOOKUP(VLOOKUP(A635,'Sales Order'!A:C,3,FALSE),Employee!A:C,3,FALSE)&amp;" "&amp;VLOOKUP(VLOOKUP(A635,'Sales Order'!A:C,3,FALSE),Employee!A:B,2,FALSE),"Not Specified")</f>
        <v>Ms. Sara Davis</v>
      </c>
      <c r="I635" t="str">
        <f>IFERROR(VLOOKUP(VLOOKUP(A635,'Sales Order'!A:C,3,FALSE),Employee!A:J,10,FALSE),"Not Specified")</f>
        <v>WA</v>
      </c>
      <c r="J635" t="str">
        <f>VLOOKUP(B635,Product!A:B,2,FALSE)</f>
        <v>Product BKAZJ</v>
      </c>
      <c r="K635" t="str">
        <f>VLOOKUP(VLOOKUP(B635,Product!A:D,4,FALSE),Category!A:B,2,FALSE)</f>
        <v>Produce</v>
      </c>
      <c r="L635" s="24">
        <f>IFERROR(VLOOKUP(A635,'Sales Order'!A:D,4,FALSE),"")</f>
        <v>39167</v>
      </c>
      <c r="M635" s="24">
        <f>IFERROR(VLOOKUP(A635,'Sales Order'!A:F,6,FALSE),"")</f>
        <v>39174</v>
      </c>
      <c r="N635" t="str">
        <f>IFERROR(VLOOKUP(VLOOKUP(A635,'Sales Order'!A:G,7,FALSE),Shipper!A:B,2,FALSE),"Not Specified")</f>
        <v>Shipper ETYNR</v>
      </c>
      <c r="O635" t="str">
        <f>IFERROR(VLOOKUP(A635,'Sales Order'!A:I,9,FALSE),"Not Specified")</f>
        <v>Destination UOUWK</v>
      </c>
      <c r="P635" t="str">
        <f>IFERROR(VLOOKUP(A635,'Sales Order'!A:N,14,FALSE),"Not Specified")</f>
        <v>Venezuela</v>
      </c>
      <c r="Q635" t="str">
        <f>VLOOKUP(VLOOKUP(B635,Product!A:C,3,FALSE),Supplier!A:B,2,FALSE)</f>
        <v>Supplier QOVFD</v>
      </c>
      <c r="R635" t="str">
        <f>VLOOKUP(VLOOKUP(B635,Product!A:C,3,FALSE),Supplier!A:I,9,FALSE)</f>
        <v>Japan</v>
      </c>
      <c r="S635" t="str">
        <f>IFERROR(IF(VLOOKUP(A635,'Sales Order'!A:H,8,FALSE)&gt;100,"High Freight","Low Freight"),"Not Specified")</f>
        <v>Low Freight</v>
      </c>
      <c r="T635">
        <f t="shared" si="19"/>
        <v>128</v>
      </c>
    </row>
    <row r="636" spans="1:20">
      <c r="A636" s="9">
        <v>10487</v>
      </c>
      <c r="B636" s="6">
        <v>19</v>
      </c>
      <c r="C636" s="6">
        <v>7.3</v>
      </c>
      <c r="D636" s="6">
        <v>5</v>
      </c>
      <c r="E636" s="18">
        <v>0</v>
      </c>
      <c r="F636" s="6" t="str">
        <f>IFERROR(VLOOKUP(VLOOKUP(A636,'Sales Order'!A:B,2,FALSE),Customer!A:C,3,FALSE),"Not Specified")</f>
        <v>Misiec, Anna</v>
      </c>
      <c r="G636" s="6" t="str">
        <f t="shared" si="18"/>
        <v>Misiec Anna</v>
      </c>
      <c r="H636" s="22" t="str">
        <f>IFERROR(VLOOKUP(VLOOKUP(A636,'Sales Order'!A:C,3,FALSE),Employee!A:E,5,FALSE)&amp;" "&amp;VLOOKUP(VLOOKUP(A636,'Sales Order'!A:C,3,FALSE),Employee!A:C,3,FALSE)&amp;" "&amp;VLOOKUP(VLOOKUP(A636,'Sales Order'!A:C,3,FALSE),Employee!A:B,2,FALSE),"Not Specified")</f>
        <v>Dr. Don Funk</v>
      </c>
      <c r="I636" t="str">
        <f>IFERROR(VLOOKUP(VLOOKUP(A636,'Sales Order'!A:C,3,FALSE),Employee!A:J,10,FALSE),"Not Specified")</f>
        <v>WA</v>
      </c>
      <c r="J636" t="str">
        <f>VLOOKUP(B636,Product!A:B,2,FALSE)</f>
        <v>Product XKXDO</v>
      </c>
      <c r="K636" t="str">
        <f>VLOOKUP(VLOOKUP(B636,Product!A:D,4,FALSE),Category!A:B,2,FALSE)</f>
        <v>Confections</v>
      </c>
      <c r="L636" s="24">
        <f>IFERROR(VLOOKUP(A636,'Sales Order'!A:D,4,FALSE),"")</f>
        <v>39167</v>
      </c>
      <c r="M636" s="24">
        <f>IFERROR(VLOOKUP(A636,'Sales Order'!A:F,6,FALSE),"")</f>
        <v>39169</v>
      </c>
      <c r="N636" t="str">
        <f>IFERROR(VLOOKUP(VLOOKUP(A636,'Sales Order'!A:G,7,FALSE),Shipper!A:B,2,FALSE),"Not Specified")</f>
        <v>Shipper ETYNR</v>
      </c>
      <c r="O636" t="str">
        <f>IFERROR(VLOOKUP(A636,'Sales Order'!A:I,9,FALSE),"Not Specified")</f>
        <v>Ship to 62-B</v>
      </c>
      <c r="P636" t="str">
        <f>IFERROR(VLOOKUP(A636,'Sales Order'!A:N,14,FALSE),"Not Specified")</f>
        <v>Brazil</v>
      </c>
      <c r="Q636" t="str">
        <f>VLOOKUP(VLOOKUP(B636,Product!A:C,3,FALSE),Supplier!A:B,2,FALSE)</f>
        <v>Supplier BWGYE</v>
      </c>
      <c r="R636" t="str">
        <f>VLOOKUP(VLOOKUP(B636,Product!A:C,3,FALSE),Supplier!A:I,9,FALSE)</f>
        <v>UK</v>
      </c>
      <c r="S636" t="str">
        <f>IFERROR(IF(VLOOKUP(A636,'Sales Order'!A:H,8,FALSE)&gt;100,"High Freight","Low Freight"),"Not Specified")</f>
        <v>Low Freight</v>
      </c>
      <c r="T636">
        <f t="shared" si="19"/>
        <v>36.5</v>
      </c>
    </row>
    <row r="637" spans="1:20">
      <c r="A637" s="9">
        <v>10487</v>
      </c>
      <c r="B637" s="6">
        <v>26</v>
      </c>
      <c r="C637" s="6">
        <v>24.9</v>
      </c>
      <c r="D637" s="6">
        <v>30</v>
      </c>
      <c r="E637" s="18">
        <v>0</v>
      </c>
      <c r="F637" s="6" t="str">
        <f>IFERROR(VLOOKUP(VLOOKUP(A637,'Sales Order'!A:B,2,FALSE),Customer!A:C,3,FALSE),"Not Specified")</f>
        <v>Misiec, Anna</v>
      </c>
      <c r="G637" s="6" t="str">
        <f t="shared" si="18"/>
        <v>Misiec Anna</v>
      </c>
      <c r="H637" s="22" t="str">
        <f>IFERROR(VLOOKUP(VLOOKUP(A637,'Sales Order'!A:C,3,FALSE),Employee!A:E,5,FALSE)&amp;" "&amp;VLOOKUP(VLOOKUP(A637,'Sales Order'!A:C,3,FALSE),Employee!A:C,3,FALSE)&amp;" "&amp;VLOOKUP(VLOOKUP(A637,'Sales Order'!A:C,3,FALSE),Employee!A:B,2,FALSE),"Not Specified")</f>
        <v>Dr. Don Funk</v>
      </c>
      <c r="I637" t="str">
        <f>IFERROR(VLOOKUP(VLOOKUP(A637,'Sales Order'!A:C,3,FALSE),Employee!A:J,10,FALSE),"Not Specified")</f>
        <v>WA</v>
      </c>
      <c r="J637" t="str">
        <f>VLOOKUP(B637,Product!A:B,2,FALSE)</f>
        <v>Product HLGZA</v>
      </c>
      <c r="K637" t="str">
        <f>VLOOKUP(VLOOKUP(B637,Product!A:D,4,FALSE),Category!A:B,2,FALSE)</f>
        <v>Confections</v>
      </c>
      <c r="L637" s="24">
        <f>IFERROR(VLOOKUP(A637,'Sales Order'!A:D,4,FALSE),"")</f>
        <v>39167</v>
      </c>
      <c r="M637" s="24">
        <f>IFERROR(VLOOKUP(A637,'Sales Order'!A:F,6,FALSE),"")</f>
        <v>39169</v>
      </c>
      <c r="N637" t="str">
        <f>IFERROR(VLOOKUP(VLOOKUP(A637,'Sales Order'!A:G,7,FALSE),Shipper!A:B,2,FALSE),"Not Specified")</f>
        <v>Shipper ETYNR</v>
      </c>
      <c r="O637" t="str">
        <f>IFERROR(VLOOKUP(A637,'Sales Order'!A:I,9,FALSE),"Not Specified")</f>
        <v>Ship to 62-B</v>
      </c>
      <c r="P637" t="str">
        <f>IFERROR(VLOOKUP(A637,'Sales Order'!A:N,14,FALSE),"Not Specified")</f>
        <v>Brazil</v>
      </c>
      <c r="Q637" t="str">
        <f>VLOOKUP(VLOOKUP(B637,Product!A:C,3,FALSE),Supplier!A:B,2,FALSE)</f>
        <v>Supplier ZPYVS</v>
      </c>
      <c r="R637" t="str">
        <f>VLOOKUP(VLOOKUP(B637,Product!A:C,3,FALSE),Supplier!A:I,9,FALSE)</f>
        <v>Germany</v>
      </c>
      <c r="S637" t="str">
        <f>IFERROR(IF(VLOOKUP(A637,'Sales Order'!A:H,8,FALSE)&gt;100,"High Freight","Low Freight"),"Not Specified")</f>
        <v>Low Freight</v>
      </c>
      <c r="T637">
        <f t="shared" si="19"/>
        <v>747</v>
      </c>
    </row>
    <row r="638" spans="1:20">
      <c r="A638" s="9">
        <v>10487</v>
      </c>
      <c r="B638" s="6">
        <v>54</v>
      </c>
      <c r="C638" s="6">
        <v>5.9</v>
      </c>
      <c r="D638" s="6">
        <v>24</v>
      </c>
      <c r="E638" s="18">
        <v>0.25</v>
      </c>
      <c r="F638" s="6" t="str">
        <f>IFERROR(VLOOKUP(VLOOKUP(A638,'Sales Order'!A:B,2,FALSE),Customer!A:C,3,FALSE),"Not Specified")</f>
        <v>Misiec, Anna</v>
      </c>
      <c r="G638" s="6" t="str">
        <f t="shared" si="18"/>
        <v>Misiec Anna</v>
      </c>
      <c r="H638" s="22" t="str">
        <f>IFERROR(VLOOKUP(VLOOKUP(A638,'Sales Order'!A:C,3,FALSE),Employee!A:E,5,FALSE)&amp;" "&amp;VLOOKUP(VLOOKUP(A638,'Sales Order'!A:C,3,FALSE),Employee!A:C,3,FALSE)&amp;" "&amp;VLOOKUP(VLOOKUP(A638,'Sales Order'!A:C,3,FALSE),Employee!A:B,2,FALSE),"Not Specified")</f>
        <v>Dr. Don Funk</v>
      </c>
      <c r="I638" t="str">
        <f>IFERROR(VLOOKUP(VLOOKUP(A638,'Sales Order'!A:C,3,FALSE),Employee!A:J,10,FALSE),"Not Specified")</f>
        <v>WA</v>
      </c>
      <c r="J638" t="str">
        <f>VLOOKUP(B638,Product!A:B,2,FALSE)</f>
        <v>Product QAQRL</v>
      </c>
      <c r="K638" t="str">
        <f>VLOOKUP(VLOOKUP(B638,Product!A:D,4,FALSE),Category!A:B,2,FALSE)</f>
        <v>Meat/Poultry</v>
      </c>
      <c r="L638" s="24">
        <f>IFERROR(VLOOKUP(A638,'Sales Order'!A:D,4,FALSE),"")</f>
        <v>39167</v>
      </c>
      <c r="M638" s="24">
        <f>IFERROR(VLOOKUP(A638,'Sales Order'!A:F,6,FALSE),"")</f>
        <v>39169</v>
      </c>
      <c r="N638" t="str">
        <f>IFERROR(VLOOKUP(VLOOKUP(A638,'Sales Order'!A:G,7,FALSE),Shipper!A:B,2,FALSE),"Not Specified")</f>
        <v>Shipper ETYNR</v>
      </c>
      <c r="O638" t="str">
        <f>IFERROR(VLOOKUP(A638,'Sales Order'!A:I,9,FALSE),"Not Specified")</f>
        <v>Ship to 62-B</v>
      </c>
      <c r="P638" t="str">
        <f>IFERROR(VLOOKUP(A638,'Sales Order'!A:N,14,FALSE),"Not Specified")</f>
        <v>Brazil</v>
      </c>
      <c r="Q638" t="str">
        <f>VLOOKUP(VLOOKUP(B638,Product!A:C,3,FALSE),Supplier!A:B,2,FALSE)</f>
        <v>Supplier ERVYZ</v>
      </c>
      <c r="R638" t="str">
        <f>VLOOKUP(VLOOKUP(B638,Product!A:C,3,FALSE),Supplier!A:I,9,FALSE)</f>
        <v>Canada</v>
      </c>
      <c r="S638" t="str">
        <f>IFERROR(IF(VLOOKUP(A638,'Sales Order'!A:H,8,FALSE)&gt;100,"High Freight","Low Freight"),"Not Specified")</f>
        <v>Low Freight</v>
      </c>
      <c r="T638">
        <f t="shared" si="19"/>
        <v>106.20000000000002</v>
      </c>
    </row>
    <row r="639" spans="1:20">
      <c r="A639" s="9">
        <v>10488</v>
      </c>
      <c r="B639" s="6">
        <v>59</v>
      </c>
      <c r="C639" s="6">
        <v>44</v>
      </c>
      <c r="D639" s="6">
        <v>30</v>
      </c>
      <c r="E639" s="18">
        <v>0</v>
      </c>
      <c r="F639" s="6" t="str">
        <f>IFERROR(VLOOKUP(VLOOKUP(A639,'Sales Order'!A:B,2,FALSE),Customer!A:C,3,FALSE),"Not Specified")</f>
        <v>Carlson, Jason</v>
      </c>
      <c r="G639" s="6" t="str">
        <f t="shared" si="18"/>
        <v>Carlson Jason</v>
      </c>
      <c r="H639" s="22" t="str">
        <f>IFERROR(VLOOKUP(VLOOKUP(A639,'Sales Order'!A:C,3,FALSE),Employee!A:E,5,FALSE)&amp;" "&amp;VLOOKUP(VLOOKUP(A639,'Sales Order'!A:C,3,FALSE),Employee!A:C,3,FALSE)&amp;" "&amp;VLOOKUP(VLOOKUP(A639,'Sales Order'!A:C,3,FALSE),Employee!A:B,2,FALSE),"Not Specified")</f>
        <v>Ms. Maria Cameron</v>
      </c>
      <c r="I639" t="str">
        <f>IFERROR(VLOOKUP(VLOOKUP(A639,'Sales Order'!A:C,3,FALSE),Employee!A:J,10,FALSE),"Not Specified")</f>
        <v>WA</v>
      </c>
      <c r="J639" t="str">
        <f>VLOOKUP(B639,Product!A:B,2,FALSE)</f>
        <v>Product UKXRI</v>
      </c>
      <c r="K639" t="str">
        <f>VLOOKUP(VLOOKUP(B639,Product!A:D,4,FALSE),Category!A:B,2,FALSE)</f>
        <v>Dairy Product</v>
      </c>
      <c r="L639" s="24">
        <f>IFERROR(VLOOKUP(A639,'Sales Order'!A:D,4,FALSE),"")</f>
        <v>39168</v>
      </c>
      <c r="M639" s="24">
        <f>IFERROR(VLOOKUP(A639,'Sales Order'!A:F,6,FALSE),"")</f>
        <v>39174</v>
      </c>
      <c r="N639" t="str">
        <f>IFERROR(VLOOKUP(VLOOKUP(A639,'Sales Order'!A:G,7,FALSE),Shipper!A:B,2,FALSE),"Not Specified")</f>
        <v>Shipper ETYNR</v>
      </c>
      <c r="O639" t="str">
        <f>IFERROR(VLOOKUP(A639,'Sales Order'!A:I,9,FALSE),"Not Specified")</f>
        <v>Destination VAPXU</v>
      </c>
      <c r="P639" t="str">
        <f>IFERROR(VLOOKUP(A639,'Sales Order'!A:N,14,FALSE),"Not Specified")</f>
        <v>Germany</v>
      </c>
      <c r="Q639" t="str">
        <f>VLOOKUP(VLOOKUP(B639,Product!A:C,3,FALSE),Supplier!A:B,2,FALSE)</f>
        <v>Supplier OAVQT</v>
      </c>
      <c r="R639" t="str">
        <f>VLOOKUP(VLOOKUP(B639,Product!A:C,3,FALSE),Supplier!A:I,9,FALSE)</f>
        <v>France</v>
      </c>
      <c r="S639" t="str">
        <f>IFERROR(IF(VLOOKUP(A639,'Sales Order'!A:H,8,FALSE)&gt;100,"High Freight","Low Freight"),"Not Specified")</f>
        <v>Low Freight</v>
      </c>
      <c r="T639">
        <f t="shared" si="19"/>
        <v>1320</v>
      </c>
    </row>
    <row r="640" spans="1:20">
      <c r="A640" s="9">
        <v>10488</v>
      </c>
      <c r="B640" s="6">
        <v>73</v>
      </c>
      <c r="C640" s="6">
        <v>12</v>
      </c>
      <c r="D640" s="6">
        <v>20</v>
      </c>
      <c r="E640" s="18">
        <v>0.2</v>
      </c>
      <c r="F640" s="6" t="str">
        <f>IFERROR(VLOOKUP(VLOOKUP(A640,'Sales Order'!A:B,2,FALSE),Customer!A:C,3,FALSE),"Not Specified")</f>
        <v>Carlson, Jason</v>
      </c>
      <c r="G640" s="6" t="str">
        <f t="shared" si="18"/>
        <v>Carlson Jason</v>
      </c>
      <c r="H640" s="22" t="str">
        <f>IFERROR(VLOOKUP(VLOOKUP(A640,'Sales Order'!A:C,3,FALSE),Employee!A:E,5,FALSE)&amp;" "&amp;VLOOKUP(VLOOKUP(A640,'Sales Order'!A:C,3,FALSE),Employee!A:C,3,FALSE)&amp;" "&amp;VLOOKUP(VLOOKUP(A640,'Sales Order'!A:C,3,FALSE),Employee!A:B,2,FALSE),"Not Specified")</f>
        <v>Ms. Maria Cameron</v>
      </c>
      <c r="I640" t="str">
        <f>IFERROR(VLOOKUP(VLOOKUP(A640,'Sales Order'!A:C,3,FALSE),Employee!A:J,10,FALSE),"Not Specified")</f>
        <v>WA</v>
      </c>
      <c r="J640" t="str">
        <f>VLOOKUP(B640,Product!A:B,2,FALSE)</f>
        <v>Product WEUJZ</v>
      </c>
      <c r="K640" t="str">
        <f>VLOOKUP(VLOOKUP(B640,Product!A:D,4,FALSE),Category!A:B,2,FALSE)</f>
        <v>Seafood</v>
      </c>
      <c r="L640" s="24">
        <f>IFERROR(VLOOKUP(A640,'Sales Order'!A:D,4,FALSE),"")</f>
        <v>39168</v>
      </c>
      <c r="M640" s="24">
        <f>IFERROR(VLOOKUP(A640,'Sales Order'!A:F,6,FALSE),"")</f>
        <v>39174</v>
      </c>
      <c r="N640" t="str">
        <f>IFERROR(VLOOKUP(VLOOKUP(A640,'Sales Order'!A:G,7,FALSE),Shipper!A:B,2,FALSE),"Not Specified")</f>
        <v>Shipper ETYNR</v>
      </c>
      <c r="O640" t="str">
        <f>IFERROR(VLOOKUP(A640,'Sales Order'!A:I,9,FALSE),"Not Specified")</f>
        <v>Destination VAPXU</v>
      </c>
      <c r="P640" t="str">
        <f>IFERROR(VLOOKUP(A640,'Sales Order'!A:N,14,FALSE),"Not Specified")</f>
        <v>Germany</v>
      </c>
      <c r="Q640" t="str">
        <f>VLOOKUP(VLOOKUP(B640,Product!A:C,3,FALSE),Supplier!A:B,2,FALSE)</f>
        <v>Supplier QZGUF</v>
      </c>
      <c r="R640" t="str">
        <f>VLOOKUP(VLOOKUP(B640,Product!A:C,3,FALSE),Supplier!A:I,9,FALSE)</f>
        <v>Sweden</v>
      </c>
      <c r="S640" t="str">
        <f>IFERROR(IF(VLOOKUP(A640,'Sales Order'!A:H,8,FALSE)&gt;100,"High Freight","Low Freight"),"Not Specified")</f>
        <v>Low Freight</v>
      </c>
      <c r="T640">
        <f t="shared" si="19"/>
        <v>192</v>
      </c>
    </row>
    <row r="641" spans="1:20">
      <c r="A641" s="9">
        <v>10489</v>
      </c>
      <c r="B641" s="6">
        <v>11</v>
      </c>
      <c r="C641" s="6">
        <v>16.8</v>
      </c>
      <c r="D641" s="6">
        <v>15</v>
      </c>
      <c r="E641" s="18">
        <v>0.25</v>
      </c>
      <c r="F641" s="6" t="str">
        <f>IFERROR(VLOOKUP(VLOOKUP(A641,'Sales Order'!A:B,2,FALSE),Customer!A:C,3,FALSE),"Not Specified")</f>
        <v>Meston, Tosh</v>
      </c>
      <c r="G641" s="6" t="str">
        <f t="shared" si="18"/>
        <v>Meston Tosh</v>
      </c>
      <c r="H641" s="22" t="str">
        <f>IFERROR(VLOOKUP(VLOOKUP(A641,'Sales Order'!A:C,3,FALSE),Employee!A:E,5,FALSE)&amp;" "&amp;VLOOKUP(VLOOKUP(A641,'Sales Order'!A:C,3,FALSE),Employee!A:C,3,FALSE)&amp;" "&amp;VLOOKUP(VLOOKUP(A641,'Sales Order'!A:C,3,FALSE),Employee!A:B,2,FALSE),"Not Specified")</f>
        <v>Mr. Paul Suurs</v>
      </c>
      <c r="I641">
        <f>IFERROR(VLOOKUP(VLOOKUP(A641,'Sales Order'!A:C,3,FALSE),Employee!A:J,10,FALSE),"Not Specified")</f>
        <v>0</v>
      </c>
      <c r="J641" t="str">
        <f>VLOOKUP(B641,Product!A:B,2,FALSE)</f>
        <v>Product QMVUN</v>
      </c>
      <c r="K641" t="str">
        <f>VLOOKUP(VLOOKUP(B641,Product!A:D,4,FALSE),Category!A:B,2,FALSE)</f>
        <v>Dairy Product</v>
      </c>
      <c r="L641" s="24">
        <f>IFERROR(VLOOKUP(A641,'Sales Order'!A:D,4,FALSE),"")</f>
        <v>39169</v>
      </c>
      <c r="M641" s="24">
        <f>IFERROR(VLOOKUP(A641,'Sales Order'!A:F,6,FALSE),"")</f>
        <v>39181</v>
      </c>
      <c r="N641" t="str">
        <f>IFERROR(VLOOKUP(VLOOKUP(A641,'Sales Order'!A:G,7,FALSE),Shipper!A:B,2,FALSE),"Not Specified")</f>
        <v>Shipper ETYNR</v>
      </c>
      <c r="O641" t="str">
        <f>IFERROR(VLOOKUP(A641,'Sales Order'!A:I,9,FALSE),"Not Specified")</f>
        <v>Ship to 59-C</v>
      </c>
      <c r="P641" t="str">
        <f>IFERROR(VLOOKUP(A641,'Sales Order'!A:N,14,FALSE),"Not Specified")</f>
        <v>Austria</v>
      </c>
      <c r="Q641" t="str">
        <f>VLOOKUP(VLOOKUP(B641,Product!A:C,3,FALSE),Supplier!A:B,2,FALSE)</f>
        <v>Supplier EQPNC</v>
      </c>
      <c r="R641" t="str">
        <f>VLOOKUP(VLOOKUP(B641,Product!A:C,3,FALSE),Supplier!A:I,9,FALSE)</f>
        <v>Spain</v>
      </c>
      <c r="S641" t="str">
        <f>IFERROR(IF(VLOOKUP(A641,'Sales Order'!A:H,8,FALSE)&gt;100,"High Freight","Low Freight"),"Not Specified")</f>
        <v>Low Freight</v>
      </c>
      <c r="T641">
        <f t="shared" si="19"/>
        <v>189</v>
      </c>
    </row>
    <row r="642" spans="1:20">
      <c r="A642" s="9">
        <v>10489</v>
      </c>
      <c r="B642" s="6">
        <v>16</v>
      </c>
      <c r="C642" s="6">
        <v>13.9</v>
      </c>
      <c r="D642" s="6">
        <v>18</v>
      </c>
      <c r="E642" s="18">
        <v>0</v>
      </c>
      <c r="F642" s="6" t="str">
        <f>IFERROR(VLOOKUP(VLOOKUP(A642,'Sales Order'!A:B,2,FALSE),Customer!A:C,3,FALSE),"Not Specified")</f>
        <v>Meston, Tosh</v>
      </c>
      <c r="G642" s="6" t="str">
        <f t="shared" si="18"/>
        <v>Meston Tosh</v>
      </c>
      <c r="H642" s="22" t="str">
        <f>IFERROR(VLOOKUP(VLOOKUP(A642,'Sales Order'!A:C,3,FALSE),Employee!A:E,5,FALSE)&amp;" "&amp;VLOOKUP(VLOOKUP(A642,'Sales Order'!A:C,3,FALSE),Employee!A:C,3,FALSE)&amp;" "&amp;VLOOKUP(VLOOKUP(A642,'Sales Order'!A:C,3,FALSE),Employee!A:B,2,FALSE),"Not Specified")</f>
        <v>Mr. Paul Suurs</v>
      </c>
      <c r="I642">
        <f>IFERROR(VLOOKUP(VLOOKUP(A642,'Sales Order'!A:C,3,FALSE),Employee!A:J,10,FALSE),"Not Specified")</f>
        <v>0</v>
      </c>
      <c r="J642" t="str">
        <f>VLOOKUP(B642,Product!A:B,2,FALSE)</f>
        <v>Product PAFRH</v>
      </c>
      <c r="K642" t="str">
        <f>VLOOKUP(VLOOKUP(B642,Product!A:D,4,FALSE),Category!A:B,2,FALSE)</f>
        <v>Confections</v>
      </c>
      <c r="L642" s="24">
        <f>IFERROR(VLOOKUP(A642,'Sales Order'!A:D,4,FALSE),"")</f>
        <v>39169</v>
      </c>
      <c r="M642" s="24">
        <f>IFERROR(VLOOKUP(A642,'Sales Order'!A:F,6,FALSE),"")</f>
        <v>39181</v>
      </c>
      <c r="N642" t="str">
        <f>IFERROR(VLOOKUP(VLOOKUP(A642,'Sales Order'!A:G,7,FALSE),Shipper!A:B,2,FALSE),"Not Specified")</f>
        <v>Shipper ETYNR</v>
      </c>
      <c r="O642" t="str">
        <f>IFERROR(VLOOKUP(A642,'Sales Order'!A:I,9,FALSE),"Not Specified")</f>
        <v>Ship to 59-C</v>
      </c>
      <c r="P642" t="str">
        <f>IFERROR(VLOOKUP(A642,'Sales Order'!A:N,14,FALSE),"Not Specified")</f>
        <v>Austria</v>
      </c>
      <c r="Q642" t="str">
        <f>VLOOKUP(VLOOKUP(B642,Product!A:C,3,FALSE),Supplier!A:B,2,FALSE)</f>
        <v>Supplier GQRCV</v>
      </c>
      <c r="R642" t="str">
        <f>VLOOKUP(VLOOKUP(B642,Product!A:C,3,FALSE),Supplier!A:I,9,FALSE)</f>
        <v>Australia</v>
      </c>
      <c r="S642" t="str">
        <f>IFERROR(IF(VLOOKUP(A642,'Sales Order'!A:H,8,FALSE)&gt;100,"High Freight","Low Freight"),"Not Specified")</f>
        <v>Low Freight</v>
      </c>
      <c r="T642">
        <f t="shared" si="19"/>
        <v>250.20000000000002</v>
      </c>
    </row>
    <row r="643" spans="1:20">
      <c r="A643" s="9">
        <v>10490</v>
      </c>
      <c r="B643" s="6">
        <v>59</v>
      </c>
      <c r="C643" s="6">
        <v>44</v>
      </c>
      <c r="D643" s="6">
        <v>60</v>
      </c>
      <c r="E643" s="18">
        <v>0</v>
      </c>
      <c r="F643" s="6" t="str">
        <f>IFERROR(VLOOKUP(VLOOKUP(A643,'Sales Order'!A:B,2,FALSE),Customer!A:C,3,FALSE),"Not Specified")</f>
        <v>Langohr, Kris</v>
      </c>
      <c r="G643" s="6" t="str">
        <f t="shared" ref="G643:G706" si="20">SUBSTITUTE(F643,",","",1)</f>
        <v>Langohr Kris</v>
      </c>
      <c r="H643" s="22" t="str">
        <f>IFERROR(VLOOKUP(VLOOKUP(A643,'Sales Order'!A:C,3,FALSE),Employee!A:E,5,FALSE)&amp;" "&amp;VLOOKUP(VLOOKUP(A643,'Sales Order'!A:C,3,FALSE),Employee!A:C,3,FALSE)&amp;" "&amp;VLOOKUP(VLOOKUP(A643,'Sales Order'!A:C,3,FALSE),Employee!A:B,2,FALSE),"Not Specified")</f>
        <v>Mr. Russell King</v>
      </c>
      <c r="I643">
        <f>IFERROR(VLOOKUP(VLOOKUP(A643,'Sales Order'!A:C,3,FALSE),Employee!A:J,10,FALSE),"Not Specified")</f>
        <v>0</v>
      </c>
      <c r="J643" t="str">
        <f>VLOOKUP(B643,Product!A:B,2,FALSE)</f>
        <v>Product UKXRI</v>
      </c>
      <c r="K643" t="str">
        <f>VLOOKUP(VLOOKUP(B643,Product!A:D,4,FALSE),Category!A:B,2,FALSE)</f>
        <v>Dairy Product</v>
      </c>
      <c r="L643" s="24">
        <f>IFERROR(VLOOKUP(A643,'Sales Order'!A:D,4,FALSE),"")</f>
        <v>39172</v>
      </c>
      <c r="M643" s="24">
        <f>IFERROR(VLOOKUP(A643,'Sales Order'!A:F,6,FALSE),"")</f>
        <v>39175</v>
      </c>
      <c r="N643" t="str">
        <f>IFERROR(VLOOKUP(VLOOKUP(A643,'Sales Order'!A:G,7,FALSE),Shipper!A:B,2,FALSE),"Not Specified")</f>
        <v>Shipper ETYNR</v>
      </c>
      <c r="O643" t="str">
        <f>IFERROR(VLOOKUP(A643,'Sales Order'!A:I,9,FALSE),"Not Specified")</f>
        <v>Destination JYDLM</v>
      </c>
      <c r="P643" t="str">
        <f>IFERROR(VLOOKUP(A643,'Sales Order'!A:N,14,FALSE),"Not Specified")</f>
        <v>Venezuela</v>
      </c>
      <c r="Q643" t="str">
        <f>VLOOKUP(VLOOKUP(B643,Product!A:C,3,FALSE),Supplier!A:B,2,FALSE)</f>
        <v>Supplier OAVQT</v>
      </c>
      <c r="R643" t="str">
        <f>VLOOKUP(VLOOKUP(B643,Product!A:C,3,FALSE),Supplier!A:I,9,FALSE)</f>
        <v>France</v>
      </c>
      <c r="S643" t="str">
        <f>IFERROR(IF(VLOOKUP(A643,'Sales Order'!A:H,8,FALSE)&gt;100,"High Freight","Low Freight"),"Not Specified")</f>
        <v>High Freight</v>
      </c>
      <c r="T643">
        <f t="shared" ref="T643:T706" si="21">C643*D643*(1-E643)</f>
        <v>2640</v>
      </c>
    </row>
    <row r="644" spans="1:20">
      <c r="A644" s="9">
        <v>10490</v>
      </c>
      <c r="B644" s="6">
        <v>68</v>
      </c>
      <c r="C644" s="6">
        <v>10</v>
      </c>
      <c r="D644" s="6">
        <v>30</v>
      </c>
      <c r="E644" s="18">
        <v>0</v>
      </c>
      <c r="F644" s="6" t="str">
        <f>IFERROR(VLOOKUP(VLOOKUP(A644,'Sales Order'!A:B,2,FALSE),Customer!A:C,3,FALSE),"Not Specified")</f>
        <v>Langohr, Kris</v>
      </c>
      <c r="G644" s="6" t="str">
        <f t="shared" si="20"/>
        <v>Langohr Kris</v>
      </c>
      <c r="H644" s="22" t="str">
        <f>IFERROR(VLOOKUP(VLOOKUP(A644,'Sales Order'!A:C,3,FALSE),Employee!A:E,5,FALSE)&amp;" "&amp;VLOOKUP(VLOOKUP(A644,'Sales Order'!A:C,3,FALSE),Employee!A:C,3,FALSE)&amp;" "&amp;VLOOKUP(VLOOKUP(A644,'Sales Order'!A:C,3,FALSE),Employee!A:B,2,FALSE),"Not Specified")</f>
        <v>Mr. Russell King</v>
      </c>
      <c r="I644">
        <f>IFERROR(VLOOKUP(VLOOKUP(A644,'Sales Order'!A:C,3,FALSE),Employee!A:J,10,FALSE),"Not Specified")</f>
        <v>0</v>
      </c>
      <c r="J644" t="str">
        <f>VLOOKUP(B644,Product!A:B,2,FALSE)</f>
        <v>Product TBTBL</v>
      </c>
      <c r="K644" t="str">
        <f>VLOOKUP(VLOOKUP(B644,Product!A:D,4,FALSE),Category!A:B,2,FALSE)</f>
        <v>Confections</v>
      </c>
      <c r="L644" s="24">
        <f>IFERROR(VLOOKUP(A644,'Sales Order'!A:D,4,FALSE),"")</f>
        <v>39172</v>
      </c>
      <c r="M644" s="24">
        <f>IFERROR(VLOOKUP(A644,'Sales Order'!A:F,6,FALSE),"")</f>
        <v>39175</v>
      </c>
      <c r="N644" t="str">
        <f>IFERROR(VLOOKUP(VLOOKUP(A644,'Sales Order'!A:G,7,FALSE),Shipper!A:B,2,FALSE),"Not Specified")</f>
        <v>Shipper ETYNR</v>
      </c>
      <c r="O644" t="str">
        <f>IFERROR(VLOOKUP(A644,'Sales Order'!A:I,9,FALSE),"Not Specified")</f>
        <v>Destination JYDLM</v>
      </c>
      <c r="P644" t="str">
        <f>IFERROR(VLOOKUP(A644,'Sales Order'!A:N,14,FALSE),"Not Specified")</f>
        <v>Venezuela</v>
      </c>
      <c r="Q644" t="str">
        <f>VLOOKUP(VLOOKUP(B644,Product!A:C,3,FALSE),Supplier!A:B,2,FALSE)</f>
        <v>Supplier BWGYE</v>
      </c>
      <c r="R644" t="str">
        <f>VLOOKUP(VLOOKUP(B644,Product!A:C,3,FALSE),Supplier!A:I,9,FALSE)</f>
        <v>UK</v>
      </c>
      <c r="S644" t="str">
        <f>IFERROR(IF(VLOOKUP(A644,'Sales Order'!A:H,8,FALSE)&gt;100,"High Freight","Low Freight"),"Not Specified")</f>
        <v>High Freight</v>
      </c>
      <c r="T644">
        <f t="shared" si="21"/>
        <v>300</v>
      </c>
    </row>
    <row r="645" spans="1:20">
      <c r="A645" s="9">
        <v>10490</v>
      </c>
      <c r="B645" s="6">
        <v>75</v>
      </c>
      <c r="C645" s="6">
        <v>6.2</v>
      </c>
      <c r="D645" s="6">
        <v>36</v>
      </c>
      <c r="E645" s="18">
        <v>0</v>
      </c>
      <c r="F645" s="6" t="str">
        <f>IFERROR(VLOOKUP(VLOOKUP(A645,'Sales Order'!A:B,2,FALSE),Customer!A:C,3,FALSE),"Not Specified")</f>
        <v>Langohr, Kris</v>
      </c>
      <c r="G645" s="6" t="str">
        <f t="shared" si="20"/>
        <v>Langohr Kris</v>
      </c>
      <c r="H645" s="22" t="str">
        <f>IFERROR(VLOOKUP(VLOOKUP(A645,'Sales Order'!A:C,3,FALSE),Employee!A:E,5,FALSE)&amp;" "&amp;VLOOKUP(VLOOKUP(A645,'Sales Order'!A:C,3,FALSE),Employee!A:C,3,FALSE)&amp;" "&amp;VLOOKUP(VLOOKUP(A645,'Sales Order'!A:C,3,FALSE),Employee!A:B,2,FALSE),"Not Specified")</f>
        <v>Mr. Russell King</v>
      </c>
      <c r="I645">
        <f>IFERROR(VLOOKUP(VLOOKUP(A645,'Sales Order'!A:C,3,FALSE),Employee!A:J,10,FALSE),"Not Specified")</f>
        <v>0</v>
      </c>
      <c r="J645" t="str">
        <f>VLOOKUP(B645,Product!A:B,2,FALSE)</f>
        <v>Product BWRLG</v>
      </c>
      <c r="K645" t="str">
        <f>VLOOKUP(VLOOKUP(B645,Product!A:D,4,FALSE),Category!A:B,2,FALSE)</f>
        <v>Beverages</v>
      </c>
      <c r="L645" s="24">
        <f>IFERROR(VLOOKUP(A645,'Sales Order'!A:D,4,FALSE),"")</f>
        <v>39172</v>
      </c>
      <c r="M645" s="24">
        <f>IFERROR(VLOOKUP(A645,'Sales Order'!A:F,6,FALSE),"")</f>
        <v>39175</v>
      </c>
      <c r="N645" t="str">
        <f>IFERROR(VLOOKUP(VLOOKUP(A645,'Sales Order'!A:G,7,FALSE),Shipper!A:B,2,FALSE),"Not Specified")</f>
        <v>Shipper ETYNR</v>
      </c>
      <c r="O645" t="str">
        <f>IFERROR(VLOOKUP(A645,'Sales Order'!A:I,9,FALSE),"Not Specified")</f>
        <v>Destination JYDLM</v>
      </c>
      <c r="P645" t="str">
        <f>IFERROR(VLOOKUP(A645,'Sales Order'!A:N,14,FALSE),"Not Specified")</f>
        <v>Venezuela</v>
      </c>
      <c r="Q645" t="str">
        <f>VLOOKUP(VLOOKUP(B645,Product!A:C,3,FALSE),Supplier!A:B,2,FALSE)</f>
        <v>Supplier SVIYA</v>
      </c>
      <c r="R645" t="str">
        <f>VLOOKUP(VLOOKUP(B645,Product!A:C,3,FALSE),Supplier!A:I,9,FALSE)</f>
        <v>Germany</v>
      </c>
      <c r="S645" t="str">
        <f>IFERROR(IF(VLOOKUP(A645,'Sales Order'!A:H,8,FALSE)&gt;100,"High Freight","Low Freight"),"Not Specified")</f>
        <v>High Freight</v>
      </c>
      <c r="T645">
        <f t="shared" si="21"/>
        <v>223.20000000000002</v>
      </c>
    </row>
    <row r="646" spans="1:20">
      <c r="A646" s="9">
        <v>10491</v>
      </c>
      <c r="B646" s="6">
        <v>44</v>
      </c>
      <c r="C646" s="6">
        <v>15.5</v>
      </c>
      <c r="D646" s="6">
        <v>15</v>
      </c>
      <c r="E646" s="18">
        <v>0.15</v>
      </c>
      <c r="F646" s="6" t="str">
        <f>IFERROR(VLOOKUP(VLOOKUP(A646,'Sales Order'!A:B,2,FALSE),Customer!A:C,3,FALSE),"Not Specified")</f>
        <v>Cavaglieri, Giorgio</v>
      </c>
      <c r="G646" s="6" t="str">
        <f t="shared" si="20"/>
        <v>Cavaglieri Giorgio</v>
      </c>
      <c r="H646" s="22" t="str">
        <f>IFERROR(VLOOKUP(VLOOKUP(A646,'Sales Order'!A:C,3,FALSE),Employee!A:E,5,FALSE)&amp;" "&amp;VLOOKUP(VLOOKUP(A646,'Sales Order'!A:C,3,FALSE),Employee!A:C,3,FALSE)&amp;" "&amp;VLOOKUP(VLOOKUP(A646,'Sales Order'!A:C,3,FALSE),Employee!A:B,2,FALSE),"Not Specified")</f>
        <v>Ms. Maria Cameron</v>
      </c>
      <c r="I646" t="str">
        <f>IFERROR(VLOOKUP(VLOOKUP(A646,'Sales Order'!A:C,3,FALSE),Employee!A:J,10,FALSE),"Not Specified")</f>
        <v>WA</v>
      </c>
      <c r="J646" t="str">
        <f>VLOOKUP(B646,Product!A:B,2,FALSE)</f>
        <v>Product VJIEO</v>
      </c>
      <c r="K646" t="str">
        <f>VLOOKUP(VLOOKUP(B646,Product!A:D,4,FALSE),Category!A:B,2,FALSE)</f>
        <v>Condiments</v>
      </c>
      <c r="L646" s="24">
        <f>IFERROR(VLOOKUP(A646,'Sales Order'!A:D,4,FALSE),"")</f>
        <v>39172</v>
      </c>
      <c r="M646" s="24">
        <f>IFERROR(VLOOKUP(A646,'Sales Order'!A:F,6,FALSE),"")</f>
        <v>39180</v>
      </c>
      <c r="N646" t="str">
        <f>IFERROR(VLOOKUP(VLOOKUP(A646,'Sales Order'!A:G,7,FALSE),Shipper!A:B,2,FALSE),"Not Specified")</f>
        <v>Shipper ZHISN</v>
      </c>
      <c r="O646" t="str">
        <f>IFERROR(VLOOKUP(A646,'Sales Order'!A:I,9,FALSE),"Not Specified")</f>
        <v>Destination OTSWR</v>
      </c>
      <c r="P646" t="str">
        <f>IFERROR(VLOOKUP(A646,'Sales Order'!A:N,14,FALSE),"Not Specified")</f>
        <v>Portugal</v>
      </c>
      <c r="Q646" t="str">
        <f>VLOOKUP(VLOOKUP(B646,Product!A:C,3,FALSE),Supplier!A:B,2,FALSE)</f>
        <v>Supplier CIYNM</v>
      </c>
      <c r="R646" t="str">
        <f>VLOOKUP(VLOOKUP(B646,Product!A:C,3,FALSE),Supplier!A:I,9,FALSE)</f>
        <v>Singapore</v>
      </c>
      <c r="S646" t="str">
        <f>IFERROR(IF(VLOOKUP(A646,'Sales Order'!A:H,8,FALSE)&gt;100,"High Freight","Low Freight"),"Not Specified")</f>
        <v>Low Freight</v>
      </c>
      <c r="T646">
        <f t="shared" si="21"/>
        <v>197.625</v>
      </c>
    </row>
    <row r="647" spans="1:20">
      <c r="A647" s="9">
        <v>10491</v>
      </c>
      <c r="B647" s="6">
        <v>77</v>
      </c>
      <c r="C647" s="6">
        <v>10.4</v>
      </c>
      <c r="D647" s="6">
        <v>7</v>
      </c>
      <c r="E647" s="18">
        <v>0.15</v>
      </c>
      <c r="F647" s="6" t="str">
        <f>IFERROR(VLOOKUP(VLOOKUP(A647,'Sales Order'!A:B,2,FALSE),Customer!A:C,3,FALSE),"Not Specified")</f>
        <v>Cavaglieri, Giorgio</v>
      </c>
      <c r="G647" s="6" t="str">
        <f t="shared" si="20"/>
        <v>Cavaglieri Giorgio</v>
      </c>
      <c r="H647" s="22" t="str">
        <f>IFERROR(VLOOKUP(VLOOKUP(A647,'Sales Order'!A:C,3,FALSE),Employee!A:E,5,FALSE)&amp;" "&amp;VLOOKUP(VLOOKUP(A647,'Sales Order'!A:C,3,FALSE),Employee!A:C,3,FALSE)&amp;" "&amp;VLOOKUP(VLOOKUP(A647,'Sales Order'!A:C,3,FALSE),Employee!A:B,2,FALSE),"Not Specified")</f>
        <v>Ms. Maria Cameron</v>
      </c>
      <c r="I647" t="str">
        <f>IFERROR(VLOOKUP(VLOOKUP(A647,'Sales Order'!A:C,3,FALSE),Employee!A:J,10,FALSE),"Not Specified")</f>
        <v>WA</v>
      </c>
      <c r="J647" t="str">
        <f>VLOOKUP(B647,Product!A:B,2,FALSE)</f>
        <v>Product LUNZZ</v>
      </c>
      <c r="K647" t="str">
        <f>VLOOKUP(VLOOKUP(B647,Product!A:D,4,FALSE),Category!A:B,2,FALSE)</f>
        <v>Condiments</v>
      </c>
      <c r="L647" s="24">
        <f>IFERROR(VLOOKUP(A647,'Sales Order'!A:D,4,FALSE),"")</f>
        <v>39172</v>
      </c>
      <c r="M647" s="24">
        <f>IFERROR(VLOOKUP(A647,'Sales Order'!A:F,6,FALSE),"")</f>
        <v>39180</v>
      </c>
      <c r="N647" t="str">
        <f>IFERROR(VLOOKUP(VLOOKUP(A647,'Sales Order'!A:G,7,FALSE),Shipper!A:B,2,FALSE),"Not Specified")</f>
        <v>Shipper ZHISN</v>
      </c>
      <c r="O647" t="str">
        <f>IFERROR(VLOOKUP(A647,'Sales Order'!A:I,9,FALSE),"Not Specified")</f>
        <v>Destination OTSWR</v>
      </c>
      <c r="P647" t="str">
        <f>IFERROR(VLOOKUP(A647,'Sales Order'!A:N,14,FALSE),"Not Specified")</f>
        <v>Portugal</v>
      </c>
      <c r="Q647" t="str">
        <f>VLOOKUP(VLOOKUP(B647,Product!A:C,3,FALSE),Supplier!A:B,2,FALSE)</f>
        <v>Supplier SVIYA</v>
      </c>
      <c r="R647" t="str">
        <f>VLOOKUP(VLOOKUP(B647,Product!A:C,3,FALSE),Supplier!A:I,9,FALSE)</f>
        <v>Germany</v>
      </c>
      <c r="S647" t="str">
        <f>IFERROR(IF(VLOOKUP(A647,'Sales Order'!A:H,8,FALSE)&gt;100,"High Freight","Low Freight"),"Not Specified")</f>
        <v>Low Freight</v>
      </c>
      <c r="T647">
        <f t="shared" si="21"/>
        <v>61.879999999999995</v>
      </c>
    </row>
    <row r="648" spans="1:20">
      <c r="A648" s="9">
        <v>10492</v>
      </c>
      <c r="B648" s="6">
        <v>25</v>
      </c>
      <c r="C648" s="6">
        <v>11.2</v>
      </c>
      <c r="D648" s="6">
        <v>60</v>
      </c>
      <c r="E648" s="18">
        <v>0.05</v>
      </c>
      <c r="F648" s="6" t="str">
        <f>IFERROR(VLOOKUP(VLOOKUP(A648,'Sales Order'!A:B,2,FALSE),Customer!A:C,3,FALSE),"Not Specified")</f>
        <v>Bassols, Pilar Colome</v>
      </c>
      <c r="G648" s="6" t="str">
        <f t="shared" si="20"/>
        <v>Bassols Pilar Colome</v>
      </c>
      <c r="H648" s="22" t="str">
        <f>IFERROR(VLOOKUP(VLOOKUP(A648,'Sales Order'!A:C,3,FALSE),Employee!A:E,5,FALSE)&amp;" "&amp;VLOOKUP(VLOOKUP(A648,'Sales Order'!A:C,3,FALSE),Employee!A:C,3,FALSE)&amp;" "&amp;VLOOKUP(VLOOKUP(A648,'Sales Order'!A:C,3,FALSE),Employee!A:B,2,FALSE),"Not Specified")</f>
        <v>Ms. Judy Lew</v>
      </c>
      <c r="I648" t="str">
        <f>IFERROR(VLOOKUP(VLOOKUP(A648,'Sales Order'!A:C,3,FALSE),Employee!A:J,10,FALSE),"Not Specified")</f>
        <v>WA</v>
      </c>
      <c r="J648" t="str">
        <f>VLOOKUP(B648,Product!A:B,2,FALSE)</f>
        <v>Product LYLNI</v>
      </c>
      <c r="K648" t="str">
        <f>VLOOKUP(VLOOKUP(B648,Product!A:D,4,FALSE),Category!A:B,2,FALSE)</f>
        <v>Confections</v>
      </c>
      <c r="L648" s="24">
        <f>IFERROR(VLOOKUP(A648,'Sales Order'!A:D,4,FALSE),"")</f>
        <v>39173</v>
      </c>
      <c r="M648" s="24">
        <f>IFERROR(VLOOKUP(A648,'Sales Order'!A:F,6,FALSE),"")</f>
        <v>39183</v>
      </c>
      <c r="N648" t="str">
        <f>IFERROR(VLOOKUP(VLOOKUP(A648,'Sales Order'!A:G,7,FALSE),Shipper!A:B,2,FALSE),"Not Specified")</f>
        <v>Shipper GVSUA</v>
      </c>
      <c r="O648" t="str">
        <f>IFERROR(VLOOKUP(A648,'Sales Order'!A:I,9,FALSE),"Not Specified")</f>
        <v>Destination XJIBQ</v>
      </c>
      <c r="P648" t="str">
        <f>IFERROR(VLOOKUP(A648,'Sales Order'!A:N,14,FALSE),"Not Specified")</f>
        <v>Canada</v>
      </c>
      <c r="Q648" t="str">
        <f>VLOOKUP(VLOOKUP(B648,Product!A:C,3,FALSE),Supplier!A:B,2,FALSE)</f>
        <v>Supplier ZPYVS</v>
      </c>
      <c r="R648" t="str">
        <f>VLOOKUP(VLOOKUP(B648,Product!A:C,3,FALSE),Supplier!A:I,9,FALSE)</f>
        <v>Germany</v>
      </c>
      <c r="S648" t="str">
        <f>IFERROR(IF(VLOOKUP(A648,'Sales Order'!A:H,8,FALSE)&gt;100,"High Freight","Low Freight"),"Not Specified")</f>
        <v>Low Freight</v>
      </c>
      <c r="T648">
        <f t="shared" si="21"/>
        <v>638.4</v>
      </c>
    </row>
    <row r="649" spans="1:20">
      <c r="A649" s="9">
        <v>10492</v>
      </c>
      <c r="B649" s="6">
        <v>42</v>
      </c>
      <c r="C649" s="6">
        <v>11.2</v>
      </c>
      <c r="D649" s="6">
        <v>20</v>
      </c>
      <c r="E649" s="18">
        <v>0.05</v>
      </c>
      <c r="F649" s="6" t="str">
        <f>IFERROR(VLOOKUP(VLOOKUP(A649,'Sales Order'!A:B,2,FALSE),Customer!A:C,3,FALSE),"Not Specified")</f>
        <v>Bassols, Pilar Colome</v>
      </c>
      <c r="G649" s="6" t="str">
        <f t="shared" si="20"/>
        <v>Bassols Pilar Colome</v>
      </c>
      <c r="H649" s="22" t="str">
        <f>IFERROR(VLOOKUP(VLOOKUP(A649,'Sales Order'!A:C,3,FALSE),Employee!A:E,5,FALSE)&amp;" "&amp;VLOOKUP(VLOOKUP(A649,'Sales Order'!A:C,3,FALSE),Employee!A:C,3,FALSE)&amp;" "&amp;VLOOKUP(VLOOKUP(A649,'Sales Order'!A:C,3,FALSE),Employee!A:B,2,FALSE),"Not Specified")</f>
        <v>Ms. Judy Lew</v>
      </c>
      <c r="I649" t="str">
        <f>IFERROR(VLOOKUP(VLOOKUP(A649,'Sales Order'!A:C,3,FALSE),Employee!A:J,10,FALSE),"Not Specified")</f>
        <v>WA</v>
      </c>
      <c r="J649" t="str">
        <f>VLOOKUP(B649,Product!A:B,2,FALSE)</f>
        <v>Product RJVNM</v>
      </c>
      <c r="K649" t="str">
        <f>VLOOKUP(VLOOKUP(B649,Product!A:D,4,FALSE),Category!A:B,2,FALSE)</f>
        <v>Grains/Cereals</v>
      </c>
      <c r="L649" s="24">
        <f>IFERROR(VLOOKUP(A649,'Sales Order'!A:D,4,FALSE),"")</f>
        <v>39173</v>
      </c>
      <c r="M649" s="24">
        <f>IFERROR(VLOOKUP(A649,'Sales Order'!A:F,6,FALSE),"")</f>
        <v>39183</v>
      </c>
      <c r="N649" t="str">
        <f>IFERROR(VLOOKUP(VLOOKUP(A649,'Sales Order'!A:G,7,FALSE),Shipper!A:B,2,FALSE),"Not Specified")</f>
        <v>Shipper GVSUA</v>
      </c>
      <c r="O649" t="str">
        <f>IFERROR(VLOOKUP(A649,'Sales Order'!A:I,9,FALSE),"Not Specified")</f>
        <v>Destination XJIBQ</v>
      </c>
      <c r="P649" t="str">
        <f>IFERROR(VLOOKUP(A649,'Sales Order'!A:N,14,FALSE),"Not Specified")</f>
        <v>Canada</v>
      </c>
      <c r="Q649" t="str">
        <f>VLOOKUP(VLOOKUP(B649,Product!A:C,3,FALSE),Supplier!A:B,2,FALSE)</f>
        <v>Supplier CIYNM</v>
      </c>
      <c r="R649" t="str">
        <f>VLOOKUP(VLOOKUP(B649,Product!A:C,3,FALSE),Supplier!A:I,9,FALSE)</f>
        <v>Singapore</v>
      </c>
      <c r="S649" t="str">
        <f>IFERROR(IF(VLOOKUP(A649,'Sales Order'!A:H,8,FALSE)&gt;100,"High Freight","Low Freight"),"Not Specified")</f>
        <v>Low Freight</v>
      </c>
      <c r="T649">
        <f t="shared" si="21"/>
        <v>212.79999999999998</v>
      </c>
    </row>
    <row r="650" spans="1:20">
      <c r="A650" s="9">
        <v>10493</v>
      </c>
      <c r="B650" s="6">
        <v>65</v>
      </c>
      <c r="C650" s="6">
        <v>16.8</v>
      </c>
      <c r="D650" s="6">
        <v>15</v>
      </c>
      <c r="E650" s="18">
        <v>0.1</v>
      </c>
      <c r="F650" s="6" t="str">
        <f>IFERROR(VLOOKUP(VLOOKUP(A650,'Sales Order'!A:B,2,FALSE),Customer!A:C,3,FALSE),"Not Specified")</f>
        <v>Litton, Tim</v>
      </c>
      <c r="G650" s="6" t="str">
        <f t="shared" si="20"/>
        <v>Litton Tim</v>
      </c>
      <c r="H650" s="22" t="str">
        <f>IFERROR(VLOOKUP(VLOOKUP(A650,'Sales Order'!A:C,3,FALSE),Employee!A:E,5,FALSE)&amp;" "&amp;VLOOKUP(VLOOKUP(A650,'Sales Order'!A:C,3,FALSE),Employee!A:C,3,FALSE)&amp;" "&amp;VLOOKUP(VLOOKUP(A650,'Sales Order'!A:C,3,FALSE),Employee!A:B,2,FALSE),"Not Specified")</f>
        <v>Mrs. Yael Peled</v>
      </c>
      <c r="I650" t="str">
        <f>IFERROR(VLOOKUP(VLOOKUP(A650,'Sales Order'!A:C,3,FALSE),Employee!A:J,10,FALSE),"Not Specified")</f>
        <v>WA</v>
      </c>
      <c r="J650" t="str">
        <f>VLOOKUP(B650,Product!A:B,2,FALSE)</f>
        <v>Product XYWBZ</v>
      </c>
      <c r="K650" t="str">
        <f>VLOOKUP(VLOOKUP(B650,Product!A:D,4,FALSE),Category!A:B,2,FALSE)</f>
        <v>Condiments</v>
      </c>
      <c r="L650" s="24">
        <f>IFERROR(VLOOKUP(A650,'Sales Order'!A:D,4,FALSE),"")</f>
        <v>39174</v>
      </c>
      <c r="M650" s="24">
        <f>IFERROR(VLOOKUP(A650,'Sales Order'!A:F,6,FALSE),"")</f>
        <v>39182</v>
      </c>
      <c r="N650" t="str">
        <f>IFERROR(VLOOKUP(VLOOKUP(A650,'Sales Order'!A:G,7,FALSE),Shipper!A:B,2,FALSE),"Not Specified")</f>
        <v>Shipper ZHISN</v>
      </c>
      <c r="O650" t="str">
        <f>IFERROR(VLOOKUP(A650,'Sales Order'!A:I,9,FALSE),"Not Specified")</f>
        <v>Destination OLJND</v>
      </c>
      <c r="P650" t="str">
        <f>IFERROR(VLOOKUP(A650,'Sales Order'!A:N,14,FALSE),"Not Specified")</f>
        <v>France</v>
      </c>
      <c r="Q650" t="str">
        <f>VLOOKUP(VLOOKUP(B650,Product!A:C,3,FALSE),Supplier!A:B,2,FALSE)</f>
        <v>Supplier VHQZD</v>
      </c>
      <c r="R650" t="str">
        <f>VLOOKUP(VLOOKUP(B650,Product!A:C,3,FALSE),Supplier!A:I,9,FALSE)</f>
        <v>USA</v>
      </c>
      <c r="S650" t="str">
        <f>IFERROR(IF(VLOOKUP(A650,'Sales Order'!A:H,8,FALSE)&gt;100,"High Freight","Low Freight"),"Not Specified")</f>
        <v>Low Freight</v>
      </c>
      <c r="T650">
        <f t="shared" si="21"/>
        <v>226.8</v>
      </c>
    </row>
    <row r="651" spans="1:20">
      <c r="A651" s="9">
        <v>10493</v>
      </c>
      <c r="B651" s="6">
        <v>66</v>
      </c>
      <c r="C651" s="6">
        <v>13.6</v>
      </c>
      <c r="D651" s="6">
        <v>10</v>
      </c>
      <c r="E651" s="18">
        <v>0.1</v>
      </c>
      <c r="F651" s="6" t="str">
        <f>IFERROR(VLOOKUP(VLOOKUP(A651,'Sales Order'!A:B,2,FALSE),Customer!A:C,3,FALSE),"Not Specified")</f>
        <v>Litton, Tim</v>
      </c>
      <c r="G651" s="6" t="str">
        <f t="shared" si="20"/>
        <v>Litton Tim</v>
      </c>
      <c r="H651" s="22" t="str">
        <f>IFERROR(VLOOKUP(VLOOKUP(A651,'Sales Order'!A:C,3,FALSE),Employee!A:E,5,FALSE)&amp;" "&amp;VLOOKUP(VLOOKUP(A651,'Sales Order'!A:C,3,FALSE),Employee!A:C,3,FALSE)&amp;" "&amp;VLOOKUP(VLOOKUP(A651,'Sales Order'!A:C,3,FALSE),Employee!A:B,2,FALSE),"Not Specified")</f>
        <v>Mrs. Yael Peled</v>
      </c>
      <c r="I651" t="str">
        <f>IFERROR(VLOOKUP(VLOOKUP(A651,'Sales Order'!A:C,3,FALSE),Employee!A:J,10,FALSE),"Not Specified")</f>
        <v>WA</v>
      </c>
      <c r="J651" t="str">
        <f>VLOOKUP(B651,Product!A:B,2,FALSE)</f>
        <v>Product LQMGN</v>
      </c>
      <c r="K651" t="str">
        <f>VLOOKUP(VLOOKUP(B651,Product!A:D,4,FALSE),Category!A:B,2,FALSE)</f>
        <v>Condiments</v>
      </c>
      <c r="L651" s="24">
        <f>IFERROR(VLOOKUP(A651,'Sales Order'!A:D,4,FALSE),"")</f>
        <v>39174</v>
      </c>
      <c r="M651" s="24">
        <f>IFERROR(VLOOKUP(A651,'Sales Order'!A:F,6,FALSE),"")</f>
        <v>39182</v>
      </c>
      <c r="N651" t="str">
        <f>IFERROR(VLOOKUP(VLOOKUP(A651,'Sales Order'!A:G,7,FALSE),Shipper!A:B,2,FALSE),"Not Specified")</f>
        <v>Shipper ZHISN</v>
      </c>
      <c r="O651" t="str">
        <f>IFERROR(VLOOKUP(A651,'Sales Order'!A:I,9,FALSE),"Not Specified")</f>
        <v>Destination OLJND</v>
      </c>
      <c r="P651" t="str">
        <f>IFERROR(VLOOKUP(A651,'Sales Order'!A:N,14,FALSE),"Not Specified")</f>
        <v>France</v>
      </c>
      <c r="Q651" t="str">
        <f>VLOOKUP(VLOOKUP(B651,Product!A:C,3,FALSE),Supplier!A:B,2,FALSE)</f>
        <v>Supplier VHQZD</v>
      </c>
      <c r="R651" t="str">
        <f>VLOOKUP(VLOOKUP(B651,Product!A:C,3,FALSE),Supplier!A:I,9,FALSE)</f>
        <v>USA</v>
      </c>
      <c r="S651" t="str">
        <f>IFERROR(IF(VLOOKUP(A651,'Sales Order'!A:H,8,FALSE)&gt;100,"High Freight","Low Freight"),"Not Specified")</f>
        <v>Low Freight</v>
      </c>
      <c r="T651">
        <f t="shared" si="21"/>
        <v>122.4</v>
      </c>
    </row>
    <row r="652" spans="1:20">
      <c r="A652" s="9">
        <v>10493</v>
      </c>
      <c r="B652" s="6">
        <v>69</v>
      </c>
      <c r="C652" s="6">
        <v>28.8</v>
      </c>
      <c r="D652" s="6">
        <v>10</v>
      </c>
      <c r="E652" s="18">
        <v>0.1</v>
      </c>
      <c r="F652" s="6" t="str">
        <f>IFERROR(VLOOKUP(VLOOKUP(A652,'Sales Order'!A:B,2,FALSE),Customer!A:C,3,FALSE),"Not Specified")</f>
        <v>Litton, Tim</v>
      </c>
      <c r="G652" s="6" t="str">
        <f t="shared" si="20"/>
        <v>Litton Tim</v>
      </c>
      <c r="H652" s="22" t="str">
        <f>IFERROR(VLOOKUP(VLOOKUP(A652,'Sales Order'!A:C,3,FALSE),Employee!A:E,5,FALSE)&amp;" "&amp;VLOOKUP(VLOOKUP(A652,'Sales Order'!A:C,3,FALSE),Employee!A:C,3,FALSE)&amp;" "&amp;VLOOKUP(VLOOKUP(A652,'Sales Order'!A:C,3,FALSE),Employee!A:B,2,FALSE),"Not Specified")</f>
        <v>Mrs. Yael Peled</v>
      </c>
      <c r="I652" t="str">
        <f>IFERROR(VLOOKUP(VLOOKUP(A652,'Sales Order'!A:C,3,FALSE),Employee!A:J,10,FALSE),"Not Specified")</f>
        <v>WA</v>
      </c>
      <c r="J652" t="str">
        <f>VLOOKUP(B652,Product!A:B,2,FALSE)</f>
        <v>Product COAXA</v>
      </c>
      <c r="K652" t="str">
        <f>VLOOKUP(VLOOKUP(B652,Product!A:D,4,FALSE),Category!A:B,2,FALSE)</f>
        <v>Dairy Product</v>
      </c>
      <c r="L652" s="24">
        <f>IFERROR(VLOOKUP(A652,'Sales Order'!A:D,4,FALSE),"")</f>
        <v>39174</v>
      </c>
      <c r="M652" s="24">
        <f>IFERROR(VLOOKUP(A652,'Sales Order'!A:F,6,FALSE),"")</f>
        <v>39182</v>
      </c>
      <c r="N652" t="str">
        <f>IFERROR(VLOOKUP(VLOOKUP(A652,'Sales Order'!A:G,7,FALSE),Shipper!A:B,2,FALSE),"Not Specified")</f>
        <v>Shipper ZHISN</v>
      </c>
      <c r="O652" t="str">
        <f>IFERROR(VLOOKUP(A652,'Sales Order'!A:I,9,FALSE),"Not Specified")</f>
        <v>Destination OLJND</v>
      </c>
      <c r="P652" t="str">
        <f>IFERROR(VLOOKUP(A652,'Sales Order'!A:N,14,FALSE),"Not Specified")</f>
        <v>France</v>
      </c>
      <c r="Q652" t="str">
        <f>VLOOKUP(VLOOKUP(B652,Product!A:C,3,FALSE),Supplier!A:B,2,FALSE)</f>
        <v>Supplier NZLIF</v>
      </c>
      <c r="R652" t="str">
        <f>VLOOKUP(VLOOKUP(B652,Product!A:C,3,FALSE),Supplier!A:I,9,FALSE)</f>
        <v>Norway</v>
      </c>
      <c r="S652" t="str">
        <f>IFERROR(IF(VLOOKUP(A652,'Sales Order'!A:H,8,FALSE)&gt;100,"High Freight","Low Freight"),"Not Specified")</f>
        <v>Low Freight</v>
      </c>
      <c r="T652">
        <f t="shared" si="21"/>
        <v>259.2</v>
      </c>
    </row>
    <row r="653" spans="1:20">
      <c r="A653" s="9">
        <v>10494</v>
      </c>
      <c r="B653" s="6">
        <v>56</v>
      </c>
      <c r="C653" s="6">
        <v>30.4</v>
      </c>
      <c r="D653" s="6">
        <v>30</v>
      </c>
      <c r="E653" s="18">
        <v>0</v>
      </c>
      <c r="F653" s="6" t="str">
        <f>IFERROR(VLOOKUP(VLOOKUP(A653,'Sales Order'!A:B,2,FALSE),Customer!A:C,3,FALSE),"Not Specified")</f>
        <v>Richardson, Shawn</v>
      </c>
      <c r="G653" s="6" t="str">
        <f t="shared" si="20"/>
        <v>Richardson Shawn</v>
      </c>
      <c r="H653" s="22" t="str">
        <f>IFERROR(VLOOKUP(VLOOKUP(A653,'Sales Order'!A:C,3,FALSE),Employee!A:E,5,FALSE)&amp;" "&amp;VLOOKUP(VLOOKUP(A653,'Sales Order'!A:C,3,FALSE),Employee!A:C,3,FALSE)&amp;" "&amp;VLOOKUP(VLOOKUP(A653,'Sales Order'!A:C,3,FALSE),Employee!A:B,2,FALSE),"Not Specified")</f>
        <v>Mrs. Yael Peled</v>
      </c>
      <c r="I653" t="str">
        <f>IFERROR(VLOOKUP(VLOOKUP(A653,'Sales Order'!A:C,3,FALSE),Employee!A:J,10,FALSE),"Not Specified")</f>
        <v>WA</v>
      </c>
      <c r="J653" t="str">
        <f>VLOOKUP(B653,Product!A:B,2,FALSE)</f>
        <v>Product VKCMF</v>
      </c>
      <c r="K653" t="str">
        <f>VLOOKUP(VLOOKUP(B653,Product!A:D,4,FALSE),Category!A:B,2,FALSE)</f>
        <v>Grains/Cereals</v>
      </c>
      <c r="L653" s="24">
        <f>IFERROR(VLOOKUP(A653,'Sales Order'!A:D,4,FALSE),"")</f>
        <v>39174</v>
      </c>
      <c r="M653" s="24">
        <f>IFERROR(VLOOKUP(A653,'Sales Order'!A:F,6,FALSE),"")</f>
        <v>39181</v>
      </c>
      <c r="N653" t="str">
        <f>IFERROR(VLOOKUP(VLOOKUP(A653,'Sales Order'!A:G,7,FALSE),Shipper!A:B,2,FALSE),"Not Specified")</f>
        <v>Shipper ETYNR</v>
      </c>
      <c r="O653" t="str">
        <f>IFERROR(VLOOKUP(A653,'Sales Order'!A:I,9,FALSE),"Not Specified")</f>
        <v>Destination EVHYA</v>
      </c>
      <c r="P653" t="str">
        <f>IFERROR(VLOOKUP(A653,'Sales Order'!A:N,14,FALSE),"Not Specified")</f>
        <v>Brazil</v>
      </c>
      <c r="Q653" t="str">
        <f>VLOOKUP(VLOOKUP(B653,Product!A:C,3,FALSE),Supplier!A:B,2,FALSE)</f>
        <v>Supplier ZWZDM</v>
      </c>
      <c r="R653" t="str">
        <f>VLOOKUP(VLOOKUP(B653,Product!A:C,3,FALSE),Supplier!A:I,9,FALSE)</f>
        <v>Italy</v>
      </c>
      <c r="S653" t="str">
        <f>IFERROR(IF(VLOOKUP(A653,'Sales Order'!A:H,8,FALSE)&gt;100,"High Freight","Low Freight"),"Not Specified")</f>
        <v>Low Freight</v>
      </c>
      <c r="T653">
        <f t="shared" si="21"/>
        <v>912</v>
      </c>
    </row>
    <row r="654" spans="1:20">
      <c r="A654" s="9">
        <v>10495</v>
      </c>
      <c r="B654" s="6">
        <v>23</v>
      </c>
      <c r="C654" s="6">
        <v>7.2</v>
      </c>
      <c r="D654" s="6">
        <v>10</v>
      </c>
      <c r="E654" s="18">
        <v>0</v>
      </c>
      <c r="F654" s="6" t="str">
        <f>IFERROR(VLOOKUP(VLOOKUP(A654,'Sales Order'!A:B,2,FALSE),Customer!A:C,3,FALSE),"Not Specified")</f>
        <v>Steiner, Dominik</v>
      </c>
      <c r="G654" s="6" t="str">
        <f t="shared" si="20"/>
        <v>Steiner Dominik</v>
      </c>
      <c r="H654" s="22" t="str">
        <f>IFERROR(VLOOKUP(VLOOKUP(A654,'Sales Order'!A:C,3,FALSE),Employee!A:E,5,FALSE)&amp;" "&amp;VLOOKUP(VLOOKUP(A654,'Sales Order'!A:C,3,FALSE),Employee!A:C,3,FALSE)&amp;" "&amp;VLOOKUP(VLOOKUP(A654,'Sales Order'!A:C,3,FALSE),Employee!A:B,2,FALSE),"Not Specified")</f>
        <v>Ms. Judy Lew</v>
      </c>
      <c r="I654" t="str">
        <f>IFERROR(VLOOKUP(VLOOKUP(A654,'Sales Order'!A:C,3,FALSE),Employee!A:J,10,FALSE),"Not Specified")</f>
        <v>WA</v>
      </c>
      <c r="J654" t="str">
        <f>VLOOKUP(B654,Product!A:B,2,FALSE)</f>
        <v>Product JLUDZ</v>
      </c>
      <c r="K654" t="str">
        <f>VLOOKUP(VLOOKUP(B654,Product!A:D,4,FALSE),Category!A:B,2,FALSE)</f>
        <v>Grains/Cereals</v>
      </c>
      <c r="L654" s="24">
        <f>IFERROR(VLOOKUP(A654,'Sales Order'!A:D,4,FALSE),"")</f>
        <v>39175</v>
      </c>
      <c r="M654" s="24">
        <f>IFERROR(VLOOKUP(A654,'Sales Order'!A:F,6,FALSE),"")</f>
        <v>39183</v>
      </c>
      <c r="N654" t="str">
        <f>IFERROR(VLOOKUP(VLOOKUP(A654,'Sales Order'!A:G,7,FALSE),Shipper!A:B,2,FALSE),"Not Specified")</f>
        <v>Shipper ZHISN</v>
      </c>
      <c r="O654" t="str">
        <f>IFERROR(VLOOKUP(A654,'Sales Order'!A:I,9,FALSE),"Not Specified")</f>
        <v>Ship to 42-C</v>
      </c>
      <c r="P654" t="str">
        <f>IFERROR(VLOOKUP(A654,'Sales Order'!A:N,14,FALSE),"Not Specified")</f>
        <v>Canada</v>
      </c>
      <c r="Q654" t="str">
        <f>VLOOKUP(VLOOKUP(B654,Product!A:C,3,FALSE),Supplier!A:B,2,FALSE)</f>
        <v>Supplier QQYEU</v>
      </c>
      <c r="R654" t="str">
        <f>VLOOKUP(VLOOKUP(B654,Product!A:C,3,FALSE),Supplier!A:I,9,FALSE)</f>
        <v>Sweden</v>
      </c>
      <c r="S654" t="str">
        <f>IFERROR(IF(VLOOKUP(A654,'Sales Order'!A:H,8,FALSE)&gt;100,"High Freight","Low Freight"),"Not Specified")</f>
        <v>Low Freight</v>
      </c>
      <c r="T654">
        <f t="shared" si="21"/>
        <v>72</v>
      </c>
    </row>
    <row r="655" spans="1:20">
      <c r="A655" s="9">
        <v>10495</v>
      </c>
      <c r="B655" s="6">
        <v>41</v>
      </c>
      <c r="C655" s="6">
        <v>7.7</v>
      </c>
      <c r="D655" s="6">
        <v>20</v>
      </c>
      <c r="E655" s="18">
        <v>0</v>
      </c>
      <c r="F655" s="6" t="str">
        <f>IFERROR(VLOOKUP(VLOOKUP(A655,'Sales Order'!A:B,2,FALSE),Customer!A:C,3,FALSE),"Not Specified")</f>
        <v>Steiner, Dominik</v>
      </c>
      <c r="G655" s="6" t="str">
        <f t="shared" si="20"/>
        <v>Steiner Dominik</v>
      </c>
      <c r="H655" s="22" t="str">
        <f>IFERROR(VLOOKUP(VLOOKUP(A655,'Sales Order'!A:C,3,FALSE),Employee!A:E,5,FALSE)&amp;" "&amp;VLOOKUP(VLOOKUP(A655,'Sales Order'!A:C,3,FALSE),Employee!A:C,3,FALSE)&amp;" "&amp;VLOOKUP(VLOOKUP(A655,'Sales Order'!A:C,3,FALSE),Employee!A:B,2,FALSE),"Not Specified")</f>
        <v>Ms. Judy Lew</v>
      </c>
      <c r="I655" t="str">
        <f>IFERROR(VLOOKUP(VLOOKUP(A655,'Sales Order'!A:C,3,FALSE),Employee!A:J,10,FALSE),"Not Specified")</f>
        <v>WA</v>
      </c>
      <c r="J655" t="str">
        <f>VLOOKUP(B655,Product!A:B,2,FALSE)</f>
        <v>Product TTEEX</v>
      </c>
      <c r="K655" t="str">
        <f>VLOOKUP(VLOOKUP(B655,Product!A:D,4,FALSE),Category!A:B,2,FALSE)</f>
        <v>Seafood</v>
      </c>
      <c r="L655" s="24">
        <f>IFERROR(VLOOKUP(A655,'Sales Order'!A:D,4,FALSE),"")</f>
        <v>39175</v>
      </c>
      <c r="M655" s="24">
        <f>IFERROR(VLOOKUP(A655,'Sales Order'!A:F,6,FALSE),"")</f>
        <v>39183</v>
      </c>
      <c r="N655" t="str">
        <f>IFERROR(VLOOKUP(VLOOKUP(A655,'Sales Order'!A:G,7,FALSE),Shipper!A:B,2,FALSE),"Not Specified")</f>
        <v>Shipper ZHISN</v>
      </c>
      <c r="O655" t="str">
        <f>IFERROR(VLOOKUP(A655,'Sales Order'!A:I,9,FALSE),"Not Specified")</f>
        <v>Ship to 42-C</v>
      </c>
      <c r="P655" t="str">
        <f>IFERROR(VLOOKUP(A655,'Sales Order'!A:N,14,FALSE),"Not Specified")</f>
        <v>Canada</v>
      </c>
      <c r="Q655" t="str">
        <f>VLOOKUP(VLOOKUP(B655,Product!A:C,3,FALSE),Supplier!A:B,2,FALSE)</f>
        <v>Supplier JDNUG</v>
      </c>
      <c r="R655" t="str">
        <f>VLOOKUP(VLOOKUP(B655,Product!A:C,3,FALSE),Supplier!A:I,9,FALSE)</f>
        <v>USA</v>
      </c>
      <c r="S655" t="str">
        <f>IFERROR(IF(VLOOKUP(A655,'Sales Order'!A:H,8,FALSE)&gt;100,"High Freight","Low Freight"),"Not Specified")</f>
        <v>Low Freight</v>
      </c>
      <c r="T655">
        <f t="shared" si="21"/>
        <v>154</v>
      </c>
    </row>
    <row r="656" spans="1:20">
      <c r="A656" s="9">
        <v>10495</v>
      </c>
      <c r="B656" s="6">
        <v>77</v>
      </c>
      <c r="C656" s="6">
        <v>10.4</v>
      </c>
      <c r="D656" s="6">
        <v>5</v>
      </c>
      <c r="E656" s="18">
        <v>0</v>
      </c>
      <c r="F656" s="6" t="str">
        <f>IFERROR(VLOOKUP(VLOOKUP(A656,'Sales Order'!A:B,2,FALSE),Customer!A:C,3,FALSE),"Not Specified")</f>
        <v>Steiner, Dominik</v>
      </c>
      <c r="G656" s="6" t="str">
        <f t="shared" si="20"/>
        <v>Steiner Dominik</v>
      </c>
      <c r="H656" s="22" t="str">
        <f>IFERROR(VLOOKUP(VLOOKUP(A656,'Sales Order'!A:C,3,FALSE),Employee!A:E,5,FALSE)&amp;" "&amp;VLOOKUP(VLOOKUP(A656,'Sales Order'!A:C,3,FALSE),Employee!A:C,3,FALSE)&amp;" "&amp;VLOOKUP(VLOOKUP(A656,'Sales Order'!A:C,3,FALSE),Employee!A:B,2,FALSE),"Not Specified")</f>
        <v>Ms. Judy Lew</v>
      </c>
      <c r="I656" t="str">
        <f>IFERROR(VLOOKUP(VLOOKUP(A656,'Sales Order'!A:C,3,FALSE),Employee!A:J,10,FALSE),"Not Specified")</f>
        <v>WA</v>
      </c>
      <c r="J656" t="str">
        <f>VLOOKUP(B656,Product!A:B,2,FALSE)</f>
        <v>Product LUNZZ</v>
      </c>
      <c r="K656" t="str">
        <f>VLOOKUP(VLOOKUP(B656,Product!A:D,4,FALSE),Category!A:B,2,FALSE)</f>
        <v>Condiments</v>
      </c>
      <c r="L656" s="24">
        <f>IFERROR(VLOOKUP(A656,'Sales Order'!A:D,4,FALSE),"")</f>
        <v>39175</v>
      </c>
      <c r="M656" s="24">
        <f>IFERROR(VLOOKUP(A656,'Sales Order'!A:F,6,FALSE),"")</f>
        <v>39183</v>
      </c>
      <c r="N656" t="str">
        <f>IFERROR(VLOOKUP(VLOOKUP(A656,'Sales Order'!A:G,7,FALSE),Shipper!A:B,2,FALSE),"Not Specified")</f>
        <v>Shipper ZHISN</v>
      </c>
      <c r="O656" t="str">
        <f>IFERROR(VLOOKUP(A656,'Sales Order'!A:I,9,FALSE),"Not Specified")</f>
        <v>Ship to 42-C</v>
      </c>
      <c r="P656" t="str">
        <f>IFERROR(VLOOKUP(A656,'Sales Order'!A:N,14,FALSE),"Not Specified")</f>
        <v>Canada</v>
      </c>
      <c r="Q656" t="str">
        <f>VLOOKUP(VLOOKUP(B656,Product!A:C,3,FALSE),Supplier!A:B,2,FALSE)</f>
        <v>Supplier SVIYA</v>
      </c>
      <c r="R656" t="str">
        <f>VLOOKUP(VLOOKUP(B656,Product!A:C,3,FALSE),Supplier!A:I,9,FALSE)</f>
        <v>Germany</v>
      </c>
      <c r="S656" t="str">
        <f>IFERROR(IF(VLOOKUP(A656,'Sales Order'!A:H,8,FALSE)&gt;100,"High Freight","Low Freight"),"Not Specified")</f>
        <v>Low Freight</v>
      </c>
      <c r="T656">
        <f t="shared" si="21"/>
        <v>52</v>
      </c>
    </row>
    <row r="657" spans="1:20">
      <c r="A657" s="9">
        <v>10496</v>
      </c>
      <c r="B657" s="6">
        <v>31</v>
      </c>
      <c r="C657" s="6">
        <v>10</v>
      </c>
      <c r="D657" s="6">
        <v>20</v>
      </c>
      <c r="E657" s="18">
        <v>0.05</v>
      </c>
      <c r="F657" s="6" t="str">
        <f>IFERROR(VLOOKUP(VLOOKUP(A657,'Sales Order'!A:B,2,FALSE),Customer!A:C,3,FALSE),"Not Specified")</f>
        <v>Nagel, Jean-Philippe</v>
      </c>
      <c r="G657" s="6" t="str">
        <f t="shared" si="20"/>
        <v>Nagel Jean-Philippe</v>
      </c>
      <c r="H657" s="22" t="str">
        <f>IFERROR(VLOOKUP(VLOOKUP(A657,'Sales Order'!A:C,3,FALSE),Employee!A:E,5,FALSE)&amp;" "&amp;VLOOKUP(VLOOKUP(A657,'Sales Order'!A:C,3,FALSE),Employee!A:C,3,FALSE)&amp;" "&amp;VLOOKUP(VLOOKUP(A657,'Sales Order'!A:C,3,FALSE),Employee!A:B,2,FALSE),"Not Specified")</f>
        <v>Mr. Russell King</v>
      </c>
      <c r="I657">
        <f>IFERROR(VLOOKUP(VLOOKUP(A657,'Sales Order'!A:C,3,FALSE),Employee!A:J,10,FALSE),"Not Specified")</f>
        <v>0</v>
      </c>
      <c r="J657" t="str">
        <f>VLOOKUP(B657,Product!A:B,2,FALSE)</f>
        <v>Product XWOXC</v>
      </c>
      <c r="K657" t="str">
        <f>VLOOKUP(VLOOKUP(B657,Product!A:D,4,FALSE),Category!A:B,2,FALSE)</f>
        <v>Dairy Product</v>
      </c>
      <c r="L657" s="24">
        <f>IFERROR(VLOOKUP(A657,'Sales Order'!A:D,4,FALSE),"")</f>
        <v>39176</v>
      </c>
      <c r="M657" s="24">
        <f>IFERROR(VLOOKUP(A657,'Sales Order'!A:F,6,FALSE),"")</f>
        <v>39179</v>
      </c>
      <c r="N657" t="str">
        <f>IFERROR(VLOOKUP(VLOOKUP(A657,'Sales Order'!A:G,7,FALSE),Shipper!A:B,2,FALSE),"Not Specified")</f>
        <v>Shipper ETYNR</v>
      </c>
      <c r="O657" t="str">
        <f>IFERROR(VLOOKUP(A657,'Sales Order'!A:I,9,FALSE),"Not Specified")</f>
        <v>Ship to 81-C</v>
      </c>
      <c r="P657" t="str">
        <f>IFERROR(VLOOKUP(A657,'Sales Order'!A:N,14,FALSE),"Not Specified")</f>
        <v>Brazil</v>
      </c>
      <c r="Q657" t="str">
        <f>VLOOKUP(VLOOKUP(B657,Product!A:C,3,FALSE),Supplier!A:B,2,FALSE)</f>
        <v>Supplier KEREV</v>
      </c>
      <c r="R657" t="str">
        <f>VLOOKUP(VLOOKUP(B657,Product!A:C,3,FALSE),Supplier!A:I,9,FALSE)</f>
        <v>Italy</v>
      </c>
      <c r="S657" t="str">
        <f>IFERROR(IF(VLOOKUP(A657,'Sales Order'!A:H,8,FALSE)&gt;100,"High Freight","Low Freight"),"Not Specified")</f>
        <v>Low Freight</v>
      </c>
      <c r="T657">
        <f t="shared" si="21"/>
        <v>190</v>
      </c>
    </row>
    <row r="658" spans="1:20">
      <c r="A658" s="9">
        <v>10497</v>
      </c>
      <c r="B658" s="6">
        <v>56</v>
      </c>
      <c r="C658" s="6">
        <v>30.4</v>
      </c>
      <c r="D658" s="6">
        <v>14</v>
      </c>
      <c r="E658" s="18">
        <v>0</v>
      </c>
      <c r="F658" s="6" t="str">
        <f>IFERROR(VLOOKUP(VLOOKUP(A658,'Sales Order'!A:B,2,FALSE),Customer!A:C,3,FALSE),"Not Specified")</f>
        <v>Louverdis, George</v>
      </c>
      <c r="G658" s="6" t="str">
        <f t="shared" si="20"/>
        <v>Louverdis George</v>
      </c>
      <c r="H658" s="22" t="str">
        <f>IFERROR(VLOOKUP(VLOOKUP(A658,'Sales Order'!A:C,3,FALSE),Employee!A:E,5,FALSE)&amp;" "&amp;VLOOKUP(VLOOKUP(A658,'Sales Order'!A:C,3,FALSE),Employee!A:C,3,FALSE)&amp;" "&amp;VLOOKUP(VLOOKUP(A658,'Sales Order'!A:C,3,FALSE),Employee!A:B,2,FALSE),"Not Specified")</f>
        <v>Mr. Russell King</v>
      </c>
      <c r="I658">
        <f>IFERROR(VLOOKUP(VLOOKUP(A658,'Sales Order'!A:C,3,FALSE),Employee!A:J,10,FALSE),"Not Specified")</f>
        <v>0</v>
      </c>
      <c r="J658" t="str">
        <f>VLOOKUP(B658,Product!A:B,2,FALSE)</f>
        <v>Product VKCMF</v>
      </c>
      <c r="K658" t="str">
        <f>VLOOKUP(VLOOKUP(B658,Product!A:D,4,FALSE),Category!A:B,2,FALSE)</f>
        <v>Grains/Cereals</v>
      </c>
      <c r="L658" s="24">
        <f>IFERROR(VLOOKUP(A658,'Sales Order'!A:D,4,FALSE),"")</f>
        <v>39176</v>
      </c>
      <c r="M658" s="24">
        <f>IFERROR(VLOOKUP(A658,'Sales Order'!A:F,6,FALSE),"")</f>
        <v>39179</v>
      </c>
      <c r="N658" t="str">
        <f>IFERROR(VLOOKUP(VLOOKUP(A658,'Sales Order'!A:G,7,FALSE),Shipper!A:B,2,FALSE),"Not Specified")</f>
        <v>Shipper GVSUA</v>
      </c>
      <c r="O658" t="str">
        <f>IFERROR(VLOOKUP(A658,'Sales Order'!A:I,9,FALSE),"Not Specified")</f>
        <v>Ship to 44-A</v>
      </c>
      <c r="P658" t="str">
        <f>IFERROR(VLOOKUP(A658,'Sales Order'!A:N,14,FALSE),"Not Specified")</f>
        <v>Germany</v>
      </c>
      <c r="Q658" t="str">
        <f>VLOOKUP(VLOOKUP(B658,Product!A:C,3,FALSE),Supplier!A:B,2,FALSE)</f>
        <v>Supplier ZWZDM</v>
      </c>
      <c r="R658" t="str">
        <f>VLOOKUP(VLOOKUP(B658,Product!A:C,3,FALSE),Supplier!A:I,9,FALSE)</f>
        <v>Italy</v>
      </c>
      <c r="S658" t="str">
        <f>IFERROR(IF(VLOOKUP(A658,'Sales Order'!A:H,8,FALSE)&gt;100,"High Freight","Low Freight"),"Not Specified")</f>
        <v>Low Freight</v>
      </c>
      <c r="T658">
        <f t="shared" si="21"/>
        <v>425.59999999999997</v>
      </c>
    </row>
    <row r="659" spans="1:20">
      <c r="A659" s="9">
        <v>10497</v>
      </c>
      <c r="B659" s="6">
        <v>72</v>
      </c>
      <c r="C659" s="6">
        <v>27.8</v>
      </c>
      <c r="D659" s="6">
        <v>25</v>
      </c>
      <c r="E659" s="18">
        <v>0</v>
      </c>
      <c r="F659" s="6" t="str">
        <f>IFERROR(VLOOKUP(VLOOKUP(A659,'Sales Order'!A:B,2,FALSE),Customer!A:C,3,FALSE),"Not Specified")</f>
        <v>Louverdis, George</v>
      </c>
      <c r="G659" s="6" t="str">
        <f t="shared" si="20"/>
        <v>Louverdis George</v>
      </c>
      <c r="H659" s="22" t="str">
        <f>IFERROR(VLOOKUP(VLOOKUP(A659,'Sales Order'!A:C,3,FALSE),Employee!A:E,5,FALSE)&amp;" "&amp;VLOOKUP(VLOOKUP(A659,'Sales Order'!A:C,3,FALSE),Employee!A:C,3,FALSE)&amp;" "&amp;VLOOKUP(VLOOKUP(A659,'Sales Order'!A:C,3,FALSE),Employee!A:B,2,FALSE),"Not Specified")</f>
        <v>Mr. Russell King</v>
      </c>
      <c r="I659">
        <f>IFERROR(VLOOKUP(VLOOKUP(A659,'Sales Order'!A:C,3,FALSE),Employee!A:J,10,FALSE),"Not Specified")</f>
        <v>0</v>
      </c>
      <c r="J659" t="str">
        <f>VLOOKUP(B659,Product!A:B,2,FALSE)</f>
        <v>Product GEEOO</v>
      </c>
      <c r="K659" t="str">
        <f>VLOOKUP(VLOOKUP(B659,Product!A:D,4,FALSE),Category!A:B,2,FALSE)</f>
        <v>Dairy Product</v>
      </c>
      <c r="L659" s="24">
        <f>IFERROR(VLOOKUP(A659,'Sales Order'!A:D,4,FALSE),"")</f>
        <v>39176</v>
      </c>
      <c r="M659" s="24">
        <f>IFERROR(VLOOKUP(A659,'Sales Order'!A:F,6,FALSE),"")</f>
        <v>39179</v>
      </c>
      <c r="N659" t="str">
        <f>IFERROR(VLOOKUP(VLOOKUP(A659,'Sales Order'!A:G,7,FALSE),Shipper!A:B,2,FALSE),"Not Specified")</f>
        <v>Shipper GVSUA</v>
      </c>
      <c r="O659" t="str">
        <f>IFERROR(VLOOKUP(A659,'Sales Order'!A:I,9,FALSE),"Not Specified")</f>
        <v>Ship to 44-A</v>
      </c>
      <c r="P659" t="str">
        <f>IFERROR(VLOOKUP(A659,'Sales Order'!A:N,14,FALSE),"Not Specified")</f>
        <v>Germany</v>
      </c>
      <c r="Q659" t="str">
        <f>VLOOKUP(VLOOKUP(B659,Product!A:C,3,FALSE),Supplier!A:B,2,FALSE)</f>
        <v>Supplier KEREV</v>
      </c>
      <c r="R659" t="str">
        <f>VLOOKUP(VLOOKUP(B659,Product!A:C,3,FALSE),Supplier!A:I,9,FALSE)</f>
        <v>Italy</v>
      </c>
      <c r="S659" t="str">
        <f>IFERROR(IF(VLOOKUP(A659,'Sales Order'!A:H,8,FALSE)&gt;100,"High Freight","Low Freight"),"Not Specified")</f>
        <v>Low Freight</v>
      </c>
      <c r="T659">
        <f t="shared" si="21"/>
        <v>695</v>
      </c>
    </row>
    <row r="660" spans="1:20">
      <c r="A660" s="9">
        <v>10497</v>
      </c>
      <c r="B660" s="6">
        <v>77</v>
      </c>
      <c r="C660" s="6">
        <v>10.4</v>
      </c>
      <c r="D660" s="6">
        <v>25</v>
      </c>
      <c r="E660" s="18">
        <v>0</v>
      </c>
      <c r="F660" s="6" t="str">
        <f>IFERROR(VLOOKUP(VLOOKUP(A660,'Sales Order'!A:B,2,FALSE),Customer!A:C,3,FALSE),"Not Specified")</f>
        <v>Louverdis, George</v>
      </c>
      <c r="G660" s="6" t="str">
        <f t="shared" si="20"/>
        <v>Louverdis George</v>
      </c>
      <c r="H660" s="22" t="str">
        <f>IFERROR(VLOOKUP(VLOOKUP(A660,'Sales Order'!A:C,3,FALSE),Employee!A:E,5,FALSE)&amp;" "&amp;VLOOKUP(VLOOKUP(A660,'Sales Order'!A:C,3,FALSE),Employee!A:C,3,FALSE)&amp;" "&amp;VLOOKUP(VLOOKUP(A660,'Sales Order'!A:C,3,FALSE),Employee!A:B,2,FALSE),"Not Specified")</f>
        <v>Mr. Russell King</v>
      </c>
      <c r="I660">
        <f>IFERROR(VLOOKUP(VLOOKUP(A660,'Sales Order'!A:C,3,FALSE),Employee!A:J,10,FALSE),"Not Specified")</f>
        <v>0</v>
      </c>
      <c r="J660" t="str">
        <f>VLOOKUP(B660,Product!A:B,2,FALSE)</f>
        <v>Product LUNZZ</v>
      </c>
      <c r="K660" t="str">
        <f>VLOOKUP(VLOOKUP(B660,Product!A:D,4,FALSE),Category!A:B,2,FALSE)</f>
        <v>Condiments</v>
      </c>
      <c r="L660" s="24">
        <f>IFERROR(VLOOKUP(A660,'Sales Order'!A:D,4,FALSE),"")</f>
        <v>39176</v>
      </c>
      <c r="M660" s="24">
        <f>IFERROR(VLOOKUP(A660,'Sales Order'!A:F,6,FALSE),"")</f>
        <v>39179</v>
      </c>
      <c r="N660" t="str">
        <f>IFERROR(VLOOKUP(VLOOKUP(A660,'Sales Order'!A:G,7,FALSE),Shipper!A:B,2,FALSE),"Not Specified")</f>
        <v>Shipper GVSUA</v>
      </c>
      <c r="O660" t="str">
        <f>IFERROR(VLOOKUP(A660,'Sales Order'!A:I,9,FALSE),"Not Specified")</f>
        <v>Ship to 44-A</v>
      </c>
      <c r="P660" t="str">
        <f>IFERROR(VLOOKUP(A660,'Sales Order'!A:N,14,FALSE),"Not Specified")</f>
        <v>Germany</v>
      </c>
      <c r="Q660" t="str">
        <f>VLOOKUP(VLOOKUP(B660,Product!A:C,3,FALSE),Supplier!A:B,2,FALSE)</f>
        <v>Supplier SVIYA</v>
      </c>
      <c r="R660" t="str">
        <f>VLOOKUP(VLOOKUP(B660,Product!A:C,3,FALSE),Supplier!A:I,9,FALSE)</f>
        <v>Germany</v>
      </c>
      <c r="S660" t="str">
        <f>IFERROR(IF(VLOOKUP(A660,'Sales Order'!A:H,8,FALSE)&gt;100,"High Freight","Low Freight"),"Not Specified")</f>
        <v>Low Freight</v>
      </c>
      <c r="T660">
        <f t="shared" si="21"/>
        <v>260</v>
      </c>
    </row>
    <row r="661" spans="1:20">
      <c r="A661" s="9">
        <v>10498</v>
      </c>
      <c r="B661" s="6">
        <v>24</v>
      </c>
      <c r="C661" s="6">
        <v>4.5</v>
      </c>
      <c r="D661" s="6">
        <v>14</v>
      </c>
      <c r="E661" s="18">
        <v>0</v>
      </c>
      <c r="F661" s="6" t="str">
        <f>IFERROR(VLOOKUP(VLOOKUP(A661,'Sales Order'!A:B,2,FALSE),Customer!A:C,3,FALSE),"Not Specified")</f>
        <v>Langohr, Kris</v>
      </c>
      <c r="G661" s="6" t="str">
        <f t="shared" si="20"/>
        <v>Langohr Kris</v>
      </c>
      <c r="H661" s="22" t="str">
        <f>IFERROR(VLOOKUP(VLOOKUP(A661,'Sales Order'!A:C,3,FALSE),Employee!A:E,5,FALSE)&amp;" "&amp;VLOOKUP(VLOOKUP(A661,'Sales Order'!A:C,3,FALSE),Employee!A:C,3,FALSE)&amp;" "&amp;VLOOKUP(VLOOKUP(A661,'Sales Order'!A:C,3,FALSE),Employee!A:B,2,FALSE),"Not Specified")</f>
        <v>Ms. Maria Cameron</v>
      </c>
      <c r="I661" t="str">
        <f>IFERROR(VLOOKUP(VLOOKUP(A661,'Sales Order'!A:C,3,FALSE),Employee!A:J,10,FALSE),"Not Specified")</f>
        <v>WA</v>
      </c>
      <c r="J661" t="str">
        <f>VLOOKUP(B661,Product!A:B,2,FALSE)</f>
        <v>Product QOGNU</v>
      </c>
      <c r="K661" t="str">
        <f>VLOOKUP(VLOOKUP(B661,Product!A:D,4,FALSE),Category!A:B,2,FALSE)</f>
        <v>Beverages</v>
      </c>
      <c r="L661" s="24">
        <f>IFERROR(VLOOKUP(A661,'Sales Order'!A:D,4,FALSE),"")</f>
        <v>39179</v>
      </c>
      <c r="M661" s="24">
        <f>IFERROR(VLOOKUP(A661,'Sales Order'!A:F,6,FALSE),"")</f>
        <v>39183</v>
      </c>
      <c r="N661" t="str">
        <f>IFERROR(VLOOKUP(VLOOKUP(A661,'Sales Order'!A:G,7,FALSE),Shipper!A:B,2,FALSE),"Not Specified")</f>
        <v>Shipper ETYNR</v>
      </c>
      <c r="O661" t="str">
        <f>IFERROR(VLOOKUP(A661,'Sales Order'!A:I,9,FALSE),"Not Specified")</f>
        <v>Destination SXYQX</v>
      </c>
      <c r="P661" t="str">
        <f>IFERROR(VLOOKUP(A661,'Sales Order'!A:N,14,FALSE),"Not Specified")</f>
        <v>Venezuela</v>
      </c>
      <c r="Q661" t="str">
        <f>VLOOKUP(VLOOKUP(B661,Product!A:C,3,FALSE),Supplier!A:B,2,FALSE)</f>
        <v>Supplier UNAHG</v>
      </c>
      <c r="R661" t="str">
        <f>VLOOKUP(VLOOKUP(B661,Product!A:C,3,FALSE),Supplier!A:I,9,FALSE)</f>
        <v>Brazil</v>
      </c>
      <c r="S661" t="str">
        <f>IFERROR(IF(VLOOKUP(A661,'Sales Order'!A:H,8,FALSE)&gt;100,"High Freight","Low Freight"),"Not Specified")</f>
        <v>Low Freight</v>
      </c>
      <c r="T661">
        <f t="shared" si="21"/>
        <v>63</v>
      </c>
    </row>
    <row r="662" spans="1:20">
      <c r="A662" s="9">
        <v>10498</v>
      </c>
      <c r="B662" s="6">
        <v>40</v>
      </c>
      <c r="C662" s="6">
        <v>18.399999999999999</v>
      </c>
      <c r="D662" s="6">
        <v>5</v>
      </c>
      <c r="E662" s="18">
        <v>0</v>
      </c>
      <c r="F662" s="6" t="str">
        <f>IFERROR(VLOOKUP(VLOOKUP(A662,'Sales Order'!A:B,2,FALSE),Customer!A:C,3,FALSE),"Not Specified")</f>
        <v>Langohr, Kris</v>
      </c>
      <c r="G662" s="6" t="str">
        <f t="shared" si="20"/>
        <v>Langohr Kris</v>
      </c>
      <c r="H662" s="22" t="str">
        <f>IFERROR(VLOOKUP(VLOOKUP(A662,'Sales Order'!A:C,3,FALSE),Employee!A:E,5,FALSE)&amp;" "&amp;VLOOKUP(VLOOKUP(A662,'Sales Order'!A:C,3,FALSE),Employee!A:C,3,FALSE)&amp;" "&amp;VLOOKUP(VLOOKUP(A662,'Sales Order'!A:C,3,FALSE),Employee!A:B,2,FALSE),"Not Specified")</f>
        <v>Ms. Maria Cameron</v>
      </c>
      <c r="I662" t="str">
        <f>IFERROR(VLOOKUP(VLOOKUP(A662,'Sales Order'!A:C,3,FALSE),Employee!A:J,10,FALSE),"Not Specified")</f>
        <v>WA</v>
      </c>
      <c r="J662" t="str">
        <f>VLOOKUP(B662,Product!A:B,2,FALSE)</f>
        <v>Product YZIXQ</v>
      </c>
      <c r="K662" t="str">
        <f>VLOOKUP(VLOOKUP(B662,Product!A:D,4,FALSE),Category!A:B,2,FALSE)</f>
        <v>Seafood</v>
      </c>
      <c r="L662" s="24">
        <f>IFERROR(VLOOKUP(A662,'Sales Order'!A:D,4,FALSE),"")</f>
        <v>39179</v>
      </c>
      <c r="M662" s="24">
        <f>IFERROR(VLOOKUP(A662,'Sales Order'!A:F,6,FALSE),"")</f>
        <v>39183</v>
      </c>
      <c r="N662" t="str">
        <f>IFERROR(VLOOKUP(VLOOKUP(A662,'Sales Order'!A:G,7,FALSE),Shipper!A:B,2,FALSE),"Not Specified")</f>
        <v>Shipper ETYNR</v>
      </c>
      <c r="O662" t="str">
        <f>IFERROR(VLOOKUP(A662,'Sales Order'!A:I,9,FALSE),"Not Specified")</f>
        <v>Destination SXYQX</v>
      </c>
      <c r="P662" t="str">
        <f>IFERROR(VLOOKUP(A662,'Sales Order'!A:N,14,FALSE),"Not Specified")</f>
        <v>Venezuela</v>
      </c>
      <c r="Q662" t="str">
        <f>VLOOKUP(VLOOKUP(B662,Product!A:C,3,FALSE),Supplier!A:B,2,FALSE)</f>
        <v>Supplier JDNUG</v>
      </c>
      <c r="R662" t="str">
        <f>VLOOKUP(VLOOKUP(B662,Product!A:C,3,FALSE),Supplier!A:I,9,FALSE)</f>
        <v>USA</v>
      </c>
      <c r="S662" t="str">
        <f>IFERROR(IF(VLOOKUP(A662,'Sales Order'!A:H,8,FALSE)&gt;100,"High Freight","Low Freight"),"Not Specified")</f>
        <v>Low Freight</v>
      </c>
      <c r="T662">
        <f t="shared" si="21"/>
        <v>92</v>
      </c>
    </row>
    <row r="663" spans="1:20">
      <c r="A663" s="9">
        <v>10498</v>
      </c>
      <c r="B663" s="6">
        <v>42</v>
      </c>
      <c r="C663" s="6">
        <v>14</v>
      </c>
      <c r="D663" s="6">
        <v>30</v>
      </c>
      <c r="E663" s="18">
        <v>0</v>
      </c>
      <c r="F663" s="6" t="str">
        <f>IFERROR(VLOOKUP(VLOOKUP(A663,'Sales Order'!A:B,2,FALSE),Customer!A:C,3,FALSE),"Not Specified")</f>
        <v>Langohr, Kris</v>
      </c>
      <c r="G663" s="6" t="str">
        <f t="shared" si="20"/>
        <v>Langohr Kris</v>
      </c>
      <c r="H663" s="22" t="str">
        <f>IFERROR(VLOOKUP(VLOOKUP(A663,'Sales Order'!A:C,3,FALSE),Employee!A:E,5,FALSE)&amp;" "&amp;VLOOKUP(VLOOKUP(A663,'Sales Order'!A:C,3,FALSE),Employee!A:C,3,FALSE)&amp;" "&amp;VLOOKUP(VLOOKUP(A663,'Sales Order'!A:C,3,FALSE),Employee!A:B,2,FALSE),"Not Specified")</f>
        <v>Ms. Maria Cameron</v>
      </c>
      <c r="I663" t="str">
        <f>IFERROR(VLOOKUP(VLOOKUP(A663,'Sales Order'!A:C,3,FALSE),Employee!A:J,10,FALSE),"Not Specified")</f>
        <v>WA</v>
      </c>
      <c r="J663" t="str">
        <f>VLOOKUP(B663,Product!A:B,2,FALSE)</f>
        <v>Product RJVNM</v>
      </c>
      <c r="K663" t="str">
        <f>VLOOKUP(VLOOKUP(B663,Product!A:D,4,FALSE),Category!A:B,2,FALSE)</f>
        <v>Grains/Cereals</v>
      </c>
      <c r="L663" s="24">
        <f>IFERROR(VLOOKUP(A663,'Sales Order'!A:D,4,FALSE),"")</f>
        <v>39179</v>
      </c>
      <c r="M663" s="24">
        <f>IFERROR(VLOOKUP(A663,'Sales Order'!A:F,6,FALSE),"")</f>
        <v>39183</v>
      </c>
      <c r="N663" t="str">
        <f>IFERROR(VLOOKUP(VLOOKUP(A663,'Sales Order'!A:G,7,FALSE),Shipper!A:B,2,FALSE),"Not Specified")</f>
        <v>Shipper ETYNR</v>
      </c>
      <c r="O663" t="str">
        <f>IFERROR(VLOOKUP(A663,'Sales Order'!A:I,9,FALSE),"Not Specified")</f>
        <v>Destination SXYQX</v>
      </c>
      <c r="P663" t="str">
        <f>IFERROR(VLOOKUP(A663,'Sales Order'!A:N,14,FALSE),"Not Specified")</f>
        <v>Venezuela</v>
      </c>
      <c r="Q663" t="str">
        <f>VLOOKUP(VLOOKUP(B663,Product!A:C,3,FALSE),Supplier!A:B,2,FALSE)</f>
        <v>Supplier CIYNM</v>
      </c>
      <c r="R663" t="str">
        <f>VLOOKUP(VLOOKUP(B663,Product!A:C,3,FALSE),Supplier!A:I,9,FALSE)</f>
        <v>Singapore</v>
      </c>
      <c r="S663" t="str">
        <f>IFERROR(IF(VLOOKUP(A663,'Sales Order'!A:H,8,FALSE)&gt;100,"High Freight","Low Freight"),"Not Specified")</f>
        <v>Low Freight</v>
      </c>
      <c r="T663">
        <f t="shared" si="21"/>
        <v>420</v>
      </c>
    </row>
    <row r="664" spans="1:20">
      <c r="A664" s="9">
        <v>10499</v>
      </c>
      <c r="B664" s="6">
        <v>28</v>
      </c>
      <c r="C664" s="6">
        <v>45.6</v>
      </c>
      <c r="D664" s="6">
        <v>20</v>
      </c>
      <c r="E664" s="18">
        <v>0</v>
      </c>
      <c r="F664" s="6" t="str">
        <f>IFERROR(VLOOKUP(VLOOKUP(A664,'Sales Order'!A:B,2,FALSE),Customer!A:C,3,FALSE),"Not Specified")</f>
        <v>Dressler, Marlies</v>
      </c>
      <c r="G664" s="6" t="str">
        <f t="shared" si="20"/>
        <v>Dressler Marlies</v>
      </c>
      <c r="H664" s="22" t="str">
        <f>IFERROR(VLOOKUP(VLOOKUP(A664,'Sales Order'!A:C,3,FALSE),Employee!A:E,5,FALSE)&amp;" "&amp;VLOOKUP(VLOOKUP(A664,'Sales Order'!A:C,3,FALSE),Employee!A:C,3,FALSE)&amp;" "&amp;VLOOKUP(VLOOKUP(A664,'Sales Order'!A:C,3,FALSE),Employee!A:B,2,FALSE),"Not Specified")</f>
        <v>Mrs. Yael Peled</v>
      </c>
      <c r="I664" t="str">
        <f>IFERROR(VLOOKUP(VLOOKUP(A664,'Sales Order'!A:C,3,FALSE),Employee!A:J,10,FALSE),"Not Specified")</f>
        <v>WA</v>
      </c>
      <c r="J664" t="str">
        <f>VLOOKUP(B664,Product!A:B,2,FALSE)</f>
        <v>Product OFBNT</v>
      </c>
      <c r="K664" t="str">
        <f>VLOOKUP(VLOOKUP(B664,Product!A:D,4,FALSE),Category!A:B,2,FALSE)</f>
        <v>Produce</v>
      </c>
      <c r="L664" s="24">
        <f>IFERROR(VLOOKUP(A664,'Sales Order'!A:D,4,FALSE),"")</f>
        <v>39180</v>
      </c>
      <c r="M664" s="24">
        <f>IFERROR(VLOOKUP(A664,'Sales Order'!A:F,6,FALSE),"")</f>
        <v>39188</v>
      </c>
      <c r="N664" t="str">
        <f>IFERROR(VLOOKUP(VLOOKUP(A664,'Sales Order'!A:G,7,FALSE),Shipper!A:B,2,FALSE),"Not Specified")</f>
        <v>Shipper ETYNR</v>
      </c>
      <c r="O664" t="str">
        <f>IFERROR(VLOOKUP(A664,'Sales Order'!A:I,9,FALSE),"Not Specified")</f>
        <v>Ship to 46-C</v>
      </c>
      <c r="P664" t="str">
        <f>IFERROR(VLOOKUP(A664,'Sales Order'!A:N,14,FALSE),"Not Specified")</f>
        <v>Venezuela</v>
      </c>
      <c r="Q664" t="str">
        <f>VLOOKUP(VLOOKUP(B664,Product!A:C,3,FALSE),Supplier!A:B,2,FALSE)</f>
        <v>Supplier SVIYA</v>
      </c>
      <c r="R664" t="str">
        <f>VLOOKUP(VLOOKUP(B664,Product!A:C,3,FALSE),Supplier!A:I,9,FALSE)</f>
        <v>Germany</v>
      </c>
      <c r="S664" t="str">
        <f>IFERROR(IF(VLOOKUP(A664,'Sales Order'!A:H,8,FALSE)&gt;100,"High Freight","Low Freight"),"Not Specified")</f>
        <v>High Freight</v>
      </c>
      <c r="T664">
        <f t="shared" si="21"/>
        <v>912</v>
      </c>
    </row>
    <row r="665" spans="1:20">
      <c r="A665" s="9">
        <v>10499</v>
      </c>
      <c r="B665" s="6">
        <v>49</v>
      </c>
      <c r="C665" s="6">
        <v>20</v>
      </c>
      <c r="D665" s="6">
        <v>25</v>
      </c>
      <c r="E665" s="18">
        <v>0</v>
      </c>
      <c r="F665" s="6" t="str">
        <f>IFERROR(VLOOKUP(VLOOKUP(A665,'Sales Order'!A:B,2,FALSE),Customer!A:C,3,FALSE),"Not Specified")</f>
        <v>Dressler, Marlies</v>
      </c>
      <c r="G665" s="6" t="str">
        <f t="shared" si="20"/>
        <v>Dressler Marlies</v>
      </c>
      <c r="H665" s="22" t="str">
        <f>IFERROR(VLOOKUP(VLOOKUP(A665,'Sales Order'!A:C,3,FALSE),Employee!A:E,5,FALSE)&amp;" "&amp;VLOOKUP(VLOOKUP(A665,'Sales Order'!A:C,3,FALSE),Employee!A:C,3,FALSE)&amp;" "&amp;VLOOKUP(VLOOKUP(A665,'Sales Order'!A:C,3,FALSE),Employee!A:B,2,FALSE),"Not Specified")</f>
        <v>Mrs. Yael Peled</v>
      </c>
      <c r="I665" t="str">
        <f>IFERROR(VLOOKUP(VLOOKUP(A665,'Sales Order'!A:C,3,FALSE),Employee!A:J,10,FALSE),"Not Specified")</f>
        <v>WA</v>
      </c>
      <c r="J665" t="str">
        <f>VLOOKUP(B665,Product!A:B,2,FALSE)</f>
        <v>Product FPYPN</v>
      </c>
      <c r="K665" t="str">
        <f>VLOOKUP(VLOOKUP(B665,Product!A:D,4,FALSE),Category!A:B,2,FALSE)</f>
        <v>Confections</v>
      </c>
      <c r="L665" s="24">
        <f>IFERROR(VLOOKUP(A665,'Sales Order'!A:D,4,FALSE),"")</f>
        <v>39180</v>
      </c>
      <c r="M665" s="24">
        <f>IFERROR(VLOOKUP(A665,'Sales Order'!A:F,6,FALSE),"")</f>
        <v>39188</v>
      </c>
      <c r="N665" t="str">
        <f>IFERROR(VLOOKUP(VLOOKUP(A665,'Sales Order'!A:G,7,FALSE),Shipper!A:B,2,FALSE),"Not Specified")</f>
        <v>Shipper ETYNR</v>
      </c>
      <c r="O665" t="str">
        <f>IFERROR(VLOOKUP(A665,'Sales Order'!A:I,9,FALSE),"Not Specified")</f>
        <v>Ship to 46-C</v>
      </c>
      <c r="P665" t="str">
        <f>IFERROR(VLOOKUP(A665,'Sales Order'!A:N,14,FALSE),"Not Specified")</f>
        <v>Venezuela</v>
      </c>
      <c r="Q665" t="str">
        <f>VLOOKUP(VLOOKUP(B665,Product!A:C,3,FALSE),Supplier!A:B,2,FALSE)</f>
        <v>Supplier ELCRN</v>
      </c>
      <c r="R665" t="str">
        <f>VLOOKUP(VLOOKUP(B665,Product!A:C,3,FALSE),Supplier!A:I,9,FALSE)</f>
        <v>Finland</v>
      </c>
      <c r="S665" t="str">
        <f>IFERROR(IF(VLOOKUP(A665,'Sales Order'!A:H,8,FALSE)&gt;100,"High Freight","Low Freight"),"Not Specified")</f>
        <v>High Freight</v>
      </c>
      <c r="T665">
        <f t="shared" si="21"/>
        <v>500</v>
      </c>
    </row>
    <row r="666" spans="1:20">
      <c r="A666" s="9">
        <v>10500</v>
      </c>
      <c r="B666" s="6">
        <v>15</v>
      </c>
      <c r="C666" s="6">
        <v>15.5</v>
      </c>
      <c r="D666" s="6">
        <v>12</v>
      </c>
      <c r="E666" s="18">
        <v>0.05</v>
      </c>
      <c r="F666" s="6" t="str">
        <f>IFERROR(VLOOKUP(VLOOKUP(A666,'Sales Order'!A:B,2,FALSE),Customer!A:C,3,FALSE),"Not Specified")</f>
        <v>Litton, Tim</v>
      </c>
      <c r="G666" s="6" t="str">
        <f t="shared" si="20"/>
        <v>Litton Tim</v>
      </c>
      <c r="H666" s="22" t="str">
        <f>IFERROR(VLOOKUP(VLOOKUP(A666,'Sales Order'!A:C,3,FALSE),Employee!A:E,5,FALSE)&amp;" "&amp;VLOOKUP(VLOOKUP(A666,'Sales Order'!A:C,3,FALSE),Employee!A:C,3,FALSE)&amp;" "&amp;VLOOKUP(VLOOKUP(A666,'Sales Order'!A:C,3,FALSE),Employee!A:B,2,FALSE),"Not Specified")</f>
        <v>Mr. Paul Suurs</v>
      </c>
      <c r="I666">
        <f>IFERROR(VLOOKUP(VLOOKUP(A666,'Sales Order'!A:C,3,FALSE),Employee!A:J,10,FALSE),"Not Specified")</f>
        <v>0</v>
      </c>
      <c r="J666" t="str">
        <f>VLOOKUP(B666,Product!A:B,2,FALSE)</f>
        <v>Product KSZOI</v>
      </c>
      <c r="K666" t="str">
        <f>VLOOKUP(VLOOKUP(B666,Product!A:D,4,FALSE),Category!A:B,2,FALSE)</f>
        <v>Condiments</v>
      </c>
      <c r="L666" s="24">
        <f>IFERROR(VLOOKUP(A666,'Sales Order'!A:D,4,FALSE),"")</f>
        <v>39181</v>
      </c>
      <c r="M666" s="24">
        <f>IFERROR(VLOOKUP(A666,'Sales Order'!A:F,6,FALSE),"")</f>
        <v>39189</v>
      </c>
      <c r="N666" t="str">
        <f>IFERROR(VLOOKUP(VLOOKUP(A666,'Sales Order'!A:G,7,FALSE),Shipper!A:B,2,FALSE),"Not Specified")</f>
        <v>Shipper GVSUA</v>
      </c>
      <c r="O666" t="str">
        <f>IFERROR(VLOOKUP(A666,'Sales Order'!A:I,9,FALSE),"Not Specified")</f>
        <v>Destination OLJND</v>
      </c>
      <c r="P666" t="str">
        <f>IFERROR(VLOOKUP(A666,'Sales Order'!A:N,14,FALSE),"Not Specified")</f>
        <v>France</v>
      </c>
      <c r="Q666" t="str">
        <f>VLOOKUP(VLOOKUP(B666,Product!A:C,3,FALSE),Supplier!A:B,2,FALSE)</f>
        <v>Supplier QWUSF</v>
      </c>
      <c r="R666" t="str">
        <f>VLOOKUP(VLOOKUP(B666,Product!A:C,3,FALSE),Supplier!A:I,9,FALSE)</f>
        <v>Japan</v>
      </c>
      <c r="S666" t="str">
        <f>IFERROR(IF(VLOOKUP(A666,'Sales Order'!A:H,8,FALSE)&gt;100,"High Freight","Low Freight"),"Not Specified")</f>
        <v>Low Freight</v>
      </c>
      <c r="T666">
        <f t="shared" si="21"/>
        <v>176.7</v>
      </c>
    </row>
    <row r="667" spans="1:20">
      <c r="A667" s="9">
        <v>10500</v>
      </c>
      <c r="B667" s="6">
        <v>28</v>
      </c>
      <c r="C667" s="6">
        <v>45.6</v>
      </c>
      <c r="D667" s="6">
        <v>8</v>
      </c>
      <c r="E667" s="18">
        <v>0.05</v>
      </c>
      <c r="F667" s="6" t="str">
        <f>IFERROR(VLOOKUP(VLOOKUP(A667,'Sales Order'!A:B,2,FALSE),Customer!A:C,3,FALSE),"Not Specified")</f>
        <v>Litton, Tim</v>
      </c>
      <c r="G667" s="6" t="str">
        <f t="shared" si="20"/>
        <v>Litton Tim</v>
      </c>
      <c r="H667" s="22" t="str">
        <f>IFERROR(VLOOKUP(VLOOKUP(A667,'Sales Order'!A:C,3,FALSE),Employee!A:E,5,FALSE)&amp;" "&amp;VLOOKUP(VLOOKUP(A667,'Sales Order'!A:C,3,FALSE),Employee!A:C,3,FALSE)&amp;" "&amp;VLOOKUP(VLOOKUP(A667,'Sales Order'!A:C,3,FALSE),Employee!A:B,2,FALSE),"Not Specified")</f>
        <v>Mr. Paul Suurs</v>
      </c>
      <c r="I667">
        <f>IFERROR(VLOOKUP(VLOOKUP(A667,'Sales Order'!A:C,3,FALSE),Employee!A:J,10,FALSE),"Not Specified")</f>
        <v>0</v>
      </c>
      <c r="J667" t="str">
        <f>VLOOKUP(B667,Product!A:B,2,FALSE)</f>
        <v>Product OFBNT</v>
      </c>
      <c r="K667" t="str">
        <f>VLOOKUP(VLOOKUP(B667,Product!A:D,4,FALSE),Category!A:B,2,FALSE)</f>
        <v>Produce</v>
      </c>
      <c r="L667" s="24">
        <f>IFERROR(VLOOKUP(A667,'Sales Order'!A:D,4,FALSE),"")</f>
        <v>39181</v>
      </c>
      <c r="M667" s="24">
        <f>IFERROR(VLOOKUP(A667,'Sales Order'!A:F,6,FALSE),"")</f>
        <v>39189</v>
      </c>
      <c r="N667" t="str">
        <f>IFERROR(VLOOKUP(VLOOKUP(A667,'Sales Order'!A:G,7,FALSE),Shipper!A:B,2,FALSE),"Not Specified")</f>
        <v>Shipper GVSUA</v>
      </c>
      <c r="O667" t="str">
        <f>IFERROR(VLOOKUP(A667,'Sales Order'!A:I,9,FALSE),"Not Specified")</f>
        <v>Destination OLJND</v>
      </c>
      <c r="P667" t="str">
        <f>IFERROR(VLOOKUP(A667,'Sales Order'!A:N,14,FALSE),"Not Specified")</f>
        <v>France</v>
      </c>
      <c r="Q667" t="str">
        <f>VLOOKUP(VLOOKUP(B667,Product!A:C,3,FALSE),Supplier!A:B,2,FALSE)</f>
        <v>Supplier SVIYA</v>
      </c>
      <c r="R667" t="str">
        <f>VLOOKUP(VLOOKUP(B667,Product!A:C,3,FALSE),Supplier!A:I,9,FALSE)</f>
        <v>Germany</v>
      </c>
      <c r="S667" t="str">
        <f>IFERROR(IF(VLOOKUP(A667,'Sales Order'!A:H,8,FALSE)&gt;100,"High Freight","Low Freight"),"Not Specified")</f>
        <v>Low Freight</v>
      </c>
      <c r="T667">
        <f t="shared" si="21"/>
        <v>346.56</v>
      </c>
    </row>
    <row r="668" spans="1:20">
      <c r="A668" s="9">
        <v>10501</v>
      </c>
      <c r="B668" s="6">
        <v>54</v>
      </c>
      <c r="C668" s="6">
        <v>7.45</v>
      </c>
      <c r="D668" s="6">
        <v>20</v>
      </c>
      <c r="E668" s="18">
        <v>0</v>
      </c>
      <c r="F668" s="6" t="str">
        <f>IFERROR(VLOOKUP(VLOOKUP(A668,'Sales Order'!A:B,2,FALSE),Customer!A:C,3,FALSE),"Not Specified")</f>
        <v>Poland, Carole</v>
      </c>
      <c r="G668" s="6" t="str">
        <f t="shared" si="20"/>
        <v>Poland Carole</v>
      </c>
      <c r="H668" s="22" t="str">
        <f>IFERROR(VLOOKUP(VLOOKUP(A668,'Sales Order'!A:C,3,FALSE),Employee!A:E,5,FALSE)&amp;" "&amp;VLOOKUP(VLOOKUP(A668,'Sales Order'!A:C,3,FALSE),Employee!A:C,3,FALSE)&amp;" "&amp;VLOOKUP(VLOOKUP(A668,'Sales Order'!A:C,3,FALSE),Employee!A:B,2,FALSE),"Not Specified")</f>
        <v>Ms. Zoya Dolgopyatova</v>
      </c>
      <c r="I668">
        <f>IFERROR(VLOOKUP(VLOOKUP(A668,'Sales Order'!A:C,3,FALSE),Employee!A:J,10,FALSE),"Not Specified")</f>
        <v>0</v>
      </c>
      <c r="J668" t="str">
        <f>VLOOKUP(B668,Product!A:B,2,FALSE)</f>
        <v>Product QAQRL</v>
      </c>
      <c r="K668" t="str">
        <f>VLOOKUP(VLOOKUP(B668,Product!A:D,4,FALSE),Category!A:B,2,FALSE)</f>
        <v>Meat/Poultry</v>
      </c>
      <c r="L668" s="24">
        <f>IFERROR(VLOOKUP(A668,'Sales Order'!A:D,4,FALSE),"")</f>
        <v>39181</v>
      </c>
      <c r="M668" s="24">
        <f>IFERROR(VLOOKUP(A668,'Sales Order'!A:F,6,FALSE),"")</f>
        <v>39188</v>
      </c>
      <c r="N668" t="str">
        <f>IFERROR(VLOOKUP(VLOOKUP(A668,'Sales Order'!A:G,7,FALSE),Shipper!A:B,2,FALSE),"Not Specified")</f>
        <v>Shipper ZHISN</v>
      </c>
      <c r="O668" t="str">
        <f>IFERROR(VLOOKUP(A668,'Sales Order'!A:I,9,FALSE),"Not Specified")</f>
        <v>Ship to 6-C</v>
      </c>
      <c r="P668" t="str">
        <f>IFERROR(VLOOKUP(A668,'Sales Order'!A:N,14,FALSE),"Not Specified")</f>
        <v>Germany</v>
      </c>
      <c r="Q668" t="str">
        <f>VLOOKUP(VLOOKUP(B668,Product!A:C,3,FALSE),Supplier!A:B,2,FALSE)</f>
        <v>Supplier ERVYZ</v>
      </c>
      <c r="R668" t="str">
        <f>VLOOKUP(VLOOKUP(B668,Product!A:C,3,FALSE),Supplier!A:I,9,FALSE)</f>
        <v>Canada</v>
      </c>
      <c r="S668" t="str">
        <f>IFERROR(IF(VLOOKUP(A668,'Sales Order'!A:H,8,FALSE)&gt;100,"High Freight","Low Freight"),"Not Specified")</f>
        <v>Low Freight</v>
      </c>
      <c r="T668">
        <f t="shared" si="21"/>
        <v>149</v>
      </c>
    </row>
    <row r="669" spans="1:20">
      <c r="A669" s="9">
        <v>10502</v>
      </c>
      <c r="B669" s="6">
        <v>45</v>
      </c>
      <c r="C669" s="6">
        <v>9.5</v>
      </c>
      <c r="D669" s="6">
        <v>21</v>
      </c>
      <c r="E669" s="18">
        <v>0</v>
      </c>
      <c r="F669" s="6" t="str">
        <f>IFERROR(VLOOKUP(VLOOKUP(A669,'Sales Order'!A:B,2,FALSE),Customer!A:C,3,FALSE),"Not Specified")</f>
        <v>Fakhouri, Fadi</v>
      </c>
      <c r="G669" s="6" t="str">
        <f t="shared" si="20"/>
        <v>Fakhouri Fadi</v>
      </c>
      <c r="H669" s="22" t="str">
        <f>IFERROR(VLOOKUP(VLOOKUP(A669,'Sales Order'!A:C,3,FALSE),Employee!A:E,5,FALSE)&amp;" "&amp;VLOOKUP(VLOOKUP(A669,'Sales Order'!A:C,3,FALSE),Employee!A:C,3,FALSE)&amp;" "&amp;VLOOKUP(VLOOKUP(A669,'Sales Order'!A:C,3,FALSE),Employee!A:B,2,FALSE),"Not Specified")</f>
        <v>Dr. Don Funk</v>
      </c>
      <c r="I669" t="str">
        <f>IFERROR(VLOOKUP(VLOOKUP(A669,'Sales Order'!A:C,3,FALSE),Employee!A:J,10,FALSE),"Not Specified")</f>
        <v>WA</v>
      </c>
      <c r="J669" t="str">
        <f>VLOOKUP(B669,Product!A:B,2,FALSE)</f>
        <v>Product AQOKR</v>
      </c>
      <c r="K669" t="str">
        <f>VLOOKUP(VLOOKUP(B669,Product!A:D,4,FALSE),Category!A:B,2,FALSE)</f>
        <v>Seafood</v>
      </c>
      <c r="L669" s="24">
        <f>IFERROR(VLOOKUP(A669,'Sales Order'!A:D,4,FALSE),"")</f>
        <v>39182</v>
      </c>
      <c r="M669" s="24">
        <f>IFERROR(VLOOKUP(A669,'Sales Order'!A:F,6,FALSE),"")</f>
        <v>39201</v>
      </c>
      <c r="N669" t="str">
        <f>IFERROR(VLOOKUP(VLOOKUP(A669,'Sales Order'!A:G,7,FALSE),Shipper!A:B,2,FALSE),"Not Specified")</f>
        <v>Shipper GVSUA</v>
      </c>
      <c r="O669" t="str">
        <f>IFERROR(VLOOKUP(A669,'Sales Order'!A:I,9,FALSE),"Not Specified")</f>
        <v>Ship to 58-B</v>
      </c>
      <c r="P669" t="str">
        <f>IFERROR(VLOOKUP(A669,'Sales Order'!A:N,14,FALSE),"Not Specified")</f>
        <v>Mexico</v>
      </c>
      <c r="Q669" t="str">
        <f>VLOOKUP(VLOOKUP(B669,Product!A:C,3,FALSE),Supplier!A:B,2,FALSE)</f>
        <v>Supplier XOXZA</v>
      </c>
      <c r="R669" t="str">
        <f>VLOOKUP(VLOOKUP(B669,Product!A:C,3,FALSE),Supplier!A:I,9,FALSE)</f>
        <v>Denmark</v>
      </c>
      <c r="S669" t="str">
        <f>IFERROR(IF(VLOOKUP(A669,'Sales Order'!A:H,8,FALSE)&gt;100,"High Freight","Low Freight"),"Not Specified")</f>
        <v>Low Freight</v>
      </c>
      <c r="T669">
        <f t="shared" si="21"/>
        <v>199.5</v>
      </c>
    </row>
    <row r="670" spans="1:20">
      <c r="A670" s="9">
        <v>10502</v>
      </c>
      <c r="B670" s="6">
        <v>53</v>
      </c>
      <c r="C670" s="6">
        <v>32.799999999999997</v>
      </c>
      <c r="D670" s="6">
        <v>6</v>
      </c>
      <c r="E670" s="18">
        <v>0</v>
      </c>
      <c r="F670" s="6" t="str">
        <f>IFERROR(VLOOKUP(VLOOKUP(A670,'Sales Order'!A:B,2,FALSE),Customer!A:C,3,FALSE),"Not Specified")</f>
        <v>Fakhouri, Fadi</v>
      </c>
      <c r="G670" s="6" t="str">
        <f t="shared" si="20"/>
        <v>Fakhouri Fadi</v>
      </c>
      <c r="H670" s="22" t="str">
        <f>IFERROR(VLOOKUP(VLOOKUP(A670,'Sales Order'!A:C,3,FALSE),Employee!A:E,5,FALSE)&amp;" "&amp;VLOOKUP(VLOOKUP(A670,'Sales Order'!A:C,3,FALSE),Employee!A:C,3,FALSE)&amp;" "&amp;VLOOKUP(VLOOKUP(A670,'Sales Order'!A:C,3,FALSE),Employee!A:B,2,FALSE),"Not Specified")</f>
        <v>Dr. Don Funk</v>
      </c>
      <c r="I670" t="str">
        <f>IFERROR(VLOOKUP(VLOOKUP(A670,'Sales Order'!A:C,3,FALSE),Employee!A:J,10,FALSE),"Not Specified")</f>
        <v>WA</v>
      </c>
      <c r="J670" t="str">
        <f>VLOOKUP(B670,Product!A:B,2,FALSE)</f>
        <v>Product BKGEA</v>
      </c>
      <c r="K670" t="str">
        <f>VLOOKUP(VLOOKUP(B670,Product!A:D,4,FALSE),Category!A:B,2,FALSE)</f>
        <v>Meat/Poultry</v>
      </c>
      <c r="L670" s="24">
        <f>IFERROR(VLOOKUP(A670,'Sales Order'!A:D,4,FALSE),"")</f>
        <v>39182</v>
      </c>
      <c r="M670" s="24">
        <f>IFERROR(VLOOKUP(A670,'Sales Order'!A:F,6,FALSE),"")</f>
        <v>39201</v>
      </c>
      <c r="N670" t="str">
        <f>IFERROR(VLOOKUP(VLOOKUP(A670,'Sales Order'!A:G,7,FALSE),Shipper!A:B,2,FALSE),"Not Specified")</f>
        <v>Shipper GVSUA</v>
      </c>
      <c r="O670" t="str">
        <f>IFERROR(VLOOKUP(A670,'Sales Order'!A:I,9,FALSE),"Not Specified")</f>
        <v>Ship to 58-B</v>
      </c>
      <c r="P670" t="str">
        <f>IFERROR(VLOOKUP(A670,'Sales Order'!A:N,14,FALSE),"Not Specified")</f>
        <v>Mexico</v>
      </c>
      <c r="Q670" t="str">
        <f>VLOOKUP(VLOOKUP(B670,Product!A:C,3,FALSE),Supplier!A:B,2,FALSE)</f>
        <v>Supplier JNNES</v>
      </c>
      <c r="R670" t="str">
        <f>VLOOKUP(VLOOKUP(B670,Product!A:C,3,FALSE),Supplier!A:I,9,FALSE)</f>
        <v>Australia</v>
      </c>
      <c r="S670" t="str">
        <f>IFERROR(IF(VLOOKUP(A670,'Sales Order'!A:H,8,FALSE)&gt;100,"High Freight","Low Freight"),"Not Specified")</f>
        <v>Low Freight</v>
      </c>
      <c r="T670">
        <f t="shared" si="21"/>
        <v>196.79999999999998</v>
      </c>
    </row>
    <row r="671" spans="1:20">
      <c r="A671" s="9">
        <v>10502</v>
      </c>
      <c r="B671" s="6">
        <v>67</v>
      </c>
      <c r="C671" s="6">
        <v>14</v>
      </c>
      <c r="D671" s="6">
        <v>30</v>
      </c>
      <c r="E671" s="18">
        <v>0</v>
      </c>
      <c r="F671" s="6" t="str">
        <f>IFERROR(VLOOKUP(VLOOKUP(A671,'Sales Order'!A:B,2,FALSE),Customer!A:C,3,FALSE),"Not Specified")</f>
        <v>Fakhouri, Fadi</v>
      </c>
      <c r="G671" s="6" t="str">
        <f t="shared" si="20"/>
        <v>Fakhouri Fadi</v>
      </c>
      <c r="H671" s="22" t="str">
        <f>IFERROR(VLOOKUP(VLOOKUP(A671,'Sales Order'!A:C,3,FALSE),Employee!A:E,5,FALSE)&amp;" "&amp;VLOOKUP(VLOOKUP(A671,'Sales Order'!A:C,3,FALSE),Employee!A:C,3,FALSE)&amp;" "&amp;VLOOKUP(VLOOKUP(A671,'Sales Order'!A:C,3,FALSE),Employee!A:B,2,FALSE),"Not Specified")</f>
        <v>Dr. Don Funk</v>
      </c>
      <c r="I671" t="str">
        <f>IFERROR(VLOOKUP(VLOOKUP(A671,'Sales Order'!A:C,3,FALSE),Employee!A:J,10,FALSE),"Not Specified")</f>
        <v>WA</v>
      </c>
      <c r="J671" t="str">
        <f>VLOOKUP(B671,Product!A:B,2,FALSE)</f>
        <v>Product XLXQF</v>
      </c>
      <c r="K671" t="str">
        <f>VLOOKUP(VLOOKUP(B671,Product!A:D,4,FALSE),Category!A:B,2,FALSE)</f>
        <v>Beverages</v>
      </c>
      <c r="L671" s="24">
        <f>IFERROR(VLOOKUP(A671,'Sales Order'!A:D,4,FALSE),"")</f>
        <v>39182</v>
      </c>
      <c r="M671" s="24">
        <f>IFERROR(VLOOKUP(A671,'Sales Order'!A:F,6,FALSE),"")</f>
        <v>39201</v>
      </c>
      <c r="N671" t="str">
        <f>IFERROR(VLOOKUP(VLOOKUP(A671,'Sales Order'!A:G,7,FALSE),Shipper!A:B,2,FALSE),"Not Specified")</f>
        <v>Shipper GVSUA</v>
      </c>
      <c r="O671" t="str">
        <f>IFERROR(VLOOKUP(A671,'Sales Order'!A:I,9,FALSE),"Not Specified")</f>
        <v>Ship to 58-B</v>
      </c>
      <c r="P671" t="str">
        <f>IFERROR(VLOOKUP(A671,'Sales Order'!A:N,14,FALSE),"Not Specified")</f>
        <v>Mexico</v>
      </c>
      <c r="Q671" t="str">
        <f>VLOOKUP(VLOOKUP(B671,Product!A:C,3,FALSE),Supplier!A:B,2,FALSE)</f>
        <v>Supplier UHZRG</v>
      </c>
      <c r="R671" t="str">
        <f>VLOOKUP(VLOOKUP(B671,Product!A:C,3,FALSE),Supplier!A:I,9,FALSE)</f>
        <v>USA</v>
      </c>
      <c r="S671" t="str">
        <f>IFERROR(IF(VLOOKUP(A671,'Sales Order'!A:H,8,FALSE)&gt;100,"High Freight","Low Freight"),"Not Specified")</f>
        <v>Low Freight</v>
      </c>
      <c r="T671">
        <f t="shared" si="21"/>
        <v>420</v>
      </c>
    </row>
    <row r="672" spans="1:20">
      <c r="A672" s="9">
        <v>10503</v>
      </c>
      <c r="B672" s="6">
        <v>14</v>
      </c>
      <c r="C672" s="6">
        <v>23.25</v>
      </c>
      <c r="D672" s="6">
        <v>70</v>
      </c>
      <c r="E672" s="18">
        <v>0</v>
      </c>
      <c r="F672" s="6" t="str">
        <f>IFERROR(VLOOKUP(VLOOKUP(A672,'Sales Order'!A:B,2,FALSE),Customer!A:C,3,FALSE),"Not Specified")</f>
        <v>Crăciun, Ovidiu V.</v>
      </c>
      <c r="G672" s="6" t="str">
        <f t="shared" si="20"/>
        <v>Crăciun Ovidiu V.</v>
      </c>
      <c r="H672" s="22" t="str">
        <f>IFERROR(VLOOKUP(VLOOKUP(A672,'Sales Order'!A:C,3,FALSE),Employee!A:E,5,FALSE)&amp;" "&amp;VLOOKUP(VLOOKUP(A672,'Sales Order'!A:C,3,FALSE),Employee!A:C,3,FALSE)&amp;" "&amp;VLOOKUP(VLOOKUP(A672,'Sales Order'!A:C,3,FALSE),Employee!A:B,2,FALSE),"Not Specified")</f>
        <v>Mr. Paul Suurs</v>
      </c>
      <c r="I672">
        <f>IFERROR(VLOOKUP(VLOOKUP(A672,'Sales Order'!A:C,3,FALSE),Employee!A:J,10,FALSE),"Not Specified")</f>
        <v>0</v>
      </c>
      <c r="J672" t="str">
        <f>VLOOKUP(B672,Product!A:B,2,FALSE)</f>
        <v>Product PWCJB</v>
      </c>
      <c r="K672" t="str">
        <f>VLOOKUP(VLOOKUP(B672,Product!A:D,4,FALSE),Category!A:B,2,FALSE)</f>
        <v>Produce</v>
      </c>
      <c r="L672" s="24">
        <f>IFERROR(VLOOKUP(A672,'Sales Order'!A:D,4,FALSE),"")</f>
        <v>39183</v>
      </c>
      <c r="M672" s="24">
        <f>IFERROR(VLOOKUP(A672,'Sales Order'!A:F,6,FALSE),"")</f>
        <v>39188</v>
      </c>
      <c r="N672" t="str">
        <f>IFERROR(VLOOKUP(VLOOKUP(A672,'Sales Order'!A:G,7,FALSE),Shipper!A:B,2,FALSE),"Not Specified")</f>
        <v>Shipper ETYNR</v>
      </c>
      <c r="O672" t="str">
        <f>IFERROR(VLOOKUP(A672,'Sales Order'!A:I,9,FALSE),"Not Specified")</f>
        <v>Destination ATSOA</v>
      </c>
      <c r="P672" t="str">
        <f>IFERROR(VLOOKUP(A672,'Sales Order'!A:N,14,FALSE),"Not Specified")</f>
        <v>Ireland</v>
      </c>
      <c r="Q672" t="str">
        <f>VLOOKUP(VLOOKUP(B672,Product!A:C,3,FALSE),Supplier!A:B,2,FALSE)</f>
        <v>Supplier QWUSF</v>
      </c>
      <c r="R672" t="str">
        <f>VLOOKUP(VLOOKUP(B672,Product!A:C,3,FALSE),Supplier!A:I,9,FALSE)</f>
        <v>Japan</v>
      </c>
      <c r="S672" t="str">
        <f>IFERROR(IF(VLOOKUP(A672,'Sales Order'!A:H,8,FALSE)&gt;100,"High Freight","Low Freight"),"Not Specified")</f>
        <v>Low Freight</v>
      </c>
      <c r="T672">
        <f t="shared" si="21"/>
        <v>1627.5</v>
      </c>
    </row>
    <row r="673" spans="1:20">
      <c r="A673" s="9">
        <v>10503</v>
      </c>
      <c r="B673" s="6">
        <v>65</v>
      </c>
      <c r="C673" s="6">
        <v>21.05</v>
      </c>
      <c r="D673" s="6">
        <v>20</v>
      </c>
      <c r="E673" s="18">
        <v>0</v>
      </c>
      <c r="F673" s="6" t="str">
        <f>IFERROR(VLOOKUP(VLOOKUP(A673,'Sales Order'!A:B,2,FALSE),Customer!A:C,3,FALSE),"Not Specified")</f>
        <v>Crăciun, Ovidiu V.</v>
      </c>
      <c r="G673" s="6" t="str">
        <f t="shared" si="20"/>
        <v>Crăciun Ovidiu V.</v>
      </c>
      <c r="H673" s="22" t="str">
        <f>IFERROR(VLOOKUP(VLOOKUP(A673,'Sales Order'!A:C,3,FALSE),Employee!A:E,5,FALSE)&amp;" "&amp;VLOOKUP(VLOOKUP(A673,'Sales Order'!A:C,3,FALSE),Employee!A:C,3,FALSE)&amp;" "&amp;VLOOKUP(VLOOKUP(A673,'Sales Order'!A:C,3,FALSE),Employee!A:B,2,FALSE),"Not Specified")</f>
        <v>Mr. Paul Suurs</v>
      </c>
      <c r="I673">
        <f>IFERROR(VLOOKUP(VLOOKUP(A673,'Sales Order'!A:C,3,FALSE),Employee!A:J,10,FALSE),"Not Specified")</f>
        <v>0</v>
      </c>
      <c r="J673" t="str">
        <f>VLOOKUP(B673,Product!A:B,2,FALSE)</f>
        <v>Product XYWBZ</v>
      </c>
      <c r="K673" t="str">
        <f>VLOOKUP(VLOOKUP(B673,Product!A:D,4,FALSE),Category!A:B,2,FALSE)</f>
        <v>Condiments</v>
      </c>
      <c r="L673" s="24">
        <f>IFERROR(VLOOKUP(A673,'Sales Order'!A:D,4,FALSE),"")</f>
        <v>39183</v>
      </c>
      <c r="M673" s="24">
        <f>IFERROR(VLOOKUP(A673,'Sales Order'!A:F,6,FALSE),"")</f>
        <v>39188</v>
      </c>
      <c r="N673" t="str">
        <f>IFERROR(VLOOKUP(VLOOKUP(A673,'Sales Order'!A:G,7,FALSE),Shipper!A:B,2,FALSE),"Not Specified")</f>
        <v>Shipper ETYNR</v>
      </c>
      <c r="O673" t="str">
        <f>IFERROR(VLOOKUP(A673,'Sales Order'!A:I,9,FALSE),"Not Specified")</f>
        <v>Destination ATSOA</v>
      </c>
      <c r="P673" t="str">
        <f>IFERROR(VLOOKUP(A673,'Sales Order'!A:N,14,FALSE),"Not Specified")</f>
        <v>Ireland</v>
      </c>
      <c r="Q673" t="str">
        <f>VLOOKUP(VLOOKUP(B673,Product!A:C,3,FALSE),Supplier!A:B,2,FALSE)</f>
        <v>Supplier VHQZD</v>
      </c>
      <c r="R673" t="str">
        <f>VLOOKUP(VLOOKUP(B673,Product!A:C,3,FALSE),Supplier!A:I,9,FALSE)</f>
        <v>USA</v>
      </c>
      <c r="S673" t="str">
        <f>IFERROR(IF(VLOOKUP(A673,'Sales Order'!A:H,8,FALSE)&gt;100,"High Freight","Low Freight"),"Not Specified")</f>
        <v>Low Freight</v>
      </c>
      <c r="T673">
        <f t="shared" si="21"/>
        <v>421</v>
      </c>
    </row>
    <row r="674" spans="1:20">
      <c r="A674" s="9">
        <v>10504</v>
      </c>
      <c r="B674" s="6">
        <v>2</v>
      </c>
      <c r="C674" s="6">
        <v>19</v>
      </c>
      <c r="D674" s="6">
        <v>12</v>
      </c>
      <c r="E674" s="18">
        <v>0</v>
      </c>
      <c r="F674" s="6" t="str">
        <f>IFERROR(VLOOKUP(VLOOKUP(A674,'Sales Order'!A:B,2,FALSE),Customer!A:C,3,FALSE),"Not Specified")</f>
        <v>Smith Jr., Ronaldo</v>
      </c>
      <c r="G674" s="6" t="str">
        <f t="shared" si="20"/>
        <v>Smith Jr. Ronaldo</v>
      </c>
      <c r="H674" s="22" t="str">
        <f>IFERROR(VLOOKUP(VLOOKUP(A674,'Sales Order'!A:C,3,FALSE),Employee!A:E,5,FALSE)&amp;" "&amp;VLOOKUP(VLOOKUP(A674,'Sales Order'!A:C,3,FALSE),Employee!A:C,3,FALSE)&amp;" "&amp;VLOOKUP(VLOOKUP(A674,'Sales Order'!A:C,3,FALSE),Employee!A:B,2,FALSE),"Not Specified")</f>
        <v>Mrs. Yael Peled</v>
      </c>
      <c r="I674" t="str">
        <f>IFERROR(VLOOKUP(VLOOKUP(A674,'Sales Order'!A:C,3,FALSE),Employee!A:J,10,FALSE),"Not Specified")</f>
        <v>WA</v>
      </c>
      <c r="J674" t="str">
        <f>VLOOKUP(B674,Product!A:B,2,FALSE)</f>
        <v>Product RECZE</v>
      </c>
      <c r="K674" t="str">
        <f>VLOOKUP(VLOOKUP(B674,Product!A:D,4,FALSE),Category!A:B,2,FALSE)</f>
        <v>Beverages</v>
      </c>
      <c r="L674" s="24">
        <f>IFERROR(VLOOKUP(A674,'Sales Order'!A:D,4,FALSE),"")</f>
        <v>39183</v>
      </c>
      <c r="M674" s="24">
        <f>IFERROR(VLOOKUP(A674,'Sales Order'!A:F,6,FALSE),"")</f>
        <v>39190</v>
      </c>
      <c r="N674" t="str">
        <f>IFERROR(VLOOKUP(VLOOKUP(A674,'Sales Order'!A:G,7,FALSE),Shipper!A:B,2,FALSE),"Not Specified")</f>
        <v>Shipper ZHISN</v>
      </c>
      <c r="O674" t="str">
        <f>IFERROR(VLOOKUP(A674,'Sales Order'!A:I,9,FALSE),"Not Specified")</f>
        <v>Ship to 89-B</v>
      </c>
      <c r="P674" t="str">
        <f>IFERROR(VLOOKUP(A674,'Sales Order'!A:N,14,FALSE),"Not Specified")</f>
        <v>USA</v>
      </c>
      <c r="Q674" t="str">
        <f>VLOOKUP(VLOOKUP(B674,Product!A:C,3,FALSE),Supplier!A:B,2,FALSE)</f>
        <v>Supplier SWRXU</v>
      </c>
      <c r="R674" t="str">
        <f>VLOOKUP(VLOOKUP(B674,Product!A:C,3,FALSE),Supplier!A:I,9,FALSE)</f>
        <v>UK</v>
      </c>
      <c r="S674" t="str">
        <f>IFERROR(IF(VLOOKUP(A674,'Sales Order'!A:H,8,FALSE)&gt;100,"High Freight","Low Freight"),"Not Specified")</f>
        <v>Low Freight</v>
      </c>
      <c r="T674">
        <f t="shared" si="21"/>
        <v>228</v>
      </c>
    </row>
    <row r="675" spans="1:20">
      <c r="A675" s="9">
        <v>10504</v>
      </c>
      <c r="B675" s="6">
        <v>21</v>
      </c>
      <c r="C675" s="6">
        <v>10</v>
      </c>
      <c r="D675" s="6">
        <v>12</v>
      </c>
      <c r="E675" s="18">
        <v>0</v>
      </c>
      <c r="F675" s="6" t="str">
        <f>IFERROR(VLOOKUP(VLOOKUP(A675,'Sales Order'!A:B,2,FALSE),Customer!A:C,3,FALSE),"Not Specified")</f>
        <v>Smith Jr., Ronaldo</v>
      </c>
      <c r="G675" s="6" t="str">
        <f t="shared" si="20"/>
        <v>Smith Jr. Ronaldo</v>
      </c>
      <c r="H675" s="22" t="str">
        <f>IFERROR(VLOOKUP(VLOOKUP(A675,'Sales Order'!A:C,3,FALSE),Employee!A:E,5,FALSE)&amp;" "&amp;VLOOKUP(VLOOKUP(A675,'Sales Order'!A:C,3,FALSE),Employee!A:C,3,FALSE)&amp;" "&amp;VLOOKUP(VLOOKUP(A675,'Sales Order'!A:C,3,FALSE),Employee!A:B,2,FALSE),"Not Specified")</f>
        <v>Mrs. Yael Peled</v>
      </c>
      <c r="I675" t="str">
        <f>IFERROR(VLOOKUP(VLOOKUP(A675,'Sales Order'!A:C,3,FALSE),Employee!A:J,10,FALSE),"Not Specified")</f>
        <v>WA</v>
      </c>
      <c r="J675" t="str">
        <f>VLOOKUP(B675,Product!A:B,2,FALSE)</f>
        <v>Product VJZZH</v>
      </c>
      <c r="K675" t="str">
        <f>VLOOKUP(VLOOKUP(B675,Product!A:D,4,FALSE),Category!A:B,2,FALSE)</f>
        <v>Confections</v>
      </c>
      <c r="L675" s="24">
        <f>IFERROR(VLOOKUP(A675,'Sales Order'!A:D,4,FALSE),"")</f>
        <v>39183</v>
      </c>
      <c r="M675" s="24">
        <f>IFERROR(VLOOKUP(A675,'Sales Order'!A:F,6,FALSE),"")</f>
        <v>39190</v>
      </c>
      <c r="N675" t="str">
        <f>IFERROR(VLOOKUP(VLOOKUP(A675,'Sales Order'!A:G,7,FALSE),Shipper!A:B,2,FALSE),"Not Specified")</f>
        <v>Shipper ZHISN</v>
      </c>
      <c r="O675" t="str">
        <f>IFERROR(VLOOKUP(A675,'Sales Order'!A:I,9,FALSE),"Not Specified")</f>
        <v>Ship to 89-B</v>
      </c>
      <c r="P675" t="str">
        <f>IFERROR(VLOOKUP(A675,'Sales Order'!A:N,14,FALSE),"Not Specified")</f>
        <v>USA</v>
      </c>
      <c r="Q675" t="str">
        <f>VLOOKUP(VLOOKUP(B675,Product!A:C,3,FALSE),Supplier!A:B,2,FALSE)</f>
        <v>Supplier BWGYE</v>
      </c>
      <c r="R675" t="str">
        <f>VLOOKUP(VLOOKUP(B675,Product!A:C,3,FALSE),Supplier!A:I,9,FALSE)</f>
        <v>UK</v>
      </c>
      <c r="S675" t="str">
        <f>IFERROR(IF(VLOOKUP(A675,'Sales Order'!A:H,8,FALSE)&gt;100,"High Freight","Low Freight"),"Not Specified")</f>
        <v>Low Freight</v>
      </c>
      <c r="T675">
        <f t="shared" si="21"/>
        <v>120</v>
      </c>
    </row>
    <row r="676" spans="1:20">
      <c r="A676" s="9">
        <v>10504</v>
      </c>
      <c r="B676" s="6">
        <v>53</v>
      </c>
      <c r="C676" s="6">
        <v>32.799999999999997</v>
      </c>
      <c r="D676" s="6">
        <v>10</v>
      </c>
      <c r="E676" s="18">
        <v>0</v>
      </c>
      <c r="F676" s="6" t="str">
        <f>IFERROR(VLOOKUP(VLOOKUP(A676,'Sales Order'!A:B,2,FALSE),Customer!A:C,3,FALSE),"Not Specified")</f>
        <v>Smith Jr., Ronaldo</v>
      </c>
      <c r="G676" s="6" t="str">
        <f t="shared" si="20"/>
        <v>Smith Jr. Ronaldo</v>
      </c>
      <c r="H676" s="22" t="str">
        <f>IFERROR(VLOOKUP(VLOOKUP(A676,'Sales Order'!A:C,3,FALSE),Employee!A:E,5,FALSE)&amp;" "&amp;VLOOKUP(VLOOKUP(A676,'Sales Order'!A:C,3,FALSE),Employee!A:C,3,FALSE)&amp;" "&amp;VLOOKUP(VLOOKUP(A676,'Sales Order'!A:C,3,FALSE),Employee!A:B,2,FALSE),"Not Specified")</f>
        <v>Mrs. Yael Peled</v>
      </c>
      <c r="I676" t="str">
        <f>IFERROR(VLOOKUP(VLOOKUP(A676,'Sales Order'!A:C,3,FALSE),Employee!A:J,10,FALSE),"Not Specified")</f>
        <v>WA</v>
      </c>
      <c r="J676" t="str">
        <f>VLOOKUP(B676,Product!A:B,2,FALSE)</f>
        <v>Product BKGEA</v>
      </c>
      <c r="K676" t="str">
        <f>VLOOKUP(VLOOKUP(B676,Product!A:D,4,FALSE),Category!A:B,2,FALSE)</f>
        <v>Meat/Poultry</v>
      </c>
      <c r="L676" s="24">
        <f>IFERROR(VLOOKUP(A676,'Sales Order'!A:D,4,FALSE),"")</f>
        <v>39183</v>
      </c>
      <c r="M676" s="24">
        <f>IFERROR(VLOOKUP(A676,'Sales Order'!A:F,6,FALSE),"")</f>
        <v>39190</v>
      </c>
      <c r="N676" t="str">
        <f>IFERROR(VLOOKUP(VLOOKUP(A676,'Sales Order'!A:G,7,FALSE),Shipper!A:B,2,FALSE),"Not Specified")</f>
        <v>Shipper ZHISN</v>
      </c>
      <c r="O676" t="str">
        <f>IFERROR(VLOOKUP(A676,'Sales Order'!A:I,9,FALSE),"Not Specified")</f>
        <v>Ship to 89-B</v>
      </c>
      <c r="P676" t="str">
        <f>IFERROR(VLOOKUP(A676,'Sales Order'!A:N,14,FALSE),"Not Specified")</f>
        <v>USA</v>
      </c>
      <c r="Q676" t="str">
        <f>VLOOKUP(VLOOKUP(B676,Product!A:C,3,FALSE),Supplier!A:B,2,FALSE)</f>
        <v>Supplier JNNES</v>
      </c>
      <c r="R676" t="str">
        <f>VLOOKUP(VLOOKUP(B676,Product!A:C,3,FALSE),Supplier!A:I,9,FALSE)</f>
        <v>Australia</v>
      </c>
      <c r="S676" t="str">
        <f>IFERROR(IF(VLOOKUP(A676,'Sales Order'!A:H,8,FALSE)&gt;100,"High Freight","Low Freight"),"Not Specified")</f>
        <v>Low Freight</v>
      </c>
      <c r="T676">
        <f t="shared" si="21"/>
        <v>328</v>
      </c>
    </row>
    <row r="677" spans="1:20">
      <c r="A677" s="9">
        <v>10504</v>
      </c>
      <c r="B677" s="6">
        <v>61</v>
      </c>
      <c r="C677" s="6">
        <v>28.5</v>
      </c>
      <c r="D677" s="6">
        <v>25</v>
      </c>
      <c r="E677" s="18">
        <v>0</v>
      </c>
      <c r="F677" s="6" t="str">
        <f>IFERROR(VLOOKUP(VLOOKUP(A677,'Sales Order'!A:B,2,FALSE),Customer!A:C,3,FALSE),"Not Specified")</f>
        <v>Smith Jr., Ronaldo</v>
      </c>
      <c r="G677" s="6" t="str">
        <f t="shared" si="20"/>
        <v>Smith Jr. Ronaldo</v>
      </c>
      <c r="H677" s="22" t="str">
        <f>IFERROR(VLOOKUP(VLOOKUP(A677,'Sales Order'!A:C,3,FALSE),Employee!A:E,5,FALSE)&amp;" "&amp;VLOOKUP(VLOOKUP(A677,'Sales Order'!A:C,3,FALSE),Employee!A:C,3,FALSE)&amp;" "&amp;VLOOKUP(VLOOKUP(A677,'Sales Order'!A:C,3,FALSE),Employee!A:B,2,FALSE),"Not Specified")</f>
        <v>Mrs. Yael Peled</v>
      </c>
      <c r="I677" t="str">
        <f>IFERROR(VLOOKUP(VLOOKUP(A677,'Sales Order'!A:C,3,FALSE),Employee!A:J,10,FALSE),"Not Specified")</f>
        <v>WA</v>
      </c>
      <c r="J677" t="str">
        <f>VLOOKUP(B677,Product!A:B,2,FALSE)</f>
        <v>Product XYZPE</v>
      </c>
      <c r="K677" t="str">
        <f>VLOOKUP(VLOOKUP(B677,Product!A:D,4,FALSE),Category!A:B,2,FALSE)</f>
        <v>Condiments</v>
      </c>
      <c r="L677" s="24">
        <f>IFERROR(VLOOKUP(A677,'Sales Order'!A:D,4,FALSE),"")</f>
        <v>39183</v>
      </c>
      <c r="M677" s="24">
        <f>IFERROR(VLOOKUP(A677,'Sales Order'!A:F,6,FALSE),"")</f>
        <v>39190</v>
      </c>
      <c r="N677" t="str">
        <f>IFERROR(VLOOKUP(VLOOKUP(A677,'Sales Order'!A:G,7,FALSE),Shipper!A:B,2,FALSE),"Not Specified")</f>
        <v>Shipper ZHISN</v>
      </c>
      <c r="O677" t="str">
        <f>IFERROR(VLOOKUP(A677,'Sales Order'!A:I,9,FALSE),"Not Specified")</f>
        <v>Ship to 89-B</v>
      </c>
      <c r="P677" t="str">
        <f>IFERROR(VLOOKUP(A677,'Sales Order'!A:N,14,FALSE),"Not Specified")</f>
        <v>USA</v>
      </c>
      <c r="Q677" t="str">
        <f>VLOOKUP(VLOOKUP(B677,Product!A:C,3,FALSE),Supplier!A:B,2,FALSE)</f>
        <v>Supplier OGLRK</v>
      </c>
      <c r="R677" t="str">
        <f>VLOOKUP(VLOOKUP(B677,Product!A:C,3,FALSE),Supplier!A:I,9,FALSE)</f>
        <v>Canada</v>
      </c>
      <c r="S677" t="str">
        <f>IFERROR(IF(VLOOKUP(A677,'Sales Order'!A:H,8,FALSE)&gt;100,"High Freight","Low Freight"),"Not Specified")</f>
        <v>Low Freight</v>
      </c>
      <c r="T677">
        <f t="shared" si="21"/>
        <v>712.5</v>
      </c>
    </row>
    <row r="678" spans="1:20">
      <c r="A678" s="9">
        <v>10505</v>
      </c>
      <c r="B678" s="6">
        <v>62</v>
      </c>
      <c r="C678" s="6">
        <v>49.3</v>
      </c>
      <c r="D678" s="6">
        <v>3</v>
      </c>
      <c r="E678" s="18">
        <v>0</v>
      </c>
      <c r="F678" s="6" t="str">
        <f>IFERROR(VLOOKUP(VLOOKUP(A678,'Sales Order'!A:B,2,FALSE),Customer!A:C,3,FALSE),"Not Specified")</f>
        <v>Taylor, Maurice</v>
      </c>
      <c r="G678" s="6" t="str">
        <f t="shared" si="20"/>
        <v>Taylor Maurice</v>
      </c>
      <c r="H678" s="22" t="str">
        <f>IFERROR(VLOOKUP(VLOOKUP(A678,'Sales Order'!A:C,3,FALSE),Employee!A:E,5,FALSE)&amp;" "&amp;VLOOKUP(VLOOKUP(A678,'Sales Order'!A:C,3,FALSE),Employee!A:C,3,FALSE)&amp;" "&amp;VLOOKUP(VLOOKUP(A678,'Sales Order'!A:C,3,FALSE),Employee!A:B,2,FALSE),"Not Specified")</f>
        <v>Ms. Judy Lew</v>
      </c>
      <c r="I678" t="str">
        <f>IFERROR(VLOOKUP(VLOOKUP(A678,'Sales Order'!A:C,3,FALSE),Employee!A:J,10,FALSE),"Not Specified")</f>
        <v>WA</v>
      </c>
      <c r="J678" t="str">
        <f>VLOOKUP(B678,Product!A:B,2,FALSE)</f>
        <v>Product WUXYK</v>
      </c>
      <c r="K678" t="str">
        <f>VLOOKUP(VLOOKUP(B678,Product!A:D,4,FALSE),Category!A:B,2,FALSE)</f>
        <v>Confections</v>
      </c>
      <c r="L678" s="24">
        <f>IFERROR(VLOOKUP(A678,'Sales Order'!A:D,4,FALSE),"")</f>
        <v>39186</v>
      </c>
      <c r="M678" s="24">
        <f>IFERROR(VLOOKUP(A678,'Sales Order'!A:F,6,FALSE),"")</f>
        <v>39193</v>
      </c>
      <c r="N678" t="str">
        <f>IFERROR(VLOOKUP(VLOOKUP(A678,'Sales Order'!A:G,7,FALSE),Shipper!A:B,2,FALSE),"Not Specified")</f>
        <v>Shipper ZHISN</v>
      </c>
      <c r="O678" t="str">
        <f>IFERROR(VLOOKUP(A678,'Sales Order'!A:I,9,FALSE),"Not Specified")</f>
        <v>Ship to 51-B</v>
      </c>
      <c r="P678" t="str">
        <f>IFERROR(VLOOKUP(A678,'Sales Order'!A:N,14,FALSE),"Not Specified")</f>
        <v>Canada</v>
      </c>
      <c r="Q678" t="str">
        <f>VLOOKUP(VLOOKUP(B678,Product!A:C,3,FALSE),Supplier!A:B,2,FALSE)</f>
        <v>Supplier OGLRK</v>
      </c>
      <c r="R678" t="str">
        <f>VLOOKUP(VLOOKUP(B678,Product!A:C,3,FALSE),Supplier!A:I,9,FALSE)</f>
        <v>Canada</v>
      </c>
      <c r="S678" t="str">
        <f>IFERROR(IF(VLOOKUP(A678,'Sales Order'!A:H,8,FALSE)&gt;100,"High Freight","Low Freight"),"Not Specified")</f>
        <v>Low Freight</v>
      </c>
      <c r="T678">
        <f t="shared" si="21"/>
        <v>147.89999999999998</v>
      </c>
    </row>
    <row r="679" spans="1:20">
      <c r="A679" s="9">
        <v>10506</v>
      </c>
      <c r="B679" s="6">
        <v>25</v>
      </c>
      <c r="C679" s="6">
        <v>14</v>
      </c>
      <c r="D679" s="6">
        <v>18</v>
      </c>
      <c r="E679" s="18">
        <v>0.1</v>
      </c>
      <c r="F679" s="6" t="str">
        <f>IFERROR(VLOOKUP(VLOOKUP(A679,'Sales Order'!A:B,2,FALSE),Customer!A:C,3,FALSE),"Not Specified")</f>
        <v>Song, Lolan</v>
      </c>
      <c r="G679" s="6" t="str">
        <f t="shared" si="20"/>
        <v>Song Lolan</v>
      </c>
      <c r="H679" s="22" t="str">
        <f>IFERROR(VLOOKUP(VLOOKUP(A679,'Sales Order'!A:C,3,FALSE),Employee!A:E,5,FALSE)&amp;" "&amp;VLOOKUP(VLOOKUP(A679,'Sales Order'!A:C,3,FALSE),Employee!A:C,3,FALSE)&amp;" "&amp;VLOOKUP(VLOOKUP(A679,'Sales Order'!A:C,3,FALSE),Employee!A:B,2,FALSE),"Not Specified")</f>
        <v>Ms. Zoya Dolgopyatova</v>
      </c>
      <c r="I679">
        <f>IFERROR(VLOOKUP(VLOOKUP(A679,'Sales Order'!A:C,3,FALSE),Employee!A:J,10,FALSE),"Not Specified")</f>
        <v>0</v>
      </c>
      <c r="J679" t="str">
        <f>VLOOKUP(B679,Product!A:B,2,FALSE)</f>
        <v>Product LYLNI</v>
      </c>
      <c r="K679" t="str">
        <f>VLOOKUP(VLOOKUP(B679,Product!A:D,4,FALSE),Category!A:B,2,FALSE)</f>
        <v>Confections</v>
      </c>
      <c r="L679" s="24">
        <f>IFERROR(VLOOKUP(A679,'Sales Order'!A:D,4,FALSE),"")</f>
        <v>39187</v>
      </c>
      <c r="M679" s="24">
        <f>IFERROR(VLOOKUP(A679,'Sales Order'!A:F,6,FALSE),"")</f>
        <v>39204</v>
      </c>
      <c r="N679" t="str">
        <f>IFERROR(VLOOKUP(VLOOKUP(A679,'Sales Order'!A:G,7,FALSE),Shipper!A:B,2,FALSE),"Not Specified")</f>
        <v>Shipper ETYNR</v>
      </c>
      <c r="O679" t="str">
        <f>IFERROR(VLOOKUP(A679,'Sales Order'!A:I,9,FALSE),"Not Specified")</f>
        <v>Destination DKMQA</v>
      </c>
      <c r="P679" t="str">
        <f>IFERROR(VLOOKUP(A679,'Sales Order'!A:N,14,FALSE),"Not Specified")</f>
        <v>Germany</v>
      </c>
      <c r="Q679" t="str">
        <f>VLOOKUP(VLOOKUP(B679,Product!A:C,3,FALSE),Supplier!A:B,2,FALSE)</f>
        <v>Supplier ZPYVS</v>
      </c>
      <c r="R679" t="str">
        <f>VLOOKUP(VLOOKUP(B679,Product!A:C,3,FALSE),Supplier!A:I,9,FALSE)</f>
        <v>Germany</v>
      </c>
      <c r="S679" t="str">
        <f>IFERROR(IF(VLOOKUP(A679,'Sales Order'!A:H,8,FALSE)&gt;100,"High Freight","Low Freight"),"Not Specified")</f>
        <v>Low Freight</v>
      </c>
      <c r="T679">
        <f t="shared" si="21"/>
        <v>226.8</v>
      </c>
    </row>
    <row r="680" spans="1:20">
      <c r="A680" s="9">
        <v>10506</v>
      </c>
      <c r="B680" s="6">
        <v>70</v>
      </c>
      <c r="C680" s="6">
        <v>15</v>
      </c>
      <c r="D680" s="6">
        <v>14</v>
      </c>
      <c r="E680" s="18">
        <v>0.1</v>
      </c>
      <c r="F680" s="6" t="str">
        <f>IFERROR(VLOOKUP(VLOOKUP(A680,'Sales Order'!A:B,2,FALSE),Customer!A:C,3,FALSE),"Not Specified")</f>
        <v>Song, Lolan</v>
      </c>
      <c r="G680" s="6" t="str">
        <f t="shared" si="20"/>
        <v>Song Lolan</v>
      </c>
      <c r="H680" s="22" t="str">
        <f>IFERROR(VLOOKUP(VLOOKUP(A680,'Sales Order'!A:C,3,FALSE),Employee!A:E,5,FALSE)&amp;" "&amp;VLOOKUP(VLOOKUP(A680,'Sales Order'!A:C,3,FALSE),Employee!A:C,3,FALSE)&amp;" "&amp;VLOOKUP(VLOOKUP(A680,'Sales Order'!A:C,3,FALSE),Employee!A:B,2,FALSE),"Not Specified")</f>
        <v>Ms. Zoya Dolgopyatova</v>
      </c>
      <c r="I680">
        <f>IFERROR(VLOOKUP(VLOOKUP(A680,'Sales Order'!A:C,3,FALSE),Employee!A:J,10,FALSE),"Not Specified")</f>
        <v>0</v>
      </c>
      <c r="J680" t="str">
        <f>VLOOKUP(B680,Product!A:B,2,FALSE)</f>
        <v>Product TOONT</v>
      </c>
      <c r="K680" t="str">
        <f>VLOOKUP(VLOOKUP(B680,Product!A:D,4,FALSE),Category!A:B,2,FALSE)</f>
        <v>Beverages</v>
      </c>
      <c r="L680" s="24">
        <f>IFERROR(VLOOKUP(A680,'Sales Order'!A:D,4,FALSE),"")</f>
        <v>39187</v>
      </c>
      <c r="M680" s="24">
        <f>IFERROR(VLOOKUP(A680,'Sales Order'!A:F,6,FALSE),"")</f>
        <v>39204</v>
      </c>
      <c r="N680" t="str">
        <f>IFERROR(VLOOKUP(VLOOKUP(A680,'Sales Order'!A:G,7,FALSE),Shipper!A:B,2,FALSE),"Not Specified")</f>
        <v>Shipper ETYNR</v>
      </c>
      <c r="O680" t="str">
        <f>IFERROR(VLOOKUP(A680,'Sales Order'!A:I,9,FALSE),"Not Specified")</f>
        <v>Destination DKMQA</v>
      </c>
      <c r="P680" t="str">
        <f>IFERROR(VLOOKUP(A680,'Sales Order'!A:N,14,FALSE),"Not Specified")</f>
        <v>Germany</v>
      </c>
      <c r="Q680" t="str">
        <f>VLOOKUP(VLOOKUP(B680,Product!A:C,3,FALSE),Supplier!A:B,2,FALSE)</f>
        <v>Supplier GQRCV</v>
      </c>
      <c r="R680" t="str">
        <f>VLOOKUP(VLOOKUP(B680,Product!A:C,3,FALSE),Supplier!A:I,9,FALSE)</f>
        <v>Australia</v>
      </c>
      <c r="S680" t="str">
        <f>IFERROR(IF(VLOOKUP(A680,'Sales Order'!A:H,8,FALSE)&gt;100,"High Freight","Low Freight"),"Not Specified")</f>
        <v>Low Freight</v>
      </c>
      <c r="T680">
        <f t="shared" si="21"/>
        <v>189</v>
      </c>
    </row>
    <row r="681" spans="1:20">
      <c r="A681" s="9">
        <v>10507</v>
      </c>
      <c r="B681" s="6">
        <v>43</v>
      </c>
      <c r="C681" s="6">
        <v>46</v>
      </c>
      <c r="D681" s="6">
        <v>15</v>
      </c>
      <c r="E681" s="18">
        <v>0.15</v>
      </c>
      <c r="F681" s="6" t="str">
        <f>IFERROR(VLOOKUP(VLOOKUP(A681,'Sales Order'!A:B,2,FALSE),Customer!A:C,3,FALSE),"Not Specified")</f>
        <v>Peoples, John</v>
      </c>
      <c r="G681" s="6" t="str">
        <f t="shared" si="20"/>
        <v>Peoples John</v>
      </c>
      <c r="H681" s="22" t="str">
        <f>IFERROR(VLOOKUP(VLOOKUP(A681,'Sales Order'!A:C,3,FALSE),Employee!A:E,5,FALSE)&amp;" "&amp;VLOOKUP(VLOOKUP(A681,'Sales Order'!A:C,3,FALSE),Employee!A:C,3,FALSE)&amp;" "&amp;VLOOKUP(VLOOKUP(A681,'Sales Order'!A:C,3,FALSE),Employee!A:B,2,FALSE),"Not Specified")</f>
        <v>Mr. Russell King</v>
      </c>
      <c r="I681">
        <f>IFERROR(VLOOKUP(VLOOKUP(A681,'Sales Order'!A:C,3,FALSE),Employee!A:J,10,FALSE),"Not Specified")</f>
        <v>0</v>
      </c>
      <c r="J681" t="str">
        <f>VLOOKUP(B681,Product!A:B,2,FALSE)</f>
        <v>Product ZZZHR</v>
      </c>
      <c r="K681" t="str">
        <f>VLOOKUP(VLOOKUP(B681,Product!A:D,4,FALSE),Category!A:B,2,FALSE)</f>
        <v>Beverages</v>
      </c>
      <c r="L681" s="24">
        <f>IFERROR(VLOOKUP(A681,'Sales Order'!A:D,4,FALSE),"")</f>
        <v>39187</v>
      </c>
      <c r="M681" s="24">
        <f>IFERROR(VLOOKUP(A681,'Sales Order'!A:F,6,FALSE),"")</f>
        <v>39194</v>
      </c>
      <c r="N681" t="str">
        <f>IFERROR(VLOOKUP(VLOOKUP(A681,'Sales Order'!A:G,7,FALSE),Shipper!A:B,2,FALSE),"Not Specified")</f>
        <v>Shipper GVSUA</v>
      </c>
      <c r="O681" t="str">
        <f>IFERROR(VLOOKUP(A681,'Sales Order'!A:I,9,FALSE),"Not Specified")</f>
        <v>Destination FQFLS</v>
      </c>
      <c r="P681" t="str">
        <f>IFERROR(VLOOKUP(A681,'Sales Order'!A:N,14,FALSE),"Not Specified")</f>
        <v>Mexico</v>
      </c>
      <c r="Q681" t="str">
        <f>VLOOKUP(VLOOKUP(B681,Product!A:C,3,FALSE),Supplier!A:B,2,FALSE)</f>
        <v>Supplier CIYNM</v>
      </c>
      <c r="R681" t="str">
        <f>VLOOKUP(VLOOKUP(B681,Product!A:C,3,FALSE),Supplier!A:I,9,FALSE)</f>
        <v>Singapore</v>
      </c>
      <c r="S681" t="str">
        <f>IFERROR(IF(VLOOKUP(A681,'Sales Order'!A:H,8,FALSE)&gt;100,"High Freight","Low Freight"),"Not Specified")</f>
        <v>Low Freight</v>
      </c>
      <c r="T681">
        <f t="shared" si="21"/>
        <v>586.5</v>
      </c>
    </row>
    <row r="682" spans="1:20">
      <c r="A682" s="9">
        <v>10507</v>
      </c>
      <c r="B682" s="6">
        <v>48</v>
      </c>
      <c r="C682" s="6">
        <v>12.75</v>
      </c>
      <c r="D682" s="6">
        <v>15</v>
      </c>
      <c r="E682" s="18">
        <v>0.15</v>
      </c>
      <c r="F682" s="6" t="str">
        <f>IFERROR(VLOOKUP(VLOOKUP(A682,'Sales Order'!A:B,2,FALSE),Customer!A:C,3,FALSE),"Not Specified")</f>
        <v>Peoples, John</v>
      </c>
      <c r="G682" s="6" t="str">
        <f t="shared" si="20"/>
        <v>Peoples John</v>
      </c>
      <c r="H682" s="22" t="str">
        <f>IFERROR(VLOOKUP(VLOOKUP(A682,'Sales Order'!A:C,3,FALSE),Employee!A:E,5,FALSE)&amp;" "&amp;VLOOKUP(VLOOKUP(A682,'Sales Order'!A:C,3,FALSE),Employee!A:C,3,FALSE)&amp;" "&amp;VLOOKUP(VLOOKUP(A682,'Sales Order'!A:C,3,FALSE),Employee!A:B,2,FALSE),"Not Specified")</f>
        <v>Mr. Russell King</v>
      </c>
      <c r="I682">
        <f>IFERROR(VLOOKUP(VLOOKUP(A682,'Sales Order'!A:C,3,FALSE),Employee!A:J,10,FALSE),"Not Specified")</f>
        <v>0</v>
      </c>
      <c r="J682" t="str">
        <f>VLOOKUP(B682,Product!A:B,2,FALSE)</f>
        <v>Product MYNXN</v>
      </c>
      <c r="K682" t="str">
        <f>VLOOKUP(VLOOKUP(B682,Product!A:D,4,FALSE),Category!A:B,2,FALSE)</f>
        <v>Confections</v>
      </c>
      <c r="L682" s="24">
        <f>IFERROR(VLOOKUP(A682,'Sales Order'!A:D,4,FALSE),"")</f>
        <v>39187</v>
      </c>
      <c r="M682" s="24">
        <f>IFERROR(VLOOKUP(A682,'Sales Order'!A:F,6,FALSE),"")</f>
        <v>39194</v>
      </c>
      <c r="N682" t="str">
        <f>IFERROR(VLOOKUP(VLOOKUP(A682,'Sales Order'!A:G,7,FALSE),Shipper!A:B,2,FALSE),"Not Specified")</f>
        <v>Shipper GVSUA</v>
      </c>
      <c r="O682" t="str">
        <f>IFERROR(VLOOKUP(A682,'Sales Order'!A:I,9,FALSE),"Not Specified")</f>
        <v>Destination FQFLS</v>
      </c>
      <c r="P682" t="str">
        <f>IFERROR(VLOOKUP(A682,'Sales Order'!A:N,14,FALSE),"Not Specified")</f>
        <v>Mexico</v>
      </c>
      <c r="Q682" t="str">
        <f>VLOOKUP(VLOOKUP(B682,Product!A:C,3,FALSE),Supplier!A:B,2,FALSE)</f>
        <v>Supplier FNUXM</v>
      </c>
      <c r="R682" t="str">
        <f>VLOOKUP(VLOOKUP(B682,Product!A:C,3,FALSE),Supplier!A:I,9,FALSE)</f>
        <v>Netherlands</v>
      </c>
      <c r="S682" t="str">
        <f>IFERROR(IF(VLOOKUP(A682,'Sales Order'!A:H,8,FALSE)&gt;100,"High Freight","Low Freight"),"Not Specified")</f>
        <v>Low Freight</v>
      </c>
      <c r="T682">
        <f t="shared" si="21"/>
        <v>162.5625</v>
      </c>
    </row>
    <row r="683" spans="1:20">
      <c r="A683" s="9">
        <v>10508</v>
      </c>
      <c r="B683" s="6">
        <v>13</v>
      </c>
      <c r="C683" s="6">
        <v>6</v>
      </c>
      <c r="D683" s="6">
        <v>10</v>
      </c>
      <c r="E683" s="18">
        <v>0</v>
      </c>
      <c r="F683" s="6" t="str">
        <f>IFERROR(VLOOKUP(VLOOKUP(A683,'Sales Order'!A:B,2,FALSE),Customer!A:C,3,FALSE),"Not Specified")</f>
        <v>Marinova, Nadejda</v>
      </c>
      <c r="G683" s="6" t="str">
        <f t="shared" si="20"/>
        <v>Marinova Nadejda</v>
      </c>
      <c r="H683" s="22" t="str">
        <f>IFERROR(VLOOKUP(VLOOKUP(A683,'Sales Order'!A:C,3,FALSE),Employee!A:E,5,FALSE)&amp;" "&amp;VLOOKUP(VLOOKUP(A683,'Sales Order'!A:C,3,FALSE),Employee!A:C,3,FALSE)&amp;" "&amp;VLOOKUP(VLOOKUP(A683,'Sales Order'!A:C,3,FALSE),Employee!A:B,2,FALSE),"Not Specified")</f>
        <v>Ms. Sara Davis</v>
      </c>
      <c r="I683" t="str">
        <f>IFERROR(VLOOKUP(VLOOKUP(A683,'Sales Order'!A:C,3,FALSE),Employee!A:J,10,FALSE),"Not Specified")</f>
        <v>WA</v>
      </c>
      <c r="J683" t="str">
        <f>VLOOKUP(B683,Product!A:B,2,FALSE)</f>
        <v>Product POXFU</v>
      </c>
      <c r="K683" t="str">
        <f>VLOOKUP(VLOOKUP(B683,Product!A:D,4,FALSE),Category!A:B,2,FALSE)</f>
        <v>Seafood</v>
      </c>
      <c r="L683" s="24">
        <f>IFERROR(VLOOKUP(A683,'Sales Order'!A:D,4,FALSE),"")</f>
        <v>39188</v>
      </c>
      <c r="M683" s="24">
        <f>IFERROR(VLOOKUP(A683,'Sales Order'!A:F,6,FALSE),"")</f>
        <v>39215</v>
      </c>
      <c r="N683" t="str">
        <f>IFERROR(VLOOKUP(VLOOKUP(A683,'Sales Order'!A:G,7,FALSE),Shipper!A:B,2,FALSE),"Not Specified")</f>
        <v>Shipper ETYNR</v>
      </c>
      <c r="O683" t="str">
        <f>IFERROR(VLOOKUP(A683,'Sales Order'!A:I,9,FALSE),"Not Specified")</f>
        <v>Ship to 56-C</v>
      </c>
      <c r="P683" t="str">
        <f>IFERROR(VLOOKUP(A683,'Sales Order'!A:N,14,FALSE),"Not Specified")</f>
        <v>Germany</v>
      </c>
      <c r="Q683" t="str">
        <f>VLOOKUP(VLOOKUP(B683,Product!A:C,3,FALSE),Supplier!A:B,2,FALSE)</f>
        <v>Supplier QWUSF</v>
      </c>
      <c r="R683" t="str">
        <f>VLOOKUP(VLOOKUP(B683,Product!A:C,3,FALSE),Supplier!A:I,9,FALSE)</f>
        <v>Japan</v>
      </c>
      <c r="S683" t="str">
        <f>IFERROR(IF(VLOOKUP(A683,'Sales Order'!A:H,8,FALSE)&gt;100,"High Freight","Low Freight"),"Not Specified")</f>
        <v>Low Freight</v>
      </c>
      <c r="T683">
        <f t="shared" si="21"/>
        <v>60</v>
      </c>
    </row>
    <row r="684" spans="1:20">
      <c r="A684" s="9">
        <v>10508</v>
      </c>
      <c r="B684" s="6">
        <v>39</v>
      </c>
      <c r="C684" s="6">
        <v>18</v>
      </c>
      <c r="D684" s="6">
        <v>10</v>
      </c>
      <c r="E684" s="18">
        <v>0</v>
      </c>
      <c r="F684" s="6" t="str">
        <f>IFERROR(VLOOKUP(VLOOKUP(A684,'Sales Order'!A:B,2,FALSE),Customer!A:C,3,FALSE),"Not Specified")</f>
        <v>Marinova, Nadejda</v>
      </c>
      <c r="G684" s="6" t="str">
        <f t="shared" si="20"/>
        <v>Marinova Nadejda</v>
      </c>
      <c r="H684" s="22" t="str">
        <f>IFERROR(VLOOKUP(VLOOKUP(A684,'Sales Order'!A:C,3,FALSE),Employee!A:E,5,FALSE)&amp;" "&amp;VLOOKUP(VLOOKUP(A684,'Sales Order'!A:C,3,FALSE),Employee!A:C,3,FALSE)&amp;" "&amp;VLOOKUP(VLOOKUP(A684,'Sales Order'!A:C,3,FALSE),Employee!A:B,2,FALSE),"Not Specified")</f>
        <v>Ms. Sara Davis</v>
      </c>
      <c r="I684" t="str">
        <f>IFERROR(VLOOKUP(VLOOKUP(A684,'Sales Order'!A:C,3,FALSE),Employee!A:J,10,FALSE),"Not Specified")</f>
        <v>WA</v>
      </c>
      <c r="J684" t="str">
        <f>VLOOKUP(B684,Product!A:B,2,FALSE)</f>
        <v>Product LSOFL</v>
      </c>
      <c r="K684" t="str">
        <f>VLOOKUP(VLOOKUP(B684,Product!A:D,4,FALSE),Category!A:B,2,FALSE)</f>
        <v>Beverages</v>
      </c>
      <c r="L684" s="24">
        <f>IFERROR(VLOOKUP(A684,'Sales Order'!A:D,4,FALSE),"")</f>
        <v>39188</v>
      </c>
      <c r="M684" s="24">
        <f>IFERROR(VLOOKUP(A684,'Sales Order'!A:F,6,FALSE),"")</f>
        <v>39215</v>
      </c>
      <c r="N684" t="str">
        <f>IFERROR(VLOOKUP(VLOOKUP(A684,'Sales Order'!A:G,7,FALSE),Shipper!A:B,2,FALSE),"Not Specified")</f>
        <v>Shipper ETYNR</v>
      </c>
      <c r="O684" t="str">
        <f>IFERROR(VLOOKUP(A684,'Sales Order'!A:I,9,FALSE),"Not Specified")</f>
        <v>Ship to 56-C</v>
      </c>
      <c r="P684" t="str">
        <f>IFERROR(VLOOKUP(A684,'Sales Order'!A:N,14,FALSE),"Not Specified")</f>
        <v>Germany</v>
      </c>
      <c r="Q684" t="str">
        <f>VLOOKUP(VLOOKUP(B684,Product!A:C,3,FALSE),Supplier!A:B,2,FALSE)</f>
        <v>Supplier LVJUA</v>
      </c>
      <c r="R684" t="str">
        <f>VLOOKUP(VLOOKUP(B684,Product!A:C,3,FALSE),Supplier!A:I,9,FALSE)</f>
        <v>France</v>
      </c>
      <c r="S684" t="str">
        <f>IFERROR(IF(VLOOKUP(A684,'Sales Order'!A:H,8,FALSE)&gt;100,"High Freight","Low Freight"),"Not Specified")</f>
        <v>Low Freight</v>
      </c>
      <c r="T684">
        <f t="shared" si="21"/>
        <v>180</v>
      </c>
    </row>
    <row r="685" spans="1:20">
      <c r="A685" s="9">
        <v>10509</v>
      </c>
      <c r="B685" s="6">
        <v>28</v>
      </c>
      <c r="C685" s="6">
        <v>45.6</v>
      </c>
      <c r="D685" s="6">
        <v>3</v>
      </c>
      <c r="E685" s="18">
        <v>0</v>
      </c>
      <c r="F685" s="6" t="str">
        <f>IFERROR(VLOOKUP(VLOOKUP(A685,'Sales Order'!A:B,2,FALSE),Customer!A:C,3,FALSE),"Not Specified")</f>
        <v>Poland, Carole</v>
      </c>
      <c r="G685" s="6" t="str">
        <f t="shared" si="20"/>
        <v>Poland Carole</v>
      </c>
      <c r="H685" s="22" t="str">
        <f>IFERROR(VLOOKUP(VLOOKUP(A685,'Sales Order'!A:C,3,FALSE),Employee!A:E,5,FALSE)&amp;" "&amp;VLOOKUP(VLOOKUP(A685,'Sales Order'!A:C,3,FALSE),Employee!A:C,3,FALSE)&amp;" "&amp;VLOOKUP(VLOOKUP(A685,'Sales Order'!A:C,3,FALSE),Employee!A:B,2,FALSE),"Not Specified")</f>
        <v>Mrs. Yael Peled</v>
      </c>
      <c r="I685" t="str">
        <f>IFERROR(VLOOKUP(VLOOKUP(A685,'Sales Order'!A:C,3,FALSE),Employee!A:J,10,FALSE),"Not Specified")</f>
        <v>WA</v>
      </c>
      <c r="J685" t="str">
        <f>VLOOKUP(B685,Product!A:B,2,FALSE)</f>
        <v>Product OFBNT</v>
      </c>
      <c r="K685" t="str">
        <f>VLOOKUP(VLOOKUP(B685,Product!A:D,4,FALSE),Category!A:B,2,FALSE)</f>
        <v>Produce</v>
      </c>
      <c r="L685" s="24">
        <f>IFERROR(VLOOKUP(A685,'Sales Order'!A:D,4,FALSE),"")</f>
        <v>39189</v>
      </c>
      <c r="M685" s="24">
        <f>IFERROR(VLOOKUP(A685,'Sales Order'!A:F,6,FALSE),"")</f>
        <v>39201</v>
      </c>
      <c r="N685" t="str">
        <f>IFERROR(VLOOKUP(VLOOKUP(A685,'Sales Order'!A:G,7,FALSE),Shipper!A:B,2,FALSE),"Not Specified")</f>
        <v>Shipper GVSUA</v>
      </c>
      <c r="O685" t="str">
        <f>IFERROR(VLOOKUP(A685,'Sales Order'!A:I,9,FALSE),"Not Specified")</f>
        <v>Ship to 6-A</v>
      </c>
      <c r="P685" t="str">
        <f>IFERROR(VLOOKUP(A685,'Sales Order'!A:N,14,FALSE),"Not Specified")</f>
        <v>Germany</v>
      </c>
      <c r="Q685" t="str">
        <f>VLOOKUP(VLOOKUP(B685,Product!A:C,3,FALSE),Supplier!A:B,2,FALSE)</f>
        <v>Supplier SVIYA</v>
      </c>
      <c r="R685" t="str">
        <f>VLOOKUP(VLOOKUP(B685,Product!A:C,3,FALSE),Supplier!A:I,9,FALSE)</f>
        <v>Germany</v>
      </c>
      <c r="S685" t="str">
        <f>IFERROR(IF(VLOOKUP(A685,'Sales Order'!A:H,8,FALSE)&gt;100,"High Freight","Low Freight"),"Not Specified")</f>
        <v>Low Freight</v>
      </c>
      <c r="T685">
        <f t="shared" si="21"/>
        <v>136.80000000000001</v>
      </c>
    </row>
    <row r="686" spans="1:20">
      <c r="A686" s="9">
        <v>10510</v>
      </c>
      <c r="B686" s="6">
        <v>29</v>
      </c>
      <c r="C686" s="6">
        <v>123.79</v>
      </c>
      <c r="D686" s="6">
        <v>36</v>
      </c>
      <c r="E686" s="18">
        <v>0</v>
      </c>
      <c r="F686" s="6" t="str">
        <f>IFERROR(VLOOKUP(VLOOKUP(A686,'Sales Order'!A:B,2,FALSE),Customer!A:C,3,FALSE),"Not Specified")</f>
        <v>Navarro, Tomás</v>
      </c>
      <c r="G686" s="6" t="str">
        <f t="shared" si="20"/>
        <v>Navarro Tomás</v>
      </c>
      <c r="H686" s="22" t="str">
        <f>IFERROR(VLOOKUP(VLOOKUP(A686,'Sales Order'!A:C,3,FALSE),Employee!A:E,5,FALSE)&amp;" "&amp;VLOOKUP(VLOOKUP(A686,'Sales Order'!A:C,3,FALSE),Employee!A:C,3,FALSE)&amp;" "&amp;VLOOKUP(VLOOKUP(A686,'Sales Order'!A:C,3,FALSE),Employee!A:B,2,FALSE),"Not Specified")</f>
        <v>Mr. Paul Suurs</v>
      </c>
      <c r="I686">
        <f>IFERROR(VLOOKUP(VLOOKUP(A686,'Sales Order'!A:C,3,FALSE),Employee!A:J,10,FALSE),"Not Specified")</f>
        <v>0</v>
      </c>
      <c r="J686" t="str">
        <f>VLOOKUP(B686,Product!A:B,2,FALSE)</f>
        <v>Product VJXYN</v>
      </c>
      <c r="K686" t="str">
        <f>VLOOKUP(VLOOKUP(B686,Product!A:D,4,FALSE),Category!A:B,2,FALSE)</f>
        <v>Meat/Poultry</v>
      </c>
      <c r="L686" s="24">
        <f>IFERROR(VLOOKUP(A686,'Sales Order'!A:D,4,FALSE),"")</f>
        <v>39190</v>
      </c>
      <c r="M686" s="24">
        <f>IFERROR(VLOOKUP(A686,'Sales Order'!A:F,6,FALSE),"")</f>
        <v>39200</v>
      </c>
      <c r="N686" t="str">
        <f>IFERROR(VLOOKUP(VLOOKUP(A686,'Sales Order'!A:G,7,FALSE),Shipper!A:B,2,FALSE),"Not Specified")</f>
        <v>Shipper ZHISN</v>
      </c>
      <c r="O686" t="str">
        <f>IFERROR(VLOOKUP(A686,'Sales Order'!A:I,9,FALSE),"Not Specified")</f>
        <v>Ship to 71-A</v>
      </c>
      <c r="P686" t="str">
        <f>IFERROR(VLOOKUP(A686,'Sales Order'!A:N,14,FALSE),"Not Specified")</f>
        <v>USA</v>
      </c>
      <c r="Q686" t="str">
        <f>VLOOKUP(VLOOKUP(B686,Product!A:C,3,FALSE),Supplier!A:B,2,FALSE)</f>
        <v>Supplier SVIYA</v>
      </c>
      <c r="R686" t="str">
        <f>VLOOKUP(VLOOKUP(B686,Product!A:C,3,FALSE),Supplier!A:I,9,FALSE)</f>
        <v>Germany</v>
      </c>
      <c r="S686" t="str">
        <f>IFERROR(IF(VLOOKUP(A686,'Sales Order'!A:H,8,FALSE)&gt;100,"High Freight","Low Freight"),"Not Specified")</f>
        <v>High Freight</v>
      </c>
      <c r="T686">
        <f t="shared" si="21"/>
        <v>4456.4400000000005</v>
      </c>
    </row>
    <row r="687" spans="1:20">
      <c r="A687" s="9">
        <v>10510</v>
      </c>
      <c r="B687" s="6">
        <v>75</v>
      </c>
      <c r="C687" s="6">
        <v>7.75</v>
      </c>
      <c r="D687" s="6">
        <v>36</v>
      </c>
      <c r="E687" s="18">
        <v>0.1</v>
      </c>
      <c r="F687" s="6" t="str">
        <f>IFERROR(VLOOKUP(VLOOKUP(A687,'Sales Order'!A:B,2,FALSE),Customer!A:C,3,FALSE),"Not Specified")</f>
        <v>Navarro, Tomás</v>
      </c>
      <c r="G687" s="6" t="str">
        <f t="shared" si="20"/>
        <v>Navarro Tomás</v>
      </c>
      <c r="H687" s="22" t="str">
        <f>IFERROR(VLOOKUP(VLOOKUP(A687,'Sales Order'!A:C,3,FALSE),Employee!A:E,5,FALSE)&amp;" "&amp;VLOOKUP(VLOOKUP(A687,'Sales Order'!A:C,3,FALSE),Employee!A:C,3,FALSE)&amp;" "&amp;VLOOKUP(VLOOKUP(A687,'Sales Order'!A:C,3,FALSE),Employee!A:B,2,FALSE),"Not Specified")</f>
        <v>Mr. Paul Suurs</v>
      </c>
      <c r="I687">
        <f>IFERROR(VLOOKUP(VLOOKUP(A687,'Sales Order'!A:C,3,FALSE),Employee!A:J,10,FALSE),"Not Specified")</f>
        <v>0</v>
      </c>
      <c r="J687" t="str">
        <f>VLOOKUP(B687,Product!A:B,2,FALSE)</f>
        <v>Product BWRLG</v>
      </c>
      <c r="K687" t="str">
        <f>VLOOKUP(VLOOKUP(B687,Product!A:D,4,FALSE),Category!A:B,2,FALSE)</f>
        <v>Beverages</v>
      </c>
      <c r="L687" s="24">
        <f>IFERROR(VLOOKUP(A687,'Sales Order'!A:D,4,FALSE),"")</f>
        <v>39190</v>
      </c>
      <c r="M687" s="24">
        <f>IFERROR(VLOOKUP(A687,'Sales Order'!A:F,6,FALSE),"")</f>
        <v>39200</v>
      </c>
      <c r="N687" t="str">
        <f>IFERROR(VLOOKUP(VLOOKUP(A687,'Sales Order'!A:G,7,FALSE),Shipper!A:B,2,FALSE),"Not Specified")</f>
        <v>Shipper ZHISN</v>
      </c>
      <c r="O687" t="str">
        <f>IFERROR(VLOOKUP(A687,'Sales Order'!A:I,9,FALSE),"Not Specified")</f>
        <v>Ship to 71-A</v>
      </c>
      <c r="P687" t="str">
        <f>IFERROR(VLOOKUP(A687,'Sales Order'!A:N,14,FALSE),"Not Specified")</f>
        <v>USA</v>
      </c>
      <c r="Q687" t="str">
        <f>VLOOKUP(VLOOKUP(B687,Product!A:C,3,FALSE),Supplier!A:B,2,FALSE)</f>
        <v>Supplier SVIYA</v>
      </c>
      <c r="R687" t="str">
        <f>VLOOKUP(VLOOKUP(B687,Product!A:C,3,FALSE),Supplier!A:I,9,FALSE)</f>
        <v>Germany</v>
      </c>
      <c r="S687" t="str">
        <f>IFERROR(IF(VLOOKUP(A687,'Sales Order'!A:H,8,FALSE)&gt;100,"High Freight","Low Freight"),"Not Specified")</f>
        <v>High Freight</v>
      </c>
      <c r="T687">
        <f t="shared" si="21"/>
        <v>251.1</v>
      </c>
    </row>
    <row r="688" spans="1:20">
      <c r="A688" s="9">
        <v>10511</v>
      </c>
      <c r="B688" s="6">
        <v>4</v>
      </c>
      <c r="C688" s="6">
        <v>22</v>
      </c>
      <c r="D688" s="6">
        <v>50</v>
      </c>
      <c r="E688" s="18">
        <v>0.15</v>
      </c>
      <c r="F688" s="6" t="str">
        <f>IFERROR(VLOOKUP(VLOOKUP(A688,'Sales Order'!A:B,2,FALSE),Customer!A:C,3,FALSE),"Not Specified")</f>
        <v>Raghav, Amritansh</v>
      </c>
      <c r="G688" s="6" t="str">
        <f t="shared" si="20"/>
        <v>Raghav Amritansh</v>
      </c>
      <c r="H688" s="22" t="str">
        <f>IFERROR(VLOOKUP(VLOOKUP(A688,'Sales Order'!A:C,3,FALSE),Employee!A:E,5,FALSE)&amp;" "&amp;VLOOKUP(VLOOKUP(A688,'Sales Order'!A:C,3,FALSE),Employee!A:C,3,FALSE)&amp;" "&amp;VLOOKUP(VLOOKUP(A688,'Sales Order'!A:C,3,FALSE),Employee!A:B,2,FALSE),"Not Specified")</f>
        <v>Mrs. Yael Peled</v>
      </c>
      <c r="I688" t="str">
        <f>IFERROR(VLOOKUP(VLOOKUP(A688,'Sales Order'!A:C,3,FALSE),Employee!A:J,10,FALSE),"Not Specified")</f>
        <v>WA</v>
      </c>
      <c r="J688" t="str">
        <f>VLOOKUP(B688,Product!A:B,2,FALSE)</f>
        <v>Product KSBRM</v>
      </c>
      <c r="K688" t="str">
        <f>VLOOKUP(VLOOKUP(B688,Product!A:D,4,FALSE),Category!A:B,2,FALSE)</f>
        <v>Condiments</v>
      </c>
      <c r="L688" s="24">
        <f>IFERROR(VLOOKUP(A688,'Sales Order'!A:D,4,FALSE),"")</f>
        <v>39190</v>
      </c>
      <c r="M688" s="24">
        <f>IFERROR(VLOOKUP(A688,'Sales Order'!A:F,6,FALSE),"")</f>
        <v>39193</v>
      </c>
      <c r="N688" t="str">
        <f>IFERROR(VLOOKUP(VLOOKUP(A688,'Sales Order'!A:G,7,FALSE),Shipper!A:B,2,FALSE),"Not Specified")</f>
        <v>Shipper ZHISN</v>
      </c>
      <c r="O688" t="str">
        <f>IFERROR(VLOOKUP(A688,'Sales Order'!A:I,9,FALSE),"Not Specified")</f>
        <v>Ship to 9-B</v>
      </c>
      <c r="P688" t="str">
        <f>IFERROR(VLOOKUP(A688,'Sales Order'!A:N,14,FALSE),"Not Specified")</f>
        <v>France</v>
      </c>
      <c r="Q688" t="str">
        <f>VLOOKUP(VLOOKUP(B688,Product!A:C,3,FALSE),Supplier!A:B,2,FALSE)</f>
        <v>Supplier VHQZD</v>
      </c>
      <c r="R688" t="str">
        <f>VLOOKUP(VLOOKUP(B688,Product!A:C,3,FALSE),Supplier!A:I,9,FALSE)</f>
        <v>USA</v>
      </c>
      <c r="S688" t="str">
        <f>IFERROR(IF(VLOOKUP(A688,'Sales Order'!A:H,8,FALSE)&gt;100,"High Freight","Low Freight"),"Not Specified")</f>
        <v>High Freight</v>
      </c>
      <c r="T688">
        <f t="shared" si="21"/>
        <v>935</v>
      </c>
    </row>
    <row r="689" spans="1:20">
      <c r="A689" s="9">
        <v>10511</v>
      </c>
      <c r="B689" s="6">
        <v>7</v>
      </c>
      <c r="C689" s="6">
        <v>30</v>
      </c>
      <c r="D689" s="6">
        <v>50</v>
      </c>
      <c r="E689" s="18">
        <v>0.15</v>
      </c>
      <c r="F689" s="6" t="str">
        <f>IFERROR(VLOOKUP(VLOOKUP(A689,'Sales Order'!A:B,2,FALSE),Customer!A:C,3,FALSE),"Not Specified")</f>
        <v>Raghav, Amritansh</v>
      </c>
      <c r="G689" s="6" t="str">
        <f t="shared" si="20"/>
        <v>Raghav Amritansh</v>
      </c>
      <c r="H689" s="22" t="str">
        <f>IFERROR(VLOOKUP(VLOOKUP(A689,'Sales Order'!A:C,3,FALSE),Employee!A:E,5,FALSE)&amp;" "&amp;VLOOKUP(VLOOKUP(A689,'Sales Order'!A:C,3,FALSE),Employee!A:C,3,FALSE)&amp;" "&amp;VLOOKUP(VLOOKUP(A689,'Sales Order'!A:C,3,FALSE),Employee!A:B,2,FALSE),"Not Specified")</f>
        <v>Mrs. Yael Peled</v>
      </c>
      <c r="I689" t="str">
        <f>IFERROR(VLOOKUP(VLOOKUP(A689,'Sales Order'!A:C,3,FALSE),Employee!A:J,10,FALSE),"Not Specified")</f>
        <v>WA</v>
      </c>
      <c r="J689" t="str">
        <f>VLOOKUP(B689,Product!A:B,2,FALSE)</f>
        <v>Product HMLNI</v>
      </c>
      <c r="K689" t="str">
        <f>VLOOKUP(VLOOKUP(B689,Product!A:D,4,FALSE),Category!A:B,2,FALSE)</f>
        <v>Produce</v>
      </c>
      <c r="L689" s="24">
        <f>IFERROR(VLOOKUP(A689,'Sales Order'!A:D,4,FALSE),"")</f>
        <v>39190</v>
      </c>
      <c r="M689" s="24">
        <f>IFERROR(VLOOKUP(A689,'Sales Order'!A:F,6,FALSE),"")</f>
        <v>39193</v>
      </c>
      <c r="N689" t="str">
        <f>IFERROR(VLOOKUP(VLOOKUP(A689,'Sales Order'!A:G,7,FALSE),Shipper!A:B,2,FALSE),"Not Specified")</f>
        <v>Shipper ZHISN</v>
      </c>
      <c r="O689" t="str">
        <f>IFERROR(VLOOKUP(A689,'Sales Order'!A:I,9,FALSE),"Not Specified")</f>
        <v>Ship to 9-B</v>
      </c>
      <c r="P689" t="str">
        <f>IFERROR(VLOOKUP(A689,'Sales Order'!A:N,14,FALSE),"Not Specified")</f>
        <v>France</v>
      </c>
      <c r="Q689" t="str">
        <f>VLOOKUP(VLOOKUP(B689,Product!A:C,3,FALSE),Supplier!A:B,2,FALSE)</f>
        <v>Supplier STUAZ</v>
      </c>
      <c r="R689" t="str">
        <f>VLOOKUP(VLOOKUP(B689,Product!A:C,3,FALSE),Supplier!A:I,9,FALSE)</f>
        <v>USA</v>
      </c>
      <c r="S689" t="str">
        <f>IFERROR(IF(VLOOKUP(A689,'Sales Order'!A:H,8,FALSE)&gt;100,"High Freight","Low Freight"),"Not Specified")</f>
        <v>High Freight</v>
      </c>
      <c r="T689">
        <f t="shared" si="21"/>
        <v>1275</v>
      </c>
    </row>
    <row r="690" spans="1:20">
      <c r="A690" s="9">
        <v>10511</v>
      </c>
      <c r="B690" s="6">
        <v>8</v>
      </c>
      <c r="C690" s="6">
        <v>40</v>
      </c>
      <c r="D690" s="6">
        <v>10</v>
      </c>
      <c r="E690" s="18">
        <v>0.15</v>
      </c>
      <c r="F690" s="6" t="str">
        <f>IFERROR(VLOOKUP(VLOOKUP(A690,'Sales Order'!A:B,2,FALSE),Customer!A:C,3,FALSE),"Not Specified")</f>
        <v>Raghav, Amritansh</v>
      </c>
      <c r="G690" s="6" t="str">
        <f t="shared" si="20"/>
        <v>Raghav Amritansh</v>
      </c>
      <c r="H690" s="22" t="str">
        <f>IFERROR(VLOOKUP(VLOOKUP(A690,'Sales Order'!A:C,3,FALSE),Employee!A:E,5,FALSE)&amp;" "&amp;VLOOKUP(VLOOKUP(A690,'Sales Order'!A:C,3,FALSE),Employee!A:C,3,FALSE)&amp;" "&amp;VLOOKUP(VLOOKUP(A690,'Sales Order'!A:C,3,FALSE),Employee!A:B,2,FALSE),"Not Specified")</f>
        <v>Mrs. Yael Peled</v>
      </c>
      <c r="I690" t="str">
        <f>IFERROR(VLOOKUP(VLOOKUP(A690,'Sales Order'!A:C,3,FALSE),Employee!A:J,10,FALSE),"Not Specified")</f>
        <v>WA</v>
      </c>
      <c r="J690" t="str">
        <f>VLOOKUP(B690,Product!A:B,2,FALSE)</f>
        <v>Product WVJFP</v>
      </c>
      <c r="K690" t="str">
        <f>VLOOKUP(VLOOKUP(B690,Product!A:D,4,FALSE),Category!A:B,2,FALSE)</f>
        <v>Condiments</v>
      </c>
      <c r="L690" s="24">
        <f>IFERROR(VLOOKUP(A690,'Sales Order'!A:D,4,FALSE),"")</f>
        <v>39190</v>
      </c>
      <c r="M690" s="24">
        <f>IFERROR(VLOOKUP(A690,'Sales Order'!A:F,6,FALSE),"")</f>
        <v>39193</v>
      </c>
      <c r="N690" t="str">
        <f>IFERROR(VLOOKUP(VLOOKUP(A690,'Sales Order'!A:G,7,FALSE),Shipper!A:B,2,FALSE),"Not Specified")</f>
        <v>Shipper ZHISN</v>
      </c>
      <c r="O690" t="str">
        <f>IFERROR(VLOOKUP(A690,'Sales Order'!A:I,9,FALSE),"Not Specified")</f>
        <v>Ship to 9-B</v>
      </c>
      <c r="P690" t="str">
        <f>IFERROR(VLOOKUP(A690,'Sales Order'!A:N,14,FALSE),"Not Specified")</f>
        <v>France</v>
      </c>
      <c r="Q690" t="str">
        <f>VLOOKUP(VLOOKUP(B690,Product!A:C,3,FALSE),Supplier!A:B,2,FALSE)</f>
        <v>Supplier STUAZ</v>
      </c>
      <c r="R690" t="str">
        <f>VLOOKUP(VLOOKUP(B690,Product!A:C,3,FALSE),Supplier!A:I,9,FALSE)</f>
        <v>USA</v>
      </c>
      <c r="S690" t="str">
        <f>IFERROR(IF(VLOOKUP(A690,'Sales Order'!A:H,8,FALSE)&gt;100,"High Freight","Low Freight"),"Not Specified")</f>
        <v>High Freight</v>
      </c>
      <c r="T690">
        <f t="shared" si="21"/>
        <v>340</v>
      </c>
    </row>
    <row r="691" spans="1:20">
      <c r="A691" s="9">
        <v>10512</v>
      </c>
      <c r="B691" s="6">
        <v>24</v>
      </c>
      <c r="C691" s="6">
        <v>4.5</v>
      </c>
      <c r="D691" s="6">
        <v>10</v>
      </c>
      <c r="E691" s="18">
        <v>0.15</v>
      </c>
      <c r="F691" s="6" t="str">
        <f>IFERROR(VLOOKUP(VLOOKUP(A691,'Sales Order'!A:B,2,FALSE),Customer!A:C,3,FALSE),"Not Specified")</f>
        <v>Russo, Giuseppe</v>
      </c>
      <c r="G691" s="6" t="str">
        <f t="shared" si="20"/>
        <v>Russo Giuseppe</v>
      </c>
      <c r="H691" s="22" t="str">
        <f>IFERROR(VLOOKUP(VLOOKUP(A691,'Sales Order'!A:C,3,FALSE),Employee!A:E,5,FALSE)&amp;" "&amp;VLOOKUP(VLOOKUP(A691,'Sales Order'!A:C,3,FALSE),Employee!A:C,3,FALSE)&amp;" "&amp;VLOOKUP(VLOOKUP(A691,'Sales Order'!A:C,3,FALSE),Employee!A:B,2,FALSE),"Not Specified")</f>
        <v>Mr. Russell King</v>
      </c>
      <c r="I691">
        <f>IFERROR(VLOOKUP(VLOOKUP(A691,'Sales Order'!A:C,3,FALSE),Employee!A:J,10,FALSE),"Not Specified")</f>
        <v>0</v>
      </c>
      <c r="J691" t="str">
        <f>VLOOKUP(B691,Product!A:B,2,FALSE)</f>
        <v>Product QOGNU</v>
      </c>
      <c r="K691" t="str">
        <f>VLOOKUP(VLOOKUP(B691,Product!A:D,4,FALSE),Category!A:B,2,FALSE)</f>
        <v>Beverages</v>
      </c>
      <c r="L691" s="24">
        <f>IFERROR(VLOOKUP(A691,'Sales Order'!A:D,4,FALSE),"")</f>
        <v>39193</v>
      </c>
      <c r="M691" s="24">
        <f>IFERROR(VLOOKUP(A691,'Sales Order'!A:F,6,FALSE),"")</f>
        <v>39196</v>
      </c>
      <c r="N691" t="str">
        <f>IFERROR(VLOOKUP(VLOOKUP(A691,'Sales Order'!A:G,7,FALSE),Shipper!A:B,2,FALSE),"Not Specified")</f>
        <v>Shipper ETYNR</v>
      </c>
      <c r="O691" t="str">
        <f>IFERROR(VLOOKUP(A691,'Sales Order'!A:I,9,FALSE),"Not Specified")</f>
        <v>Destination RNSMS</v>
      </c>
      <c r="P691" t="str">
        <f>IFERROR(VLOOKUP(A691,'Sales Order'!A:N,14,FALSE),"Not Specified")</f>
        <v>Brazil</v>
      </c>
      <c r="Q691" t="str">
        <f>VLOOKUP(VLOOKUP(B691,Product!A:C,3,FALSE),Supplier!A:B,2,FALSE)</f>
        <v>Supplier UNAHG</v>
      </c>
      <c r="R691" t="str">
        <f>VLOOKUP(VLOOKUP(B691,Product!A:C,3,FALSE),Supplier!A:I,9,FALSE)</f>
        <v>Brazil</v>
      </c>
      <c r="S691" t="str">
        <f>IFERROR(IF(VLOOKUP(A691,'Sales Order'!A:H,8,FALSE)&gt;100,"High Freight","Low Freight"),"Not Specified")</f>
        <v>Low Freight</v>
      </c>
      <c r="T691">
        <f t="shared" si="21"/>
        <v>38.25</v>
      </c>
    </row>
    <row r="692" spans="1:20">
      <c r="A692" s="9">
        <v>10512</v>
      </c>
      <c r="B692" s="6">
        <v>46</v>
      </c>
      <c r="C692" s="6">
        <v>12</v>
      </c>
      <c r="D692" s="6">
        <v>9</v>
      </c>
      <c r="E692" s="18">
        <v>0.15</v>
      </c>
      <c r="F692" s="6" t="str">
        <f>IFERROR(VLOOKUP(VLOOKUP(A692,'Sales Order'!A:B,2,FALSE),Customer!A:C,3,FALSE),"Not Specified")</f>
        <v>Russo, Giuseppe</v>
      </c>
      <c r="G692" s="6" t="str">
        <f t="shared" si="20"/>
        <v>Russo Giuseppe</v>
      </c>
      <c r="H692" s="22" t="str">
        <f>IFERROR(VLOOKUP(VLOOKUP(A692,'Sales Order'!A:C,3,FALSE),Employee!A:E,5,FALSE)&amp;" "&amp;VLOOKUP(VLOOKUP(A692,'Sales Order'!A:C,3,FALSE),Employee!A:C,3,FALSE)&amp;" "&amp;VLOOKUP(VLOOKUP(A692,'Sales Order'!A:C,3,FALSE),Employee!A:B,2,FALSE),"Not Specified")</f>
        <v>Mr. Russell King</v>
      </c>
      <c r="I692">
        <f>IFERROR(VLOOKUP(VLOOKUP(A692,'Sales Order'!A:C,3,FALSE),Employee!A:J,10,FALSE),"Not Specified")</f>
        <v>0</v>
      </c>
      <c r="J692" t="str">
        <f>VLOOKUP(B692,Product!A:B,2,FALSE)</f>
        <v>Product CBRRL</v>
      </c>
      <c r="K692" t="str">
        <f>VLOOKUP(VLOOKUP(B692,Product!A:D,4,FALSE),Category!A:B,2,FALSE)</f>
        <v>Seafood</v>
      </c>
      <c r="L692" s="24">
        <f>IFERROR(VLOOKUP(A692,'Sales Order'!A:D,4,FALSE),"")</f>
        <v>39193</v>
      </c>
      <c r="M692" s="24">
        <f>IFERROR(VLOOKUP(A692,'Sales Order'!A:F,6,FALSE),"")</f>
        <v>39196</v>
      </c>
      <c r="N692" t="str">
        <f>IFERROR(VLOOKUP(VLOOKUP(A692,'Sales Order'!A:G,7,FALSE),Shipper!A:B,2,FALSE),"Not Specified")</f>
        <v>Shipper ETYNR</v>
      </c>
      <c r="O692" t="str">
        <f>IFERROR(VLOOKUP(A692,'Sales Order'!A:I,9,FALSE),"Not Specified")</f>
        <v>Destination RNSMS</v>
      </c>
      <c r="P692" t="str">
        <f>IFERROR(VLOOKUP(A692,'Sales Order'!A:N,14,FALSE),"Not Specified")</f>
        <v>Brazil</v>
      </c>
      <c r="Q692" t="str">
        <f>VLOOKUP(VLOOKUP(B692,Product!A:C,3,FALSE),Supplier!A:B,2,FALSE)</f>
        <v>Supplier XOXZA</v>
      </c>
      <c r="R692" t="str">
        <f>VLOOKUP(VLOOKUP(B692,Product!A:C,3,FALSE),Supplier!A:I,9,FALSE)</f>
        <v>Denmark</v>
      </c>
      <c r="S692" t="str">
        <f>IFERROR(IF(VLOOKUP(A692,'Sales Order'!A:H,8,FALSE)&gt;100,"High Freight","Low Freight"),"Not Specified")</f>
        <v>Low Freight</v>
      </c>
      <c r="T692">
        <f t="shared" si="21"/>
        <v>91.8</v>
      </c>
    </row>
    <row r="693" spans="1:20">
      <c r="A693" s="9">
        <v>10512</v>
      </c>
      <c r="B693" s="6">
        <v>47</v>
      </c>
      <c r="C693" s="6">
        <v>9.5</v>
      </c>
      <c r="D693" s="6">
        <v>6</v>
      </c>
      <c r="E693" s="18">
        <v>0.15</v>
      </c>
      <c r="F693" s="6" t="str">
        <f>IFERROR(VLOOKUP(VLOOKUP(A693,'Sales Order'!A:B,2,FALSE),Customer!A:C,3,FALSE),"Not Specified")</f>
        <v>Russo, Giuseppe</v>
      </c>
      <c r="G693" s="6" t="str">
        <f t="shared" si="20"/>
        <v>Russo Giuseppe</v>
      </c>
      <c r="H693" s="22" t="str">
        <f>IFERROR(VLOOKUP(VLOOKUP(A693,'Sales Order'!A:C,3,FALSE),Employee!A:E,5,FALSE)&amp;" "&amp;VLOOKUP(VLOOKUP(A693,'Sales Order'!A:C,3,FALSE),Employee!A:C,3,FALSE)&amp;" "&amp;VLOOKUP(VLOOKUP(A693,'Sales Order'!A:C,3,FALSE),Employee!A:B,2,FALSE),"Not Specified")</f>
        <v>Mr. Russell King</v>
      </c>
      <c r="I693">
        <f>IFERROR(VLOOKUP(VLOOKUP(A693,'Sales Order'!A:C,3,FALSE),Employee!A:J,10,FALSE),"Not Specified")</f>
        <v>0</v>
      </c>
      <c r="J693" t="str">
        <f>VLOOKUP(B693,Product!A:B,2,FALSE)</f>
        <v>Product EZZPR</v>
      </c>
      <c r="K693" t="str">
        <f>VLOOKUP(VLOOKUP(B693,Product!A:D,4,FALSE),Category!A:B,2,FALSE)</f>
        <v>Confections</v>
      </c>
      <c r="L693" s="24">
        <f>IFERROR(VLOOKUP(A693,'Sales Order'!A:D,4,FALSE),"")</f>
        <v>39193</v>
      </c>
      <c r="M693" s="24">
        <f>IFERROR(VLOOKUP(A693,'Sales Order'!A:F,6,FALSE),"")</f>
        <v>39196</v>
      </c>
      <c r="N693" t="str">
        <f>IFERROR(VLOOKUP(VLOOKUP(A693,'Sales Order'!A:G,7,FALSE),Shipper!A:B,2,FALSE),"Not Specified")</f>
        <v>Shipper ETYNR</v>
      </c>
      <c r="O693" t="str">
        <f>IFERROR(VLOOKUP(A693,'Sales Order'!A:I,9,FALSE),"Not Specified")</f>
        <v>Destination RNSMS</v>
      </c>
      <c r="P693" t="str">
        <f>IFERROR(VLOOKUP(A693,'Sales Order'!A:N,14,FALSE),"Not Specified")</f>
        <v>Brazil</v>
      </c>
      <c r="Q693" t="str">
        <f>VLOOKUP(VLOOKUP(B693,Product!A:C,3,FALSE),Supplier!A:B,2,FALSE)</f>
        <v>Supplier FNUXM</v>
      </c>
      <c r="R693" t="str">
        <f>VLOOKUP(VLOOKUP(B693,Product!A:C,3,FALSE),Supplier!A:I,9,FALSE)</f>
        <v>Netherlands</v>
      </c>
      <c r="S693" t="str">
        <f>IFERROR(IF(VLOOKUP(A693,'Sales Order'!A:H,8,FALSE)&gt;100,"High Freight","Low Freight"),"Not Specified")</f>
        <v>Low Freight</v>
      </c>
      <c r="T693">
        <f t="shared" si="21"/>
        <v>48.449999999999996</v>
      </c>
    </row>
    <row r="694" spans="1:20">
      <c r="A694" s="9">
        <v>10512</v>
      </c>
      <c r="B694" s="6">
        <v>60</v>
      </c>
      <c r="C694" s="6">
        <v>34</v>
      </c>
      <c r="D694" s="6">
        <v>12</v>
      </c>
      <c r="E694" s="18">
        <v>0.15</v>
      </c>
      <c r="F694" s="6" t="str">
        <f>IFERROR(VLOOKUP(VLOOKUP(A694,'Sales Order'!A:B,2,FALSE),Customer!A:C,3,FALSE),"Not Specified")</f>
        <v>Russo, Giuseppe</v>
      </c>
      <c r="G694" s="6" t="str">
        <f t="shared" si="20"/>
        <v>Russo Giuseppe</v>
      </c>
      <c r="H694" s="22" t="str">
        <f>IFERROR(VLOOKUP(VLOOKUP(A694,'Sales Order'!A:C,3,FALSE),Employee!A:E,5,FALSE)&amp;" "&amp;VLOOKUP(VLOOKUP(A694,'Sales Order'!A:C,3,FALSE),Employee!A:C,3,FALSE)&amp;" "&amp;VLOOKUP(VLOOKUP(A694,'Sales Order'!A:C,3,FALSE),Employee!A:B,2,FALSE),"Not Specified")</f>
        <v>Mr. Russell King</v>
      </c>
      <c r="I694">
        <f>IFERROR(VLOOKUP(VLOOKUP(A694,'Sales Order'!A:C,3,FALSE),Employee!A:J,10,FALSE),"Not Specified")</f>
        <v>0</v>
      </c>
      <c r="J694" t="str">
        <f>VLOOKUP(B694,Product!A:B,2,FALSE)</f>
        <v>Product WHBYK</v>
      </c>
      <c r="K694" t="str">
        <f>VLOOKUP(VLOOKUP(B694,Product!A:D,4,FALSE),Category!A:B,2,FALSE)</f>
        <v>Dairy Product</v>
      </c>
      <c r="L694" s="24">
        <f>IFERROR(VLOOKUP(A694,'Sales Order'!A:D,4,FALSE),"")</f>
        <v>39193</v>
      </c>
      <c r="M694" s="24">
        <f>IFERROR(VLOOKUP(A694,'Sales Order'!A:F,6,FALSE),"")</f>
        <v>39196</v>
      </c>
      <c r="N694" t="str">
        <f>IFERROR(VLOOKUP(VLOOKUP(A694,'Sales Order'!A:G,7,FALSE),Shipper!A:B,2,FALSE),"Not Specified")</f>
        <v>Shipper ETYNR</v>
      </c>
      <c r="O694" t="str">
        <f>IFERROR(VLOOKUP(A694,'Sales Order'!A:I,9,FALSE),"Not Specified")</f>
        <v>Destination RNSMS</v>
      </c>
      <c r="P694" t="str">
        <f>IFERROR(VLOOKUP(A694,'Sales Order'!A:N,14,FALSE),"Not Specified")</f>
        <v>Brazil</v>
      </c>
      <c r="Q694" t="str">
        <f>VLOOKUP(VLOOKUP(B694,Product!A:C,3,FALSE),Supplier!A:B,2,FALSE)</f>
        <v>Supplier OAVQT</v>
      </c>
      <c r="R694" t="str">
        <f>VLOOKUP(VLOOKUP(B694,Product!A:C,3,FALSE),Supplier!A:I,9,FALSE)</f>
        <v>France</v>
      </c>
      <c r="S694" t="str">
        <f>IFERROR(IF(VLOOKUP(A694,'Sales Order'!A:H,8,FALSE)&gt;100,"High Freight","Low Freight"),"Not Specified")</f>
        <v>Low Freight</v>
      </c>
      <c r="T694">
        <f t="shared" si="21"/>
        <v>346.8</v>
      </c>
    </row>
    <row r="695" spans="1:20">
      <c r="A695" s="9">
        <v>10513</v>
      </c>
      <c r="B695" s="6">
        <v>21</v>
      </c>
      <c r="C695" s="6">
        <v>10</v>
      </c>
      <c r="D695" s="6">
        <v>40</v>
      </c>
      <c r="E695" s="18">
        <v>0.2</v>
      </c>
      <c r="F695" s="6" t="str">
        <f>IFERROR(VLOOKUP(VLOOKUP(A695,'Sales Order'!A:B,2,FALSE),Customer!A:C,3,FALSE),"Not Specified")</f>
        <v>Syamala, Manoj</v>
      </c>
      <c r="G695" s="6" t="str">
        <f t="shared" si="20"/>
        <v>Syamala Manoj</v>
      </c>
      <c r="H695" s="22" t="str">
        <f>IFERROR(VLOOKUP(VLOOKUP(A695,'Sales Order'!A:C,3,FALSE),Employee!A:E,5,FALSE)&amp;" "&amp;VLOOKUP(VLOOKUP(A695,'Sales Order'!A:C,3,FALSE),Employee!A:C,3,FALSE)&amp;" "&amp;VLOOKUP(VLOOKUP(A695,'Sales Order'!A:C,3,FALSE),Employee!A:B,2,FALSE),"Not Specified")</f>
        <v>Mr. Russell King</v>
      </c>
      <c r="I695">
        <f>IFERROR(VLOOKUP(VLOOKUP(A695,'Sales Order'!A:C,3,FALSE),Employee!A:J,10,FALSE),"Not Specified")</f>
        <v>0</v>
      </c>
      <c r="J695" t="str">
        <f>VLOOKUP(B695,Product!A:B,2,FALSE)</f>
        <v>Product VJZZH</v>
      </c>
      <c r="K695" t="str">
        <f>VLOOKUP(VLOOKUP(B695,Product!A:D,4,FALSE),Category!A:B,2,FALSE)</f>
        <v>Confections</v>
      </c>
      <c r="L695" s="24">
        <f>IFERROR(VLOOKUP(A695,'Sales Order'!A:D,4,FALSE),"")</f>
        <v>39194</v>
      </c>
      <c r="M695" s="24">
        <f>IFERROR(VLOOKUP(A695,'Sales Order'!A:F,6,FALSE),"")</f>
        <v>39200</v>
      </c>
      <c r="N695" t="str">
        <f>IFERROR(VLOOKUP(VLOOKUP(A695,'Sales Order'!A:G,7,FALSE),Shipper!A:B,2,FALSE),"Not Specified")</f>
        <v>Shipper GVSUA</v>
      </c>
      <c r="O695" t="str">
        <f>IFERROR(VLOOKUP(A695,'Sales Order'!A:I,9,FALSE),"Not Specified")</f>
        <v>Ship to 86-A</v>
      </c>
      <c r="P695" t="str">
        <f>IFERROR(VLOOKUP(A695,'Sales Order'!A:N,14,FALSE),"Not Specified")</f>
        <v>Germany</v>
      </c>
      <c r="Q695" t="str">
        <f>VLOOKUP(VLOOKUP(B695,Product!A:C,3,FALSE),Supplier!A:B,2,FALSE)</f>
        <v>Supplier BWGYE</v>
      </c>
      <c r="R695" t="str">
        <f>VLOOKUP(VLOOKUP(B695,Product!A:C,3,FALSE),Supplier!A:I,9,FALSE)</f>
        <v>UK</v>
      </c>
      <c r="S695" t="str">
        <f>IFERROR(IF(VLOOKUP(A695,'Sales Order'!A:H,8,FALSE)&gt;100,"High Freight","Low Freight"),"Not Specified")</f>
        <v>High Freight</v>
      </c>
      <c r="T695">
        <f t="shared" si="21"/>
        <v>320</v>
      </c>
    </row>
    <row r="696" spans="1:20">
      <c r="A696" s="9">
        <v>10513</v>
      </c>
      <c r="B696" s="6">
        <v>32</v>
      </c>
      <c r="C696" s="6">
        <v>32</v>
      </c>
      <c r="D696" s="6">
        <v>50</v>
      </c>
      <c r="E696" s="18">
        <v>0.2</v>
      </c>
      <c r="F696" s="6" t="str">
        <f>IFERROR(VLOOKUP(VLOOKUP(A696,'Sales Order'!A:B,2,FALSE),Customer!A:C,3,FALSE),"Not Specified")</f>
        <v>Syamala, Manoj</v>
      </c>
      <c r="G696" s="6" t="str">
        <f t="shared" si="20"/>
        <v>Syamala Manoj</v>
      </c>
      <c r="H696" s="22" t="str">
        <f>IFERROR(VLOOKUP(VLOOKUP(A696,'Sales Order'!A:C,3,FALSE),Employee!A:E,5,FALSE)&amp;" "&amp;VLOOKUP(VLOOKUP(A696,'Sales Order'!A:C,3,FALSE),Employee!A:C,3,FALSE)&amp;" "&amp;VLOOKUP(VLOOKUP(A696,'Sales Order'!A:C,3,FALSE),Employee!A:B,2,FALSE),"Not Specified")</f>
        <v>Mr. Russell King</v>
      </c>
      <c r="I696">
        <f>IFERROR(VLOOKUP(VLOOKUP(A696,'Sales Order'!A:C,3,FALSE),Employee!A:J,10,FALSE),"Not Specified")</f>
        <v>0</v>
      </c>
      <c r="J696" t="str">
        <f>VLOOKUP(B696,Product!A:B,2,FALSE)</f>
        <v>Product NUNAW</v>
      </c>
      <c r="K696" t="str">
        <f>VLOOKUP(VLOOKUP(B696,Product!A:D,4,FALSE),Category!A:B,2,FALSE)</f>
        <v>Dairy Product</v>
      </c>
      <c r="L696" s="24">
        <f>IFERROR(VLOOKUP(A696,'Sales Order'!A:D,4,FALSE),"")</f>
        <v>39194</v>
      </c>
      <c r="M696" s="24">
        <f>IFERROR(VLOOKUP(A696,'Sales Order'!A:F,6,FALSE),"")</f>
        <v>39200</v>
      </c>
      <c r="N696" t="str">
        <f>IFERROR(VLOOKUP(VLOOKUP(A696,'Sales Order'!A:G,7,FALSE),Shipper!A:B,2,FALSE),"Not Specified")</f>
        <v>Shipper GVSUA</v>
      </c>
      <c r="O696" t="str">
        <f>IFERROR(VLOOKUP(A696,'Sales Order'!A:I,9,FALSE),"Not Specified")</f>
        <v>Ship to 86-A</v>
      </c>
      <c r="P696" t="str">
        <f>IFERROR(VLOOKUP(A696,'Sales Order'!A:N,14,FALSE),"Not Specified")</f>
        <v>Germany</v>
      </c>
      <c r="Q696" t="str">
        <f>VLOOKUP(VLOOKUP(B696,Product!A:C,3,FALSE),Supplier!A:B,2,FALSE)</f>
        <v>Supplier KEREV</v>
      </c>
      <c r="R696" t="str">
        <f>VLOOKUP(VLOOKUP(B696,Product!A:C,3,FALSE),Supplier!A:I,9,FALSE)</f>
        <v>Italy</v>
      </c>
      <c r="S696" t="str">
        <f>IFERROR(IF(VLOOKUP(A696,'Sales Order'!A:H,8,FALSE)&gt;100,"High Freight","Low Freight"),"Not Specified")</f>
        <v>High Freight</v>
      </c>
      <c r="T696">
        <f t="shared" si="21"/>
        <v>1280</v>
      </c>
    </row>
    <row r="697" spans="1:20">
      <c r="A697" s="9">
        <v>10513</v>
      </c>
      <c r="B697" s="6">
        <v>61</v>
      </c>
      <c r="C697" s="6">
        <v>28.5</v>
      </c>
      <c r="D697" s="6">
        <v>15</v>
      </c>
      <c r="E697" s="18">
        <v>0.2</v>
      </c>
      <c r="F697" s="6" t="str">
        <f>IFERROR(VLOOKUP(VLOOKUP(A697,'Sales Order'!A:B,2,FALSE),Customer!A:C,3,FALSE),"Not Specified")</f>
        <v>Syamala, Manoj</v>
      </c>
      <c r="G697" s="6" t="str">
        <f t="shared" si="20"/>
        <v>Syamala Manoj</v>
      </c>
      <c r="H697" s="22" t="str">
        <f>IFERROR(VLOOKUP(VLOOKUP(A697,'Sales Order'!A:C,3,FALSE),Employee!A:E,5,FALSE)&amp;" "&amp;VLOOKUP(VLOOKUP(A697,'Sales Order'!A:C,3,FALSE),Employee!A:C,3,FALSE)&amp;" "&amp;VLOOKUP(VLOOKUP(A697,'Sales Order'!A:C,3,FALSE),Employee!A:B,2,FALSE),"Not Specified")</f>
        <v>Mr. Russell King</v>
      </c>
      <c r="I697">
        <f>IFERROR(VLOOKUP(VLOOKUP(A697,'Sales Order'!A:C,3,FALSE),Employee!A:J,10,FALSE),"Not Specified")</f>
        <v>0</v>
      </c>
      <c r="J697" t="str">
        <f>VLOOKUP(B697,Product!A:B,2,FALSE)</f>
        <v>Product XYZPE</v>
      </c>
      <c r="K697" t="str">
        <f>VLOOKUP(VLOOKUP(B697,Product!A:D,4,FALSE),Category!A:B,2,FALSE)</f>
        <v>Condiments</v>
      </c>
      <c r="L697" s="24">
        <f>IFERROR(VLOOKUP(A697,'Sales Order'!A:D,4,FALSE),"")</f>
        <v>39194</v>
      </c>
      <c r="M697" s="24">
        <f>IFERROR(VLOOKUP(A697,'Sales Order'!A:F,6,FALSE),"")</f>
        <v>39200</v>
      </c>
      <c r="N697" t="str">
        <f>IFERROR(VLOOKUP(VLOOKUP(A697,'Sales Order'!A:G,7,FALSE),Shipper!A:B,2,FALSE),"Not Specified")</f>
        <v>Shipper GVSUA</v>
      </c>
      <c r="O697" t="str">
        <f>IFERROR(VLOOKUP(A697,'Sales Order'!A:I,9,FALSE),"Not Specified")</f>
        <v>Ship to 86-A</v>
      </c>
      <c r="P697" t="str">
        <f>IFERROR(VLOOKUP(A697,'Sales Order'!A:N,14,FALSE),"Not Specified")</f>
        <v>Germany</v>
      </c>
      <c r="Q697" t="str">
        <f>VLOOKUP(VLOOKUP(B697,Product!A:C,3,FALSE),Supplier!A:B,2,FALSE)</f>
        <v>Supplier OGLRK</v>
      </c>
      <c r="R697" t="str">
        <f>VLOOKUP(VLOOKUP(B697,Product!A:C,3,FALSE),Supplier!A:I,9,FALSE)</f>
        <v>Canada</v>
      </c>
      <c r="S697" t="str">
        <f>IFERROR(IF(VLOOKUP(A697,'Sales Order'!A:H,8,FALSE)&gt;100,"High Freight","Low Freight"),"Not Specified")</f>
        <v>High Freight</v>
      </c>
      <c r="T697">
        <f t="shared" si="21"/>
        <v>342</v>
      </c>
    </row>
    <row r="698" spans="1:20">
      <c r="A698" s="9">
        <v>10514</v>
      </c>
      <c r="B698" s="6">
        <v>20</v>
      </c>
      <c r="C698" s="6">
        <v>81</v>
      </c>
      <c r="D698" s="6">
        <v>39</v>
      </c>
      <c r="E698" s="18">
        <v>0</v>
      </c>
      <c r="F698" s="6" t="str">
        <f>IFERROR(VLOOKUP(VLOOKUP(A698,'Sales Order'!A:B,2,FALSE),Customer!A:C,3,FALSE),"Not Specified")</f>
        <v>Kane, John</v>
      </c>
      <c r="G698" s="6" t="str">
        <f t="shared" si="20"/>
        <v>Kane John</v>
      </c>
      <c r="H698" s="22" t="str">
        <f>IFERROR(VLOOKUP(VLOOKUP(A698,'Sales Order'!A:C,3,FALSE),Employee!A:E,5,FALSE)&amp;" "&amp;VLOOKUP(VLOOKUP(A698,'Sales Order'!A:C,3,FALSE),Employee!A:C,3,FALSE)&amp;" "&amp;VLOOKUP(VLOOKUP(A698,'Sales Order'!A:C,3,FALSE),Employee!A:B,2,FALSE),"Not Specified")</f>
        <v>Ms. Judy Lew</v>
      </c>
      <c r="I698" t="str">
        <f>IFERROR(VLOOKUP(VLOOKUP(A698,'Sales Order'!A:C,3,FALSE),Employee!A:J,10,FALSE),"Not Specified")</f>
        <v>WA</v>
      </c>
      <c r="J698" t="str">
        <f>VLOOKUP(B698,Product!A:B,2,FALSE)</f>
        <v>Product QHFFP</v>
      </c>
      <c r="K698" t="str">
        <f>VLOOKUP(VLOOKUP(B698,Product!A:D,4,FALSE),Category!A:B,2,FALSE)</f>
        <v>Confections</v>
      </c>
      <c r="L698" s="24">
        <f>IFERROR(VLOOKUP(A698,'Sales Order'!A:D,4,FALSE),"")</f>
        <v>39194</v>
      </c>
      <c r="M698" s="24">
        <f>IFERROR(VLOOKUP(A698,'Sales Order'!A:F,6,FALSE),"")</f>
        <v>39218</v>
      </c>
      <c r="N698" t="str">
        <f>IFERROR(VLOOKUP(VLOOKUP(A698,'Sales Order'!A:G,7,FALSE),Shipper!A:B,2,FALSE),"Not Specified")</f>
        <v>Shipper ETYNR</v>
      </c>
      <c r="O698" t="str">
        <f>IFERROR(VLOOKUP(A698,'Sales Order'!A:I,9,FALSE),"Not Specified")</f>
        <v>Destination CUVPF</v>
      </c>
      <c r="P698" t="str">
        <f>IFERROR(VLOOKUP(A698,'Sales Order'!A:N,14,FALSE),"Not Specified")</f>
        <v>Austria</v>
      </c>
      <c r="Q698" t="str">
        <f>VLOOKUP(VLOOKUP(B698,Product!A:C,3,FALSE),Supplier!A:B,2,FALSE)</f>
        <v>Supplier BWGYE</v>
      </c>
      <c r="R698" t="str">
        <f>VLOOKUP(VLOOKUP(B698,Product!A:C,3,FALSE),Supplier!A:I,9,FALSE)</f>
        <v>UK</v>
      </c>
      <c r="S698" t="str">
        <f>IFERROR(IF(VLOOKUP(A698,'Sales Order'!A:H,8,FALSE)&gt;100,"High Freight","Low Freight"),"Not Specified")</f>
        <v>High Freight</v>
      </c>
      <c r="T698">
        <f t="shared" si="21"/>
        <v>3159</v>
      </c>
    </row>
    <row r="699" spans="1:20">
      <c r="A699" s="9">
        <v>10514</v>
      </c>
      <c r="B699" s="6">
        <v>28</v>
      </c>
      <c r="C699" s="6">
        <v>45.6</v>
      </c>
      <c r="D699" s="6">
        <v>35</v>
      </c>
      <c r="E699" s="18">
        <v>0</v>
      </c>
      <c r="F699" s="6" t="str">
        <f>IFERROR(VLOOKUP(VLOOKUP(A699,'Sales Order'!A:B,2,FALSE),Customer!A:C,3,FALSE),"Not Specified")</f>
        <v>Kane, John</v>
      </c>
      <c r="G699" s="6" t="str">
        <f t="shared" si="20"/>
        <v>Kane John</v>
      </c>
      <c r="H699" s="22" t="str">
        <f>IFERROR(VLOOKUP(VLOOKUP(A699,'Sales Order'!A:C,3,FALSE),Employee!A:E,5,FALSE)&amp;" "&amp;VLOOKUP(VLOOKUP(A699,'Sales Order'!A:C,3,FALSE),Employee!A:C,3,FALSE)&amp;" "&amp;VLOOKUP(VLOOKUP(A699,'Sales Order'!A:C,3,FALSE),Employee!A:B,2,FALSE),"Not Specified")</f>
        <v>Ms. Judy Lew</v>
      </c>
      <c r="I699" t="str">
        <f>IFERROR(VLOOKUP(VLOOKUP(A699,'Sales Order'!A:C,3,FALSE),Employee!A:J,10,FALSE),"Not Specified")</f>
        <v>WA</v>
      </c>
      <c r="J699" t="str">
        <f>VLOOKUP(B699,Product!A:B,2,FALSE)</f>
        <v>Product OFBNT</v>
      </c>
      <c r="K699" t="str">
        <f>VLOOKUP(VLOOKUP(B699,Product!A:D,4,FALSE),Category!A:B,2,FALSE)</f>
        <v>Produce</v>
      </c>
      <c r="L699" s="24">
        <f>IFERROR(VLOOKUP(A699,'Sales Order'!A:D,4,FALSE),"")</f>
        <v>39194</v>
      </c>
      <c r="M699" s="24">
        <f>IFERROR(VLOOKUP(A699,'Sales Order'!A:F,6,FALSE),"")</f>
        <v>39218</v>
      </c>
      <c r="N699" t="str">
        <f>IFERROR(VLOOKUP(VLOOKUP(A699,'Sales Order'!A:G,7,FALSE),Shipper!A:B,2,FALSE),"Not Specified")</f>
        <v>Shipper ETYNR</v>
      </c>
      <c r="O699" t="str">
        <f>IFERROR(VLOOKUP(A699,'Sales Order'!A:I,9,FALSE),"Not Specified")</f>
        <v>Destination CUVPF</v>
      </c>
      <c r="P699" t="str">
        <f>IFERROR(VLOOKUP(A699,'Sales Order'!A:N,14,FALSE),"Not Specified")</f>
        <v>Austria</v>
      </c>
      <c r="Q699" t="str">
        <f>VLOOKUP(VLOOKUP(B699,Product!A:C,3,FALSE),Supplier!A:B,2,FALSE)</f>
        <v>Supplier SVIYA</v>
      </c>
      <c r="R699" t="str">
        <f>VLOOKUP(VLOOKUP(B699,Product!A:C,3,FALSE),Supplier!A:I,9,FALSE)</f>
        <v>Germany</v>
      </c>
      <c r="S699" t="str">
        <f>IFERROR(IF(VLOOKUP(A699,'Sales Order'!A:H,8,FALSE)&gt;100,"High Freight","Low Freight"),"Not Specified")</f>
        <v>High Freight</v>
      </c>
      <c r="T699">
        <f t="shared" si="21"/>
        <v>1596</v>
      </c>
    </row>
    <row r="700" spans="1:20">
      <c r="A700" s="9">
        <v>10514</v>
      </c>
      <c r="B700" s="6">
        <v>56</v>
      </c>
      <c r="C700" s="6">
        <v>38</v>
      </c>
      <c r="D700" s="6">
        <v>70</v>
      </c>
      <c r="E700" s="18">
        <v>0</v>
      </c>
      <c r="F700" s="6" t="str">
        <f>IFERROR(VLOOKUP(VLOOKUP(A700,'Sales Order'!A:B,2,FALSE),Customer!A:C,3,FALSE),"Not Specified")</f>
        <v>Kane, John</v>
      </c>
      <c r="G700" s="6" t="str">
        <f t="shared" si="20"/>
        <v>Kane John</v>
      </c>
      <c r="H700" s="22" t="str">
        <f>IFERROR(VLOOKUP(VLOOKUP(A700,'Sales Order'!A:C,3,FALSE),Employee!A:E,5,FALSE)&amp;" "&amp;VLOOKUP(VLOOKUP(A700,'Sales Order'!A:C,3,FALSE),Employee!A:C,3,FALSE)&amp;" "&amp;VLOOKUP(VLOOKUP(A700,'Sales Order'!A:C,3,FALSE),Employee!A:B,2,FALSE),"Not Specified")</f>
        <v>Ms. Judy Lew</v>
      </c>
      <c r="I700" t="str">
        <f>IFERROR(VLOOKUP(VLOOKUP(A700,'Sales Order'!A:C,3,FALSE),Employee!A:J,10,FALSE),"Not Specified")</f>
        <v>WA</v>
      </c>
      <c r="J700" t="str">
        <f>VLOOKUP(B700,Product!A:B,2,FALSE)</f>
        <v>Product VKCMF</v>
      </c>
      <c r="K700" t="str">
        <f>VLOOKUP(VLOOKUP(B700,Product!A:D,4,FALSE),Category!A:B,2,FALSE)</f>
        <v>Grains/Cereals</v>
      </c>
      <c r="L700" s="24">
        <f>IFERROR(VLOOKUP(A700,'Sales Order'!A:D,4,FALSE),"")</f>
        <v>39194</v>
      </c>
      <c r="M700" s="24">
        <f>IFERROR(VLOOKUP(A700,'Sales Order'!A:F,6,FALSE),"")</f>
        <v>39218</v>
      </c>
      <c r="N700" t="str">
        <f>IFERROR(VLOOKUP(VLOOKUP(A700,'Sales Order'!A:G,7,FALSE),Shipper!A:B,2,FALSE),"Not Specified")</f>
        <v>Shipper ETYNR</v>
      </c>
      <c r="O700" t="str">
        <f>IFERROR(VLOOKUP(A700,'Sales Order'!A:I,9,FALSE),"Not Specified")</f>
        <v>Destination CUVPF</v>
      </c>
      <c r="P700" t="str">
        <f>IFERROR(VLOOKUP(A700,'Sales Order'!A:N,14,FALSE),"Not Specified")</f>
        <v>Austria</v>
      </c>
      <c r="Q700" t="str">
        <f>VLOOKUP(VLOOKUP(B700,Product!A:C,3,FALSE),Supplier!A:B,2,FALSE)</f>
        <v>Supplier ZWZDM</v>
      </c>
      <c r="R700" t="str">
        <f>VLOOKUP(VLOOKUP(B700,Product!A:C,3,FALSE),Supplier!A:I,9,FALSE)</f>
        <v>Italy</v>
      </c>
      <c r="S700" t="str">
        <f>IFERROR(IF(VLOOKUP(A700,'Sales Order'!A:H,8,FALSE)&gt;100,"High Freight","Low Freight"),"Not Specified")</f>
        <v>High Freight</v>
      </c>
      <c r="T700">
        <f t="shared" si="21"/>
        <v>2660</v>
      </c>
    </row>
    <row r="701" spans="1:20">
      <c r="A701" s="9">
        <v>10514</v>
      </c>
      <c r="B701" s="6">
        <v>65</v>
      </c>
      <c r="C701" s="6">
        <v>21.05</v>
      </c>
      <c r="D701" s="6">
        <v>39</v>
      </c>
      <c r="E701" s="18">
        <v>0</v>
      </c>
      <c r="F701" s="6" t="str">
        <f>IFERROR(VLOOKUP(VLOOKUP(A701,'Sales Order'!A:B,2,FALSE),Customer!A:C,3,FALSE),"Not Specified")</f>
        <v>Kane, John</v>
      </c>
      <c r="G701" s="6" t="str">
        <f t="shared" si="20"/>
        <v>Kane John</v>
      </c>
      <c r="H701" s="22" t="str">
        <f>IFERROR(VLOOKUP(VLOOKUP(A701,'Sales Order'!A:C,3,FALSE),Employee!A:E,5,FALSE)&amp;" "&amp;VLOOKUP(VLOOKUP(A701,'Sales Order'!A:C,3,FALSE),Employee!A:C,3,FALSE)&amp;" "&amp;VLOOKUP(VLOOKUP(A701,'Sales Order'!A:C,3,FALSE),Employee!A:B,2,FALSE),"Not Specified")</f>
        <v>Ms. Judy Lew</v>
      </c>
      <c r="I701" t="str">
        <f>IFERROR(VLOOKUP(VLOOKUP(A701,'Sales Order'!A:C,3,FALSE),Employee!A:J,10,FALSE),"Not Specified")</f>
        <v>WA</v>
      </c>
      <c r="J701" t="str">
        <f>VLOOKUP(B701,Product!A:B,2,FALSE)</f>
        <v>Product XYWBZ</v>
      </c>
      <c r="K701" t="str">
        <f>VLOOKUP(VLOOKUP(B701,Product!A:D,4,FALSE),Category!A:B,2,FALSE)</f>
        <v>Condiments</v>
      </c>
      <c r="L701" s="24">
        <f>IFERROR(VLOOKUP(A701,'Sales Order'!A:D,4,FALSE),"")</f>
        <v>39194</v>
      </c>
      <c r="M701" s="24">
        <f>IFERROR(VLOOKUP(A701,'Sales Order'!A:F,6,FALSE),"")</f>
        <v>39218</v>
      </c>
      <c r="N701" t="str">
        <f>IFERROR(VLOOKUP(VLOOKUP(A701,'Sales Order'!A:G,7,FALSE),Shipper!A:B,2,FALSE),"Not Specified")</f>
        <v>Shipper ETYNR</v>
      </c>
      <c r="O701" t="str">
        <f>IFERROR(VLOOKUP(A701,'Sales Order'!A:I,9,FALSE),"Not Specified")</f>
        <v>Destination CUVPF</v>
      </c>
      <c r="P701" t="str">
        <f>IFERROR(VLOOKUP(A701,'Sales Order'!A:N,14,FALSE),"Not Specified")</f>
        <v>Austria</v>
      </c>
      <c r="Q701" t="str">
        <f>VLOOKUP(VLOOKUP(B701,Product!A:C,3,FALSE),Supplier!A:B,2,FALSE)</f>
        <v>Supplier VHQZD</v>
      </c>
      <c r="R701" t="str">
        <f>VLOOKUP(VLOOKUP(B701,Product!A:C,3,FALSE),Supplier!A:I,9,FALSE)</f>
        <v>USA</v>
      </c>
      <c r="S701" t="str">
        <f>IFERROR(IF(VLOOKUP(A701,'Sales Order'!A:H,8,FALSE)&gt;100,"High Freight","Low Freight"),"Not Specified")</f>
        <v>High Freight</v>
      </c>
      <c r="T701">
        <f t="shared" si="21"/>
        <v>820.95</v>
      </c>
    </row>
    <row r="702" spans="1:20">
      <c r="A702" s="9">
        <v>10514</v>
      </c>
      <c r="B702" s="6">
        <v>75</v>
      </c>
      <c r="C702" s="6">
        <v>7.75</v>
      </c>
      <c r="D702" s="6">
        <v>50</v>
      </c>
      <c r="E702" s="18">
        <v>0</v>
      </c>
      <c r="F702" s="6" t="str">
        <f>IFERROR(VLOOKUP(VLOOKUP(A702,'Sales Order'!A:B,2,FALSE),Customer!A:C,3,FALSE),"Not Specified")</f>
        <v>Kane, John</v>
      </c>
      <c r="G702" s="6" t="str">
        <f t="shared" si="20"/>
        <v>Kane John</v>
      </c>
      <c r="H702" s="22" t="str">
        <f>IFERROR(VLOOKUP(VLOOKUP(A702,'Sales Order'!A:C,3,FALSE),Employee!A:E,5,FALSE)&amp;" "&amp;VLOOKUP(VLOOKUP(A702,'Sales Order'!A:C,3,FALSE),Employee!A:C,3,FALSE)&amp;" "&amp;VLOOKUP(VLOOKUP(A702,'Sales Order'!A:C,3,FALSE),Employee!A:B,2,FALSE),"Not Specified")</f>
        <v>Ms. Judy Lew</v>
      </c>
      <c r="I702" t="str">
        <f>IFERROR(VLOOKUP(VLOOKUP(A702,'Sales Order'!A:C,3,FALSE),Employee!A:J,10,FALSE),"Not Specified")</f>
        <v>WA</v>
      </c>
      <c r="J702" t="str">
        <f>VLOOKUP(B702,Product!A:B,2,FALSE)</f>
        <v>Product BWRLG</v>
      </c>
      <c r="K702" t="str">
        <f>VLOOKUP(VLOOKUP(B702,Product!A:D,4,FALSE),Category!A:B,2,FALSE)</f>
        <v>Beverages</v>
      </c>
      <c r="L702" s="24">
        <f>IFERROR(VLOOKUP(A702,'Sales Order'!A:D,4,FALSE),"")</f>
        <v>39194</v>
      </c>
      <c r="M702" s="24">
        <f>IFERROR(VLOOKUP(A702,'Sales Order'!A:F,6,FALSE),"")</f>
        <v>39218</v>
      </c>
      <c r="N702" t="str">
        <f>IFERROR(VLOOKUP(VLOOKUP(A702,'Sales Order'!A:G,7,FALSE),Shipper!A:B,2,FALSE),"Not Specified")</f>
        <v>Shipper ETYNR</v>
      </c>
      <c r="O702" t="str">
        <f>IFERROR(VLOOKUP(A702,'Sales Order'!A:I,9,FALSE),"Not Specified")</f>
        <v>Destination CUVPF</v>
      </c>
      <c r="P702" t="str">
        <f>IFERROR(VLOOKUP(A702,'Sales Order'!A:N,14,FALSE),"Not Specified")</f>
        <v>Austria</v>
      </c>
      <c r="Q702" t="str">
        <f>VLOOKUP(VLOOKUP(B702,Product!A:C,3,FALSE),Supplier!A:B,2,FALSE)</f>
        <v>Supplier SVIYA</v>
      </c>
      <c r="R702" t="str">
        <f>VLOOKUP(VLOOKUP(B702,Product!A:C,3,FALSE),Supplier!A:I,9,FALSE)</f>
        <v>Germany</v>
      </c>
      <c r="S702" t="str">
        <f>IFERROR(IF(VLOOKUP(A702,'Sales Order'!A:H,8,FALSE)&gt;100,"High Freight","Low Freight"),"Not Specified")</f>
        <v>High Freight</v>
      </c>
      <c r="T702">
        <f t="shared" si="21"/>
        <v>387.5</v>
      </c>
    </row>
    <row r="703" spans="1:20">
      <c r="A703" s="9">
        <v>10515</v>
      </c>
      <c r="B703" s="6">
        <v>9</v>
      </c>
      <c r="C703" s="6">
        <v>97</v>
      </c>
      <c r="D703" s="6">
        <v>16</v>
      </c>
      <c r="E703" s="18">
        <v>0.15</v>
      </c>
      <c r="F703" s="6" t="str">
        <f>IFERROR(VLOOKUP(VLOOKUP(A703,'Sales Order'!A:B,2,FALSE),Customer!A:C,3,FALSE),"Not Specified")</f>
        <v>Veronesi, Giorgio</v>
      </c>
      <c r="G703" s="6" t="str">
        <f t="shared" si="20"/>
        <v>Veronesi Giorgio</v>
      </c>
      <c r="H703" s="22" t="str">
        <f>IFERROR(VLOOKUP(VLOOKUP(A703,'Sales Order'!A:C,3,FALSE),Employee!A:E,5,FALSE)&amp;" "&amp;VLOOKUP(VLOOKUP(A703,'Sales Order'!A:C,3,FALSE),Employee!A:C,3,FALSE)&amp;" "&amp;VLOOKUP(VLOOKUP(A703,'Sales Order'!A:C,3,FALSE),Employee!A:B,2,FALSE),"Not Specified")</f>
        <v>Dr. Don Funk</v>
      </c>
      <c r="I703" t="str">
        <f>IFERROR(VLOOKUP(VLOOKUP(A703,'Sales Order'!A:C,3,FALSE),Employee!A:J,10,FALSE),"Not Specified")</f>
        <v>WA</v>
      </c>
      <c r="J703" t="str">
        <f>VLOOKUP(B703,Product!A:B,2,FALSE)</f>
        <v>Product AOZBW</v>
      </c>
      <c r="K703" t="str">
        <f>VLOOKUP(VLOOKUP(B703,Product!A:D,4,FALSE),Category!A:B,2,FALSE)</f>
        <v>Meat/Poultry</v>
      </c>
      <c r="L703" s="24">
        <f>IFERROR(VLOOKUP(A703,'Sales Order'!A:D,4,FALSE),"")</f>
        <v>39195</v>
      </c>
      <c r="M703" s="24">
        <f>IFERROR(VLOOKUP(A703,'Sales Order'!A:F,6,FALSE),"")</f>
        <v>39225</v>
      </c>
      <c r="N703" t="str">
        <f>IFERROR(VLOOKUP(VLOOKUP(A703,'Sales Order'!A:G,7,FALSE),Shipper!A:B,2,FALSE),"Not Specified")</f>
        <v>Shipper GVSUA</v>
      </c>
      <c r="O703" t="str">
        <f>IFERROR(VLOOKUP(A703,'Sales Order'!A:I,9,FALSE),"Not Specified")</f>
        <v>Ship to 63-B</v>
      </c>
      <c r="P703" t="str">
        <f>IFERROR(VLOOKUP(A703,'Sales Order'!A:N,14,FALSE),"Not Specified")</f>
        <v>Germany</v>
      </c>
      <c r="Q703" t="str">
        <f>VLOOKUP(VLOOKUP(B703,Product!A:C,3,FALSE),Supplier!A:B,2,FALSE)</f>
        <v>Supplier QOVFD</v>
      </c>
      <c r="R703" t="str">
        <f>VLOOKUP(VLOOKUP(B703,Product!A:C,3,FALSE),Supplier!A:I,9,FALSE)</f>
        <v>Japan</v>
      </c>
      <c r="S703" t="str">
        <f>IFERROR(IF(VLOOKUP(A703,'Sales Order'!A:H,8,FALSE)&gt;100,"High Freight","Low Freight"),"Not Specified")</f>
        <v>High Freight</v>
      </c>
      <c r="T703">
        <f t="shared" si="21"/>
        <v>1319.2</v>
      </c>
    </row>
    <row r="704" spans="1:20">
      <c r="A704" s="9">
        <v>10515</v>
      </c>
      <c r="B704" s="6">
        <v>16</v>
      </c>
      <c r="C704" s="6">
        <v>17.45</v>
      </c>
      <c r="D704" s="6">
        <v>50</v>
      </c>
      <c r="E704" s="18">
        <v>0</v>
      </c>
      <c r="F704" s="6" t="str">
        <f>IFERROR(VLOOKUP(VLOOKUP(A704,'Sales Order'!A:B,2,FALSE),Customer!A:C,3,FALSE),"Not Specified")</f>
        <v>Veronesi, Giorgio</v>
      </c>
      <c r="G704" s="6" t="str">
        <f t="shared" si="20"/>
        <v>Veronesi Giorgio</v>
      </c>
      <c r="H704" s="22" t="str">
        <f>IFERROR(VLOOKUP(VLOOKUP(A704,'Sales Order'!A:C,3,FALSE),Employee!A:E,5,FALSE)&amp;" "&amp;VLOOKUP(VLOOKUP(A704,'Sales Order'!A:C,3,FALSE),Employee!A:C,3,FALSE)&amp;" "&amp;VLOOKUP(VLOOKUP(A704,'Sales Order'!A:C,3,FALSE),Employee!A:B,2,FALSE),"Not Specified")</f>
        <v>Dr. Don Funk</v>
      </c>
      <c r="I704" t="str">
        <f>IFERROR(VLOOKUP(VLOOKUP(A704,'Sales Order'!A:C,3,FALSE),Employee!A:J,10,FALSE),"Not Specified")</f>
        <v>WA</v>
      </c>
      <c r="J704" t="str">
        <f>VLOOKUP(B704,Product!A:B,2,FALSE)</f>
        <v>Product PAFRH</v>
      </c>
      <c r="K704" t="str">
        <f>VLOOKUP(VLOOKUP(B704,Product!A:D,4,FALSE),Category!A:B,2,FALSE)</f>
        <v>Confections</v>
      </c>
      <c r="L704" s="24">
        <f>IFERROR(VLOOKUP(A704,'Sales Order'!A:D,4,FALSE),"")</f>
        <v>39195</v>
      </c>
      <c r="M704" s="24">
        <f>IFERROR(VLOOKUP(A704,'Sales Order'!A:F,6,FALSE),"")</f>
        <v>39225</v>
      </c>
      <c r="N704" t="str">
        <f>IFERROR(VLOOKUP(VLOOKUP(A704,'Sales Order'!A:G,7,FALSE),Shipper!A:B,2,FALSE),"Not Specified")</f>
        <v>Shipper GVSUA</v>
      </c>
      <c r="O704" t="str">
        <f>IFERROR(VLOOKUP(A704,'Sales Order'!A:I,9,FALSE),"Not Specified")</f>
        <v>Ship to 63-B</v>
      </c>
      <c r="P704" t="str">
        <f>IFERROR(VLOOKUP(A704,'Sales Order'!A:N,14,FALSE),"Not Specified")</f>
        <v>Germany</v>
      </c>
      <c r="Q704" t="str">
        <f>VLOOKUP(VLOOKUP(B704,Product!A:C,3,FALSE),Supplier!A:B,2,FALSE)</f>
        <v>Supplier GQRCV</v>
      </c>
      <c r="R704" t="str">
        <f>VLOOKUP(VLOOKUP(B704,Product!A:C,3,FALSE),Supplier!A:I,9,FALSE)</f>
        <v>Australia</v>
      </c>
      <c r="S704" t="str">
        <f>IFERROR(IF(VLOOKUP(A704,'Sales Order'!A:H,8,FALSE)&gt;100,"High Freight","Low Freight"),"Not Specified")</f>
        <v>High Freight</v>
      </c>
      <c r="T704">
        <f t="shared" si="21"/>
        <v>872.5</v>
      </c>
    </row>
    <row r="705" spans="1:20">
      <c r="A705" s="9">
        <v>10515</v>
      </c>
      <c r="B705" s="6">
        <v>27</v>
      </c>
      <c r="C705" s="6">
        <v>43.9</v>
      </c>
      <c r="D705" s="6">
        <v>120</v>
      </c>
      <c r="E705" s="18">
        <v>0</v>
      </c>
      <c r="F705" s="6" t="str">
        <f>IFERROR(VLOOKUP(VLOOKUP(A705,'Sales Order'!A:B,2,FALSE),Customer!A:C,3,FALSE),"Not Specified")</f>
        <v>Veronesi, Giorgio</v>
      </c>
      <c r="G705" s="6" t="str">
        <f t="shared" si="20"/>
        <v>Veronesi Giorgio</v>
      </c>
      <c r="H705" s="22" t="str">
        <f>IFERROR(VLOOKUP(VLOOKUP(A705,'Sales Order'!A:C,3,FALSE),Employee!A:E,5,FALSE)&amp;" "&amp;VLOOKUP(VLOOKUP(A705,'Sales Order'!A:C,3,FALSE),Employee!A:C,3,FALSE)&amp;" "&amp;VLOOKUP(VLOOKUP(A705,'Sales Order'!A:C,3,FALSE),Employee!A:B,2,FALSE),"Not Specified")</f>
        <v>Dr. Don Funk</v>
      </c>
      <c r="I705" t="str">
        <f>IFERROR(VLOOKUP(VLOOKUP(A705,'Sales Order'!A:C,3,FALSE),Employee!A:J,10,FALSE),"Not Specified")</f>
        <v>WA</v>
      </c>
      <c r="J705" t="str">
        <f>VLOOKUP(B705,Product!A:B,2,FALSE)</f>
        <v>Product SMIOH</v>
      </c>
      <c r="K705" t="str">
        <f>VLOOKUP(VLOOKUP(B705,Product!A:D,4,FALSE),Category!A:B,2,FALSE)</f>
        <v>Confections</v>
      </c>
      <c r="L705" s="24">
        <f>IFERROR(VLOOKUP(A705,'Sales Order'!A:D,4,FALSE),"")</f>
        <v>39195</v>
      </c>
      <c r="M705" s="24">
        <f>IFERROR(VLOOKUP(A705,'Sales Order'!A:F,6,FALSE),"")</f>
        <v>39225</v>
      </c>
      <c r="N705" t="str">
        <f>IFERROR(VLOOKUP(VLOOKUP(A705,'Sales Order'!A:G,7,FALSE),Shipper!A:B,2,FALSE),"Not Specified")</f>
        <v>Shipper GVSUA</v>
      </c>
      <c r="O705" t="str">
        <f>IFERROR(VLOOKUP(A705,'Sales Order'!A:I,9,FALSE),"Not Specified")</f>
        <v>Ship to 63-B</v>
      </c>
      <c r="P705" t="str">
        <f>IFERROR(VLOOKUP(A705,'Sales Order'!A:N,14,FALSE),"Not Specified")</f>
        <v>Germany</v>
      </c>
      <c r="Q705" t="str">
        <f>VLOOKUP(VLOOKUP(B705,Product!A:C,3,FALSE),Supplier!A:B,2,FALSE)</f>
        <v>Supplier ZPYVS</v>
      </c>
      <c r="R705" t="str">
        <f>VLOOKUP(VLOOKUP(B705,Product!A:C,3,FALSE),Supplier!A:I,9,FALSE)</f>
        <v>Germany</v>
      </c>
      <c r="S705" t="str">
        <f>IFERROR(IF(VLOOKUP(A705,'Sales Order'!A:H,8,FALSE)&gt;100,"High Freight","Low Freight"),"Not Specified")</f>
        <v>High Freight</v>
      </c>
      <c r="T705">
        <f t="shared" si="21"/>
        <v>5268</v>
      </c>
    </row>
    <row r="706" spans="1:20">
      <c r="A706" s="9">
        <v>10515</v>
      </c>
      <c r="B706" s="6">
        <v>33</v>
      </c>
      <c r="C706" s="6">
        <v>2.5</v>
      </c>
      <c r="D706" s="6">
        <v>16</v>
      </c>
      <c r="E706" s="18">
        <v>0.15</v>
      </c>
      <c r="F706" s="6" t="str">
        <f>IFERROR(VLOOKUP(VLOOKUP(A706,'Sales Order'!A:B,2,FALSE),Customer!A:C,3,FALSE),"Not Specified")</f>
        <v>Veronesi, Giorgio</v>
      </c>
      <c r="G706" s="6" t="str">
        <f t="shared" si="20"/>
        <v>Veronesi Giorgio</v>
      </c>
      <c r="H706" s="22" t="str">
        <f>IFERROR(VLOOKUP(VLOOKUP(A706,'Sales Order'!A:C,3,FALSE),Employee!A:E,5,FALSE)&amp;" "&amp;VLOOKUP(VLOOKUP(A706,'Sales Order'!A:C,3,FALSE),Employee!A:C,3,FALSE)&amp;" "&amp;VLOOKUP(VLOOKUP(A706,'Sales Order'!A:C,3,FALSE),Employee!A:B,2,FALSE),"Not Specified")</f>
        <v>Dr. Don Funk</v>
      </c>
      <c r="I706" t="str">
        <f>IFERROR(VLOOKUP(VLOOKUP(A706,'Sales Order'!A:C,3,FALSE),Employee!A:J,10,FALSE),"Not Specified")</f>
        <v>WA</v>
      </c>
      <c r="J706" t="str">
        <f>VLOOKUP(B706,Product!A:B,2,FALSE)</f>
        <v>Product ASTMN</v>
      </c>
      <c r="K706" t="str">
        <f>VLOOKUP(VLOOKUP(B706,Product!A:D,4,FALSE),Category!A:B,2,FALSE)</f>
        <v>Dairy Product</v>
      </c>
      <c r="L706" s="24">
        <f>IFERROR(VLOOKUP(A706,'Sales Order'!A:D,4,FALSE),"")</f>
        <v>39195</v>
      </c>
      <c r="M706" s="24">
        <f>IFERROR(VLOOKUP(A706,'Sales Order'!A:F,6,FALSE),"")</f>
        <v>39225</v>
      </c>
      <c r="N706" t="str">
        <f>IFERROR(VLOOKUP(VLOOKUP(A706,'Sales Order'!A:G,7,FALSE),Shipper!A:B,2,FALSE),"Not Specified")</f>
        <v>Shipper GVSUA</v>
      </c>
      <c r="O706" t="str">
        <f>IFERROR(VLOOKUP(A706,'Sales Order'!A:I,9,FALSE),"Not Specified")</f>
        <v>Ship to 63-B</v>
      </c>
      <c r="P706" t="str">
        <f>IFERROR(VLOOKUP(A706,'Sales Order'!A:N,14,FALSE),"Not Specified")</f>
        <v>Germany</v>
      </c>
      <c r="Q706" t="str">
        <f>VLOOKUP(VLOOKUP(B706,Product!A:C,3,FALSE),Supplier!A:B,2,FALSE)</f>
        <v>Supplier NZLIF</v>
      </c>
      <c r="R706" t="str">
        <f>VLOOKUP(VLOOKUP(B706,Product!A:C,3,FALSE),Supplier!A:I,9,FALSE)</f>
        <v>Norway</v>
      </c>
      <c r="S706" t="str">
        <f>IFERROR(IF(VLOOKUP(A706,'Sales Order'!A:H,8,FALSE)&gt;100,"High Freight","Low Freight"),"Not Specified")</f>
        <v>High Freight</v>
      </c>
      <c r="T706">
        <f t="shared" si="21"/>
        <v>34</v>
      </c>
    </row>
    <row r="707" spans="1:20">
      <c r="A707" s="9">
        <v>10515</v>
      </c>
      <c r="B707" s="6">
        <v>60</v>
      </c>
      <c r="C707" s="6">
        <v>34</v>
      </c>
      <c r="D707" s="6">
        <v>84</v>
      </c>
      <c r="E707" s="18">
        <v>0.15</v>
      </c>
      <c r="F707" s="6" t="str">
        <f>IFERROR(VLOOKUP(VLOOKUP(A707,'Sales Order'!A:B,2,FALSE),Customer!A:C,3,FALSE),"Not Specified")</f>
        <v>Veronesi, Giorgio</v>
      </c>
      <c r="G707" s="6" t="str">
        <f t="shared" ref="G707:G770" si="22">SUBSTITUTE(F707,",","",1)</f>
        <v>Veronesi Giorgio</v>
      </c>
      <c r="H707" s="22" t="str">
        <f>IFERROR(VLOOKUP(VLOOKUP(A707,'Sales Order'!A:C,3,FALSE),Employee!A:E,5,FALSE)&amp;" "&amp;VLOOKUP(VLOOKUP(A707,'Sales Order'!A:C,3,FALSE),Employee!A:C,3,FALSE)&amp;" "&amp;VLOOKUP(VLOOKUP(A707,'Sales Order'!A:C,3,FALSE),Employee!A:B,2,FALSE),"Not Specified")</f>
        <v>Dr. Don Funk</v>
      </c>
      <c r="I707" t="str">
        <f>IFERROR(VLOOKUP(VLOOKUP(A707,'Sales Order'!A:C,3,FALSE),Employee!A:J,10,FALSE),"Not Specified")</f>
        <v>WA</v>
      </c>
      <c r="J707" t="str">
        <f>VLOOKUP(B707,Product!A:B,2,FALSE)</f>
        <v>Product WHBYK</v>
      </c>
      <c r="K707" t="str">
        <f>VLOOKUP(VLOOKUP(B707,Product!A:D,4,FALSE),Category!A:B,2,FALSE)</f>
        <v>Dairy Product</v>
      </c>
      <c r="L707" s="24">
        <f>IFERROR(VLOOKUP(A707,'Sales Order'!A:D,4,FALSE),"")</f>
        <v>39195</v>
      </c>
      <c r="M707" s="24">
        <f>IFERROR(VLOOKUP(A707,'Sales Order'!A:F,6,FALSE),"")</f>
        <v>39225</v>
      </c>
      <c r="N707" t="str">
        <f>IFERROR(VLOOKUP(VLOOKUP(A707,'Sales Order'!A:G,7,FALSE),Shipper!A:B,2,FALSE),"Not Specified")</f>
        <v>Shipper GVSUA</v>
      </c>
      <c r="O707" t="str">
        <f>IFERROR(VLOOKUP(A707,'Sales Order'!A:I,9,FALSE),"Not Specified")</f>
        <v>Ship to 63-B</v>
      </c>
      <c r="P707" t="str">
        <f>IFERROR(VLOOKUP(A707,'Sales Order'!A:N,14,FALSE),"Not Specified")</f>
        <v>Germany</v>
      </c>
      <c r="Q707" t="str">
        <f>VLOOKUP(VLOOKUP(B707,Product!A:C,3,FALSE),Supplier!A:B,2,FALSE)</f>
        <v>Supplier OAVQT</v>
      </c>
      <c r="R707" t="str">
        <f>VLOOKUP(VLOOKUP(B707,Product!A:C,3,FALSE),Supplier!A:I,9,FALSE)</f>
        <v>France</v>
      </c>
      <c r="S707" t="str">
        <f>IFERROR(IF(VLOOKUP(A707,'Sales Order'!A:H,8,FALSE)&gt;100,"High Freight","Low Freight"),"Not Specified")</f>
        <v>High Freight</v>
      </c>
      <c r="T707">
        <f t="shared" ref="T707:T770" si="23">C707*D707*(1-E707)</f>
        <v>2427.6</v>
      </c>
    </row>
    <row r="708" spans="1:20">
      <c r="A708" s="9">
        <v>10516</v>
      </c>
      <c r="B708" s="6">
        <v>18</v>
      </c>
      <c r="C708" s="6">
        <v>62.5</v>
      </c>
      <c r="D708" s="6">
        <v>25</v>
      </c>
      <c r="E708" s="18">
        <v>0.1</v>
      </c>
      <c r="F708" s="6" t="str">
        <f>IFERROR(VLOOKUP(VLOOKUP(A708,'Sales Order'!A:B,2,FALSE),Customer!A:C,3,FALSE),"Not Specified")</f>
        <v>Crăciun, Ovidiu V.</v>
      </c>
      <c r="G708" s="6" t="str">
        <f t="shared" si="22"/>
        <v>Crăciun Ovidiu V.</v>
      </c>
      <c r="H708" s="22" t="str">
        <f>IFERROR(VLOOKUP(VLOOKUP(A708,'Sales Order'!A:C,3,FALSE),Employee!A:E,5,FALSE)&amp;" "&amp;VLOOKUP(VLOOKUP(A708,'Sales Order'!A:C,3,FALSE),Employee!A:C,3,FALSE)&amp;" "&amp;VLOOKUP(VLOOKUP(A708,'Sales Order'!A:C,3,FALSE),Employee!A:B,2,FALSE),"Not Specified")</f>
        <v>Dr. Don Funk</v>
      </c>
      <c r="I708" t="str">
        <f>IFERROR(VLOOKUP(VLOOKUP(A708,'Sales Order'!A:C,3,FALSE),Employee!A:J,10,FALSE),"Not Specified")</f>
        <v>WA</v>
      </c>
      <c r="J708" t="str">
        <f>VLOOKUP(B708,Product!A:B,2,FALSE)</f>
        <v>Product CKEDC</v>
      </c>
      <c r="K708" t="str">
        <f>VLOOKUP(VLOOKUP(B708,Product!A:D,4,FALSE),Category!A:B,2,FALSE)</f>
        <v>Seafood</v>
      </c>
      <c r="L708" s="24">
        <f>IFERROR(VLOOKUP(A708,'Sales Order'!A:D,4,FALSE),"")</f>
        <v>39196</v>
      </c>
      <c r="M708" s="24">
        <f>IFERROR(VLOOKUP(A708,'Sales Order'!A:F,6,FALSE),"")</f>
        <v>39203</v>
      </c>
      <c r="N708" t="str">
        <f>IFERROR(VLOOKUP(VLOOKUP(A708,'Sales Order'!A:G,7,FALSE),Shipper!A:B,2,FALSE),"Not Specified")</f>
        <v>Shipper ZHISN</v>
      </c>
      <c r="O708" t="str">
        <f>IFERROR(VLOOKUP(A708,'Sales Order'!A:I,9,FALSE),"Not Specified")</f>
        <v>Destination DGKOU</v>
      </c>
      <c r="P708" t="str">
        <f>IFERROR(VLOOKUP(A708,'Sales Order'!A:N,14,FALSE),"Not Specified")</f>
        <v>Ireland</v>
      </c>
      <c r="Q708" t="str">
        <f>VLOOKUP(VLOOKUP(B708,Product!A:C,3,FALSE),Supplier!A:B,2,FALSE)</f>
        <v>Supplier GQRCV</v>
      </c>
      <c r="R708" t="str">
        <f>VLOOKUP(VLOOKUP(B708,Product!A:C,3,FALSE),Supplier!A:I,9,FALSE)</f>
        <v>Australia</v>
      </c>
      <c r="S708" t="str">
        <f>IFERROR(IF(VLOOKUP(A708,'Sales Order'!A:H,8,FALSE)&gt;100,"High Freight","Low Freight"),"Not Specified")</f>
        <v>Low Freight</v>
      </c>
      <c r="T708">
        <f t="shared" si="23"/>
        <v>1406.25</v>
      </c>
    </row>
    <row r="709" spans="1:20">
      <c r="A709" s="9">
        <v>10516</v>
      </c>
      <c r="B709" s="6">
        <v>41</v>
      </c>
      <c r="C709" s="6">
        <v>9.65</v>
      </c>
      <c r="D709" s="6">
        <v>80</v>
      </c>
      <c r="E709" s="18">
        <v>0.1</v>
      </c>
      <c r="F709" s="6" t="str">
        <f>IFERROR(VLOOKUP(VLOOKUP(A709,'Sales Order'!A:B,2,FALSE),Customer!A:C,3,FALSE),"Not Specified")</f>
        <v>Crăciun, Ovidiu V.</v>
      </c>
      <c r="G709" s="6" t="str">
        <f t="shared" si="22"/>
        <v>Crăciun Ovidiu V.</v>
      </c>
      <c r="H709" s="22" t="str">
        <f>IFERROR(VLOOKUP(VLOOKUP(A709,'Sales Order'!A:C,3,FALSE),Employee!A:E,5,FALSE)&amp;" "&amp;VLOOKUP(VLOOKUP(A709,'Sales Order'!A:C,3,FALSE),Employee!A:C,3,FALSE)&amp;" "&amp;VLOOKUP(VLOOKUP(A709,'Sales Order'!A:C,3,FALSE),Employee!A:B,2,FALSE),"Not Specified")</f>
        <v>Dr. Don Funk</v>
      </c>
      <c r="I709" t="str">
        <f>IFERROR(VLOOKUP(VLOOKUP(A709,'Sales Order'!A:C,3,FALSE),Employee!A:J,10,FALSE),"Not Specified")</f>
        <v>WA</v>
      </c>
      <c r="J709" t="str">
        <f>VLOOKUP(B709,Product!A:B,2,FALSE)</f>
        <v>Product TTEEX</v>
      </c>
      <c r="K709" t="str">
        <f>VLOOKUP(VLOOKUP(B709,Product!A:D,4,FALSE),Category!A:B,2,FALSE)</f>
        <v>Seafood</v>
      </c>
      <c r="L709" s="24">
        <f>IFERROR(VLOOKUP(A709,'Sales Order'!A:D,4,FALSE),"")</f>
        <v>39196</v>
      </c>
      <c r="M709" s="24">
        <f>IFERROR(VLOOKUP(A709,'Sales Order'!A:F,6,FALSE),"")</f>
        <v>39203</v>
      </c>
      <c r="N709" t="str">
        <f>IFERROR(VLOOKUP(VLOOKUP(A709,'Sales Order'!A:G,7,FALSE),Shipper!A:B,2,FALSE),"Not Specified")</f>
        <v>Shipper ZHISN</v>
      </c>
      <c r="O709" t="str">
        <f>IFERROR(VLOOKUP(A709,'Sales Order'!A:I,9,FALSE),"Not Specified")</f>
        <v>Destination DGKOU</v>
      </c>
      <c r="P709" t="str">
        <f>IFERROR(VLOOKUP(A709,'Sales Order'!A:N,14,FALSE),"Not Specified")</f>
        <v>Ireland</v>
      </c>
      <c r="Q709" t="str">
        <f>VLOOKUP(VLOOKUP(B709,Product!A:C,3,FALSE),Supplier!A:B,2,FALSE)</f>
        <v>Supplier JDNUG</v>
      </c>
      <c r="R709" t="str">
        <f>VLOOKUP(VLOOKUP(B709,Product!A:C,3,FALSE),Supplier!A:I,9,FALSE)</f>
        <v>USA</v>
      </c>
      <c r="S709" t="str">
        <f>IFERROR(IF(VLOOKUP(A709,'Sales Order'!A:H,8,FALSE)&gt;100,"High Freight","Low Freight"),"Not Specified")</f>
        <v>Low Freight</v>
      </c>
      <c r="T709">
        <f t="shared" si="23"/>
        <v>694.80000000000007</v>
      </c>
    </row>
    <row r="710" spans="1:20">
      <c r="A710" s="9">
        <v>10516</v>
      </c>
      <c r="B710" s="6">
        <v>42</v>
      </c>
      <c r="C710" s="6">
        <v>14</v>
      </c>
      <c r="D710" s="6">
        <v>20</v>
      </c>
      <c r="E710" s="18">
        <v>0</v>
      </c>
      <c r="F710" s="6" t="str">
        <f>IFERROR(VLOOKUP(VLOOKUP(A710,'Sales Order'!A:B,2,FALSE),Customer!A:C,3,FALSE),"Not Specified")</f>
        <v>Crăciun, Ovidiu V.</v>
      </c>
      <c r="G710" s="6" t="str">
        <f t="shared" si="22"/>
        <v>Crăciun Ovidiu V.</v>
      </c>
      <c r="H710" s="22" t="str">
        <f>IFERROR(VLOOKUP(VLOOKUP(A710,'Sales Order'!A:C,3,FALSE),Employee!A:E,5,FALSE)&amp;" "&amp;VLOOKUP(VLOOKUP(A710,'Sales Order'!A:C,3,FALSE),Employee!A:C,3,FALSE)&amp;" "&amp;VLOOKUP(VLOOKUP(A710,'Sales Order'!A:C,3,FALSE),Employee!A:B,2,FALSE),"Not Specified")</f>
        <v>Dr. Don Funk</v>
      </c>
      <c r="I710" t="str">
        <f>IFERROR(VLOOKUP(VLOOKUP(A710,'Sales Order'!A:C,3,FALSE),Employee!A:J,10,FALSE),"Not Specified")</f>
        <v>WA</v>
      </c>
      <c r="J710" t="str">
        <f>VLOOKUP(B710,Product!A:B,2,FALSE)</f>
        <v>Product RJVNM</v>
      </c>
      <c r="K710" t="str">
        <f>VLOOKUP(VLOOKUP(B710,Product!A:D,4,FALSE),Category!A:B,2,FALSE)</f>
        <v>Grains/Cereals</v>
      </c>
      <c r="L710" s="24">
        <f>IFERROR(VLOOKUP(A710,'Sales Order'!A:D,4,FALSE),"")</f>
        <v>39196</v>
      </c>
      <c r="M710" s="24">
        <f>IFERROR(VLOOKUP(A710,'Sales Order'!A:F,6,FALSE),"")</f>
        <v>39203</v>
      </c>
      <c r="N710" t="str">
        <f>IFERROR(VLOOKUP(VLOOKUP(A710,'Sales Order'!A:G,7,FALSE),Shipper!A:B,2,FALSE),"Not Specified")</f>
        <v>Shipper ZHISN</v>
      </c>
      <c r="O710" t="str">
        <f>IFERROR(VLOOKUP(A710,'Sales Order'!A:I,9,FALSE),"Not Specified")</f>
        <v>Destination DGKOU</v>
      </c>
      <c r="P710" t="str">
        <f>IFERROR(VLOOKUP(A710,'Sales Order'!A:N,14,FALSE),"Not Specified")</f>
        <v>Ireland</v>
      </c>
      <c r="Q710" t="str">
        <f>VLOOKUP(VLOOKUP(B710,Product!A:C,3,FALSE),Supplier!A:B,2,FALSE)</f>
        <v>Supplier CIYNM</v>
      </c>
      <c r="R710" t="str">
        <f>VLOOKUP(VLOOKUP(B710,Product!A:C,3,FALSE),Supplier!A:I,9,FALSE)</f>
        <v>Singapore</v>
      </c>
      <c r="S710" t="str">
        <f>IFERROR(IF(VLOOKUP(A710,'Sales Order'!A:H,8,FALSE)&gt;100,"High Freight","Low Freight"),"Not Specified")</f>
        <v>Low Freight</v>
      </c>
      <c r="T710">
        <f t="shared" si="23"/>
        <v>280</v>
      </c>
    </row>
    <row r="711" spans="1:20">
      <c r="A711" s="9">
        <v>10517</v>
      </c>
      <c r="B711" s="6">
        <v>52</v>
      </c>
      <c r="C711" s="6">
        <v>7</v>
      </c>
      <c r="D711" s="6">
        <v>6</v>
      </c>
      <c r="E711" s="18">
        <v>0</v>
      </c>
      <c r="F711" s="6" t="str">
        <f>IFERROR(VLOOKUP(VLOOKUP(A711,'Sales Order'!A:B,2,FALSE),Customer!A:C,3,FALSE),"Not Specified")</f>
        <v>Mallit, Ken</v>
      </c>
      <c r="G711" s="6" t="str">
        <f t="shared" si="22"/>
        <v>Mallit Ken</v>
      </c>
      <c r="H711" s="22" t="str">
        <f>IFERROR(VLOOKUP(VLOOKUP(A711,'Sales Order'!A:C,3,FALSE),Employee!A:E,5,FALSE)&amp;" "&amp;VLOOKUP(VLOOKUP(A711,'Sales Order'!A:C,3,FALSE),Employee!A:C,3,FALSE)&amp;" "&amp;VLOOKUP(VLOOKUP(A711,'Sales Order'!A:C,3,FALSE),Employee!A:B,2,FALSE),"Not Specified")</f>
        <v>Ms. Judy Lew</v>
      </c>
      <c r="I711" t="str">
        <f>IFERROR(VLOOKUP(VLOOKUP(A711,'Sales Order'!A:C,3,FALSE),Employee!A:J,10,FALSE),"Not Specified")</f>
        <v>WA</v>
      </c>
      <c r="J711" t="str">
        <f>VLOOKUP(B711,Product!A:B,2,FALSE)</f>
        <v>Product QSRXF</v>
      </c>
      <c r="K711" t="str">
        <f>VLOOKUP(VLOOKUP(B711,Product!A:D,4,FALSE),Category!A:B,2,FALSE)</f>
        <v>Grains/Cereals</v>
      </c>
      <c r="L711" s="24">
        <f>IFERROR(VLOOKUP(A711,'Sales Order'!A:D,4,FALSE),"")</f>
        <v>39196</v>
      </c>
      <c r="M711" s="24">
        <f>IFERROR(VLOOKUP(A711,'Sales Order'!A:F,6,FALSE),"")</f>
        <v>39201</v>
      </c>
      <c r="N711" t="str">
        <f>IFERROR(VLOOKUP(VLOOKUP(A711,'Sales Order'!A:G,7,FALSE),Shipper!A:B,2,FALSE),"Not Specified")</f>
        <v>Shipper ZHISN</v>
      </c>
      <c r="O711" t="str">
        <f>IFERROR(VLOOKUP(A711,'Sales Order'!A:I,9,FALSE),"Not Specified")</f>
        <v>Ship to 53-A</v>
      </c>
      <c r="P711" t="str">
        <f>IFERROR(VLOOKUP(A711,'Sales Order'!A:N,14,FALSE),"Not Specified")</f>
        <v>UK</v>
      </c>
      <c r="Q711" t="str">
        <f>VLOOKUP(VLOOKUP(B711,Product!A:C,3,FALSE),Supplier!A:B,2,FALSE)</f>
        <v>Supplier JNNES</v>
      </c>
      <c r="R711" t="str">
        <f>VLOOKUP(VLOOKUP(B711,Product!A:C,3,FALSE),Supplier!A:I,9,FALSE)</f>
        <v>Australia</v>
      </c>
      <c r="S711" t="str">
        <f>IFERROR(IF(VLOOKUP(A711,'Sales Order'!A:H,8,FALSE)&gt;100,"High Freight","Low Freight"),"Not Specified")</f>
        <v>Low Freight</v>
      </c>
      <c r="T711">
        <f t="shared" si="23"/>
        <v>42</v>
      </c>
    </row>
    <row r="712" spans="1:20">
      <c r="A712" s="9">
        <v>10517</v>
      </c>
      <c r="B712" s="6">
        <v>59</v>
      </c>
      <c r="C712" s="6">
        <v>55</v>
      </c>
      <c r="D712" s="6">
        <v>4</v>
      </c>
      <c r="E712" s="18">
        <v>0</v>
      </c>
      <c r="F712" s="6" t="str">
        <f>IFERROR(VLOOKUP(VLOOKUP(A712,'Sales Order'!A:B,2,FALSE),Customer!A:C,3,FALSE),"Not Specified")</f>
        <v>Mallit, Ken</v>
      </c>
      <c r="G712" s="6" t="str">
        <f t="shared" si="22"/>
        <v>Mallit Ken</v>
      </c>
      <c r="H712" s="22" t="str">
        <f>IFERROR(VLOOKUP(VLOOKUP(A712,'Sales Order'!A:C,3,FALSE),Employee!A:E,5,FALSE)&amp;" "&amp;VLOOKUP(VLOOKUP(A712,'Sales Order'!A:C,3,FALSE),Employee!A:C,3,FALSE)&amp;" "&amp;VLOOKUP(VLOOKUP(A712,'Sales Order'!A:C,3,FALSE),Employee!A:B,2,FALSE),"Not Specified")</f>
        <v>Ms. Judy Lew</v>
      </c>
      <c r="I712" t="str">
        <f>IFERROR(VLOOKUP(VLOOKUP(A712,'Sales Order'!A:C,3,FALSE),Employee!A:J,10,FALSE),"Not Specified")</f>
        <v>WA</v>
      </c>
      <c r="J712" t="str">
        <f>VLOOKUP(B712,Product!A:B,2,FALSE)</f>
        <v>Product UKXRI</v>
      </c>
      <c r="K712" t="str">
        <f>VLOOKUP(VLOOKUP(B712,Product!A:D,4,FALSE),Category!A:B,2,FALSE)</f>
        <v>Dairy Product</v>
      </c>
      <c r="L712" s="24">
        <f>IFERROR(VLOOKUP(A712,'Sales Order'!A:D,4,FALSE),"")</f>
        <v>39196</v>
      </c>
      <c r="M712" s="24">
        <f>IFERROR(VLOOKUP(A712,'Sales Order'!A:F,6,FALSE),"")</f>
        <v>39201</v>
      </c>
      <c r="N712" t="str">
        <f>IFERROR(VLOOKUP(VLOOKUP(A712,'Sales Order'!A:G,7,FALSE),Shipper!A:B,2,FALSE),"Not Specified")</f>
        <v>Shipper ZHISN</v>
      </c>
      <c r="O712" t="str">
        <f>IFERROR(VLOOKUP(A712,'Sales Order'!A:I,9,FALSE),"Not Specified")</f>
        <v>Ship to 53-A</v>
      </c>
      <c r="P712" t="str">
        <f>IFERROR(VLOOKUP(A712,'Sales Order'!A:N,14,FALSE),"Not Specified")</f>
        <v>UK</v>
      </c>
      <c r="Q712" t="str">
        <f>VLOOKUP(VLOOKUP(B712,Product!A:C,3,FALSE),Supplier!A:B,2,FALSE)</f>
        <v>Supplier OAVQT</v>
      </c>
      <c r="R712" t="str">
        <f>VLOOKUP(VLOOKUP(B712,Product!A:C,3,FALSE),Supplier!A:I,9,FALSE)</f>
        <v>France</v>
      </c>
      <c r="S712" t="str">
        <f>IFERROR(IF(VLOOKUP(A712,'Sales Order'!A:H,8,FALSE)&gt;100,"High Freight","Low Freight"),"Not Specified")</f>
        <v>Low Freight</v>
      </c>
      <c r="T712">
        <f t="shared" si="23"/>
        <v>220</v>
      </c>
    </row>
    <row r="713" spans="1:20">
      <c r="A713" s="9">
        <v>10517</v>
      </c>
      <c r="B713" s="6">
        <v>70</v>
      </c>
      <c r="C713" s="6">
        <v>15</v>
      </c>
      <c r="D713" s="6">
        <v>6</v>
      </c>
      <c r="E713" s="18">
        <v>0</v>
      </c>
      <c r="F713" s="6" t="str">
        <f>IFERROR(VLOOKUP(VLOOKUP(A713,'Sales Order'!A:B,2,FALSE),Customer!A:C,3,FALSE),"Not Specified")</f>
        <v>Mallit, Ken</v>
      </c>
      <c r="G713" s="6" t="str">
        <f t="shared" si="22"/>
        <v>Mallit Ken</v>
      </c>
      <c r="H713" s="22" t="str">
        <f>IFERROR(VLOOKUP(VLOOKUP(A713,'Sales Order'!A:C,3,FALSE),Employee!A:E,5,FALSE)&amp;" "&amp;VLOOKUP(VLOOKUP(A713,'Sales Order'!A:C,3,FALSE),Employee!A:C,3,FALSE)&amp;" "&amp;VLOOKUP(VLOOKUP(A713,'Sales Order'!A:C,3,FALSE),Employee!A:B,2,FALSE),"Not Specified")</f>
        <v>Ms. Judy Lew</v>
      </c>
      <c r="I713" t="str">
        <f>IFERROR(VLOOKUP(VLOOKUP(A713,'Sales Order'!A:C,3,FALSE),Employee!A:J,10,FALSE),"Not Specified")</f>
        <v>WA</v>
      </c>
      <c r="J713" t="str">
        <f>VLOOKUP(B713,Product!A:B,2,FALSE)</f>
        <v>Product TOONT</v>
      </c>
      <c r="K713" t="str">
        <f>VLOOKUP(VLOOKUP(B713,Product!A:D,4,FALSE),Category!A:B,2,FALSE)</f>
        <v>Beverages</v>
      </c>
      <c r="L713" s="24">
        <f>IFERROR(VLOOKUP(A713,'Sales Order'!A:D,4,FALSE),"")</f>
        <v>39196</v>
      </c>
      <c r="M713" s="24">
        <f>IFERROR(VLOOKUP(A713,'Sales Order'!A:F,6,FALSE),"")</f>
        <v>39201</v>
      </c>
      <c r="N713" t="str">
        <f>IFERROR(VLOOKUP(VLOOKUP(A713,'Sales Order'!A:G,7,FALSE),Shipper!A:B,2,FALSE),"Not Specified")</f>
        <v>Shipper ZHISN</v>
      </c>
      <c r="O713" t="str">
        <f>IFERROR(VLOOKUP(A713,'Sales Order'!A:I,9,FALSE),"Not Specified")</f>
        <v>Ship to 53-A</v>
      </c>
      <c r="P713" t="str">
        <f>IFERROR(VLOOKUP(A713,'Sales Order'!A:N,14,FALSE),"Not Specified")</f>
        <v>UK</v>
      </c>
      <c r="Q713" t="str">
        <f>VLOOKUP(VLOOKUP(B713,Product!A:C,3,FALSE),Supplier!A:B,2,FALSE)</f>
        <v>Supplier GQRCV</v>
      </c>
      <c r="R713" t="str">
        <f>VLOOKUP(VLOOKUP(B713,Product!A:C,3,FALSE),Supplier!A:I,9,FALSE)</f>
        <v>Australia</v>
      </c>
      <c r="S713" t="str">
        <f>IFERROR(IF(VLOOKUP(A713,'Sales Order'!A:H,8,FALSE)&gt;100,"High Freight","Low Freight"),"Not Specified")</f>
        <v>Low Freight</v>
      </c>
      <c r="T713">
        <f t="shared" si="23"/>
        <v>90</v>
      </c>
    </row>
    <row r="714" spans="1:20">
      <c r="A714" s="9">
        <v>10518</v>
      </c>
      <c r="B714" s="6">
        <v>24</v>
      </c>
      <c r="C714" s="6">
        <v>4.5</v>
      </c>
      <c r="D714" s="6">
        <v>5</v>
      </c>
      <c r="E714" s="18">
        <v>0</v>
      </c>
      <c r="F714" s="6" t="str">
        <f>IFERROR(VLOOKUP(VLOOKUP(A714,'Sales Order'!A:B,2,FALSE),Customer!A:C,3,FALSE),"Not Specified")</f>
        <v>Geschwandtner, Jens</v>
      </c>
      <c r="G714" s="6" t="str">
        <f t="shared" si="22"/>
        <v>Geschwandtner Jens</v>
      </c>
      <c r="H714" s="22" t="str">
        <f>IFERROR(VLOOKUP(VLOOKUP(A714,'Sales Order'!A:C,3,FALSE),Employee!A:E,5,FALSE)&amp;" "&amp;VLOOKUP(VLOOKUP(A714,'Sales Order'!A:C,3,FALSE),Employee!A:C,3,FALSE)&amp;" "&amp;VLOOKUP(VLOOKUP(A714,'Sales Order'!A:C,3,FALSE),Employee!A:B,2,FALSE),"Not Specified")</f>
        <v>Mrs. Yael Peled</v>
      </c>
      <c r="I714" t="str">
        <f>IFERROR(VLOOKUP(VLOOKUP(A714,'Sales Order'!A:C,3,FALSE),Employee!A:J,10,FALSE),"Not Specified")</f>
        <v>WA</v>
      </c>
      <c r="J714" t="str">
        <f>VLOOKUP(B714,Product!A:B,2,FALSE)</f>
        <v>Product QOGNU</v>
      </c>
      <c r="K714" t="str">
        <f>VLOOKUP(VLOOKUP(B714,Product!A:D,4,FALSE),Category!A:B,2,FALSE)</f>
        <v>Beverages</v>
      </c>
      <c r="L714" s="24">
        <f>IFERROR(VLOOKUP(A714,'Sales Order'!A:D,4,FALSE),"")</f>
        <v>39197</v>
      </c>
      <c r="M714" s="24">
        <f>IFERROR(VLOOKUP(A714,'Sales Order'!A:F,6,FALSE),"")</f>
        <v>39207</v>
      </c>
      <c r="N714" t="str">
        <f>IFERROR(VLOOKUP(VLOOKUP(A714,'Sales Order'!A:G,7,FALSE),Shipper!A:B,2,FALSE),"Not Specified")</f>
        <v>Shipper ETYNR</v>
      </c>
      <c r="O714" t="str">
        <f>IFERROR(VLOOKUP(A714,'Sales Order'!A:I,9,FALSE),"Not Specified")</f>
        <v>Ship to 80-B</v>
      </c>
      <c r="P714" t="str">
        <f>IFERROR(VLOOKUP(A714,'Sales Order'!A:N,14,FALSE),"Not Specified")</f>
        <v>Mexico</v>
      </c>
      <c r="Q714" t="str">
        <f>VLOOKUP(VLOOKUP(B714,Product!A:C,3,FALSE),Supplier!A:B,2,FALSE)</f>
        <v>Supplier UNAHG</v>
      </c>
      <c r="R714" t="str">
        <f>VLOOKUP(VLOOKUP(B714,Product!A:C,3,FALSE),Supplier!A:I,9,FALSE)</f>
        <v>Brazil</v>
      </c>
      <c r="S714" t="str">
        <f>IFERROR(IF(VLOOKUP(A714,'Sales Order'!A:H,8,FALSE)&gt;100,"High Freight","Low Freight"),"Not Specified")</f>
        <v>High Freight</v>
      </c>
      <c r="T714">
        <f t="shared" si="23"/>
        <v>22.5</v>
      </c>
    </row>
    <row r="715" spans="1:20">
      <c r="A715" s="9">
        <v>10518</v>
      </c>
      <c r="B715" s="6">
        <v>38</v>
      </c>
      <c r="C715" s="6">
        <v>263.5</v>
      </c>
      <c r="D715" s="6">
        <v>15</v>
      </c>
      <c r="E715" s="18">
        <v>0</v>
      </c>
      <c r="F715" s="6" t="str">
        <f>IFERROR(VLOOKUP(VLOOKUP(A715,'Sales Order'!A:B,2,FALSE),Customer!A:C,3,FALSE),"Not Specified")</f>
        <v>Geschwandtner, Jens</v>
      </c>
      <c r="G715" s="6" t="str">
        <f t="shared" si="22"/>
        <v>Geschwandtner Jens</v>
      </c>
      <c r="H715" s="22" t="str">
        <f>IFERROR(VLOOKUP(VLOOKUP(A715,'Sales Order'!A:C,3,FALSE),Employee!A:E,5,FALSE)&amp;" "&amp;VLOOKUP(VLOOKUP(A715,'Sales Order'!A:C,3,FALSE),Employee!A:C,3,FALSE)&amp;" "&amp;VLOOKUP(VLOOKUP(A715,'Sales Order'!A:C,3,FALSE),Employee!A:B,2,FALSE),"Not Specified")</f>
        <v>Mrs. Yael Peled</v>
      </c>
      <c r="I715" t="str">
        <f>IFERROR(VLOOKUP(VLOOKUP(A715,'Sales Order'!A:C,3,FALSE),Employee!A:J,10,FALSE),"Not Specified")</f>
        <v>WA</v>
      </c>
      <c r="J715" t="str">
        <f>VLOOKUP(B715,Product!A:B,2,FALSE)</f>
        <v>Product QDOMO</v>
      </c>
      <c r="K715" t="str">
        <f>VLOOKUP(VLOOKUP(B715,Product!A:D,4,FALSE),Category!A:B,2,FALSE)</f>
        <v>Beverages</v>
      </c>
      <c r="L715" s="24">
        <f>IFERROR(VLOOKUP(A715,'Sales Order'!A:D,4,FALSE),"")</f>
        <v>39197</v>
      </c>
      <c r="M715" s="24">
        <f>IFERROR(VLOOKUP(A715,'Sales Order'!A:F,6,FALSE),"")</f>
        <v>39207</v>
      </c>
      <c r="N715" t="str">
        <f>IFERROR(VLOOKUP(VLOOKUP(A715,'Sales Order'!A:G,7,FALSE),Shipper!A:B,2,FALSE),"Not Specified")</f>
        <v>Shipper ETYNR</v>
      </c>
      <c r="O715" t="str">
        <f>IFERROR(VLOOKUP(A715,'Sales Order'!A:I,9,FALSE),"Not Specified")</f>
        <v>Ship to 80-B</v>
      </c>
      <c r="P715" t="str">
        <f>IFERROR(VLOOKUP(A715,'Sales Order'!A:N,14,FALSE),"Not Specified")</f>
        <v>Mexico</v>
      </c>
      <c r="Q715" t="str">
        <f>VLOOKUP(VLOOKUP(B715,Product!A:C,3,FALSE),Supplier!A:B,2,FALSE)</f>
        <v>Supplier LVJUA</v>
      </c>
      <c r="R715" t="str">
        <f>VLOOKUP(VLOOKUP(B715,Product!A:C,3,FALSE),Supplier!A:I,9,FALSE)</f>
        <v>France</v>
      </c>
      <c r="S715" t="str">
        <f>IFERROR(IF(VLOOKUP(A715,'Sales Order'!A:H,8,FALSE)&gt;100,"High Freight","Low Freight"),"Not Specified")</f>
        <v>High Freight</v>
      </c>
      <c r="T715">
        <f t="shared" si="23"/>
        <v>3952.5</v>
      </c>
    </row>
    <row r="716" spans="1:20">
      <c r="A716" s="9">
        <v>10518</v>
      </c>
      <c r="B716" s="6">
        <v>44</v>
      </c>
      <c r="C716" s="6">
        <v>19.45</v>
      </c>
      <c r="D716" s="6">
        <v>9</v>
      </c>
      <c r="E716" s="18">
        <v>0</v>
      </c>
      <c r="F716" s="6" t="str">
        <f>IFERROR(VLOOKUP(VLOOKUP(A716,'Sales Order'!A:B,2,FALSE),Customer!A:C,3,FALSE),"Not Specified")</f>
        <v>Geschwandtner, Jens</v>
      </c>
      <c r="G716" s="6" t="str">
        <f t="shared" si="22"/>
        <v>Geschwandtner Jens</v>
      </c>
      <c r="H716" s="22" t="str">
        <f>IFERROR(VLOOKUP(VLOOKUP(A716,'Sales Order'!A:C,3,FALSE),Employee!A:E,5,FALSE)&amp;" "&amp;VLOOKUP(VLOOKUP(A716,'Sales Order'!A:C,3,FALSE),Employee!A:C,3,FALSE)&amp;" "&amp;VLOOKUP(VLOOKUP(A716,'Sales Order'!A:C,3,FALSE),Employee!A:B,2,FALSE),"Not Specified")</f>
        <v>Mrs. Yael Peled</v>
      </c>
      <c r="I716" t="str">
        <f>IFERROR(VLOOKUP(VLOOKUP(A716,'Sales Order'!A:C,3,FALSE),Employee!A:J,10,FALSE),"Not Specified")</f>
        <v>WA</v>
      </c>
      <c r="J716" t="str">
        <f>VLOOKUP(B716,Product!A:B,2,FALSE)</f>
        <v>Product VJIEO</v>
      </c>
      <c r="K716" t="str">
        <f>VLOOKUP(VLOOKUP(B716,Product!A:D,4,FALSE),Category!A:B,2,FALSE)</f>
        <v>Condiments</v>
      </c>
      <c r="L716" s="24">
        <f>IFERROR(VLOOKUP(A716,'Sales Order'!A:D,4,FALSE),"")</f>
        <v>39197</v>
      </c>
      <c r="M716" s="24">
        <f>IFERROR(VLOOKUP(A716,'Sales Order'!A:F,6,FALSE),"")</f>
        <v>39207</v>
      </c>
      <c r="N716" t="str">
        <f>IFERROR(VLOOKUP(VLOOKUP(A716,'Sales Order'!A:G,7,FALSE),Shipper!A:B,2,FALSE),"Not Specified")</f>
        <v>Shipper ETYNR</v>
      </c>
      <c r="O716" t="str">
        <f>IFERROR(VLOOKUP(A716,'Sales Order'!A:I,9,FALSE),"Not Specified")</f>
        <v>Ship to 80-B</v>
      </c>
      <c r="P716" t="str">
        <f>IFERROR(VLOOKUP(A716,'Sales Order'!A:N,14,FALSE),"Not Specified")</f>
        <v>Mexico</v>
      </c>
      <c r="Q716" t="str">
        <f>VLOOKUP(VLOOKUP(B716,Product!A:C,3,FALSE),Supplier!A:B,2,FALSE)</f>
        <v>Supplier CIYNM</v>
      </c>
      <c r="R716" t="str">
        <f>VLOOKUP(VLOOKUP(B716,Product!A:C,3,FALSE),Supplier!A:I,9,FALSE)</f>
        <v>Singapore</v>
      </c>
      <c r="S716" t="str">
        <f>IFERROR(IF(VLOOKUP(A716,'Sales Order'!A:H,8,FALSE)&gt;100,"High Freight","Low Freight"),"Not Specified")</f>
        <v>High Freight</v>
      </c>
      <c r="T716">
        <f t="shared" si="23"/>
        <v>175.04999999999998</v>
      </c>
    </row>
    <row r="717" spans="1:20">
      <c r="A717" s="9">
        <v>10519</v>
      </c>
      <c r="B717" s="6">
        <v>10</v>
      </c>
      <c r="C717" s="6">
        <v>31</v>
      </c>
      <c r="D717" s="6">
        <v>16</v>
      </c>
      <c r="E717" s="18">
        <v>0.05</v>
      </c>
      <c r="F717" s="6" t="str">
        <f>IFERROR(VLOOKUP(VLOOKUP(A717,'Sales Order'!A:B,2,FALSE),Customer!A:C,3,FALSE),"Not Specified")</f>
        <v>Jelitto, Jacek</v>
      </c>
      <c r="G717" s="6" t="str">
        <f t="shared" si="22"/>
        <v>Jelitto Jacek</v>
      </c>
      <c r="H717" s="22" t="str">
        <f>IFERROR(VLOOKUP(VLOOKUP(A717,'Sales Order'!A:C,3,FALSE),Employee!A:E,5,FALSE)&amp;" "&amp;VLOOKUP(VLOOKUP(A717,'Sales Order'!A:C,3,FALSE),Employee!A:C,3,FALSE)&amp;" "&amp;VLOOKUP(VLOOKUP(A717,'Sales Order'!A:C,3,FALSE),Employee!A:B,2,FALSE),"Not Specified")</f>
        <v>Mr. Paul Suurs</v>
      </c>
      <c r="I717">
        <f>IFERROR(VLOOKUP(VLOOKUP(A717,'Sales Order'!A:C,3,FALSE),Employee!A:J,10,FALSE),"Not Specified")</f>
        <v>0</v>
      </c>
      <c r="J717" t="str">
        <f>VLOOKUP(B717,Product!A:B,2,FALSE)</f>
        <v>Product YHXGE</v>
      </c>
      <c r="K717" t="str">
        <f>VLOOKUP(VLOOKUP(B717,Product!A:D,4,FALSE),Category!A:B,2,FALSE)</f>
        <v>Seafood</v>
      </c>
      <c r="L717" s="24">
        <f>IFERROR(VLOOKUP(A717,'Sales Order'!A:D,4,FALSE),"")</f>
        <v>39200</v>
      </c>
      <c r="M717" s="24">
        <f>IFERROR(VLOOKUP(A717,'Sales Order'!A:F,6,FALSE),"")</f>
        <v>39203</v>
      </c>
      <c r="N717" t="str">
        <f>IFERROR(VLOOKUP(VLOOKUP(A717,'Sales Order'!A:G,7,FALSE),Shipper!A:B,2,FALSE),"Not Specified")</f>
        <v>Shipper ZHISN</v>
      </c>
      <c r="O717" t="str">
        <f>IFERROR(VLOOKUP(A717,'Sales Order'!A:I,9,FALSE),"Not Specified")</f>
        <v>Destination NRTZZ</v>
      </c>
      <c r="P717" t="str">
        <f>IFERROR(VLOOKUP(A717,'Sales Order'!A:N,14,FALSE),"Not Specified")</f>
        <v>Switzerland</v>
      </c>
      <c r="Q717" t="str">
        <f>VLOOKUP(VLOOKUP(B717,Product!A:C,3,FALSE),Supplier!A:B,2,FALSE)</f>
        <v>Supplier QOVFD</v>
      </c>
      <c r="R717" t="str">
        <f>VLOOKUP(VLOOKUP(B717,Product!A:C,3,FALSE),Supplier!A:I,9,FALSE)</f>
        <v>Japan</v>
      </c>
      <c r="S717" t="str">
        <f>IFERROR(IF(VLOOKUP(A717,'Sales Order'!A:H,8,FALSE)&gt;100,"High Freight","Low Freight"),"Not Specified")</f>
        <v>Low Freight</v>
      </c>
      <c r="T717">
        <f t="shared" si="23"/>
        <v>471.2</v>
      </c>
    </row>
    <row r="718" spans="1:20">
      <c r="A718" s="9">
        <v>10519</v>
      </c>
      <c r="B718" s="6">
        <v>56</v>
      </c>
      <c r="C718" s="6">
        <v>38</v>
      </c>
      <c r="D718" s="6">
        <v>40</v>
      </c>
      <c r="E718" s="18">
        <v>0</v>
      </c>
      <c r="F718" s="6" t="str">
        <f>IFERROR(VLOOKUP(VLOOKUP(A718,'Sales Order'!A:B,2,FALSE),Customer!A:C,3,FALSE),"Not Specified")</f>
        <v>Jelitto, Jacek</v>
      </c>
      <c r="G718" s="6" t="str">
        <f t="shared" si="22"/>
        <v>Jelitto Jacek</v>
      </c>
      <c r="H718" s="22" t="str">
        <f>IFERROR(VLOOKUP(VLOOKUP(A718,'Sales Order'!A:C,3,FALSE),Employee!A:E,5,FALSE)&amp;" "&amp;VLOOKUP(VLOOKUP(A718,'Sales Order'!A:C,3,FALSE),Employee!A:C,3,FALSE)&amp;" "&amp;VLOOKUP(VLOOKUP(A718,'Sales Order'!A:C,3,FALSE),Employee!A:B,2,FALSE),"Not Specified")</f>
        <v>Mr. Paul Suurs</v>
      </c>
      <c r="I718">
        <f>IFERROR(VLOOKUP(VLOOKUP(A718,'Sales Order'!A:C,3,FALSE),Employee!A:J,10,FALSE),"Not Specified")</f>
        <v>0</v>
      </c>
      <c r="J718" t="str">
        <f>VLOOKUP(B718,Product!A:B,2,FALSE)</f>
        <v>Product VKCMF</v>
      </c>
      <c r="K718" t="str">
        <f>VLOOKUP(VLOOKUP(B718,Product!A:D,4,FALSE),Category!A:B,2,FALSE)</f>
        <v>Grains/Cereals</v>
      </c>
      <c r="L718" s="24">
        <f>IFERROR(VLOOKUP(A718,'Sales Order'!A:D,4,FALSE),"")</f>
        <v>39200</v>
      </c>
      <c r="M718" s="24">
        <f>IFERROR(VLOOKUP(A718,'Sales Order'!A:F,6,FALSE),"")</f>
        <v>39203</v>
      </c>
      <c r="N718" t="str">
        <f>IFERROR(VLOOKUP(VLOOKUP(A718,'Sales Order'!A:G,7,FALSE),Shipper!A:B,2,FALSE),"Not Specified")</f>
        <v>Shipper ZHISN</v>
      </c>
      <c r="O718" t="str">
        <f>IFERROR(VLOOKUP(A718,'Sales Order'!A:I,9,FALSE),"Not Specified")</f>
        <v>Destination NRTZZ</v>
      </c>
      <c r="P718" t="str">
        <f>IFERROR(VLOOKUP(A718,'Sales Order'!A:N,14,FALSE),"Not Specified")</f>
        <v>Switzerland</v>
      </c>
      <c r="Q718" t="str">
        <f>VLOOKUP(VLOOKUP(B718,Product!A:C,3,FALSE),Supplier!A:B,2,FALSE)</f>
        <v>Supplier ZWZDM</v>
      </c>
      <c r="R718" t="str">
        <f>VLOOKUP(VLOOKUP(B718,Product!A:C,3,FALSE),Supplier!A:I,9,FALSE)</f>
        <v>Italy</v>
      </c>
      <c r="S718" t="str">
        <f>IFERROR(IF(VLOOKUP(A718,'Sales Order'!A:H,8,FALSE)&gt;100,"High Freight","Low Freight"),"Not Specified")</f>
        <v>Low Freight</v>
      </c>
      <c r="T718">
        <f t="shared" si="23"/>
        <v>1520</v>
      </c>
    </row>
    <row r="719" spans="1:20">
      <c r="A719" s="9">
        <v>10519</v>
      </c>
      <c r="B719" s="6">
        <v>60</v>
      </c>
      <c r="C719" s="6">
        <v>34</v>
      </c>
      <c r="D719" s="6">
        <v>10</v>
      </c>
      <c r="E719" s="18">
        <v>0.05</v>
      </c>
      <c r="F719" s="6" t="str">
        <f>IFERROR(VLOOKUP(VLOOKUP(A719,'Sales Order'!A:B,2,FALSE),Customer!A:C,3,FALSE),"Not Specified")</f>
        <v>Jelitto, Jacek</v>
      </c>
      <c r="G719" s="6" t="str">
        <f t="shared" si="22"/>
        <v>Jelitto Jacek</v>
      </c>
      <c r="H719" s="22" t="str">
        <f>IFERROR(VLOOKUP(VLOOKUP(A719,'Sales Order'!A:C,3,FALSE),Employee!A:E,5,FALSE)&amp;" "&amp;VLOOKUP(VLOOKUP(A719,'Sales Order'!A:C,3,FALSE),Employee!A:C,3,FALSE)&amp;" "&amp;VLOOKUP(VLOOKUP(A719,'Sales Order'!A:C,3,FALSE),Employee!A:B,2,FALSE),"Not Specified")</f>
        <v>Mr. Paul Suurs</v>
      </c>
      <c r="I719">
        <f>IFERROR(VLOOKUP(VLOOKUP(A719,'Sales Order'!A:C,3,FALSE),Employee!A:J,10,FALSE),"Not Specified")</f>
        <v>0</v>
      </c>
      <c r="J719" t="str">
        <f>VLOOKUP(B719,Product!A:B,2,FALSE)</f>
        <v>Product WHBYK</v>
      </c>
      <c r="K719" t="str">
        <f>VLOOKUP(VLOOKUP(B719,Product!A:D,4,FALSE),Category!A:B,2,FALSE)</f>
        <v>Dairy Product</v>
      </c>
      <c r="L719" s="24">
        <f>IFERROR(VLOOKUP(A719,'Sales Order'!A:D,4,FALSE),"")</f>
        <v>39200</v>
      </c>
      <c r="M719" s="24">
        <f>IFERROR(VLOOKUP(A719,'Sales Order'!A:F,6,FALSE),"")</f>
        <v>39203</v>
      </c>
      <c r="N719" t="str">
        <f>IFERROR(VLOOKUP(VLOOKUP(A719,'Sales Order'!A:G,7,FALSE),Shipper!A:B,2,FALSE),"Not Specified")</f>
        <v>Shipper ZHISN</v>
      </c>
      <c r="O719" t="str">
        <f>IFERROR(VLOOKUP(A719,'Sales Order'!A:I,9,FALSE),"Not Specified")</f>
        <v>Destination NRTZZ</v>
      </c>
      <c r="P719" t="str">
        <f>IFERROR(VLOOKUP(A719,'Sales Order'!A:N,14,FALSE),"Not Specified")</f>
        <v>Switzerland</v>
      </c>
      <c r="Q719" t="str">
        <f>VLOOKUP(VLOOKUP(B719,Product!A:C,3,FALSE),Supplier!A:B,2,FALSE)</f>
        <v>Supplier OAVQT</v>
      </c>
      <c r="R719" t="str">
        <f>VLOOKUP(VLOOKUP(B719,Product!A:C,3,FALSE),Supplier!A:I,9,FALSE)</f>
        <v>France</v>
      </c>
      <c r="S719" t="str">
        <f>IFERROR(IF(VLOOKUP(A719,'Sales Order'!A:H,8,FALSE)&gt;100,"High Freight","Low Freight"),"Not Specified")</f>
        <v>Low Freight</v>
      </c>
      <c r="T719">
        <f t="shared" si="23"/>
        <v>323</v>
      </c>
    </row>
    <row r="720" spans="1:20">
      <c r="A720" s="9">
        <v>10520</v>
      </c>
      <c r="B720" s="6">
        <v>24</v>
      </c>
      <c r="C720" s="6">
        <v>4.5</v>
      </c>
      <c r="D720" s="6">
        <v>8</v>
      </c>
      <c r="E720" s="18">
        <v>0</v>
      </c>
      <c r="F720" s="6" t="str">
        <f>IFERROR(VLOOKUP(VLOOKUP(A720,'Sales Order'!A:B,2,FALSE),Customer!A:C,3,FALSE),"Not Specified")</f>
        <v>Ginters, Kaspars</v>
      </c>
      <c r="G720" s="6" t="str">
        <f t="shared" si="22"/>
        <v>Ginters Kaspars</v>
      </c>
      <c r="H720" s="22" t="str">
        <f>IFERROR(VLOOKUP(VLOOKUP(A720,'Sales Order'!A:C,3,FALSE),Employee!A:E,5,FALSE)&amp;" "&amp;VLOOKUP(VLOOKUP(A720,'Sales Order'!A:C,3,FALSE),Employee!A:C,3,FALSE)&amp;" "&amp;VLOOKUP(VLOOKUP(A720,'Sales Order'!A:C,3,FALSE),Employee!A:B,2,FALSE),"Not Specified")</f>
        <v>Mr. Russell King</v>
      </c>
      <c r="I720">
        <f>IFERROR(VLOOKUP(VLOOKUP(A720,'Sales Order'!A:C,3,FALSE),Employee!A:J,10,FALSE),"Not Specified")</f>
        <v>0</v>
      </c>
      <c r="J720" t="str">
        <f>VLOOKUP(B720,Product!A:B,2,FALSE)</f>
        <v>Product QOGNU</v>
      </c>
      <c r="K720" t="str">
        <f>VLOOKUP(VLOOKUP(B720,Product!A:D,4,FALSE),Category!A:B,2,FALSE)</f>
        <v>Beverages</v>
      </c>
      <c r="L720" s="24">
        <f>IFERROR(VLOOKUP(A720,'Sales Order'!A:D,4,FALSE),"")</f>
        <v>39201</v>
      </c>
      <c r="M720" s="24">
        <f>IFERROR(VLOOKUP(A720,'Sales Order'!A:F,6,FALSE),"")</f>
        <v>39203</v>
      </c>
      <c r="N720" t="str">
        <f>IFERROR(VLOOKUP(VLOOKUP(A720,'Sales Order'!A:G,7,FALSE),Shipper!A:B,2,FALSE),"Not Specified")</f>
        <v>Shipper GVSUA</v>
      </c>
      <c r="O720" t="str">
        <f>IFERROR(VLOOKUP(A720,'Sales Order'!A:I,9,FALSE),"Not Specified")</f>
        <v>Ship to 70-B</v>
      </c>
      <c r="P720" t="str">
        <f>IFERROR(VLOOKUP(A720,'Sales Order'!A:N,14,FALSE),"Not Specified")</f>
        <v>Norway</v>
      </c>
      <c r="Q720" t="str">
        <f>VLOOKUP(VLOOKUP(B720,Product!A:C,3,FALSE),Supplier!A:B,2,FALSE)</f>
        <v>Supplier UNAHG</v>
      </c>
      <c r="R720" t="str">
        <f>VLOOKUP(VLOOKUP(B720,Product!A:C,3,FALSE),Supplier!A:I,9,FALSE)</f>
        <v>Brazil</v>
      </c>
      <c r="S720" t="str">
        <f>IFERROR(IF(VLOOKUP(A720,'Sales Order'!A:H,8,FALSE)&gt;100,"High Freight","Low Freight"),"Not Specified")</f>
        <v>Low Freight</v>
      </c>
      <c r="T720">
        <f t="shared" si="23"/>
        <v>36</v>
      </c>
    </row>
    <row r="721" spans="1:20">
      <c r="A721" s="9">
        <v>10520</v>
      </c>
      <c r="B721" s="6">
        <v>53</v>
      </c>
      <c r="C721" s="6">
        <v>32.799999999999997</v>
      </c>
      <c r="D721" s="6">
        <v>5</v>
      </c>
      <c r="E721" s="18">
        <v>0</v>
      </c>
      <c r="F721" s="6" t="str">
        <f>IFERROR(VLOOKUP(VLOOKUP(A721,'Sales Order'!A:B,2,FALSE),Customer!A:C,3,FALSE),"Not Specified")</f>
        <v>Ginters, Kaspars</v>
      </c>
      <c r="G721" s="6" t="str">
        <f t="shared" si="22"/>
        <v>Ginters Kaspars</v>
      </c>
      <c r="H721" s="22" t="str">
        <f>IFERROR(VLOOKUP(VLOOKUP(A721,'Sales Order'!A:C,3,FALSE),Employee!A:E,5,FALSE)&amp;" "&amp;VLOOKUP(VLOOKUP(A721,'Sales Order'!A:C,3,FALSE),Employee!A:C,3,FALSE)&amp;" "&amp;VLOOKUP(VLOOKUP(A721,'Sales Order'!A:C,3,FALSE),Employee!A:B,2,FALSE),"Not Specified")</f>
        <v>Mr. Russell King</v>
      </c>
      <c r="I721">
        <f>IFERROR(VLOOKUP(VLOOKUP(A721,'Sales Order'!A:C,3,FALSE),Employee!A:J,10,FALSE),"Not Specified")</f>
        <v>0</v>
      </c>
      <c r="J721" t="str">
        <f>VLOOKUP(B721,Product!A:B,2,FALSE)</f>
        <v>Product BKGEA</v>
      </c>
      <c r="K721" t="str">
        <f>VLOOKUP(VLOOKUP(B721,Product!A:D,4,FALSE),Category!A:B,2,FALSE)</f>
        <v>Meat/Poultry</v>
      </c>
      <c r="L721" s="24">
        <f>IFERROR(VLOOKUP(A721,'Sales Order'!A:D,4,FALSE),"")</f>
        <v>39201</v>
      </c>
      <c r="M721" s="24">
        <f>IFERROR(VLOOKUP(A721,'Sales Order'!A:F,6,FALSE),"")</f>
        <v>39203</v>
      </c>
      <c r="N721" t="str">
        <f>IFERROR(VLOOKUP(VLOOKUP(A721,'Sales Order'!A:G,7,FALSE),Shipper!A:B,2,FALSE),"Not Specified")</f>
        <v>Shipper GVSUA</v>
      </c>
      <c r="O721" t="str">
        <f>IFERROR(VLOOKUP(A721,'Sales Order'!A:I,9,FALSE),"Not Specified")</f>
        <v>Ship to 70-B</v>
      </c>
      <c r="P721" t="str">
        <f>IFERROR(VLOOKUP(A721,'Sales Order'!A:N,14,FALSE),"Not Specified")</f>
        <v>Norway</v>
      </c>
      <c r="Q721" t="str">
        <f>VLOOKUP(VLOOKUP(B721,Product!A:C,3,FALSE),Supplier!A:B,2,FALSE)</f>
        <v>Supplier JNNES</v>
      </c>
      <c r="R721" t="str">
        <f>VLOOKUP(VLOOKUP(B721,Product!A:C,3,FALSE),Supplier!A:I,9,FALSE)</f>
        <v>Australia</v>
      </c>
      <c r="S721" t="str">
        <f>IFERROR(IF(VLOOKUP(A721,'Sales Order'!A:H,8,FALSE)&gt;100,"High Freight","Low Freight"),"Not Specified")</f>
        <v>Low Freight</v>
      </c>
      <c r="T721">
        <f t="shared" si="23"/>
        <v>164</v>
      </c>
    </row>
    <row r="722" spans="1:20">
      <c r="A722" s="9">
        <v>10521</v>
      </c>
      <c r="B722" s="6">
        <v>35</v>
      </c>
      <c r="C722" s="6">
        <v>18</v>
      </c>
      <c r="D722" s="6">
        <v>3</v>
      </c>
      <c r="E722" s="18">
        <v>0</v>
      </c>
      <c r="F722" s="6" t="str">
        <f>IFERROR(VLOOKUP(VLOOKUP(A722,'Sales Order'!A:B,2,FALSE),Customer!A:C,3,FALSE),"Not Specified")</f>
        <v>Ray, Mike</v>
      </c>
      <c r="G722" s="6" t="str">
        <f t="shared" si="22"/>
        <v>Ray Mike</v>
      </c>
      <c r="H722" s="22" t="str">
        <f>IFERROR(VLOOKUP(VLOOKUP(A722,'Sales Order'!A:C,3,FALSE),Employee!A:E,5,FALSE)&amp;" "&amp;VLOOKUP(VLOOKUP(A722,'Sales Order'!A:C,3,FALSE),Employee!A:C,3,FALSE)&amp;" "&amp;VLOOKUP(VLOOKUP(A722,'Sales Order'!A:C,3,FALSE),Employee!A:B,2,FALSE),"Not Specified")</f>
        <v>Ms. Maria Cameron</v>
      </c>
      <c r="I722" t="str">
        <f>IFERROR(VLOOKUP(VLOOKUP(A722,'Sales Order'!A:C,3,FALSE),Employee!A:J,10,FALSE),"Not Specified")</f>
        <v>WA</v>
      </c>
      <c r="J722" t="str">
        <f>VLOOKUP(B722,Product!A:B,2,FALSE)</f>
        <v>Product NEVTJ</v>
      </c>
      <c r="K722" t="str">
        <f>VLOOKUP(VLOOKUP(B722,Product!A:D,4,FALSE),Category!A:B,2,FALSE)</f>
        <v>Beverages</v>
      </c>
      <c r="L722" s="24">
        <f>IFERROR(VLOOKUP(A722,'Sales Order'!A:D,4,FALSE),"")</f>
        <v>39201</v>
      </c>
      <c r="M722" s="24">
        <f>IFERROR(VLOOKUP(A722,'Sales Order'!A:F,6,FALSE),"")</f>
        <v>39204</v>
      </c>
      <c r="N722" t="str">
        <f>IFERROR(VLOOKUP(VLOOKUP(A722,'Sales Order'!A:G,7,FALSE),Shipper!A:B,2,FALSE),"Not Specified")</f>
        <v>Shipper ETYNR</v>
      </c>
      <c r="O722" t="str">
        <f>IFERROR(VLOOKUP(A722,'Sales Order'!A:I,9,FALSE),"Not Specified")</f>
        <v>Destination QTHBC</v>
      </c>
      <c r="P722" t="str">
        <f>IFERROR(VLOOKUP(A722,'Sales Order'!A:N,14,FALSE),"Not Specified")</f>
        <v>Argentina</v>
      </c>
      <c r="Q722" t="str">
        <f>VLOOKUP(VLOOKUP(B722,Product!A:C,3,FALSE),Supplier!A:B,2,FALSE)</f>
        <v>Supplier UHZRG</v>
      </c>
      <c r="R722" t="str">
        <f>VLOOKUP(VLOOKUP(B722,Product!A:C,3,FALSE),Supplier!A:I,9,FALSE)</f>
        <v>USA</v>
      </c>
      <c r="S722" t="str">
        <f>IFERROR(IF(VLOOKUP(A722,'Sales Order'!A:H,8,FALSE)&gt;100,"High Freight","Low Freight"),"Not Specified")</f>
        <v>Low Freight</v>
      </c>
      <c r="T722">
        <f t="shared" si="23"/>
        <v>54</v>
      </c>
    </row>
    <row r="723" spans="1:20">
      <c r="A723" s="9">
        <v>10521</v>
      </c>
      <c r="B723" s="6">
        <v>41</v>
      </c>
      <c r="C723" s="6">
        <v>9.65</v>
      </c>
      <c r="D723" s="6">
        <v>10</v>
      </c>
      <c r="E723" s="18">
        <v>0</v>
      </c>
      <c r="F723" s="6" t="str">
        <f>IFERROR(VLOOKUP(VLOOKUP(A723,'Sales Order'!A:B,2,FALSE),Customer!A:C,3,FALSE),"Not Specified")</f>
        <v>Ray, Mike</v>
      </c>
      <c r="G723" s="6" t="str">
        <f t="shared" si="22"/>
        <v>Ray Mike</v>
      </c>
      <c r="H723" s="22" t="str">
        <f>IFERROR(VLOOKUP(VLOOKUP(A723,'Sales Order'!A:C,3,FALSE),Employee!A:E,5,FALSE)&amp;" "&amp;VLOOKUP(VLOOKUP(A723,'Sales Order'!A:C,3,FALSE),Employee!A:C,3,FALSE)&amp;" "&amp;VLOOKUP(VLOOKUP(A723,'Sales Order'!A:C,3,FALSE),Employee!A:B,2,FALSE),"Not Specified")</f>
        <v>Ms. Maria Cameron</v>
      </c>
      <c r="I723" t="str">
        <f>IFERROR(VLOOKUP(VLOOKUP(A723,'Sales Order'!A:C,3,FALSE),Employee!A:J,10,FALSE),"Not Specified")</f>
        <v>WA</v>
      </c>
      <c r="J723" t="str">
        <f>VLOOKUP(B723,Product!A:B,2,FALSE)</f>
        <v>Product TTEEX</v>
      </c>
      <c r="K723" t="str">
        <f>VLOOKUP(VLOOKUP(B723,Product!A:D,4,FALSE),Category!A:B,2,FALSE)</f>
        <v>Seafood</v>
      </c>
      <c r="L723" s="24">
        <f>IFERROR(VLOOKUP(A723,'Sales Order'!A:D,4,FALSE),"")</f>
        <v>39201</v>
      </c>
      <c r="M723" s="24">
        <f>IFERROR(VLOOKUP(A723,'Sales Order'!A:F,6,FALSE),"")</f>
        <v>39204</v>
      </c>
      <c r="N723" t="str">
        <f>IFERROR(VLOOKUP(VLOOKUP(A723,'Sales Order'!A:G,7,FALSE),Shipper!A:B,2,FALSE),"Not Specified")</f>
        <v>Shipper ETYNR</v>
      </c>
      <c r="O723" t="str">
        <f>IFERROR(VLOOKUP(A723,'Sales Order'!A:I,9,FALSE),"Not Specified")</f>
        <v>Destination QTHBC</v>
      </c>
      <c r="P723" t="str">
        <f>IFERROR(VLOOKUP(A723,'Sales Order'!A:N,14,FALSE),"Not Specified")</f>
        <v>Argentina</v>
      </c>
      <c r="Q723" t="str">
        <f>VLOOKUP(VLOOKUP(B723,Product!A:C,3,FALSE),Supplier!A:B,2,FALSE)</f>
        <v>Supplier JDNUG</v>
      </c>
      <c r="R723" t="str">
        <f>VLOOKUP(VLOOKUP(B723,Product!A:C,3,FALSE),Supplier!A:I,9,FALSE)</f>
        <v>USA</v>
      </c>
      <c r="S723" t="str">
        <f>IFERROR(IF(VLOOKUP(A723,'Sales Order'!A:H,8,FALSE)&gt;100,"High Freight","Low Freight"),"Not Specified")</f>
        <v>Low Freight</v>
      </c>
      <c r="T723">
        <f t="shared" si="23"/>
        <v>96.5</v>
      </c>
    </row>
    <row r="724" spans="1:20">
      <c r="A724" s="9">
        <v>10521</v>
      </c>
      <c r="B724" s="6">
        <v>68</v>
      </c>
      <c r="C724" s="6">
        <v>12.5</v>
      </c>
      <c r="D724" s="6">
        <v>6</v>
      </c>
      <c r="E724" s="18">
        <v>0</v>
      </c>
      <c r="F724" s="6" t="str">
        <f>IFERROR(VLOOKUP(VLOOKUP(A724,'Sales Order'!A:B,2,FALSE),Customer!A:C,3,FALSE),"Not Specified")</f>
        <v>Ray, Mike</v>
      </c>
      <c r="G724" s="6" t="str">
        <f t="shared" si="22"/>
        <v>Ray Mike</v>
      </c>
      <c r="H724" s="22" t="str">
        <f>IFERROR(VLOOKUP(VLOOKUP(A724,'Sales Order'!A:C,3,FALSE),Employee!A:E,5,FALSE)&amp;" "&amp;VLOOKUP(VLOOKUP(A724,'Sales Order'!A:C,3,FALSE),Employee!A:C,3,FALSE)&amp;" "&amp;VLOOKUP(VLOOKUP(A724,'Sales Order'!A:C,3,FALSE),Employee!A:B,2,FALSE),"Not Specified")</f>
        <v>Ms. Maria Cameron</v>
      </c>
      <c r="I724" t="str">
        <f>IFERROR(VLOOKUP(VLOOKUP(A724,'Sales Order'!A:C,3,FALSE),Employee!A:J,10,FALSE),"Not Specified")</f>
        <v>WA</v>
      </c>
      <c r="J724" t="str">
        <f>VLOOKUP(B724,Product!A:B,2,FALSE)</f>
        <v>Product TBTBL</v>
      </c>
      <c r="K724" t="str">
        <f>VLOOKUP(VLOOKUP(B724,Product!A:D,4,FALSE),Category!A:B,2,FALSE)</f>
        <v>Confections</v>
      </c>
      <c r="L724" s="24">
        <f>IFERROR(VLOOKUP(A724,'Sales Order'!A:D,4,FALSE),"")</f>
        <v>39201</v>
      </c>
      <c r="M724" s="24">
        <f>IFERROR(VLOOKUP(A724,'Sales Order'!A:F,6,FALSE),"")</f>
        <v>39204</v>
      </c>
      <c r="N724" t="str">
        <f>IFERROR(VLOOKUP(VLOOKUP(A724,'Sales Order'!A:G,7,FALSE),Shipper!A:B,2,FALSE),"Not Specified")</f>
        <v>Shipper ETYNR</v>
      </c>
      <c r="O724" t="str">
        <f>IFERROR(VLOOKUP(A724,'Sales Order'!A:I,9,FALSE),"Not Specified")</f>
        <v>Destination QTHBC</v>
      </c>
      <c r="P724" t="str">
        <f>IFERROR(VLOOKUP(A724,'Sales Order'!A:N,14,FALSE),"Not Specified")</f>
        <v>Argentina</v>
      </c>
      <c r="Q724" t="str">
        <f>VLOOKUP(VLOOKUP(B724,Product!A:C,3,FALSE),Supplier!A:B,2,FALSE)</f>
        <v>Supplier BWGYE</v>
      </c>
      <c r="R724" t="str">
        <f>VLOOKUP(VLOOKUP(B724,Product!A:C,3,FALSE),Supplier!A:I,9,FALSE)</f>
        <v>UK</v>
      </c>
      <c r="S724" t="str">
        <f>IFERROR(IF(VLOOKUP(A724,'Sales Order'!A:H,8,FALSE)&gt;100,"High Freight","Low Freight"),"Not Specified")</f>
        <v>Low Freight</v>
      </c>
      <c r="T724">
        <f t="shared" si="23"/>
        <v>75</v>
      </c>
    </row>
    <row r="725" spans="1:20">
      <c r="A725" s="9">
        <v>10522</v>
      </c>
      <c r="B725" s="6">
        <v>1</v>
      </c>
      <c r="C725" s="6">
        <v>18</v>
      </c>
      <c r="D725" s="6">
        <v>40</v>
      </c>
      <c r="E725" s="18">
        <v>0.2</v>
      </c>
      <c r="F725" s="6" t="str">
        <f>IFERROR(VLOOKUP(VLOOKUP(A725,'Sales Order'!A:B,2,FALSE),Customer!A:C,3,FALSE),"Not Specified")</f>
        <v>Louverdis, George</v>
      </c>
      <c r="G725" s="6" t="str">
        <f t="shared" si="22"/>
        <v>Louverdis George</v>
      </c>
      <c r="H725" s="22" t="str">
        <f>IFERROR(VLOOKUP(VLOOKUP(A725,'Sales Order'!A:C,3,FALSE),Employee!A:E,5,FALSE)&amp;" "&amp;VLOOKUP(VLOOKUP(A725,'Sales Order'!A:C,3,FALSE),Employee!A:C,3,FALSE)&amp;" "&amp;VLOOKUP(VLOOKUP(A725,'Sales Order'!A:C,3,FALSE),Employee!A:B,2,FALSE),"Not Specified")</f>
        <v>Mrs. Yael Peled</v>
      </c>
      <c r="I725" t="str">
        <f>IFERROR(VLOOKUP(VLOOKUP(A725,'Sales Order'!A:C,3,FALSE),Employee!A:J,10,FALSE),"Not Specified")</f>
        <v>WA</v>
      </c>
      <c r="J725" t="str">
        <f>VLOOKUP(B725,Product!A:B,2,FALSE)</f>
        <v>Product HHYDP</v>
      </c>
      <c r="K725" t="str">
        <f>VLOOKUP(VLOOKUP(B725,Product!A:D,4,FALSE),Category!A:B,2,FALSE)</f>
        <v>Beverages</v>
      </c>
      <c r="L725" s="24">
        <f>IFERROR(VLOOKUP(A725,'Sales Order'!A:D,4,FALSE),"")</f>
        <v>39202</v>
      </c>
      <c r="M725" s="24">
        <f>IFERROR(VLOOKUP(A725,'Sales Order'!A:F,6,FALSE),"")</f>
        <v>39208</v>
      </c>
      <c r="N725" t="str">
        <f>IFERROR(VLOOKUP(VLOOKUP(A725,'Sales Order'!A:G,7,FALSE),Shipper!A:B,2,FALSE),"Not Specified")</f>
        <v>Shipper GVSUA</v>
      </c>
      <c r="O725" t="str">
        <f>IFERROR(VLOOKUP(A725,'Sales Order'!A:I,9,FALSE),"Not Specified")</f>
        <v>Ship to 44-A</v>
      </c>
      <c r="P725" t="str">
        <f>IFERROR(VLOOKUP(A725,'Sales Order'!A:N,14,FALSE),"Not Specified")</f>
        <v>Germany</v>
      </c>
      <c r="Q725" t="str">
        <f>VLOOKUP(VLOOKUP(B725,Product!A:C,3,FALSE),Supplier!A:B,2,FALSE)</f>
        <v>Supplier SWRXU</v>
      </c>
      <c r="R725" t="str">
        <f>VLOOKUP(VLOOKUP(B725,Product!A:C,3,FALSE),Supplier!A:I,9,FALSE)</f>
        <v>UK</v>
      </c>
      <c r="S725" t="str">
        <f>IFERROR(IF(VLOOKUP(A725,'Sales Order'!A:H,8,FALSE)&gt;100,"High Freight","Low Freight"),"Not Specified")</f>
        <v>Low Freight</v>
      </c>
      <c r="T725">
        <f t="shared" si="23"/>
        <v>576</v>
      </c>
    </row>
    <row r="726" spans="1:20">
      <c r="A726" s="9">
        <v>10522</v>
      </c>
      <c r="B726" s="6">
        <v>8</v>
      </c>
      <c r="C726" s="6">
        <v>40</v>
      </c>
      <c r="D726" s="6">
        <v>24</v>
      </c>
      <c r="E726" s="18">
        <v>0</v>
      </c>
      <c r="F726" s="6" t="str">
        <f>IFERROR(VLOOKUP(VLOOKUP(A726,'Sales Order'!A:B,2,FALSE),Customer!A:C,3,FALSE),"Not Specified")</f>
        <v>Louverdis, George</v>
      </c>
      <c r="G726" s="6" t="str">
        <f t="shared" si="22"/>
        <v>Louverdis George</v>
      </c>
      <c r="H726" s="22" t="str">
        <f>IFERROR(VLOOKUP(VLOOKUP(A726,'Sales Order'!A:C,3,FALSE),Employee!A:E,5,FALSE)&amp;" "&amp;VLOOKUP(VLOOKUP(A726,'Sales Order'!A:C,3,FALSE),Employee!A:C,3,FALSE)&amp;" "&amp;VLOOKUP(VLOOKUP(A726,'Sales Order'!A:C,3,FALSE),Employee!A:B,2,FALSE),"Not Specified")</f>
        <v>Mrs. Yael Peled</v>
      </c>
      <c r="I726" t="str">
        <f>IFERROR(VLOOKUP(VLOOKUP(A726,'Sales Order'!A:C,3,FALSE),Employee!A:J,10,FALSE),"Not Specified")</f>
        <v>WA</v>
      </c>
      <c r="J726" t="str">
        <f>VLOOKUP(B726,Product!A:B,2,FALSE)</f>
        <v>Product WVJFP</v>
      </c>
      <c r="K726" t="str">
        <f>VLOOKUP(VLOOKUP(B726,Product!A:D,4,FALSE),Category!A:B,2,FALSE)</f>
        <v>Condiments</v>
      </c>
      <c r="L726" s="24">
        <f>IFERROR(VLOOKUP(A726,'Sales Order'!A:D,4,FALSE),"")</f>
        <v>39202</v>
      </c>
      <c r="M726" s="24">
        <f>IFERROR(VLOOKUP(A726,'Sales Order'!A:F,6,FALSE),"")</f>
        <v>39208</v>
      </c>
      <c r="N726" t="str">
        <f>IFERROR(VLOOKUP(VLOOKUP(A726,'Sales Order'!A:G,7,FALSE),Shipper!A:B,2,FALSE),"Not Specified")</f>
        <v>Shipper GVSUA</v>
      </c>
      <c r="O726" t="str">
        <f>IFERROR(VLOOKUP(A726,'Sales Order'!A:I,9,FALSE),"Not Specified")</f>
        <v>Ship to 44-A</v>
      </c>
      <c r="P726" t="str">
        <f>IFERROR(VLOOKUP(A726,'Sales Order'!A:N,14,FALSE),"Not Specified")</f>
        <v>Germany</v>
      </c>
      <c r="Q726" t="str">
        <f>VLOOKUP(VLOOKUP(B726,Product!A:C,3,FALSE),Supplier!A:B,2,FALSE)</f>
        <v>Supplier STUAZ</v>
      </c>
      <c r="R726" t="str">
        <f>VLOOKUP(VLOOKUP(B726,Product!A:C,3,FALSE),Supplier!A:I,9,FALSE)</f>
        <v>USA</v>
      </c>
      <c r="S726" t="str">
        <f>IFERROR(IF(VLOOKUP(A726,'Sales Order'!A:H,8,FALSE)&gt;100,"High Freight","Low Freight"),"Not Specified")</f>
        <v>Low Freight</v>
      </c>
      <c r="T726">
        <f t="shared" si="23"/>
        <v>960</v>
      </c>
    </row>
    <row r="727" spans="1:20">
      <c r="A727" s="9">
        <v>10522</v>
      </c>
      <c r="B727" s="6">
        <v>30</v>
      </c>
      <c r="C727" s="6">
        <v>25.89</v>
      </c>
      <c r="D727" s="6">
        <v>20</v>
      </c>
      <c r="E727" s="18">
        <v>0.2</v>
      </c>
      <c r="F727" s="6" t="str">
        <f>IFERROR(VLOOKUP(VLOOKUP(A727,'Sales Order'!A:B,2,FALSE),Customer!A:C,3,FALSE),"Not Specified")</f>
        <v>Louverdis, George</v>
      </c>
      <c r="G727" s="6" t="str">
        <f t="shared" si="22"/>
        <v>Louverdis George</v>
      </c>
      <c r="H727" s="22" t="str">
        <f>IFERROR(VLOOKUP(VLOOKUP(A727,'Sales Order'!A:C,3,FALSE),Employee!A:E,5,FALSE)&amp;" "&amp;VLOOKUP(VLOOKUP(A727,'Sales Order'!A:C,3,FALSE),Employee!A:C,3,FALSE)&amp;" "&amp;VLOOKUP(VLOOKUP(A727,'Sales Order'!A:C,3,FALSE),Employee!A:B,2,FALSE),"Not Specified")</f>
        <v>Mrs. Yael Peled</v>
      </c>
      <c r="I727" t="str">
        <f>IFERROR(VLOOKUP(VLOOKUP(A727,'Sales Order'!A:C,3,FALSE),Employee!A:J,10,FALSE),"Not Specified")</f>
        <v>WA</v>
      </c>
      <c r="J727" t="str">
        <f>VLOOKUP(B727,Product!A:B,2,FALSE)</f>
        <v>Product LYERX</v>
      </c>
      <c r="K727" t="str">
        <f>VLOOKUP(VLOOKUP(B727,Product!A:D,4,FALSE),Category!A:B,2,FALSE)</f>
        <v>Seafood</v>
      </c>
      <c r="L727" s="24">
        <f>IFERROR(VLOOKUP(A727,'Sales Order'!A:D,4,FALSE),"")</f>
        <v>39202</v>
      </c>
      <c r="M727" s="24">
        <f>IFERROR(VLOOKUP(A727,'Sales Order'!A:F,6,FALSE),"")</f>
        <v>39208</v>
      </c>
      <c r="N727" t="str">
        <f>IFERROR(VLOOKUP(VLOOKUP(A727,'Sales Order'!A:G,7,FALSE),Shipper!A:B,2,FALSE),"Not Specified")</f>
        <v>Shipper GVSUA</v>
      </c>
      <c r="O727" t="str">
        <f>IFERROR(VLOOKUP(A727,'Sales Order'!A:I,9,FALSE),"Not Specified")</f>
        <v>Ship to 44-A</v>
      </c>
      <c r="P727" t="str">
        <f>IFERROR(VLOOKUP(A727,'Sales Order'!A:N,14,FALSE),"Not Specified")</f>
        <v>Germany</v>
      </c>
      <c r="Q727" t="str">
        <f>VLOOKUP(VLOOKUP(B727,Product!A:C,3,FALSE),Supplier!A:B,2,FALSE)</f>
        <v>Supplier TEGSC</v>
      </c>
      <c r="R727" t="str">
        <f>VLOOKUP(VLOOKUP(B727,Product!A:C,3,FALSE),Supplier!A:I,9,FALSE)</f>
        <v>Germany</v>
      </c>
      <c r="S727" t="str">
        <f>IFERROR(IF(VLOOKUP(A727,'Sales Order'!A:H,8,FALSE)&gt;100,"High Freight","Low Freight"),"Not Specified")</f>
        <v>Low Freight</v>
      </c>
      <c r="T727">
        <f t="shared" si="23"/>
        <v>414.24</v>
      </c>
    </row>
    <row r="728" spans="1:20">
      <c r="A728" s="9">
        <v>10522</v>
      </c>
      <c r="B728" s="6">
        <v>40</v>
      </c>
      <c r="C728" s="6">
        <v>18.399999999999999</v>
      </c>
      <c r="D728" s="6">
        <v>25</v>
      </c>
      <c r="E728" s="18">
        <v>0.2</v>
      </c>
      <c r="F728" s="6" t="str">
        <f>IFERROR(VLOOKUP(VLOOKUP(A728,'Sales Order'!A:B,2,FALSE),Customer!A:C,3,FALSE),"Not Specified")</f>
        <v>Louverdis, George</v>
      </c>
      <c r="G728" s="6" t="str">
        <f t="shared" si="22"/>
        <v>Louverdis George</v>
      </c>
      <c r="H728" s="22" t="str">
        <f>IFERROR(VLOOKUP(VLOOKUP(A728,'Sales Order'!A:C,3,FALSE),Employee!A:E,5,FALSE)&amp;" "&amp;VLOOKUP(VLOOKUP(A728,'Sales Order'!A:C,3,FALSE),Employee!A:C,3,FALSE)&amp;" "&amp;VLOOKUP(VLOOKUP(A728,'Sales Order'!A:C,3,FALSE),Employee!A:B,2,FALSE),"Not Specified")</f>
        <v>Mrs. Yael Peled</v>
      </c>
      <c r="I728" t="str">
        <f>IFERROR(VLOOKUP(VLOOKUP(A728,'Sales Order'!A:C,3,FALSE),Employee!A:J,10,FALSE),"Not Specified")</f>
        <v>WA</v>
      </c>
      <c r="J728" t="str">
        <f>VLOOKUP(B728,Product!A:B,2,FALSE)</f>
        <v>Product YZIXQ</v>
      </c>
      <c r="K728" t="str">
        <f>VLOOKUP(VLOOKUP(B728,Product!A:D,4,FALSE),Category!A:B,2,FALSE)</f>
        <v>Seafood</v>
      </c>
      <c r="L728" s="24">
        <f>IFERROR(VLOOKUP(A728,'Sales Order'!A:D,4,FALSE),"")</f>
        <v>39202</v>
      </c>
      <c r="M728" s="24">
        <f>IFERROR(VLOOKUP(A728,'Sales Order'!A:F,6,FALSE),"")</f>
        <v>39208</v>
      </c>
      <c r="N728" t="str">
        <f>IFERROR(VLOOKUP(VLOOKUP(A728,'Sales Order'!A:G,7,FALSE),Shipper!A:B,2,FALSE),"Not Specified")</f>
        <v>Shipper GVSUA</v>
      </c>
      <c r="O728" t="str">
        <f>IFERROR(VLOOKUP(A728,'Sales Order'!A:I,9,FALSE),"Not Specified")</f>
        <v>Ship to 44-A</v>
      </c>
      <c r="P728" t="str">
        <f>IFERROR(VLOOKUP(A728,'Sales Order'!A:N,14,FALSE),"Not Specified")</f>
        <v>Germany</v>
      </c>
      <c r="Q728" t="str">
        <f>VLOOKUP(VLOOKUP(B728,Product!A:C,3,FALSE),Supplier!A:B,2,FALSE)</f>
        <v>Supplier JDNUG</v>
      </c>
      <c r="R728" t="str">
        <f>VLOOKUP(VLOOKUP(B728,Product!A:C,3,FALSE),Supplier!A:I,9,FALSE)</f>
        <v>USA</v>
      </c>
      <c r="S728" t="str">
        <f>IFERROR(IF(VLOOKUP(A728,'Sales Order'!A:H,8,FALSE)&gt;100,"High Freight","Low Freight"),"Not Specified")</f>
        <v>Low Freight</v>
      </c>
      <c r="T728">
        <f t="shared" si="23"/>
        <v>368</v>
      </c>
    </row>
    <row r="729" spans="1:20">
      <c r="A729" s="9">
        <v>10523</v>
      </c>
      <c r="B729" s="6">
        <v>17</v>
      </c>
      <c r="C729" s="6">
        <v>39</v>
      </c>
      <c r="D729" s="6">
        <v>25</v>
      </c>
      <c r="E729" s="18">
        <v>0.1</v>
      </c>
      <c r="F729" s="6" t="str">
        <f>IFERROR(VLOOKUP(VLOOKUP(A729,'Sales Order'!A:B,2,FALSE),Customer!A:C,3,FALSE),"Not Specified")</f>
        <v>Welcker, Brian</v>
      </c>
      <c r="G729" s="6" t="str">
        <f t="shared" si="22"/>
        <v>Welcker Brian</v>
      </c>
      <c r="H729" s="22" t="str">
        <f>IFERROR(VLOOKUP(VLOOKUP(A729,'Sales Order'!A:C,3,FALSE),Employee!A:E,5,FALSE)&amp;" "&amp;VLOOKUP(VLOOKUP(A729,'Sales Order'!A:C,3,FALSE),Employee!A:C,3,FALSE)&amp;" "&amp;VLOOKUP(VLOOKUP(A729,'Sales Order'!A:C,3,FALSE),Employee!A:B,2,FALSE),"Not Specified")</f>
        <v>Mr. Russell King</v>
      </c>
      <c r="I729">
        <f>IFERROR(VLOOKUP(VLOOKUP(A729,'Sales Order'!A:C,3,FALSE),Employee!A:J,10,FALSE),"Not Specified")</f>
        <v>0</v>
      </c>
      <c r="J729" t="str">
        <f>VLOOKUP(B729,Product!A:B,2,FALSE)</f>
        <v>Product BLCAX</v>
      </c>
      <c r="K729" t="str">
        <f>VLOOKUP(VLOOKUP(B729,Product!A:D,4,FALSE),Category!A:B,2,FALSE)</f>
        <v>Meat/Poultry</v>
      </c>
      <c r="L729" s="24">
        <f>IFERROR(VLOOKUP(A729,'Sales Order'!A:D,4,FALSE),"")</f>
        <v>39203</v>
      </c>
      <c r="M729" s="24">
        <f>IFERROR(VLOOKUP(A729,'Sales Order'!A:F,6,FALSE),"")</f>
        <v>39232</v>
      </c>
      <c r="N729" t="str">
        <f>IFERROR(VLOOKUP(VLOOKUP(A729,'Sales Order'!A:G,7,FALSE),Shipper!A:B,2,FALSE),"Not Specified")</f>
        <v>Shipper ETYNR</v>
      </c>
      <c r="O729" t="str">
        <f>IFERROR(VLOOKUP(A729,'Sales Order'!A:I,9,FALSE),"Not Specified")</f>
        <v>Ship to 72-C</v>
      </c>
      <c r="P729" t="str">
        <f>IFERROR(VLOOKUP(A729,'Sales Order'!A:N,14,FALSE),"Not Specified")</f>
        <v>UK</v>
      </c>
      <c r="Q729" t="str">
        <f>VLOOKUP(VLOOKUP(B729,Product!A:C,3,FALSE),Supplier!A:B,2,FALSE)</f>
        <v>Supplier GQRCV</v>
      </c>
      <c r="R729" t="str">
        <f>VLOOKUP(VLOOKUP(B729,Product!A:C,3,FALSE),Supplier!A:I,9,FALSE)</f>
        <v>Australia</v>
      </c>
      <c r="S729" t="str">
        <f>IFERROR(IF(VLOOKUP(A729,'Sales Order'!A:H,8,FALSE)&gt;100,"High Freight","Low Freight"),"Not Specified")</f>
        <v>Low Freight</v>
      </c>
      <c r="T729">
        <f t="shared" si="23"/>
        <v>877.5</v>
      </c>
    </row>
    <row r="730" spans="1:20">
      <c r="A730" s="9">
        <v>10523</v>
      </c>
      <c r="B730" s="6">
        <v>20</v>
      </c>
      <c r="C730" s="6">
        <v>81</v>
      </c>
      <c r="D730" s="6">
        <v>15</v>
      </c>
      <c r="E730" s="18">
        <v>0.1</v>
      </c>
      <c r="F730" s="6" t="str">
        <f>IFERROR(VLOOKUP(VLOOKUP(A730,'Sales Order'!A:B,2,FALSE),Customer!A:C,3,FALSE),"Not Specified")</f>
        <v>Welcker, Brian</v>
      </c>
      <c r="G730" s="6" t="str">
        <f t="shared" si="22"/>
        <v>Welcker Brian</v>
      </c>
      <c r="H730" s="22" t="str">
        <f>IFERROR(VLOOKUP(VLOOKUP(A730,'Sales Order'!A:C,3,FALSE),Employee!A:E,5,FALSE)&amp;" "&amp;VLOOKUP(VLOOKUP(A730,'Sales Order'!A:C,3,FALSE),Employee!A:C,3,FALSE)&amp;" "&amp;VLOOKUP(VLOOKUP(A730,'Sales Order'!A:C,3,FALSE),Employee!A:B,2,FALSE),"Not Specified")</f>
        <v>Mr. Russell King</v>
      </c>
      <c r="I730">
        <f>IFERROR(VLOOKUP(VLOOKUP(A730,'Sales Order'!A:C,3,FALSE),Employee!A:J,10,FALSE),"Not Specified")</f>
        <v>0</v>
      </c>
      <c r="J730" t="str">
        <f>VLOOKUP(B730,Product!A:B,2,FALSE)</f>
        <v>Product QHFFP</v>
      </c>
      <c r="K730" t="str">
        <f>VLOOKUP(VLOOKUP(B730,Product!A:D,4,FALSE),Category!A:B,2,FALSE)</f>
        <v>Confections</v>
      </c>
      <c r="L730" s="24">
        <f>IFERROR(VLOOKUP(A730,'Sales Order'!A:D,4,FALSE),"")</f>
        <v>39203</v>
      </c>
      <c r="M730" s="24">
        <f>IFERROR(VLOOKUP(A730,'Sales Order'!A:F,6,FALSE),"")</f>
        <v>39232</v>
      </c>
      <c r="N730" t="str">
        <f>IFERROR(VLOOKUP(VLOOKUP(A730,'Sales Order'!A:G,7,FALSE),Shipper!A:B,2,FALSE),"Not Specified")</f>
        <v>Shipper ETYNR</v>
      </c>
      <c r="O730" t="str">
        <f>IFERROR(VLOOKUP(A730,'Sales Order'!A:I,9,FALSE),"Not Specified")</f>
        <v>Ship to 72-C</v>
      </c>
      <c r="P730" t="str">
        <f>IFERROR(VLOOKUP(A730,'Sales Order'!A:N,14,FALSE),"Not Specified")</f>
        <v>UK</v>
      </c>
      <c r="Q730" t="str">
        <f>VLOOKUP(VLOOKUP(B730,Product!A:C,3,FALSE),Supplier!A:B,2,FALSE)</f>
        <v>Supplier BWGYE</v>
      </c>
      <c r="R730" t="str">
        <f>VLOOKUP(VLOOKUP(B730,Product!A:C,3,FALSE),Supplier!A:I,9,FALSE)</f>
        <v>UK</v>
      </c>
      <c r="S730" t="str">
        <f>IFERROR(IF(VLOOKUP(A730,'Sales Order'!A:H,8,FALSE)&gt;100,"High Freight","Low Freight"),"Not Specified")</f>
        <v>Low Freight</v>
      </c>
      <c r="T730">
        <f t="shared" si="23"/>
        <v>1093.5</v>
      </c>
    </row>
    <row r="731" spans="1:20">
      <c r="A731" s="9">
        <v>10523</v>
      </c>
      <c r="B731" s="6">
        <v>37</v>
      </c>
      <c r="C731" s="6">
        <v>26</v>
      </c>
      <c r="D731" s="6">
        <v>18</v>
      </c>
      <c r="E731" s="18">
        <v>0.1</v>
      </c>
      <c r="F731" s="6" t="str">
        <f>IFERROR(VLOOKUP(VLOOKUP(A731,'Sales Order'!A:B,2,FALSE),Customer!A:C,3,FALSE),"Not Specified")</f>
        <v>Welcker, Brian</v>
      </c>
      <c r="G731" s="6" t="str">
        <f t="shared" si="22"/>
        <v>Welcker Brian</v>
      </c>
      <c r="H731" s="22" t="str">
        <f>IFERROR(VLOOKUP(VLOOKUP(A731,'Sales Order'!A:C,3,FALSE),Employee!A:E,5,FALSE)&amp;" "&amp;VLOOKUP(VLOOKUP(A731,'Sales Order'!A:C,3,FALSE),Employee!A:C,3,FALSE)&amp;" "&amp;VLOOKUP(VLOOKUP(A731,'Sales Order'!A:C,3,FALSE),Employee!A:B,2,FALSE),"Not Specified")</f>
        <v>Mr. Russell King</v>
      </c>
      <c r="I731">
        <f>IFERROR(VLOOKUP(VLOOKUP(A731,'Sales Order'!A:C,3,FALSE),Employee!A:J,10,FALSE),"Not Specified")</f>
        <v>0</v>
      </c>
      <c r="J731" t="str">
        <f>VLOOKUP(B731,Product!A:B,2,FALSE)</f>
        <v>Product EVFFA</v>
      </c>
      <c r="K731" t="str">
        <f>VLOOKUP(VLOOKUP(B731,Product!A:D,4,FALSE),Category!A:B,2,FALSE)</f>
        <v>Seafood</v>
      </c>
      <c r="L731" s="24">
        <f>IFERROR(VLOOKUP(A731,'Sales Order'!A:D,4,FALSE),"")</f>
        <v>39203</v>
      </c>
      <c r="M731" s="24">
        <f>IFERROR(VLOOKUP(A731,'Sales Order'!A:F,6,FALSE),"")</f>
        <v>39232</v>
      </c>
      <c r="N731" t="str">
        <f>IFERROR(VLOOKUP(VLOOKUP(A731,'Sales Order'!A:G,7,FALSE),Shipper!A:B,2,FALSE),"Not Specified")</f>
        <v>Shipper ETYNR</v>
      </c>
      <c r="O731" t="str">
        <f>IFERROR(VLOOKUP(A731,'Sales Order'!A:I,9,FALSE),"Not Specified")</f>
        <v>Ship to 72-C</v>
      </c>
      <c r="P731" t="str">
        <f>IFERROR(VLOOKUP(A731,'Sales Order'!A:N,14,FALSE),"Not Specified")</f>
        <v>UK</v>
      </c>
      <c r="Q731" t="str">
        <f>VLOOKUP(VLOOKUP(B731,Product!A:C,3,FALSE),Supplier!A:B,2,FALSE)</f>
        <v>Supplier QZGUF</v>
      </c>
      <c r="R731" t="str">
        <f>VLOOKUP(VLOOKUP(B731,Product!A:C,3,FALSE),Supplier!A:I,9,FALSE)</f>
        <v>Sweden</v>
      </c>
      <c r="S731" t="str">
        <f>IFERROR(IF(VLOOKUP(A731,'Sales Order'!A:H,8,FALSE)&gt;100,"High Freight","Low Freight"),"Not Specified")</f>
        <v>Low Freight</v>
      </c>
      <c r="T731">
        <f t="shared" si="23"/>
        <v>421.2</v>
      </c>
    </row>
    <row r="732" spans="1:20">
      <c r="A732" s="9">
        <v>10523</v>
      </c>
      <c r="B732" s="6">
        <v>41</v>
      </c>
      <c r="C732" s="6">
        <v>9.65</v>
      </c>
      <c r="D732" s="6">
        <v>6</v>
      </c>
      <c r="E732" s="18">
        <v>0.1</v>
      </c>
      <c r="F732" s="6" t="str">
        <f>IFERROR(VLOOKUP(VLOOKUP(A732,'Sales Order'!A:B,2,FALSE),Customer!A:C,3,FALSE),"Not Specified")</f>
        <v>Welcker, Brian</v>
      </c>
      <c r="G732" s="6" t="str">
        <f t="shared" si="22"/>
        <v>Welcker Brian</v>
      </c>
      <c r="H732" s="22" t="str">
        <f>IFERROR(VLOOKUP(VLOOKUP(A732,'Sales Order'!A:C,3,FALSE),Employee!A:E,5,FALSE)&amp;" "&amp;VLOOKUP(VLOOKUP(A732,'Sales Order'!A:C,3,FALSE),Employee!A:C,3,FALSE)&amp;" "&amp;VLOOKUP(VLOOKUP(A732,'Sales Order'!A:C,3,FALSE),Employee!A:B,2,FALSE),"Not Specified")</f>
        <v>Mr. Russell King</v>
      </c>
      <c r="I732">
        <f>IFERROR(VLOOKUP(VLOOKUP(A732,'Sales Order'!A:C,3,FALSE),Employee!A:J,10,FALSE),"Not Specified")</f>
        <v>0</v>
      </c>
      <c r="J732" t="str">
        <f>VLOOKUP(B732,Product!A:B,2,FALSE)</f>
        <v>Product TTEEX</v>
      </c>
      <c r="K732" t="str">
        <f>VLOOKUP(VLOOKUP(B732,Product!A:D,4,FALSE),Category!A:B,2,FALSE)</f>
        <v>Seafood</v>
      </c>
      <c r="L732" s="24">
        <f>IFERROR(VLOOKUP(A732,'Sales Order'!A:D,4,FALSE),"")</f>
        <v>39203</v>
      </c>
      <c r="M732" s="24">
        <f>IFERROR(VLOOKUP(A732,'Sales Order'!A:F,6,FALSE),"")</f>
        <v>39232</v>
      </c>
      <c r="N732" t="str">
        <f>IFERROR(VLOOKUP(VLOOKUP(A732,'Sales Order'!A:G,7,FALSE),Shipper!A:B,2,FALSE),"Not Specified")</f>
        <v>Shipper ETYNR</v>
      </c>
      <c r="O732" t="str">
        <f>IFERROR(VLOOKUP(A732,'Sales Order'!A:I,9,FALSE),"Not Specified")</f>
        <v>Ship to 72-C</v>
      </c>
      <c r="P732" t="str">
        <f>IFERROR(VLOOKUP(A732,'Sales Order'!A:N,14,FALSE),"Not Specified")</f>
        <v>UK</v>
      </c>
      <c r="Q732" t="str">
        <f>VLOOKUP(VLOOKUP(B732,Product!A:C,3,FALSE),Supplier!A:B,2,FALSE)</f>
        <v>Supplier JDNUG</v>
      </c>
      <c r="R732" t="str">
        <f>VLOOKUP(VLOOKUP(B732,Product!A:C,3,FALSE),Supplier!A:I,9,FALSE)</f>
        <v>USA</v>
      </c>
      <c r="S732" t="str">
        <f>IFERROR(IF(VLOOKUP(A732,'Sales Order'!A:H,8,FALSE)&gt;100,"High Freight","Low Freight"),"Not Specified")</f>
        <v>Low Freight</v>
      </c>
      <c r="T732">
        <f t="shared" si="23"/>
        <v>52.110000000000007</v>
      </c>
    </row>
    <row r="733" spans="1:20">
      <c r="A733" s="9">
        <v>10524</v>
      </c>
      <c r="B733" s="6">
        <v>10</v>
      </c>
      <c r="C733" s="6">
        <v>31</v>
      </c>
      <c r="D733" s="6">
        <v>2</v>
      </c>
      <c r="E733" s="18">
        <v>0</v>
      </c>
      <c r="F733" s="6" t="str">
        <f>IFERROR(VLOOKUP(VLOOKUP(A733,'Sales Order'!A:B,2,FALSE),Customer!A:C,3,FALSE),"Not Specified")</f>
        <v>Higginbotham, Tom</v>
      </c>
      <c r="G733" s="6" t="str">
        <f t="shared" si="22"/>
        <v>Higginbotham Tom</v>
      </c>
      <c r="H733" s="22" t="str">
        <f>IFERROR(VLOOKUP(VLOOKUP(A733,'Sales Order'!A:C,3,FALSE),Employee!A:E,5,FALSE)&amp;" "&amp;VLOOKUP(VLOOKUP(A733,'Sales Order'!A:C,3,FALSE),Employee!A:C,3,FALSE)&amp;" "&amp;VLOOKUP(VLOOKUP(A733,'Sales Order'!A:C,3,FALSE),Employee!A:B,2,FALSE),"Not Specified")</f>
        <v>Ms. Sara Davis</v>
      </c>
      <c r="I733" t="str">
        <f>IFERROR(VLOOKUP(VLOOKUP(A733,'Sales Order'!A:C,3,FALSE),Employee!A:J,10,FALSE),"Not Specified")</f>
        <v>WA</v>
      </c>
      <c r="J733" t="str">
        <f>VLOOKUP(B733,Product!A:B,2,FALSE)</f>
        <v>Product YHXGE</v>
      </c>
      <c r="K733" t="str">
        <f>VLOOKUP(VLOOKUP(B733,Product!A:D,4,FALSE),Category!A:B,2,FALSE)</f>
        <v>Seafood</v>
      </c>
      <c r="L733" s="24">
        <f>IFERROR(VLOOKUP(A733,'Sales Order'!A:D,4,FALSE),"")</f>
        <v>39203</v>
      </c>
      <c r="M733" s="24">
        <f>IFERROR(VLOOKUP(A733,'Sales Order'!A:F,6,FALSE),"")</f>
        <v>39209</v>
      </c>
      <c r="N733" t="str">
        <f>IFERROR(VLOOKUP(VLOOKUP(A733,'Sales Order'!A:G,7,FALSE),Shipper!A:B,2,FALSE),"Not Specified")</f>
        <v>Shipper ETYNR</v>
      </c>
      <c r="O733" t="str">
        <f>IFERROR(VLOOKUP(A733,'Sales Order'!A:I,9,FALSE),"Not Specified")</f>
        <v>Ship to 5-A</v>
      </c>
      <c r="P733" t="str">
        <f>IFERROR(VLOOKUP(A733,'Sales Order'!A:N,14,FALSE),"Not Specified")</f>
        <v>Sweden</v>
      </c>
      <c r="Q733" t="str">
        <f>VLOOKUP(VLOOKUP(B733,Product!A:C,3,FALSE),Supplier!A:B,2,FALSE)</f>
        <v>Supplier QOVFD</v>
      </c>
      <c r="R733" t="str">
        <f>VLOOKUP(VLOOKUP(B733,Product!A:C,3,FALSE),Supplier!A:I,9,FALSE)</f>
        <v>Japan</v>
      </c>
      <c r="S733" t="str">
        <f>IFERROR(IF(VLOOKUP(A733,'Sales Order'!A:H,8,FALSE)&gt;100,"High Freight","Low Freight"),"Not Specified")</f>
        <v>High Freight</v>
      </c>
      <c r="T733">
        <f t="shared" si="23"/>
        <v>62</v>
      </c>
    </row>
    <row r="734" spans="1:20">
      <c r="A734" s="9">
        <v>10524</v>
      </c>
      <c r="B734" s="6">
        <v>30</v>
      </c>
      <c r="C734" s="6">
        <v>25.89</v>
      </c>
      <c r="D734" s="6">
        <v>10</v>
      </c>
      <c r="E734" s="18">
        <v>0</v>
      </c>
      <c r="F734" s="6" t="str">
        <f>IFERROR(VLOOKUP(VLOOKUP(A734,'Sales Order'!A:B,2,FALSE),Customer!A:C,3,FALSE),"Not Specified")</f>
        <v>Higginbotham, Tom</v>
      </c>
      <c r="G734" s="6" t="str">
        <f t="shared" si="22"/>
        <v>Higginbotham Tom</v>
      </c>
      <c r="H734" s="22" t="str">
        <f>IFERROR(VLOOKUP(VLOOKUP(A734,'Sales Order'!A:C,3,FALSE),Employee!A:E,5,FALSE)&amp;" "&amp;VLOOKUP(VLOOKUP(A734,'Sales Order'!A:C,3,FALSE),Employee!A:C,3,FALSE)&amp;" "&amp;VLOOKUP(VLOOKUP(A734,'Sales Order'!A:C,3,FALSE),Employee!A:B,2,FALSE),"Not Specified")</f>
        <v>Ms. Sara Davis</v>
      </c>
      <c r="I734" t="str">
        <f>IFERROR(VLOOKUP(VLOOKUP(A734,'Sales Order'!A:C,3,FALSE),Employee!A:J,10,FALSE),"Not Specified")</f>
        <v>WA</v>
      </c>
      <c r="J734" t="str">
        <f>VLOOKUP(B734,Product!A:B,2,FALSE)</f>
        <v>Product LYERX</v>
      </c>
      <c r="K734" t="str">
        <f>VLOOKUP(VLOOKUP(B734,Product!A:D,4,FALSE),Category!A:B,2,FALSE)</f>
        <v>Seafood</v>
      </c>
      <c r="L734" s="24">
        <f>IFERROR(VLOOKUP(A734,'Sales Order'!A:D,4,FALSE),"")</f>
        <v>39203</v>
      </c>
      <c r="M734" s="24">
        <f>IFERROR(VLOOKUP(A734,'Sales Order'!A:F,6,FALSE),"")</f>
        <v>39209</v>
      </c>
      <c r="N734" t="str">
        <f>IFERROR(VLOOKUP(VLOOKUP(A734,'Sales Order'!A:G,7,FALSE),Shipper!A:B,2,FALSE),"Not Specified")</f>
        <v>Shipper ETYNR</v>
      </c>
      <c r="O734" t="str">
        <f>IFERROR(VLOOKUP(A734,'Sales Order'!A:I,9,FALSE),"Not Specified")</f>
        <v>Ship to 5-A</v>
      </c>
      <c r="P734" t="str">
        <f>IFERROR(VLOOKUP(A734,'Sales Order'!A:N,14,FALSE),"Not Specified")</f>
        <v>Sweden</v>
      </c>
      <c r="Q734" t="str">
        <f>VLOOKUP(VLOOKUP(B734,Product!A:C,3,FALSE),Supplier!A:B,2,FALSE)</f>
        <v>Supplier TEGSC</v>
      </c>
      <c r="R734" t="str">
        <f>VLOOKUP(VLOOKUP(B734,Product!A:C,3,FALSE),Supplier!A:I,9,FALSE)</f>
        <v>Germany</v>
      </c>
      <c r="S734" t="str">
        <f>IFERROR(IF(VLOOKUP(A734,'Sales Order'!A:H,8,FALSE)&gt;100,"High Freight","Low Freight"),"Not Specified")</f>
        <v>High Freight</v>
      </c>
      <c r="T734">
        <f t="shared" si="23"/>
        <v>258.89999999999998</v>
      </c>
    </row>
    <row r="735" spans="1:20">
      <c r="A735" s="9">
        <v>10524</v>
      </c>
      <c r="B735" s="6">
        <v>43</v>
      </c>
      <c r="C735" s="6">
        <v>46</v>
      </c>
      <c r="D735" s="6">
        <v>60</v>
      </c>
      <c r="E735" s="18">
        <v>0</v>
      </c>
      <c r="F735" s="6" t="str">
        <f>IFERROR(VLOOKUP(VLOOKUP(A735,'Sales Order'!A:B,2,FALSE),Customer!A:C,3,FALSE),"Not Specified")</f>
        <v>Higginbotham, Tom</v>
      </c>
      <c r="G735" s="6" t="str">
        <f t="shared" si="22"/>
        <v>Higginbotham Tom</v>
      </c>
      <c r="H735" s="22" t="str">
        <f>IFERROR(VLOOKUP(VLOOKUP(A735,'Sales Order'!A:C,3,FALSE),Employee!A:E,5,FALSE)&amp;" "&amp;VLOOKUP(VLOOKUP(A735,'Sales Order'!A:C,3,FALSE),Employee!A:C,3,FALSE)&amp;" "&amp;VLOOKUP(VLOOKUP(A735,'Sales Order'!A:C,3,FALSE),Employee!A:B,2,FALSE),"Not Specified")</f>
        <v>Ms. Sara Davis</v>
      </c>
      <c r="I735" t="str">
        <f>IFERROR(VLOOKUP(VLOOKUP(A735,'Sales Order'!A:C,3,FALSE),Employee!A:J,10,FALSE),"Not Specified")</f>
        <v>WA</v>
      </c>
      <c r="J735" t="str">
        <f>VLOOKUP(B735,Product!A:B,2,FALSE)</f>
        <v>Product ZZZHR</v>
      </c>
      <c r="K735" t="str">
        <f>VLOOKUP(VLOOKUP(B735,Product!A:D,4,FALSE),Category!A:B,2,FALSE)</f>
        <v>Beverages</v>
      </c>
      <c r="L735" s="24">
        <f>IFERROR(VLOOKUP(A735,'Sales Order'!A:D,4,FALSE),"")</f>
        <v>39203</v>
      </c>
      <c r="M735" s="24">
        <f>IFERROR(VLOOKUP(A735,'Sales Order'!A:F,6,FALSE),"")</f>
        <v>39209</v>
      </c>
      <c r="N735" t="str">
        <f>IFERROR(VLOOKUP(VLOOKUP(A735,'Sales Order'!A:G,7,FALSE),Shipper!A:B,2,FALSE),"Not Specified")</f>
        <v>Shipper ETYNR</v>
      </c>
      <c r="O735" t="str">
        <f>IFERROR(VLOOKUP(A735,'Sales Order'!A:I,9,FALSE),"Not Specified")</f>
        <v>Ship to 5-A</v>
      </c>
      <c r="P735" t="str">
        <f>IFERROR(VLOOKUP(A735,'Sales Order'!A:N,14,FALSE),"Not Specified")</f>
        <v>Sweden</v>
      </c>
      <c r="Q735" t="str">
        <f>VLOOKUP(VLOOKUP(B735,Product!A:C,3,FALSE),Supplier!A:B,2,FALSE)</f>
        <v>Supplier CIYNM</v>
      </c>
      <c r="R735" t="str">
        <f>VLOOKUP(VLOOKUP(B735,Product!A:C,3,FALSE),Supplier!A:I,9,FALSE)</f>
        <v>Singapore</v>
      </c>
      <c r="S735" t="str">
        <f>IFERROR(IF(VLOOKUP(A735,'Sales Order'!A:H,8,FALSE)&gt;100,"High Freight","Low Freight"),"Not Specified")</f>
        <v>High Freight</v>
      </c>
      <c r="T735">
        <f t="shared" si="23"/>
        <v>2760</v>
      </c>
    </row>
    <row r="736" spans="1:20">
      <c r="A736" s="9">
        <v>10524</v>
      </c>
      <c r="B736" s="6">
        <v>54</v>
      </c>
      <c r="C736" s="6">
        <v>7.45</v>
      </c>
      <c r="D736" s="6">
        <v>15</v>
      </c>
      <c r="E736" s="18">
        <v>0</v>
      </c>
      <c r="F736" s="6" t="str">
        <f>IFERROR(VLOOKUP(VLOOKUP(A736,'Sales Order'!A:B,2,FALSE),Customer!A:C,3,FALSE),"Not Specified")</f>
        <v>Higginbotham, Tom</v>
      </c>
      <c r="G736" s="6" t="str">
        <f t="shared" si="22"/>
        <v>Higginbotham Tom</v>
      </c>
      <c r="H736" s="22" t="str">
        <f>IFERROR(VLOOKUP(VLOOKUP(A736,'Sales Order'!A:C,3,FALSE),Employee!A:E,5,FALSE)&amp;" "&amp;VLOOKUP(VLOOKUP(A736,'Sales Order'!A:C,3,FALSE),Employee!A:C,3,FALSE)&amp;" "&amp;VLOOKUP(VLOOKUP(A736,'Sales Order'!A:C,3,FALSE),Employee!A:B,2,FALSE),"Not Specified")</f>
        <v>Ms. Sara Davis</v>
      </c>
      <c r="I736" t="str">
        <f>IFERROR(VLOOKUP(VLOOKUP(A736,'Sales Order'!A:C,3,FALSE),Employee!A:J,10,FALSE),"Not Specified")</f>
        <v>WA</v>
      </c>
      <c r="J736" t="str">
        <f>VLOOKUP(B736,Product!A:B,2,FALSE)</f>
        <v>Product QAQRL</v>
      </c>
      <c r="K736" t="str">
        <f>VLOOKUP(VLOOKUP(B736,Product!A:D,4,FALSE),Category!A:B,2,FALSE)</f>
        <v>Meat/Poultry</v>
      </c>
      <c r="L736" s="24">
        <f>IFERROR(VLOOKUP(A736,'Sales Order'!A:D,4,FALSE),"")</f>
        <v>39203</v>
      </c>
      <c r="M736" s="24">
        <f>IFERROR(VLOOKUP(A736,'Sales Order'!A:F,6,FALSE),"")</f>
        <v>39209</v>
      </c>
      <c r="N736" t="str">
        <f>IFERROR(VLOOKUP(VLOOKUP(A736,'Sales Order'!A:G,7,FALSE),Shipper!A:B,2,FALSE),"Not Specified")</f>
        <v>Shipper ETYNR</v>
      </c>
      <c r="O736" t="str">
        <f>IFERROR(VLOOKUP(A736,'Sales Order'!A:I,9,FALSE),"Not Specified")</f>
        <v>Ship to 5-A</v>
      </c>
      <c r="P736" t="str">
        <f>IFERROR(VLOOKUP(A736,'Sales Order'!A:N,14,FALSE),"Not Specified")</f>
        <v>Sweden</v>
      </c>
      <c r="Q736" t="str">
        <f>VLOOKUP(VLOOKUP(B736,Product!A:C,3,FALSE),Supplier!A:B,2,FALSE)</f>
        <v>Supplier ERVYZ</v>
      </c>
      <c r="R736" t="str">
        <f>VLOOKUP(VLOOKUP(B736,Product!A:C,3,FALSE),Supplier!A:I,9,FALSE)</f>
        <v>Canada</v>
      </c>
      <c r="S736" t="str">
        <f>IFERROR(IF(VLOOKUP(A736,'Sales Order'!A:H,8,FALSE)&gt;100,"High Freight","Low Freight"),"Not Specified")</f>
        <v>High Freight</v>
      </c>
      <c r="T736">
        <f t="shared" si="23"/>
        <v>111.75</v>
      </c>
    </row>
    <row r="737" spans="1:20">
      <c r="A737" s="9">
        <v>10525</v>
      </c>
      <c r="B737" s="6">
        <v>36</v>
      </c>
      <c r="C737" s="6">
        <v>19</v>
      </c>
      <c r="D737" s="6">
        <v>30</v>
      </c>
      <c r="E737" s="18">
        <v>0</v>
      </c>
      <c r="F737" s="6" t="str">
        <f>IFERROR(VLOOKUP(VLOOKUP(A737,'Sales Order'!A:B,2,FALSE),Customer!A:C,3,FALSE),"Not Specified")</f>
        <v>Raghav, Amritansh</v>
      </c>
      <c r="G737" s="6" t="str">
        <f t="shared" si="22"/>
        <v>Raghav Amritansh</v>
      </c>
      <c r="H737" s="22" t="str">
        <f>IFERROR(VLOOKUP(VLOOKUP(A737,'Sales Order'!A:C,3,FALSE),Employee!A:E,5,FALSE)&amp;" "&amp;VLOOKUP(VLOOKUP(A737,'Sales Order'!A:C,3,FALSE),Employee!A:C,3,FALSE)&amp;" "&amp;VLOOKUP(VLOOKUP(A737,'Sales Order'!A:C,3,FALSE),Employee!A:B,2,FALSE),"Not Specified")</f>
        <v>Ms. Sara Davis</v>
      </c>
      <c r="I737" t="str">
        <f>IFERROR(VLOOKUP(VLOOKUP(A737,'Sales Order'!A:C,3,FALSE),Employee!A:J,10,FALSE),"Not Specified")</f>
        <v>WA</v>
      </c>
      <c r="J737" t="str">
        <f>VLOOKUP(B737,Product!A:B,2,FALSE)</f>
        <v>Product GMKIJ</v>
      </c>
      <c r="K737" t="str">
        <f>VLOOKUP(VLOOKUP(B737,Product!A:D,4,FALSE),Category!A:B,2,FALSE)</f>
        <v>Seafood</v>
      </c>
      <c r="L737" s="24">
        <f>IFERROR(VLOOKUP(A737,'Sales Order'!A:D,4,FALSE),"")</f>
        <v>39204</v>
      </c>
      <c r="M737" s="24">
        <f>IFERROR(VLOOKUP(A737,'Sales Order'!A:F,6,FALSE),"")</f>
        <v>39225</v>
      </c>
      <c r="N737" t="str">
        <f>IFERROR(VLOOKUP(VLOOKUP(A737,'Sales Order'!A:G,7,FALSE),Shipper!A:B,2,FALSE),"Not Specified")</f>
        <v>Shipper ETYNR</v>
      </c>
      <c r="O737" t="str">
        <f>IFERROR(VLOOKUP(A737,'Sales Order'!A:I,9,FALSE),"Not Specified")</f>
        <v>Ship to 9-B</v>
      </c>
      <c r="P737" t="str">
        <f>IFERROR(VLOOKUP(A737,'Sales Order'!A:N,14,FALSE),"Not Specified")</f>
        <v>France</v>
      </c>
      <c r="Q737" t="str">
        <f>VLOOKUP(VLOOKUP(B737,Product!A:C,3,FALSE),Supplier!A:B,2,FALSE)</f>
        <v>Supplier QZGUF</v>
      </c>
      <c r="R737" t="str">
        <f>VLOOKUP(VLOOKUP(B737,Product!A:C,3,FALSE),Supplier!A:I,9,FALSE)</f>
        <v>Sweden</v>
      </c>
      <c r="S737" t="str">
        <f>IFERROR(IF(VLOOKUP(A737,'Sales Order'!A:H,8,FALSE)&gt;100,"High Freight","Low Freight"),"Not Specified")</f>
        <v>Low Freight</v>
      </c>
      <c r="T737">
        <f t="shared" si="23"/>
        <v>570</v>
      </c>
    </row>
    <row r="738" spans="1:20">
      <c r="A738" s="9">
        <v>10525</v>
      </c>
      <c r="B738" s="6">
        <v>40</v>
      </c>
      <c r="C738" s="6">
        <v>18.399999999999999</v>
      </c>
      <c r="D738" s="6">
        <v>15</v>
      </c>
      <c r="E738" s="18">
        <v>0.1</v>
      </c>
      <c r="F738" s="6" t="str">
        <f>IFERROR(VLOOKUP(VLOOKUP(A738,'Sales Order'!A:B,2,FALSE),Customer!A:C,3,FALSE),"Not Specified")</f>
        <v>Raghav, Amritansh</v>
      </c>
      <c r="G738" s="6" t="str">
        <f t="shared" si="22"/>
        <v>Raghav Amritansh</v>
      </c>
      <c r="H738" s="22" t="str">
        <f>IFERROR(VLOOKUP(VLOOKUP(A738,'Sales Order'!A:C,3,FALSE),Employee!A:E,5,FALSE)&amp;" "&amp;VLOOKUP(VLOOKUP(A738,'Sales Order'!A:C,3,FALSE),Employee!A:C,3,FALSE)&amp;" "&amp;VLOOKUP(VLOOKUP(A738,'Sales Order'!A:C,3,FALSE),Employee!A:B,2,FALSE),"Not Specified")</f>
        <v>Ms. Sara Davis</v>
      </c>
      <c r="I738" t="str">
        <f>IFERROR(VLOOKUP(VLOOKUP(A738,'Sales Order'!A:C,3,FALSE),Employee!A:J,10,FALSE),"Not Specified")</f>
        <v>WA</v>
      </c>
      <c r="J738" t="str">
        <f>VLOOKUP(B738,Product!A:B,2,FALSE)</f>
        <v>Product YZIXQ</v>
      </c>
      <c r="K738" t="str">
        <f>VLOOKUP(VLOOKUP(B738,Product!A:D,4,FALSE),Category!A:B,2,FALSE)</f>
        <v>Seafood</v>
      </c>
      <c r="L738" s="24">
        <f>IFERROR(VLOOKUP(A738,'Sales Order'!A:D,4,FALSE),"")</f>
        <v>39204</v>
      </c>
      <c r="M738" s="24">
        <f>IFERROR(VLOOKUP(A738,'Sales Order'!A:F,6,FALSE),"")</f>
        <v>39225</v>
      </c>
      <c r="N738" t="str">
        <f>IFERROR(VLOOKUP(VLOOKUP(A738,'Sales Order'!A:G,7,FALSE),Shipper!A:B,2,FALSE),"Not Specified")</f>
        <v>Shipper ETYNR</v>
      </c>
      <c r="O738" t="str">
        <f>IFERROR(VLOOKUP(A738,'Sales Order'!A:I,9,FALSE),"Not Specified")</f>
        <v>Ship to 9-B</v>
      </c>
      <c r="P738" t="str">
        <f>IFERROR(VLOOKUP(A738,'Sales Order'!A:N,14,FALSE),"Not Specified")</f>
        <v>France</v>
      </c>
      <c r="Q738" t="str">
        <f>VLOOKUP(VLOOKUP(B738,Product!A:C,3,FALSE),Supplier!A:B,2,FALSE)</f>
        <v>Supplier JDNUG</v>
      </c>
      <c r="R738" t="str">
        <f>VLOOKUP(VLOOKUP(B738,Product!A:C,3,FALSE),Supplier!A:I,9,FALSE)</f>
        <v>USA</v>
      </c>
      <c r="S738" t="str">
        <f>IFERROR(IF(VLOOKUP(A738,'Sales Order'!A:H,8,FALSE)&gt;100,"High Freight","Low Freight"),"Not Specified")</f>
        <v>Low Freight</v>
      </c>
      <c r="T738">
        <f t="shared" si="23"/>
        <v>248.4</v>
      </c>
    </row>
    <row r="739" spans="1:20">
      <c r="A739" s="9">
        <v>10526</v>
      </c>
      <c r="B739" s="6">
        <v>1</v>
      </c>
      <c r="C739" s="6">
        <v>18</v>
      </c>
      <c r="D739" s="6">
        <v>8</v>
      </c>
      <c r="E739" s="18">
        <v>0.15</v>
      </c>
      <c r="F739" s="6" t="str">
        <f>IFERROR(VLOOKUP(VLOOKUP(A739,'Sales Order'!A:B,2,FALSE),Customer!A:C,3,FALSE),"Not Specified")</f>
        <v>Ludwig, Michael</v>
      </c>
      <c r="G739" s="6" t="str">
        <f t="shared" si="22"/>
        <v>Ludwig Michael</v>
      </c>
      <c r="H739" s="22" t="str">
        <f>IFERROR(VLOOKUP(VLOOKUP(A739,'Sales Order'!A:C,3,FALSE),Employee!A:E,5,FALSE)&amp;" "&amp;VLOOKUP(VLOOKUP(A739,'Sales Order'!A:C,3,FALSE),Employee!A:C,3,FALSE)&amp;" "&amp;VLOOKUP(VLOOKUP(A739,'Sales Order'!A:C,3,FALSE),Employee!A:B,2,FALSE),"Not Specified")</f>
        <v>Mrs. Yael Peled</v>
      </c>
      <c r="I739" t="str">
        <f>IFERROR(VLOOKUP(VLOOKUP(A739,'Sales Order'!A:C,3,FALSE),Employee!A:J,10,FALSE),"Not Specified")</f>
        <v>WA</v>
      </c>
      <c r="J739" t="str">
        <f>VLOOKUP(B739,Product!A:B,2,FALSE)</f>
        <v>Product HHYDP</v>
      </c>
      <c r="K739" t="str">
        <f>VLOOKUP(VLOOKUP(B739,Product!A:D,4,FALSE),Category!A:B,2,FALSE)</f>
        <v>Beverages</v>
      </c>
      <c r="L739" s="24">
        <f>IFERROR(VLOOKUP(A739,'Sales Order'!A:D,4,FALSE),"")</f>
        <v>39207</v>
      </c>
      <c r="M739" s="24">
        <f>IFERROR(VLOOKUP(A739,'Sales Order'!A:F,6,FALSE),"")</f>
        <v>39217</v>
      </c>
      <c r="N739" t="str">
        <f>IFERROR(VLOOKUP(VLOOKUP(A739,'Sales Order'!A:G,7,FALSE),Shipper!A:B,2,FALSE),"Not Specified")</f>
        <v>Shipper ETYNR</v>
      </c>
      <c r="O739" t="str">
        <f>IFERROR(VLOOKUP(A739,'Sales Order'!A:I,9,FALSE),"Not Specified")</f>
        <v>Ship to 87-C</v>
      </c>
      <c r="P739" t="str">
        <f>IFERROR(VLOOKUP(A739,'Sales Order'!A:N,14,FALSE),"Not Specified")</f>
        <v>Finland</v>
      </c>
      <c r="Q739" t="str">
        <f>VLOOKUP(VLOOKUP(B739,Product!A:C,3,FALSE),Supplier!A:B,2,FALSE)</f>
        <v>Supplier SWRXU</v>
      </c>
      <c r="R739" t="str">
        <f>VLOOKUP(VLOOKUP(B739,Product!A:C,3,FALSE),Supplier!A:I,9,FALSE)</f>
        <v>UK</v>
      </c>
      <c r="S739" t="str">
        <f>IFERROR(IF(VLOOKUP(A739,'Sales Order'!A:H,8,FALSE)&gt;100,"High Freight","Low Freight"),"Not Specified")</f>
        <v>Low Freight</v>
      </c>
      <c r="T739">
        <f t="shared" si="23"/>
        <v>122.39999999999999</v>
      </c>
    </row>
    <row r="740" spans="1:20">
      <c r="A740" s="9">
        <v>10526</v>
      </c>
      <c r="B740" s="6">
        <v>13</v>
      </c>
      <c r="C740" s="6">
        <v>6</v>
      </c>
      <c r="D740" s="6">
        <v>10</v>
      </c>
      <c r="E740" s="18">
        <v>0</v>
      </c>
      <c r="F740" s="6" t="str">
        <f>IFERROR(VLOOKUP(VLOOKUP(A740,'Sales Order'!A:B,2,FALSE),Customer!A:C,3,FALSE),"Not Specified")</f>
        <v>Ludwig, Michael</v>
      </c>
      <c r="G740" s="6" t="str">
        <f t="shared" si="22"/>
        <v>Ludwig Michael</v>
      </c>
      <c r="H740" s="22" t="str">
        <f>IFERROR(VLOOKUP(VLOOKUP(A740,'Sales Order'!A:C,3,FALSE),Employee!A:E,5,FALSE)&amp;" "&amp;VLOOKUP(VLOOKUP(A740,'Sales Order'!A:C,3,FALSE),Employee!A:C,3,FALSE)&amp;" "&amp;VLOOKUP(VLOOKUP(A740,'Sales Order'!A:C,3,FALSE),Employee!A:B,2,FALSE),"Not Specified")</f>
        <v>Mrs. Yael Peled</v>
      </c>
      <c r="I740" t="str">
        <f>IFERROR(VLOOKUP(VLOOKUP(A740,'Sales Order'!A:C,3,FALSE),Employee!A:J,10,FALSE),"Not Specified")</f>
        <v>WA</v>
      </c>
      <c r="J740" t="str">
        <f>VLOOKUP(B740,Product!A:B,2,FALSE)</f>
        <v>Product POXFU</v>
      </c>
      <c r="K740" t="str">
        <f>VLOOKUP(VLOOKUP(B740,Product!A:D,4,FALSE),Category!A:B,2,FALSE)</f>
        <v>Seafood</v>
      </c>
      <c r="L740" s="24">
        <f>IFERROR(VLOOKUP(A740,'Sales Order'!A:D,4,FALSE),"")</f>
        <v>39207</v>
      </c>
      <c r="M740" s="24">
        <f>IFERROR(VLOOKUP(A740,'Sales Order'!A:F,6,FALSE),"")</f>
        <v>39217</v>
      </c>
      <c r="N740" t="str">
        <f>IFERROR(VLOOKUP(VLOOKUP(A740,'Sales Order'!A:G,7,FALSE),Shipper!A:B,2,FALSE),"Not Specified")</f>
        <v>Shipper ETYNR</v>
      </c>
      <c r="O740" t="str">
        <f>IFERROR(VLOOKUP(A740,'Sales Order'!A:I,9,FALSE),"Not Specified")</f>
        <v>Ship to 87-C</v>
      </c>
      <c r="P740" t="str">
        <f>IFERROR(VLOOKUP(A740,'Sales Order'!A:N,14,FALSE),"Not Specified")</f>
        <v>Finland</v>
      </c>
      <c r="Q740" t="str">
        <f>VLOOKUP(VLOOKUP(B740,Product!A:C,3,FALSE),Supplier!A:B,2,FALSE)</f>
        <v>Supplier QWUSF</v>
      </c>
      <c r="R740" t="str">
        <f>VLOOKUP(VLOOKUP(B740,Product!A:C,3,FALSE),Supplier!A:I,9,FALSE)</f>
        <v>Japan</v>
      </c>
      <c r="S740" t="str">
        <f>IFERROR(IF(VLOOKUP(A740,'Sales Order'!A:H,8,FALSE)&gt;100,"High Freight","Low Freight"),"Not Specified")</f>
        <v>Low Freight</v>
      </c>
      <c r="T740">
        <f t="shared" si="23"/>
        <v>60</v>
      </c>
    </row>
    <row r="741" spans="1:20">
      <c r="A741" s="9">
        <v>10526</v>
      </c>
      <c r="B741" s="6">
        <v>56</v>
      </c>
      <c r="C741" s="6">
        <v>38</v>
      </c>
      <c r="D741" s="6">
        <v>30</v>
      </c>
      <c r="E741" s="18">
        <v>0.15</v>
      </c>
      <c r="F741" s="6" t="str">
        <f>IFERROR(VLOOKUP(VLOOKUP(A741,'Sales Order'!A:B,2,FALSE),Customer!A:C,3,FALSE),"Not Specified")</f>
        <v>Ludwig, Michael</v>
      </c>
      <c r="G741" s="6" t="str">
        <f t="shared" si="22"/>
        <v>Ludwig Michael</v>
      </c>
      <c r="H741" s="22" t="str">
        <f>IFERROR(VLOOKUP(VLOOKUP(A741,'Sales Order'!A:C,3,FALSE),Employee!A:E,5,FALSE)&amp;" "&amp;VLOOKUP(VLOOKUP(A741,'Sales Order'!A:C,3,FALSE),Employee!A:C,3,FALSE)&amp;" "&amp;VLOOKUP(VLOOKUP(A741,'Sales Order'!A:C,3,FALSE),Employee!A:B,2,FALSE),"Not Specified")</f>
        <v>Mrs. Yael Peled</v>
      </c>
      <c r="I741" t="str">
        <f>IFERROR(VLOOKUP(VLOOKUP(A741,'Sales Order'!A:C,3,FALSE),Employee!A:J,10,FALSE),"Not Specified")</f>
        <v>WA</v>
      </c>
      <c r="J741" t="str">
        <f>VLOOKUP(B741,Product!A:B,2,FALSE)</f>
        <v>Product VKCMF</v>
      </c>
      <c r="K741" t="str">
        <f>VLOOKUP(VLOOKUP(B741,Product!A:D,4,FALSE),Category!A:B,2,FALSE)</f>
        <v>Grains/Cereals</v>
      </c>
      <c r="L741" s="24">
        <f>IFERROR(VLOOKUP(A741,'Sales Order'!A:D,4,FALSE),"")</f>
        <v>39207</v>
      </c>
      <c r="M741" s="24">
        <f>IFERROR(VLOOKUP(A741,'Sales Order'!A:F,6,FALSE),"")</f>
        <v>39217</v>
      </c>
      <c r="N741" t="str">
        <f>IFERROR(VLOOKUP(VLOOKUP(A741,'Sales Order'!A:G,7,FALSE),Shipper!A:B,2,FALSE),"Not Specified")</f>
        <v>Shipper ETYNR</v>
      </c>
      <c r="O741" t="str">
        <f>IFERROR(VLOOKUP(A741,'Sales Order'!A:I,9,FALSE),"Not Specified")</f>
        <v>Ship to 87-C</v>
      </c>
      <c r="P741" t="str">
        <f>IFERROR(VLOOKUP(A741,'Sales Order'!A:N,14,FALSE),"Not Specified")</f>
        <v>Finland</v>
      </c>
      <c r="Q741" t="str">
        <f>VLOOKUP(VLOOKUP(B741,Product!A:C,3,FALSE),Supplier!A:B,2,FALSE)</f>
        <v>Supplier ZWZDM</v>
      </c>
      <c r="R741" t="str">
        <f>VLOOKUP(VLOOKUP(B741,Product!A:C,3,FALSE),Supplier!A:I,9,FALSE)</f>
        <v>Italy</v>
      </c>
      <c r="S741" t="str">
        <f>IFERROR(IF(VLOOKUP(A741,'Sales Order'!A:H,8,FALSE)&gt;100,"High Freight","Low Freight"),"Not Specified")</f>
        <v>Low Freight</v>
      </c>
      <c r="T741">
        <f t="shared" si="23"/>
        <v>969</v>
      </c>
    </row>
    <row r="742" spans="1:20">
      <c r="A742" s="9">
        <v>10527</v>
      </c>
      <c r="B742" s="6">
        <v>4</v>
      </c>
      <c r="C742" s="6">
        <v>22</v>
      </c>
      <c r="D742" s="6">
        <v>50</v>
      </c>
      <c r="E742" s="18">
        <v>0.1</v>
      </c>
      <c r="F742" s="6" t="str">
        <f>IFERROR(VLOOKUP(VLOOKUP(A742,'Sales Order'!A:B,2,FALSE),Customer!A:C,3,FALSE),"Not Specified")</f>
        <v>Veronesi, Giorgio</v>
      </c>
      <c r="G742" s="6" t="str">
        <f t="shared" si="22"/>
        <v>Veronesi Giorgio</v>
      </c>
      <c r="H742" s="22" t="str">
        <f>IFERROR(VLOOKUP(VLOOKUP(A742,'Sales Order'!A:C,3,FALSE),Employee!A:E,5,FALSE)&amp;" "&amp;VLOOKUP(VLOOKUP(A742,'Sales Order'!A:C,3,FALSE),Employee!A:C,3,FALSE)&amp;" "&amp;VLOOKUP(VLOOKUP(A742,'Sales Order'!A:C,3,FALSE),Employee!A:B,2,FALSE),"Not Specified")</f>
        <v>Mr. Russell King</v>
      </c>
      <c r="I742">
        <f>IFERROR(VLOOKUP(VLOOKUP(A742,'Sales Order'!A:C,3,FALSE),Employee!A:J,10,FALSE),"Not Specified")</f>
        <v>0</v>
      </c>
      <c r="J742" t="str">
        <f>VLOOKUP(B742,Product!A:B,2,FALSE)</f>
        <v>Product KSBRM</v>
      </c>
      <c r="K742" t="str">
        <f>VLOOKUP(VLOOKUP(B742,Product!A:D,4,FALSE),Category!A:B,2,FALSE)</f>
        <v>Condiments</v>
      </c>
      <c r="L742" s="24">
        <f>IFERROR(VLOOKUP(A742,'Sales Order'!A:D,4,FALSE),"")</f>
        <v>39207</v>
      </c>
      <c r="M742" s="24">
        <f>IFERROR(VLOOKUP(A742,'Sales Order'!A:F,6,FALSE),"")</f>
        <v>39209</v>
      </c>
      <c r="N742" t="str">
        <f>IFERROR(VLOOKUP(VLOOKUP(A742,'Sales Order'!A:G,7,FALSE),Shipper!A:B,2,FALSE),"Not Specified")</f>
        <v>Shipper GVSUA</v>
      </c>
      <c r="O742" t="str">
        <f>IFERROR(VLOOKUP(A742,'Sales Order'!A:I,9,FALSE),"Not Specified")</f>
        <v>Ship to 63-B</v>
      </c>
      <c r="P742" t="str">
        <f>IFERROR(VLOOKUP(A742,'Sales Order'!A:N,14,FALSE),"Not Specified")</f>
        <v>Germany</v>
      </c>
      <c r="Q742" t="str">
        <f>VLOOKUP(VLOOKUP(B742,Product!A:C,3,FALSE),Supplier!A:B,2,FALSE)</f>
        <v>Supplier VHQZD</v>
      </c>
      <c r="R742" t="str">
        <f>VLOOKUP(VLOOKUP(B742,Product!A:C,3,FALSE),Supplier!A:I,9,FALSE)</f>
        <v>USA</v>
      </c>
      <c r="S742" t="str">
        <f>IFERROR(IF(VLOOKUP(A742,'Sales Order'!A:H,8,FALSE)&gt;100,"High Freight","Low Freight"),"Not Specified")</f>
        <v>Low Freight</v>
      </c>
      <c r="T742">
        <f t="shared" si="23"/>
        <v>990</v>
      </c>
    </row>
    <row r="743" spans="1:20">
      <c r="A743" s="9">
        <v>10527</v>
      </c>
      <c r="B743" s="6">
        <v>36</v>
      </c>
      <c r="C743" s="6">
        <v>19</v>
      </c>
      <c r="D743" s="6">
        <v>30</v>
      </c>
      <c r="E743" s="18">
        <v>0.1</v>
      </c>
      <c r="F743" s="6" t="str">
        <f>IFERROR(VLOOKUP(VLOOKUP(A743,'Sales Order'!A:B,2,FALSE),Customer!A:C,3,FALSE),"Not Specified")</f>
        <v>Veronesi, Giorgio</v>
      </c>
      <c r="G743" s="6" t="str">
        <f t="shared" si="22"/>
        <v>Veronesi Giorgio</v>
      </c>
      <c r="H743" s="22" t="str">
        <f>IFERROR(VLOOKUP(VLOOKUP(A743,'Sales Order'!A:C,3,FALSE),Employee!A:E,5,FALSE)&amp;" "&amp;VLOOKUP(VLOOKUP(A743,'Sales Order'!A:C,3,FALSE),Employee!A:C,3,FALSE)&amp;" "&amp;VLOOKUP(VLOOKUP(A743,'Sales Order'!A:C,3,FALSE),Employee!A:B,2,FALSE),"Not Specified")</f>
        <v>Mr. Russell King</v>
      </c>
      <c r="I743">
        <f>IFERROR(VLOOKUP(VLOOKUP(A743,'Sales Order'!A:C,3,FALSE),Employee!A:J,10,FALSE),"Not Specified")</f>
        <v>0</v>
      </c>
      <c r="J743" t="str">
        <f>VLOOKUP(B743,Product!A:B,2,FALSE)</f>
        <v>Product GMKIJ</v>
      </c>
      <c r="K743" t="str">
        <f>VLOOKUP(VLOOKUP(B743,Product!A:D,4,FALSE),Category!A:B,2,FALSE)</f>
        <v>Seafood</v>
      </c>
      <c r="L743" s="24">
        <f>IFERROR(VLOOKUP(A743,'Sales Order'!A:D,4,FALSE),"")</f>
        <v>39207</v>
      </c>
      <c r="M743" s="24">
        <f>IFERROR(VLOOKUP(A743,'Sales Order'!A:F,6,FALSE),"")</f>
        <v>39209</v>
      </c>
      <c r="N743" t="str">
        <f>IFERROR(VLOOKUP(VLOOKUP(A743,'Sales Order'!A:G,7,FALSE),Shipper!A:B,2,FALSE),"Not Specified")</f>
        <v>Shipper GVSUA</v>
      </c>
      <c r="O743" t="str">
        <f>IFERROR(VLOOKUP(A743,'Sales Order'!A:I,9,FALSE),"Not Specified")</f>
        <v>Ship to 63-B</v>
      </c>
      <c r="P743" t="str">
        <f>IFERROR(VLOOKUP(A743,'Sales Order'!A:N,14,FALSE),"Not Specified")</f>
        <v>Germany</v>
      </c>
      <c r="Q743" t="str">
        <f>VLOOKUP(VLOOKUP(B743,Product!A:C,3,FALSE),Supplier!A:B,2,FALSE)</f>
        <v>Supplier QZGUF</v>
      </c>
      <c r="R743" t="str">
        <f>VLOOKUP(VLOOKUP(B743,Product!A:C,3,FALSE),Supplier!A:I,9,FALSE)</f>
        <v>Sweden</v>
      </c>
      <c r="S743" t="str">
        <f>IFERROR(IF(VLOOKUP(A743,'Sales Order'!A:H,8,FALSE)&gt;100,"High Freight","Low Freight"),"Not Specified")</f>
        <v>Low Freight</v>
      </c>
      <c r="T743">
        <f t="shared" si="23"/>
        <v>513</v>
      </c>
    </row>
    <row r="744" spans="1:20">
      <c r="A744" s="9">
        <v>10528</v>
      </c>
      <c r="B744" s="6">
        <v>11</v>
      </c>
      <c r="C744" s="6">
        <v>21</v>
      </c>
      <c r="D744" s="6">
        <v>3</v>
      </c>
      <c r="E744" s="18">
        <v>0</v>
      </c>
      <c r="F744" s="6" t="str">
        <f>IFERROR(VLOOKUP(VLOOKUP(A744,'Sales Order'!A:B,2,FALSE),Customer!A:C,3,FALSE),"Not Specified")</f>
        <v>Krishnan, Venky</v>
      </c>
      <c r="G744" s="6" t="str">
        <f t="shared" si="22"/>
        <v>Krishnan Venky</v>
      </c>
      <c r="H744" s="22" t="str">
        <f>IFERROR(VLOOKUP(VLOOKUP(A744,'Sales Order'!A:C,3,FALSE),Employee!A:E,5,FALSE)&amp;" "&amp;VLOOKUP(VLOOKUP(A744,'Sales Order'!A:C,3,FALSE),Employee!A:C,3,FALSE)&amp;" "&amp;VLOOKUP(VLOOKUP(A744,'Sales Order'!A:C,3,FALSE),Employee!A:B,2,FALSE),"Not Specified")</f>
        <v>Mr. Paul Suurs</v>
      </c>
      <c r="I744">
        <f>IFERROR(VLOOKUP(VLOOKUP(A744,'Sales Order'!A:C,3,FALSE),Employee!A:J,10,FALSE),"Not Specified")</f>
        <v>0</v>
      </c>
      <c r="J744" t="str">
        <f>VLOOKUP(B744,Product!A:B,2,FALSE)</f>
        <v>Product QMVUN</v>
      </c>
      <c r="K744" t="str">
        <f>VLOOKUP(VLOOKUP(B744,Product!A:D,4,FALSE),Category!A:B,2,FALSE)</f>
        <v>Dairy Product</v>
      </c>
      <c r="L744" s="24">
        <f>IFERROR(VLOOKUP(A744,'Sales Order'!A:D,4,FALSE),"")</f>
        <v>39208</v>
      </c>
      <c r="M744" s="24">
        <f>IFERROR(VLOOKUP(A744,'Sales Order'!A:F,6,FALSE),"")</f>
        <v>39211</v>
      </c>
      <c r="N744" t="str">
        <f>IFERROR(VLOOKUP(VLOOKUP(A744,'Sales Order'!A:G,7,FALSE),Shipper!A:B,2,FALSE),"Not Specified")</f>
        <v>Shipper ETYNR</v>
      </c>
      <c r="O744" t="str">
        <f>IFERROR(VLOOKUP(A744,'Sales Order'!A:I,9,FALSE),"Not Specified")</f>
        <v>Destination LLUXZ</v>
      </c>
      <c r="P744" t="str">
        <f>IFERROR(VLOOKUP(A744,'Sales Order'!A:N,14,FALSE),"Not Specified")</f>
        <v>USA</v>
      </c>
      <c r="Q744" t="str">
        <f>VLOOKUP(VLOOKUP(B744,Product!A:C,3,FALSE),Supplier!A:B,2,FALSE)</f>
        <v>Supplier EQPNC</v>
      </c>
      <c r="R744" t="str">
        <f>VLOOKUP(VLOOKUP(B744,Product!A:C,3,FALSE),Supplier!A:I,9,FALSE)</f>
        <v>Spain</v>
      </c>
      <c r="S744" t="str">
        <f>IFERROR(IF(VLOOKUP(A744,'Sales Order'!A:H,8,FALSE)&gt;100,"High Freight","Low Freight"),"Not Specified")</f>
        <v>Low Freight</v>
      </c>
      <c r="T744">
        <f t="shared" si="23"/>
        <v>63</v>
      </c>
    </row>
    <row r="745" spans="1:20">
      <c r="A745" s="9">
        <v>10528</v>
      </c>
      <c r="B745" s="6">
        <v>33</v>
      </c>
      <c r="C745" s="6">
        <v>2.5</v>
      </c>
      <c r="D745" s="6">
        <v>8</v>
      </c>
      <c r="E745" s="18">
        <v>0.2</v>
      </c>
      <c r="F745" s="6" t="str">
        <f>IFERROR(VLOOKUP(VLOOKUP(A745,'Sales Order'!A:B,2,FALSE),Customer!A:C,3,FALSE),"Not Specified")</f>
        <v>Krishnan, Venky</v>
      </c>
      <c r="G745" s="6" t="str">
        <f t="shared" si="22"/>
        <v>Krishnan Venky</v>
      </c>
      <c r="H745" s="22" t="str">
        <f>IFERROR(VLOOKUP(VLOOKUP(A745,'Sales Order'!A:C,3,FALSE),Employee!A:E,5,FALSE)&amp;" "&amp;VLOOKUP(VLOOKUP(A745,'Sales Order'!A:C,3,FALSE),Employee!A:C,3,FALSE)&amp;" "&amp;VLOOKUP(VLOOKUP(A745,'Sales Order'!A:C,3,FALSE),Employee!A:B,2,FALSE),"Not Specified")</f>
        <v>Mr. Paul Suurs</v>
      </c>
      <c r="I745">
        <f>IFERROR(VLOOKUP(VLOOKUP(A745,'Sales Order'!A:C,3,FALSE),Employee!A:J,10,FALSE),"Not Specified")</f>
        <v>0</v>
      </c>
      <c r="J745" t="str">
        <f>VLOOKUP(B745,Product!A:B,2,FALSE)</f>
        <v>Product ASTMN</v>
      </c>
      <c r="K745" t="str">
        <f>VLOOKUP(VLOOKUP(B745,Product!A:D,4,FALSE),Category!A:B,2,FALSE)</f>
        <v>Dairy Product</v>
      </c>
      <c r="L745" s="24">
        <f>IFERROR(VLOOKUP(A745,'Sales Order'!A:D,4,FALSE),"")</f>
        <v>39208</v>
      </c>
      <c r="M745" s="24">
        <f>IFERROR(VLOOKUP(A745,'Sales Order'!A:F,6,FALSE),"")</f>
        <v>39211</v>
      </c>
      <c r="N745" t="str">
        <f>IFERROR(VLOOKUP(VLOOKUP(A745,'Sales Order'!A:G,7,FALSE),Shipper!A:B,2,FALSE),"Not Specified")</f>
        <v>Shipper ETYNR</v>
      </c>
      <c r="O745" t="str">
        <f>IFERROR(VLOOKUP(A745,'Sales Order'!A:I,9,FALSE),"Not Specified")</f>
        <v>Destination LLUXZ</v>
      </c>
      <c r="P745" t="str">
        <f>IFERROR(VLOOKUP(A745,'Sales Order'!A:N,14,FALSE),"Not Specified")</f>
        <v>USA</v>
      </c>
      <c r="Q745" t="str">
        <f>VLOOKUP(VLOOKUP(B745,Product!A:C,3,FALSE),Supplier!A:B,2,FALSE)</f>
        <v>Supplier NZLIF</v>
      </c>
      <c r="R745" t="str">
        <f>VLOOKUP(VLOOKUP(B745,Product!A:C,3,FALSE),Supplier!A:I,9,FALSE)</f>
        <v>Norway</v>
      </c>
      <c r="S745" t="str">
        <f>IFERROR(IF(VLOOKUP(A745,'Sales Order'!A:H,8,FALSE)&gt;100,"High Freight","Low Freight"),"Not Specified")</f>
        <v>Low Freight</v>
      </c>
      <c r="T745">
        <f t="shared" si="23"/>
        <v>16</v>
      </c>
    </row>
    <row r="746" spans="1:20">
      <c r="A746" s="9">
        <v>10528</v>
      </c>
      <c r="B746" s="6">
        <v>72</v>
      </c>
      <c r="C746" s="6">
        <v>34.799999999999997</v>
      </c>
      <c r="D746" s="6">
        <v>9</v>
      </c>
      <c r="E746" s="18">
        <v>0</v>
      </c>
      <c r="F746" s="6" t="str">
        <f>IFERROR(VLOOKUP(VLOOKUP(A746,'Sales Order'!A:B,2,FALSE),Customer!A:C,3,FALSE),"Not Specified")</f>
        <v>Krishnan, Venky</v>
      </c>
      <c r="G746" s="6" t="str">
        <f t="shared" si="22"/>
        <v>Krishnan Venky</v>
      </c>
      <c r="H746" s="22" t="str">
        <f>IFERROR(VLOOKUP(VLOOKUP(A746,'Sales Order'!A:C,3,FALSE),Employee!A:E,5,FALSE)&amp;" "&amp;VLOOKUP(VLOOKUP(A746,'Sales Order'!A:C,3,FALSE),Employee!A:C,3,FALSE)&amp;" "&amp;VLOOKUP(VLOOKUP(A746,'Sales Order'!A:C,3,FALSE),Employee!A:B,2,FALSE),"Not Specified")</f>
        <v>Mr. Paul Suurs</v>
      </c>
      <c r="I746">
        <f>IFERROR(VLOOKUP(VLOOKUP(A746,'Sales Order'!A:C,3,FALSE),Employee!A:J,10,FALSE),"Not Specified")</f>
        <v>0</v>
      </c>
      <c r="J746" t="str">
        <f>VLOOKUP(B746,Product!A:B,2,FALSE)</f>
        <v>Product GEEOO</v>
      </c>
      <c r="K746" t="str">
        <f>VLOOKUP(VLOOKUP(B746,Product!A:D,4,FALSE),Category!A:B,2,FALSE)</f>
        <v>Dairy Product</v>
      </c>
      <c r="L746" s="24">
        <f>IFERROR(VLOOKUP(A746,'Sales Order'!A:D,4,FALSE),"")</f>
        <v>39208</v>
      </c>
      <c r="M746" s="24">
        <f>IFERROR(VLOOKUP(A746,'Sales Order'!A:F,6,FALSE),"")</f>
        <v>39211</v>
      </c>
      <c r="N746" t="str">
        <f>IFERROR(VLOOKUP(VLOOKUP(A746,'Sales Order'!A:G,7,FALSE),Shipper!A:B,2,FALSE),"Not Specified")</f>
        <v>Shipper ETYNR</v>
      </c>
      <c r="O746" t="str">
        <f>IFERROR(VLOOKUP(A746,'Sales Order'!A:I,9,FALSE),"Not Specified")</f>
        <v>Destination LLUXZ</v>
      </c>
      <c r="P746" t="str">
        <f>IFERROR(VLOOKUP(A746,'Sales Order'!A:N,14,FALSE),"Not Specified")</f>
        <v>USA</v>
      </c>
      <c r="Q746" t="str">
        <f>VLOOKUP(VLOOKUP(B746,Product!A:C,3,FALSE),Supplier!A:B,2,FALSE)</f>
        <v>Supplier KEREV</v>
      </c>
      <c r="R746" t="str">
        <f>VLOOKUP(VLOOKUP(B746,Product!A:C,3,FALSE),Supplier!A:I,9,FALSE)</f>
        <v>Italy</v>
      </c>
      <c r="S746" t="str">
        <f>IFERROR(IF(VLOOKUP(A746,'Sales Order'!A:H,8,FALSE)&gt;100,"High Freight","Low Freight"),"Not Specified")</f>
        <v>Low Freight</v>
      </c>
      <c r="T746">
        <f t="shared" si="23"/>
        <v>313.2</v>
      </c>
    </row>
    <row r="747" spans="1:20">
      <c r="A747" s="9">
        <v>10529</v>
      </c>
      <c r="B747" s="6">
        <v>55</v>
      </c>
      <c r="C747" s="6">
        <v>24</v>
      </c>
      <c r="D747" s="6">
        <v>14</v>
      </c>
      <c r="E747" s="18">
        <v>0</v>
      </c>
      <c r="F747" s="6" t="str">
        <f>IFERROR(VLOOKUP(VLOOKUP(A747,'Sales Order'!A:B,2,FALSE),Customer!A:C,3,FALSE),"Not Specified")</f>
        <v>Mace, Donald</v>
      </c>
      <c r="G747" s="6" t="str">
        <f t="shared" si="22"/>
        <v>Mace Donald</v>
      </c>
      <c r="H747" s="22" t="str">
        <f>IFERROR(VLOOKUP(VLOOKUP(A747,'Sales Order'!A:C,3,FALSE),Employee!A:E,5,FALSE)&amp;" "&amp;VLOOKUP(VLOOKUP(A747,'Sales Order'!A:C,3,FALSE),Employee!A:C,3,FALSE)&amp;" "&amp;VLOOKUP(VLOOKUP(A747,'Sales Order'!A:C,3,FALSE),Employee!A:B,2,FALSE),"Not Specified")</f>
        <v>Mr. Sven Buck</v>
      </c>
      <c r="I747">
        <f>IFERROR(VLOOKUP(VLOOKUP(A747,'Sales Order'!A:C,3,FALSE),Employee!A:J,10,FALSE),"Not Specified")</f>
        <v>0</v>
      </c>
      <c r="J747" t="str">
        <f>VLOOKUP(B747,Product!A:B,2,FALSE)</f>
        <v>Product YYWRT</v>
      </c>
      <c r="K747" t="str">
        <f>VLOOKUP(VLOOKUP(B747,Product!A:D,4,FALSE),Category!A:B,2,FALSE)</f>
        <v>Meat/Poultry</v>
      </c>
      <c r="L747" s="24">
        <f>IFERROR(VLOOKUP(A747,'Sales Order'!A:D,4,FALSE),"")</f>
        <v>39209</v>
      </c>
      <c r="M747" s="24">
        <f>IFERROR(VLOOKUP(A747,'Sales Order'!A:F,6,FALSE),"")</f>
        <v>39211</v>
      </c>
      <c r="N747" t="str">
        <f>IFERROR(VLOOKUP(VLOOKUP(A747,'Sales Order'!A:G,7,FALSE),Shipper!A:B,2,FALSE),"Not Specified")</f>
        <v>Shipper ETYNR</v>
      </c>
      <c r="O747" t="str">
        <f>IFERROR(VLOOKUP(A747,'Sales Order'!A:I,9,FALSE),"Not Specified")</f>
        <v>Ship to 50-B</v>
      </c>
      <c r="P747" t="str">
        <f>IFERROR(VLOOKUP(A747,'Sales Order'!A:N,14,FALSE),"Not Specified")</f>
        <v>Belgium</v>
      </c>
      <c r="Q747" t="str">
        <f>VLOOKUP(VLOOKUP(B747,Product!A:C,3,FALSE),Supplier!A:B,2,FALSE)</f>
        <v>Supplier ERVYZ</v>
      </c>
      <c r="R747" t="str">
        <f>VLOOKUP(VLOOKUP(B747,Product!A:C,3,FALSE),Supplier!A:I,9,FALSE)</f>
        <v>Canada</v>
      </c>
      <c r="S747" t="str">
        <f>IFERROR(IF(VLOOKUP(A747,'Sales Order'!A:H,8,FALSE)&gt;100,"High Freight","Low Freight"),"Not Specified")</f>
        <v>Low Freight</v>
      </c>
      <c r="T747">
        <f t="shared" si="23"/>
        <v>336</v>
      </c>
    </row>
    <row r="748" spans="1:20">
      <c r="A748" s="9">
        <v>10529</v>
      </c>
      <c r="B748" s="6">
        <v>68</v>
      </c>
      <c r="C748" s="6">
        <v>12.5</v>
      </c>
      <c r="D748" s="6">
        <v>20</v>
      </c>
      <c r="E748" s="18">
        <v>0</v>
      </c>
      <c r="F748" s="6" t="str">
        <f>IFERROR(VLOOKUP(VLOOKUP(A748,'Sales Order'!A:B,2,FALSE),Customer!A:C,3,FALSE),"Not Specified")</f>
        <v>Mace, Donald</v>
      </c>
      <c r="G748" s="6" t="str">
        <f t="shared" si="22"/>
        <v>Mace Donald</v>
      </c>
      <c r="H748" s="22" t="str">
        <f>IFERROR(VLOOKUP(VLOOKUP(A748,'Sales Order'!A:C,3,FALSE),Employee!A:E,5,FALSE)&amp;" "&amp;VLOOKUP(VLOOKUP(A748,'Sales Order'!A:C,3,FALSE),Employee!A:C,3,FALSE)&amp;" "&amp;VLOOKUP(VLOOKUP(A748,'Sales Order'!A:C,3,FALSE),Employee!A:B,2,FALSE),"Not Specified")</f>
        <v>Mr. Sven Buck</v>
      </c>
      <c r="I748">
        <f>IFERROR(VLOOKUP(VLOOKUP(A748,'Sales Order'!A:C,3,FALSE),Employee!A:J,10,FALSE),"Not Specified")</f>
        <v>0</v>
      </c>
      <c r="J748" t="str">
        <f>VLOOKUP(B748,Product!A:B,2,FALSE)</f>
        <v>Product TBTBL</v>
      </c>
      <c r="K748" t="str">
        <f>VLOOKUP(VLOOKUP(B748,Product!A:D,4,FALSE),Category!A:B,2,FALSE)</f>
        <v>Confections</v>
      </c>
      <c r="L748" s="24">
        <f>IFERROR(VLOOKUP(A748,'Sales Order'!A:D,4,FALSE),"")</f>
        <v>39209</v>
      </c>
      <c r="M748" s="24">
        <f>IFERROR(VLOOKUP(A748,'Sales Order'!A:F,6,FALSE),"")</f>
        <v>39211</v>
      </c>
      <c r="N748" t="str">
        <f>IFERROR(VLOOKUP(VLOOKUP(A748,'Sales Order'!A:G,7,FALSE),Shipper!A:B,2,FALSE),"Not Specified")</f>
        <v>Shipper ETYNR</v>
      </c>
      <c r="O748" t="str">
        <f>IFERROR(VLOOKUP(A748,'Sales Order'!A:I,9,FALSE),"Not Specified")</f>
        <v>Ship to 50-B</v>
      </c>
      <c r="P748" t="str">
        <f>IFERROR(VLOOKUP(A748,'Sales Order'!A:N,14,FALSE),"Not Specified")</f>
        <v>Belgium</v>
      </c>
      <c r="Q748" t="str">
        <f>VLOOKUP(VLOOKUP(B748,Product!A:C,3,FALSE),Supplier!A:B,2,FALSE)</f>
        <v>Supplier BWGYE</v>
      </c>
      <c r="R748" t="str">
        <f>VLOOKUP(VLOOKUP(B748,Product!A:C,3,FALSE),Supplier!A:I,9,FALSE)</f>
        <v>UK</v>
      </c>
      <c r="S748" t="str">
        <f>IFERROR(IF(VLOOKUP(A748,'Sales Order'!A:H,8,FALSE)&gt;100,"High Freight","Low Freight"),"Not Specified")</f>
        <v>Low Freight</v>
      </c>
      <c r="T748">
        <f t="shared" si="23"/>
        <v>250</v>
      </c>
    </row>
    <row r="749" spans="1:20">
      <c r="A749" s="9">
        <v>10529</v>
      </c>
      <c r="B749" s="6">
        <v>69</v>
      </c>
      <c r="C749" s="6">
        <v>36</v>
      </c>
      <c r="D749" s="6">
        <v>10</v>
      </c>
      <c r="E749" s="18">
        <v>0</v>
      </c>
      <c r="F749" s="6" t="str">
        <f>IFERROR(VLOOKUP(VLOOKUP(A749,'Sales Order'!A:B,2,FALSE),Customer!A:C,3,FALSE),"Not Specified")</f>
        <v>Mace, Donald</v>
      </c>
      <c r="G749" s="6" t="str">
        <f t="shared" si="22"/>
        <v>Mace Donald</v>
      </c>
      <c r="H749" s="22" t="str">
        <f>IFERROR(VLOOKUP(VLOOKUP(A749,'Sales Order'!A:C,3,FALSE),Employee!A:E,5,FALSE)&amp;" "&amp;VLOOKUP(VLOOKUP(A749,'Sales Order'!A:C,3,FALSE),Employee!A:C,3,FALSE)&amp;" "&amp;VLOOKUP(VLOOKUP(A749,'Sales Order'!A:C,3,FALSE),Employee!A:B,2,FALSE),"Not Specified")</f>
        <v>Mr. Sven Buck</v>
      </c>
      <c r="I749">
        <f>IFERROR(VLOOKUP(VLOOKUP(A749,'Sales Order'!A:C,3,FALSE),Employee!A:J,10,FALSE),"Not Specified")</f>
        <v>0</v>
      </c>
      <c r="J749" t="str">
        <f>VLOOKUP(B749,Product!A:B,2,FALSE)</f>
        <v>Product COAXA</v>
      </c>
      <c r="K749" t="str">
        <f>VLOOKUP(VLOOKUP(B749,Product!A:D,4,FALSE),Category!A:B,2,FALSE)</f>
        <v>Dairy Product</v>
      </c>
      <c r="L749" s="24">
        <f>IFERROR(VLOOKUP(A749,'Sales Order'!A:D,4,FALSE),"")</f>
        <v>39209</v>
      </c>
      <c r="M749" s="24">
        <f>IFERROR(VLOOKUP(A749,'Sales Order'!A:F,6,FALSE),"")</f>
        <v>39211</v>
      </c>
      <c r="N749" t="str">
        <f>IFERROR(VLOOKUP(VLOOKUP(A749,'Sales Order'!A:G,7,FALSE),Shipper!A:B,2,FALSE),"Not Specified")</f>
        <v>Shipper ETYNR</v>
      </c>
      <c r="O749" t="str">
        <f>IFERROR(VLOOKUP(A749,'Sales Order'!A:I,9,FALSE),"Not Specified")</f>
        <v>Ship to 50-B</v>
      </c>
      <c r="P749" t="str">
        <f>IFERROR(VLOOKUP(A749,'Sales Order'!A:N,14,FALSE),"Not Specified")</f>
        <v>Belgium</v>
      </c>
      <c r="Q749" t="str">
        <f>VLOOKUP(VLOOKUP(B749,Product!A:C,3,FALSE),Supplier!A:B,2,FALSE)</f>
        <v>Supplier NZLIF</v>
      </c>
      <c r="R749" t="str">
        <f>VLOOKUP(VLOOKUP(B749,Product!A:C,3,FALSE),Supplier!A:I,9,FALSE)</f>
        <v>Norway</v>
      </c>
      <c r="S749" t="str">
        <f>IFERROR(IF(VLOOKUP(A749,'Sales Order'!A:H,8,FALSE)&gt;100,"High Freight","Low Freight"),"Not Specified")</f>
        <v>Low Freight</v>
      </c>
      <c r="T749">
        <f t="shared" si="23"/>
        <v>360</v>
      </c>
    </row>
    <row r="750" spans="1:20">
      <c r="A750" s="9">
        <v>10530</v>
      </c>
      <c r="B750" s="6">
        <v>17</v>
      </c>
      <c r="C750" s="6">
        <v>39</v>
      </c>
      <c r="D750" s="6">
        <v>40</v>
      </c>
      <c r="E750" s="18">
        <v>0</v>
      </c>
      <c r="F750" s="6" t="str">
        <f>IFERROR(VLOOKUP(VLOOKUP(A750,'Sales Order'!A:B,2,FALSE),Customer!A:C,3,FALSE),"Not Specified")</f>
        <v>Meston, Tosh</v>
      </c>
      <c r="G750" s="6" t="str">
        <f t="shared" si="22"/>
        <v>Meston Tosh</v>
      </c>
      <c r="H750" s="22" t="str">
        <f>IFERROR(VLOOKUP(VLOOKUP(A750,'Sales Order'!A:C,3,FALSE),Employee!A:E,5,FALSE)&amp;" "&amp;VLOOKUP(VLOOKUP(A750,'Sales Order'!A:C,3,FALSE),Employee!A:C,3,FALSE)&amp;" "&amp;VLOOKUP(VLOOKUP(A750,'Sales Order'!A:C,3,FALSE),Employee!A:B,2,FALSE),"Not Specified")</f>
        <v>Ms. Judy Lew</v>
      </c>
      <c r="I750" t="str">
        <f>IFERROR(VLOOKUP(VLOOKUP(A750,'Sales Order'!A:C,3,FALSE),Employee!A:J,10,FALSE),"Not Specified")</f>
        <v>WA</v>
      </c>
      <c r="J750" t="str">
        <f>VLOOKUP(B750,Product!A:B,2,FALSE)</f>
        <v>Product BLCAX</v>
      </c>
      <c r="K750" t="str">
        <f>VLOOKUP(VLOOKUP(B750,Product!A:D,4,FALSE),Category!A:B,2,FALSE)</f>
        <v>Meat/Poultry</v>
      </c>
      <c r="L750" s="24">
        <f>IFERROR(VLOOKUP(A750,'Sales Order'!A:D,4,FALSE),"")</f>
        <v>39210</v>
      </c>
      <c r="M750" s="24">
        <f>IFERROR(VLOOKUP(A750,'Sales Order'!A:F,6,FALSE),"")</f>
        <v>39214</v>
      </c>
      <c r="N750" t="str">
        <f>IFERROR(VLOOKUP(VLOOKUP(A750,'Sales Order'!A:G,7,FALSE),Shipper!A:B,2,FALSE),"Not Specified")</f>
        <v>Shipper ETYNR</v>
      </c>
      <c r="O750" t="str">
        <f>IFERROR(VLOOKUP(A750,'Sales Order'!A:I,9,FALSE),"Not Specified")</f>
        <v>Ship to 59-C</v>
      </c>
      <c r="P750" t="str">
        <f>IFERROR(VLOOKUP(A750,'Sales Order'!A:N,14,FALSE),"Not Specified")</f>
        <v>Austria</v>
      </c>
      <c r="Q750" t="str">
        <f>VLOOKUP(VLOOKUP(B750,Product!A:C,3,FALSE),Supplier!A:B,2,FALSE)</f>
        <v>Supplier GQRCV</v>
      </c>
      <c r="R750" t="str">
        <f>VLOOKUP(VLOOKUP(B750,Product!A:C,3,FALSE),Supplier!A:I,9,FALSE)</f>
        <v>Australia</v>
      </c>
      <c r="S750" t="str">
        <f>IFERROR(IF(VLOOKUP(A750,'Sales Order'!A:H,8,FALSE)&gt;100,"High Freight","Low Freight"),"Not Specified")</f>
        <v>High Freight</v>
      </c>
      <c r="T750">
        <f t="shared" si="23"/>
        <v>1560</v>
      </c>
    </row>
    <row r="751" spans="1:20">
      <c r="A751" s="9">
        <v>10530</v>
      </c>
      <c r="B751" s="6">
        <v>43</v>
      </c>
      <c r="C751" s="6">
        <v>46</v>
      </c>
      <c r="D751" s="6">
        <v>25</v>
      </c>
      <c r="E751" s="18">
        <v>0</v>
      </c>
      <c r="F751" s="6" t="str">
        <f>IFERROR(VLOOKUP(VLOOKUP(A751,'Sales Order'!A:B,2,FALSE),Customer!A:C,3,FALSE),"Not Specified")</f>
        <v>Meston, Tosh</v>
      </c>
      <c r="G751" s="6" t="str">
        <f t="shared" si="22"/>
        <v>Meston Tosh</v>
      </c>
      <c r="H751" s="22" t="str">
        <f>IFERROR(VLOOKUP(VLOOKUP(A751,'Sales Order'!A:C,3,FALSE),Employee!A:E,5,FALSE)&amp;" "&amp;VLOOKUP(VLOOKUP(A751,'Sales Order'!A:C,3,FALSE),Employee!A:C,3,FALSE)&amp;" "&amp;VLOOKUP(VLOOKUP(A751,'Sales Order'!A:C,3,FALSE),Employee!A:B,2,FALSE),"Not Specified")</f>
        <v>Ms. Judy Lew</v>
      </c>
      <c r="I751" t="str">
        <f>IFERROR(VLOOKUP(VLOOKUP(A751,'Sales Order'!A:C,3,FALSE),Employee!A:J,10,FALSE),"Not Specified")</f>
        <v>WA</v>
      </c>
      <c r="J751" t="str">
        <f>VLOOKUP(B751,Product!A:B,2,FALSE)</f>
        <v>Product ZZZHR</v>
      </c>
      <c r="K751" t="str">
        <f>VLOOKUP(VLOOKUP(B751,Product!A:D,4,FALSE),Category!A:B,2,FALSE)</f>
        <v>Beverages</v>
      </c>
      <c r="L751" s="24">
        <f>IFERROR(VLOOKUP(A751,'Sales Order'!A:D,4,FALSE),"")</f>
        <v>39210</v>
      </c>
      <c r="M751" s="24">
        <f>IFERROR(VLOOKUP(A751,'Sales Order'!A:F,6,FALSE),"")</f>
        <v>39214</v>
      </c>
      <c r="N751" t="str">
        <f>IFERROR(VLOOKUP(VLOOKUP(A751,'Sales Order'!A:G,7,FALSE),Shipper!A:B,2,FALSE),"Not Specified")</f>
        <v>Shipper ETYNR</v>
      </c>
      <c r="O751" t="str">
        <f>IFERROR(VLOOKUP(A751,'Sales Order'!A:I,9,FALSE),"Not Specified")</f>
        <v>Ship to 59-C</v>
      </c>
      <c r="P751" t="str">
        <f>IFERROR(VLOOKUP(A751,'Sales Order'!A:N,14,FALSE),"Not Specified")</f>
        <v>Austria</v>
      </c>
      <c r="Q751" t="str">
        <f>VLOOKUP(VLOOKUP(B751,Product!A:C,3,FALSE),Supplier!A:B,2,FALSE)</f>
        <v>Supplier CIYNM</v>
      </c>
      <c r="R751" t="str">
        <f>VLOOKUP(VLOOKUP(B751,Product!A:C,3,FALSE),Supplier!A:I,9,FALSE)</f>
        <v>Singapore</v>
      </c>
      <c r="S751" t="str">
        <f>IFERROR(IF(VLOOKUP(A751,'Sales Order'!A:H,8,FALSE)&gt;100,"High Freight","Low Freight"),"Not Specified")</f>
        <v>High Freight</v>
      </c>
      <c r="T751">
        <f t="shared" si="23"/>
        <v>1150</v>
      </c>
    </row>
    <row r="752" spans="1:20">
      <c r="A752" s="9">
        <v>10530</v>
      </c>
      <c r="B752" s="6">
        <v>61</v>
      </c>
      <c r="C752" s="6">
        <v>28.5</v>
      </c>
      <c r="D752" s="6">
        <v>20</v>
      </c>
      <c r="E752" s="18">
        <v>0</v>
      </c>
      <c r="F752" s="6" t="str">
        <f>IFERROR(VLOOKUP(VLOOKUP(A752,'Sales Order'!A:B,2,FALSE),Customer!A:C,3,FALSE),"Not Specified")</f>
        <v>Meston, Tosh</v>
      </c>
      <c r="G752" s="6" t="str">
        <f t="shared" si="22"/>
        <v>Meston Tosh</v>
      </c>
      <c r="H752" s="22" t="str">
        <f>IFERROR(VLOOKUP(VLOOKUP(A752,'Sales Order'!A:C,3,FALSE),Employee!A:E,5,FALSE)&amp;" "&amp;VLOOKUP(VLOOKUP(A752,'Sales Order'!A:C,3,FALSE),Employee!A:C,3,FALSE)&amp;" "&amp;VLOOKUP(VLOOKUP(A752,'Sales Order'!A:C,3,FALSE),Employee!A:B,2,FALSE),"Not Specified")</f>
        <v>Ms. Judy Lew</v>
      </c>
      <c r="I752" t="str">
        <f>IFERROR(VLOOKUP(VLOOKUP(A752,'Sales Order'!A:C,3,FALSE),Employee!A:J,10,FALSE),"Not Specified")</f>
        <v>WA</v>
      </c>
      <c r="J752" t="str">
        <f>VLOOKUP(B752,Product!A:B,2,FALSE)</f>
        <v>Product XYZPE</v>
      </c>
      <c r="K752" t="str">
        <f>VLOOKUP(VLOOKUP(B752,Product!A:D,4,FALSE),Category!A:B,2,FALSE)</f>
        <v>Condiments</v>
      </c>
      <c r="L752" s="24">
        <f>IFERROR(VLOOKUP(A752,'Sales Order'!A:D,4,FALSE),"")</f>
        <v>39210</v>
      </c>
      <c r="M752" s="24">
        <f>IFERROR(VLOOKUP(A752,'Sales Order'!A:F,6,FALSE),"")</f>
        <v>39214</v>
      </c>
      <c r="N752" t="str">
        <f>IFERROR(VLOOKUP(VLOOKUP(A752,'Sales Order'!A:G,7,FALSE),Shipper!A:B,2,FALSE),"Not Specified")</f>
        <v>Shipper ETYNR</v>
      </c>
      <c r="O752" t="str">
        <f>IFERROR(VLOOKUP(A752,'Sales Order'!A:I,9,FALSE),"Not Specified")</f>
        <v>Ship to 59-C</v>
      </c>
      <c r="P752" t="str">
        <f>IFERROR(VLOOKUP(A752,'Sales Order'!A:N,14,FALSE),"Not Specified")</f>
        <v>Austria</v>
      </c>
      <c r="Q752" t="str">
        <f>VLOOKUP(VLOOKUP(B752,Product!A:C,3,FALSE),Supplier!A:B,2,FALSE)</f>
        <v>Supplier OGLRK</v>
      </c>
      <c r="R752" t="str">
        <f>VLOOKUP(VLOOKUP(B752,Product!A:C,3,FALSE),Supplier!A:I,9,FALSE)</f>
        <v>Canada</v>
      </c>
      <c r="S752" t="str">
        <f>IFERROR(IF(VLOOKUP(A752,'Sales Order'!A:H,8,FALSE)&gt;100,"High Freight","Low Freight"),"Not Specified")</f>
        <v>High Freight</v>
      </c>
      <c r="T752">
        <f t="shared" si="23"/>
        <v>570</v>
      </c>
    </row>
    <row r="753" spans="1:20">
      <c r="A753" s="9">
        <v>10530</v>
      </c>
      <c r="B753" s="6">
        <v>76</v>
      </c>
      <c r="C753" s="6">
        <v>18</v>
      </c>
      <c r="D753" s="6">
        <v>50</v>
      </c>
      <c r="E753" s="18">
        <v>0</v>
      </c>
      <c r="F753" s="6" t="str">
        <f>IFERROR(VLOOKUP(VLOOKUP(A753,'Sales Order'!A:B,2,FALSE),Customer!A:C,3,FALSE),"Not Specified")</f>
        <v>Meston, Tosh</v>
      </c>
      <c r="G753" s="6" t="str">
        <f t="shared" si="22"/>
        <v>Meston Tosh</v>
      </c>
      <c r="H753" s="22" t="str">
        <f>IFERROR(VLOOKUP(VLOOKUP(A753,'Sales Order'!A:C,3,FALSE),Employee!A:E,5,FALSE)&amp;" "&amp;VLOOKUP(VLOOKUP(A753,'Sales Order'!A:C,3,FALSE),Employee!A:C,3,FALSE)&amp;" "&amp;VLOOKUP(VLOOKUP(A753,'Sales Order'!A:C,3,FALSE),Employee!A:B,2,FALSE),"Not Specified")</f>
        <v>Ms. Judy Lew</v>
      </c>
      <c r="I753" t="str">
        <f>IFERROR(VLOOKUP(VLOOKUP(A753,'Sales Order'!A:C,3,FALSE),Employee!A:J,10,FALSE),"Not Specified")</f>
        <v>WA</v>
      </c>
      <c r="J753" t="str">
        <f>VLOOKUP(B753,Product!A:B,2,FALSE)</f>
        <v>Product JYGFE</v>
      </c>
      <c r="K753" t="str">
        <f>VLOOKUP(VLOOKUP(B753,Product!A:D,4,FALSE),Category!A:B,2,FALSE)</f>
        <v>Beverages</v>
      </c>
      <c r="L753" s="24">
        <f>IFERROR(VLOOKUP(A753,'Sales Order'!A:D,4,FALSE),"")</f>
        <v>39210</v>
      </c>
      <c r="M753" s="24">
        <f>IFERROR(VLOOKUP(A753,'Sales Order'!A:F,6,FALSE),"")</f>
        <v>39214</v>
      </c>
      <c r="N753" t="str">
        <f>IFERROR(VLOOKUP(VLOOKUP(A753,'Sales Order'!A:G,7,FALSE),Shipper!A:B,2,FALSE),"Not Specified")</f>
        <v>Shipper ETYNR</v>
      </c>
      <c r="O753" t="str">
        <f>IFERROR(VLOOKUP(A753,'Sales Order'!A:I,9,FALSE),"Not Specified")</f>
        <v>Ship to 59-C</v>
      </c>
      <c r="P753" t="str">
        <f>IFERROR(VLOOKUP(A753,'Sales Order'!A:N,14,FALSE),"Not Specified")</f>
        <v>Austria</v>
      </c>
      <c r="Q753" t="str">
        <f>VLOOKUP(VLOOKUP(B753,Product!A:C,3,FALSE),Supplier!A:B,2,FALSE)</f>
        <v>Supplier ELCRN</v>
      </c>
      <c r="R753" t="str">
        <f>VLOOKUP(VLOOKUP(B753,Product!A:C,3,FALSE),Supplier!A:I,9,FALSE)</f>
        <v>Finland</v>
      </c>
      <c r="S753" t="str">
        <f>IFERROR(IF(VLOOKUP(A753,'Sales Order'!A:H,8,FALSE)&gt;100,"High Freight","Low Freight"),"Not Specified")</f>
        <v>High Freight</v>
      </c>
      <c r="T753">
        <f t="shared" si="23"/>
        <v>900</v>
      </c>
    </row>
    <row r="754" spans="1:20">
      <c r="A754" s="9">
        <v>10531</v>
      </c>
      <c r="B754" s="6">
        <v>59</v>
      </c>
      <c r="C754" s="6">
        <v>55</v>
      </c>
      <c r="D754" s="6">
        <v>2</v>
      </c>
      <c r="E754" s="18">
        <v>0</v>
      </c>
      <c r="F754" s="6" t="str">
        <f>IFERROR(VLOOKUP(VLOOKUP(A754,'Sales Order'!A:B,2,FALSE),Customer!A:C,3,FALSE),"Not Specified")</f>
        <v>Tiano, Mike</v>
      </c>
      <c r="G754" s="6" t="str">
        <f t="shared" si="22"/>
        <v>Tiano Mike</v>
      </c>
      <c r="H754" s="22" t="str">
        <f>IFERROR(VLOOKUP(VLOOKUP(A754,'Sales Order'!A:C,3,FALSE),Employee!A:E,5,FALSE)&amp;" "&amp;VLOOKUP(VLOOKUP(A754,'Sales Order'!A:C,3,FALSE),Employee!A:C,3,FALSE)&amp;" "&amp;VLOOKUP(VLOOKUP(A754,'Sales Order'!A:C,3,FALSE),Employee!A:B,2,FALSE),"Not Specified")</f>
        <v>Mr. Russell King</v>
      </c>
      <c r="I754">
        <f>IFERROR(VLOOKUP(VLOOKUP(A754,'Sales Order'!A:C,3,FALSE),Employee!A:J,10,FALSE),"Not Specified")</f>
        <v>0</v>
      </c>
      <c r="J754" t="str">
        <f>VLOOKUP(B754,Product!A:B,2,FALSE)</f>
        <v>Product UKXRI</v>
      </c>
      <c r="K754" t="str">
        <f>VLOOKUP(VLOOKUP(B754,Product!A:D,4,FALSE),Category!A:B,2,FALSE)</f>
        <v>Dairy Product</v>
      </c>
      <c r="L754" s="24">
        <f>IFERROR(VLOOKUP(A754,'Sales Order'!A:D,4,FALSE),"")</f>
        <v>39210</v>
      </c>
      <c r="M754" s="24">
        <f>IFERROR(VLOOKUP(A754,'Sales Order'!A:F,6,FALSE),"")</f>
        <v>39221</v>
      </c>
      <c r="N754" t="str">
        <f>IFERROR(VLOOKUP(VLOOKUP(A754,'Sales Order'!A:G,7,FALSE),Shipper!A:B,2,FALSE),"Not Specified")</f>
        <v>Shipper GVSUA</v>
      </c>
      <c r="O754" t="str">
        <f>IFERROR(VLOOKUP(A754,'Sales Order'!A:I,9,FALSE),"Not Specified")</f>
        <v>Ship to 54-A</v>
      </c>
      <c r="P754" t="str">
        <f>IFERROR(VLOOKUP(A754,'Sales Order'!A:N,14,FALSE),"Not Specified")</f>
        <v>Argentina</v>
      </c>
      <c r="Q754" t="str">
        <f>VLOOKUP(VLOOKUP(B754,Product!A:C,3,FALSE),Supplier!A:B,2,FALSE)</f>
        <v>Supplier OAVQT</v>
      </c>
      <c r="R754" t="str">
        <f>VLOOKUP(VLOOKUP(B754,Product!A:C,3,FALSE),Supplier!A:I,9,FALSE)</f>
        <v>France</v>
      </c>
      <c r="S754" t="str">
        <f>IFERROR(IF(VLOOKUP(A754,'Sales Order'!A:H,8,FALSE)&gt;100,"High Freight","Low Freight"),"Not Specified")</f>
        <v>Low Freight</v>
      </c>
      <c r="T754">
        <f t="shared" si="23"/>
        <v>110</v>
      </c>
    </row>
    <row r="755" spans="1:20">
      <c r="A755" s="9">
        <v>10532</v>
      </c>
      <c r="B755" s="6">
        <v>30</v>
      </c>
      <c r="C755" s="6">
        <v>25.89</v>
      </c>
      <c r="D755" s="6">
        <v>15</v>
      </c>
      <c r="E755" s="18">
        <v>0</v>
      </c>
      <c r="F755" s="6" t="str">
        <f>IFERROR(VLOOKUP(VLOOKUP(A755,'Sales Order'!A:B,2,FALSE),Customer!A:C,3,FALSE),"Not Specified")</f>
        <v>Boseman, Randall</v>
      </c>
      <c r="G755" s="6" t="str">
        <f t="shared" si="22"/>
        <v>Boseman Randall</v>
      </c>
      <c r="H755" s="22" t="str">
        <f>IFERROR(VLOOKUP(VLOOKUP(A755,'Sales Order'!A:C,3,FALSE),Employee!A:E,5,FALSE)&amp;" "&amp;VLOOKUP(VLOOKUP(A755,'Sales Order'!A:C,3,FALSE),Employee!A:C,3,FALSE)&amp;" "&amp;VLOOKUP(VLOOKUP(A755,'Sales Order'!A:C,3,FALSE),Employee!A:B,2,FALSE),"Not Specified")</f>
        <v>Mr. Russell King</v>
      </c>
      <c r="I755">
        <f>IFERROR(VLOOKUP(VLOOKUP(A755,'Sales Order'!A:C,3,FALSE),Employee!A:J,10,FALSE),"Not Specified")</f>
        <v>0</v>
      </c>
      <c r="J755" t="str">
        <f>VLOOKUP(B755,Product!A:B,2,FALSE)</f>
        <v>Product LYERX</v>
      </c>
      <c r="K755" t="str">
        <f>VLOOKUP(VLOOKUP(B755,Product!A:D,4,FALSE),Category!A:B,2,FALSE)</f>
        <v>Seafood</v>
      </c>
      <c r="L755" s="24">
        <f>IFERROR(VLOOKUP(A755,'Sales Order'!A:D,4,FALSE),"")</f>
        <v>39211</v>
      </c>
      <c r="M755" s="24">
        <f>IFERROR(VLOOKUP(A755,'Sales Order'!A:F,6,FALSE),"")</f>
        <v>39214</v>
      </c>
      <c r="N755" t="str">
        <f>IFERROR(VLOOKUP(VLOOKUP(A755,'Sales Order'!A:G,7,FALSE),Shipper!A:B,2,FALSE),"Not Specified")</f>
        <v>Shipper ZHISN</v>
      </c>
      <c r="O755" t="str">
        <f>IFERROR(VLOOKUP(A755,'Sales Order'!A:I,9,FALSE),"Not Specified")</f>
        <v>Destination QTKCU</v>
      </c>
      <c r="P755" t="str">
        <f>IFERROR(VLOOKUP(A755,'Sales Order'!A:N,14,FALSE),"Not Specified")</f>
        <v>UK</v>
      </c>
      <c r="Q755" t="str">
        <f>VLOOKUP(VLOOKUP(B755,Product!A:C,3,FALSE),Supplier!A:B,2,FALSE)</f>
        <v>Supplier TEGSC</v>
      </c>
      <c r="R755" t="str">
        <f>VLOOKUP(VLOOKUP(B755,Product!A:C,3,FALSE),Supplier!A:I,9,FALSE)</f>
        <v>Germany</v>
      </c>
      <c r="S755" t="str">
        <f>IFERROR(IF(VLOOKUP(A755,'Sales Order'!A:H,8,FALSE)&gt;100,"High Freight","Low Freight"),"Not Specified")</f>
        <v>Low Freight</v>
      </c>
      <c r="T755">
        <f t="shared" si="23"/>
        <v>388.35</v>
      </c>
    </row>
    <row r="756" spans="1:20">
      <c r="A756" s="9">
        <v>10532</v>
      </c>
      <c r="B756" s="6">
        <v>66</v>
      </c>
      <c r="C756" s="6">
        <v>17</v>
      </c>
      <c r="D756" s="6">
        <v>24</v>
      </c>
      <c r="E756" s="18">
        <v>0</v>
      </c>
      <c r="F756" s="6" t="str">
        <f>IFERROR(VLOOKUP(VLOOKUP(A756,'Sales Order'!A:B,2,FALSE),Customer!A:C,3,FALSE),"Not Specified")</f>
        <v>Boseman, Randall</v>
      </c>
      <c r="G756" s="6" t="str">
        <f t="shared" si="22"/>
        <v>Boseman Randall</v>
      </c>
      <c r="H756" s="22" t="str">
        <f>IFERROR(VLOOKUP(VLOOKUP(A756,'Sales Order'!A:C,3,FALSE),Employee!A:E,5,FALSE)&amp;" "&amp;VLOOKUP(VLOOKUP(A756,'Sales Order'!A:C,3,FALSE),Employee!A:C,3,FALSE)&amp;" "&amp;VLOOKUP(VLOOKUP(A756,'Sales Order'!A:C,3,FALSE),Employee!A:B,2,FALSE),"Not Specified")</f>
        <v>Mr. Russell King</v>
      </c>
      <c r="I756">
        <f>IFERROR(VLOOKUP(VLOOKUP(A756,'Sales Order'!A:C,3,FALSE),Employee!A:J,10,FALSE),"Not Specified")</f>
        <v>0</v>
      </c>
      <c r="J756" t="str">
        <f>VLOOKUP(B756,Product!A:B,2,FALSE)</f>
        <v>Product LQMGN</v>
      </c>
      <c r="K756" t="str">
        <f>VLOOKUP(VLOOKUP(B756,Product!A:D,4,FALSE),Category!A:B,2,FALSE)</f>
        <v>Condiments</v>
      </c>
      <c r="L756" s="24">
        <f>IFERROR(VLOOKUP(A756,'Sales Order'!A:D,4,FALSE),"")</f>
        <v>39211</v>
      </c>
      <c r="M756" s="24">
        <f>IFERROR(VLOOKUP(A756,'Sales Order'!A:F,6,FALSE),"")</f>
        <v>39214</v>
      </c>
      <c r="N756" t="str">
        <f>IFERROR(VLOOKUP(VLOOKUP(A756,'Sales Order'!A:G,7,FALSE),Shipper!A:B,2,FALSE),"Not Specified")</f>
        <v>Shipper ZHISN</v>
      </c>
      <c r="O756" t="str">
        <f>IFERROR(VLOOKUP(A756,'Sales Order'!A:I,9,FALSE),"Not Specified")</f>
        <v>Destination QTKCU</v>
      </c>
      <c r="P756" t="str">
        <f>IFERROR(VLOOKUP(A756,'Sales Order'!A:N,14,FALSE),"Not Specified")</f>
        <v>UK</v>
      </c>
      <c r="Q756" t="str">
        <f>VLOOKUP(VLOOKUP(B756,Product!A:C,3,FALSE),Supplier!A:B,2,FALSE)</f>
        <v>Supplier VHQZD</v>
      </c>
      <c r="R756" t="str">
        <f>VLOOKUP(VLOOKUP(B756,Product!A:C,3,FALSE),Supplier!A:I,9,FALSE)</f>
        <v>USA</v>
      </c>
      <c r="S756" t="str">
        <f>IFERROR(IF(VLOOKUP(A756,'Sales Order'!A:H,8,FALSE)&gt;100,"High Freight","Low Freight"),"Not Specified")</f>
        <v>Low Freight</v>
      </c>
      <c r="T756">
        <f t="shared" si="23"/>
        <v>408</v>
      </c>
    </row>
    <row r="757" spans="1:20">
      <c r="A757" s="9">
        <v>10533</v>
      </c>
      <c r="B757" s="6">
        <v>4</v>
      </c>
      <c r="C757" s="6">
        <v>22</v>
      </c>
      <c r="D757" s="6">
        <v>50</v>
      </c>
      <c r="E757" s="18">
        <v>0.05</v>
      </c>
      <c r="F757" s="6" t="str">
        <f>IFERROR(VLOOKUP(VLOOKUP(A757,'Sales Order'!A:B,2,FALSE),Customer!A:C,3,FALSE),"Not Specified")</f>
        <v>San Juan, Patricia</v>
      </c>
      <c r="G757" s="6" t="str">
        <f t="shared" si="22"/>
        <v>San Juan Patricia</v>
      </c>
      <c r="H757" s="22" t="str">
        <f>IFERROR(VLOOKUP(VLOOKUP(A757,'Sales Order'!A:C,3,FALSE),Employee!A:E,5,FALSE)&amp;" "&amp;VLOOKUP(VLOOKUP(A757,'Sales Order'!A:C,3,FALSE),Employee!A:C,3,FALSE)&amp;" "&amp;VLOOKUP(VLOOKUP(A757,'Sales Order'!A:C,3,FALSE),Employee!A:B,2,FALSE),"Not Specified")</f>
        <v>Ms. Maria Cameron</v>
      </c>
      <c r="I757" t="str">
        <f>IFERROR(VLOOKUP(VLOOKUP(A757,'Sales Order'!A:C,3,FALSE),Employee!A:J,10,FALSE),"Not Specified")</f>
        <v>WA</v>
      </c>
      <c r="J757" t="str">
        <f>VLOOKUP(B757,Product!A:B,2,FALSE)</f>
        <v>Product KSBRM</v>
      </c>
      <c r="K757" t="str">
        <f>VLOOKUP(VLOOKUP(B757,Product!A:D,4,FALSE),Category!A:B,2,FALSE)</f>
        <v>Condiments</v>
      </c>
      <c r="L757" s="24">
        <f>IFERROR(VLOOKUP(A757,'Sales Order'!A:D,4,FALSE),"")</f>
        <v>39214</v>
      </c>
      <c r="M757" s="24">
        <f>IFERROR(VLOOKUP(A757,'Sales Order'!A:F,6,FALSE),"")</f>
        <v>39224</v>
      </c>
      <c r="N757" t="str">
        <f>IFERROR(VLOOKUP(VLOOKUP(A757,'Sales Order'!A:G,7,FALSE),Shipper!A:B,2,FALSE),"Not Specified")</f>
        <v>Shipper GVSUA</v>
      </c>
      <c r="O757" t="str">
        <f>IFERROR(VLOOKUP(A757,'Sales Order'!A:I,9,FALSE),"Not Specified")</f>
        <v>Destination KBSBN</v>
      </c>
      <c r="P757" t="str">
        <f>IFERROR(VLOOKUP(A757,'Sales Order'!A:N,14,FALSE),"Not Specified")</f>
        <v>Sweden</v>
      </c>
      <c r="Q757" t="str">
        <f>VLOOKUP(VLOOKUP(B757,Product!A:C,3,FALSE),Supplier!A:B,2,FALSE)</f>
        <v>Supplier VHQZD</v>
      </c>
      <c r="R757" t="str">
        <f>VLOOKUP(VLOOKUP(B757,Product!A:C,3,FALSE),Supplier!A:I,9,FALSE)</f>
        <v>USA</v>
      </c>
      <c r="S757" t="str">
        <f>IFERROR(IF(VLOOKUP(A757,'Sales Order'!A:H,8,FALSE)&gt;100,"High Freight","Low Freight"),"Not Specified")</f>
        <v>High Freight</v>
      </c>
      <c r="T757">
        <f t="shared" si="23"/>
        <v>1045</v>
      </c>
    </row>
    <row r="758" spans="1:20">
      <c r="A758" s="9">
        <v>10533</v>
      </c>
      <c r="B758" s="6">
        <v>72</v>
      </c>
      <c r="C758" s="6">
        <v>34.799999999999997</v>
      </c>
      <c r="D758" s="6">
        <v>24</v>
      </c>
      <c r="E758" s="18">
        <v>0</v>
      </c>
      <c r="F758" s="6" t="str">
        <f>IFERROR(VLOOKUP(VLOOKUP(A758,'Sales Order'!A:B,2,FALSE),Customer!A:C,3,FALSE),"Not Specified")</f>
        <v>San Juan, Patricia</v>
      </c>
      <c r="G758" s="6" t="str">
        <f t="shared" si="22"/>
        <v>San Juan Patricia</v>
      </c>
      <c r="H758" s="22" t="str">
        <f>IFERROR(VLOOKUP(VLOOKUP(A758,'Sales Order'!A:C,3,FALSE),Employee!A:E,5,FALSE)&amp;" "&amp;VLOOKUP(VLOOKUP(A758,'Sales Order'!A:C,3,FALSE),Employee!A:C,3,FALSE)&amp;" "&amp;VLOOKUP(VLOOKUP(A758,'Sales Order'!A:C,3,FALSE),Employee!A:B,2,FALSE),"Not Specified")</f>
        <v>Ms. Maria Cameron</v>
      </c>
      <c r="I758" t="str">
        <f>IFERROR(VLOOKUP(VLOOKUP(A758,'Sales Order'!A:C,3,FALSE),Employee!A:J,10,FALSE),"Not Specified")</f>
        <v>WA</v>
      </c>
      <c r="J758" t="str">
        <f>VLOOKUP(B758,Product!A:B,2,FALSE)</f>
        <v>Product GEEOO</v>
      </c>
      <c r="K758" t="str">
        <f>VLOOKUP(VLOOKUP(B758,Product!A:D,4,FALSE),Category!A:B,2,FALSE)</f>
        <v>Dairy Product</v>
      </c>
      <c r="L758" s="24">
        <f>IFERROR(VLOOKUP(A758,'Sales Order'!A:D,4,FALSE),"")</f>
        <v>39214</v>
      </c>
      <c r="M758" s="24">
        <f>IFERROR(VLOOKUP(A758,'Sales Order'!A:F,6,FALSE),"")</f>
        <v>39224</v>
      </c>
      <c r="N758" t="str">
        <f>IFERROR(VLOOKUP(VLOOKUP(A758,'Sales Order'!A:G,7,FALSE),Shipper!A:B,2,FALSE),"Not Specified")</f>
        <v>Shipper GVSUA</v>
      </c>
      <c r="O758" t="str">
        <f>IFERROR(VLOOKUP(A758,'Sales Order'!A:I,9,FALSE),"Not Specified")</f>
        <v>Destination KBSBN</v>
      </c>
      <c r="P758" t="str">
        <f>IFERROR(VLOOKUP(A758,'Sales Order'!A:N,14,FALSE),"Not Specified")</f>
        <v>Sweden</v>
      </c>
      <c r="Q758" t="str">
        <f>VLOOKUP(VLOOKUP(B758,Product!A:C,3,FALSE),Supplier!A:B,2,FALSE)</f>
        <v>Supplier KEREV</v>
      </c>
      <c r="R758" t="str">
        <f>VLOOKUP(VLOOKUP(B758,Product!A:C,3,FALSE),Supplier!A:I,9,FALSE)</f>
        <v>Italy</v>
      </c>
      <c r="S758" t="str">
        <f>IFERROR(IF(VLOOKUP(A758,'Sales Order'!A:H,8,FALSE)&gt;100,"High Freight","Low Freight"),"Not Specified")</f>
        <v>High Freight</v>
      </c>
      <c r="T758">
        <f t="shared" si="23"/>
        <v>835.19999999999993</v>
      </c>
    </row>
    <row r="759" spans="1:20">
      <c r="A759" s="9">
        <v>10533</v>
      </c>
      <c r="B759" s="6">
        <v>73</v>
      </c>
      <c r="C759" s="6">
        <v>15</v>
      </c>
      <c r="D759" s="6">
        <v>24</v>
      </c>
      <c r="E759" s="18">
        <v>0.05</v>
      </c>
      <c r="F759" s="6" t="str">
        <f>IFERROR(VLOOKUP(VLOOKUP(A759,'Sales Order'!A:B,2,FALSE),Customer!A:C,3,FALSE),"Not Specified")</f>
        <v>San Juan, Patricia</v>
      </c>
      <c r="G759" s="6" t="str">
        <f t="shared" si="22"/>
        <v>San Juan Patricia</v>
      </c>
      <c r="H759" s="22" t="str">
        <f>IFERROR(VLOOKUP(VLOOKUP(A759,'Sales Order'!A:C,3,FALSE),Employee!A:E,5,FALSE)&amp;" "&amp;VLOOKUP(VLOOKUP(A759,'Sales Order'!A:C,3,FALSE),Employee!A:C,3,FALSE)&amp;" "&amp;VLOOKUP(VLOOKUP(A759,'Sales Order'!A:C,3,FALSE),Employee!A:B,2,FALSE),"Not Specified")</f>
        <v>Ms. Maria Cameron</v>
      </c>
      <c r="I759" t="str">
        <f>IFERROR(VLOOKUP(VLOOKUP(A759,'Sales Order'!A:C,3,FALSE),Employee!A:J,10,FALSE),"Not Specified")</f>
        <v>WA</v>
      </c>
      <c r="J759" t="str">
        <f>VLOOKUP(B759,Product!A:B,2,FALSE)</f>
        <v>Product WEUJZ</v>
      </c>
      <c r="K759" t="str">
        <f>VLOOKUP(VLOOKUP(B759,Product!A:D,4,FALSE),Category!A:B,2,FALSE)</f>
        <v>Seafood</v>
      </c>
      <c r="L759" s="24">
        <f>IFERROR(VLOOKUP(A759,'Sales Order'!A:D,4,FALSE),"")</f>
        <v>39214</v>
      </c>
      <c r="M759" s="24">
        <f>IFERROR(VLOOKUP(A759,'Sales Order'!A:F,6,FALSE),"")</f>
        <v>39224</v>
      </c>
      <c r="N759" t="str">
        <f>IFERROR(VLOOKUP(VLOOKUP(A759,'Sales Order'!A:G,7,FALSE),Shipper!A:B,2,FALSE),"Not Specified")</f>
        <v>Shipper GVSUA</v>
      </c>
      <c r="O759" t="str">
        <f>IFERROR(VLOOKUP(A759,'Sales Order'!A:I,9,FALSE),"Not Specified")</f>
        <v>Destination KBSBN</v>
      </c>
      <c r="P759" t="str">
        <f>IFERROR(VLOOKUP(A759,'Sales Order'!A:N,14,FALSE),"Not Specified")</f>
        <v>Sweden</v>
      </c>
      <c r="Q759" t="str">
        <f>VLOOKUP(VLOOKUP(B759,Product!A:C,3,FALSE),Supplier!A:B,2,FALSE)</f>
        <v>Supplier QZGUF</v>
      </c>
      <c r="R759" t="str">
        <f>VLOOKUP(VLOOKUP(B759,Product!A:C,3,FALSE),Supplier!A:I,9,FALSE)</f>
        <v>Sweden</v>
      </c>
      <c r="S759" t="str">
        <f>IFERROR(IF(VLOOKUP(A759,'Sales Order'!A:H,8,FALSE)&gt;100,"High Freight","Low Freight"),"Not Specified")</f>
        <v>High Freight</v>
      </c>
      <c r="T759">
        <f t="shared" si="23"/>
        <v>342</v>
      </c>
    </row>
    <row r="760" spans="1:20">
      <c r="A760" s="9">
        <v>10534</v>
      </c>
      <c r="B760" s="6">
        <v>30</v>
      </c>
      <c r="C760" s="6">
        <v>25.89</v>
      </c>
      <c r="D760" s="6">
        <v>10</v>
      </c>
      <c r="E760" s="18">
        <v>0</v>
      </c>
      <c r="F760" s="6" t="str">
        <f>IFERROR(VLOOKUP(VLOOKUP(A760,'Sales Order'!A:B,2,FALSE),Customer!A:C,3,FALSE),"Not Specified")</f>
        <v>Louverdis, George</v>
      </c>
      <c r="G760" s="6" t="str">
        <f t="shared" si="22"/>
        <v>Louverdis George</v>
      </c>
      <c r="H760" s="22" t="str">
        <f>IFERROR(VLOOKUP(VLOOKUP(A760,'Sales Order'!A:C,3,FALSE),Employee!A:E,5,FALSE)&amp;" "&amp;VLOOKUP(VLOOKUP(A760,'Sales Order'!A:C,3,FALSE),Employee!A:C,3,FALSE)&amp;" "&amp;VLOOKUP(VLOOKUP(A760,'Sales Order'!A:C,3,FALSE),Employee!A:B,2,FALSE),"Not Specified")</f>
        <v>Ms. Maria Cameron</v>
      </c>
      <c r="I760" t="str">
        <f>IFERROR(VLOOKUP(VLOOKUP(A760,'Sales Order'!A:C,3,FALSE),Employee!A:J,10,FALSE),"Not Specified")</f>
        <v>WA</v>
      </c>
      <c r="J760" t="str">
        <f>VLOOKUP(B760,Product!A:B,2,FALSE)</f>
        <v>Product LYERX</v>
      </c>
      <c r="K760" t="str">
        <f>VLOOKUP(VLOOKUP(B760,Product!A:D,4,FALSE),Category!A:B,2,FALSE)</f>
        <v>Seafood</v>
      </c>
      <c r="L760" s="24">
        <f>IFERROR(VLOOKUP(A760,'Sales Order'!A:D,4,FALSE),"")</f>
        <v>39214</v>
      </c>
      <c r="M760" s="24">
        <f>IFERROR(VLOOKUP(A760,'Sales Order'!A:F,6,FALSE),"")</f>
        <v>39216</v>
      </c>
      <c r="N760" t="str">
        <f>IFERROR(VLOOKUP(VLOOKUP(A760,'Sales Order'!A:G,7,FALSE),Shipper!A:B,2,FALSE),"Not Specified")</f>
        <v>Shipper ETYNR</v>
      </c>
      <c r="O760" t="str">
        <f>IFERROR(VLOOKUP(A760,'Sales Order'!A:I,9,FALSE),"Not Specified")</f>
        <v>Ship to 44-A</v>
      </c>
      <c r="P760" t="str">
        <f>IFERROR(VLOOKUP(A760,'Sales Order'!A:N,14,FALSE),"Not Specified")</f>
        <v>Germany</v>
      </c>
      <c r="Q760" t="str">
        <f>VLOOKUP(VLOOKUP(B760,Product!A:C,3,FALSE),Supplier!A:B,2,FALSE)</f>
        <v>Supplier TEGSC</v>
      </c>
      <c r="R760" t="str">
        <f>VLOOKUP(VLOOKUP(B760,Product!A:C,3,FALSE),Supplier!A:I,9,FALSE)</f>
        <v>Germany</v>
      </c>
      <c r="S760" t="str">
        <f>IFERROR(IF(VLOOKUP(A760,'Sales Order'!A:H,8,FALSE)&gt;100,"High Freight","Low Freight"),"Not Specified")</f>
        <v>Low Freight</v>
      </c>
      <c r="T760">
        <f t="shared" si="23"/>
        <v>258.89999999999998</v>
      </c>
    </row>
    <row r="761" spans="1:20">
      <c r="A761" s="9">
        <v>10534</v>
      </c>
      <c r="B761" s="6">
        <v>40</v>
      </c>
      <c r="C761" s="6">
        <v>18.399999999999999</v>
      </c>
      <c r="D761" s="6">
        <v>10</v>
      </c>
      <c r="E761" s="18">
        <v>0.2</v>
      </c>
      <c r="F761" s="6" t="str">
        <f>IFERROR(VLOOKUP(VLOOKUP(A761,'Sales Order'!A:B,2,FALSE),Customer!A:C,3,FALSE),"Not Specified")</f>
        <v>Louverdis, George</v>
      </c>
      <c r="G761" s="6" t="str">
        <f t="shared" si="22"/>
        <v>Louverdis George</v>
      </c>
      <c r="H761" s="22" t="str">
        <f>IFERROR(VLOOKUP(VLOOKUP(A761,'Sales Order'!A:C,3,FALSE),Employee!A:E,5,FALSE)&amp;" "&amp;VLOOKUP(VLOOKUP(A761,'Sales Order'!A:C,3,FALSE),Employee!A:C,3,FALSE)&amp;" "&amp;VLOOKUP(VLOOKUP(A761,'Sales Order'!A:C,3,FALSE),Employee!A:B,2,FALSE),"Not Specified")</f>
        <v>Ms. Maria Cameron</v>
      </c>
      <c r="I761" t="str">
        <f>IFERROR(VLOOKUP(VLOOKUP(A761,'Sales Order'!A:C,3,FALSE),Employee!A:J,10,FALSE),"Not Specified")</f>
        <v>WA</v>
      </c>
      <c r="J761" t="str">
        <f>VLOOKUP(B761,Product!A:B,2,FALSE)</f>
        <v>Product YZIXQ</v>
      </c>
      <c r="K761" t="str">
        <f>VLOOKUP(VLOOKUP(B761,Product!A:D,4,FALSE),Category!A:B,2,FALSE)</f>
        <v>Seafood</v>
      </c>
      <c r="L761" s="24">
        <f>IFERROR(VLOOKUP(A761,'Sales Order'!A:D,4,FALSE),"")</f>
        <v>39214</v>
      </c>
      <c r="M761" s="24">
        <f>IFERROR(VLOOKUP(A761,'Sales Order'!A:F,6,FALSE),"")</f>
        <v>39216</v>
      </c>
      <c r="N761" t="str">
        <f>IFERROR(VLOOKUP(VLOOKUP(A761,'Sales Order'!A:G,7,FALSE),Shipper!A:B,2,FALSE),"Not Specified")</f>
        <v>Shipper ETYNR</v>
      </c>
      <c r="O761" t="str">
        <f>IFERROR(VLOOKUP(A761,'Sales Order'!A:I,9,FALSE),"Not Specified")</f>
        <v>Ship to 44-A</v>
      </c>
      <c r="P761" t="str">
        <f>IFERROR(VLOOKUP(A761,'Sales Order'!A:N,14,FALSE),"Not Specified")</f>
        <v>Germany</v>
      </c>
      <c r="Q761" t="str">
        <f>VLOOKUP(VLOOKUP(B761,Product!A:C,3,FALSE),Supplier!A:B,2,FALSE)</f>
        <v>Supplier JDNUG</v>
      </c>
      <c r="R761" t="str">
        <f>VLOOKUP(VLOOKUP(B761,Product!A:C,3,FALSE),Supplier!A:I,9,FALSE)</f>
        <v>USA</v>
      </c>
      <c r="S761" t="str">
        <f>IFERROR(IF(VLOOKUP(A761,'Sales Order'!A:H,8,FALSE)&gt;100,"High Freight","Low Freight"),"Not Specified")</f>
        <v>Low Freight</v>
      </c>
      <c r="T761">
        <f t="shared" si="23"/>
        <v>147.20000000000002</v>
      </c>
    </row>
    <row r="762" spans="1:20">
      <c r="A762" s="9">
        <v>10534</v>
      </c>
      <c r="B762" s="6">
        <v>54</v>
      </c>
      <c r="C762" s="6">
        <v>7.45</v>
      </c>
      <c r="D762" s="6">
        <v>10</v>
      </c>
      <c r="E762" s="18">
        <v>0.2</v>
      </c>
      <c r="F762" s="6" t="str">
        <f>IFERROR(VLOOKUP(VLOOKUP(A762,'Sales Order'!A:B,2,FALSE),Customer!A:C,3,FALSE),"Not Specified")</f>
        <v>Louverdis, George</v>
      </c>
      <c r="G762" s="6" t="str">
        <f t="shared" si="22"/>
        <v>Louverdis George</v>
      </c>
      <c r="H762" s="22" t="str">
        <f>IFERROR(VLOOKUP(VLOOKUP(A762,'Sales Order'!A:C,3,FALSE),Employee!A:E,5,FALSE)&amp;" "&amp;VLOOKUP(VLOOKUP(A762,'Sales Order'!A:C,3,FALSE),Employee!A:C,3,FALSE)&amp;" "&amp;VLOOKUP(VLOOKUP(A762,'Sales Order'!A:C,3,FALSE),Employee!A:B,2,FALSE),"Not Specified")</f>
        <v>Ms. Maria Cameron</v>
      </c>
      <c r="I762" t="str">
        <f>IFERROR(VLOOKUP(VLOOKUP(A762,'Sales Order'!A:C,3,FALSE),Employee!A:J,10,FALSE),"Not Specified")</f>
        <v>WA</v>
      </c>
      <c r="J762" t="str">
        <f>VLOOKUP(B762,Product!A:B,2,FALSE)</f>
        <v>Product QAQRL</v>
      </c>
      <c r="K762" t="str">
        <f>VLOOKUP(VLOOKUP(B762,Product!A:D,4,FALSE),Category!A:B,2,FALSE)</f>
        <v>Meat/Poultry</v>
      </c>
      <c r="L762" s="24">
        <f>IFERROR(VLOOKUP(A762,'Sales Order'!A:D,4,FALSE),"")</f>
        <v>39214</v>
      </c>
      <c r="M762" s="24">
        <f>IFERROR(VLOOKUP(A762,'Sales Order'!A:F,6,FALSE),"")</f>
        <v>39216</v>
      </c>
      <c r="N762" t="str">
        <f>IFERROR(VLOOKUP(VLOOKUP(A762,'Sales Order'!A:G,7,FALSE),Shipper!A:B,2,FALSE),"Not Specified")</f>
        <v>Shipper ETYNR</v>
      </c>
      <c r="O762" t="str">
        <f>IFERROR(VLOOKUP(A762,'Sales Order'!A:I,9,FALSE),"Not Specified")</f>
        <v>Ship to 44-A</v>
      </c>
      <c r="P762" t="str">
        <f>IFERROR(VLOOKUP(A762,'Sales Order'!A:N,14,FALSE),"Not Specified")</f>
        <v>Germany</v>
      </c>
      <c r="Q762" t="str">
        <f>VLOOKUP(VLOOKUP(B762,Product!A:C,3,FALSE),Supplier!A:B,2,FALSE)</f>
        <v>Supplier ERVYZ</v>
      </c>
      <c r="R762" t="str">
        <f>VLOOKUP(VLOOKUP(B762,Product!A:C,3,FALSE),Supplier!A:I,9,FALSE)</f>
        <v>Canada</v>
      </c>
      <c r="S762" t="str">
        <f>IFERROR(IF(VLOOKUP(A762,'Sales Order'!A:H,8,FALSE)&gt;100,"High Freight","Low Freight"),"Not Specified")</f>
        <v>Low Freight</v>
      </c>
      <c r="T762">
        <f t="shared" si="23"/>
        <v>59.6</v>
      </c>
    </row>
    <row r="763" spans="1:20">
      <c r="A763" s="9">
        <v>10535</v>
      </c>
      <c r="B763" s="6">
        <v>11</v>
      </c>
      <c r="C763" s="6">
        <v>21</v>
      </c>
      <c r="D763" s="6">
        <v>50</v>
      </c>
      <c r="E763" s="18">
        <v>0.1</v>
      </c>
      <c r="F763" s="6" t="str">
        <f>IFERROR(VLOOKUP(VLOOKUP(A763,'Sales Order'!A:B,2,FALSE),Customer!A:C,3,FALSE),"Not Specified")</f>
        <v>Peoples, John</v>
      </c>
      <c r="G763" s="6" t="str">
        <f t="shared" si="22"/>
        <v>Peoples John</v>
      </c>
      <c r="H763" s="22" t="str">
        <f>IFERROR(VLOOKUP(VLOOKUP(A763,'Sales Order'!A:C,3,FALSE),Employee!A:E,5,FALSE)&amp;" "&amp;VLOOKUP(VLOOKUP(A763,'Sales Order'!A:C,3,FALSE),Employee!A:C,3,FALSE)&amp;" "&amp;VLOOKUP(VLOOKUP(A763,'Sales Order'!A:C,3,FALSE),Employee!A:B,2,FALSE),"Not Specified")</f>
        <v>Mrs. Yael Peled</v>
      </c>
      <c r="I763" t="str">
        <f>IFERROR(VLOOKUP(VLOOKUP(A763,'Sales Order'!A:C,3,FALSE),Employee!A:J,10,FALSE),"Not Specified")</f>
        <v>WA</v>
      </c>
      <c r="J763" t="str">
        <f>VLOOKUP(B763,Product!A:B,2,FALSE)</f>
        <v>Product QMVUN</v>
      </c>
      <c r="K763" t="str">
        <f>VLOOKUP(VLOOKUP(B763,Product!A:D,4,FALSE),Category!A:B,2,FALSE)</f>
        <v>Dairy Product</v>
      </c>
      <c r="L763" s="24">
        <f>IFERROR(VLOOKUP(A763,'Sales Order'!A:D,4,FALSE),"")</f>
        <v>39215</v>
      </c>
      <c r="M763" s="24">
        <f>IFERROR(VLOOKUP(A763,'Sales Order'!A:F,6,FALSE),"")</f>
        <v>39223</v>
      </c>
      <c r="N763" t="str">
        <f>IFERROR(VLOOKUP(VLOOKUP(A763,'Sales Order'!A:G,7,FALSE),Shipper!A:B,2,FALSE),"Not Specified")</f>
        <v>Shipper GVSUA</v>
      </c>
      <c r="O763" t="str">
        <f>IFERROR(VLOOKUP(A763,'Sales Order'!A:I,9,FALSE),"Not Specified")</f>
        <v>Destination FQFLS</v>
      </c>
      <c r="P763" t="str">
        <f>IFERROR(VLOOKUP(A763,'Sales Order'!A:N,14,FALSE),"Not Specified")</f>
        <v>Mexico</v>
      </c>
      <c r="Q763" t="str">
        <f>VLOOKUP(VLOOKUP(B763,Product!A:C,3,FALSE),Supplier!A:B,2,FALSE)</f>
        <v>Supplier EQPNC</v>
      </c>
      <c r="R763" t="str">
        <f>VLOOKUP(VLOOKUP(B763,Product!A:C,3,FALSE),Supplier!A:I,9,FALSE)</f>
        <v>Spain</v>
      </c>
      <c r="S763" t="str">
        <f>IFERROR(IF(VLOOKUP(A763,'Sales Order'!A:H,8,FALSE)&gt;100,"High Freight","Low Freight"),"Not Specified")</f>
        <v>Low Freight</v>
      </c>
      <c r="T763">
        <f t="shared" si="23"/>
        <v>945</v>
      </c>
    </row>
    <row r="764" spans="1:20">
      <c r="A764" s="9">
        <v>10535</v>
      </c>
      <c r="B764" s="6">
        <v>40</v>
      </c>
      <c r="C764" s="6">
        <v>18.399999999999999</v>
      </c>
      <c r="D764" s="6">
        <v>10</v>
      </c>
      <c r="E764" s="18">
        <v>0.1</v>
      </c>
      <c r="F764" s="6" t="str">
        <f>IFERROR(VLOOKUP(VLOOKUP(A764,'Sales Order'!A:B,2,FALSE),Customer!A:C,3,FALSE),"Not Specified")</f>
        <v>Peoples, John</v>
      </c>
      <c r="G764" s="6" t="str">
        <f t="shared" si="22"/>
        <v>Peoples John</v>
      </c>
      <c r="H764" s="22" t="str">
        <f>IFERROR(VLOOKUP(VLOOKUP(A764,'Sales Order'!A:C,3,FALSE),Employee!A:E,5,FALSE)&amp;" "&amp;VLOOKUP(VLOOKUP(A764,'Sales Order'!A:C,3,FALSE),Employee!A:C,3,FALSE)&amp;" "&amp;VLOOKUP(VLOOKUP(A764,'Sales Order'!A:C,3,FALSE),Employee!A:B,2,FALSE),"Not Specified")</f>
        <v>Mrs. Yael Peled</v>
      </c>
      <c r="I764" t="str">
        <f>IFERROR(VLOOKUP(VLOOKUP(A764,'Sales Order'!A:C,3,FALSE),Employee!A:J,10,FALSE),"Not Specified")</f>
        <v>WA</v>
      </c>
      <c r="J764" t="str">
        <f>VLOOKUP(B764,Product!A:B,2,FALSE)</f>
        <v>Product YZIXQ</v>
      </c>
      <c r="K764" t="str">
        <f>VLOOKUP(VLOOKUP(B764,Product!A:D,4,FALSE),Category!A:B,2,FALSE)</f>
        <v>Seafood</v>
      </c>
      <c r="L764" s="24">
        <f>IFERROR(VLOOKUP(A764,'Sales Order'!A:D,4,FALSE),"")</f>
        <v>39215</v>
      </c>
      <c r="M764" s="24">
        <f>IFERROR(VLOOKUP(A764,'Sales Order'!A:F,6,FALSE),"")</f>
        <v>39223</v>
      </c>
      <c r="N764" t="str">
        <f>IFERROR(VLOOKUP(VLOOKUP(A764,'Sales Order'!A:G,7,FALSE),Shipper!A:B,2,FALSE),"Not Specified")</f>
        <v>Shipper GVSUA</v>
      </c>
      <c r="O764" t="str">
        <f>IFERROR(VLOOKUP(A764,'Sales Order'!A:I,9,FALSE),"Not Specified")</f>
        <v>Destination FQFLS</v>
      </c>
      <c r="P764" t="str">
        <f>IFERROR(VLOOKUP(A764,'Sales Order'!A:N,14,FALSE),"Not Specified")</f>
        <v>Mexico</v>
      </c>
      <c r="Q764" t="str">
        <f>VLOOKUP(VLOOKUP(B764,Product!A:C,3,FALSE),Supplier!A:B,2,FALSE)</f>
        <v>Supplier JDNUG</v>
      </c>
      <c r="R764" t="str">
        <f>VLOOKUP(VLOOKUP(B764,Product!A:C,3,FALSE),Supplier!A:I,9,FALSE)</f>
        <v>USA</v>
      </c>
      <c r="S764" t="str">
        <f>IFERROR(IF(VLOOKUP(A764,'Sales Order'!A:H,8,FALSE)&gt;100,"High Freight","Low Freight"),"Not Specified")</f>
        <v>Low Freight</v>
      </c>
      <c r="T764">
        <f t="shared" si="23"/>
        <v>165.6</v>
      </c>
    </row>
    <row r="765" spans="1:20">
      <c r="A765" s="9">
        <v>10535</v>
      </c>
      <c r="B765" s="6">
        <v>57</v>
      </c>
      <c r="C765" s="6">
        <v>19.5</v>
      </c>
      <c r="D765" s="6">
        <v>5</v>
      </c>
      <c r="E765" s="18">
        <v>0.1</v>
      </c>
      <c r="F765" s="6" t="str">
        <f>IFERROR(VLOOKUP(VLOOKUP(A765,'Sales Order'!A:B,2,FALSE),Customer!A:C,3,FALSE),"Not Specified")</f>
        <v>Peoples, John</v>
      </c>
      <c r="G765" s="6" t="str">
        <f t="shared" si="22"/>
        <v>Peoples John</v>
      </c>
      <c r="H765" s="22" t="str">
        <f>IFERROR(VLOOKUP(VLOOKUP(A765,'Sales Order'!A:C,3,FALSE),Employee!A:E,5,FALSE)&amp;" "&amp;VLOOKUP(VLOOKUP(A765,'Sales Order'!A:C,3,FALSE),Employee!A:C,3,FALSE)&amp;" "&amp;VLOOKUP(VLOOKUP(A765,'Sales Order'!A:C,3,FALSE),Employee!A:B,2,FALSE),"Not Specified")</f>
        <v>Mrs. Yael Peled</v>
      </c>
      <c r="I765" t="str">
        <f>IFERROR(VLOOKUP(VLOOKUP(A765,'Sales Order'!A:C,3,FALSE),Employee!A:J,10,FALSE),"Not Specified")</f>
        <v>WA</v>
      </c>
      <c r="J765" t="str">
        <f>VLOOKUP(B765,Product!A:B,2,FALSE)</f>
        <v>Product OVLQI</v>
      </c>
      <c r="K765" t="str">
        <f>VLOOKUP(VLOOKUP(B765,Product!A:D,4,FALSE),Category!A:B,2,FALSE)</f>
        <v>Grains/Cereals</v>
      </c>
      <c r="L765" s="24">
        <f>IFERROR(VLOOKUP(A765,'Sales Order'!A:D,4,FALSE),"")</f>
        <v>39215</v>
      </c>
      <c r="M765" s="24">
        <f>IFERROR(VLOOKUP(A765,'Sales Order'!A:F,6,FALSE),"")</f>
        <v>39223</v>
      </c>
      <c r="N765" t="str">
        <f>IFERROR(VLOOKUP(VLOOKUP(A765,'Sales Order'!A:G,7,FALSE),Shipper!A:B,2,FALSE),"Not Specified")</f>
        <v>Shipper GVSUA</v>
      </c>
      <c r="O765" t="str">
        <f>IFERROR(VLOOKUP(A765,'Sales Order'!A:I,9,FALSE),"Not Specified")</f>
        <v>Destination FQFLS</v>
      </c>
      <c r="P765" t="str">
        <f>IFERROR(VLOOKUP(A765,'Sales Order'!A:N,14,FALSE),"Not Specified")</f>
        <v>Mexico</v>
      </c>
      <c r="Q765" t="str">
        <f>VLOOKUP(VLOOKUP(B765,Product!A:C,3,FALSE),Supplier!A:B,2,FALSE)</f>
        <v>Supplier ZWZDM</v>
      </c>
      <c r="R765" t="str">
        <f>VLOOKUP(VLOOKUP(B765,Product!A:C,3,FALSE),Supplier!A:I,9,FALSE)</f>
        <v>Italy</v>
      </c>
      <c r="S765" t="str">
        <f>IFERROR(IF(VLOOKUP(A765,'Sales Order'!A:H,8,FALSE)&gt;100,"High Freight","Low Freight"),"Not Specified")</f>
        <v>Low Freight</v>
      </c>
      <c r="T765">
        <f t="shared" si="23"/>
        <v>87.75</v>
      </c>
    </row>
    <row r="766" spans="1:20">
      <c r="A766" s="9">
        <v>10535</v>
      </c>
      <c r="B766" s="6">
        <v>59</v>
      </c>
      <c r="C766" s="6">
        <v>55</v>
      </c>
      <c r="D766" s="6">
        <v>15</v>
      </c>
      <c r="E766" s="18">
        <v>0.1</v>
      </c>
      <c r="F766" s="6" t="str">
        <f>IFERROR(VLOOKUP(VLOOKUP(A766,'Sales Order'!A:B,2,FALSE),Customer!A:C,3,FALSE),"Not Specified")</f>
        <v>Peoples, John</v>
      </c>
      <c r="G766" s="6" t="str">
        <f t="shared" si="22"/>
        <v>Peoples John</v>
      </c>
      <c r="H766" s="22" t="str">
        <f>IFERROR(VLOOKUP(VLOOKUP(A766,'Sales Order'!A:C,3,FALSE),Employee!A:E,5,FALSE)&amp;" "&amp;VLOOKUP(VLOOKUP(A766,'Sales Order'!A:C,3,FALSE),Employee!A:C,3,FALSE)&amp;" "&amp;VLOOKUP(VLOOKUP(A766,'Sales Order'!A:C,3,FALSE),Employee!A:B,2,FALSE),"Not Specified")</f>
        <v>Mrs. Yael Peled</v>
      </c>
      <c r="I766" t="str">
        <f>IFERROR(VLOOKUP(VLOOKUP(A766,'Sales Order'!A:C,3,FALSE),Employee!A:J,10,FALSE),"Not Specified")</f>
        <v>WA</v>
      </c>
      <c r="J766" t="str">
        <f>VLOOKUP(B766,Product!A:B,2,FALSE)</f>
        <v>Product UKXRI</v>
      </c>
      <c r="K766" t="str">
        <f>VLOOKUP(VLOOKUP(B766,Product!A:D,4,FALSE),Category!A:B,2,FALSE)</f>
        <v>Dairy Product</v>
      </c>
      <c r="L766" s="24">
        <f>IFERROR(VLOOKUP(A766,'Sales Order'!A:D,4,FALSE),"")</f>
        <v>39215</v>
      </c>
      <c r="M766" s="24">
        <f>IFERROR(VLOOKUP(A766,'Sales Order'!A:F,6,FALSE),"")</f>
        <v>39223</v>
      </c>
      <c r="N766" t="str">
        <f>IFERROR(VLOOKUP(VLOOKUP(A766,'Sales Order'!A:G,7,FALSE),Shipper!A:B,2,FALSE),"Not Specified")</f>
        <v>Shipper GVSUA</v>
      </c>
      <c r="O766" t="str">
        <f>IFERROR(VLOOKUP(A766,'Sales Order'!A:I,9,FALSE),"Not Specified")</f>
        <v>Destination FQFLS</v>
      </c>
      <c r="P766" t="str">
        <f>IFERROR(VLOOKUP(A766,'Sales Order'!A:N,14,FALSE),"Not Specified")</f>
        <v>Mexico</v>
      </c>
      <c r="Q766" t="str">
        <f>VLOOKUP(VLOOKUP(B766,Product!A:C,3,FALSE),Supplier!A:B,2,FALSE)</f>
        <v>Supplier OAVQT</v>
      </c>
      <c r="R766" t="str">
        <f>VLOOKUP(VLOOKUP(B766,Product!A:C,3,FALSE),Supplier!A:I,9,FALSE)</f>
        <v>France</v>
      </c>
      <c r="S766" t="str">
        <f>IFERROR(IF(VLOOKUP(A766,'Sales Order'!A:H,8,FALSE)&gt;100,"High Freight","Low Freight"),"Not Specified")</f>
        <v>Low Freight</v>
      </c>
      <c r="T766">
        <f t="shared" si="23"/>
        <v>742.5</v>
      </c>
    </row>
    <row r="767" spans="1:20">
      <c r="A767" s="9">
        <v>10536</v>
      </c>
      <c r="B767" s="6">
        <v>12</v>
      </c>
      <c r="C767" s="6">
        <v>38</v>
      </c>
      <c r="D767" s="6">
        <v>15</v>
      </c>
      <c r="E767" s="18">
        <v>0.25</v>
      </c>
      <c r="F767" s="6" t="str">
        <f>IFERROR(VLOOKUP(VLOOKUP(A767,'Sales Order'!A:B,2,FALSE),Customer!A:C,3,FALSE),"Not Specified")</f>
        <v>Louverdis, George</v>
      </c>
      <c r="G767" s="6" t="str">
        <f t="shared" si="22"/>
        <v>Louverdis George</v>
      </c>
      <c r="H767" s="22" t="str">
        <f>IFERROR(VLOOKUP(VLOOKUP(A767,'Sales Order'!A:C,3,FALSE),Employee!A:E,5,FALSE)&amp;" "&amp;VLOOKUP(VLOOKUP(A767,'Sales Order'!A:C,3,FALSE),Employee!A:C,3,FALSE)&amp;" "&amp;VLOOKUP(VLOOKUP(A767,'Sales Order'!A:C,3,FALSE),Employee!A:B,2,FALSE),"Not Specified")</f>
        <v>Ms. Judy Lew</v>
      </c>
      <c r="I767" t="str">
        <f>IFERROR(VLOOKUP(VLOOKUP(A767,'Sales Order'!A:C,3,FALSE),Employee!A:J,10,FALSE),"Not Specified")</f>
        <v>WA</v>
      </c>
      <c r="J767" t="str">
        <f>VLOOKUP(B767,Product!A:B,2,FALSE)</f>
        <v>Product OSFNS</v>
      </c>
      <c r="K767" t="str">
        <f>VLOOKUP(VLOOKUP(B767,Product!A:D,4,FALSE),Category!A:B,2,FALSE)</f>
        <v>Dairy Product</v>
      </c>
      <c r="L767" s="24">
        <f>IFERROR(VLOOKUP(A767,'Sales Order'!A:D,4,FALSE),"")</f>
        <v>39216</v>
      </c>
      <c r="M767" s="24">
        <f>IFERROR(VLOOKUP(A767,'Sales Order'!A:F,6,FALSE),"")</f>
        <v>39239</v>
      </c>
      <c r="N767" t="str">
        <f>IFERROR(VLOOKUP(VLOOKUP(A767,'Sales Order'!A:G,7,FALSE),Shipper!A:B,2,FALSE),"Not Specified")</f>
        <v>Shipper ETYNR</v>
      </c>
      <c r="O767" t="str">
        <f>IFERROR(VLOOKUP(A767,'Sales Order'!A:I,9,FALSE),"Not Specified")</f>
        <v>Ship to 44-B</v>
      </c>
      <c r="P767" t="str">
        <f>IFERROR(VLOOKUP(A767,'Sales Order'!A:N,14,FALSE),"Not Specified")</f>
        <v>Germany</v>
      </c>
      <c r="Q767" t="str">
        <f>VLOOKUP(VLOOKUP(B767,Product!A:C,3,FALSE),Supplier!A:B,2,FALSE)</f>
        <v>Supplier EQPNC</v>
      </c>
      <c r="R767" t="str">
        <f>VLOOKUP(VLOOKUP(B767,Product!A:C,3,FALSE),Supplier!A:I,9,FALSE)</f>
        <v>Spain</v>
      </c>
      <c r="S767" t="str">
        <f>IFERROR(IF(VLOOKUP(A767,'Sales Order'!A:H,8,FALSE)&gt;100,"High Freight","Low Freight"),"Not Specified")</f>
        <v>Low Freight</v>
      </c>
      <c r="T767">
        <f t="shared" si="23"/>
        <v>427.5</v>
      </c>
    </row>
    <row r="768" spans="1:20">
      <c r="A768" s="9">
        <v>10536</v>
      </c>
      <c r="B768" s="6">
        <v>31</v>
      </c>
      <c r="C768" s="6">
        <v>12.5</v>
      </c>
      <c r="D768" s="6">
        <v>20</v>
      </c>
      <c r="E768" s="18">
        <v>0</v>
      </c>
      <c r="F768" s="6" t="str">
        <f>IFERROR(VLOOKUP(VLOOKUP(A768,'Sales Order'!A:B,2,FALSE),Customer!A:C,3,FALSE),"Not Specified")</f>
        <v>Louverdis, George</v>
      </c>
      <c r="G768" s="6" t="str">
        <f t="shared" si="22"/>
        <v>Louverdis George</v>
      </c>
      <c r="H768" s="22" t="str">
        <f>IFERROR(VLOOKUP(VLOOKUP(A768,'Sales Order'!A:C,3,FALSE),Employee!A:E,5,FALSE)&amp;" "&amp;VLOOKUP(VLOOKUP(A768,'Sales Order'!A:C,3,FALSE),Employee!A:C,3,FALSE)&amp;" "&amp;VLOOKUP(VLOOKUP(A768,'Sales Order'!A:C,3,FALSE),Employee!A:B,2,FALSE),"Not Specified")</f>
        <v>Ms. Judy Lew</v>
      </c>
      <c r="I768" t="str">
        <f>IFERROR(VLOOKUP(VLOOKUP(A768,'Sales Order'!A:C,3,FALSE),Employee!A:J,10,FALSE),"Not Specified")</f>
        <v>WA</v>
      </c>
      <c r="J768" t="str">
        <f>VLOOKUP(B768,Product!A:B,2,FALSE)</f>
        <v>Product XWOXC</v>
      </c>
      <c r="K768" t="str">
        <f>VLOOKUP(VLOOKUP(B768,Product!A:D,4,FALSE),Category!A:B,2,FALSE)</f>
        <v>Dairy Product</v>
      </c>
      <c r="L768" s="24">
        <f>IFERROR(VLOOKUP(A768,'Sales Order'!A:D,4,FALSE),"")</f>
        <v>39216</v>
      </c>
      <c r="M768" s="24">
        <f>IFERROR(VLOOKUP(A768,'Sales Order'!A:F,6,FALSE),"")</f>
        <v>39239</v>
      </c>
      <c r="N768" t="str">
        <f>IFERROR(VLOOKUP(VLOOKUP(A768,'Sales Order'!A:G,7,FALSE),Shipper!A:B,2,FALSE),"Not Specified")</f>
        <v>Shipper ETYNR</v>
      </c>
      <c r="O768" t="str">
        <f>IFERROR(VLOOKUP(A768,'Sales Order'!A:I,9,FALSE),"Not Specified")</f>
        <v>Ship to 44-B</v>
      </c>
      <c r="P768" t="str">
        <f>IFERROR(VLOOKUP(A768,'Sales Order'!A:N,14,FALSE),"Not Specified")</f>
        <v>Germany</v>
      </c>
      <c r="Q768" t="str">
        <f>VLOOKUP(VLOOKUP(B768,Product!A:C,3,FALSE),Supplier!A:B,2,FALSE)</f>
        <v>Supplier KEREV</v>
      </c>
      <c r="R768" t="str">
        <f>VLOOKUP(VLOOKUP(B768,Product!A:C,3,FALSE),Supplier!A:I,9,FALSE)</f>
        <v>Italy</v>
      </c>
      <c r="S768" t="str">
        <f>IFERROR(IF(VLOOKUP(A768,'Sales Order'!A:H,8,FALSE)&gt;100,"High Freight","Low Freight"),"Not Specified")</f>
        <v>Low Freight</v>
      </c>
      <c r="T768">
        <f t="shared" si="23"/>
        <v>250</v>
      </c>
    </row>
    <row r="769" spans="1:20">
      <c r="A769" s="9">
        <v>10536</v>
      </c>
      <c r="B769" s="6">
        <v>33</v>
      </c>
      <c r="C769" s="6">
        <v>2.5</v>
      </c>
      <c r="D769" s="6">
        <v>30</v>
      </c>
      <c r="E769" s="18">
        <v>0</v>
      </c>
      <c r="F769" s="6" t="str">
        <f>IFERROR(VLOOKUP(VLOOKUP(A769,'Sales Order'!A:B,2,FALSE),Customer!A:C,3,FALSE),"Not Specified")</f>
        <v>Louverdis, George</v>
      </c>
      <c r="G769" s="6" t="str">
        <f t="shared" si="22"/>
        <v>Louverdis George</v>
      </c>
      <c r="H769" s="22" t="str">
        <f>IFERROR(VLOOKUP(VLOOKUP(A769,'Sales Order'!A:C,3,FALSE),Employee!A:E,5,FALSE)&amp;" "&amp;VLOOKUP(VLOOKUP(A769,'Sales Order'!A:C,3,FALSE),Employee!A:C,3,FALSE)&amp;" "&amp;VLOOKUP(VLOOKUP(A769,'Sales Order'!A:C,3,FALSE),Employee!A:B,2,FALSE),"Not Specified")</f>
        <v>Ms. Judy Lew</v>
      </c>
      <c r="I769" t="str">
        <f>IFERROR(VLOOKUP(VLOOKUP(A769,'Sales Order'!A:C,3,FALSE),Employee!A:J,10,FALSE),"Not Specified")</f>
        <v>WA</v>
      </c>
      <c r="J769" t="str">
        <f>VLOOKUP(B769,Product!A:B,2,FALSE)</f>
        <v>Product ASTMN</v>
      </c>
      <c r="K769" t="str">
        <f>VLOOKUP(VLOOKUP(B769,Product!A:D,4,FALSE),Category!A:B,2,FALSE)</f>
        <v>Dairy Product</v>
      </c>
      <c r="L769" s="24">
        <f>IFERROR(VLOOKUP(A769,'Sales Order'!A:D,4,FALSE),"")</f>
        <v>39216</v>
      </c>
      <c r="M769" s="24">
        <f>IFERROR(VLOOKUP(A769,'Sales Order'!A:F,6,FALSE),"")</f>
        <v>39239</v>
      </c>
      <c r="N769" t="str">
        <f>IFERROR(VLOOKUP(VLOOKUP(A769,'Sales Order'!A:G,7,FALSE),Shipper!A:B,2,FALSE),"Not Specified")</f>
        <v>Shipper ETYNR</v>
      </c>
      <c r="O769" t="str">
        <f>IFERROR(VLOOKUP(A769,'Sales Order'!A:I,9,FALSE),"Not Specified")</f>
        <v>Ship to 44-B</v>
      </c>
      <c r="P769" t="str">
        <f>IFERROR(VLOOKUP(A769,'Sales Order'!A:N,14,FALSE),"Not Specified")</f>
        <v>Germany</v>
      </c>
      <c r="Q769" t="str">
        <f>VLOOKUP(VLOOKUP(B769,Product!A:C,3,FALSE),Supplier!A:B,2,FALSE)</f>
        <v>Supplier NZLIF</v>
      </c>
      <c r="R769" t="str">
        <f>VLOOKUP(VLOOKUP(B769,Product!A:C,3,FALSE),Supplier!A:I,9,FALSE)</f>
        <v>Norway</v>
      </c>
      <c r="S769" t="str">
        <f>IFERROR(IF(VLOOKUP(A769,'Sales Order'!A:H,8,FALSE)&gt;100,"High Freight","Low Freight"),"Not Specified")</f>
        <v>Low Freight</v>
      </c>
      <c r="T769">
        <f t="shared" si="23"/>
        <v>75</v>
      </c>
    </row>
    <row r="770" spans="1:20">
      <c r="A770" s="9">
        <v>10536</v>
      </c>
      <c r="B770" s="6">
        <v>60</v>
      </c>
      <c r="C770" s="6">
        <v>34</v>
      </c>
      <c r="D770" s="6">
        <v>35</v>
      </c>
      <c r="E770" s="18">
        <v>0.25</v>
      </c>
      <c r="F770" s="6" t="str">
        <f>IFERROR(VLOOKUP(VLOOKUP(A770,'Sales Order'!A:B,2,FALSE),Customer!A:C,3,FALSE),"Not Specified")</f>
        <v>Louverdis, George</v>
      </c>
      <c r="G770" s="6" t="str">
        <f t="shared" si="22"/>
        <v>Louverdis George</v>
      </c>
      <c r="H770" s="22" t="str">
        <f>IFERROR(VLOOKUP(VLOOKUP(A770,'Sales Order'!A:C,3,FALSE),Employee!A:E,5,FALSE)&amp;" "&amp;VLOOKUP(VLOOKUP(A770,'Sales Order'!A:C,3,FALSE),Employee!A:C,3,FALSE)&amp;" "&amp;VLOOKUP(VLOOKUP(A770,'Sales Order'!A:C,3,FALSE),Employee!A:B,2,FALSE),"Not Specified")</f>
        <v>Ms. Judy Lew</v>
      </c>
      <c r="I770" t="str">
        <f>IFERROR(VLOOKUP(VLOOKUP(A770,'Sales Order'!A:C,3,FALSE),Employee!A:J,10,FALSE),"Not Specified")</f>
        <v>WA</v>
      </c>
      <c r="J770" t="str">
        <f>VLOOKUP(B770,Product!A:B,2,FALSE)</f>
        <v>Product WHBYK</v>
      </c>
      <c r="K770" t="str">
        <f>VLOOKUP(VLOOKUP(B770,Product!A:D,4,FALSE),Category!A:B,2,FALSE)</f>
        <v>Dairy Product</v>
      </c>
      <c r="L770" s="24">
        <f>IFERROR(VLOOKUP(A770,'Sales Order'!A:D,4,FALSE),"")</f>
        <v>39216</v>
      </c>
      <c r="M770" s="24">
        <f>IFERROR(VLOOKUP(A770,'Sales Order'!A:F,6,FALSE),"")</f>
        <v>39239</v>
      </c>
      <c r="N770" t="str">
        <f>IFERROR(VLOOKUP(VLOOKUP(A770,'Sales Order'!A:G,7,FALSE),Shipper!A:B,2,FALSE),"Not Specified")</f>
        <v>Shipper ETYNR</v>
      </c>
      <c r="O770" t="str">
        <f>IFERROR(VLOOKUP(A770,'Sales Order'!A:I,9,FALSE),"Not Specified")</f>
        <v>Ship to 44-B</v>
      </c>
      <c r="P770" t="str">
        <f>IFERROR(VLOOKUP(A770,'Sales Order'!A:N,14,FALSE),"Not Specified")</f>
        <v>Germany</v>
      </c>
      <c r="Q770" t="str">
        <f>VLOOKUP(VLOOKUP(B770,Product!A:C,3,FALSE),Supplier!A:B,2,FALSE)</f>
        <v>Supplier OAVQT</v>
      </c>
      <c r="R770" t="str">
        <f>VLOOKUP(VLOOKUP(B770,Product!A:C,3,FALSE),Supplier!A:I,9,FALSE)</f>
        <v>France</v>
      </c>
      <c r="S770" t="str">
        <f>IFERROR(IF(VLOOKUP(A770,'Sales Order'!A:H,8,FALSE)&gt;100,"High Freight","Low Freight"),"Not Specified")</f>
        <v>Low Freight</v>
      </c>
      <c r="T770">
        <f t="shared" si="23"/>
        <v>892.5</v>
      </c>
    </row>
    <row r="771" spans="1:20">
      <c r="A771" s="9">
        <v>10537</v>
      </c>
      <c r="B771" s="6">
        <v>31</v>
      </c>
      <c r="C771" s="6">
        <v>12.5</v>
      </c>
      <c r="D771" s="6">
        <v>30</v>
      </c>
      <c r="E771" s="18">
        <v>0</v>
      </c>
      <c r="F771" s="6" t="str">
        <f>IFERROR(VLOOKUP(VLOOKUP(A771,'Sales Order'!A:B,2,FALSE),Customer!A:C,3,FALSE),"Not Specified")</f>
        <v>Myrcha, Jacek</v>
      </c>
      <c r="G771" s="6" t="str">
        <f t="shared" ref="G771:G834" si="24">SUBSTITUTE(F771,",","",1)</f>
        <v>Myrcha Jacek</v>
      </c>
      <c r="H771" s="22" t="str">
        <f>IFERROR(VLOOKUP(VLOOKUP(A771,'Sales Order'!A:C,3,FALSE),Employee!A:E,5,FALSE)&amp;" "&amp;VLOOKUP(VLOOKUP(A771,'Sales Order'!A:C,3,FALSE),Employee!A:C,3,FALSE)&amp;" "&amp;VLOOKUP(VLOOKUP(A771,'Sales Order'!A:C,3,FALSE),Employee!A:B,2,FALSE),"Not Specified")</f>
        <v>Ms. Sara Davis</v>
      </c>
      <c r="I771" t="str">
        <f>IFERROR(VLOOKUP(VLOOKUP(A771,'Sales Order'!A:C,3,FALSE),Employee!A:J,10,FALSE),"Not Specified")</f>
        <v>WA</v>
      </c>
      <c r="J771" t="str">
        <f>VLOOKUP(B771,Product!A:B,2,FALSE)</f>
        <v>Product XWOXC</v>
      </c>
      <c r="K771" t="str">
        <f>VLOOKUP(VLOOKUP(B771,Product!A:D,4,FALSE),Category!A:B,2,FALSE)</f>
        <v>Dairy Product</v>
      </c>
      <c r="L771" s="24">
        <f>IFERROR(VLOOKUP(A771,'Sales Order'!A:D,4,FALSE),"")</f>
        <v>39216</v>
      </c>
      <c r="M771" s="24">
        <f>IFERROR(VLOOKUP(A771,'Sales Order'!A:F,6,FALSE),"")</f>
        <v>39221</v>
      </c>
      <c r="N771" t="str">
        <f>IFERROR(VLOOKUP(VLOOKUP(A771,'Sales Order'!A:G,7,FALSE),Shipper!A:B,2,FALSE),"Not Specified")</f>
        <v>Shipper GVSUA</v>
      </c>
      <c r="O771" t="str">
        <f>IFERROR(VLOOKUP(A771,'Sales Order'!A:I,9,FALSE),"Not Specified")</f>
        <v>Ship to 68-B</v>
      </c>
      <c r="P771" t="str">
        <f>IFERROR(VLOOKUP(A771,'Sales Order'!A:N,14,FALSE),"Not Specified")</f>
        <v>Switzerland</v>
      </c>
      <c r="Q771" t="str">
        <f>VLOOKUP(VLOOKUP(B771,Product!A:C,3,FALSE),Supplier!A:B,2,FALSE)</f>
        <v>Supplier KEREV</v>
      </c>
      <c r="R771" t="str">
        <f>VLOOKUP(VLOOKUP(B771,Product!A:C,3,FALSE),Supplier!A:I,9,FALSE)</f>
        <v>Italy</v>
      </c>
      <c r="S771" t="str">
        <f>IFERROR(IF(VLOOKUP(A771,'Sales Order'!A:H,8,FALSE)&gt;100,"High Freight","Low Freight"),"Not Specified")</f>
        <v>Low Freight</v>
      </c>
      <c r="T771">
        <f t="shared" ref="T771:T834" si="25">C771*D771*(1-E771)</f>
        <v>375</v>
      </c>
    </row>
    <row r="772" spans="1:20">
      <c r="A772" s="9">
        <v>10537</v>
      </c>
      <c r="B772" s="6">
        <v>51</v>
      </c>
      <c r="C772" s="6">
        <v>53</v>
      </c>
      <c r="D772" s="6">
        <v>6</v>
      </c>
      <c r="E772" s="18">
        <v>0</v>
      </c>
      <c r="F772" s="6" t="str">
        <f>IFERROR(VLOOKUP(VLOOKUP(A772,'Sales Order'!A:B,2,FALSE),Customer!A:C,3,FALSE),"Not Specified")</f>
        <v>Myrcha, Jacek</v>
      </c>
      <c r="G772" s="6" t="str">
        <f t="shared" si="24"/>
        <v>Myrcha Jacek</v>
      </c>
      <c r="H772" s="22" t="str">
        <f>IFERROR(VLOOKUP(VLOOKUP(A772,'Sales Order'!A:C,3,FALSE),Employee!A:E,5,FALSE)&amp;" "&amp;VLOOKUP(VLOOKUP(A772,'Sales Order'!A:C,3,FALSE),Employee!A:C,3,FALSE)&amp;" "&amp;VLOOKUP(VLOOKUP(A772,'Sales Order'!A:C,3,FALSE),Employee!A:B,2,FALSE),"Not Specified")</f>
        <v>Ms. Sara Davis</v>
      </c>
      <c r="I772" t="str">
        <f>IFERROR(VLOOKUP(VLOOKUP(A772,'Sales Order'!A:C,3,FALSE),Employee!A:J,10,FALSE),"Not Specified")</f>
        <v>WA</v>
      </c>
      <c r="J772" t="str">
        <f>VLOOKUP(B772,Product!A:B,2,FALSE)</f>
        <v>Product APITJ</v>
      </c>
      <c r="K772" t="str">
        <f>VLOOKUP(VLOOKUP(B772,Product!A:D,4,FALSE),Category!A:B,2,FALSE)</f>
        <v>Produce</v>
      </c>
      <c r="L772" s="24">
        <f>IFERROR(VLOOKUP(A772,'Sales Order'!A:D,4,FALSE),"")</f>
        <v>39216</v>
      </c>
      <c r="M772" s="24">
        <f>IFERROR(VLOOKUP(A772,'Sales Order'!A:F,6,FALSE),"")</f>
        <v>39221</v>
      </c>
      <c r="N772" t="str">
        <f>IFERROR(VLOOKUP(VLOOKUP(A772,'Sales Order'!A:G,7,FALSE),Shipper!A:B,2,FALSE),"Not Specified")</f>
        <v>Shipper GVSUA</v>
      </c>
      <c r="O772" t="str">
        <f>IFERROR(VLOOKUP(A772,'Sales Order'!A:I,9,FALSE),"Not Specified")</f>
        <v>Ship to 68-B</v>
      </c>
      <c r="P772" t="str">
        <f>IFERROR(VLOOKUP(A772,'Sales Order'!A:N,14,FALSE),"Not Specified")</f>
        <v>Switzerland</v>
      </c>
      <c r="Q772" t="str">
        <f>VLOOKUP(VLOOKUP(B772,Product!A:C,3,FALSE),Supplier!A:B,2,FALSE)</f>
        <v>Supplier JNNES</v>
      </c>
      <c r="R772" t="str">
        <f>VLOOKUP(VLOOKUP(B772,Product!A:C,3,FALSE),Supplier!A:I,9,FALSE)</f>
        <v>Australia</v>
      </c>
      <c r="S772" t="str">
        <f>IFERROR(IF(VLOOKUP(A772,'Sales Order'!A:H,8,FALSE)&gt;100,"High Freight","Low Freight"),"Not Specified")</f>
        <v>Low Freight</v>
      </c>
      <c r="T772">
        <f t="shared" si="25"/>
        <v>318</v>
      </c>
    </row>
    <row r="773" spans="1:20">
      <c r="A773" s="9">
        <v>10537</v>
      </c>
      <c r="B773" s="6">
        <v>58</v>
      </c>
      <c r="C773" s="6">
        <v>13.25</v>
      </c>
      <c r="D773" s="6">
        <v>20</v>
      </c>
      <c r="E773" s="18">
        <v>0</v>
      </c>
      <c r="F773" s="6" t="str">
        <f>IFERROR(VLOOKUP(VLOOKUP(A773,'Sales Order'!A:B,2,FALSE),Customer!A:C,3,FALSE),"Not Specified")</f>
        <v>Myrcha, Jacek</v>
      </c>
      <c r="G773" s="6" t="str">
        <f t="shared" si="24"/>
        <v>Myrcha Jacek</v>
      </c>
      <c r="H773" s="22" t="str">
        <f>IFERROR(VLOOKUP(VLOOKUP(A773,'Sales Order'!A:C,3,FALSE),Employee!A:E,5,FALSE)&amp;" "&amp;VLOOKUP(VLOOKUP(A773,'Sales Order'!A:C,3,FALSE),Employee!A:C,3,FALSE)&amp;" "&amp;VLOOKUP(VLOOKUP(A773,'Sales Order'!A:C,3,FALSE),Employee!A:B,2,FALSE),"Not Specified")</f>
        <v>Ms. Sara Davis</v>
      </c>
      <c r="I773" t="str">
        <f>IFERROR(VLOOKUP(VLOOKUP(A773,'Sales Order'!A:C,3,FALSE),Employee!A:J,10,FALSE),"Not Specified")</f>
        <v>WA</v>
      </c>
      <c r="J773" t="str">
        <f>VLOOKUP(B773,Product!A:B,2,FALSE)</f>
        <v>Product ACRVI</v>
      </c>
      <c r="K773" t="str">
        <f>VLOOKUP(VLOOKUP(B773,Product!A:D,4,FALSE),Category!A:B,2,FALSE)</f>
        <v>Seafood</v>
      </c>
      <c r="L773" s="24">
        <f>IFERROR(VLOOKUP(A773,'Sales Order'!A:D,4,FALSE),"")</f>
        <v>39216</v>
      </c>
      <c r="M773" s="24">
        <f>IFERROR(VLOOKUP(A773,'Sales Order'!A:F,6,FALSE),"")</f>
        <v>39221</v>
      </c>
      <c r="N773" t="str">
        <f>IFERROR(VLOOKUP(VLOOKUP(A773,'Sales Order'!A:G,7,FALSE),Shipper!A:B,2,FALSE),"Not Specified")</f>
        <v>Shipper GVSUA</v>
      </c>
      <c r="O773" t="str">
        <f>IFERROR(VLOOKUP(A773,'Sales Order'!A:I,9,FALSE),"Not Specified")</f>
        <v>Ship to 68-B</v>
      </c>
      <c r="P773" t="str">
        <f>IFERROR(VLOOKUP(A773,'Sales Order'!A:N,14,FALSE),"Not Specified")</f>
        <v>Switzerland</v>
      </c>
      <c r="Q773" t="str">
        <f>VLOOKUP(VLOOKUP(B773,Product!A:C,3,FALSE),Supplier!A:B,2,FALSE)</f>
        <v>Supplier ZRYDZ</v>
      </c>
      <c r="R773" t="str">
        <f>VLOOKUP(VLOOKUP(B773,Product!A:C,3,FALSE),Supplier!A:I,9,FALSE)</f>
        <v>France</v>
      </c>
      <c r="S773" t="str">
        <f>IFERROR(IF(VLOOKUP(A773,'Sales Order'!A:H,8,FALSE)&gt;100,"High Freight","Low Freight"),"Not Specified")</f>
        <v>Low Freight</v>
      </c>
      <c r="T773">
        <f t="shared" si="25"/>
        <v>265</v>
      </c>
    </row>
    <row r="774" spans="1:20">
      <c r="A774" s="9">
        <v>10537</v>
      </c>
      <c r="B774" s="6">
        <v>72</v>
      </c>
      <c r="C774" s="6">
        <v>34.799999999999997</v>
      </c>
      <c r="D774" s="6">
        <v>21</v>
      </c>
      <c r="E774" s="18">
        <v>0</v>
      </c>
      <c r="F774" s="6" t="str">
        <f>IFERROR(VLOOKUP(VLOOKUP(A774,'Sales Order'!A:B,2,FALSE),Customer!A:C,3,FALSE),"Not Specified")</f>
        <v>Myrcha, Jacek</v>
      </c>
      <c r="G774" s="6" t="str">
        <f t="shared" si="24"/>
        <v>Myrcha Jacek</v>
      </c>
      <c r="H774" s="22" t="str">
        <f>IFERROR(VLOOKUP(VLOOKUP(A774,'Sales Order'!A:C,3,FALSE),Employee!A:E,5,FALSE)&amp;" "&amp;VLOOKUP(VLOOKUP(A774,'Sales Order'!A:C,3,FALSE),Employee!A:C,3,FALSE)&amp;" "&amp;VLOOKUP(VLOOKUP(A774,'Sales Order'!A:C,3,FALSE),Employee!A:B,2,FALSE),"Not Specified")</f>
        <v>Ms. Sara Davis</v>
      </c>
      <c r="I774" t="str">
        <f>IFERROR(VLOOKUP(VLOOKUP(A774,'Sales Order'!A:C,3,FALSE),Employee!A:J,10,FALSE),"Not Specified")</f>
        <v>WA</v>
      </c>
      <c r="J774" t="str">
        <f>VLOOKUP(B774,Product!A:B,2,FALSE)</f>
        <v>Product GEEOO</v>
      </c>
      <c r="K774" t="str">
        <f>VLOOKUP(VLOOKUP(B774,Product!A:D,4,FALSE),Category!A:B,2,FALSE)</f>
        <v>Dairy Product</v>
      </c>
      <c r="L774" s="24">
        <f>IFERROR(VLOOKUP(A774,'Sales Order'!A:D,4,FALSE),"")</f>
        <v>39216</v>
      </c>
      <c r="M774" s="24">
        <f>IFERROR(VLOOKUP(A774,'Sales Order'!A:F,6,FALSE),"")</f>
        <v>39221</v>
      </c>
      <c r="N774" t="str">
        <f>IFERROR(VLOOKUP(VLOOKUP(A774,'Sales Order'!A:G,7,FALSE),Shipper!A:B,2,FALSE),"Not Specified")</f>
        <v>Shipper GVSUA</v>
      </c>
      <c r="O774" t="str">
        <f>IFERROR(VLOOKUP(A774,'Sales Order'!A:I,9,FALSE),"Not Specified")</f>
        <v>Ship to 68-B</v>
      </c>
      <c r="P774" t="str">
        <f>IFERROR(VLOOKUP(A774,'Sales Order'!A:N,14,FALSE),"Not Specified")</f>
        <v>Switzerland</v>
      </c>
      <c r="Q774" t="str">
        <f>VLOOKUP(VLOOKUP(B774,Product!A:C,3,FALSE),Supplier!A:B,2,FALSE)</f>
        <v>Supplier KEREV</v>
      </c>
      <c r="R774" t="str">
        <f>VLOOKUP(VLOOKUP(B774,Product!A:C,3,FALSE),Supplier!A:I,9,FALSE)</f>
        <v>Italy</v>
      </c>
      <c r="S774" t="str">
        <f>IFERROR(IF(VLOOKUP(A774,'Sales Order'!A:H,8,FALSE)&gt;100,"High Freight","Low Freight"),"Not Specified")</f>
        <v>Low Freight</v>
      </c>
      <c r="T774">
        <f t="shared" si="25"/>
        <v>730.8</v>
      </c>
    </row>
    <row r="775" spans="1:20">
      <c r="A775" s="9">
        <v>10537</v>
      </c>
      <c r="B775" s="6">
        <v>73</v>
      </c>
      <c r="C775" s="6">
        <v>15</v>
      </c>
      <c r="D775" s="6">
        <v>9</v>
      </c>
      <c r="E775" s="18">
        <v>0</v>
      </c>
      <c r="F775" s="6" t="str">
        <f>IFERROR(VLOOKUP(VLOOKUP(A775,'Sales Order'!A:B,2,FALSE),Customer!A:C,3,FALSE),"Not Specified")</f>
        <v>Myrcha, Jacek</v>
      </c>
      <c r="G775" s="6" t="str">
        <f t="shared" si="24"/>
        <v>Myrcha Jacek</v>
      </c>
      <c r="H775" s="22" t="str">
        <f>IFERROR(VLOOKUP(VLOOKUP(A775,'Sales Order'!A:C,3,FALSE),Employee!A:E,5,FALSE)&amp;" "&amp;VLOOKUP(VLOOKUP(A775,'Sales Order'!A:C,3,FALSE),Employee!A:C,3,FALSE)&amp;" "&amp;VLOOKUP(VLOOKUP(A775,'Sales Order'!A:C,3,FALSE),Employee!A:B,2,FALSE),"Not Specified")</f>
        <v>Ms. Sara Davis</v>
      </c>
      <c r="I775" t="str">
        <f>IFERROR(VLOOKUP(VLOOKUP(A775,'Sales Order'!A:C,3,FALSE),Employee!A:J,10,FALSE),"Not Specified")</f>
        <v>WA</v>
      </c>
      <c r="J775" t="str">
        <f>VLOOKUP(B775,Product!A:B,2,FALSE)</f>
        <v>Product WEUJZ</v>
      </c>
      <c r="K775" t="str">
        <f>VLOOKUP(VLOOKUP(B775,Product!A:D,4,FALSE),Category!A:B,2,FALSE)</f>
        <v>Seafood</v>
      </c>
      <c r="L775" s="24">
        <f>IFERROR(VLOOKUP(A775,'Sales Order'!A:D,4,FALSE),"")</f>
        <v>39216</v>
      </c>
      <c r="M775" s="24">
        <f>IFERROR(VLOOKUP(A775,'Sales Order'!A:F,6,FALSE),"")</f>
        <v>39221</v>
      </c>
      <c r="N775" t="str">
        <f>IFERROR(VLOOKUP(VLOOKUP(A775,'Sales Order'!A:G,7,FALSE),Shipper!A:B,2,FALSE),"Not Specified")</f>
        <v>Shipper GVSUA</v>
      </c>
      <c r="O775" t="str">
        <f>IFERROR(VLOOKUP(A775,'Sales Order'!A:I,9,FALSE),"Not Specified")</f>
        <v>Ship to 68-B</v>
      </c>
      <c r="P775" t="str">
        <f>IFERROR(VLOOKUP(A775,'Sales Order'!A:N,14,FALSE),"Not Specified")</f>
        <v>Switzerland</v>
      </c>
      <c r="Q775" t="str">
        <f>VLOOKUP(VLOOKUP(B775,Product!A:C,3,FALSE),Supplier!A:B,2,FALSE)</f>
        <v>Supplier QZGUF</v>
      </c>
      <c r="R775" t="str">
        <f>VLOOKUP(VLOOKUP(B775,Product!A:C,3,FALSE),Supplier!A:I,9,FALSE)</f>
        <v>Sweden</v>
      </c>
      <c r="S775" t="str">
        <f>IFERROR(IF(VLOOKUP(A775,'Sales Order'!A:H,8,FALSE)&gt;100,"High Freight","Low Freight"),"Not Specified")</f>
        <v>Low Freight</v>
      </c>
      <c r="T775">
        <f t="shared" si="25"/>
        <v>135</v>
      </c>
    </row>
    <row r="776" spans="1:20">
      <c r="A776" s="9">
        <v>10538</v>
      </c>
      <c r="B776" s="6">
        <v>70</v>
      </c>
      <c r="C776" s="6">
        <v>15</v>
      </c>
      <c r="D776" s="6">
        <v>7</v>
      </c>
      <c r="E776" s="18">
        <v>0</v>
      </c>
      <c r="F776" s="6" t="str">
        <f>IFERROR(VLOOKUP(VLOOKUP(A776,'Sales Order'!A:B,2,FALSE),Customer!A:C,3,FALSE),"Not Specified")</f>
        <v>Jaffe, David</v>
      </c>
      <c r="G776" s="6" t="str">
        <f t="shared" si="24"/>
        <v>Jaffe David</v>
      </c>
      <c r="H776" s="22" t="str">
        <f>IFERROR(VLOOKUP(VLOOKUP(A776,'Sales Order'!A:C,3,FALSE),Employee!A:E,5,FALSE)&amp;" "&amp;VLOOKUP(VLOOKUP(A776,'Sales Order'!A:C,3,FALSE),Employee!A:C,3,FALSE)&amp;" "&amp;VLOOKUP(VLOOKUP(A776,'Sales Order'!A:C,3,FALSE),Employee!A:B,2,FALSE),"Not Specified")</f>
        <v>Ms. Zoya Dolgopyatova</v>
      </c>
      <c r="I776">
        <f>IFERROR(VLOOKUP(VLOOKUP(A776,'Sales Order'!A:C,3,FALSE),Employee!A:J,10,FALSE),"Not Specified")</f>
        <v>0</v>
      </c>
      <c r="J776" t="str">
        <f>VLOOKUP(B776,Product!A:B,2,FALSE)</f>
        <v>Product TOONT</v>
      </c>
      <c r="K776" t="str">
        <f>VLOOKUP(VLOOKUP(B776,Product!A:D,4,FALSE),Category!A:B,2,FALSE)</f>
        <v>Beverages</v>
      </c>
      <c r="L776" s="24">
        <f>IFERROR(VLOOKUP(A776,'Sales Order'!A:D,4,FALSE),"")</f>
        <v>39217</v>
      </c>
      <c r="M776" s="24">
        <f>IFERROR(VLOOKUP(A776,'Sales Order'!A:F,6,FALSE),"")</f>
        <v>39218</v>
      </c>
      <c r="N776" t="str">
        <f>IFERROR(VLOOKUP(VLOOKUP(A776,'Sales Order'!A:G,7,FALSE),Shipper!A:B,2,FALSE),"Not Specified")</f>
        <v>Shipper ZHISN</v>
      </c>
      <c r="O776" t="str">
        <f>IFERROR(VLOOKUP(A776,'Sales Order'!A:I,9,FALSE),"Not Specified")</f>
        <v>Destination DLEUN</v>
      </c>
      <c r="P776" t="str">
        <f>IFERROR(VLOOKUP(A776,'Sales Order'!A:N,14,FALSE),"Not Specified")</f>
        <v>UK</v>
      </c>
      <c r="Q776" t="str">
        <f>VLOOKUP(VLOOKUP(B776,Product!A:C,3,FALSE),Supplier!A:B,2,FALSE)</f>
        <v>Supplier GQRCV</v>
      </c>
      <c r="R776" t="str">
        <f>VLOOKUP(VLOOKUP(B776,Product!A:C,3,FALSE),Supplier!A:I,9,FALSE)</f>
        <v>Australia</v>
      </c>
      <c r="S776" t="str">
        <f>IFERROR(IF(VLOOKUP(A776,'Sales Order'!A:H,8,FALSE)&gt;100,"High Freight","Low Freight"),"Not Specified")</f>
        <v>Low Freight</v>
      </c>
      <c r="T776">
        <f t="shared" si="25"/>
        <v>105</v>
      </c>
    </row>
    <row r="777" spans="1:20">
      <c r="A777" s="9">
        <v>10538</v>
      </c>
      <c r="B777" s="6">
        <v>72</v>
      </c>
      <c r="C777" s="6">
        <v>34.799999999999997</v>
      </c>
      <c r="D777" s="6">
        <v>1</v>
      </c>
      <c r="E777" s="18">
        <v>0</v>
      </c>
      <c r="F777" s="6" t="str">
        <f>IFERROR(VLOOKUP(VLOOKUP(A777,'Sales Order'!A:B,2,FALSE),Customer!A:C,3,FALSE),"Not Specified")</f>
        <v>Jaffe, David</v>
      </c>
      <c r="G777" s="6" t="str">
        <f t="shared" si="24"/>
        <v>Jaffe David</v>
      </c>
      <c r="H777" s="22" t="str">
        <f>IFERROR(VLOOKUP(VLOOKUP(A777,'Sales Order'!A:C,3,FALSE),Employee!A:E,5,FALSE)&amp;" "&amp;VLOOKUP(VLOOKUP(A777,'Sales Order'!A:C,3,FALSE),Employee!A:C,3,FALSE)&amp;" "&amp;VLOOKUP(VLOOKUP(A777,'Sales Order'!A:C,3,FALSE),Employee!A:B,2,FALSE),"Not Specified")</f>
        <v>Ms. Zoya Dolgopyatova</v>
      </c>
      <c r="I777">
        <f>IFERROR(VLOOKUP(VLOOKUP(A777,'Sales Order'!A:C,3,FALSE),Employee!A:J,10,FALSE),"Not Specified")</f>
        <v>0</v>
      </c>
      <c r="J777" t="str">
        <f>VLOOKUP(B777,Product!A:B,2,FALSE)</f>
        <v>Product GEEOO</v>
      </c>
      <c r="K777" t="str">
        <f>VLOOKUP(VLOOKUP(B777,Product!A:D,4,FALSE),Category!A:B,2,FALSE)</f>
        <v>Dairy Product</v>
      </c>
      <c r="L777" s="24">
        <f>IFERROR(VLOOKUP(A777,'Sales Order'!A:D,4,FALSE),"")</f>
        <v>39217</v>
      </c>
      <c r="M777" s="24">
        <f>IFERROR(VLOOKUP(A777,'Sales Order'!A:F,6,FALSE),"")</f>
        <v>39218</v>
      </c>
      <c r="N777" t="str">
        <f>IFERROR(VLOOKUP(VLOOKUP(A777,'Sales Order'!A:G,7,FALSE),Shipper!A:B,2,FALSE),"Not Specified")</f>
        <v>Shipper ZHISN</v>
      </c>
      <c r="O777" t="str">
        <f>IFERROR(VLOOKUP(A777,'Sales Order'!A:I,9,FALSE),"Not Specified")</f>
        <v>Destination DLEUN</v>
      </c>
      <c r="P777" t="str">
        <f>IFERROR(VLOOKUP(A777,'Sales Order'!A:N,14,FALSE),"Not Specified")</f>
        <v>UK</v>
      </c>
      <c r="Q777" t="str">
        <f>VLOOKUP(VLOOKUP(B777,Product!A:C,3,FALSE),Supplier!A:B,2,FALSE)</f>
        <v>Supplier KEREV</v>
      </c>
      <c r="R777" t="str">
        <f>VLOOKUP(VLOOKUP(B777,Product!A:C,3,FALSE),Supplier!A:I,9,FALSE)</f>
        <v>Italy</v>
      </c>
      <c r="S777" t="str">
        <f>IFERROR(IF(VLOOKUP(A777,'Sales Order'!A:H,8,FALSE)&gt;100,"High Freight","Low Freight"),"Not Specified")</f>
        <v>Low Freight</v>
      </c>
      <c r="T777">
        <f t="shared" si="25"/>
        <v>34.799999999999997</v>
      </c>
    </row>
    <row r="778" spans="1:20">
      <c r="A778" s="9">
        <v>10539</v>
      </c>
      <c r="B778" s="6">
        <v>13</v>
      </c>
      <c r="C778" s="6">
        <v>6</v>
      </c>
      <c r="D778" s="6">
        <v>8</v>
      </c>
      <c r="E778" s="18">
        <v>0</v>
      </c>
      <c r="F778" s="6" t="str">
        <f>IFERROR(VLOOKUP(VLOOKUP(A778,'Sales Order'!A:B,2,FALSE),Customer!A:C,3,FALSE),"Not Specified")</f>
        <v>Jaffe, David</v>
      </c>
      <c r="G778" s="6" t="str">
        <f t="shared" si="24"/>
        <v>Jaffe David</v>
      </c>
      <c r="H778" s="22" t="str">
        <f>IFERROR(VLOOKUP(VLOOKUP(A778,'Sales Order'!A:C,3,FALSE),Employee!A:E,5,FALSE)&amp;" "&amp;VLOOKUP(VLOOKUP(A778,'Sales Order'!A:C,3,FALSE),Employee!A:C,3,FALSE)&amp;" "&amp;VLOOKUP(VLOOKUP(A778,'Sales Order'!A:C,3,FALSE),Employee!A:B,2,FALSE),"Not Specified")</f>
        <v>Mr. Paul Suurs</v>
      </c>
      <c r="I778">
        <f>IFERROR(VLOOKUP(VLOOKUP(A778,'Sales Order'!A:C,3,FALSE),Employee!A:J,10,FALSE),"Not Specified")</f>
        <v>0</v>
      </c>
      <c r="J778" t="str">
        <f>VLOOKUP(B778,Product!A:B,2,FALSE)</f>
        <v>Product POXFU</v>
      </c>
      <c r="K778" t="str">
        <f>VLOOKUP(VLOOKUP(B778,Product!A:D,4,FALSE),Category!A:B,2,FALSE)</f>
        <v>Seafood</v>
      </c>
      <c r="L778" s="24">
        <f>IFERROR(VLOOKUP(A778,'Sales Order'!A:D,4,FALSE),"")</f>
        <v>39218</v>
      </c>
      <c r="M778" s="24">
        <f>IFERROR(VLOOKUP(A778,'Sales Order'!A:F,6,FALSE),"")</f>
        <v>39225</v>
      </c>
      <c r="N778" t="str">
        <f>IFERROR(VLOOKUP(VLOOKUP(A778,'Sales Order'!A:G,7,FALSE),Shipper!A:B,2,FALSE),"Not Specified")</f>
        <v>Shipper ZHISN</v>
      </c>
      <c r="O778" t="str">
        <f>IFERROR(VLOOKUP(A778,'Sales Order'!A:I,9,FALSE),"Not Specified")</f>
        <v>Destination DLEUN</v>
      </c>
      <c r="P778" t="str">
        <f>IFERROR(VLOOKUP(A778,'Sales Order'!A:N,14,FALSE),"Not Specified")</f>
        <v>UK</v>
      </c>
      <c r="Q778" t="str">
        <f>VLOOKUP(VLOOKUP(B778,Product!A:C,3,FALSE),Supplier!A:B,2,FALSE)</f>
        <v>Supplier QWUSF</v>
      </c>
      <c r="R778" t="str">
        <f>VLOOKUP(VLOOKUP(B778,Product!A:C,3,FALSE),Supplier!A:I,9,FALSE)</f>
        <v>Japan</v>
      </c>
      <c r="S778" t="str">
        <f>IFERROR(IF(VLOOKUP(A778,'Sales Order'!A:H,8,FALSE)&gt;100,"High Freight","Low Freight"),"Not Specified")</f>
        <v>Low Freight</v>
      </c>
      <c r="T778">
        <f t="shared" si="25"/>
        <v>48</v>
      </c>
    </row>
    <row r="779" spans="1:20">
      <c r="A779" s="9">
        <v>10539</v>
      </c>
      <c r="B779" s="6">
        <v>21</v>
      </c>
      <c r="C779" s="6">
        <v>10</v>
      </c>
      <c r="D779" s="6">
        <v>15</v>
      </c>
      <c r="E779" s="18">
        <v>0</v>
      </c>
      <c r="F779" s="6" t="str">
        <f>IFERROR(VLOOKUP(VLOOKUP(A779,'Sales Order'!A:B,2,FALSE),Customer!A:C,3,FALSE),"Not Specified")</f>
        <v>Jaffe, David</v>
      </c>
      <c r="G779" s="6" t="str">
        <f t="shared" si="24"/>
        <v>Jaffe David</v>
      </c>
      <c r="H779" s="22" t="str">
        <f>IFERROR(VLOOKUP(VLOOKUP(A779,'Sales Order'!A:C,3,FALSE),Employee!A:E,5,FALSE)&amp;" "&amp;VLOOKUP(VLOOKUP(A779,'Sales Order'!A:C,3,FALSE),Employee!A:C,3,FALSE)&amp;" "&amp;VLOOKUP(VLOOKUP(A779,'Sales Order'!A:C,3,FALSE),Employee!A:B,2,FALSE),"Not Specified")</f>
        <v>Mr. Paul Suurs</v>
      </c>
      <c r="I779">
        <f>IFERROR(VLOOKUP(VLOOKUP(A779,'Sales Order'!A:C,3,FALSE),Employee!A:J,10,FALSE),"Not Specified")</f>
        <v>0</v>
      </c>
      <c r="J779" t="str">
        <f>VLOOKUP(B779,Product!A:B,2,FALSE)</f>
        <v>Product VJZZH</v>
      </c>
      <c r="K779" t="str">
        <f>VLOOKUP(VLOOKUP(B779,Product!A:D,4,FALSE),Category!A:B,2,FALSE)</f>
        <v>Confections</v>
      </c>
      <c r="L779" s="24">
        <f>IFERROR(VLOOKUP(A779,'Sales Order'!A:D,4,FALSE),"")</f>
        <v>39218</v>
      </c>
      <c r="M779" s="24">
        <f>IFERROR(VLOOKUP(A779,'Sales Order'!A:F,6,FALSE),"")</f>
        <v>39225</v>
      </c>
      <c r="N779" t="str">
        <f>IFERROR(VLOOKUP(VLOOKUP(A779,'Sales Order'!A:G,7,FALSE),Shipper!A:B,2,FALSE),"Not Specified")</f>
        <v>Shipper ZHISN</v>
      </c>
      <c r="O779" t="str">
        <f>IFERROR(VLOOKUP(A779,'Sales Order'!A:I,9,FALSE),"Not Specified")</f>
        <v>Destination DLEUN</v>
      </c>
      <c r="P779" t="str">
        <f>IFERROR(VLOOKUP(A779,'Sales Order'!A:N,14,FALSE),"Not Specified")</f>
        <v>UK</v>
      </c>
      <c r="Q779" t="str">
        <f>VLOOKUP(VLOOKUP(B779,Product!A:C,3,FALSE),Supplier!A:B,2,FALSE)</f>
        <v>Supplier BWGYE</v>
      </c>
      <c r="R779" t="str">
        <f>VLOOKUP(VLOOKUP(B779,Product!A:C,3,FALSE),Supplier!A:I,9,FALSE)</f>
        <v>UK</v>
      </c>
      <c r="S779" t="str">
        <f>IFERROR(IF(VLOOKUP(A779,'Sales Order'!A:H,8,FALSE)&gt;100,"High Freight","Low Freight"),"Not Specified")</f>
        <v>Low Freight</v>
      </c>
      <c r="T779">
        <f t="shared" si="25"/>
        <v>150</v>
      </c>
    </row>
    <row r="780" spans="1:20">
      <c r="A780" s="9">
        <v>10539</v>
      </c>
      <c r="B780" s="6">
        <v>33</v>
      </c>
      <c r="C780" s="6">
        <v>2.5</v>
      </c>
      <c r="D780" s="6">
        <v>15</v>
      </c>
      <c r="E780" s="18">
        <v>0</v>
      </c>
      <c r="F780" s="6" t="str">
        <f>IFERROR(VLOOKUP(VLOOKUP(A780,'Sales Order'!A:B,2,FALSE),Customer!A:C,3,FALSE),"Not Specified")</f>
        <v>Jaffe, David</v>
      </c>
      <c r="G780" s="6" t="str">
        <f t="shared" si="24"/>
        <v>Jaffe David</v>
      </c>
      <c r="H780" s="22" t="str">
        <f>IFERROR(VLOOKUP(VLOOKUP(A780,'Sales Order'!A:C,3,FALSE),Employee!A:E,5,FALSE)&amp;" "&amp;VLOOKUP(VLOOKUP(A780,'Sales Order'!A:C,3,FALSE),Employee!A:C,3,FALSE)&amp;" "&amp;VLOOKUP(VLOOKUP(A780,'Sales Order'!A:C,3,FALSE),Employee!A:B,2,FALSE),"Not Specified")</f>
        <v>Mr. Paul Suurs</v>
      </c>
      <c r="I780">
        <f>IFERROR(VLOOKUP(VLOOKUP(A780,'Sales Order'!A:C,3,FALSE),Employee!A:J,10,FALSE),"Not Specified")</f>
        <v>0</v>
      </c>
      <c r="J780" t="str">
        <f>VLOOKUP(B780,Product!A:B,2,FALSE)</f>
        <v>Product ASTMN</v>
      </c>
      <c r="K780" t="str">
        <f>VLOOKUP(VLOOKUP(B780,Product!A:D,4,FALSE),Category!A:B,2,FALSE)</f>
        <v>Dairy Product</v>
      </c>
      <c r="L780" s="24">
        <f>IFERROR(VLOOKUP(A780,'Sales Order'!A:D,4,FALSE),"")</f>
        <v>39218</v>
      </c>
      <c r="M780" s="24">
        <f>IFERROR(VLOOKUP(A780,'Sales Order'!A:F,6,FALSE),"")</f>
        <v>39225</v>
      </c>
      <c r="N780" t="str">
        <f>IFERROR(VLOOKUP(VLOOKUP(A780,'Sales Order'!A:G,7,FALSE),Shipper!A:B,2,FALSE),"Not Specified")</f>
        <v>Shipper ZHISN</v>
      </c>
      <c r="O780" t="str">
        <f>IFERROR(VLOOKUP(A780,'Sales Order'!A:I,9,FALSE),"Not Specified")</f>
        <v>Destination DLEUN</v>
      </c>
      <c r="P780" t="str">
        <f>IFERROR(VLOOKUP(A780,'Sales Order'!A:N,14,FALSE),"Not Specified")</f>
        <v>UK</v>
      </c>
      <c r="Q780" t="str">
        <f>VLOOKUP(VLOOKUP(B780,Product!A:C,3,FALSE),Supplier!A:B,2,FALSE)</f>
        <v>Supplier NZLIF</v>
      </c>
      <c r="R780" t="str">
        <f>VLOOKUP(VLOOKUP(B780,Product!A:C,3,FALSE),Supplier!A:I,9,FALSE)</f>
        <v>Norway</v>
      </c>
      <c r="S780" t="str">
        <f>IFERROR(IF(VLOOKUP(A780,'Sales Order'!A:H,8,FALSE)&gt;100,"High Freight","Low Freight"),"Not Specified")</f>
        <v>Low Freight</v>
      </c>
      <c r="T780">
        <f t="shared" si="25"/>
        <v>37.5</v>
      </c>
    </row>
    <row r="781" spans="1:20">
      <c r="A781" s="9">
        <v>10539</v>
      </c>
      <c r="B781" s="6">
        <v>49</v>
      </c>
      <c r="C781" s="6">
        <v>20</v>
      </c>
      <c r="D781" s="6">
        <v>6</v>
      </c>
      <c r="E781" s="18">
        <v>0</v>
      </c>
      <c r="F781" s="6" t="str">
        <f>IFERROR(VLOOKUP(VLOOKUP(A781,'Sales Order'!A:B,2,FALSE),Customer!A:C,3,FALSE),"Not Specified")</f>
        <v>Jaffe, David</v>
      </c>
      <c r="G781" s="6" t="str">
        <f t="shared" si="24"/>
        <v>Jaffe David</v>
      </c>
      <c r="H781" s="22" t="str">
        <f>IFERROR(VLOOKUP(VLOOKUP(A781,'Sales Order'!A:C,3,FALSE),Employee!A:E,5,FALSE)&amp;" "&amp;VLOOKUP(VLOOKUP(A781,'Sales Order'!A:C,3,FALSE),Employee!A:C,3,FALSE)&amp;" "&amp;VLOOKUP(VLOOKUP(A781,'Sales Order'!A:C,3,FALSE),Employee!A:B,2,FALSE),"Not Specified")</f>
        <v>Mr. Paul Suurs</v>
      </c>
      <c r="I781">
        <f>IFERROR(VLOOKUP(VLOOKUP(A781,'Sales Order'!A:C,3,FALSE),Employee!A:J,10,FALSE),"Not Specified")</f>
        <v>0</v>
      </c>
      <c r="J781" t="str">
        <f>VLOOKUP(B781,Product!A:B,2,FALSE)</f>
        <v>Product FPYPN</v>
      </c>
      <c r="K781" t="str">
        <f>VLOOKUP(VLOOKUP(B781,Product!A:D,4,FALSE),Category!A:B,2,FALSE)</f>
        <v>Confections</v>
      </c>
      <c r="L781" s="24">
        <f>IFERROR(VLOOKUP(A781,'Sales Order'!A:D,4,FALSE),"")</f>
        <v>39218</v>
      </c>
      <c r="M781" s="24">
        <f>IFERROR(VLOOKUP(A781,'Sales Order'!A:F,6,FALSE),"")</f>
        <v>39225</v>
      </c>
      <c r="N781" t="str">
        <f>IFERROR(VLOOKUP(VLOOKUP(A781,'Sales Order'!A:G,7,FALSE),Shipper!A:B,2,FALSE),"Not Specified")</f>
        <v>Shipper ZHISN</v>
      </c>
      <c r="O781" t="str">
        <f>IFERROR(VLOOKUP(A781,'Sales Order'!A:I,9,FALSE),"Not Specified")</f>
        <v>Destination DLEUN</v>
      </c>
      <c r="P781" t="str">
        <f>IFERROR(VLOOKUP(A781,'Sales Order'!A:N,14,FALSE),"Not Specified")</f>
        <v>UK</v>
      </c>
      <c r="Q781" t="str">
        <f>VLOOKUP(VLOOKUP(B781,Product!A:C,3,FALSE),Supplier!A:B,2,FALSE)</f>
        <v>Supplier ELCRN</v>
      </c>
      <c r="R781" t="str">
        <f>VLOOKUP(VLOOKUP(B781,Product!A:C,3,FALSE),Supplier!A:I,9,FALSE)</f>
        <v>Finland</v>
      </c>
      <c r="S781" t="str">
        <f>IFERROR(IF(VLOOKUP(A781,'Sales Order'!A:H,8,FALSE)&gt;100,"High Freight","Low Freight"),"Not Specified")</f>
        <v>Low Freight</v>
      </c>
      <c r="T781">
        <f t="shared" si="25"/>
        <v>120</v>
      </c>
    </row>
    <row r="782" spans="1:20">
      <c r="A782" s="9">
        <v>10540</v>
      </c>
      <c r="B782" s="6">
        <v>3</v>
      </c>
      <c r="C782" s="6">
        <v>10</v>
      </c>
      <c r="D782" s="6">
        <v>60</v>
      </c>
      <c r="E782" s="18">
        <v>0</v>
      </c>
      <c r="F782" s="6" t="str">
        <f>IFERROR(VLOOKUP(VLOOKUP(A782,'Sales Order'!A:B,2,FALSE),Customer!A:C,3,FALSE),"Not Specified")</f>
        <v>Veronesi, Giorgio</v>
      </c>
      <c r="G782" s="6" t="str">
        <f t="shared" si="24"/>
        <v>Veronesi Giorgio</v>
      </c>
      <c r="H782" s="22" t="str">
        <f>IFERROR(VLOOKUP(VLOOKUP(A782,'Sales Order'!A:C,3,FALSE),Employee!A:E,5,FALSE)&amp;" "&amp;VLOOKUP(VLOOKUP(A782,'Sales Order'!A:C,3,FALSE),Employee!A:C,3,FALSE)&amp;" "&amp;VLOOKUP(VLOOKUP(A782,'Sales Order'!A:C,3,FALSE),Employee!A:B,2,FALSE),"Not Specified")</f>
        <v>Ms. Judy Lew</v>
      </c>
      <c r="I782" t="str">
        <f>IFERROR(VLOOKUP(VLOOKUP(A782,'Sales Order'!A:C,3,FALSE),Employee!A:J,10,FALSE),"Not Specified")</f>
        <v>WA</v>
      </c>
      <c r="J782" t="str">
        <f>VLOOKUP(B782,Product!A:B,2,FALSE)</f>
        <v>Product IMEHJ</v>
      </c>
      <c r="K782" t="str">
        <f>VLOOKUP(VLOOKUP(B782,Product!A:D,4,FALSE),Category!A:B,2,FALSE)</f>
        <v>Condiments</v>
      </c>
      <c r="L782" s="24">
        <f>IFERROR(VLOOKUP(A782,'Sales Order'!A:D,4,FALSE),"")</f>
        <v>39221</v>
      </c>
      <c r="M782" s="24">
        <f>IFERROR(VLOOKUP(A782,'Sales Order'!A:F,6,FALSE),"")</f>
        <v>39246</v>
      </c>
      <c r="N782" t="str">
        <f>IFERROR(VLOOKUP(VLOOKUP(A782,'Sales Order'!A:G,7,FALSE),Shipper!A:B,2,FALSE),"Not Specified")</f>
        <v>Shipper ZHISN</v>
      </c>
      <c r="O782" t="str">
        <f>IFERROR(VLOOKUP(A782,'Sales Order'!A:I,9,FALSE),"Not Specified")</f>
        <v>Ship to 63-C</v>
      </c>
      <c r="P782" t="str">
        <f>IFERROR(VLOOKUP(A782,'Sales Order'!A:N,14,FALSE),"Not Specified")</f>
        <v>Germany</v>
      </c>
      <c r="Q782" t="str">
        <f>VLOOKUP(VLOOKUP(B782,Product!A:C,3,FALSE),Supplier!A:B,2,FALSE)</f>
        <v>Supplier SWRXU</v>
      </c>
      <c r="R782" t="str">
        <f>VLOOKUP(VLOOKUP(B782,Product!A:C,3,FALSE),Supplier!A:I,9,FALSE)</f>
        <v>UK</v>
      </c>
      <c r="S782" t="str">
        <f>IFERROR(IF(VLOOKUP(A782,'Sales Order'!A:H,8,FALSE)&gt;100,"High Freight","Low Freight"),"Not Specified")</f>
        <v>High Freight</v>
      </c>
      <c r="T782">
        <f t="shared" si="25"/>
        <v>600</v>
      </c>
    </row>
    <row r="783" spans="1:20">
      <c r="A783" s="9">
        <v>10540</v>
      </c>
      <c r="B783" s="6">
        <v>26</v>
      </c>
      <c r="C783" s="6">
        <v>31.23</v>
      </c>
      <c r="D783" s="6">
        <v>40</v>
      </c>
      <c r="E783" s="18">
        <v>0</v>
      </c>
      <c r="F783" s="6" t="str">
        <f>IFERROR(VLOOKUP(VLOOKUP(A783,'Sales Order'!A:B,2,FALSE),Customer!A:C,3,FALSE),"Not Specified")</f>
        <v>Veronesi, Giorgio</v>
      </c>
      <c r="G783" s="6" t="str">
        <f t="shared" si="24"/>
        <v>Veronesi Giorgio</v>
      </c>
      <c r="H783" s="22" t="str">
        <f>IFERROR(VLOOKUP(VLOOKUP(A783,'Sales Order'!A:C,3,FALSE),Employee!A:E,5,FALSE)&amp;" "&amp;VLOOKUP(VLOOKUP(A783,'Sales Order'!A:C,3,FALSE),Employee!A:C,3,FALSE)&amp;" "&amp;VLOOKUP(VLOOKUP(A783,'Sales Order'!A:C,3,FALSE),Employee!A:B,2,FALSE),"Not Specified")</f>
        <v>Ms. Judy Lew</v>
      </c>
      <c r="I783" t="str">
        <f>IFERROR(VLOOKUP(VLOOKUP(A783,'Sales Order'!A:C,3,FALSE),Employee!A:J,10,FALSE),"Not Specified")</f>
        <v>WA</v>
      </c>
      <c r="J783" t="str">
        <f>VLOOKUP(B783,Product!A:B,2,FALSE)</f>
        <v>Product HLGZA</v>
      </c>
      <c r="K783" t="str">
        <f>VLOOKUP(VLOOKUP(B783,Product!A:D,4,FALSE),Category!A:B,2,FALSE)</f>
        <v>Confections</v>
      </c>
      <c r="L783" s="24">
        <f>IFERROR(VLOOKUP(A783,'Sales Order'!A:D,4,FALSE),"")</f>
        <v>39221</v>
      </c>
      <c r="M783" s="24">
        <f>IFERROR(VLOOKUP(A783,'Sales Order'!A:F,6,FALSE),"")</f>
        <v>39246</v>
      </c>
      <c r="N783" t="str">
        <f>IFERROR(VLOOKUP(VLOOKUP(A783,'Sales Order'!A:G,7,FALSE),Shipper!A:B,2,FALSE),"Not Specified")</f>
        <v>Shipper ZHISN</v>
      </c>
      <c r="O783" t="str">
        <f>IFERROR(VLOOKUP(A783,'Sales Order'!A:I,9,FALSE),"Not Specified")</f>
        <v>Ship to 63-C</v>
      </c>
      <c r="P783" t="str">
        <f>IFERROR(VLOOKUP(A783,'Sales Order'!A:N,14,FALSE),"Not Specified")</f>
        <v>Germany</v>
      </c>
      <c r="Q783" t="str">
        <f>VLOOKUP(VLOOKUP(B783,Product!A:C,3,FALSE),Supplier!A:B,2,FALSE)</f>
        <v>Supplier ZPYVS</v>
      </c>
      <c r="R783" t="str">
        <f>VLOOKUP(VLOOKUP(B783,Product!A:C,3,FALSE),Supplier!A:I,9,FALSE)</f>
        <v>Germany</v>
      </c>
      <c r="S783" t="str">
        <f>IFERROR(IF(VLOOKUP(A783,'Sales Order'!A:H,8,FALSE)&gt;100,"High Freight","Low Freight"),"Not Specified")</f>
        <v>High Freight</v>
      </c>
      <c r="T783">
        <f t="shared" si="25"/>
        <v>1249.2</v>
      </c>
    </row>
    <row r="784" spans="1:20">
      <c r="A784" s="9">
        <v>10540</v>
      </c>
      <c r="B784" s="6">
        <v>38</v>
      </c>
      <c r="C784" s="6">
        <v>263.5</v>
      </c>
      <c r="D784" s="6">
        <v>30</v>
      </c>
      <c r="E784" s="18">
        <v>0</v>
      </c>
      <c r="F784" s="6" t="str">
        <f>IFERROR(VLOOKUP(VLOOKUP(A784,'Sales Order'!A:B,2,FALSE),Customer!A:C,3,FALSE),"Not Specified")</f>
        <v>Veronesi, Giorgio</v>
      </c>
      <c r="G784" s="6" t="str">
        <f t="shared" si="24"/>
        <v>Veronesi Giorgio</v>
      </c>
      <c r="H784" s="22" t="str">
        <f>IFERROR(VLOOKUP(VLOOKUP(A784,'Sales Order'!A:C,3,FALSE),Employee!A:E,5,FALSE)&amp;" "&amp;VLOOKUP(VLOOKUP(A784,'Sales Order'!A:C,3,FALSE),Employee!A:C,3,FALSE)&amp;" "&amp;VLOOKUP(VLOOKUP(A784,'Sales Order'!A:C,3,FALSE),Employee!A:B,2,FALSE),"Not Specified")</f>
        <v>Ms. Judy Lew</v>
      </c>
      <c r="I784" t="str">
        <f>IFERROR(VLOOKUP(VLOOKUP(A784,'Sales Order'!A:C,3,FALSE),Employee!A:J,10,FALSE),"Not Specified")</f>
        <v>WA</v>
      </c>
      <c r="J784" t="str">
        <f>VLOOKUP(B784,Product!A:B,2,FALSE)</f>
        <v>Product QDOMO</v>
      </c>
      <c r="K784" t="str">
        <f>VLOOKUP(VLOOKUP(B784,Product!A:D,4,FALSE),Category!A:B,2,FALSE)</f>
        <v>Beverages</v>
      </c>
      <c r="L784" s="24">
        <f>IFERROR(VLOOKUP(A784,'Sales Order'!A:D,4,FALSE),"")</f>
        <v>39221</v>
      </c>
      <c r="M784" s="24">
        <f>IFERROR(VLOOKUP(A784,'Sales Order'!A:F,6,FALSE),"")</f>
        <v>39246</v>
      </c>
      <c r="N784" t="str">
        <f>IFERROR(VLOOKUP(VLOOKUP(A784,'Sales Order'!A:G,7,FALSE),Shipper!A:B,2,FALSE),"Not Specified")</f>
        <v>Shipper ZHISN</v>
      </c>
      <c r="O784" t="str">
        <f>IFERROR(VLOOKUP(A784,'Sales Order'!A:I,9,FALSE),"Not Specified")</f>
        <v>Ship to 63-C</v>
      </c>
      <c r="P784" t="str">
        <f>IFERROR(VLOOKUP(A784,'Sales Order'!A:N,14,FALSE),"Not Specified")</f>
        <v>Germany</v>
      </c>
      <c r="Q784" t="str">
        <f>VLOOKUP(VLOOKUP(B784,Product!A:C,3,FALSE),Supplier!A:B,2,FALSE)</f>
        <v>Supplier LVJUA</v>
      </c>
      <c r="R784" t="str">
        <f>VLOOKUP(VLOOKUP(B784,Product!A:C,3,FALSE),Supplier!A:I,9,FALSE)</f>
        <v>France</v>
      </c>
      <c r="S784" t="str">
        <f>IFERROR(IF(VLOOKUP(A784,'Sales Order'!A:H,8,FALSE)&gt;100,"High Freight","Low Freight"),"Not Specified")</f>
        <v>High Freight</v>
      </c>
      <c r="T784">
        <f t="shared" si="25"/>
        <v>7905</v>
      </c>
    </row>
    <row r="785" spans="1:20">
      <c r="A785" s="9">
        <v>10540</v>
      </c>
      <c r="B785" s="6">
        <v>68</v>
      </c>
      <c r="C785" s="6">
        <v>12.5</v>
      </c>
      <c r="D785" s="6">
        <v>35</v>
      </c>
      <c r="E785" s="18">
        <v>0</v>
      </c>
      <c r="F785" s="6" t="str">
        <f>IFERROR(VLOOKUP(VLOOKUP(A785,'Sales Order'!A:B,2,FALSE),Customer!A:C,3,FALSE),"Not Specified")</f>
        <v>Veronesi, Giorgio</v>
      </c>
      <c r="G785" s="6" t="str">
        <f t="shared" si="24"/>
        <v>Veronesi Giorgio</v>
      </c>
      <c r="H785" s="22" t="str">
        <f>IFERROR(VLOOKUP(VLOOKUP(A785,'Sales Order'!A:C,3,FALSE),Employee!A:E,5,FALSE)&amp;" "&amp;VLOOKUP(VLOOKUP(A785,'Sales Order'!A:C,3,FALSE),Employee!A:C,3,FALSE)&amp;" "&amp;VLOOKUP(VLOOKUP(A785,'Sales Order'!A:C,3,FALSE),Employee!A:B,2,FALSE),"Not Specified")</f>
        <v>Ms. Judy Lew</v>
      </c>
      <c r="I785" t="str">
        <f>IFERROR(VLOOKUP(VLOOKUP(A785,'Sales Order'!A:C,3,FALSE),Employee!A:J,10,FALSE),"Not Specified")</f>
        <v>WA</v>
      </c>
      <c r="J785" t="str">
        <f>VLOOKUP(B785,Product!A:B,2,FALSE)</f>
        <v>Product TBTBL</v>
      </c>
      <c r="K785" t="str">
        <f>VLOOKUP(VLOOKUP(B785,Product!A:D,4,FALSE),Category!A:B,2,FALSE)</f>
        <v>Confections</v>
      </c>
      <c r="L785" s="24">
        <f>IFERROR(VLOOKUP(A785,'Sales Order'!A:D,4,FALSE),"")</f>
        <v>39221</v>
      </c>
      <c r="M785" s="24">
        <f>IFERROR(VLOOKUP(A785,'Sales Order'!A:F,6,FALSE),"")</f>
        <v>39246</v>
      </c>
      <c r="N785" t="str">
        <f>IFERROR(VLOOKUP(VLOOKUP(A785,'Sales Order'!A:G,7,FALSE),Shipper!A:B,2,FALSE),"Not Specified")</f>
        <v>Shipper ZHISN</v>
      </c>
      <c r="O785" t="str">
        <f>IFERROR(VLOOKUP(A785,'Sales Order'!A:I,9,FALSE),"Not Specified")</f>
        <v>Ship to 63-C</v>
      </c>
      <c r="P785" t="str">
        <f>IFERROR(VLOOKUP(A785,'Sales Order'!A:N,14,FALSE),"Not Specified")</f>
        <v>Germany</v>
      </c>
      <c r="Q785" t="str">
        <f>VLOOKUP(VLOOKUP(B785,Product!A:C,3,FALSE),Supplier!A:B,2,FALSE)</f>
        <v>Supplier BWGYE</v>
      </c>
      <c r="R785" t="str">
        <f>VLOOKUP(VLOOKUP(B785,Product!A:C,3,FALSE),Supplier!A:I,9,FALSE)</f>
        <v>UK</v>
      </c>
      <c r="S785" t="str">
        <f>IFERROR(IF(VLOOKUP(A785,'Sales Order'!A:H,8,FALSE)&gt;100,"High Freight","Low Freight"),"Not Specified")</f>
        <v>High Freight</v>
      </c>
      <c r="T785">
        <f t="shared" si="25"/>
        <v>437.5</v>
      </c>
    </row>
    <row r="786" spans="1:20">
      <c r="A786" s="9">
        <v>10541</v>
      </c>
      <c r="B786" s="6">
        <v>24</v>
      </c>
      <c r="C786" s="6">
        <v>4.5</v>
      </c>
      <c r="D786" s="6">
        <v>35</v>
      </c>
      <c r="E786" s="18">
        <v>0.1</v>
      </c>
      <c r="F786" s="6" t="str">
        <f>IFERROR(VLOOKUP(VLOOKUP(A786,'Sales Order'!A:B,2,FALSE),Customer!A:C,3,FALSE),"Not Specified")</f>
        <v>Cohen, Shy</v>
      </c>
      <c r="G786" s="6" t="str">
        <f t="shared" si="24"/>
        <v>Cohen Shy</v>
      </c>
      <c r="H786" s="22" t="str">
        <f>IFERROR(VLOOKUP(VLOOKUP(A786,'Sales Order'!A:C,3,FALSE),Employee!A:E,5,FALSE)&amp;" "&amp;VLOOKUP(VLOOKUP(A786,'Sales Order'!A:C,3,FALSE),Employee!A:C,3,FALSE)&amp;" "&amp;VLOOKUP(VLOOKUP(A786,'Sales Order'!A:C,3,FALSE),Employee!A:B,2,FALSE),"Not Specified")</f>
        <v>Dr. Don Funk</v>
      </c>
      <c r="I786" t="str">
        <f>IFERROR(VLOOKUP(VLOOKUP(A786,'Sales Order'!A:C,3,FALSE),Employee!A:J,10,FALSE),"Not Specified")</f>
        <v>WA</v>
      </c>
      <c r="J786" t="str">
        <f>VLOOKUP(B786,Product!A:B,2,FALSE)</f>
        <v>Product QOGNU</v>
      </c>
      <c r="K786" t="str">
        <f>VLOOKUP(VLOOKUP(B786,Product!A:D,4,FALSE),Category!A:B,2,FALSE)</f>
        <v>Beverages</v>
      </c>
      <c r="L786" s="24">
        <f>IFERROR(VLOOKUP(A786,'Sales Order'!A:D,4,FALSE),"")</f>
        <v>39221</v>
      </c>
      <c r="M786" s="24">
        <f>IFERROR(VLOOKUP(A786,'Sales Order'!A:F,6,FALSE),"")</f>
        <v>39231</v>
      </c>
      <c r="N786" t="str">
        <f>IFERROR(VLOOKUP(VLOOKUP(A786,'Sales Order'!A:G,7,FALSE),Shipper!A:B,2,FALSE),"Not Specified")</f>
        <v>Shipper GVSUA</v>
      </c>
      <c r="O786" t="str">
        <f>IFERROR(VLOOKUP(A786,'Sales Order'!A:I,9,FALSE),"Not Specified")</f>
        <v>Destination SCQXA</v>
      </c>
      <c r="P786" t="str">
        <f>IFERROR(VLOOKUP(A786,'Sales Order'!A:N,14,FALSE),"Not Specified")</f>
        <v>Brazil</v>
      </c>
      <c r="Q786" t="str">
        <f>VLOOKUP(VLOOKUP(B786,Product!A:C,3,FALSE),Supplier!A:B,2,FALSE)</f>
        <v>Supplier UNAHG</v>
      </c>
      <c r="R786" t="str">
        <f>VLOOKUP(VLOOKUP(B786,Product!A:C,3,FALSE),Supplier!A:I,9,FALSE)</f>
        <v>Brazil</v>
      </c>
      <c r="S786" t="str">
        <f>IFERROR(IF(VLOOKUP(A786,'Sales Order'!A:H,8,FALSE)&gt;100,"High Freight","Low Freight"),"Not Specified")</f>
        <v>Low Freight</v>
      </c>
      <c r="T786">
        <f t="shared" si="25"/>
        <v>141.75</v>
      </c>
    </row>
    <row r="787" spans="1:20">
      <c r="A787" s="9">
        <v>10541</v>
      </c>
      <c r="B787" s="6">
        <v>38</v>
      </c>
      <c r="C787" s="6">
        <v>263.5</v>
      </c>
      <c r="D787" s="6">
        <v>4</v>
      </c>
      <c r="E787" s="18">
        <v>0.1</v>
      </c>
      <c r="F787" s="6" t="str">
        <f>IFERROR(VLOOKUP(VLOOKUP(A787,'Sales Order'!A:B,2,FALSE),Customer!A:C,3,FALSE),"Not Specified")</f>
        <v>Cohen, Shy</v>
      </c>
      <c r="G787" s="6" t="str">
        <f t="shared" si="24"/>
        <v>Cohen Shy</v>
      </c>
      <c r="H787" s="22" t="str">
        <f>IFERROR(VLOOKUP(VLOOKUP(A787,'Sales Order'!A:C,3,FALSE),Employee!A:E,5,FALSE)&amp;" "&amp;VLOOKUP(VLOOKUP(A787,'Sales Order'!A:C,3,FALSE),Employee!A:C,3,FALSE)&amp;" "&amp;VLOOKUP(VLOOKUP(A787,'Sales Order'!A:C,3,FALSE),Employee!A:B,2,FALSE),"Not Specified")</f>
        <v>Dr. Don Funk</v>
      </c>
      <c r="I787" t="str">
        <f>IFERROR(VLOOKUP(VLOOKUP(A787,'Sales Order'!A:C,3,FALSE),Employee!A:J,10,FALSE),"Not Specified")</f>
        <v>WA</v>
      </c>
      <c r="J787" t="str">
        <f>VLOOKUP(B787,Product!A:B,2,FALSE)</f>
        <v>Product QDOMO</v>
      </c>
      <c r="K787" t="str">
        <f>VLOOKUP(VLOOKUP(B787,Product!A:D,4,FALSE),Category!A:B,2,FALSE)</f>
        <v>Beverages</v>
      </c>
      <c r="L787" s="24">
        <f>IFERROR(VLOOKUP(A787,'Sales Order'!A:D,4,FALSE),"")</f>
        <v>39221</v>
      </c>
      <c r="M787" s="24">
        <f>IFERROR(VLOOKUP(A787,'Sales Order'!A:F,6,FALSE),"")</f>
        <v>39231</v>
      </c>
      <c r="N787" t="str">
        <f>IFERROR(VLOOKUP(VLOOKUP(A787,'Sales Order'!A:G,7,FALSE),Shipper!A:B,2,FALSE),"Not Specified")</f>
        <v>Shipper GVSUA</v>
      </c>
      <c r="O787" t="str">
        <f>IFERROR(VLOOKUP(A787,'Sales Order'!A:I,9,FALSE),"Not Specified")</f>
        <v>Destination SCQXA</v>
      </c>
      <c r="P787" t="str">
        <f>IFERROR(VLOOKUP(A787,'Sales Order'!A:N,14,FALSE),"Not Specified")</f>
        <v>Brazil</v>
      </c>
      <c r="Q787" t="str">
        <f>VLOOKUP(VLOOKUP(B787,Product!A:C,3,FALSE),Supplier!A:B,2,FALSE)</f>
        <v>Supplier LVJUA</v>
      </c>
      <c r="R787" t="str">
        <f>VLOOKUP(VLOOKUP(B787,Product!A:C,3,FALSE),Supplier!A:I,9,FALSE)</f>
        <v>France</v>
      </c>
      <c r="S787" t="str">
        <f>IFERROR(IF(VLOOKUP(A787,'Sales Order'!A:H,8,FALSE)&gt;100,"High Freight","Low Freight"),"Not Specified")</f>
        <v>Low Freight</v>
      </c>
      <c r="T787">
        <f t="shared" si="25"/>
        <v>948.6</v>
      </c>
    </row>
    <row r="788" spans="1:20">
      <c r="A788" s="9">
        <v>10541</v>
      </c>
      <c r="B788" s="6">
        <v>65</v>
      </c>
      <c r="C788" s="6">
        <v>21.05</v>
      </c>
      <c r="D788" s="6">
        <v>36</v>
      </c>
      <c r="E788" s="18">
        <v>0.1</v>
      </c>
      <c r="F788" s="6" t="str">
        <f>IFERROR(VLOOKUP(VLOOKUP(A788,'Sales Order'!A:B,2,FALSE),Customer!A:C,3,FALSE),"Not Specified")</f>
        <v>Cohen, Shy</v>
      </c>
      <c r="G788" s="6" t="str">
        <f t="shared" si="24"/>
        <v>Cohen Shy</v>
      </c>
      <c r="H788" s="22" t="str">
        <f>IFERROR(VLOOKUP(VLOOKUP(A788,'Sales Order'!A:C,3,FALSE),Employee!A:E,5,FALSE)&amp;" "&amp;VLOOKUP(VLOOKUP(A788,'Sales Order'!A:C,3,FALSE),Employee!A:C,3,FALSE)&amp;" "&amp;VLOOKUP(VLOOKUP(A788,'Sales Order'!A:C,3,FALSE),Employee!A:B,2,FALSE),"Not Specified")</f>
        <v>Dr. Don Funk</v>
      </c>
      <c r="I788" t="str">
        <f>IFERROR(VLOOKUP(VLOOKUP(A788,'Sales Order'!A:C,3,FALSE),Employee!A:J,10,FALSE),"Not Specified")</f>
        <v>WA</v>
      </c>
      <c r="J788" t="str">
        <f>VLOOKUP(B788,Product!A:B,2,FALSE)</f>
        <v>Product XYWBZ</v>
      </c>
      <c r="K788" t="str">
        <f>VLOOKUP(VLOOKUP(B788,Product!A:D,4,FALSE),Category!A:B,2,FALSE)</f>
        <v>Condiments</v>
      </c>
      <c r="L788" s="24">
        <f>IFERROR(VLOOKUP(A788,'Sales Order'!A:D,4,FALSE),"")</f>
        <v>39221</v>
      </c>
      <c r="M788" s="24">
        <f>IFERROR(VLOOKUP(A788,'Sales Order'!A:F,6,FALSE),"")</f>
        <v>39231</v>
      </c>
      <c r="N788" t="str">
        <f>IFERROR(VLOOKUP(VLOOKUP(A788,'Sales Order'!A:G,7,FALSE),Shipper!A:B,2,FALSE),"Not Specified")</f>
        <v>Shipper GVSUA</v>
      </c>
      <c r="O788" t="str">
        <f>IFERROR(VLOOKUP(A788,'Sales Order'!A:I,9,FALSE),"Not Specified")</f>
        <v>Destination SCQXA</v>
      </c>
      <c r="P788" t="str">
        <f>IFERROR(VLOOKUP(A788,'Sales Order'!A:N,14,FALSE),"Not Specified")</f>
        <v>Brazil</v>
      </c>
      <c r="Q788" t="str">
        <f>VLOOKUP(VLOOKUP(B788,Product!A:C,3,FALSE),Supplier!A:B,2,FALSE)</f>
        <v>Supplier VHQZD</v>
      </c>
      <c r="R788" t="str">
        <f>VLOOKUP(VLOOKUP(B788,Product!A:C,3,FALSE),Supplier!A:I,9,FALSE)</f>
        <v>USA</v>
      </c>
      <c r="S788" t="str">
        <f>IFERROR(IF(VLOOKUP(A788,'Sales Order'!A:H,8,FALSE)&gt;100,"High Freight","Low Freight"),"Not Specified")</f>
        <v>Low Freight</v>
      </c>
      <c r="T788">
        <f t="shared" si="25"/>
        <v>682.0200000000001</v>
      </c>
    </row>
    <row r="789" spans="1:20">
      <c r="A789" s="9">
        <v>10541</v>
      </c>
      <c r="B789" s="6">
        <v>71</v>
      </c>
      <c r="C789" s="6">
        <v>21.5</v>
      </c>
      <c r="D789" s="6">
        <v>9</v>
      </c>
      <c r="E789" s="18">
        <v>0.1</v>
      </c>
      <c r="F789" s="6" t="str">
        <f>IFERROR(VLOOKUP(VLOOKUP(A789,'Sales Order'!A:B,2,FALSE),Customer!A:C,3,FALSE),"Not Specified")</f>
        <v>Cohen, Shy</v>
      </c>
      <c r="G789" s="6" t="str">
        <f t="shared" si="24"/>
        <v>Cohen Shy</v>
      </c>
      <c r="H789" s="22" t="str">
        <f>IFERROR(VLOOKUP(VLOOKUP(A789,'Sales Order'!A:C,3,FALSE),Employee!A:E,5,FALSE)&amp;" "&amp;VLOOKUP(VLOOKUP(A789,'Sales Order'!A:C,3,FALSE),Employee!A:C,3,FALSE)&amp;" "&amp;VLOOKUP(VLOOKUP(A789,'Sales Order'!A:C,3,FALSE),Employee!A:B,2,FALSE),"Not Specified")</f>
        <v>Dr. Don Funk</v>
      </c>
      <c r="I789" t="str">
        <f>IFERROR(VLOOKUP(VLOOKUP(A789,'Sales Order'!A:C,3,FALSE),Employee!A:J,10,FALSE),"Not Specified")</f>
        <v>WA</v>
      </c>
      <c r="J789" t="str">
        <f>VLOOKUP(B789,Product!A:B,2,FALSE)</f>
        <v>Product MYMOI</v>
      </c>
      <c r="K789" t="str">
        <f>VLOOKUP(VLOOKUP(B789,Product!A:D,4,FALSE),Category!A:B,2,FALSE)</f>
        <v>Dairy Product</v>
      </c>
      <c r="L789" s="24">
        <f>IFERROR(VLOOKUP(A789,'Sales Order'!A:D,4,FALSE),"")</f>
        <v>39221</v>
      </c>
      <c r="M789" s="24">
        <f>IFERROR(VLOOKUP(A789,'Sales Order'!A:F,6,FALSE),"")</f>
        <v>39231</v>
      </c>
      <c r="N789" t="str">
        <f>IFERROR(VLOOKUP(VLOOKUP(A789,'Sales Order'!A:G,7,FALSE),Shipper!A:B,2,FALSE),"Not Specified")</f>
        <v>Shipper GVSUA</v>
      </c>
      <c r="O789" t="str">
        <f>IFERROR(VLOOKUP(A789,'Sales Order'!A:I,9,FALSE),"Not Specified")</f>
        <v>Destination SCQXA</v>
      </c>
      <c r="P789" t="str">
        <f>IFERROR(VLOOKUP(A789,'Sales Order'!A:N,14,FALSE),"Not Specified")</f>
        <v>Brazil</v>
      </c>
      <c r="Q789" t="str">
        <f>VLOOKUP(VLOOKUP(B789,Product!A:C,3,FALSE),Supplier!A:B,2,FALSE)</f>
        <v>Supplier NZLIF</v>
      </c>
      <c r="R789" t="str">
        <f>VLOOKUP(VLOOKUP(B789,Product!A:C,3,FALSE),Supplier!A:I,9,FALSE)</f>
        <v>Norway</v>
      </c>
      <c r="S789" t="str">
        <f>IFERROR(IF(VLOOKUP(A789,'Sales Order'!A:H,8,FALSE)&gt;100,"High Freight","Low Freight"),"Not Specified")</f>
        <v>Low Freight</v>
      </c>
      <c r="T789">
        <f t="shared" si="25"/>
        <v>174.15</v>
      </c>
    </row>
    <row r="790" spans="1:20">
      <c r="A790" s="9">
        <v>10542</v>
      </c>
      <c r="B790" s="6">
        <v>11</v>
      </c>
      <c r="C790" s="6">
        <v>21</v>
      </c>
      <c r="D790" s="6">
        <v>15</v>
      </c>
      <c r="E790" s="18">
        <v>0.05</v>
      </c>
      <c r="F790" s="6" t="str">
        <f>IFERROR(VLOOKUP(VLOOKUP(A790,'Sales Order'!A:B,2,FALSE),Customer!A:C,3,FALSE),"Not Specified")</f>
        <v>Song, Lolan</v>
      </c>
      <c r="G790" s="6" t="str">
        <f t="shared" si="24"/>
        <v>Song Lolan</v>
      </c>
      <c r="H790" s="22" t="str">
        <f>IFERROR(VLOOKUP(VLOOKUP(A790,'Sales Order'!A:C,3,FALSE),Employee!A:E,5,FALSE)&amp;" "&amp;VLOOKUP(VLOOKUP(A790,'Sales Order'!A:C,3,FALSE),Employee!A:C,3,FALSE)&amp;" "&amp;VLOOKUP(VLOOKUP(A790,'Sales Order'!A:C,3,FALSE),Employee!A:B,2,FALSE),"Not Specified")</f>
        <v>Ms. Sara Davis</v>
      </c>
      <c r="I790" t="str">
        <f>IFERROR(VLOOKUP(VLOOKUP(A790,'Sales Order'!A:C,3,FALSE),Employee!A:J,10,FALSE),"Not Specified")</f>
        <v>WA</v>
      </c>
      <c r="J790" t="str">
        <f>VLOOKUP(B790,Product!A:B,2,FALSE)</f>
        <v>Product QMVUN</v>
      </c>
      <c r="K790" t="str">
        <f>VLOOKUP(VLOOKUP(B790,Product!A:D,4,FALSE),Category!A:B,2,FALSE)</f>
        <v>Dairy Product</v>
      </c>
      <c r="L790" s="24">
        <f>IFERROR(VLOOKUP(A790,'Sales Order'!A:D,4,FALSE),"")</f>
        <v>39222</v>
      </c>
      <c r="M790" s="24">
        <f>IFERROR(VLOOKUP(A790,'Sales Order'!A:F,6,FALSE),"")</f>
        <v>39228</v>
      </c>
      <c r="N790" t="str">
        <f>IFERROR(VLOOKUP(VLOOKUP(A790,'Sales Order'!A:G,7,FALSE),Shipper!A:B,2,FALSE),"Not Specified")</f>
        <v>Shipper ZHISN</v>
      </c>
      <c r="O790" t="str">
        <f>IFERROR(VLOOKUP(A790,'Sales Order'!A:I,9,FALSE),"Not Specified")</f>
        <v>Destination DKMQA</v>
      </c>
      <c r="P790" t="str">
        <f>IFERROR(VLOOKUP(A790,'Sales Order'!A:N,14,FALSE),"Not Specified")</f>
        <v>Germany</v>
      </c>
      <c r="Q790" t="str">
        <f>VLOOKUP(VLOOKUP(B790,Product!A:C,3,FALSE),Supplier!A:B,2,FALSE)</f>
        <v>Supplier EQPNC</v>
      </c>
      <c r="R790" t="str">
        <f>VLOOKUP(VLOOKUP(B790,Product!A:C,3,FALSE),Supplier!A:I,9,FALSE)</f>
        <v>Spain</v>
      </c>
      <c r="S790" t="str">
        <f>IFERROR(IF(VLOOKUP(A790,'Sales Order'!A:H,8,FALSE)&gt;100,"High Freight","Low Freight"),"Not Specified")</f>
        <v>Low Freight</v>
      </c>
      <c r="T790">
        <f t="shared" si="25"/>
        <v>299.25</v>
      </c>
    </row>
    <row r="791" spans="1:20">
      <c r="A791" s="9">
        <v>10542</v>
      </c>
      <c r="B791" s="6">
        <v>54</v>
      </c>
      <c r="C791" s="6">
        <v>7.45</v>
      </c>
      <c r="D791" s="6">
        <v>24</v>
      </c>
      <c r="E791" s="18">
        <v>0.05</v>
      </c>
      <c r="F791" s="6" t="str">
        <f>IFERROR(VLOOKUP(VLOOKUP(A791,'Sales Order'!A:B,2,FALSE),Customer!A:C,3,FALSE),"Not Specified")</f>
        <v>Song, Lolan</v>
      </c>
      <c r="G791" s="6" t="str">
        <f t="shared" si="24"/>
        <v>Song Lolan</v>
      </c>
      <c r="H791" s="22" t="str">
        <f>IFERROR(VLOOKUP(VLOOKUP(A791,'Sales Order'!A:C,3,FALSE),Employee!A:E,5,FALSE)&amp;" "&amp;VLOOKUP(VLOOKUP(A791,'Sales Order'!A:C,3,FALSE),Employee!A:C,3,FALSE)&amp;" "&amp;VLOOKUP(VLOOKUP(A791,'Sales Order'!A:C,3,FALSE),Employee!A:B,2,FALSE),"Not Specified")</f>
        <v>Ms. Sara Davis</v>
      </c>
      <c r="I791" t="str">
        <f>IFERROR(VLOOKUP(VLOOKUP(A791,'Sales Order'!A:C,3,FALSE),Employee!A:J,10,FALSE),"Not Specified")</f>
        <v>WA</v>
      </c>
      <c r="J791" t="str">
        <f>VLOOKUP(B791,Product!A:B,2,FALSE)</f>
        <v>Product QAQRL</v>
      </c>
      <c r="K791" t="str">
        <f>VLOOKUP(VLOOKUP(B791,Product!A:D,4,FALSE),Category!A:B,2,FALSE)</f>
        <v>Meat/Poultry</v>
      </c>
      <c r="L791" s="24">
        <f>IFERROR(VLOOKUP(A791,'Sales Order'!A:D,4,FALSE),"")</f>
        <v>39222</v>
      </c>
      <c r="M791" s="24">
        <f>IFERROR(VLOOKUP(A791,'Sales Order'!A:F,6,FALSE),"")</f>
        <v>39228</v>
      </c>
      <c r="N791" t="str">
        <f>IFERROR(VLOOKUP(VLOOKUP(A791,'Sales Order'!A:G,7,FALSE),Shipper!A:B,2,FALSE),"Not Specified")</f>
        <v>Shipper ZHISN</v>
      </c>
      <c r="O791" t="str">
        <f>IFERROR(VLOOKUP(A791,'Sales Order'!A:I,9,FALSE),"Not Specified")</f>
        <v>Destination DKMQA</v>
      </c>
      <c r="P791" t="str">
        <f>IFERROR(VLOOKUP(A791,'Sales Order'!A:N,14,FALSE),"Not Specified")</f>
        <v>Germany</v>
      </c>
      <c r="Q791" t="str">
        <f>VLOOKUP(VLOOKUP(B791,Product!A:C,3,FALSE),Supplier!A:B,2,FALSE)</f>
        <v>Supplier ERVYZ</v>
      </c>
      <c r="R791" t="str">
        <f>VLOOKUP(VLOOKUP(B791,Product!A:C,3,FALSE),Supplier!A:I,9,FALSE)</f>
        <v>Canada</v>
      </c>
      <c r="S791" t="str">
        <f>IFERROR(IF(VLOOKUP(A791,'Sales Order'!A:H,8,FALSE)&gt;100,"High Freight","Low Freight"),"Not Specified")</f>
        <v>Low Freight</v>
      </c>
      <c r="T791">
        <f t="shared" si="25"/>
        <v>169.86</v>
      </c>
    </row>
    <row r="792" spans="1:20">
      <c r="A792" s="9">
        <v>10543</v>
      </c>
      <c r="B792" s="6">
        <v>12</v>
      </c>
      <c r="C792" s="6">
        <v>38</v>
      </c>
      <c r="D792" s="6">
        <v>30</v>
      </c>
      <c r="E792" s="18">
        <v>0.15</v>
      </c>
      <c r="F792" s="6" t="str">
        <f>IFERROR(VLOOKUP(VLOOKUP(A792,'Sales Order'!A:B,2,FALSE),Customer!A:C,3,FALSE),"Not Specified")</f>
        <v>Dressler, Marlies</v>
      </c>
      <c r="G792" s="6" t="str">
        <f t="shared" si="24"/>
        <v>Dressler Marlies</v>
      </c>
      <c r="H792" s="22" t="str">
        <f>IFERROR(VLOOKUP(VLOOKUP(A792,'Sales Order'!A:C,3,FALSE),Employee!A:E,5,FALSE)&amp;" "&amp;VLOOKUP(VLOOKUP(A792,'Sales Order'!A:C,3,FALSE),Employee!A:C,3,FALSE)&amp;" "&amp;VLOOKUP(VLOOKUP(A792,'Sales Order'!A:C,3,FALSE),Employee!A:B,2,FALSE),"Not Specified")</f>
        <v>Ms. Maria Cameron</v>
      </c>
      <c r="I792" t="str">
        <f>IFERROR(VLOOKUP(VLOOKUP(A792,'Sales Order'!A:C,3,FALSE),Employee!A:J,10,FALSE),"Not Specified")</f>
        <v>WA</v>
      </c>
      <c r="J792" t="str">
        <f>VLOOKUP(B792,Product!A:B,2,FALSE)</f>
        <v>Product OSFNS</v>
      </c>
      <c r="K792" t="str">
        <f>VLOOKUP(VLOOKUP(B792,Product!A:D,4,FALSE),Category!A:B,2,FALSE)</f>
        <v>Dairy Product</v>
      </c>
      <c r="L792" s="24">
        <f>IFERROR(VLOOKUP(A792,'Sales Order'!A:D,4,FALSE),"")</f>
        <v>39223</v>
      </c>
      <c r="M792" s="24">
        <f>IFERROR(VLOOKUP(A792,'Sales Order'!A:F,6,FALSE),"")</f>
        <v>39225</v>
      </c>
      <c r="N792" t="str">
        <f>IFERROR(VLOOKUP(VLOOKUP(A792,'Sales Order'!A:G,7,FALSE),Shipper!A:B,2,FALSE),"Not Specified")</f>
        <v>Shipper ETYNR</v>
      </c>
      <c r="O792" t="str">
        <f>IFERROR(VLOOKUP(A792,'Sales Order'!A:I,9,FALSE),"Not Specified")</f>
        <v>Ship to 46-B</v>
      </c>
      <c r="P792" t="str">
        <f>IFERROR(VLOOKUP(A792,'Sales Order'!A:N,14,FALSE),"Not Specified")</f>
        <v>Venezuela</v>
      </c>
      <c r="Q792" t="str">
        <f>VLOOKUP(VLOOKUP(B792,Product!A:C,3,FALSE),Supplier!A:B,2,FALSE)</f>
        <v>Supplier EQPNC</v>
      </c>
      <c r="R792" t="str">
        <f>VLOOKUP(VLOOKUP(B792,Product!A:C,3,FALSE),Supplier!A:I,9,FALSE)</f>
        <v>Spain</v>
      </c>
      <c r="S792" t="str">
        <f>IFERROR(IF(VLOOKUP(A792,'Sales Order'!A:H,8,FALSE)&gt;100,"High Freight","Low Freight"),"Not Specified")</f>
        <v>Low Freight</v>
      </c>
      <c r="T792">
        <f t="shared" si="25"/>
        <v>969</v>
      </c>
    </row>
    <row r="793" spans="1:20">
      <c r="A793" s="9">
        <v>10543</v>
      </c>
      <c r="B793" s="6">
        <v>23</v>
      </c>
      <c r="C793" s="6">
        <v>9</v>
      </c>
      <c r="D793" s="6">
        <v>70</v>
      </c>
      <c r="E793" s="18">
        <v>0.15</v>
      </c>
      <c r="F793" s="6" t="str">
        <f>IFERROR(VLOOKUP(VLOOKUP(A793,'Sales Order'!A:B,2,FALSE),Customer!A:C,3,FALSE),"Not Specified")</f>
        <v>Dressler, Marlies</v>
      </c>
      <c r="G793" s="6" t="str">
        <f t="shared" si="24"/>
        <v>Dressler Marlies</v>
      </c>
      <c r="H793" s="22" t="str">
        <f>IFERROR(VLOOKUP(VLOOKUP(A793,'Sales Order'!A:C,3,FALSE),Employee!A:E,5,FALSE)&amp;" "&amp;VLOOKUP(VLOOKUP(A793,'Sales Order'!A:C,3,FALSE),Employee!A:C,3,FALSE)&amp;" "&amp;VLOOKUP(VLOOKUP(A793,'Sales Order'!A:C,3,FALSE),Employee!A:B,2,FALSE),"Not Specified")</f>
        <v>Ms. Maria Cameron</v>
      </c>
      <c r="I793" t="str">
        <f>IFERROR(VLOOKUP(VLOOKUP(A793,'Sales Order'!A:C,3,FALSE),Employee!A:J,10,FALSE),"Not Specified")</f>
        <v>WA</v>
      </c>
      <c r="J793" t="str">
        <f>VLOOKUP(B793,Product!A:B,2,FALSE)</f>
        <v>Product JLUDZ</v>
      </c>
      <c r="K793" t="str">
        <f>VLOOKUP(VLOOKUP(B793,Product!A:D,4,FALSE),Category!A:B,2,FALSE)</f>
        <v>Grains/Cereals</v>
      </c>
      <c r="L793" s="24">
        <f>IFERROR(VLOOKUP(A793,'Sales Order'!A:D,4,FALSE),"")</f>
        <v>39223</v>
      </c>
      <c r="M793" s="24">
        <f>IFERROR(VLOOKUP(A793,'Sales Order'!A:F,6,FALSE),"")</f>
        <v>39225</v>
      </c>
      <c r="N793" t="str">
        <f>IFERROR(VLOOKUP(VLOOKUP(A793,'Sales Order'!A:G,7,FALSE),Shipper!A:B,2,FALSE),"Not Specified")</f>
        <v>Shipper ETYNR</v>
      </c>
      <c r="O793" t="str">
        <f>IFERROR(VLOOKUP(A793,'Sales Order'!A:I,9,FALSE),"Not Specified")</f>
        <v>Ship to 46-B</v>
      </c>
      <c r="P793" t="str">
        <f>IFERROR(VLOOKUP(A793,'Sales Order'!A:N,14,FALSE),"Not Specified")</f>
        <v>Venezuela</v>
      </c>
      <c r="Q793" t="str">
        <f>VLOOKUP(VLOOKUP(B793,Product!A:C,3,FALSE),Supplier!A:B,2,FALSE)</f>
        <v>Supplier QQYEU</v>
      </c>
      <c r="R793" t="str">
        <f>VLOOKUP(VLOOKUP(B793,Product!A:C,3,FALSE),Supplier!A:I,9,FALSE)</f>
        <v>Sweden</v>
      </c>
      <c r="S793" t="str">
        <f>IFERROR(IF(VLOOKUP(A793,'Sales Order'!A:H,8,FALSE)&gt;100,"High Freight","Low Freight"),"Not Specified")</f>
        <v>Low Freight</v>
      </c>
      <c r="T793">
        <f t="shared" si="25"/>
        <v>535.5</v>
      </c>
    </row>
    <row r="794" spans="1:20">
      <c r="A794" s="9">
        <v>10544</v>
      </c>
      <c r="B794" s="6">
        <v>28</v>
      </c>
      <c r="C794" s="6">
        <v>45.6</v>
      </c>
      <c r="D794" s="6">
        <v>7</v>
      </c>
      <c r="E794" s="18">
        <v>0</v>
      </c>
      <c r="F794" s="6" t="str">
        <f>IFERROR(VLOOKUP(VLOOKUP(A794,'Sales Order'!A:B,2,FALSE),Customer!A:C,3,FALSE),"Not Specified")</f>
        <v>Szymczak, Radosław</v>
      </c>
      <c r="G794" s="6" t="str">
        <f t="shared" si="24"/>
        <v>Szymczak Radosław</v>
      </c>
      <c r="H794" s="22" t="str">
        <f>IFERROR(VLOOKUP(VLOOKUP(A794,'Sales Order'!A:C,3,FALSE),Employee!A:E,5,FALSE)&amp;" "&amp;VLOOKUP(VLOOKUP(A794,'Sales Order'!A:C,3,FALSE),Employee!A:C,3,FALSE)&amp;" "&amp;VLOOKUP(VLOOKUP(A794,'Sales Order'!A:C,3,FALSE),Employee!A:B,2,FALSE),"Not Specified")</f>
        <v>Mrs. Yael Peled</v>
      </c>
      <c r="I794" t="str">
        <f>IFERROR(VLOOKUP(VLOOKUP(A794,'Sales Order'!A:C,3,FALSE),Employee!A:J,10,FALSE),"Not Specified")</f>
        <v>WA</v>
      </c>
      <c r="J794" t="str">
        <f>VLOOKUP(B794,Product!A:B,2,FALSE)</f>
        <v>Product OFBNT</v>
      </c>
      <c r="K794" t="str">
        <f>VLOOKUP(VLOOKUP(B794,Product!A:D,4,FALSE),Category!A:B,2,FALSE)</f>
        <v>Produce</v>
      </c>
      <c r="L794" s="24">
        <f>IFERROR(VLOOKUP(A794,'Sales Order'!A:D,4,FALSE),"")</f>
        <v>39223</v>
      </c>
      <c r="M794" s="24">
        <f>IFERROR(VLOOKUP(A794,'Sales Order'!A:F,6,FALSE),"")</f>
        <v>39232</v>
      </c>
      <c r="N794" t="str">
        <f>IFERROR(VLOOKUP(VLOOKUP(A794,'Sales Order'!A:G,7,FALSE),Shipper!A:B,2,FALSE),"Not Specified")</f>
        <v>Shipper GVSUA</v>
      </c>
      <c r="O794" t="str">
        <f>IFERROR(VLOOKUP(A794,'Sales Order'!A:I,9,FALSE),"Not Specified")</f>
        <v>Ship to 48-C</v>
      </c>
      <c r="P794" t="str">
        <f>IFERROR(VLOOKUP(A794,'Sales Order'!A:N,14,FALSE),"Not Specified")</f>
        <v>USA</v>
      </c>
      <c r="Q794" t="str">
        <f>VLOOKUP(VLOOKUP(B794,Product!A:C,3,FALSE),Supplier!A:B,2,FALSE)</f>
        <v>Supplier SVIYA</v>
      </c>
      <c r="R794" t="str">
        <f>VLOOKUP(VLOOKUP(B794,Product!A:C,3,FALSE),Supplier!A:I,9,FALSE)</f>
        <v>Germany</v>
      </c>
      <c r="S794" t="str">
        <f>IFERROR(IF(VLOOKUP(A794,'Sales Order'!A:H,8,FALSE)&gt;100,"High Freight","Low Freight"),"Not Specified")</f>
        <v>Low Freight</v>
      </c>
      <c r="T794">
        <f t="shared" si="25"/>
        <v>319.2</v>
      </c>
    </row>
    <row r="795" spans="1:20">
      <c r="A795" s="9">
        <v>10544</v>
      </c>
      <c r="B795" s="6">
        <v>67</v>
      </c>
      <c r="C795" s="6">
        <v>14</v>
      </c>
      <c r="D795" s="6">
        <v>7</v>
      </c>
      <c r="E795" s="18">
        <v>0</v>
      </c>
      <c r="F795" s="6" t="str">
        <f>IFERROR(VLOOKUP(VLOOKUP(A795,'Sales Order'!A:B,2,FALSE),Customer!A:C,3,FALSE),"Not Specified")</f>
        <v>Szymczak, Radosław</v>
      </c>
      <c r="G795" s="6" t="str">
        <f t="shared" si="24"/>
        <v>Szymczak Radosław</v>
      </c>
      <c r="H795" s="22" t="str">
        <f>IFERROR(VLOOKUP(VLOOKUP(A795,'Sales Order'!A:C,3,FALSE),Employee!A:E,5,FALSE)&amp;" "&amp;VLOOKUP(VLOOKUP(A795,'Sales Order'!A:C,3,FALSE),Employee!A:C,3,FALSE)&amp;" "&amp;VLOOKUP(VLOOKUP(A795,'Sales Order'!A:C,3,FALSE),Employee!A:B,2,FALSE),"Not Specified")</f>
        <v>Mrs. Yael Peled</v>
      </c>
      <c r="I795" t="str">
        <f>IFERROR(VLOOKUP(VLOOKUP(A795,'Sales Order'!A:C,3,FALSE),Employee!A:J,10,FALSE),"Not Specified")</f>
        <v>WA</v>
      </c>
      <c r="J795" t="str">
        <f>VLOOKUP(B795,Product!A:B,2,FALSE)</f>
        <v>Product XLXQF</v>
      </c>
      <c r="K795" t="str">
        <f>VLOOKUP(VLOOKUP(B795,Product!A:D,4,FALSE),Category!A:B,2,FALSE)</f>
        <v>Beverages</v>
      </c>
      <c r="L795" s="24">
        <f>IFERROR(VLOOKUP(A795,'Sales Order'!A:D,4,FALSE),"")</f>
        <v>39223</v>
      </c>
      <c r="M795" s="24">
        <f>IFERROR(VLOOKUP(A795,'Sales Order'!A:F,6,FALSE),"")</f>
        <v>39232</v>
      </c>
      <c r="N795" t="str">
        <f>IFERROR(VLOOKUP(VLOOKUP(A795,'Sales Order'!A:G,7,FALSE),Shipper!A:B,2,FALSE),"Not Specified")</f>
        <v>Shipper GVSUA</v>
      </c>
      <c r="O795" t="str">
        <f>IFERROR(VLOOKUP(A795,'Sales Order'!A:I,9,FALSE),"Not Specified")</f>
        <v>Ship to 48-C</v>
      </c>
      <c r="P795" t="str">
        <f>IFERROR(VLOOKUP(A795,'Sales Order'!A:N,14,FALSE),"Not Specified")</f>
        <v>USA</v>
      </c>
      <c r="Q795" t="str">
        <f>VLOOKUP(VLOOKUP(B795,Product!A:C,3,FALSE),Supplier!A:B,2,FALSE)</f>
        <v>Supplier UHZRG</v>
      </c>
      <c r="R795" t="str">
        <f>VLOOKUP(VLOOKUP(B795,Product!A:C,3,FALSE),Supplier!A:I,9,FALSE)</f>
        <v>USA</v>
      </c>
      <c r="S795" t="str">
        <f>IFERROR(IF(VLOOKUP(A795,'Sales Order'!A:H,8,FALSE)&gt;100,"High Freight","Low Freight"),"Not Specified")</f>
        <v>Low Freight</v>
      </c>
      <c r="T795">
        <f t="shared" si="25"/>
        <v>98</v>
      </c>
    </row>
    <row r="796" spans="1:20">
      <c r="A796" s="9">
        <v>10545</v>
      </c>
      <c r="B796" s="6">
        <v>11</v>
      </c>
      <c r="C796" s="6">
        <v>21</v>
      </c>
      <c r="D796" s="6">
        <v>10</v>
      </c>
      <c r="E796" s="18">
        <v>0</v>
      </c>
      <c r="F796" s="6" t="str">
        <f>IFERROR(VLOOKUP(VLOOKUP(A796,'Sales Order'!A:B,2,FALSE),Customer!A:C,3,FALSE),"Not Specified")</f>
        <v>Deshpande, Anu</v>
      </c>
      <c r="G796" s="6" t="str">
        <f t="shared" si="24"/>
        <v>Deshpande Anu</v>
      </c>
      <c r="H796" s="22" t="str">
        <f>IFERROR(VLOOKUP(VLOOKUP(A796,'Sales Order'!A:C,3,FALSE),Employee!A:E,5,FALSE)&amp;" "&amp;VLOOKUP(VLOOKUP(A796,'Sales Order'!A:C,3,FALSE),Employee!A:C,3,FALSE)&amp;" "&amp;VLOOKUP(VLOOKUP(A796,'Sales Order'!A:C,3,FALSE),Employee!A:B,2,FALSE),"Not Specified")</f>
        <v>Ms. Maria Cameron</v>
      </c>
      <c r="I796" t="str">
        <f>IFERROR(VLOOKUP(VLOOKUP(A796,'Sales Order'!A:C,3,FALSE),Employee!A:J,10,FALSE),"Not Specified")</f>
        <v>WA</v>
      </c>
      <c r="J796" t="str">
        <f>VLOOKUP(B796,Product!A:B,2,FALSE)</f>
        <v>Product QMVUN</v>
      </c>
      <c r="K796" t="str">
        <f>VLOOKUP(VLOOKUP(B796,Product!A:D,4,FALSE),Category!A:B,2,FALSE)</f>
        <v>Dairy Product</v>
      </c>
      <c r="L796" s="24">
        <f>IFERROR(VLOOKUP(A796,'Sales Order'!A:D,4,FALSE),"")</f>
        <v>39224</v>
      </c>
      <c r="M796" s="24">
        <f>IFERROR(VLOOKUP(A796,'Sales Order'!A:F,6,FALSE),"")</f>
        <v>39259</v>
      </c>
      <c r="N796" t="str">
        <f>IFERROR(VLOOKUP(VLOOKUP(A796,'Sales Order'!A:G,7,FALSE),Shipper!A:B,2,FALSE),"Not Specified")</f>
        <v>Shipper ETYNR</v>
      </c>
      <c r="O796" t="str">
        <f>IFERROR(VLOOKUP(A796,'Sales Order'!A:I,9,FALSE),"Not Specified")</f>
        <v>Ship to 43-B</v>
      </c>
      <c r="P796" t="str">
        <f>IFERROR(VLOOKUP(A796,'Sales Order'!A:N,14,FALSE),"Not Specified")</f>
        <v>USA</v>
      </c>
      <c r="Q796" t="str">
        <f>VLOOKUP(VLOOKUP(B796,Product!A:C,3,FALSE),Supplier!A:B,2,FALSE)</f>
        <v>Supplier EQPNC</v>
      </c>
      <c r="R796" t="str">
        <f>VLOOKUP(VLOOKUP(B796,Product!A:C,3,FALSE),Supplier!A:I,9,FALSE)</f>
        <v>Spain</v>
      </c>
      <c r="S796" t="str">
        <f>IFERROR(IF(VLOOKUP(A796,'Sales Order'!A:H,8,FALSE)&gt;100,"High Freight","Low Freight"),"Not Specified")</f>
        <v>Low Freight</v>
      </c>
      <c r="T796">
        <f t="shared" si="25"/>
        <v>210</v>
      </c>
    </row>
    <row r="797" spans="1:20">
      <c r="A797" s="9">
        <v>10546</v>
      </c>
      <c r="B797" s="6">
        <v>7</v>
      </c>
      <c r="C797" s="6">
        <v>30</v>
      </c>
      <c r="D797" s="6">
        <v>10</v>
      </c>
      <c r="E797" s="18">
        <v>0</v>
      </c>
      <c r="F797" s="6" t="str">
        <f>IFERROR(VLOOKUP(VLOOKUP(A797,'Sales Order'!A:B,2,FALSE),Customer!A:C,3,FALSE),"Not Specified")</f>
        <v>Tuntisangaroon, Sittichai</v>
      </c>
      <c r="G797" s="6" t="str">
        <f t="shared" si="24"/>
        <v>Tuntisangaroon Sittichai</v>
      </c>
      <c r="H797" s="22" t="str">
        <f>IFERROR(VLOOKUP(VLOOKUP(A797,'Sales Order'!A:C,3,FALSE),Employee!A:E,5,FALSE)&amp;" "&amp;VLOOKUP(VLOOKUP(A797,'Sales Order'!A:C,3,FALSE),Employee!A:C,3,FALSE)&amp;" "&amp;VLOOKUP(VLOOKUP(A797,'Sales Order'!A:C,3,FALSE),Employee!A:B,2,FALSE),"Not Specified")</f>
        <v>Ms. Sara Davis</v>
      </c>
      <c r="I797" t="str">
        <f>IFERROR(VLOOKUP(VLOOKUP(A797,'Sales Order'!A:C,3,FALSE),Employee!A:J,10,FALSE),"Not Specified")</f>
        <v>WA</v>
      </c>
      <c r="J797" t="str">
        <f>VLOOKUP(B797,Product!A:B,2,FALSE)</f>
        <v>Product HMLNI</v>
      </c>
      <c r="K797" t="str">
        <f>VLOOKUP(VLOOKUP(B797,Product!A:D,4,FALSE),Category!A:B,2,FALSE)</f>
        <v>Produce</v>
      </c>
      <c r="L797" s="24">
        <f>IFERROR(VLOOKUP(A797,'Sales Order'!A:D,4,FALSE),"")</f>
        <v>39225</v>
      </c>
      <c r="M797" s="24">
        <f>IFERROR(VLOOKUP(A797,'Sales Order'!A:F,6,FALSE),"")</f>
        <v>39229</v>
      </c>
      <c r="N797" t="str">
        <f>IFERROR(VLOOKUP(VLOOKUP(A797,'Sales Order'!A:G,7,FALSE),Shipper!A:B,2,FALSE),"Not Specified")</f>
        <v>Shipper ZHISN</v>
      </c>
      <c r="O797" t="str">
        <f>IFERROR(VLOOKUP(A797,'Sales Order'!A:I,9,FALSE),"Not Specified")</f>
        <v>Ship to 84-C</v>
      </c>
      <c r="P797" t="str">
        <f>IFERROR(VLOOKUP(A797,'Sales Order'!A:N,14,FALSE),"Not Specified")</f>
        <v>France</v>
      </c>
      <c r="Q797" t="str">
        <f>VLOOKUP(VLOOKUP(B797,Product!A:C,3,FALSE),Supplier!A:B,2,FALSE)</f>
        <v>Supplier STUAZ</v>
      </c>
      <c r="R797" t="str">
        <f>VLOOKUP(VLOOKUP(B797,Product!A:C,3,FALSE),Supplier!A:I,9,FALSE)</f>
        <v>USA</v>
      </c>
      <c r="S797" t="str">
        <f>IFERROR(IF(VLOOKUP(A797,'Sales Order'!A:H,8,FALSE)&gt;100,"High Freight","Low Freight"),"Not Specified")</f>
        <v>High Freight</v>
      </c>
      <c r="T797">
        <f t="shared" si="25"/>
        <v>300</v>
      </c>
    </row>
    <row r="798" spans="1:20">
      <c r="A798" s="9">
        <v>10546</v>
      </c>
      <c r="B798" s="6">
        <v>35</v>
      </c>
      <c r="C798" s="6">
        <v>18</v>
      </c>
      <c r="D798" s="6">
        <v>30</v>
      </c>
      <c r="E798" s="18">
        <v>0</v>
      </c>
      <c r="F798" s="6" t="str">
        <f>IFERROR(VLOOKUP(VLOOKUP(A798,'Sales Order'!A:B,2,FALSE),Customer!A:C,3,FALSE),"Not Specified")</f>
        <v>Tuntisangaroon, Sittichai</v>
      </c>
      <c r="G798" s="6" t="str">
        <f t="shared" si="24"/>
        <v>Tuntisangaroon Sittichai</v>
      </c>
      <c r="H798" s="22" t="str">
        <f>IFERROR(VLOOKUP(VLOOKUP(A798,'Sales Order'!A:C,3,FALSE),Employee!A:E,5,FALSE)&amp;" "&amp;VLOOKUP(VLOOKUP(A798,'Sales Order'!A:C,3,FALSE),Employee!A:C,3,FALSE)&amp;" "&amp;VLOOKUP(VLOOKUP(A798,'Sales Order'!A:C,3,FALSE),Employee!A:B,2,FALSE),"Not Specified")</f>
        <v>Ms. Sara Davis</v>
      </c>
      <c r="I798" t="str">
        <f>IFERROR(VLOOKUP(VLOOKUP(A798,'Sales Order'!A:C,3,FALSE),Employee!A:J,10,FALSE),"Not Specified")</f>
        <v>WA</v>
      </c>
      <c r="J798" t="str">
        <f>VLOOKUP(B798,Product!A:B,2,FALSE)</f>
        <v>Product NEVTJ</v>
      </c>
      <c r="K798" t="str">
        <f>VLOOKUP(VLOOKUP(B798,Product!A:D,4,FALSE),Category!A:B,2,FALSE)</f>
        <v>Beverages</v>
      </c>
      <c r="L798" s="24">
        <f>IFERROR(VLOOKUP(A798,'Sales Order'!A:D,4,FALSE),"")</f>
        <v>39225</v>
      </c>
      <c r="M798" s="24">
        <f>IFERROR(VLOOKUP(A798,'Sales Order'!A:F,6,FALSE),"")</f>
        <v>39229</v>
      </c>
      <c r="N798" t="str">
        <f>IFERROR(VLOOKUP(VLOOKUP(A798,'Sales Order'!A:G,7,FALSE),Shipper!A:B,2,FALSE),"Not Specified")</f>
        <v>Shipper ZHISN</v>
      </c>
      <c r="O798" t="str">
        <f>IFERROR(VLOOKUP(A798,'Sales Order'!A:I,9,FALSE),"Not Specified")</f>
        <v>Ship to 84-C</v>
      </c>
      <c r="P798" t="str">
        <f>IFERROR(VLOOKUP(A798,'Sales Order'!A:N,14,FALSE),"Not Specified")</f>
        <v>France</v>
      </c>
      <c r="Q798" t="str">
        <f>VLOOKUP(VLOOKUP(B798,Product!A:C,3,FALSE),Supplier!A:B,2,FALSE)</f>
        <v>Supplier UHZRG</v>
      </c>
      <c r="R798" t="str">
        <f>VLOOKUP(VLOOKUP(B798,Product!A:C,3,FALSE),Supplier!A:I,9,FALSE)</f>
        <v>USA</v>
      </c>
      <c r="S798" t="str">
        <f>IFERROR(IF(VLOOKUP(A798,'Sales Order'!A:H,8,FALSE)&gt;100,"High Freight","Low Freight"),"Not Specified")</f>
        <v>High Freight</v>
      </c>
      <c r="T798">
        <f t="shared" si="25"/>
        <v>540</v>
      </c>
    </row>
    <row r="799" spans="1:20">
      <c r="A799" s="9">
        <v>10546</v>
      </c>
      <c r="B799" s="6">
        <v>62</v>
      </c>
      <c r="C799" s="6">
        <v>49.3</v>
      </c>
      <c r="D799" s="6">
        <v>40</v>
      </c>
      <c r="E799" s="18">
        <v>0</v>
      </c>
      <c r="F799" s="6" t="str">
        <f>IFERROR(VLOOKUP(VLOOKUP(A799,'Sales Order'!A:B,2,FALSE),Customer!A:C,3,FALSE),"Not Specified")</f>
        <v>Tuntisangaroon, Sittichai</v>
      </c>
      <c r="G799" s="6" t="str">
        <f t="shared" si="24"/>
        <v>Tuntisangaroon Sittichai</v>
      </c>
      <c r="H799" s="22" t="str">
        <f>IFERROR(VLOOKUP(VLOOKUP(A799,'Sales Order'!A:C,3,FALSE),Employee!A:E,5,FALSE)&amp;" "&amp;VLOOKUP(VLOOKUP(A799,'Sales Order'!A:C,3,FALSE),Employee!A:C,3,FALSE)&amp;" "&amp;VLOOKUP(VLOOKUP(A799,'Sales Order'!A:C,3,FALSE),Employee!A:B,2,FALSE),"Not Specified")</f>
        <v>Ms. Sara Davis</v>
      </c>
      <c r="I799" t="str">
        <f>IFERROR(VLOOKUP(VLOOKUP(A799,'Sales Order'!A:C,3,FALSE),Employee!A:J,10,FALSE),"Not Specified")</f>
        <v>WA</v>
      </c>
      <c r="J799" t="str">
        <f>VLOOKUP(B799,Product!A:B,2,FALSE)</f>
        <v>Product WUXYK</v>
      </c>
      <c r="K799" t="str">
        <f>VLOOKUP(VLOOKUP(B799,Product!A:D,4,FALSE),Category!A:B,2,FALSE)</f>
        <v>Confections</v>
      </c>
      <c r="L799" s="24">
        <f>IFERROR(VLOOKUP(A799,'Sales Order'!A:D,4,FALSE),"")</f>
        <v>39225</v>
      </c>
      <c r="M799" s="24">
        <f>IFERROR(VLOOKUP(A799,'Sales Order'!A:F,6,FALSE),"")</f>
        <v>39229</v>
      </c>
      <c r="N799" t="str">
        <f>IFERROR(VLOOKUP(VLOOKUP(A799,'Sales Order'!A:G,7,FALSE),Shipper!A:B,2,FALSE),"Not Specified")</f>
        <v>Shipper ZHISN</v>
      </c>
      <c r="O799" t="str">
        <f>IFERROR(VLOOKUP(A799,'Sales Order'!A:I,9,FALSE),"Not Specified")</f>
        <v>Ship to 84-C</v>
      </c>
      <c r="P799" t="str">
        <f>IFERROR(VLOOKUP(A799,'Sales Order'!A:N,14,FALSE),"Not Specified")</f>
        <v>France</v>
      </c>
      <c r="Q799" t="str">
        <f>VLOOKUP(VLOOKUP(B799,Product!A:C,3,FALSE),Supplier!A:B,2,FALSE)</f>
        <v>Supplier OGLRK</v>
      </c>
      <c r="R799" t="str">
        <f>VLOOKUP(VLOOKUP(B799,Product!A:C,3,FALSE),Supplier!A:I,9,FALSE)</f>
        <v>Canada</v>
      </c>
      <c r="S799" t="str">
        <f>IFERROR(IF(VLOOKUP(A799,'Sales Order'!A:H,8,FALSE)&gt;100,"High Freight","Low Freight"),"Not Specified")</f>
        <v>High Freight</v>
      </c>
      <c r="T799">
        <f t="shared" si="25"/>
        <v>1972</v>
      </c>
    </row>
    <row r="800" spans="1:20">
      <c r="A800" s="9">
        <v>10547</v>
      </c>
      <c r="B800" s="6">
        <v>32</v>
      </c>
      <c r="C800" s="6">
        <v>32</v>
      </c>
      <c r="D800" s="6">
        <v>24</v>
      </c>
      <c r="E800" s="18">
        <v>0.15</v>
      </c>
      <c r="F800" s="6" t="str">
        <f>IFERROR(VLOOKUP(VLOOKUP(A800,'Sales Order'!A:B,2,FALSE),Customer!A:C,3,FALSE),"Not Specified")</f>
        <v>Welcker, Brian</v>
      </c>
      <c r="G800" s="6" t="str">
        <f t="shared" si="24"/>
        <v>Welcker Brian</v>
      </c>
      <c r="H800" s="22" t="str">
        <f>IFERROR(VLOOKUP(VLOOKUP(A800,'Sales Order'!A:C,3,FALSE),Employee!A:E,5,FALSE)&amp;" "&amp;VLOOKUP(VLOOKUP(A800,'Sales Order'!A:C,3,FALSE),Employee!A:C,3,FALSE)&amp;" "&amp;VLOOKUP(VLOOKUP(A800,'Sales Order'!A:C,3,FALSE),Employee!A:B,2,FALSE),"Not Specified")</f>
        <v>Ms. Judy Lew</v>
      </c>
      <c r="I800" t="str">
        <f>IFERROR(VLOOKUP(VLOOKUP(A800,'Sales Order'!A:C,3,FALSE),Employee!A:J,10,FALSE),"Not Specified")</f>
        <v>WA</v>
      </c>
      <c r="J800" t="str">
        <f>VLOOKUP(B800,Product!A:B,2,FALSE)</f>
        <v>Product NUNAW</v>
      </c>
      <c r="K800" t="str">
        <f>VLOOKUP(VLOOKUP(B800,Product!A:D,4,FALSE),Category!A:B,2,FALSE)</f>
        <v>Dairy Product</v>
      </c>
      <c r="L800" s="24">
        <f>IFERROR(VLOOKUP(A800,'Sales Order'!A:D,4,FALSE),"")</f>
        <v>39225</v>
      </c>
      <c r="M800" s="24">
        <f>IFERROR(VLOOKUP(A800,'Sales Order'!A:F,6,FALSE),"")</f>
        <v>39235</v>
      </c>
      <c r="N800" t="str">
        <f>IFERROR(VLOOKUP(VLOOKUP(A800,'Sales Order'!A:G,7,FALSE),Shipper!A:B,2,FALSE),"Not Specified")</f>
        <v>Shipper ETYNR</v>
      </c>
      <c r="O800" t="str">
        <f>IFERROR(VLOOKUP(A800,'Sales Order'!A:I,9,FALSE),"Not Specified")</f>
        <v>Ship to 72-C</v>
      </c>
      <c r="P800" t="str">
        <f>IFERROR(VLOOKUP(A800,'Sales Order'!A:N,14,FALSE),"Not Specified")</f>
        <v>UK</v>
      </c>
      <c r="Q800" t="str">
        <f>VLOOKUP(VLOOKUP(B800,Product!A:C,3,FALSE),Supplier!A:B,2,FALSE)</f>
        <v>Supplier KEREV</v>
      </c>
      <c r="R800" t="str">
        <f>VLOOKUP(VLOOKUP(B800,Product!A:C,3,FALSE),Supplier!A:I,9,FALSE)</f>
        <v>Italy</v>
      </c>
      <c r="S800" t="str">
        <f>IFERROR(IF(VLOOKUP(A800,'Sales Order'!A:H,8,FALSE)&gt;100,"High Freight","Low Freight"),"Not Specified")</f>
        <v>High Freight</v>
      </c>
      <c r="T800">
        <f t="shared" si="25"/>
        <v>652.79999999999995</v>
      </c>
    </row>
    <row r="801" spans="1:20">
      <c r="A801" s="9">
        <v>10547</v>
      </c>
      <c r="B801" s="6">
        <v>36</v>
      </c>
      <c r="C801" s="6">
        <v>19</v>
      </c>
      <c r="D801" s="6">
        <v>60</v>
      </c>
      <c r="E801" s="18">
        <v>0</v>
      </c>
      <c r="F801" s="6" t="str">
        <f>IFERROR(VLOOKUP(VLOOKUP(A801,'Sales Order'!A:B,2,FALSE),Customer!A:C,3,FALSE),"Not Specified")</f>
        <v>Welcker, Brian</v>
      </c>
      <c r="G801" s="6" t="str">
        <f t="shared" si="24"/>
        <v>Welcker Brian</v>
      </c>
      <c r="H801" s="22" t="str">
        <f>IFERROR(VLOOKUP(VLOOKUP(A801,'Sales Order'!A:C,3,FALSE),Employee!A:E,5,FALSE)&amp;" "&amp;VLOOKUP(VLOOKUP(A801,'Sales Order'!A:C,3,FALSE),Employee!A:C,3,FALSE)&amp;" "&amp;VLOOKUP(VLOOKUP(A801,'Sales Order'!A:C,3,FALSE),Employee!A:B,2,FALSE),"Not Specified")</f>
        <v>Ms. Judy Lew</v>
      </c>
      <c r="I801" t="str">
        <f>IFERROR(VLOOKUP(VLOOKUP(A801,'Sales Order'!A:C,3,FALSE),Employee!A:J,10,FALSE),"Not Specified")</f>
        <v>WA</v>
      </c>
      <c r="J801" t="str">
        <f>VLOOKUP(B801,Product!A:B,2,FALSE)</f>
        <v>Product GMKIJ</v>
      </c>
      <c r="K801" t="str">
        <f>VLOOKUP(VLOOKUP(B801,Product!A:D,4,FALSE),Category!A:B,2,FALSE)</f>
        <v>Seafood</v>
      </c>
      <c r="L801" s="24">
        <f>IFERROR(VLOOKUP(A801,'Sales Order'!A:D,4,FALSE),"")</f>
        <v>39225</v>
      </c>
      <c r="M801" s="24">
        <f>IFERROR(VLOOKUP(A801,'Sales Order'!A:F,6,FALSE),"")</f>
        <v>39235</v>
      </c>
      <c r="N801" t="str">
        <f>IFERROR(VLOOKUP(VLOOKUP(A801,'Sales Order'!A:G,7,FALSE),Shipper!A:B,2,FALSE),"Not Specified")</f>
        <v>Shipper ETYNR</v>
      </c>
      <c r="O801" t="str">
        <f>IFERROR(VLOOKUP(A801,'Sales Order'!A:I,9,FALSE),"Not Specified")</f>
        <v>Ship to 72-C</v>
      </c>
      <c r="P801" t="str">
        <f>IFERROR(VLOOKUP(A801,'Sales Order'!A:N,14,FALSE),"Not Specified")</f>
        <v>UK</v>
      </c>
      <c r="Q801" t="str">
        <f>VLOOKUP(VLOOKUP(B801,Product!A:C,3,FALSE),Supplier!A:B,2,FALSE)</f>
        <v>Supplier QZGUF</v>
      </c>
      <c r="R801" t="str">
        <f>VLOOKUP(VLOOKUP(B801,Product!A:C,3,FALSE),Supplier!A:I,9,FALSE)</f>
        <v>Sweden</v>
      </c>
      <c r="S801" t="str">
        <f>IFERROR(IF(VLOOKUP(A801,'Sales Order'!A:H,8,FALSE)&gt;100,"High Freight","Low Freight"),"Not Specified")</f>
        <v>High Freight</v>
      </c>
      <c r="T801">
        <f t="shared" si="25"/>
        <v>1140</v>
      </c>
    </row>
    <row r="802" spans="1:20">
      <c r="A802" s="9">
        <v>10548</v>
      </c>
      <c r="B802" s="6">
        <v>34</v>
      </c>
      <c r="C802" s="6">
        <v>14</v>
      </c>
      <c r="D802" s="6">
        <v>10</v>
      </c>
      <c r="E802" s="18">
        <v>0.25</v>
      </c>
      <c r="F802" s="6" t="str">
        <f>IFERROR(VLOOKUP(VLOOKUP(A802,'Sales Order'!A:B,2,FALSE),Customer!A:C,3,FALSE),"Not Specified")</f>
        <v>Wickham, Jim</v>
      </c>
      <c r="G802" s="6" t="str">
        <f t="shared" si="24"/>
        <v>Wickham Jim</v>
      </c>
      <c r="H802" s="22" t="str">
        <f>IFERROR(VLOOKUP(VLOOKUP(A802,'Sales Order'!A:C,3,FALSE),Employee!A:E,5,FALSE)&amp;" "&amp;VLOOKUP(VLOOKUP(A802,'Sales Order'!A:C,3,FALSE),Employee!A:C,3,FALSE)&amp;" "&amp;VLOOKUP(VLOOKUP(A802,'Sales Order'!A:C,3,FALSE),Employee!A:B,2,FALSE),"Not Specified")</f>
        <v>Ms. Judy Lew</v>
      </c>
      <c r="I802" t="str">
        <f>IFERROR(VLOOKUP(VLOOKUP(A802,'Sales Order'!A:C,3,FALSE),Employee!A:J,10,FALSE),"Not Specified")</f>
        <v>WA</v>
      </c>
      <c r="J802" t="str">
        <f>VLOOKUP(B802,Product!A:B,2,FALSE)</f>
        <v>Product SWNJY</v>
      </c>
      <c r="K802" t="str">
        <f>VLOOKUP(VLOOKUP(B802,Product!A:D,4,FALSE),Category!A:B,2,FALSE)</f>
        <v>Beverages</v>
      </c>
      <c r="L802" s="24">
        <f>IFERROR(VLOOKUP(A802,'Sales Order'!A:D,4,FALSE),"")</f>
        <v>39228</v>
      </c>
      <c r="M802" s="24">
        <f>IFERROR(VLOOKUP(A802,'Sales Order'!A:F,6,FALSE),"")</f>
        <v>39235</v>
      </c>
      <c r="N802" t="str">
        <f>IFERROR(VLOOKUP(VLOOKUP(A802,'Sales Order'!A:G,7,FALSE),Shipper!A:B,2,FALSE),"Not Specified")</f>
        <v>Shipper ETYNR</v>
      </c>
      <c r="O802" t="str">
        <f>IFERROR(VLOOKUP(A802,'Sales Order'!A:I,9,FALSE),"Not Specified")</f>
        <v>Ship to 79-A</v>
      </c>
      <c r="P802" t="str">
        <f>IFERROR(VLOOKUP(A802,'Sales Order'!A:N,14,FALSE),"Not Specified")</f>
        <v>Germany</v>
      </c>
      <c r="Q802" t="str">
        <f>VLOOKUP(VLOOKUP(B802,Product!A:C,3,FALSE),Supplier!A:B,2,FALSE)</f>
        <v>Supplier UHZRG</v>
      </c>
      <c r="R802" t="str">
        <f>VLOOKUP(VLOOKUP(B802,Product!A:C,3,FALSE),Supplier!A:I,9,FALSE)</f>
        <v>USA</v>
      </c>
      <c r="S802" t="str">
        <f>IFERROR(IF(VLOOKUP(A802,'Sales Order'!A:H,8,FALSE)&gt;100,"High Freight","Low Freight"),"Not Specified")</f>
        <v>Low Freight</v>
      </c>
      <c r="T802">
        <f t="shared" si="25"/>
        <v>105</v>
      </c>
    </row>
    <row r="803" spans="1:20">
      <c r="A803" s="9">
        <v>10548</v>
      </c>
      <c r="B803" s="6">
        <v>41</v>
      </c>
      <c r="C803" s="6">
        <v>9.65</v>
      </c>
      <c r="D803" s="6">
        <v>14</v>
      </c>
      <c r="E803" s="18">
        <v>0</v>
      </c>
      <c r="F803" s="6" t="str">
        <f>IFERROR(VLOOKUP(VLOOKUP(A803,'Sales Order'!A:B,2,FALSE),Customer!A:C,3,FALSE),"Not Specified")</f>
        <v>Wickham, Jim</v>
      </c>
      <c r="G803" s="6" t="str">
        <f t="shared" si="24"/>
        <v>Wickham Jim</v>
      </c>
      <c r="H803" s="22" t="str">
        <f>IFERROR(VLOOKUP(VLOOKUP(A803,'Sales Order'!A:C,3,FALSE),Employee!A:E,5,FALSE)&amp;" "&amp;VLOOKUP(VLOOKUP(A803,'Sales Order'!A:C,3,FALSE),Employee!A:C,3,FALSE)&amp;" "&amp;VLOOKUP(VLOOKUP(A803,'Sales Order'!A:C,3,FALSE),Employee!A:B,2,FALSE),"Not Specified")</f>
        <v>Ms. Judy Lew</v>
      </c>
      <c r="I803" t="str">
        <f>IFERROR(VLOOKUP(VLOOKUP(A803,'Sales Order'!A:C,3,FALSE),Employee!A:J,10,FALSE),"Not Specified")</f>
        <v>WA</v>
      </c>
      <c r="J803" t="str">
        <f>VLOOKUP(B803,Product!A:B,2,FALSE)</f>
        <v>Product TTEEX</v>
      </c>
      <c r="K803" t="str">
        <f>VLOOKUP(VLOOKUP(B803,Product!A:D,4,FALSE),Category!A:B,2,FALSE)</f>
        <v>Seafood</v>
      </c>
      <c r="L803" s="24">
        <f>IFERROR(VLOOKUP(A803,'Sales Order'!A:D,4,FALSE),"")</f>
        <v>39228</v>
      </c>
      <c r="M803" s="24">
        <f>IFERROR(VLOOKUP(A803,'Sales Order'!A:F,6,FALSE),"")</f>
        <v>39235</v>
      </c>
      <c r="N803" t="str">
        <f>IFERROR(VLOOKUP(VLOOKUP(A803,'Sales Order'!A:G,7,FALSE),Shipper!A:B,2,FALSE),"Not Specified")</f>
        <v>Shipper ETYNR</v>
      </c>
      <c r="O803" t="str">
        <f>IFERROR(VLOOKUP(A803,'Sales Order'!A:I,9,FALSE),"Not Specified")</f>
        <v>Ship to 79-A</v>
      </c>
      <c r="P803" t="str">
        <f>IFERROR(VLOOKUP(A803,'Sales Order'!A:N,14,FALSE),"Not Specified")</f>
        <v>Germany</v>
      </c>
      <c r="Q803" t="str">
        <f>VLOOKUP(VLOOKUP(B803,Product!A:C,3,FALSE),Supplier!A:B,2,FALSE)</f>
        <v>Supplier JDNUG</v>
      </c>
      <c r="R803" t="str">
        <f>VLOOKUP(VLOOKUP(B803,Product!A:C,3,FALSE),Supplier!A:I,9,FALSE)</f>
        <v>USA</v>
      </c>
      <c r="S803" t="str">
        <f>IFERROR(IF(VLOOKUP(A803,'Sales Order'!A:H,8,FALSE)&gt;100,"High Freight","Low Freight"),"Not Specified")</f>
        <v>Low Freight</v>
      </c>
      <c r="T803">
        <f t="shared" si="25"/>
        <v>135.1</v>
      </c>
    </row>
    <row r="804" spans="1:20">
      <c r="A804" s="9">
        <v>10549</v>
      </c>
      <c r="B804" s="6">
        <v>31</v>
      </c>
      <c r="C804" s="6">
        <v>12.5</v>
      </c>
      <c r="D804" s="6">
        <v>55</v>
      </c>
      <c r="E804" s="18">
        <v>0.15</v>
      </c>
      <c r="F804" s="6" t="str">
        <f>IFERROR(VLOOKUP(VLOOKUP(A804,'Sales Order'!A:B,2,FALSE),Customer!A:C,3,FALSE),"Not Specified")</f>
        <v>Veronesi, Giorgio</v>
      </c>
      <c r="G804" s="6" t="str">
        <f t="shared" si="24"/>
        <v>Veronesi Giorgio</v>
      </c>
      <c r="H804" s="22" t="str">
        <f>IFERROR(VLOOKUP(VLOOKUP(A804,'Sales Order'!A:C,3,FALSE),Employee!A:E,5,FALSE)&amp;" "&amp;VLOOKUP(VLOOKUP(A804,'Sales Order'!A:C,3,FALSE),Employee!A:C,3,FALSE)&amp;" "&amp;VLOOKUP(VLOOKUP(A804,'Sales Order'!A:C,3,FALSE),Employee!A:B,2,FALSE),"Not Specified")</f>
        <v>Mr. Sven Buck</v>
      </c>
      <c r="I804">
        <f>IFERROR(VLOOKUP(VLOOKUP(A804,'Sales Order'!A:C,3,FALSE),Employee!A:J,10,FALSE),"Not Specified")</f>
        <v>0</v>
      </c>
      <c r="J804" t="str">
        <f>VLOOKUP(B804,Product!A:B,2,FALSE)</f>
        <v>Product XWOXC</v>
      </c>
      <c r="K804" t="str">
        <f>VLOOKUP(VLOOKUP(B804,Product!A:D,4,FALSE),Category!A:B,2,FALSE)</f>
        <v>Dairy Product</v>
      </c>
      <c r="L804" s="24">
        <f>IFERROR(VLOOKUP(A804,'Sales Order'!A:D,4,FALSE),"")</f>
        <v>39229</v>
      </c>
      <c r="M804" s="24">
        <f>IFERROR(VLOOKUP(A804,'Sales Order'!A:F,6,FALSE),"")</f>
        <v>39232</v>
      </c>
      <c r="N804" t="str">
        <f>IFERROR(VLOOKUP(VLOOKUP(A804,'Sales Order'!A:G,7,FALSE),Shipper!A:B,2,FALSE),"Not Specified")</f>
        <v>Shipper GVSUA</v>
      </c>
      <c r="O804" t="str">
        <f>IFERROR(VLOOKUP(A804,'Sales Order'!A:I,9,FALSE),"Not Specified")</f>
        <v>Ship to 63-C</v>
      </c>
      <c r="P804" t="str">
        <f>IFERROR(VLOOKUP(A804,'Sales Order'!A:N,14,FALSE),"Not Specified")</f>
        <v>Germany</v>
      </c>
      <c r="Q804" t="str">
        <f>VLOOKUP(VLOOKUP(B804,Product!A:C,3,FALSE),Supplier!A:B,2,FALSE)</f>
        <v>Supplier KEREV</v>
      </c>
      <c r="R804" t="str">
        <f>VLOOKUP(VLOOKUP(B804,Product!A:C,3,FALSE),Supplier!A:I,9,FALSE)</f>
        <v>Italy</v>
      </c>
      <c r="S804" t="str">
        <f>IFERROR(IF(VLOOKUP(A804,'Sales Order'!A:H,8,FALSE)&gt;100,"High Freight","Low Freight"),"Not Specified")</f>
        <v>High Freight</v>
      </c>
      <c r="T804">
        <f t="shared" si="25"/>
        <v>584.375</v>
      </c>
    </row>
    <row r="805" spans="1:20">
      <c r="A805" s="9">
        <v>10549</v>
      </c>
      <c r="B805" s="6">
        <v>45</v>
      </c>
      <c r="C805" s="6">
        <v>9.5</v>
      </c>
      <c r="D805" s="6">
        <v>100</v>
      </c>
      <c r="E805" s="18">
        <v>0.15</v>
      </c>
      <c r="F805" s="6" t="str">
        <f>IFERROR(VLOOKUP(VLOOKUP(A805,'Sales Order'!A:B,2,FALSE),Customer!A:C,3,FALSE),"Not Specified")</f>
        <v>Veronesi, Giorgio</v>
      </c>
      <c r="G805" s="6" t="str">
        <f t="shared" si="24"/>
        <v>Veronesi Giorgio</v>
      </c>
      <c r="H805" s="22" t="str">
        <f>IFERROR(VLOOKUP(VLOOKUP(A805,'Sales Order'!A:C,3,FALSE),Employee!A:E,5,FALSE)&amp;" "&amp;VLOOKUP(VLOOKUP(A805,'Sales Order'!A:C,3,FALSE),Employee!A:C,3,FALSE)&amp;" "&amp;VLOOKUP(VLOOKUP(A805,'Sales Order'!A:C,3,FALSE),Employee!A:B,2,FALSE),"Not Specified")</f>
        <v>Mr. Sven Buck</v>
      </c>
      <c r="I805">
        <f>IFERROR(VLOOKUP(VLOOKUP(A805,'Sales Order'!A:C,3,FALSE),Employee!A:J,10,FALSE),"Not Specified")</f>
        <v>0</v>
      </c>
      <c r="J805" t="str">
        <f>VLOOKUP(B805,Product!A:B,2,FALSE)</f>
        <v>Product AQOKR</v>
      </c>
      <c r="K805" t="str">
        <f>VLOOKUP(VLOOKUP(B805,Product!A:D,4,FALSE),Category!A:B,2,FALSE)</f>
        <v>Seafood</v>
      </c>
      <c r="L805" s="24">
        <f>IFERROR(VLOOKUP(A805,'Sales Order'!A:D,4,FALSE),"")</f>
        <v>39229</v>
      </c>
      <c r="M805" s="24">
        <f>IFERROR(VLOOKUP(A805,'Sales Order'!A:F,6,FALSE),"")</f>
        <v>39232</v>
      </c>
      <c r="N805" t="str">
        <f>IFERROR(VLOOKUP(VLOOKUP(A805,'Sales Order'!A:G,7,FALSE),Shipper!A:B,2,FALSE),"Not Specified")</f>
        <v>Shipper GVSUA</v>
      </c>
      <c r="O805" t="str">
        <f>IFERROR(VLOOKUP(A805,'Sales Order'!A:I,9,FALSE),"Not Specified")</f>
        <v>Ship to 63-C</v>
      </c>
      <c r="P805" t="str">
        <f>IFERROR(VLOOKUP(A805,'Sales Order'!A:N,14,FALSE),"Not Specified")</f>
        <v>Germany</v>
      </c>
      <c r="Q805" t="str">
        <f>VLOOKUP(VLOOKUP(B805,Product!A:C,3,FALSE),Supplier!A:B,2,FALSE)</f>
        <v>Supplier XOXZA</v>
      </c>
      <c r="R805" t="str">
        <f>VLOOKUP(VLOOKUP(B805,Product!A:C,3,FALSE),Supplier!A:I,9,FALSE)</f>
        <v>Denmark</v>
      </c>
      <c r="S805" t="str">
        <f>IFERROR(IF(VLOOKUP(A805,'Sales Order'!A:H,8,FALSE)&gt;100,"High Freight","Low Freight"),"Not Specified")</f>
        <v>High Freight</v>
      </c>
      <c r="T805">
        <f t="shared" si="25"/>
        <v>807.5</v>
      </c>
    </row>
    <row r="806" spans="1:20">
      <c r="A806" s="9">
        <v>10549</v>
      </c>
      <c r="B806" s="6">
        <v>51</v>
      </c>
      <c r="C806" s="6">
        <v>53</v>
      </c>
      <c r="D806" s="6">
        <v>48</v>
      </c>
      <c r="E806" s="18">
        <v>0.15</v>
      </c>
      <c r="F806" s="6" t="str">
        <f>IFERROR(VLOOKUP(VLOOKUP(A806,'Sales Order'!A:B,2,FALSE),Customer!A:C,3,FALSE),"Not Specified")</f>
        <v>Veronesi, Giorgio</v>
      </c>
      <c r="G806" s="6" t="str">
        <f t="shared" si="24"/>
        <v>Veronesi Giorgio</v>
      </c>
      <c r="H806" s="22" t="str">
        <f>IFERROR(VLOOKUP(VLOOKUP(A806,'Sales Order'!A:C,3,FALSE),Employee!A:E,5,FALSE)&amp;" "&amp;VLOOKUP(VLOOKUP(A806,'Sales Order'!A:C,3,FALSE),Employee!A:C,3,FALSE)&amp;" "&amp;VLOOKUP(VLOOKUP(A806,'Sales Order'!A:C,3,FALSE),Employee!A:B,2,FALSE),"Not Specified")</f>
        <v>Mr. Sven Buck</v>
      </c>
      <c r="I806">
        <f>IFERROR(VLOOKUP(VLOOKUP(A806,'Sales Order'!A:C,3,FALSE),Employee!A:J,10,FALSE),"Not Specified")</f>
        <v>0</v>
      </c>
      <c r="J806" t="str">
        <f>VLOOKUP(B806,Product!A:B,2,FALSE)</f>
        <v>Product APITJ</v>
      </c>
      <c r="K806" t="str">
        <f>VLOOKUP(VLOOKUP(B806,Product!A:D,4,FALSE),Category!A:B,2,FALSE)</f>
        <v>Produce</v>
      </c>
      <c r="L806" s="24">
        <f>IFERROR(VLOOKUP(A806,'Sales Order'!A:D,4,FALSE),"")</f>
        <v>39229</v>
      </c>
      <c r="M806" s="24">
        <f>IFERROR(VLOOKUP(A806,'Sales Order'!A:F,6,FALSE),"")</f>
        <v>39232</v>
      </c>
      <c r="N806" t="str">
        <f>IFERROR(VLOOKUP(VLOOKUP(A806,'Sales Order'!A:G,7,FALSE),Shipper!A:B,2,FALSE),"Not Specified")</f>
        <v>Shipper GVSUA</v>
      </c>
      <c r="O806" t="str">
        <f>IFERROR(VLOOKUP(A806,'Sales Order'!A:I,9,FALSE),"Not Specified")</f>
        <v>Ship to 63-C</v>
      </c>
      <c r="P806" t="str">
        <f>IFERROR(VLOOKUP(A806,'Sales Order'!A:N,14,FALSE),"Not Specified")</f>
        <v>Germany</v>
      </c>
      <c r="Q806" t="str">
        <f>VLOOKUP(VLOOKUP(B806,Product!A:C,3,FALSE),Supplier!A:B,2,FALSE)</f>
        <v>Supplier JNNES</v>
      </c>
      <c r="R806" t="str">
        <f>VLOOKUP(VLOOKUP(B806,Product!A:C,3,FALSE),Supplier!A:I,9,FALSE)</f>
        <v>Australia</v>
      </c>
      <c r="S806" t="str">
        <f>IFERROR(IF(VLOOKUP(A806,'Sales Order'!A:H,8,FALSE)&gt;100,"High Freight","Low Freight"),"Not Specified")</f>
        <v>High Freight</v>
      </c>
      <c r="T806">
        <f t="shared" si="25"/>
        <v>2162.4</v>
      </c>
    </row>
    <row r="807" spans="1:20">
      <c r="A807" s="9">
        <v>10550</v>
      </c>
      <c r="B807" s="6">
        <v>17</v>
      </c>
      <c r="C807" s="6">
        <v>39</v>
      </c>
      <c r="D807" s="6">
        <v>8</v>
      </c>
      <c r="E807" s="18">
        <v>0.1</v>
      </c>
      <c r="F807" s="6" t="str">
        <f>IFERROR(VLOOKUP(VLOOKUP(A807,'Sales Order'!A:B,2,FALSE),Customer!A:C,3,FALSE),"Not Specified")</f>
        <v>Shabalin, Rostislav</v>
      </c>
      <c r="G807" s="6" t="str">
        <f t="shared" si="24"/>
        <v>Shabalin Rostislav</v>
      </c>
      <c r="H807" s="22" t="str">
        <f>IFERROR(VLOOKUP(VLOOKUP(A807,'Sales Order'!A:C,3,FALSE),Employee!A:E,5,FALSE)&amp;" "&amp;VLOOKUP(VLOOKUP(A807,'Sales Order'!A:C,3,FALSE),Employee!A:C,3,FALSE)&amp;" "&amp;VLOOKUP(VLOOKUP(A807,'Sales Order'!A:C,3,FALSE),Employee!A:B,2,FALSE),"Not Specified")</f>
        <v>Mr. Russell King</v>
      </c>
      <c r="I807">
        <f>IFERROR(VLOOKUP(VLOOKUP(A807,'Sales Order'!A:C,3,FALSE),Employee!A:J,10,FALSE),"Not Specified")</f>
        <v>0</v>
      </c>
      <c r="J807" t="str">
        <f>VLOOKUP(B807,Product!A:B,2,FALSE)</f>
        <v>Product BLCAX</v>
      </c>
      <c r="K807" t="str">
        <f>VLOOKUP(VLOOKUP(B807,Product!A:D,4,FALSE),Category!A:B,2,FALSE)</f>
        <v>Meat/Poultry</v>
      </c>
      <c r="L807" s="24">
        <f>IFERROR(VLOOKUP(A807,'Sales Order'!A:D,4,FALSE),"")</f>
        <v>39230</v>
      </c>
      <c r="M807" s="24">
        <f>IFERROR(VLOOKUP(A807,'Sales Order'!A:F,6,FALSE),"")</f>
        <v>39239</v>
      </c>
      <c r="N807" t="str">
        <f>IFERROR(VLOOKUP(VLOOKUP(A807,'Sales Order'!A:G,7,FALSE),Shipper!A:B,2,FALSE),"Not Specified")</f>
        <v>Shipper ZHISN</v>
      </c>
      <c r="O807" t="str">
        <f>IFERROR(VLOOKUP(A807,'Sales Order'!A:I,9,FALSE),"Not Specified")</f>
        <v>Destination GGQIR</v>
      </c>
      <c r="P807" t="str">
        <f>IFERROR(VLOOKUP(A807,'Sales Order'!A:N,14,FALSE),"Not Specified")</f>
        <v>Spain</v>
      </c>
      <c r="Q807" t="str">
        <f>VLOOKUP(VLOOKUP(B807,Product!A:C,3,FALSE),Supplier!A:B,2,FALSE)</f>
        <v>Supplier GQRCV</v>
      </c>
      <c r="R807" t="str">
        <f>VLOOKUP(VLOOKUP(B807,Product!A:C,3,FALSE),Supplier!A:I,9,FALSE)</f>
        <v>Australia</v>
      </c>
      <c r="S807" t="str">
        <f>IFERROR(IF(VLOOKUP(A807,'Sales Order'!A:H,8,FALSE)&gt;100,"High Freight","Low Freight"),"Not Specified")</f>
        <v>Low Freight</v>
      </c>
      <c r="T807">
        <f t="shared" si="25"/>
        <v>280.8</v>
      </c>
    </row>
    <row r="808" spans="1:20">
      <c r="A808" s="9">
        <v>10550</v>
      </c>
      <c r="B808" s="6">
        <v>19</v>
      </c>
      <c r="C808" s="6">
        <v>9.1999999999999993</v>
      </c>
      <c r="D808" s="6">
        <v>10</v>
      </c>
      <c r="E808" s="18">
        <v>0</v>
      </c>
      <c r="F808" s="6" t="str">
        <f>IFERROR(VLOOKUP(VLOOKUP(A808,'Sales Order'!A:B,2,FALSE),Customer!A:C,3,FALSE),"Not Specified")</f>
        <v>Shabalin, Rostislav</v>
      </c>
      <c r="G808" s="6" t="str">
        <f t="shared" si="24"/>
        <v>Shabalin Rostislav</v>
      </c>
      <c r="H808" s="22" t="str">
        <f>IFERROR(VLOOKUP(VLOOKUP(A808,'Sales Order'!A:C,3,FALSE),Employee!A:E,5,FALSE)&amp;" "&amp;VLOOKUP(VLOOKUP(A808,'Sales Order'!A:C,3,FALSE),Employee!A:C,3,FALSE)&amp;" "&amp;VLOOKUP(VLOOKUP(A808,'Sales Order'!A:C,3,FALSE),Employee!A:B,2,FALSE),"Not Specified")</f>
        <v>Mr. Russell King</v>
      </c>
      <c r="I808">
        <f>IFERROR(VLOOKUP(VLOOKUP(A808,'Sales Order'!A:C,3,FALSE),Employee!A:J,10,FALSE),"Not Specified")</f>
        <v>0</v>
      </c>
      <c r="J808" t="str">
        <f>VLOOKUP(B808,Product!A:B,2,FALSE)</f>
        <v>Product XKXDO</v>
      </c>
      <c r="K808" t="str">
        <f>VLOOKUP(VLOOKUP(B808,Product!A:D,4,FALSE),Category!A:B,2,FALSE)</f>
        <v>Confections</v>
      </c>
      <c r="L808" s="24">
        <f>IFERROR(VLOOKUP(A808,'Sales Order'!A:D,4,FALSE),"")</f>
        <v>39230</v>
      </c>
      <c r="M808" s="24">
        <f>IFERROR(VLOOKUP(A808,'Sales Order'!A:F,6,FALSE),"")</f>
        <v>39239</v>
      </c>
      <c r="N808" t="str">
        <f>IFERROR(VLOOKUP(VLOOKUP(A808,'Sales Order'!A:G,7,FALSE),Shipper!A:B,2,FALSE),"Not Specified")</f>
        <v>Shipper ZHISN</v>
      </c>
      <c r="O808" t="str">
        <f>IFERROR(VLOOKUP(A808,'Sales Order'!A:I,9,FALSE),"Not Specified")</f>
        <v>Destination GGQIR</v>
      </c>
      <c r="P808" t="str">
        <f>IFERROR(VLOOKUP(A808,'Sales Order'!A:N,14,FALSE),"Not Specified")</f>
        <v>Spain</v>
      </c>
      <c r="Q808" t="str">
        <f>VLOOKUP(VLOOKUP(B808,Product!A:C,3,FALSE),Supplier!A:B,2,FALSE)</f>
        <v>Supplier BWGYE</v>
      </c>
      <c r="R808" t="str">
        <f>VLOOKUP(VLOOKUP(B808,Product!A:C,3,FALSE),Supplier!A:I,9,FALSE)</f>
        <v>UK</v>
      </c>
      <c r="S808" t="str">
        <f>IFERROR(IF(VLOOKUP(A808,'Sales Order'!A:H,8,FALSE)&gt;100,"High Freight","Low Freight"),"Not Specified")</f>
        <v>Low Freight</v>
      </c>
      <c r="T808">
        <f t="shared" si="25"/>
        <v>92</v>
      </c>
    </row>
    <row r="809" spans="1:20">
      <c r="A809" s="9">
        <v>10550</v>
      </c>
      <c r="B809" s="6">
        <v>21</v>
      </c>
      <c r="C809" s="6">
        <v>10</v>
      </c>
      <c r="D809" s="6">
        <v>6</v>
      </c>
      <c r="E809" s="18">
        <v>0.1</v>
      </c>
      <c r="F809" s="6" t="str">
        <f>IFERROR(VLOOKUP(VLOOKUP(A809,'Sales Order'!A:B,2,FALSE),Customer!A:C,3,FALSE),"Not Specified")</f>
        <v>Shabalin, Rostislav</v>
      </c>
      <c r="G809" s="6" t="str">
        <f t="shared" si="24"/>
        <v>Shabalin Rostislav</v>
      </c>
      <c r="H809" s="22" t="str">
        <f>IFERROR(VLOOKUP(VLOOKUP(A809,'Sales Order'!A:C,3,FALSE),Employee!A:E,5,FALSE)&amp;" "&amp;VLOOKUP(VLOOKUP(A809,'Sales Order'!A:C,3,FALSE),Employee!A:C,3,FALSE)&amp;" "&amp;VLOOKUP(VLOOKUP(A809,'Sales Order'!A:C,3,FALSE),Employee!A:B,2,FALSE),"Not Specified")</f>
        <v>Mr. Russell King</v>
      </c>
      <c r="I809">
        <f>IFERROR(VLOOKUP(VLOOKUP(A809,'Sales Order'!A:C,3,FALSE),Employee!A:J,10,FALSE),"Not Specified")</f>
        <v>0</v>
      </c>
      <c r="J809" t="str">
        <f>VLOOKUP(B809,Product!A:B,2,FALSE)</f>
        <v>Product VJZZH</v>
      </c>
      <c r="K809" t="str">
        <f>VLOOKUP(VLOOKUP(B809,Product!A:D,4,FALSE),Category!A:B,2,FALSE)</f>
        <v>Confections</v>
      </c>
      <c r="L809" s="24">
        <f>IFERROR(VLOOKUP(A809,'Sales Order'!A:D,4,FALSE),"")</f>
        <v>39230</v>
      </c>
      <c r="M809" s="24">
        <f>IFERROR(VLOOKUP(A809,'Sales Order'!A:F,6,FALSE),"")</f>
        <v>39239</v>
      </c>
      <c r="N809" t="str">
        <f>IFERROR(VLOOKUP(VLOOKUP(A809,'Sales Order'!A:G,7,FALSE),Shipper!A:B,2,FALSE),"Not Specified")</f>
        <v>Shipper ZHISN</v>
      </c>
      <c r="O809" t="str">
        <f>IFERROR(VLOOKUP(A809,'Sales Order'!A:I,9,FALSE),"Not Specified")</f>
        <v>Destination GGQIR</v>
      </c>
      <c r="P809" t="str">
        <f>IFERROR(VLOOKUP(A809,'Sales Order'!A:N,14,FALSE),"Not Specified")</f>
        <v>Spain</v>
      </c>
      <c r="Q809" t="str">
        <f>VLOOKUP(VLOOKUP(B809,Product!A:C,3,FALSE),Supplier!A:B,2,FALSE)</f>
        <v>Supplier BWGYE</v>
      </c>
      <c r="R809" t="str">
        <f>VLOOKUP(VLOOKUP(B809,Product!A:C,3,FALSE),Supplier!A:I,9,FALSE)</f>
        <v>UK</v>
      </c>
      <c r="S809" t="str">
        <f>IFERROR(IF(VLOOKUP(A809,'Sales Order'!A:H,8,FALSE)&gt;100,"High Freight","Low Freight"),"Not Specified")</f>
        <v>Low Freight</v>
      </c>
      <c r="T809">
        <f t="shared" si="25"/>
        <v>54</v>
      </c>
    </row>
    <row r="810" spans="1:20">
      <c r="A810" s="9">
        <v>10550</v>
      </c>
      <c r="B810" s="6">
        <v>61</v>
      </c>
      <c r="C810" s="6">
        <v>28.5</v>
      </c>
      <c r="D810" s="6">
        <v>10</v>
      </c>
      <c r="E810" s="18">
        <v>0.1</v>
      </c>
      <c r="F810" s="6" t="str">
        <f>IFERROR(VLOOKUP(VLOOKUP(A810,'Sales Order'!A:B,2,FALSE),Customer!A:C,3,FALSE),"Not Specified")</f>
        <v>Shabalin, Rostislav</v>
      </c>
      <c r="G810" s="6" t="str">
        <f t="shared" si="24"/>
        <v>Shabalin Rostislav</v>
      </c>
      <c r="H810" s="22" t="str">
        <f>IFERROR(VLOOKUP(VLOOKUP(A810,'Sales Order'!A:C,3,FALSE),Employee!A:E,5,FALSE)&amp;" "&amp;VLOOKUP(VLOOKUP(A810,'Sales Order'!A:C,3,FALSE),Employee!A:C,3,FALSE)&amp;" "&amp;VLOOKUP(VLOOKUP(A810,'Sales Order'!A:C,3,FALSE),Employee!A:B,2,FALSE),"Not Specified")</f>
        <v>Mr. Russell King</v>
      </c>
      <c r="I810">
        <f>IFERROR(VLOOKUP(VLOOKUP(A810,'Sales Order'!A:C,3,FALSE),Employee!A:J,10,FALSE),"Not Specified")</f>
        <v>0</v>
      </c>
      <c r="J810" t="str">
        <f>VLOOKUP(B810,Product!A:B,2,FALSE)</f>
        <v>Product XYZPE</v>
      </c>
      <c r="K810" t="str">
        <f>VLOOKUP(VLOOKUP(B810,Product!A:D,4,FALSE),Category!A:B,2,FALSE)</f>
        <v>Condiments</v>
      </c>
      <c r="L810" s="24">
        <f>IFERROR(VLOOKUP(A810,'Sales Order'!A:D,4,FALSE),"")</f>
        <v>39230</v>
      </c>
      <c r="M810" s="24">
        <f>IFERROR(VLOOKUP(A810,'Sales Order'!A:F,6,FALSE),"")</f>
        <v>39239</v>
      </c>
      <c r="N810" t="str">
        <f>IFERROR(VLOOKUP(VLOOKUP(A810,'Sales Order'!A:G,7,FALSE),Shipper!A:B,2,FALSE),"Not Specified")</f>
        <v>Shipper ZHISN</v>
      </c>
      <c r="O810" t="str">
        <f>IFERROR(VLOOKUP(A810,'Sales Order'!A:I,9,FALSE),"Not Specified")</f>
        <v>Destination GGQIR</v>
      </c>
      <c r="P810" t="str">
        <f>IFERROR(VLOOKUP(A810,'Sales Order'!A:N,14,FALSE),"Not Specified")</f>
        <v>Spain</v>
      </c>
      <c r="Q810" t="str">
        <f>VLOOKUP(VLOOKUP(B810,Product!A:C,3,FALSE),Supplier!A:B,2,FALSE)</f>
        <v>Supplier OGLRK</v>
      </c>
      <c r="R810" t="str">
        <f>VLOOKUP(VLOOKUP(B810,Product!A:C,3,FALSE),Supplier!A:I,9,FALSE)</f>
        <v>Canada</v>
      </c>
      <c r="S810" t="str">
        <f>IFERROR(IF(VLOOKUP(A810,'Sales Order'!A:H,8,FALSE)&gt;100,"High Freight","Low Freight"),"Not Specified")</f>
        <v>Low Freight</v>
      </c>
      <c r="T810">
        <f t="shared" si="25"/>
        <v>256.5</v>
      </c>
    </row>
    <row r="811" spans="1:20">
      <c r="A811" s="9">
        <v>10551</v>
      </c>
      <c r="B811" s="6">
        <v>16</v>
      </c>
      <c r="C811" s="6">
        <v>17.45</v>
      </c>
      <c r="D811" s="6">
        <v>40</v>
      </c>
      <c r="E811" s="18">
        <v>0.15</v>
      </c>
      <c r="F811" s="6" t="str">
        <f>IFERROR(VLOOKUP(VLOOKUP(A811,'Sales Order'!A:B,2,FALSE),Customer!A:C,3,FALSE),"Not Specified")</f>
        <v>Cavaglieri, Giorgio</v>
      </c>
      <c r="G811" s="6" t="str">
        <f t="shared" si="24"/>
        <v>Cavaglieri Giorgio</v>
      </c>
      <c r="H811" s="22" t="str">
        <f>IFERROR(VLOOKUP(VLOOKUP(A811,'Sales Order'!A:C,3,FALSE),Employee!A:E,5,FALSE)&amp;" "&amp;VLOOKUP(VLOOKUP(A811,'Sales Order'!A:C,3,FALSE),Employee!A:C,3,FALSE)&amp;" "&amp;VLOOKUP(VLOOKUP(A811,'Sales Order'!A:C,3,FALSE),Employee!A:B,2,FALSE),"Not Specified")</f>
        <v>Mrs. Yael Peled</v>
      </c>
      <c r="I811" t="str">
        <f>IFERROR(VLOOKUP(VLOOKUP(A811,'Sales Order'!A:C,3,FALSE),Employee!A:J,10,FALSE),"Not Specified")</f>
        <v>WA</v>
      </c>
      <c r="J811" t="str">
        <f>VLOOKUP(B811,Product!A:B,2,FALSE)</f>
        <v>Product PAFRH</v>
      </c>
      <c r="K811" t="str">
        <f>VLOOKUP(VLOOKUP(B811,Product!A:D,4,FALSE),Category!A:B,2,FALSE)</f>
        <v>Confections</v>
      </c>
      <c r="L811" s="24">
        <f>IFERROR(VLOOKUP(A811,'Sales Order'!A:D,4,FALSE),"")</f>
        <v>39230</v>
      </c>
      <c r="M811" s="24">
        <f>IFERROR(VLOOKUP(A811,'Sales Order'!A:F,6,FALSE),"")</f>
        <v>39239</v>
      </c>
      <c r="N811" t="str">
        <f>IFERROR(VLOOKUP(VLOOKUP(A811,'Sales Order'!A:G,7,FALSE),Shipper!A:B,2,FALSE),"Not Specified")</f>
        <v>Shipper ZHISN</v>
      </c>
      <c r="O811" t="str">
        <f>IFERROR(VLOOKUP(A811,'Sales Order'!A:I,9,FALSE),"Not Specified")</f>
        <v>Destination OTSWR</v>
      </c>
      <c r="P811" t="str">
        <f>IFERROR(VLOOKUP(A811,'Sales Order'!A:N,14,FALSE),"Not Specified")</f>
        <v>Portugal</v>
      </c>
      <c r="Q811" t="str">
        <f>VLOOKUP(VLOOKUP(B811,Product!A:C,3,FALSE),Supplier!A:B,2,FALSE)</f>
        <v>Supplier GQRCV</v>
      </c>
      <c r="R811" t="str">
        <f>VLOOKUP(VLOOKUP(B811,Product!A:C,3,FALSE),Supplier!A:I,9,FALSE)</f>
        <v>Australia</v>
      </c>
      <c r="S811" t="str">
        <f>IFERROR(IF(VLOOKUP(A811,'Sales Order'!A:H,8,FALSE)&gt;100,"High Freight","Low Freight"),"Not Specified")</f>
        <v>Low Freight</v>
      </c>
      <c r="T811">
        <f t="shared" si="25"/>
        <v>593.29999999999995</v>
      </c>
    </row>
    <row r="812" spans="1:20">
      <c r="A812" s="9">
        <v>10551</v>
      </c>
      <c r="B812" s="6">
        <v>35</v>
      </c>
      <c r="C812" s="6">
        <v>18</v>
      </c>
      <c r="D812" s="6">
        <v>20</v>
      </c>
      <c r="E812" s="18">
        <v>0.15</v>
      </c>
      <c r="F812" s="6" t="str">
        <f>IFERROR(VLOOKUP(VLOOKUP(A812,'Sales Order'!A:B,2,FALSE),Customer!A:C,3,FALSE),"Not Specified")</f>
        <v>Cavaglieri, Giorgio</v>
      </c>
      <c r="G812" s="6" t="str">
        <f t="shared" si="24"/>
        <v>Cavaglieri Giorgio</v>
      </c>
      <c r="H812" s="22" t="str">
        <f>IFERROR(VLOOKUP(VLOOKUP(A812,'Sales Order'!A:C,3,FALSE),Employee!A:E,5,FALSE)&amp;" "&amp;VLOOKUP(VLOOKUP(A812,'Sales Order'!A:C,3,FALSE),Employee!A:C,3,FALSE)&amp;" "&amp;VLOOKUP(VLOOKUP(A812,'Sales Order'!A:C,3,FALSE),Employee!A:B,2,FALSE),"Not Specified")</f>
        <v>Mrs. Yael Peled</v>
      </c>
      <c r="I812" t="str">
        <f>IFERROR(VLOOKUP(VLOOKUP(A812,'Sales Order'!A:C,3,FALSE),Employee!A:J,10,FALSE),"Not Specified")</f>
        <v>WA</v>
      </c>
      <c r="J812" t="str">
        <f>VLOOKUP(B812,Product!A:B,2,FALSE)</f>
        <v>Product NEVTJ</v>
      </c>
      <c r="K812" t="str">
        <f>VLOOKUP(VLOOKUP(B812,Product!A:D,4,FALSE),Category!A:B,2,FALSE)</f>
        <v>Beverages</v>
      </c>
      <c r="L812" s="24">
        <f>IFERROR(VLOOKUP(A812,'Sales Order'!A:D,4,FALSE),"")</f>
        <v>39230</v>
      </c>
      <c r="M812" s="24">
        <f>IFERROR(VLOOKUP(A812,'Sales Order'!A:F,6,FALSE),"")</f>
        <v>39239</v>
      </c>
      <c r="N812" t="str">
        <f>IFERROR(VLOOKUP(VLOOKUP(A812,'Sales Order'!A:G,7,FALSE),Shipper!A:B,2,FALSE),"Not Specified")</f>
        <v>Shipper ZHISN</v>
      </c>
      <c r="O812" t="str">
        <f>IFERROR(VLOOKUP(A812,'Sales Order'!A:I,9,FALSE),"Not Specified")</f>
        <v>Destination OTSWR</v>
      </c>
      <c r="P812" t="str">
        <f>IFERROR(VLOOKUP(A812,'Sales Order'!A:N,14,FALSE),"Not Specified")</f>
        <v>Portugal</v>
      </c>
      <c r="Q812" t="str">
        <f>VLOOKUP(VLOOKUP(B812,Product!A:C,3,FALSE),Supplier!A:B,2,FALSE)</f>
        <v>Supplier UHZRG</v>
      </c>
      <c r="R812" t="str">
        <f>VLOOKUP(VLOOKUP(B812,Product!A:C,3,FALSE),Supplier!A:I,9,FALSE)</f>
        <v>USA</v>
      </c>
      <c r="S812" t="str">
        <f>IFERROR(IF(VLOOKUP(A812,'Sales Order'!A:H,8,FALSE)&gt;100,"High Freight","Low Freight"),"Not Specified")</f>
        <v>Low Freight</v>
      </c>
      <c r="T812">
        <f t="shared" si="25"/>
        <v>306</v>
      </c>
    </row>
    <row r="813" spans="1:20">
      <c r="A813" s="9">
        <v>10551</v>
      </c>
      <c r="B813" s="6">
        <v>44</v>
      </c>
      <c r="C813" s="6">
        <v>19.45</v>
      </c>
      <c r="D813" s="6">
        <v>40</v>
      </c>
      <c r="E813" s="18">
        <v>0</v>
      </c>
      <c r="F813" s="6" t="str">
        <f>IFERROR(VLOOKUP(VLOOKUP(A813,'Sales Order'!A:B,2,FALSE),Customer!A:C,3,FALSE),"Not Specified")</f>
        <v>Cavaglieri, Giorgio</v>
      </c>
      <c r="G813" s="6" t="str">
        <f t="shared" si="24"/>
        <v>Cavaglieri Giorgio</v>
      </c>
      <c r="H813" s="22" t="str">
        <f>IFERROR(VLOOKUP(VLOOKUP(A813,'Sales Order'!A:C,3,FALSE),Employee!A:E,5,FALSE)&amp;" "&amp;VLOOKUP(VLOOKUP(A813,'Sales Order'!A:C,3,FALSE),Employee!A:C,3,FALSE)&amp;" "&amp;VLOOKUP(VLOOKUP(A813,'Sales Order'!A:C,3,FALSE),Employee!A:B,2,FALSE),"Not Specified")</f>
        <v>Mrs. Yael Peled</v>
      </c>
      <c r="I813" t="str">
        <f>IFERROR(VLOOKUP(VLOOKUP(A813,'Sales Order'!A:C,3,FALSE),Employee!A:J,10,FALSE),"Not Specified")</f>
        <v>WA</v>
      </c>
      <c r="J813" t="str">
        <f>VLOOKUP(B813,Product!A:B,2,FALSE)</f>
        <v>Product VJIEO</v>
      </c>
      <c r="K813" t="str">
        <f>VLOOKUP(VLOOKUP(B813,Product!A:D,4,FALSE),Category!A:B,2,FALSE)</f>
        <v>Condiments</v>
      </c>
      <c r="L813" s="24">
        <f>IFERROR(VLOOKUP(A813,'Sales Order'!A:D,4,FALSE),"")</f>
        <v>39230</v>
      </c>
      <c r="M813" s="24">
        <f>IFERROR(VLOOKUP(A813,'Sales Order'!A:F,6,FALSE),"")</f>
        <v>39239</v>
      </c>
      <c r="N813" t="str">
        <f>IFERROR(VLOOKUP(VLOOKUP(A813,'Sales Order'!A:G,7,FALSE),Shipper!A:B,2,FALSE),"Not Specified")</f>
        <v>Shipper ZHISN</v>
      </c>
      <c r="O813" t="str">
        <f>IFERROR(VLOOKUP(A813,'Sales Order'!A:I,9,FALSE),"Not Specified")</f>
        <v>Destination OTSWR</v>
      </c>
      <c r="P813" t="str">
        <f>IFERROR(VLOOKUP(A813,'Sales Order'!A:N,14,FALSE),"Not Specified")</f>
        <v>Portugal</v>
      </c>
      <c r="Q813" t="str">
        <f>VLOOKUP(VLOOKUP(B813,Product!A:C,3,FALSE),Supplier!A:B,2,FALSE)</f>
        <v>Supplier CIYNM</v>
      </c>
      <c r="R813" t="str">
        <f>VLOOKUP(VLOOKUP(B813,Product!A:C,3,FALSE),Supplier!A:I,9,FALSE)</f>
        <v>Singapore</v>
      </c>
      <c r="S813" t="str">
        <f>IFERROR(IF(VLOOKUP(A813,'Sales Order'!A:H,8,FALSE)&gt;100,"High Freight","Low Freight"),"Not Specified")</f>
        <v>Low Freight</v>
      </c>
      <c r="T813">
        <f t="shared" si="25"/>
        <v>778</v>
      </c>
    </row>
    <row r="814" spans="1:20">
      <c r="A814" s="9">
        <v>10552</v>
      </c>
      <c r="B814" s="6">
        <v>69</v>
      </c>
      <c r="C814" s="6">
        <v>36</v>
      </c>
      <c r="D814" s="6">
        <v>18</v>
      </c>
      <c r="E814" s="18">
        <v>0</v>
      </c>
      <c r="F814" s="6" t="str">
        <f>IFERROR(VLOOKUP(VLOOKUP(A814,'Sales Order'!A:B,2,FALSE),Customer!A:C,3,FALSE),"Not Specified")</f>
        <v>Langohr, Kris</v>
      </c>
      <c r="G814" s="6" t="str">
        <f t="shared" si="24"/>
        <v>Langohr Kris</v>
      </c>
      <c r="H814" s="22" t="str">
        <f>IFERROR(VLOOKUP(VLOOKUP(A814,'Sales Order'!A:C,3,FALSE),Employee!A:E,5,FALSE)&amp;" "&amp;VLOOKUP(VLOOKUP(A814,'Sales Order'!A:C,3,FALSE),Employee!A:C,3,FALSE)&amp;" "&amp;VLOOKUP(VLOOKUP(A814,'Sales Order'!A:C,3,FALSE),Employee!A:B,2,FALSE),"Not Specified")</f>
        <v>Dr. Don Funk</v>
      </c>
      <c r="I814" t="str">
        <f>IFERROR(VLOOKUP(VLOOKUP(A814,'Sales Order'!A:C,3,FALSE),Employee!A:J,10,FALSE),"Not Specified")</f>
        <v>WA</v>
      </c>
      <c r="J814" t="str">
        <f>VLOOKUP(B814,Product!A:B,2,FALSE)</f>
        <v>Product COAXA</v>
      </c>
      <c r="K814" t="str">
        <f>VLOOKUP(VLOOKUP(B814,Product!A:D,4,FALSE),Category!A:B,2,FALSE)</f>
        <v>Dairy Product</v>
      </c>
      <c r="L814" s="24">
        <f>IFERROR(VLOOKUP(A814,'Sales Order'!A:D,4,FALSE),"")</f>
        <v>39231</v>
      </c>
      <c r="M814" s="24">
        <f>IFERROR(VLOOKUP(A814,'Sales Order'!A:F,6,FALSE),"")</f>
        <v>39238</v>
      </c>
      <c r="N814" t="str">
        <f>IFERROR(VLOOKUP(VLOOKUP(A814,'Sales Order'!A:G,7,FALSE),Shipper!A:B,2,FALSE),"Not Specified")</f>
        <v>Shipper GVSUA</v>
      </c>
      <c r="O814" t="str">
        <f>IFERROR(VLOOKUP(A814,'Sales Order'!A:I,9,FALSE),"Not Specified")</f>
        <v>Destination UOUWK</v>
      </c>
      <c r="P814" t="str">
        <f>IFERROR(VLOOKUP(A814,'Sales Order'!A:N,14,FALSE),"Not Specified")</f>
        <v>Venezuela</v>
      </c>
      <c r="Q814" t="str">
        <f>VLOOKUP(VLOOKUP(B814,Product!A:C,3,FALSE),Supplier!A:B,2,FALSE)</f>
        <v>Supplier NZLIF</v>
      </c>
      <c r="R814" t="str">
        <f>VLOOKUP(VLOOKUP(B814,Product!A:C,3,FALSE),Supplier!A:I,9,FALSE)</f>
        <v>Norway</v>
      </c>
      <c r="S814" t="str">
        <f>IFERROR(IF(VLOOKUP(A814,'Sales Order'!A:H,8,FALSE)&gt;100,"High Freight","Low Freight"),"Not Specified")</f>
        <v>Low Freight</v>
      </c>
      <c r="T814">
        <f t="shared" si="25"/>
        <v>648</v>
      </c>
    </row>
    <row r="815" spans="1:20">
      <c r="A815" s="9">
        <v>10552</v>
      </c>
      <c r="B815" s="6">
        <v>75</v>
      </c>
      <c r="C815" s="6">
        <v>7.75</v>
      </c>
      <c r="D815" s="6">
        <v>30</v>
      </c>
      <c r="E815" s="18">
        <v>0</v>
      </c>
      <c r="F815" s="6" t="str">
        <f>IFERROR(VLOOKUP(VLOOKUP(A815,'Sales Order'!A:B,2,FALSE),Customer!A:C,3,FALSE),"Not Specified")</f>
        <v>Langohr, Kris</v>
      </c>
      <c r="G815" s="6" t="str">
        <f t="shared" si="24"/>
        <v>Langohr Kris</v>
      </c>
      <c r="H815" s="22" t="str">
        <f>IFERROR(VLOOKUP(VLOOKUP(A815,'Sales Order'!A:C,3,FALSE),Employee!A:E,5,FALSE)&amp;" "&amp;VLOOKUP(VLOOKUP(A815,'Sales Order'!A:C,3,FALSE),Employee!A:C,3,FALSE)&amp;" "&amp;VLOOKUP(VLOOKUP(A815,'Sales Order'!A:C,3,FALSE),Employee!A:B,2,FALSE),"Not Specified")</f>
        <v>Dr. Don Funk</v>
      </c>
      <c r="I815" t="str">
        <f>IFERROR(VLOOKUP(VLOOKUP(A815,'Sales Order'!A:C,3,FALSE),Employee!A:J,10,FALSE),"Not Specified")</f>
        <v>WA</v>
      </c>
      <c r="J815" t="str">
        <f>VLOOKUP(B815,Product!A:B,2,FALSE)</f>
        <v>Product BWRLG</v>
      </c>
      <c r="K815" t="str">
        <f>VLOOKUP(VLOOKUP(B815,Product!A:D,4,FALSE),Category!A:B,2,FALSE)</f>
        <v>Beverages</v>
      </c>
      <c r="L815" s="24">
        <f>IFERROR(VLOOKUP(A815,'Sales Order'!A:D,4,FALSE),"")</f>
        <v>39231</v>
      </c>
      <c r="M815" s="24">
        <f>IFERROR(VLOOKUP(A815,'Sales Order'!A:F,6,FALSE),"")</f>
        <v>39238</v>
      </c>
      <c r="N815" t="str">
        <f>IFERROR(VLOOKUP(VLOOKUP(A815,'Sales Order'!A:G,7,FALSE),Shipper!A:B,2,FALSE),"Not Specified")</f>
        <v>Shipper GVSUA</v>
      </c>
      <c r="O815" t="str">
        <f>IFERROR(VLOOKUP(A815,'Sales Order'!A:I,9,FALSE),"Not Specified")</f>
        <v>Destination UOUWK</v>
      </c>
      <c r="P815" t="str">
        <f>IFERROR(VLOOKUP(A815,'Sales Order'!A:N,14,FALSE),"Not Specified")</f>
        <v>Venezuela</v>
      </c>
      <c r="Q815" t="str">
        <f>VLOOKUP(VLOOKUP(B815,Product!A:C,3,FALSE),Supplier!A:B,2,FALSE)</f>
        <v>Supplier SVIYA</v>
      </c>
      <c r="R815" t="str">
        <f>VLOOKUP(VLOOKUP(B815,Product!A:C,3,FALSE),Supplier!A:I,9,FALSE)</f>
        <v>Germany</v>
      </c>
      <c r="S815" t="str">
        <f>IFERROR(IF(VLOOKUP(A815,'Sales Order'!A:H,8,FALSE)&gt;100,"High Freight","Low Freight"),"Not Specified")</f>
        <v>Low Freight</v>
      </c>
      <c r="T815">
        <f t="shared" si="25"/>
        <v>232.5</v>
      </c>
    </row>
    <row r="816" spans="1:20">
      <c r="A816" s="9">
        <v>10553</v>
      </c>
      <c r="B816" s="6">
        <v>11</v>
      </c>
      <c r="C816" s="6">
        <v>21</v>
      </c>
      <c r="D816" s="6">
        <v>15</v>
      </c>
      <c r="E816" s="18">
        <v>0</v>
      </c>
      <c r="F816" s="6" t="str">
        <f>IFERROR(VLOOKUP(VLOOKUP(A816,'Sales Order'!A:B,2,FALSE),Customer!A:C,3,FALSE),"Not Specified")</f>
        <v>Ludwig, Michael</v>
      </c>
      <c r="G816" s="6" t="str">
        <f t="shared" si="24"/>
        <v>Ludwig Michael</v>
      </c>
      <c r="H816" s="22" t="str">
        <f>IFERROR(VLOOKUP(VLOOKUP(A816,'Sales Order'!A:C,3,FALSE),Employee!A:E,5,FALSE)&amp;" "&amp;VLOOKUP(VLOOKUP(A816,'Sales Order'!A:C,3,FALSE),Employee!A:C,3,FALSE)&amp;" "&amp;VLOOKUP(VLOOKUP(A816,'Sales Order'!A:C,3,FALSE),Employee!A:B,2,FALSE),"Not Specified")</f>
        <v>Dr. Don Funk</v>
      </c>
      <c r="I816" t="str">
        <f>IFERROR(VLOOKUP(VLOOKUP(A816,'Sales Order'!A:C,3,FALSE),Employee!A:J,10,FALSE),"Not Specified")</f>
        <v>WA</v>
      </c>
      <c r="J816" t="str">
        <f>VLOOKUP(B816,Product!A:B,2,FALSE)</f>
        <v>Product QMVUN</v>
      </c>
      <c r="K816" t="str">
        <f>VLOOKUP(VLOOKUP(B816,Product!A:D,4,FALSE),Category!A:B,2,FALSE)</f>
        <v>Dairy Product</v>
      </c>
      <c r="L816" s="24">
        <f>IFERROR(VLOOKUP(A816,'Sales Order'!A:D,4,FALSE),"")</f>
        <v>39232</v>
      </c>
      <c r="M816" s="24">
        <f>IFERROR(VLOOKUP(A816,'Sales Order'!A:F,6,FALSE),"")</f>
        <v>39236</v>
      </c>
      <c r="N816" t="str">
        <f>IFERROR(VLOOKUP(VLOOKUP(A816,'Sales Order'!A:G,7,FALSE),Shipper!A:B,2,FALSE),"Not Specified")</f>
        <v>Shipper ETYNR</v>
      </c>
      <c r="O816" t="str">
        <f>IFERROR(VLOOKUP(A816,'Sales Order'!A:I,9,FALSE),"Not Specified")</f>
        <v>Ship to 87-B</v>
      </c>
      <c r="P816" t="str">
        <f>IFERROR(VLOOKUP(A816,'Sales Order'!A:N,14,FALSE),"Not Specified")</f>
        <v>Finland</v>
      </c>
      <c r="Q816" t="str">
        <f>VLOOKUP(VLOOKUP(B816,Product!A:C,3,FALSE),Supplier!A:B,2,FALSE)</f>
        <v>Supplier EQPNC</v>
      </c>
      <c r="R816" t="str">
        <f>VLOOKUP(VLOOKUP(B816,Product!A:C,3,FALSE),Supplier!A:I,9,FALSE)</f>
        <v>Spain</v>
      </c>
      <c r="S816" t="str">
        <f>IFERROR(IF(VLOOKUP(A816,'Sales Order'!A:H,8,FALSE)&gt;100,"High Freight","Low Freight"),"Not Specified")</f>
        <v>High Freight</v>
      </c>
      <c r="T816">
        <f t="shared" si="25"/>
        <v>315</v>
      </c>
    </row>
    <row r="817" spans="1:20">
      <c r="A817" s="9">
        <v>10553</v>
      </c>
      <c r="B817" s="6">
        <v>16</v>
      </c>
      <c r="C817" s="6">
        <v>17.45</v>
      </c>
      <c r="D817" s="6">
        <v>14</v>
      </c>
      <c r="E817" s="18">
        <v>0</v>
      </c>
      <c r="F817" s="6" t="str">
        <f>IFERROR(VLOOKUP(VLOOKUP(A817,'Sales Order'!A:B,2,FALSE),Customer!A:C,3,FALSE),"Not Specified")</f>
        <v>Ludwig, Michael</v>
      </c>
      <c r="G817" s="6" t="str">
        <f t="shared" si="24"/>
        <v>Ludwig Michael</v>
      </c>
      <c r="H817" s="22" t="str">
        <f>IFERROR(VLOOKUP(VLOOKUP(A817,'Sales Order'!A:C,3,FALSE),Employee!A:E,5,FALSE)&amp;" "&amp;VLOOKUP(VLOOKUP(A817,'Sales Order'!A:C,3,FALSE),Employee!A:C,3,FALSE)&amp;" "&amp;VLOOKUP(VLOOKUP(A817,'Sales Order'!A:C,3,FALSE),Employee!A:B,2,FALSE),"Not Specified")</f>
        <v>Dr. Don Funk</v>
      </c>
      <c r="I817" t="str">
        <f>IFERROR(VLOOKUP(VLOOKUP(A817,'Sales Order'!A:C,3,FALSE),Employee!A:J,10,FALSE),"Not Specified")</f>
        <v>WA</v>
      </c>
      <c r="J817" t="str">
        <f>VLOOKUP(B817,Product!A:B,2,FALSE)</f>
        <v>Product PAFRH</v>
      </c>
      <c r="K817" t="str">
        <f>VLOOKUP(VLOOKUP(B817,Product!A:D,4,FALSE),Category!A:B,2,FALSE)</f>
        <v>Confections</v>
      </c>
      <c r="L817" s="24">
        <f>IFERROR(VLOOKUP(A817,'Sales Order'!A:D,4,FALSE),"")</f>
        <v>39232</v>
      </c>
      <c r="M817" s="24">
        <f>IFERROR(VLOOKUP(A817,'Sales Order'!A:F,6,FALSE),"")</f>
        <v>39236</v>
      </c>
      <c r="N817" t="str">
        <f>IFERROR(VLOOKUP(VLOOKUP(A817,'Sales Order'!A:G,7,FALSE),Shipper!A:B,2,FALSE),"Not Specified")</f>
        <v>Shipper ETYNR</v>
      </c>
      <c r="O817" t="str">
        <f>IFERROR(VLOOKUP(A817,'Sales Order'!A:I,9,FALSE),"Not Specified")</f>
        <v>Ship to 87-B</v>
      </c>
      <c r="P817" t="str">
        <f>IFERROR(VLOOKUP(A817,'Sales Order'!A:N,14,FALSE),"Not Specified")</f>
        <v>Finland</v>
      </c>
      <c r="Q817" t="str">
        <f>VLOOKUP(VLOOKUP(B817,Product!A:C,3,FALSE),Supplier!A:B,2,FALSE)</f>
        <v>Supplier GQRCV</v>
      </c>
      <c r="R817" t="str">
        <f>VLOOKUP(VLOOKUP(B817,Product!A:C,3,FALSE),Supplier!A:I,9,FALSE)</f>
        <v>Australia</v>
      </c>
      <c r="S817" t="str">
        <f>IFERROR(IF(VLOOKUP(A817,'Sales Order'!A:H,8,FALSE)&gt;100,"High Freight","Low Freight"),"Not Specified")</f>
        <v>High Freight</v>
      </c>
      <c r="T817">
        <f t="shared" si="25"/>
        <v>244.29999999999998</v>
      </c>
    </row>
    <row r="818" spans="1:20">
      <c r="A818" s="9">
        <v>10553</v>
      </c>
      <c r="B818" s="6">
        <v>22</v>
      </c>
      <c r="C818" s="6">
        <v>21</v>
      </c>
      <c r="D818" s="6">
        <v>24</v>
      </c>
      <c r="E818" s="18">
        <v>0</v>
      </c>
      <c r="F818" s="6" t="str">
        <f>IFERROR(VLOOKUP(VLOOKUP(A818,'Sales Order'!A:B,2,FALSE),Customer!A:C,3,FALSE),"Not Specified")</f>
        <v>Ludwig, Michael</v>
      </c>
      <c r="G818" s="6" t="str">
        <f t="shared" si="24"/>
        <v>Ludwig Michael</v>
      </c>
      <c r="H818" s="22" t="str">
        <f>IFERROR(VLOOKUP(VLOOKUP(A818,'Sales Order'!A:C,3,FALSE),Employee!A:E,5,FALSE)&amp;" "&amp;VLOOKUP(VLOOKUP(A818,'Sales Order'!A:C,3,FALSE),Employee!A:C,3,FALSE)&amp;" "&amp;VLOOKUP(VLOOKUP(A818,'Sales Order'!A:C,3,FALSE),Employee!A:B,2,FALSE),"Not Specified")</f>
        <v>Dr. Don Funk</v>
      </c>
      <c r="I818" t="str">
        <f>IFERROR(VLOOKUP(VLOOKUP(A818,'Sales Order'!A:C,3,FALSE),Employee!A:J,10,FALSE),"Not Specified")</f>
        <v>WA</v>
      </c>
      <c r="J818" t="str">
        <f>VLOOKUP(B818,Product!A:B,2,FALSE)</f>
        <v>Product CPHFY</v>
      </c>
      <c r="K818" t="str">
        <f>VLOOKUP(VLOOKUP(B818,Product!A:D,4,FALSE),Category!A:B,2,FALSE)</f>
        <v>Grains/Cereals</v>
      </c>
      <c r="L818" s="24">
        <f>IFERROR(VLOOKUP(A818,'Sales Order'!A:D,4,FALSE),"")</f>
        <v>39232</v>
      </c>
      <c r="M818" s="24">
        <f>IFERROR(VLOOKUP(A818,'Sales Order'!A:F,6,FALSE),"")</f>
        <v>39236</v>
      </c>
      <c r="N818" t="str">
        <f>IFERROR(VLOOKUP(VLOOKUP(A818,'Sales Order'!A:G,7,FALSE),Shipper!A:B,2,FALSE),"Not Specified")</f>
        <v>Shipper ETYNR</v>
      </c>
      <c r="O818" t="str">
        <f>IFERROR(VLOOKUP(A818,'Sales Order'!A:I,9,FALSE),"Not Specified")</f>
        <v>Ship to 87-B</v>
      </c>
      <c r="P818" t="str">
        <f>IFERROR(VLOOKUP(A818,'Sales Order'!A:N,14,FALSE),"Not Specified")</f>
        <v>Finland</v>
      </c>
      <c r="Q818" t="str">
        <f>VLOOKUP(VLOOKUP(B818,Product!A:C,3,FALSE),Supplier!A:B,2,FALSE)</f>
        <v>Supplier QQYEU</v>
      </c>
      <c r="R818" t="str">
        <f>VLOOKUP(VLOOKUP(B818,Product!A:C,3,FALSE),Supplier!A:I,9,FALSE)</f>
        <v>Sweden</v>
      </c>
      <c r="S818" t="str">
        <f>IFERROR(IF(VLOOKUP(A818,'Sales Order'!A:H,8,FALSE)&gt;100,"High Freight","Low Freight"),"Not Specified")</f>
        <v>High Freight</v>
      </c>
      <c r="T818">
        <f t="shared" si="25"/>
        <v>504</v>
      </c>
    </row>
    <row r="819" spans="1:20">
      <c r="A819" s="9">
        <v>10553</v>
      </c>
      <c r="B819" s="6">
        <v>31</v>
      </c>
      <c r="C819" s="6">
        <v>12.5</v>
      </c>
      <c r="D819" s="6">
        <v>30</v>
      </c>
      <c r="E819" s="18">
        <v>0</v>
      </c>
      <c r="F819" s="6" t="str">
        <f>IFERROR(VLOOKUP(VLOOKUP(A819,'Sales Order'!A:B,2,FALSE),Customer!A:C,3,FALSE),"Not Specified")</f>
        <v>Ludwig, Michael</v>
      </c>
      <c r="G819" s="6" t="str">
        <f t="shared" si="24"/>
        <v>Ludwig Michael</v>
      </c>
      <c r="H819" s="22" t="str">
        <f>IFERROR(VLOOKUP(VLOOKUP(A819,'Sales Order'!A:C,3,FALSE),Employee!A:E,5,FALSE)&amp;" "&amp;VLOOKUP(VLOOKUP(A819,'Sales Order'!A:C,3,FALSE),Employee!A:C,3,FALSE)&amp;" "&amp;VLOOKUP(VLOOKUP(A819,'Sales Order'!A:C,3,FALSE),Employee!A:B,2,FALSE),"Not Specified")</f>
        <v>Dr. Don Funk</v>
      </c>
      <c r="I819" t="str">
        <f>IFERROR(VLOOKUP(VLOOKUP(A819,'Sales Order'!A:C,3,FALSE),Employee!A:J,10,FALSE),"Not Specified")</f>
        <v>WA</v>
      </c>
      <c r="J819" t="str">
        <f>VLOOKUP(B819,Product!A:B,2,FALSE)</f>
        <v>Product XWOXC</v>
      </c>
      <c r="K819" t="str">
        <f>VLOOKUP(VLOOKUP(B819,Product!A:D,4,FALSE),Category!A:B,2,FALSE)</f>
        <v>Dairy Product</v>
      </c>
      <c r="L819" s="24">
        <f>IFERROR(VLOOKUP(A819,'Sales Order'!A:D,4,FALSE),"")</f>
        <v>39232</v>
      </c>
      <c r="M819" s="24">
        <f>IFERROR(VLOOKUP(A819,'Sales Order'!A:F,6,FALSE),"")</f>
        <v>39236</v>
      </c>
      <c r="N819" t="str">
        <f>IFERROR(VLOOKUP(VLOOKUP(A819,'Sales Order'!A:G,7,FALSE),Shipper!A:B,2,FALSE),"Not Specified")</f>
        <v>Shipper ETYNR</v>
      </c>
      <c r="O819" t="str">
        <f>IFERROR(VLOOKUP(A819,'Sales Order'!A:I,9,FALSE),"Not Specified")</f>
        <v>Ship to 87-B</v>
      </c>
      <c r="P819" t="str">
        <f>IFERROR(VLOOKUP(A819,'Sales Order'!A:N,14,FALSE),"Not Specified")</f>
        <v>Finland</v>
      </c>
      <c r="Q819" t="str">
        <f>VLOOKUP(VLOOKUP(B819,Product!A:C,3,FALSE),Supplier!A:B,2,FALSE)</f>
        <v>Supplier KEREV</v>
      </c>
      <c r="R819" t="str">
        <f>VLOOKUP(VLOOKUP(B819,Product!A:C,3,FALSE),Supplier!A:I,9,FALSE)</f>
        <v>Italy</v>
      </c>
      <c r="S819" t="str">
        <f>IFERROR(IF(VLOOKUP(A819,'Sales Order'!A:H,8,FALSE)&gt;100,"High Freight","Low Freight"),"Not Specified")</f>
        <v>High Freight</v>
      </c>
      <c r="T819">
        <f t="shared" si="25"/>
        <v>375</v>
      </c>
    </row>
    <row r="820" spans="1:20">
      <c r="A820" s="9">
        <v>10553</v>
      </c>
      <c r="B820" s="6">
        <v>35</v>
      </c>
      <c r="C820" s="6">
        <v>18</v>
      </c>
      <c r="D820" s="6">
        <v>6</v>
      </c>
      <c r="E820" s="18">
        <v>0</v>
      </c>
      <c r="F820" s="6" t="str">
        <f>IFERROR(VLOOKUP(VLOOKUP(A820,'Sales Order'!A:B,2,FALSE),Customer!A:C,3,FALSE),"Not Specified")</f>
        <v>Ludwig, Michael</v>
      </c>
      <c r="G820" s="6" t="str">
        <f t="shared" si="24"/>
        <v>Ludwig Michael</v>
      </c>
      <c r="H820" s="22" t="str">
        <f>IFERROR(VLOOKUP(VLOOKUP(A820,'Sales Order'!A:C,3,FALSE),Employee!A:E,5,FALSE)&amp;" "&amp;VLOOKUP(VLOOKUP(A820,'Sales Order'!A:C,3,FALSE),Employee!A:C,3,FALSE)&amp;" "&amp;VLOOKUP(VLOOKUP(A820,'Sales Order'!A:C,3,FALSE),Employee!A:B,2,FALSE),"Not Specified")</f>
        <v>Dr. Don Funk</v>
      </c>
      <c r="I820" t="str">
        <f>IFERROR(VLOOKUP(VLOOKUP(A820,'Sales Order'!A:C,3,FALSE),Employee!A:J,10,FALSE),"Not Specified")</f>
        <v>WA</v>
      </c>
      <c r="J820" t="str">
        <f>VLOOKUP(B820,Product!A:B,2,FALSE)</f>
        <v>Product NEVTJ</v>
      </c>
      <c r="K820" t="str">
        <f>VLOOKUP(VLOOKUP(B820,Product!A:D,4,FALSE),Category!A:B,2,FALSE)</f>
        <v>Beverages</v>
      </c>
      <c r="L820" s="24">
        <f>IFERROR(VLOOKUP(A820,'Sales Order'!A:D,4,FALSE),"")</f>
        <v>39232</v>
      </c>
      <c r="M820" s="24">
        <f>IFERROR(VLOOKUP(A820,'Sales Order'!A:F,6,FALSE),"")</f>
        <v>39236</v>
      </c>
      <c r="N820" t="str">
        <f>IFERROR(VLOOKUP(VLOOKUP(A820,'Sales Order'!A:G,7,FALSE),Shipper!A:B,2,FALSE),"Not Specified")</f>
        <v>Shipper ETYNR</v>
      </c>
      <c r="O820" t="str">
        <f>IFERROR(VLOOKUP(A820,'Sales Order'!A:I,9,FALSE),"Not Specified")</f>
        <v>Ship to 87-B</v>
      </c>
      <c r="P820" t="str">
        <f>IFERROR(VLOOKUP(A820,'Sales Order'!A:N,14,FALSE),"Not Specified")</f>
        <v>Finland</v>
      </c>
      <c r="Q820" t="str">
        <f>VLOOKUP(VLOOKUP(B820,Product!A:C,3,FALSE),Supplier!A:B,2,FALSE)</f>
        <v>Supplier UHZRG</v>
      </c>
      <c r="R820" t="str">
        <f>VLOOKUP(VLOOKUP(B820,Product!A:C,3,FALSE),Supplier!A:I,9,FALSE)</f>
        <v>USA</v>
      </c>
      <c r="S820" t="str">
        <f>IFERROR(IF(VLOOKUP(A820,'Sales Order'!A:H,8,FALSE)&gt;100,"High Freight","Low Freight"),"Not Specified")</f>
        <v>High Freight</v>
      </c>
      <c r="T820">
        <f t="shared" si="25"/>
        <v>108</v>
      </c>
    </row>
    <row r="821" spans="1:20">
      <c r="A821" s="9">
        <v>10554</v>
      </c>
      <c r="B821" s="6">
        <v>16</v>
      </c>
      <c r="C821" s="6">
        <v>17.45</v>
      </c>
      <c r="D821" s="6">
        <v>30</v>
      </c>
      <c r="E821" s="18">
        <v>0.05</v>
      </c>
      <c r="F821" s="6" t="str">
        <f>IFERROR(VLOOKUP(VLOOKUP(A821,'Sales Order'!A:B,2,FALSE),Customer!A:C,3,FALSE),"Not Specified")</f>
        <v>Marinova, Nadejda</v>
      </c>
      <c r="G821" s="6" t="str">
        <f t="shared" si="24"/>
        <v>Marinova Nadejda</v>
      </c>
      <c r="H821" s="22" t="str">
        <f>IFERROR(VLOOKUP(VLOOKUP(A821,'Sales Order'!A:C,3,FALSE),Employee!A:E,5,FALSE)&amp;" "&amp;VLOOKUP(VLOOKUP(A821,'Sales Order'!A:C,3,FALSE),Employee!A:C,3,FALSE)&amp;" "&amp;VLOOKUP(VLOOKUP(A821,'Sales Order'!A:C,3,FALSE),Employee!A:B,2,FALSE),"Not Specified")</f>
        <v>Mrs. Yael Peled</v>
      </c>
      <c r="I821" t="str">
        <f>IFERROR(VLOOKUP(VLOOKUP(A821,'Sales Order'!A:C,3,FALSE),Employee!A:J,10,FALSE),"Not Specified")</f>
        <v>WA</v>
      </c>
      <c r="J821" t="str">
        <f>VLOOKUP(B821,Product!A:B,2,FALSE)</f>
        <v>Product PAFRH</v>
      </c>
      <c r="K821" t="str">
        <f>VLOOKUP(VLOOKUP(B821,Product!A:D,4,FALSE),Category!A:B,2,FALSE)</f>
        <v>Confections</v>
      </c>
      <c r="L821" s="24">
        <f>IFERROR(VLOOKUP(A821,'Sales Order'!A:D,4,FALSE),"")</f>
        <v>39232</v>
      </c>
      <c r="M821" s="24">
        <f>IFERROR(VLOOKUP(A821,'Sales Order'!A:F,6,FALSE),"")</f>
        <v>39238</v>
      </c>
      <c r="N821" t="str">
        <f>IFERROR(VLOOKUP(VLOOKUP(A821,'Sales Order'!A:G,7,FALSE),Shipper!A:B,2,FALSE),"Not Specified")</f>
        <v>Shipper ZHISN</v>
      </c>
      <c r="O821" t="str">
        <f>IFERROR(VLOOKUP(A821,'Sales Order'!A:I,9,FALSE),"Not Specified")</f>
        <v>Ship to 56-C</v>
      </c>
      <c r="P821" t="str">
        <f>IFERROR(VLOOKUP(A821,'Sales Order'!A:N,14,FALSE),"Not Specified")</f>
        <v>Germany</v>
      </c>
      <c r="Q821" t="str">
        <f>VLOOKUP(VLOOKUP(B821,Product!A:C,3,FALSE),Supplier!A:B,2,FALSE)</f>
        <v>Supplier GQRCV</v>
      </c>
      <c r="R821" t="str">
        <f>VLOOKUP(VLOOKUP(B821,Product!A:C,3,FALSE),Supplier!A:I,9,FALSE)</f>
        <v>Australia</v>
      </c>
      <c r="S821" t="str">
        <f>IFERROR(IF(VLOOKUP(A821,'Sales Order'!A:H,8,FALSE)&gt;100,"High Freight","Low Freight"),"Not Specified")</f>
        <v>High Freight</v>
      </c>
      <c r="T821">
        <f t="shared" si="25"/>
        <v>497.32499999999999</v>
      </c>
    </row>
    <row r="822" spans="1:20">
      <c r="A822" s="9">
        <v>10554</v>
      </c>
      <c r="B822" s="6">
        <v>23</v>
      </c>
      <c r="C822" s="6">
        <v>9</v>
      </c>
      <c r="D822" s="6">
        <v>20</v>
      </c>
      <c r="E822" s="18">
        <v>0.05</v>
      </c>
      <c r="F822" s="6" t="str">
        <f>IFERROR(VLOOKUP(VLOOKUP(A822,'Sales Order'!A:B,2,FALSE),Customer!A:C,3,FALSE),"Not Specified")</f>
        <v>Marinova, Nadejda</v>
      </c>
      <c r="G822" s="6" t="str">
        <f t="shared" si="24"/>
        <v>Marinova Nadejda</v>
      </c>
      <c r="H822" s="22" t="str">
        <f>IFERROR(VLOOKUP(VLOOKUP(A822,'Sales Order'!A:C,3,FALSE),Employee!A:E,5,FALSE)&amp;" "&amp;VLOOKUP(VLOOKUP(A822,'Sales Order'!A:C,3,FALSE),Employee!A:C,3,FALSE)&amp;" "&amp;VLOOKUP(VLOOKUP(A822,'Sales Order'!A:C,3,FALSE),Employee!A:B,2,FALSE),"Not Specified")</f>
        <v>Mrs. Yael Peled</v>
      </c>
      <c r="I822" t="str">
        <f>IFERROR(VLOOKUP(VLOOKUP(A822,'Sales Order'!A:C,3,FALSE),Employee!A:J,10,FALSE),"Not Specified")</f>
        <v>WA</v>
      </c>
      <c r="J822" t="str">
        <f>VLOOKUP(B822,Product!A:B,2,FALSE)</f>
        <v>Product JLUDZ</v>
      </c>
      <c r="K822" t="str">
        <f>VLOOKUP(VLOOKUP(B822,Product!A:D,4,FALSE),Category!A:B,2,FALSE)</f>
        <v>Grains/Cereals</v>
      </c>
      <c r="L822" s="24">
        <f>IFERROR(VLOOKUP(A822,'Sales Order'!A:D,4,FALSE),"")</f>
        <v>39232</v>
      </c>
      <c r="M822" s="24">
        <f>IFERROR(VLOOKUP(A822,'Sales Order'!A:F,6,FALSE),"")</f>
        <v>39238</v>
      </c>
      <c r="N822" t="str">
        <f>IFERROR(VLOOKUP(VLOOKUP(A822,'Sales Order'!A:G,7,FALSE),Shipper!A:B,2,FALSE),"Not Specified")</f>
        <v>Shipper ZHISN</v>
      </c>
      <c r="O822" t="str">
        <f>IFERROR(VLOOKUP(A822,'Sales Order'!A:I,9,FALSE),"Not Specified")</f>
        <v>Ship to 56-C</v>
      </c>
      <c r="P822" t="str">
        <f>IFERROR(VLOOKUP(A822,'Sales Order'!A:N,14,FALSE),"Not Specified")</f>
        <v>Germany</v>
      </c>
      <c r="Q822" t="str">
        <f>VLOOKUP(VLOOKUP(B822,Product!A:C,3,FALSE),Supplier!A:B,2,FALSE)</f>
        <v>Supplier QQYEU</v>
      </c>
      <c r="R822" t="str">
        <f>VLOOKUP(VLOOKUP(B822,Product!A:C,3,FALSE),Supplier!A:I,9,FALSE)</f>
        <v>Sweden</v>
      </c>
      <c r="S822" t="str">
        <f>IFERROR(IF(VLOOKUP(A822,'Sales Order'!A:H,8,FALSE)&gt;100,"High Freight","Low Freight"),"Not Specified")</f>
        <v>High Freight</v>
      </c>
      <c r="T822">
        <f t="shared" si="25"/>
        <v>171</v>
      </c>
    </row>
    <row r="823" spans="1:20">
      <c r="A823" s="9">
        <v>10554</v>
      </c>
      <c r="B823" s="6">
        <v>62</v>
      </c>
      <c r="C823" s="6">
        <v>49.3</v>
      </c>
      <c r="D823" s="6">
        <v>20</v>
      </c>
      <c r="E823" s="18">
        <v>0.05</v>
      </c>
      <c r="F823" s="6" t="str">
        <f>IFERROR(VLOOKUP(VLOOKUP(A823,'Sales Order'!A:B,2,FALSE),Customer!A:C,3,FALSE),"Not Specified")</f>
        <v>Marinova, Nadejda</v>
      </c>
      <c r="G823" s="6" t="str">
        <f t="shared" si="24"/>
        <v>Marinova Nadejda</v>
      </c>
      <c r="H823" s="22" t="str">
        <f>IFERROR(VLOOKUP(VLOOKUP(A823,'Sales Order'!A:C,3,FALSE),Employee!A:E,5,FALSE)&amp;" "&amp;VLOOKUP(VLOOKUP(A823,'Sales Order'!A:C,3,FALSE),Employee!A:C,3,FALSE)&amp;" "&amp;VLOOKUP(VLOOKUP(A823,'Sales Order'!A:C,3,FALSE),Employee!A:B,2,FALSE),"Not Specified")</f>
        <v>Mrs. Yael Peled</v>
      </c>
      <c r="I823" t="str">
        <f>IFERROR(VLOOKUP(VLOOKUP(A823,'Sales Order'!A:C,3,FALSE),Employee!A:J,10,FALSE),"Not Specified")</f>
        <v>WA</v>
      </c>
      <c r="J823" t="str">
        <f>VLOOKUP(B823,Product!A:B,2,FALSE)</f>
        <v>Product WUXYK</v>
      </c>
      <c r="K823" t="str">
        <f>VLOOKUP(VLOOKUP(B823,Product!A:D,4,FALSE),Category!A:B,2,FALSE)</f>
        <v>Confections</v>
      </c>
      <c r="L823" s="24">
        <f>IFERROR(VLOOKUP(A823,'Sales Order'!A:D,4,FALSE),"")</f>
        <v>39232</v>
      </c>
      <c r="M823" s="24">
        <f>IFERROR(VLOOKUP(A823,'Sales Order'!A:F,6,FALSE),"")</f>
        <v>39238</v>
      </c>
      <c r="N823" t="str">
        <f>IFERROR(VLOOKUP(VLOOKUP(A823,'Sales Order'!A:G,7,FALSE),Shipper!A:B,2,FALSE),"Not Specified")</f>
        <v>Shipper ZHISN</v>
      </c>
      <c r="O823" t="str">
        <f>IFERROR(VLOOKUP(A823,'Sales Order'!A:I,9,FALSE),"Not Specified")</f>
        <v>Ship to 56-C</v>
      </c>
      <c r="P823" t="str">
        <f>IFERROR(VLOOKUP(A823,'Sales Order'!A:N,14,FALSE),"Not Specified")</f>
        <v>Germany</v>
      </c>
      <c r="Q823" t="str">
        <f>VLOOKUP(VLOOKUP(B823,Product!A:C,3,FALSE),Supplier!A:B,2,FALSE)</f>
        <v>Supplier OGLRK</v>
      </c>
      <c r="R823" t="str">
        <f>VLOOKUP(VLOOKUP(B823,Product!A:C,3,FALSE),Supplier!A:I,9,FALSE)</f>
        <v>Canada</v>
      </c>
      <c r="S823" t="str">
        <f>IFERROR(IF(VLOOKUP(A823,'Sales Order'!A:H,8,FALSE)&gt;100,"High Freight","Low Freight"),"Not Specified")</f>
        <v>High Freight</v>
      </c>
      <c r="T823">
        <f t="shared" si="25"/>
        <v>936.69999999999993</v>
      </c>
    </row>
    <row r="824" spans="1:20">
      <c r="A824" s="9">
        <v>10554</v>
      </c>
      <c r="B824" s="6">
        <v>77</v>
      </c>
      <c r="C824" s="6">
        <v>13</v>
      </c>
      <c r="D824" s="6">
        <v>10</v>
      </c>
      <c r="E824" s="18">
        <v>0.05</v>
      </c>
      <c r="F824" s="6" t="str">
        <f>IFERROR(VLOOKUP(VLOOKUP(A824,'Sales Order'!A:B,2,FALSE),Customer!A:C,3,FALSE),"Not Specified")</f>
        <v>Marinova, Nadejda</v>
      </c>
      <c r="G824" s="6" t="str">
        <f t="shared" si="24"/>
        <v>Marinova Nadejda</v>
      </c>
      <c r="H824" s="22" t="str">
        <f>IFERROR(VLOOKUP(VLOOKUP(A824,'Sales Order'!A:C,3,FALSE),Employee!A:E,5,FALSE)&amp;" "&amp;VLOOKUP(VLOOKUP(A824,'Sales Order'!A:C,3,FALSE),Employee!A:C,3,FALSE)&amp;" "&amp;VLOOKUP(VLOOKUP(A824,'Sales Order'!A:C,3,FALSE),Employee!A:B,2,FALSE),"Not Specified")</f>
        <v>Mrs. Yael Peled</v>
      </c>
      <c r="I824" t="str">
        <f>IFERROR(VLOOKUP(VLOOKUP(A824,'Sales Order'!A:C,3,FALSE),Employee!A:J,10,FALSE),"Not Specified")</f>
        <v>WA</v>
      </c>
      <c r="J824" t="str">
        <f>VLOOKUP(B824,Product!A:B,2,FALSE)</f>
        <v>Product LUNZZ</v>
      </c>
      <c r="K824" t="str">
        <f>VLOOKUP(VLOOKUP(B824,Product!A:D,4,FALSE),Category!A:B,2,FALSE)</f>
        <v>Condiments</v>
      </c>
      <c r="L824" s="24">
        <f>IFERROR(VLOOKUP(A824,'Sales Order'!A:D,4,FALSE),"")</f>
        <v>39232</v>
      </c>
      <c r="M824" s="24">
        <f>IFERROR(VLOOKUP(A824,'Sales Order'!A:F,6,FALSE),"")</f>
        <v>39238</v>
      </c>
      <c r="N824" t="str">
        <f>IFERROR(VLOOKUP(VLOOKUP(A824,'Sales Order'!A:G,7,FALSE),Shipper!A:B,2,FALSE),"Not Specified")</f>
        <v>Shipper ZHISN</v>
      </c>
      <c r="O824" t="str">
        <f>IFERROR(VLOOKUP(A824,'Sales Order'!A:I,9,FALSE),"Not Specified")</f>
        <v>Ship to 56-C</v>
      </c>
      <c r="P824" t="str">
        <f>IFERROR(VLOOKUP(A824,'Sales Order'!A:N,14,FALSE),"Not Specified")</f>
        <v>Germany</v>
      </c>
      <c r="Q824" t="str">
        <f>VLOOKUP(VLOOKUP(B824,Product!A:C,3,FALSE),Supplier!A:B,2,FALSE)</f>
        <v>Supplier SVIYA</v>
      </c>
      <c r="R824" t="str">
        <f>VLOOKUP(VLOOKUP(B824,Product!A:C,3,FALSE),Supplier!A:I,9,FALSE)</f>
        <v>Germany</v>
      </c>
      <c r="S824" t="str">
        <f>IFERROR(IF(VLOOKUP(A824,'Sales Order'!A:H,8,FALSE)&gt;100,"High Freight","Low Freight"),"Not Specified")</f>
        <v>High Freight</v>
      </c>
      <c r="T824">
        <f t="shared" si="25"/>
        <v>123.5</v>
      </c>
    </row>
    <row r="825" spans="1:20">
      <c r="A825" s="9">
        <v>10555</v>
      </c>
      <c r="B825" s="6">
        <v>14</v>
      </c>
      <c r="C825" s="6">
        <v>23.25</v>
      </c>
      <c r="D825" s="6">
        <v>30</v>
      </c>
      <c r="E825" s="18">
        <v>0.2</v>
      </c>
      <c r="F825" s="6" t="str">
        <f>IFERROR(VLOOKUP(VLOOKUP(A825,'Sales Order'!A:B,2,FALSE),Customer!A:C,3,FALSE),"Not Specified")</f>
        <v>Navarro, Tomás</v>
      </c>
      <c r="G825" s="6" t="str">
        <f t="shared" si="24"/>
        <v>Navarro Tomás</v>
      </c>
      <c r="H825" s="22" t="str">
        <f>IFERROR(VLOOKUP(VLOOKUP(A825,'Sales Order'!A:C,3,FALSE),Employee!A:E,5,FALSE)&amp;" "&amp;VLOOKUP(VLOOKUP(A825,'Sales Order'!A:C,3,FALSE),Employee!A:C,3,FALSE)&amp;" "&amp;VLOOKUP(VLOOKUP(A825,'Sales Order'!A:C,3,FALSE),Employee!A:B,2,FALSE),"Not Specified")</f>
        <v>Mr. Paul Suurs</v>
      </c>
      <c r="I825">
        <f>IFERROR(VLOOKUP(VLOOKUP(A825,'Sales Order'!A:C,3,FALSE),Employee!A:J,10,FALSE),"Not Specified")</f>
        <v>0</v>
      </c>
      <c r="J825" t="str">
        <f>VLOOKUP(B825,Product!A:B,2,FALSE)</f>
        <v>Product PWCJB</v>
      </c>
      <c r="K825" t="str">
        <f>VLOOKUP(VLOOKUP(B825,Product!A:D,4,FALSE),Category!A:B,2,FALSE)</f>
        <v>Produce</v>
      </c>
      <c r="L825" s="24">
        <f>IFERROR(VLOOKUP(A825,'Sales Order'!A:D,4,FALSE),"")</f>
        <v>39235</v>
      </c>
      <c r="M825" s="24">
        <f>IFERROR(VLOOKUP(A825,'Sales Order'!A:F,6,FALSE),"")</f>
        <v>39237</v>
      </c>
      <c r="N825" t="str">
        <f>IFERROR(VLOOKUP(VLOOKUP(A825,'Sales Order'!A:G,7,FALSE),Shipper!A:B,2,FALSE),"Not Specified")</f>
        <v>Shipper ZHISN</v>
      </c>
      <c r="O825" t="str">
        <f>IFERROR(VLOOKUP(A825,'Sales Order'!A:I,9,FALSE),"Not Specified")</f>
        <v>Ship to 71-B</v>
      </c>
      <c r="P825" t="str">
        <f>IFERROR(VLOOKUP(A825,'Sales Order'!A:N,14,FALSE),"Not Specified")</f>
        <v>USA</v>
      </c>
      <c r="Q825" t="str">
        <f>VLOOKUP(VLOOKUP(B825,Product!A:C,3,FALSE),Supplier!A:B,2,FALSE)</f>
        <v>Supplier QWUSF</v>
      </c>
      <c r="R825" t="str">
        <f>VLOOKUP(VLOOKUP(B825,Product!A:C,3,FALSE),Supplier!A:I,9,FALSE)</f>
        <v>Japan</v>
      </c>
      <c r="S825" t="str">
        <f>IFERROR(IF(VLOOKUP(A825,'Sales Order'!A:H,8,FALSE)&gt;100,"High Freight","Low Freight"),"Not Specified")</f>
        <v>High Freight</v>
      </c>
      <c r="T825">
        <f t="shared" si="25"/>
        <v>558</v>
      </c>
    </row>
    <row r="826" spans="1:20">
      <c r="A826" s="9">
        <v>10555</v>
      </c>
      <c r="B826" s="6">
        <v>19</v>
      </c>
      <c r="C826" s="6">
        <v>9.1999999999999993</v>
      </c>
      <c r="D826" s="6">
        <v>35</v>
      </c>
      <c r="E826" s="18">
        <v>0.2</v>
      </c>
      <c r="F826" s="6" t="str">
        <f>IFERROR(VLOOKUP(VLOOKUP(A826,'Sales Order'!A:B,2,FALSE),Customer!A:C,3,FALSE),"Not Specified")</f>
        <v>Navarro, Tomás</v>
      </c>
      <c r="G826" s="6" t="str">
        <f t="shared" si="24"/>
        <v>Navarro Tomás</v>
      </c>
      <c r="H826" s="22" t="str">
        <f>IFERROR(VLOOKUP(VLOOKUP(A826,'Sales Order'!A:C,3,FALSE),Employee!A:E,5,FALSE)&amp;" "&amp;VLOOKUP(VLOOKUP(A826,'Sales Order'!A:C,3,FALSE),Employee!A:C,3,FALSE)&amp;" "&amp;VLOOKUP(VLOOKUP(A826,'Sales Order'!A:C,3,FALSE),Employee!A:B,2,FALSE),"Not Specified")</f>
        <v>Mr. Paul Suurs</v>
      </c>
      <c r="I826">
        <f>IFERROR(VLOOKUP(VLOOKUP(A826,'Sales Order'!A:C,3,FALSE),Employee!A:J,10,FALSE),"Not Specified")</f>
        <v>0</v>
      </c>
      <c r="J826" t="str">
        <f>VLOOKUP(B826,Product!A:B,2,FALSE)</f>
        <v>Product XKXDO</v>
      </c>
      <c r="K826" t="str">
        <f>VLOOKUP(VLOOKUP(B826,Product!A:D,4,FALSE),Category!A:B,2,FALSE)</f>
        <v>Confections</v>
      </c>
      <c r="L826" s="24">
        <f>IFERROR(VLOOKUP(A826,'Sales Order'!A:D,4,FALSE),"")</f>
        <v>39235</v>
      </c>
      <c r="M826" s="24">
        <f>IFERROR(VLOOKUP(A826,'Sales Order'!A:F,6,FALSE),"")</f>
        <v>39237</v>
      </c>
      <c r="N826" t="str">
        <f>IFERROR(VLOOKUP(VLOOKUP(A826,'Sales Order'!A:G,7,FALSE),Shipper!A:B,2,FALSE),"Not Specified")</f>
        <v>Shipper ZHISN</v>
      </c>
      <c r="O826" t="str">
        <f>IFERROR(VLOOKUP(A826,'Sales Order'!A:I,9,FALSE),"Not Specified")</f>
        <v>Ship to 71-B</v>
      </c>
      <c r="P826" t="str">
        <f>IFERROR(VLOOKUP(A826,'Sales Order'!A:N,14,FALSE),"Not Specified")</f>
        <v>USA</v>
      </c>
      <c r="Q826" t="str">
        <f>VLOOKUP(VLOOKUP(B826,Product!A:C,3,FALSE),Supplier!A:B,2,FALSE)</f>
        <v>Supplier BWGYE</v>
      </c>
      <c r="R826" t="str">
        <f>VLOOKUP(VLOOKUP(B826,Product!A:C,3,FALSE),Supplier!A:I,9,FALSE)</f>
        <v>UK</v>
      </c>
      <c r="S826" t="str">
        <f>IFERROR(IF(VLOOKUP(A826,'Sales Order'!A:H,8,FALSE)&gt;100,"High Freight","Low Freight"),"Not Specified")</f>
        <v>High Freight</v>
      </c>
      <c r="T826">
        <f t="shared" si="25"/>
        <v>257.60000000000002</v>
      </c>
    </row>
    <row r="827" spans="1:20">
      <c r="A827" s="9">
        <v>10555</v>
      </c>
      <c r="B827" s="6">
        <v>24</v>
      </c>
      <c r="C827" s="6">
        <v>4.5</v>
      </c>
      <c r="D827" s="6">
        <v>18</v>
      </c>
      <c r="E827" s="18">
        <v>0.2</v>
      </c>
      <c r="F827" s="6" t="str">
        <f>IFERROR(VLOOKUP(VLOOKUP(A827,'Sales Order'!A:B,2,FALSE),Customer!A:C,3,FALSE),"Not Specified")</f>
        <v>Navarro, Tomás</v>
      </c>
      <c r="G827" s="6" t="str">
        <f t="shared" si="24"/>
        <v>Navarro Tomás</v>
      </c>
      <c r="H827" s="22" t="str">
        <f>IFERROR(VLOOKUP(VLOOKUP(A827,'Sales Order'!A:C,3,FALSE),Employee!A:E,5,FALSE)&amp;" "&amp;VLOOKUP(VLOOKUP(A827,'Sales Order'!A:C,3,FALSE),Employee!A:C,3,FALSE)&amp;" "&amp;VLOOKUP(VLOOKUP(A827,'Sales Order'!A:C,3,FALSE),Employee!A:B,2,FALSE),"Not Specified")</f>
        <v>Mr. Paul Suurs</v>
      </c>
      <c r="I827">
        <f>IFERROR(VLOOKUP(VLOOKUP(A827,'Sales Order'!A:C,3,FALSE),Employee!A:J,10,FALSE),"Not Specified")</f>
        <v>0</v>
      </c>
      <c r="J827" t="str">
        <f>VLOOKUP(B827,Product!A:B,2,FALSE)</f>
        <v>Product QOGNU</v>
      </c>
      <c r="K827" t="str">
        <f>VLOOKUP(VLOOKUP(B827,Product!A:D,4,FALSE),Category!A:B,2,FALSE)</f>
        <v>Beverages</v>
      </c>
      <c r="L827" s="24">
        <f>IFERROR(VLOOKUP(A827,'Sales Order'!A:D,4,FALSE),"")</f>
        <v>39235</v>
      </c>
      <c r="M827" s="24">
        <f>IFERROR(VLOOKUP(A827,'Sales Order'!A:F,6,FALSE),"")</f>
        <v>39237</v>
      </c>
      <c r="N827" t="str">
        <f>IFERROR(VLOOKUP(VLOOKUP(A827,'Sales Order'!A:G,7,FALSE),Shipper!A:B,2,FALSE),"Not Specified")</f>
        <v>Shipper ZHISN</v>
      </c>
      <c r="O827" t="str">
        <f>IFERROR(VLOOKUP(A827,'Sales Order'!A:I,9,FALSE),"Not Specified")</f>
        <v>Ship to 71-B</v>
      </c>
      <c r="P827" t="str">
        <f>IFERROR(VLOOKUP(A827,'Sales Order'!A:N,14,FALSE),"Not Specified")</f>
        <v>USA</v>
      </c>
      <c r="Q827" t="str">
        <f>VLOOKUP(VLOOKUP(B827,Product!A:C,3,FALSE),Supplier!A:B,2,FALSE)</f>
        <v>Supplier UNAHG</v>
      </c>
      <c r="R827" t="str">
        <f>VLOOKUP(VLOOKUP(B827,Product!A:C,3,FALSE),Supplier!A:I,9,FALSE)</f>
        <v>Brazil</v>
      </c>
      <c r="S827" t="str">
        <f>IFERROR(IF(VLOOKUP(A827,'Sales Order'!A:H,8,FALSE)&gt;100,"High Freight","Low Freight"),"Not Specified")</f>
        <v>High Freight</v>
      </c>
      <c r="T827">
        <f t="shared" si="25"/>
        <v>64.8</v>
      </c>
    </row>
    <row r="828" spans="1:20">
      <c r="A828" s="9">
        <v>10555</v>
      </c>
      <c r="B828" s="6">
        <v>51</v>
      </c>
      <c r="C828" s="6">
        <v>53</v>
      </c>
      <c r="D828" s="6">
        <v>20</v>
      </c>
      <c r="E828" s="18">
        <v>0.2</v>
      </c>
      <c r="F828" s="6" t="str">
        <f>IFERROR(VLOOKUP(VLOOKUP(A828,'Sales Order'!A:B,2,FALSE),Customer!A:C,3,FALSE),"Not Specified")</f>
        <v>Navarro, Tomás</v>
      </c>
      <c r="G828" s="6" t="str">
        <f t="shared" si="24"/>
        <v>Navarro Tomás</v>
      </c>
      <c r="H828" s="22" t="str">
        <f>IFERROR(VLOOKUP(VLOOKUP(A828,'Sales Order'!A:C,3,FALSE),Employee!A:E,5,FALSE)&amp;" "&amp;VLOOKUP(VLOOKUP(A828,'Sales Order'!A:C,3,FALSE),Employee!A:C,3,FALSE)&amp;" "&amp;VLOOKUP(VLOOKUP(A828,'Sales Order'!A:C,3,FALSE),Employee!A:B,2,FALSE),"Not Specified")</f>
        <v>Mr. Paul Suurs</v>
      </c>
      <c r="I828">
        <f>IFERROR(VLOOKUP(VLOOKUP(A828,'Sales Order'!A:C,3,FALSE),Employee!A:J,10,FALSE),"Not Specified")</f>
        <v>0</v>
      </c>
      <c r="J828" t="str">
        <f>VLOOKUP(B828,Product!A:B,2,FALSE)</f>
        <v>Product APITJ</v>
      </c>
      <c r="K828" t="str">
        <f>VLOOKUP(VLOOKUP(B828,Product!A:D,4,FALSE),Category!A:B,2,FALSE)</f>
        <v>Produce</v>
      </c>
      <c r="L828" s="24">
        <f>IFERROR(VLOOKUP(A828,'Sales Order'!A:D,4,FALSE),"")</f>
        <v>39235</v>
      </c>
      <c r="M828" s="24">
        <f>IFERROR(VLOOKUP(A828,'Sales Order'!A:F,6,FALSE),"")</f>
        <v>39237</v>
      </c>
      <c r="N828" t="str">
        <f>IFERROR(VLOOKUP(VLOOKUP(A828,'Sales Order'!A:G,7,FALSE),Shipper!A:B,2,FALSE),"Not Specified")</f>
        <v>Shipper ZHISN</v>
      </c>
      <c r="O828" t="str">
        <f>IFERROR(VLOOKUP(A828,'Sales Order'!A:I,9,FALSE),"Not Specified")</f>
        <v>Ship to 71-B</v>
      </c>
      <c r="P828" t="str">
        <f>IFERROR(VLOOKUP(A828,'Sales Order'!A:N,14,FALSE),"Not Specified")</f>
        <v>USA</v>
      </c>
      <c r="Q828" t="str">
        <f>VLOOKUP(VLOOKUP(B828,Product!A:C,3,FALSE),Supplier!A:B,2,FALSE)</f>
        <v>Supplier JNNES</v>
      </c>
      <c r="R828" t="str">
        <f>VLOOKUP(VLOOKUP(B828,Product!A:C,3,FALSE),Supplier!A:I,9,FALSE)</f>
        <v>Australia</v>
      </c>
      <c r="S828" t="str">
        <f>IFERROR(IF(VLOOKUP(A828,'Sales Order'!A:H,8,FALSE)&gt;100,"High Freight","Low Freight"),"Not Specified")</f>
        <v>High Freight</v>
      </c>
      <c r="T828">
        <f t="shared" si="25"/>
        <v>848</v>
      </c>
    </row>
    <row r="829" spans="1:20">
      <c r="A829" s="9">
        <v>10555</v>
      </c>
      <c r="B829" s="6">
        <v>56</v>
      </c>
      <c r="C829" s="6">
        <v>38</v>
      </c>
      <c r="D829" s="6">
        <v>40</v>
      </c>
      <c r="E829" s="18">
        <v>0.2</v>
      </c>
      <c r="F829" s="6" t="str">
        <f>IFERROR(VLOOKUP(VLOOKUP(A829,'Sales Order'!A:B,2,FALSE),Customer!A:C,3,FALSE),"Not Specified")</f>
        <v>Navarro, Tomás</v>
      </c>
      <c r="G829" s="6" t="str">
        <f t="shared" si="24"/>
        <v>Navarro Tomás</v>
      </c>
      <c r="H829" s="22" t="str">
        <f>IFERROR(VLOOKUP(VLOOKUP(A829,'Sales Order'!A:C,3,FALSE),Employee!A:E,5,FALSE)&amp;" "&amp;VLOOKUP(VLOOKUP(A829,'Sales Order'!A:C,3,FALSE),Employee!A:C,3,FALSE)&amp;" "&amp;VLOOKUP(VLOOKUP(A829,'Sales Order'!A:C,3,FALSE),Employee!A:B,2,FALSE),"Not Specified")</f>
        <v>Mr. Paul Suurs</v>
      </c>
      <c r="I829">
        <f>IFERROR(VLOOKUP(VLOOKUP(A829,'Sales Order'!A:C,3,FALSE),Employee!A:J,10,FALSE),"Not Specified")</f>
        <v>0</v>
      </c>
      <c r="J829" t="str">
        <f>VLOOKUP(B829,Product!A:B,2,FALSE)</f>
        <v>Product VKCMF</v>
      </c>
      <c r="K829" t="str">
        <f>VLOOKUP(VLOOKUP(B829,Product!A:D,4,FALSE),Category!A:B,2,FALSE)</f>
        <v>Grains/Cereals</v>
      </c>
      <c r="L829" s="24">
        <f>IFERROR(VLOOKUP(A829,'Sales Order'!A:D,4,FALSE),"")</f>
        <v>39235</v>
      </c>
      <c r="M829" s="24">
        <f>IFERROR(VLOOKUP(A829,'Sales Order'!A:F,6,FALSE),"")</f>
        <v>39237</v>
      </c>
      <c r="N829" t="str">
        <f>IFERROR(VLOOKUP(VLOOKUP(A829,'Sales Order'!A:G,7,FALSE),Shipper!A:B,2,FALSE),"Not Specified")</f>
        <v>Shipper ZHISN</v>
      </c>
      <c r="O829" t="str">
        <f>IFERROR(VLOOKUP(A829,'Sales Order'!A:I,9,FALSE),"Not Specified")</f>
        <v>Ship to 71-B</v>
      </c>
      <c r="P829" t="str">
        <f>IFERROR(VLOOKUP(A829,'Sales Order'!A:N,14,FALSE),"Not Specified")</f>
        <v>USA</v>
      </c>
      <c r="Q829" t="str">
        <f>VLOOKUP(VLOOKUP(B829,Product!A:C,3,FALSE),Supplier!A:B,2,FALSE)</f>
        <v>Supplier ZWZDM</v>
      </c>
      <c r="R829" t="str">
        <f>VLOOKUP(VLOOKUP(B829,Product!A:C,3,FALSE),Supplier!A:I,9,FALSE)</f>
        <v>Italy</v>
      </c>
      <c r="S829" t="str">
        <f>IFERROR(IF(VLOOKUP(A829,'Sales Order'!A:H,8,FALSE)&gt;100,"High Freight","Low Freight"),"Not Specified")</f>
        <v>High Freight</v>
      </c>
      <c r="T829">
        <f t="shared" si="25"/>
        <v>1216</v>
      </c>
    </row>
    <row r="830" spans="1:20">
      <c r="A830" s="9">
        <v>10556</v>
      </c>
      <c r="B830" s="6">
        <v>72</v>
      </c>
      <c r="C830" s="6">
        <v>34.799999999999997</v>
      </c>
      <c r="D830" s="6">
        <v>24</v>
      </c>
      <c r="E830" s="18">
        <v>0</v>
      </c>
      <c r="F830" s="6" t="str">
        <f>IFERROR(VLOOKUP(VLOOKUP(A830,'Sales Order'!A:B,2,FALSE),Customer!A:C,3,FALSE),"Not Specified")</f>
        <v>Gonzalez, Nuria</v>
      </c>
      <c r="G830" s="6" t="str">
        <f t="shared" si="24"/>
        <v>Gonzalez Nuria</v>
      </c>
      <c r="H830" s="22" t="str">
        <f>IFERROR(VLOOKUP(VLOOKUP(A830,'Sales Order'!A:C,3,FALSE),Employee!A:E,5,FALSE)&amp;" "&amp;VLOOKUP(VLOOKUP(A830,'Sales Order'!A:C,3,FALSE),Employee!A:C,3,FALSE)&amp;" "&amp;VLOOKUP(VLOOKUP(A830,'Sales Order'!A:C,3,FALSE),Employee!A:B,2,FALSE),"Not Specified")</f>
        <v>Dr. Don Funk</v>
      </c>
      <c r="I830" t="str">
        <f>IFERROR(VLOOKUP(VLOOKUP(A830,'Sales Order'!A:C,3,FALSE),Employee!A:J,10,FALSE),"Not Specified")</f>
        <v>WA</v>
      </c>
      <c r="J830" t="str">
        <f>VLOOKUP(B830,Product!A:B,2,FALSE)</f>
        <v>Product GEEOO</v>
      </c>
      <c r="K830" t="str">
        <f>VLOOKUP(VLOOKUP(B830,Product!A:D,4,FALSE),Category!A:B,2,FALSE)</f>
        <v>Dairy Product</v>
      </c>
      <c r="L830" s="24">
        <f>IFERROR(VLOOKUP(A830,'Sales Order'!A:D,4,FALSE),"")</f>
        <v>39236</v>
      </c>
      <c r="M830" s="24">
        <f>IFERROR(VLOOKUP(A830,'Sales Order'!A:F,6,FALSE),"")</f>
        <v>39246</v>
      </c>
      <c r="N830" t="str">
        <f>IFERROR(VLOOKUP(VLOOKUP(A830,'Sales Order'!A:G,7,FALSE),Shipper!A:B,2,FALSE),"Not Specified")</f>
        <v>Shipper GVSUA</v>
      </c>
      <c r="O830" t="str">
        <f>IFERROR(VLOOKUP(A830,'Sales Order'!A:I,9,FALSE),"Not Specified")</f>
        <v>Ship to 73-A</v>
      </c>
      <c r="P830" t="str">
        <f>IFERROR(VLOOKUP(A830,'Sales Order'!A:N,14,FALSE),"Not Specified")</f>
        <v>Denmark</v>
      </c>
      <c r="Q830" t="str">
        <f>VLOOKUP(VLOOKUP(B830,Product!A:C,3,FALSE),Supplier!A:B,2,FALSE)</f>
        <v>Supplier KEREV</v>
      </c>
      <c r="R830" t="str">
        <f>VLOOKUP(VLOOKUP(B830,Product!A:C,3,FALSE),Supplier!A:I,9,FALSE)</f>
        <v>Italy</v>
      </c>
      <c r="S830" t="str">
        <f>IFERROR(IF(VLOOKUP(A830,'Sales Order'!A:H,8,FALSE)&gt;100,"High Freight","Low Freight"),"Not Specified")</f>
        <v>Low Freight</v>
      </c>
      <c r="T830">
        <f t="shared" si="25"/>
        <v>835.19999999999993</v>
      </c>
    </row>
    <row r="831" spans="1:20">
      <c r="A831" s="9">
        <v>10557</v>
      </c>
      <c r="B831" s="6">
        <v>64</v>
      </c>
      <c r="C831" s="6">
        <v>33.25</v>
      </c>
      <c r="D831" s="6">
        <v>30</v>
      </c>
      <c r="E831" s="18">
        <v>0</v>
      </c>
      <c r="F831" s="6" t="str">
        <f>IFERROR(VLOOKUP(VLOOKUP(A831,'Sales Order'!A:B,2,FALSE),Customer!A:C,3,FALSE),"Not Specified")</f>
        <v>Louverdis, George</v>
      </c>
      <c r="G831" s="6" t="str">
        <f t="shared" si="24"/>
        <v>Louverdis George</v>
      </c>
      <c r="H831" s="22" t="str">
        <f>IFERROR(VLOOKUP(VLOOKUP(A831,'Sales Order'!A:C,3,FALSE),Employee!A:E,5,FALSE)&amp;" "&amp;VLOOKUP(VLOOKUP(A831,'Sales Order'!A:C,3,FALSE),Employee!A:C,3,FALSE)&amp;" "&amp;VLOOKUP(VLOOKUP(A831,'Sales Order'!A:C,3,FALSE),Employee!A:B,2,FALSE),"Not Specified")</f>
        <v>Ms. Zoya Dolgopyatova</v>
      </c>
      <c r="I831">
        <f>IFERROR(VLOOKUP(VLOOKUP(A831,'Sales Order'!A:C,3,FALSE),Employee!A:J,10,FALSE),"Not Specified")</f>
        <v>0</v>
      </c>
      <c r="J831" t="str">
        <f>VLOOKUP(B831,Product!A:B,2,FALSE)</f>
        <v>Product HCQDE</v>
      </c>
      <c r="K831" t="str">
        <f>VLOOKUP(VLOOKUP(B831,Product!A:D,4,FALSE),Category!A:B,2,FALSE)</f>
        <v>Grains/Cereals</v>
      </c>
      <c r="L831" s="24">
        <f>IFERROR(VLOOKUP(A831,'Sales Order'!A:D,4,FALSE),"")</f>
        <v>39236</v>
      </c>
      <c r="M831" s="24">
        <f>IFERROR(VLOOKUP(A831,'Sales Order'!A:F,6,FALSE),"")</f>
        <v>39239</v>
      </c>
      <c r="N831" t="str">
        <f>IFERROR(VLOOKUP(VLOOKUP(A831,'Sales Order'!A:G,7,FALSE),Shipper!A:B,2,FALSE),"Not Specified")</f>
        <v>Shipper ETYNR</v>
      </c>
      <c r="O831" t="str">
        <f>IFERROR(VLOOKUP(A831,'Sales Order'!A:I,9,FALSE),"Not Specified")</f>
        <v>Ship to 44-C</v>
      </c>
      <c r="P831" t="str">
        <f>IFERROR(VLOOKUP(A831,'Sales Order'!A:N,14,FALSE),"Not Specified")</f>
        <v>Germany</v>
      </c>
      <c r="Q831" t="str">
        <f>VLOOKUP(VLOOKUP(B831,Product!A:C,3,FALSE),Supplier!A:B,2,FALSE)</f>
        <v>Supplier SVIYA</v>
      </c>
      <c r="R831" t="str">
        <f>VLOOKUP(VLOOKUP(B831,Product!A:C,3,FALSE),Supplier!A:I,9,FALSE)</f>
        <v>Germany</v>
      </c>
      <c r="S831" t="str">
        <f>IFERROR(IF(VLOOKUP(A831,'Sales Order'!A:H,8,FALSE)&gt;100,"High Freight","Low Freight"),"Not Specified")</f>
        <v>Low Freight</v>
      </c>
      <c r="T831">
        <f t="shared" si="25"/>
        <v>997.5</v>
      </c>
    </row>
    <row r="832" spans="1:20">
      <c r="A832" s="9">
        <v>10557</v>
      </c>
      <c r="B832" s="6">
        <v>75</v>
      </c>
      <c r="C832" s="6">
        <v>7.75</v>
      </c>
      <c r="D832" s="6">
        <v>20</v>
      </c>
      <c r="E832" s="18">
        <v>0</v>
      </c>
      <c r="F832" s="6" t="str">
        <f>IFERROR(VLOOKUP(VLOOKUP(A832,'Sales Order'!A:B,2,FALSE),Customer!A:C,3,FALSE),"Not Specified")</f>
        <v>Louverdis, George</v>
      </c>
      <c r="G832" s="6" t="str">
        <f t="shared" si="24"/>
        <v>Louverdis George</v>
      </c>
      <c r="H832" s="22" t="str">
        <f>IFERROR(VLOOKUP(VLOOKUP(A832,'Sales Order'!A:C,3,FALSE),Employee!A:E,5,FALSE)&amp;" "&amp;VLOOKUP(VLOOKUP(A832,'Sales Order'!A:C,3,FALSE),Employee!A:C,3,FALSE)&amp;" "&amp;VLOOKUP(VLOOKUP(A832,'Sales Order'!A:C,3,FALSE),Employee!A:B,2,FALSE),"Not Specified")</f>
        <v>Ms. Zoya Dolgopyatova</v>
      </c>
      <c r="I832">
        <f>IFERROR(VLOOKUP(VLOOKUP(A832,'Sales Order'!A:C,3,FALSE),Employee!A:J,10,FALSE),"Not Specified")</f>
        <v>0</v>
      </c>
      <c r="J832" t="str">
        <f>VLOOKUP(B832,Product!A:B,2,FALSE)</f>
        <v>Product BWRLG</v>
      </c>
      <c r="K832" t="str">
        <f>VLOOKUP(VLOOKUP(B832,Product!A:D,4,FALSE),Category!A:B,2,FALSE)</f>
        <v>Beverages</v>
      </c>
      <c r="L832" s="24">
        <f>IFERROR(VLOOKUP(A832,'Sales Order'!A:D,4,FALSE),"")</f>
        <v>39236</v>
      </c>
      <c r="M832" s="24">
        <f>IFERROR(VLOOKUP(A832,'Sales Order'!A:F,6,FALSE),"")</f>
        <v>39239</v>
      </c>
      <c r="N832" t="str">
        <f>IFERROR(VLOOKUP(VLOOKUP(A832,'Sales Order'!A:G,7,FALSE),Shipper!A:B,2,FALSE),"Not Specified")</f>
        <v>Shipper ETYNR</v>
      </c>
      <c r="O832" t="str">
        <f>IFERROR(VLOOKUP(A832,'Sales Order'!A:I,9,FALSE),"Not Specified")</f>
        <v>Ship to 44-C</v>
      </c>
      <c r="P832" t="str">
        <f>IFERROR(VLOOKUP(A832,'Sales Order'!A:N,14,FALSE),"Not Specified")</f>
        <v>Germany</v>
      </c>
      <c r="Q832" t="str">
        <f>VLOOKUP(VLOOKUP(B832,Product!A:C,3,FALSE),Supplier!A:B,2,FALSE)</f>
        <v>Supplier SVIYA</v>
      </c>
      <c r="R832" t="str">
        <f>VLOOKUP(VLOOKUP(B832,Product!A:C,3,FALSE),Supplier!A:I,9,FALSE)</f>
        <v>Germany</v>
      </c>
      <c r="S832" t="str">
        <f>IFERROR(IF(VLOOKUP(A832,'Sales Order'!A:H,8,FALSE)&gt;100,"High Freight","Low Freight"),"Not Specified")</f>
        <v>Low Freight</v>
      </c>
      <c r="T832">
        <f t="shared" si="25"/>
        <v>155</v>
      </c>
    </row>
    <row r="833" spans="1:20">
      <c r="A833" s="9">
        <v>10558</v>
      </c>
      <c r="B833" s="6">
        <v>47</v>
      </c>
      <c r="C833" s="6">
        <v>9.5</v>
      </c>
      <c r="D833" s="6">
        <v>25</v>
      </c>
      <c r="E833" s="18">
        <v>0</v>
      </c>
      <c r="F833" s="6" t="str">
        <f>IFERROR(VLOOKUP(VLOOKUP(A833,'Sales Order'!A:B,2,FALSE),Customer!A:C,3,FALSE),"Not Specified")</f>
        <v>Arndt, Torsten</v>
      </c>
      <c r="G833" s="6" t="str">
        <f t="shared" si="24"/>
        <v>Arndt Torsten</v>
      </c>
      <c r="H833" s="22" t="str">
        <f>IFERROR(VLOOKUP(VLOOKUP(A833,'Sales Order'!A:C,3,FALSE),Employee!A:E,5,FALSE)&amp;" "&amp;VLOOKUP(VLOOKUP(A833,'Sales Order'!A:C,3,FALSE),Employee!A:C,3,FALSE)&amp;" "&amp;VLOOKUP(VLOOKUP(A833,'Sales Order'!A:C,3,FALSE),Employee!A:B,2,FALSE),"Not Specified")</f>
        <v>Ms. Sara Davis</v>
      </c>
      <c r="I833" t="str">
        <f>IFERROR(VLOOKUP(VLOOKUP(A833,'Sales Order'!A:C,3,FALSE),Employee!A:J,10,FALSE),"Not Specified")</f>
        <v>WA</v>
      </c>
      <c r="J833" t="str">
        <f>VLOOKUP(B833,Product!A:B,2,FALSE)</f>
        <v>Product EZZPR</v>
      </c>
      <c r="K833" t="str">
        <f>VLOOKUP(VLOOKUP(B833,Product!A:D,4,FALSE),Category!A:B,2,FALSE)</f>
        <v>Confections</v>
      </c>
      <c r="L833" s="24">
        <f>IFERROR(VLOOKUP(A833,'Sales Order'!A:D,4,FALSE),"")</f>
        <v>39237</v>
      </c>
      <c r="M833" s="24">
        <f>IFERROR(VLOOKUP(A833,'Sales Order'!A:F,6,FALSE),"")</f>
        <v>39243</v>
      </c>
      <c r="N833" t="str">
        <f>IFERROR(VLOOKUP(VLOOKUP(A833,'Sales Order'!A:G,7,FALSE),Shipper!A:B,2,FALSE),"Not Specified")</f>
        <v>Shipper ETYNR</v>
      </c>
      <c r="O833" t="str">
        <f>IFERROR(VLOOKUP(A833,'Sales Order'!A:I,9,FALSE),"Not Specified")</f>
        <v>Ship to 4-B</v>
      </c>
      <c r="P833" t="str">
        <f>IFERROR(VLOOKUP(A833,'Sales Order'!A:N,14,FALSE),"Not Specified")</f>
        <v>UK</v>
      </c>
      <c r="Q833" t="str">
        <f>VLOOKUP(VLOOKUP(B833,Product!A:C,3,FALSE),Supplier!A:B,2,FALSE)</f>
        <v>Supplier FNUXM</v>
      </c>
      <c r="R833" t="str">
        <f>VLOOKUP(VLOOKUP(B833,Product!A:C,3,FALSE),Supplier!A:I,9,FALSE)</f>
        <v>Netherlands</v>
      </c>
      <c r="S833" t="str">
        <f>IFERROR(IF(VLOOKUP(A833,'Sales Order'!A:H,8,FALSE)&gt;100,"High Freight","Low Freight"),"Not Specified")</f>
        <v>Low Freight</v>
      </c>
      <c r="T833">
        <f t="shared" si="25"/>
        <v>237.5</v>
      </c>
    </row>
    <row r="834" spans="1:20">
      <c r="A834" s="9">
        <v>10558</v>
      </c>
      <c r="B834" s="6">
        <v>51</v>
      </c>
      <c r="C834" s="6">
        <v>53</v>
      </c>
      <c r="D834" s="6">
        <v>20</v>
      </c>
      <c r="E834" s="18">
        <v>0</v>
      </c>
      <c r="F834" s="6" t="str">
        <f>IFERROR(VLOOKUP(VLOOKUP(A834,'Sales Order'!A:B,2,FALSE),Customer!A:C,3,FALSE),"Not Specified")</f>
        <v>Arndt, Torsten</v>
      </c>
      <c r="G834" s="6" t="str">
        <f t="shared" si="24"/>
        <v>Arndt Torsten</v>
      </c>
      <c r="H834" s="22" t="str">
        <f>IFERROR(VLOOKUP(VLOOKUP(A834,'Sales Order'!A:C,3,FALSE),Employee!A:E,5,FALSE)&amp;" "&amp;VLOOKUP(VLOOKUP(A834,'Sales Order'!A:C,3,FALSE),Employee!A:C,3,FALSE)&amp;" "&amp;VLOOKUP(VLOOKUP(A834,'Sales Order'!A:C,3,FALSE),Employee!A:B,2,FALSE),"Not Specified")</f>
        <v>Ms. Sara Davis</v>
      </c>
      <c r="I834" t="str">
        <f>IFERROR(VLOOKUP(VLOOKUP(A834,'Sales Order'!A:C,3,FALSE),Employee!A:J,10,FALSE),"Not Specified")</f>
        <v>WA</v>
      </c>
      <c r="J834" t="str">
        <f>VLOOKUP(B834,Product!A:B,2,FALSE)</f>
        <v>Product APITJ</v>
      </c>
      <c r="K834" t="str">
        <f>VLOOKUP(VLOOKUP(B834,Product!A:D,4,FALSE),Category!A:B,2,FALSE)</f>
        <v>Produce</v>
      </c>
      <c r="L834" s="24">
        <f>IFERROR(VLOOKUP(A834,'Sales Order'!A:D,4,FALSE),"")</f>
        <v>39237</v>
      </c>
      <c r="M834" s="24">
        <f>IFERROR(VLOOKUP(A834,'Sales Order'!A:F,6,FALSE),"")</f>
        <v>39243</v>
      </c>
      <c r="N834" t="str">
        <f>IFERROR(VLOOKUP(VLOOKUP(A834,'Sales Order'!A:G,7,FALSE),Shipper!A:B,2,FALSE),"Not Specified")</f>
        <v>Shipper ETYNR</v>
      </c>
      <c r="O834" t="str">
        <f>IFERROR(VLOOKUP(A834,'Sales Order'!A:I,9,FALSE),"Not Specified")</f>
        <v>Ship to 4-B</v>
      </c>
      <c r="P834" t="str">
        <f>IFERROR(VLOOKUP(A834,'Sales Order'!A:N,14,FALSE),"Not Specified")</f>
        <v>UK</v>
      </c>
      <c r="Q834" t="str">
        <f>VLOOKUP(VLOOKUP(B834,Product!A:C,3,FALSE),Supplier!A:B,2,FALSE)</f>
        <v>Supplier JNNES</v>
      </c>
      <c r="R834" t="str">
        <f>VLOOKUP(VLOOKUP(B834,Product!A:C,3,FALSE),Supplier!A:I,9,FALSE)</f>
        <v>Australia</v>
      </c>
      <c r="S834" t="str">
        <f>IFERROR(IF(VLOOKUP(A834,'Sales Order'!A:H,8,FALSE)&gt;100,"High Freight","Low Freight"),"Not Specified")</f>
        <v>Low Freight</v>
      </c>
      <c r="T834">
        <f t="shared" si="25"/>
        <v>1060</v>
      </c>
    </row>
    <row r="835" spans="1:20">
      <c r="A835" s="9">
        <v>10558</v>
      </c>
      <c r="B835" s="6">
        <v>52</v>
      </c>
      <c r="C835" s="6">
        <v>7</v>
      </c>
      <c r="D835" s="6">
        <v>30</v>
      </c>
      <c r="E835" s="18">
        <v>0</v>
      </c>
      <c r="F835" s="6" t="str">
        <f>IFERROR(VLOOKUP(VLOOKUP(A835,'Sales Order'!A:B,2,FALSE),Customer!A:C,3,FALSE),"Not Specified")</f>
        <v>Arndt, Torsten</v>
      </c>
      <c r="G835" s="6" t="str">
        <f t="shared" ref="G835:G898" si="26">SUBSTITUTE(F835,",","",1)</f>
        <v>Arndt Torsten</v>
      </c>
      <c r="H835" s="22" t="str">
        <f>IFERROR(VLOOKUP(VLOOKUP(A835,'Sales Order'!A:C,3,FALSE),Employee!A:E,5,FALSE)&amp;" "&amp;VLOOKUP(VLOOKUP(A835,'Sales Order'!A:C,3,FALSE),Employee!A:C,3,FALSE)&amp;" "&amp;VLOOKUP(VLOOKUP(A835,'Sales Order'!A:C,3,FALSE),Employee!A:B,2,FALSE),"Not Specified")</f>
        <v>Ms. Sara Davis</v>
      </c>
      <c r="I835" t="str">
        <f>IFERROR(VLOOKUP(VLOOKUP(A835,'Sales Order'!A:C,3,FALSE),Employee!A:J,10,FALSE),"Not Specified")</f>
        <v>WA</v>
      </c>
      <c r="J835" t="str">
        <f>VLOOKUP(B835,Product!A:B,2,FALSE)</f>
        <v>Product QSRXF</v>
      </c>
      <c r="K835" t="str">
        <f>VLOOKUP(VLOOKUP(B835,Product!A:D,4,FALSE),Category!A:B,2,FALSE)</f>
        <v>Grains/Cereals</v>
      </c>
      <c r="L835" s="24">
        <f>IFERROR(VLOOKUP(A835,'Sales Order'!A:D,4,FALSE),"")</f>
        <v>39237</v>
      </c>
      <c r="M835" s="24">
        <f>IFERROR(VLOOKUP(A835,'Sales Order'!A:F,6,FALSE),"")</f>
        <v>39243</v>
      </c>
      <c r="N835" t="str">
        <f>IFERROR(VLOOKUP(VLOOKUP(A835,'Sales Order'!A:G,7,FALSE),Shipper!A:B,2,FALSE),"Not Specified")</f>
        <v>Shipper ETYNR</v>
      </c>
      <c r="O835" t="str">
        <f>IFERROR(VLOOKUP(A835,'Sales Order'!A:I,9,FALSE),"Not Specified")</f>
        <v>Ship to 4-B</v>
      </c>
      <c r="P835" t="str">
        <f>IFERROR(VLOOKUP(A835,'Sales Order'!A:N,14,FALSE),"Not Specified")</f>
        <v>UK</v>
      </c>
      <c r="Q835" t="str">
        <f>VLOOKUP(VLOOKUP(B835,Product!A:C,3,FALSE),Supplier!A:B,2,FALSE)</f>
        <v>Supplier JNNES</v>
      </c>
      <c r="R835" t="str">
        <f>VLOOKUP(VLOOKUP(B835,Product!A:C,3,FALSE),Supplier!A:I,9,FALSE)</f>
        <v>Australia</v>
      </c>
      <c r="S835" t="str">
        <f>IFERROR(IF(VLOOKUP(A835,'Sales Order'!A:H,8,FALSE)&gt;100,"High Freight","Low Freight"),"Not Specified")</f>
        <v>Low Freight</v>
      </c>
      <c r="T835">
        <f t="shared" ref="T835:T898" si="27">C835*D835*(1-E835)</f>
        <v>210</v>
      </c>
    </row>
    <row r="836" spans="1:20">
      <c r="A836" s="9">
        <v>10558</v>
      </c>
      <c r="B836" s="6">
        <v>53</v>
      </c>
      <c r="C836" s="6">
        <v>32.799999999999997</v>
      </c>
      <c r="D836" s="6">
        <v>18</v>
      </c>
      <c r="E836" s="18">
        <v>0</v>
      </c>
      <c r="F836" s="6" t="str">
        <f>IFERROR(VLOOKUP(VLOOKUP(A836,'Sales Order'!A:B,2,FALSE),Customer!A:C,3,FALSE),"Not Specified")</f>
        <v>Arndt, Torsten</v>
      </c>
      <c r="G836" s="6" t="str">
        <f t="shared" si="26"/>
        <v>Arndt Torsten</v>
      </c>
      <c r="H836" s="22" t="str">
        <f>IFERROR(VLOOKUP(VLOOKUP(A836,'Sales Order'!A:C,3,FALSE),Employee!A:E,5,FALSE)&amp;" "&amp;VLOOKUP(VLOOKUP(A836,'Sales Order'!A:C,3,FALSE),Employee!A:C,3,FALSE)&amp;" "&amp;VLOOKUP(VLOOKUP(A836,'Sales Order'!A:C,3,FALSE),Employee!A:B,2,FALSE),"Not Specified")</f>
        <v>Ms. Sara Davis</v>
      </c>
      <c r="I836" t="str">
        <f>IFERROR(VLOOKUP(VLOOKUP(A836,'Sales Order'!A:C,3,FALSE),Employee!A:J,10,FALSE),"Not Specified")</f>
        <v>WA</v>
      </c>
      <c r="J836" t="str">
        <f>VLOOKUP(B836,Product!A:B,2,FALSE)</f>
        <v>Product BKGEA</v>
      </c>
      <c r="K836" t="str">
        <f>VLOOKUP(VLOOKUP(B836,Product!A:D,4,FALSE),Category!A:B,2,FALSE)</f>
        <v>Meat/Poultry</v>
      </c>
      <c r="L836" s="24">
        <f>IFERROR(VLOOKUP(A836,'Sales Order'!A:D,4,FALSE),"")</f>
        <v>39237</v>
      </c>
      <c r="M836" s="24">
        <f>IFERROR(VLOOKUP(A836,'Sales Order'!A:F,6,FALSE),"")</f>
        <v>39243</v>
      </c>
      <c r="N836" t="str">
        <f>IFERROR(VLOOKUP(VLOOKUP(A836,'Sales Order'!A:G,7,FALSE),Shipper!A:B,2,FALSE),"Not Specified")</f>
        <v>Shipper ETYNR</v>
      </c>
      <c r="O836" t="str">
        <f>IFERROR(VLOOKUP(A836,'Sales Order'!A:I,9,FALSE),"Not Specified")</f>
        <v>Ship to 4-B</v>
      </c>
      <c r="P836" t="str">
        <f>IFERROR(VLOOKUP(A836,'Sales Order'!A:N,14,FALSE),"Not Specified")</f>
        <v>UK</v>
      </c>
      <c r="Q836" t="str">
        <f>VLOOKUP(VLOOKUP(B836,Product!A:C,3,FALSE),Supplier!A:B,2,FALSE)</f>
        <v>Supplier JNNES</v>
      </c>
      <c r="R836" t="str">
        <f>VLOOKUP(VLOOKUP(B836,Product!A:C,3,FALSE),Supplier!A:I,9,FALSE)</f>
        <v>Australia</v>
      </c>
      <c r="S836" t="str">
        <f>IFERROR(IF(VLOOKUP(A836,'Sales Order'!A:H,8,FALSE)&gt;100,"High Freight","Low Freight"),"Not Specified")</f>
        <v>Low Freight</v>
      </c>
      <c r="T836">
        <f t="shared" si="27"/>
        <v>590.4</v>
      </c>
    </row>
    <row r="837" spans="1:20">
      <c r="A837" s="9">
        <v>10558</v>
      </c>
      <c r="B837" s="6">
        <v>73</v>
      </c>
      <c r="C837" s="6">
        <v>15</v>
      </c>
      <c r="D837" s="6">
        <v>3</v>
      </c>
      <c r="E837" s="18">
        <v>0</v>
      </c>
      <c r="F837" s="6" t="str">
        <f>IFERROR(VLOOKUP(VLOOKUP(A837,'Sales Order'!A:B,2,FALSE),Customer!A:C,3,FALSE),"Not Specified")</f>
        <v>Arndt, Torsten</v>
      </c>
      <c r="G837" s="6" t="str">
        <f t="shared" si="26"/>
        <v>Arndt Torsten</v>
      </c>
      <c r="H837" s="22" t="str">
        <f>IFERROR(VLOOKUP(VLOOKUP(A837,'Sales Order'!A:C,3,FALSE),Employee!A:E,5,FALSE)&amp;" "&amp;VLOOKUP(VLOOKUP(A837,'Sales Order'!A:C,3,FALSE),Employee!A:C,3,FALSE)&amp;" "&amp;VLOOKUP(VLOOKUP(A837,'Sales Order'!A:C,3,FALSE),Employee!A:B,2,FALSE),"Not Specified")</f>
        <v>Ms. Sara Davis</v>
      </c>
      <c r="I837" t="str">
        <f>IFERROR(VLOOKUP(VLOOKUP(A837,'Sales Order'!A:C,3,FALSE),Employee!A:J,10,FALSE),"Not Specified")</f>
        <v>WA</v>
      </c>
      <c r="J837" t="str">
        <f>VLOOKUP(B837,Product!A:B,2,FALSE)</f>
        <v>Product WEUJZ</v>
      </c>
      <c r="K837" t="str">
        <f>VLOOKUP(VLOOKUP(B837,Product!A:D,4,FALSE),Category!A:B,2,FALSE)</f>
        <v>Seafood</v>
      </c>
      <c r="L837" s="24">
        <f>IFERROR(VLOOKUP(A837,'Sales Order'!A:D,4,FALSE),"")</f>
        <v>39237</v>
      </c>
      <c r="M837" s="24">
        <f>IFERROR(VLOOKUP(A837,'Sales Order'!A:F,6,FALSE),"")</f>
        <v>39243</v>
      </c>
      <c r="N837" t="str">
        <f>IFERROR(VLOOKUP(VLOOKUP(A837,'Sales Order'!A:G,7,FALSE),Shipper!A:B,2,FALSE),"Not Specified")</f>
        <v>Shipper ETYNR</v>
      </c>
      <c r="O837" t="str">
        <f>IFERROR(VLOOKUP(A837,'Sales Order'!A:I,9,FALSE),"Not Specified")</f>
        <v>Ship to 4-B</v>
      </c>
      <c r="P837" t="str">
        <f>IFERROR(VLOOKUP(A837,'Sales Order'!A:N,14,FALSE),"Not Specified")</f>
        <v>UK</v>
      </c>
      <c r="Q837" t="str">
        <f>VLOOKUP(VLOOKUP(B837,Product!A:C,3,FALSE),Supplier!A:B,2,FALSE)</f>
        <v>Supplier QZGUF</v>
      </c>
      <c r="R837" t="str">
        <f>VLOOKUP(VLOOKUP(B837,Product!A:C,3,FALSE),Supplier!A:I,9,FALSE)</f>
        <v>Sweden</v>
      </c>
      <c r="S837" t="str">
        <f>IFERROR(IF(VLOOKUP(A837,'Sales Order'!A:H,8,FALSE)&gt;100,"High Freight","Low Freight"),"Not Specified")</f>
        <v>Low Freight</v>
      </c>
      <c r="T837">
        <f t="shared" si="27"/>
        <v>45</v>
      </c>
    </row>
    <row r="838" spans="1:20">
      <c r="A838" s="9">
        <v>10559</v>
      </c>
      <c r="B838" s="6">
        <v>41</v>
      </c>
      <c r="C838" s="6">
        <v>9.65</v>
      </c>
      <c r="D838" s="6">
        <v>12</v>
      </c>
      <c r="E838" s="18">
        <v>0.05</v>
      </c>
      <c r="F838" s="6" t="str">
        <f>IFERROR(VLOOKUP(VLOOKUP(A838,'Sales Order'!A:B,2,FALSE),Customer!A:C,3,FALSE),"Not Specified")</f>
        <v>Bansal, Dushyant</v>
      </c>
      <c r="G838" s="6" t="str">
        <f t="shared" si="26"/>
        <v>Bansal Dushyant</v>
      </c>
      <c r="H838" s="22" t="str">
        <f>IFERROR(VLOOKUP(VLOOKUP(A838,'Sales Order'!A:C,3,FALSE),Employee!A:E,5,FALSE)&amp;" "&amp;VLOOKUP(VLOOKUP(A838,'Sales Order'!A:C,3,FALSE),Employee!A:C,3,FALSE)&amp;" "&amp;VLOOKUP(VLOOKUP(A838,'Sales Order'!A:C,3,FALSE),Employee!A:B,2,FALSE),"Not Specified")</f>
        <v>Mr. Paul Suurs</v>
      </c>
      <c r="I838">
        <f>IFERROR(VLOOKUP(VLOOKUP(A838,'Sales Order'!A:C,3,FALSE),Employee!A:J,10,FALSE),"Not Specified")</f>
        <v>0</v>
      </c>
      <c r="J838" t="str">
        <f>VLOOKUP(B838,Product!A:B,2,FALSE)</f>
        <v>Product TTEEX</v>
      </c>
      <c r="K838" t="str">
        <f>VLOOKUP(VLOOKUP(B838,Product!A:D,4,FALSE),Category!A:B,2,FALSE)</f>
        <v>Seafood</v>
      </c>
      <c r="L838" s="24">
        <f>IFERROR(VLOOKUP(A838,'Sales Order'!A:D,4,FALSE),"")</f>
        <v>39238</v>
      </c>
      <c r="M838" s="24">
        <f>IFERROR(VLOOKUP(A838,'Sales Order'!A:F,6,FALSE),"")</f>
        <v>39246</v>
      </c>
      <c r="N838" t="str">
        <f>IFERROR(VLOOKUP(VLOOKUP(A838,'Sales Order'!A:G,7,FALSE),Shipper!A:B,2,FALSE),"Not Specified")</f>
        <v>Shipper GVSUA</v>
      </c>
      <c r="O838" t="str">
        <f>IFERROR(VLOOKUP(A838,'Sales Order'!A:I,9,FALSE),"Not Specified")</f>
        <v>Ship to 7-B</v>
      </c>
      <c r="P838" t="str">
        <f>IFERROR(VLOOKUP(A838,'Sales Order'!A:N,14,FALSE),"Not Specified")</f>
        <v>France</v>
      </c>
      <c r="Q838" t="str">
        <f>VLOOKUP(VLOOKUP(B838,Product!A:C,3,FALSE),Supplier!A:B,2,FALSE)</f>
        <v>Supplier JDNUG</v>
      </c>
      <c r="R838" t="str">
        <f>VLOOKUP(VLOOKUP(B838,Product!A:C,3,FALSE),Supplier!A:I,9,FALSE)</f>
        <v>USA</v>
      </c>
      <c r="S838" t="str">
        <f>IFERROR(IF(VLOOKUP(A838,'Sales Order'!A:H,8,FALSE)&gt;100,"High Freight","Low Freight"),"Not Specified")</f>
        <v>Low Freight</v>
      </c>
      <c r="T838">
        <f t="shared" si="27"/>
        <v>110.01</v>
      </c>
    </row>
    <row r="839" spans="1:20">
      <c r="A839" s="9">
        <v>10559</v>
      </c>
      <c r="B839" s="6">
        <v>55</v>
      </c>
      <c r="C839" s="6">
        <v>24</v>
      </c>
      <c r="D839" s="6">
        <v>18</v>
      </c>
      <c r="E839" s="18">
        <v>0.05</v>
      </c>
      <c r="F839" s="6" t="str">
        <f>IFERROR(VLOOKUP(VLOOKUP(A839,'Sales Order'!A:B,2,FALSE),Customer!A:C,3,FALSE),"Not Specified")</f>
        <v>Bansal, Dushyant</v>
      </c>
      <c r="G839" s="6" t="str">
        <f t="shared" si="26"/>
        <v>Bansal Dushyant</v>
      </c>
      <c r="H839" s="22" t="str">
        <f>IFERROR(VLOOKUP(VLOOKUP(A839,'Sales Order'!A:C,3,FALSE),Employee!A:E,5,FALSE)&amp;" "&amp;VLOOKUP(VLOOKUP(A839,'Sales Order'!A:C,3,FALSE),Employee!A:C,3,FALSE)&amp;" "&amp;VLOOKUP(VLOOKUP(A839,'Sales Order'!A:C,3,FALSE),Employee!A:B,2,FALSE),"Not Specified")</f>
        <v>Mr. Paul Suurs</v>
      </c>
      <c r="I839">
        <f>IFERROR(VLOOKUP(VLOOKUP(A839,'Sales Order'!A:C,3,FALSE),Employee!A:J,10,FALSE),"Not Specified")</f>
        <v>0</v>
      </c>
      <c r="J839" t="str">
        <f>VLOOKUP(B839,Product!A:B,2,FALSE)</f>
        <v>Product YYWRT</v>
      </c>
      <c r="K839" t="str">
        <f>VLOOKUP(VLOOKUP(B839,Product!A:D,4,FALSE),Category!A:B,2,FALSE)</f>
        <v>Meat/Poultry</v>
      </c>
      <c r="L839" s="24">
        <f>IFERROR(VLOOKUP(A839,'Sales Order'!A:D,4,FALSE),"")</f>
        <v>39238</v>
      </c>
      <c r="M839" s="24">
        <f>IFERROR(VLOOKUP(A839,'Sales Order'!A:F,6,FALSE),"")</f>
        <v>39246</v>
      </c>
      <c r="N839" t="str">
        <f>IFERROR(VLOOKUP(VLOOKUP(A839,'Sales Order'!A:G,7,FALSE),Shipper!A:B,2,FALSE),"Not Specified")</f>
        <v>Shipper GVSUA</v>
      </c>
      <c r="O839" t="str">
        <f>IFERROR(VLOOKUP(A839,'Sales Order'!A:I,9,FALSE),"Not Specified")</f>
        <v>Ship to 7-B</v>
      </c>
      <c r="P839" t="str">
        <f>IFERROR(VLOOKUP(A839,'Sales Order'!A:N,14,FALSE),"Not Specified")</f>
        <v>France</v>
      </c>
      <c r="Q839" t="str">
        <f>VLOOKUP(VLOOKUP(B839,Product!A:C,3,FALSE),Supplier!A:B,2,FALSE)</f>
        <v>Supplier ERVYZ</v>
      </c>
      <c r="R839" t="str">
        <f>VLOOKUP(VLOOKUP(B839,Product!A:C,3,FALSE),Supplier!A:I,9,FALSE)</f>
        <v>Canada</v>
      </c>
      <c r="S839" t="str">
        <f>IFERROR(IF(VLOOKUP(A839,'Sales Order'!A:H,8,FALSE)&gt;100,"High Freight","Low Freight"),"Not Specified")</f>
        <v>Low Freight</v>
      </c>
      <c r="T839">
        <f t="shared" si="27"/>
        <v>410.4</v>
      </c>
    </row>
    <row r="840" spans="1:20">
      <c r="A840" s="9">
        <v>10560</v>
      </c>
      <c r="B840" s="6">
        <v>30</v>
      </c>
      <c r="C840" s="6">
        <v>25.89</v>
      </c>
      <c r="D840" s="6">
        <v>20</v>
      </c>
      <c r="E840" s="18">
        <v>0</v>
      </c>
      <c r="F840" s="6" t="str">
        <f>IFERROR(VLOOKUP(VLOOKUP(A840,'Sales Order'!A:B,2,FALSE),Customer!A:C,3,FALSE),"Not Specified")</f>
        <v>Carlson, Jason</v>
      </c>
      <c r="G840" s="6" t="str">
        <f t="shared" si="26"/>
        <v>Carlson Jason</v>
      </c>
      <c r="H840" s="22" t="str">
        <f>IFERROR(VLOOKUP(VLOOKUP(A840,'Sales Order'!A:C,3,FALSE),Employee!A:E,5,FALSE)&amp;" "&amp;VLOOKUP(VLOOKUP(A840,'Sales Order'!A:C,3,FALSE),Employee!A:C,3,FALSE)&amp;" "&amp;VLOOKUP(VLOOKUP(A840,'Sales Order'!A:C,3,FALSE),Employee!A:B,2,FALSE),"Not Specified")</f>
        <v>Ms. Maria Cameron</v>
      </c>
      <c r="I840" t="str">
        <f>IFERROR(VLOOKUP(VLOOKUP(A840,'Sales Order'!A:C,3,FALSE),Employee!A:J,10,FALSE),"Not Specified")</f>
        <v>WA</v>
      </c>
      <c r="J840" t="str">
        <f>VLOOKUP(B840,Product!A:B,2,FALSE)</f>
        <v>Product LYERX</v>
      </c>
      <c r="K840" t="str">
        <f>VLOOKUP(VLOOKUP(B840,Product!A:D,4,FALSE),Category!A:B,2,FALSE)</f>
        <v>Seafood</v>
      </c>
      <c r="L840" s="24">
        <f>IFERROR(VLOOKUP(A840,'Sales Order'!A:D,4,FALSE),"")</f>
        <v>39239</v>
      </c>
      <c r="M840" s="24">
        <f>IFERROR(VLOOKUP(A840,'Sales Order'!A:F,6,FALSE),"")</f>
        <v>39242</v>
      </c>
      <c r="N840" t="str">
        <f>IFERROR(VLOOKUP(VLOOKUP(A840,'Sales Order'!A:G,7,FALSE),Shipper!A:B,2,FALSE),"Not Specified")</f>
        <v>Shipper GVSUA</v>
      </c>
      <c r="O840" t="str">
        <f>IFERROR(VLOOKUP(A840,'Sales Order'!A:I,9,FALSE),"Not Specified")</f>
        <v>Destination QOCBL</v>
      </c>
      <c r="P840" t="str">
        <f>IFERROR(VLOOKUP(A840,'Sales Order'!A:N,14,FALSE),"Not Specified")</f>
        <v>Germany</v>
      </c>
      <c r="Q840" t="str">
        <f>VLOOKUP(VLOOKUP(B840,Product!A:C,3,FALSE),Supplier!A:B,2,FALSE)</f>
        <v>Supplier TEGSC</v>
      </c>
      <c r="R840" t="str">
        <f>VLOOKUP(VLOOKUP(B840,Product!A:C,3,FALSE),Supplier!A:I,9,FALSE)</f>
        <v>Germany</v>
      </c>
      <c r="S840" t="str">
        <f>IFERROR(IF(VLOOKUP(A840,'Sales Order'!A:H,8,FALSE)&gt;100,"High Freight","Low Freight"),"Not Specified")</f>
        <v>Low Freight</v>
      </c>
      <c r="T840">
        <f t="shared" si="27"/>
        <v>517.79999999999995</v>
      </c>
    </row>
    <row r="841" spans="1:20">
      <c r="A841" s="9">
        <v>10560</v>
      </c>
      <c r="B841" s="6">
        <v>62</v>
      </c>
      <c r="C841" s="6">
        <v>49.3</v>
      </c>
      <c r="D841" s="6">
        <v>15</v>
      </c>
      <c r="E841" s="18">
        <v>0.25</v>
      </c>
      <c r="F841" s="6" t="str">
        <f>IFERROR(VLOOKUP(VLOOKUP(A841,'Sales Order'!A:B,2,FALSE),Customer!A:C,3,FALSE),"Not Specified")</f>
        <v>Carlson, Jason</v>
      </c>
      <c r="G841" s="6" t="str">
        <f t="shared" si="26"/>
        <v>Carlson Jason</v>
      </c>
      <c r="H841" s="22" t="str">
        <f>IFERROR(VLOOKUP(VLOOKUP(A841,'Sales Order'!A:C,3,FALSE),Employee!A:E,5,FALSE)&amp;" "&amp;VLOOKUP(VLOOKUP(A841,'Sales Order'!A:C,3,FALSE),Employee!A:C,3,FALSE)&amp;" "&amp;VLOOKUP(VLOOKUP(A841,'Sales Order'!A:C,3,FALSE),Employee!A:B,2,FALSE),"Not Specified")</f>
        <v>Ms. Maria Cameron</v>
      </c>
      <c r="I841" t="str">
        <f>IFERROR(VLOOKUP(VLOOKUP(A841,'Sales Order'!A:C,3,FALSE),Employee!A:J,10,FALSE),"Not Specified")</f>
        <v>WA</v>
      </c>
      <c r="J841" t="str">
        <f>VLOOKUP(B841,Product!A:B,2,FALSE)</f>
        <v>Product WUXYK</v>
      </c>
      <c r="K841" t="str">
        <f>VLOOKUP(VLOOKUP(B841,Product!A:D,4,FALSE),Category!A:B,2,FALSE)</f>
        <v>Confections</v>
      </c>
      <c r="L841" s="24">
        <f>IFERROR(VLOOKUP(A841,'Sales Order'!A:D,4,FALSE),"")</f>
        <v>39239</v>
      </c>
      <c r="M841" s="24">
        <f>IFERROR(VLOOKUP(A841,'Sales Order'!A:F,6,FALSE),"")</f>
        <v>39242</v>
      </c>
      <c r="N841" t="str">
        <f>IFERROR(VLOOKUP(VLOOKUP(A841,'Sales Order'!A:G,7,FALSE),Shipper!A:B,2,FALSE),"Not Specified")</f>
        <v>Shipper GVSUA</v>
      </c>
      <c r="O841" t="str">
        <f>IFERROR(VLOOKUP(A841,'Sales Order'!A:I,9,FALSE),"Not Specified")</f>
        <v>Destination QOCBL</v>
      </c>
      <c r="P841" t="str">
        <f>IFERROR(VLOOKUP(A841,'Sales Order'!A:N,14,FALSE),"Not Specified")</f>
        <v>Germany</v>
      </c>
      <c r="Q841" t="str">
        <f>VLOOKUP(VLOOKUP(B841,Product!A:C,3,FALSE),Supplier!A:B,2,FALSE)</f>
        <v>Supplier OGLRK</v>
      </c>
      <c r="R841" t="str">
        <f>VLOOKUP(VLOOKUP(B841,Product!A:C,3,FALSE),Supplier!A:I,9,FALSE)</f>
        <v>Canada</v>
      </c>
      <c r="S841" t="str">
        <f>IFERROR(IF(VLOOKUP(A841,'Sales Order'!A:H,8,FALSE)&gt;100,"High Freight","Low Freight"),"Not Specified")</f>
        <v>Low Freight</v>
      </c>
      <c r="T841">
        <f t="shared" si="27"/>
        <v>554.625</v>
      </c>
    </row>
    <row r="842" spans="1:20">
      <c r="A842" s="9">
        <v>10561</v>
      </c>
      <c r="B842" s="6">
        <v>44</v>
      </c>
      <c r="C842" s="6">
        <v>19.45</v>
      </c>
      <c r="D842" s="6">
        <v>10</v>
      </c>
      <c r="E842" s="18">
        <v>0</v>
      </c>
      <c r="F842" s="6" t="str">
        <f>IFERROR(VLOOKUP(VLOOKUP(A842,'Sales Order'!A:B,2,FALSE),Customer!A:C,3,FALSE),"Not Specified")</f>
        <v>San Juan, Patricia</v>
      </c>
      <c r="G842" s="6" t="str">
        <f t="shared" si="26"/>
        <v>San Juan Patricia</v>
      </c>
      <c r="H842" s="22" t="str">
        <f>IFERROR(VLOOKUP(VLOOKUP(A842,'Sales Order'!A:C,3,FALSE),Employee!A:E,5,FALSE)&amp;" "&amp;VLOOKUP(VLOOKUP(A842,'Sales Order'!A:C,3,FALSE),Employee!A:C,3,FALSE)&amp;" "&amp;VLOOKUP(VLOOKUP(A842,'Sales Order'!A:C,3,FALSE),Employee!A:B,2,FALSE),"Not Specified")</f>
        <v>Dr. Don Funk</v>
      </c>
      <c r="I842" t="str">
        <f>IFERROR(VLOOKUP(VLOOKUP(A842,'Sales Order'!A:C,3,FALSE),Employee!A:J,10,FALSE),"Not Specified")</f>
        <v>WA</v>
      </c>
      <c r="J842" t="str">
        <f>VLOOKUP(B842,Product!A:B,2,FALSE)</f>
        <v>Product VJIEO</v>
      </c>
      <c r="K842" t="str">
        <f>VLOOKUP(VLOOKUP(B842,Product!A:D,4,FALSE),Category!A:B,2,FALSE)</f>
        <v>Condiments</v>
      </c>
      <c r="L842" s="24">
        <f>IFERROR(VLOOKUP(A842,'Sales Order'!A:D,4,FALSE),"")</f>
        <v>39239</v>
      </c>
      <c r="M842" s="24">
        <f>IFERROR(VLOOKUP(A842,'Sales Order'!A:F,6,FALSE),"")</f>
        <v>39242</v>
      </c>
      <c r="N842" t="str">
        <f>IFERROR(VLOOKUP(VLOOKUP(A842,'Sales Order'!A:G,7,FALSE),Shipper!A:B,2,FALSE),"Not Specified")</f>
        <v>Shipper ETYNR</v>
      </c>
      <c r="O842" t="str">
        <f>IFERROR(VLOOKUP(A842,'Sales Order'!A:I,9,FALSE),"Not Specified")</f>
        <v>Destination YCMPK</v>
      </c>
      <c r="P842" t="str">
        <f>IFERROR(VLOOKUP(A842,'Sales Order'!A:N,14,FALSE),"Not Specified")</f>
        <v>Sweden</v>
      </c>
      <c r="Q842" t="str">
        <f>VLOOKUP(VLOOKUP(B842,Product!A:C,3,FALSE),Supplier!A:B,2,FALSE)</f>
        <v>Supplier CIYNM</v>
      </c>
      <c r="R842" t="str">
        <f>VLOOKUP(VLOOKUP(B842,Product!A:C,3,FALSE),Supplier!A:I,9,FALSE)</f>
        <v>Singapore</v>
      </c>
      <c r="S842" t="str">
        <f>IFERROR(IF(VLOOKUP(A842,'Sales Order'!A:H,8,FALSE)&gt;100,"High Freight","Low Freight"),"Not Specified")</f>
        <v>High Freight</v>
      </c>
      <c r="T842">
        <f t="shared" si="27"/>
        <v>194.5</v>
      </c>
    </row>
    <row r="843" spans="1:20">
      <c r="A843" s="9">
        <v>10561</v>
      </c>
      <c r="B843" s="6">
        <v>51</v>
      </c>
      <c r="C843" s="6">
        <v>53</v>
      </c>
      <c r="D843" s="6">
        <v>50</v>
      </c>
      <c r="E843" s="18">
        <v>0</v>
      </c>
      <c r="F843" s="6" t="str">
        <f>IFERROR(VLOOKUP(VLOOKUP(A843,'Sales Order'!A:B,2,FALSE),Customer!A:C,3,FALSE),"Not Specified")</f>
        <v>San Juan, Patricia</v>
      </c>
      <c r="G843" s="6" t="str">
        <f t="shared" si="26"/>
        <v>San Juan Patricia</v>
      </c>
      <c r="H843" s="22" t="str">
        <f>IFERROR(VLOOKUP(VLOOKUP(A843,'Sales Order'!A:C,3,FALSE),Employee!A:E,5,FALSE)&amp;" "&amp;VLOOKUP(VLOOKUP(A843,'Sales Order'!A:C,3,FALSE),Employee!A:C,3,FALSE)&amp;" "&amp;VLOOKUP(VLOOKUP(A843,'Sales Order'!A:C,3,FALSE),Employee!A:B,2,FALSE),"Not Specified")</f>
        <v>Dr. Don Funk</v>
      </c>
      <c r="I843" t="str">
        <f>IFERROR(VLOOKUP(VLOOKUP(A843,'Sales Order'!A:C,3,FALSE),Employee!A:J,10,FALSE),"Not Specified")</f>
        <v>WA</v>
      </c>
      <c r="J843" t="str">
        <f>VLOOKUP(B843,Product!A:B,2,FALSE)</f>
        <v>Product APITJ</v>
      </c>
      <c r="K843" t="str">
        <f>VLOOKUP(VLOOKUP(B843,Product!A:D,4,FALSE),Category!A:B,2,FALSE)</f>
        <v>Produce</v>
      </c>
      <c r="L843" s="24">
        <f>IFERROR(VLOOKUP(A843,'Sales Order'!A:D,4,FALSE),"")</f>
        <v>39239</v>
      </c>
      <c r="M843" s="24">
        <f>IFERROR(VLOOKUP(A843,'Sales Order'!A:F,6,FALSE),"")</f>
        <v>39242</v>
      </c>
      <c r="N843" t="str">
        <f>IFERROR(VLOOKUP(VLOOKUP(A843,'Sales Order'!A:G,7,FALSE),Shipper!A:B,2,FALSE),"Not Specified")</f>
        <v>Shipper ETYNR</v>
      </c>
      <c r="O843" t="str">
        <f>IFERROR(VLOOKUP(A843,'Sales Order'!A:I,9,FALSE),"Not Specified")</f>
        <v>Destination YCMPK</v>
      </c>
      <c r="P843" t="str">
        <f>IFERROR(VLOOKUP(A843,'Sales Order'!A:N,14,FALSE),"Not Specified")</f>
        <v>Sweden</v>
      </c>
      <c r="Q843" t="str">
        <f>VLOOKUP(VLOOKUP(B843,Product!A:C,3,FALSE),Supplier!A:B,2,FALSE)</f>
        <v>Supplier JNNES</v>
      </c>
      <c r="R843" t="str">
        <f>VLOOKUP(VLOOKUP(B843,Product!A:C,3,FALSE),Supplier!A:I,9,FALSE)</f>
        <v>Australia</v>
      </c>
      <c r="S843" t="str">
        <f>IFERROR(IF(VLOOKUP(A843,'Sales Order'!A:H,8,FALSE)&gt;100,"High Freight","Low Freight"),"Not Specified")</f>
        <v>High Freight</v>
      </c>
      <c r="T843">
        <f t="shared" si="27"/>
        <v>2650</v>
      </c>
    </row>
    <row r="844" spans="1:20">
      <c r="A844" s="9">
        <v>10562</v>
      </c>
      <c r="B844" s="6">
        <v>33</v>
      </c>
      <c r="C844" s="6">
        <v>2.5</v>
      </c>
      <c r="D844" s="6">
        <v>20</v>
      </c>
      <c r="E844" s="18">
        <v>0.1</v>
      </c>
      <c r="F844" s="6" t="str">
        <f>IFERROR(VLOOKUP(VLOOKUP(A844,'Sales Order'!A:B,2,FALSE),Customer!A:C,3,FALSE),"Not Specified")</f>
        <v>Voss, Florian</v>
      </c>
      <c r="G844" s="6" t="str">
        <f t="shared" si="26"/>
        <v>Voss Florian</v>
      </c>
      <c r="H844" s="22" t="str">
        <f>IFERROR(VLOOKUP(VLOOKUP(A844,'Sales Order'!A:C,3,FALSE),Employee!A:E,5,FALSE)&amp;" "&amp;VLOOKUP(VLOOKUP(A844,'Sales Order'!A:C,3,FALSE),Employee!A:C,3,FALSE)&amp;" "&amp;VLOOKUP(VLOOKUP(A844,'Sales Order'!A:C,3,FALSE),Employee!A:B,2,FALSE),"Not Specified")</f>
        <v>Ms. Sara Davis</v>
      </c>
      <c r="I844" t="str">
        <f>IFERROR(VLOOKUP(VLOOKUP(A844,'Sales Order'!A:C,3,FALSE),Employee!A:J,10,FALSE),"Not Specified")</f>
        <v>WA</v>
      </c>
      <c r="J844" t="str">
        <f>VLOOKUP(B844,Product!A:B,2,FALSE)</f>
        <v>Product ASTMN</v>
      </c>
      <c r="K844" t="str">
        <f>VLOOKUP(VLOOKUP(B844,Product!A:D,4,FALSE),Category!A:B,2,FALSE)</f>
        <v>Dairy Product</v>
      </c>
      <c r="L844" s="24">
        <f>IFERROR(VLOOKUP(A844,'Sales Order'!A:D,4,FALSE),"")</f>
        <v>39242</v>
      </c>
      <c r="M844" s="24">
        <f>IFERROR(VLOOKUP(A844,'Sales Order'!A:F,6,FALSE),"")</f>
        <v>39245</v>
      </c>
      <c r="N844" t="str">
        <f>IFERROR(VLOOKUP(VLOOKUP(A844,'Sales Order'!A:G,7,FALSE),Shipper!A:B,2,FALSE),"Not Specified")</f>
        <v>Shipper GVSUA</v>
      </c>
      <c r="O844" t="str">
        <f>IFERROR(VLOOKUP(A844,'Sales Order'!A:I,9,FALSE),"Not Specified")</f>
        <v>Ship to 66-B</v>
      </c>
      <c r="P844" t="str">
        <f>IFERROR(VLOOKUP(A844,'Sales Order'!A:N,14,FALSE),"Not Specified")</f>
        <v>Italy</v>
      </c>
      <c r="Q844" t="str">
        <f>VLOOKUP(VLOOKUP(B844,Product!A:C,3,FALSE),Supplier!A:B,2,FALSE)</f>
        <v>Supplier NZLIF</v>
      </c>
      <c r="R844" t="str">
        <f>VLOOKUP(VLOOKUP(B844,Product!A:C,3,FALSE),Supplier!A:I,9,FALSE)</f>
        <v>Norway</v>
      </c>
      <c r="S844" t="str">
        <f>IFERROR(IF(VLOOKUP(A844,'Sales Order'!A:H,8,FALSE)&gt;100,"High Freight","Low Freight"),"Not Specified")</f>
        <v>Low Freight</v>
      </c>
      <c r="T844">
        <f t="shared" si="27"/>
        <v>45</v>
      </c>
    </row>
    <row r="845" spans="1:20">
      <c r="A845" s="9">
        <v>10562</v>
      </c>
      <c r="B845" s="6">
        <v>62</v>
      </c>
      <c r="C845" s="6">
        <v>49.3</v>
      </c>
      <c r="D845" s="6">
        <v>10</v>
      </c>
      <c r="E845" s="18">
        <v>0.1</v>
      </c>
      <c r="F845" s="6" t="str">
        <f>IFERROR(VLOOKUP(VLOOKUP(A845,'Sales Order'!A:B,2,FALSE),Customer!A:C,3,FALSE),"Not Specified")</f>
        <v>Voss, Florian</v>
      </c>
      <c r="G845" s="6" t="str">
        <f t="shared" si="26"/>
        <v>Voss Florian</v>
      </c>
      <c r="H845" s="22" t="str">
        <f>IFERROR(VLOOKUP(VLOOKUP(A845,'Sales Order'!A:C,3,FALSE),Employee!A:E,5,FALSE)&amp;" "&amp;VLOOKUP(VLOOKUP(A845,'Sales Order'!A:C,3,FALSE),Employee!A:C,3,FALSE)&amp;" "&amp;VLOOKUP(VLOOKUP(A845,'Sales Order'!A:C,3,FALSE),Employee!A:B,2,FALSE),"Not Specified")</f>
        <v>Ms. Sara Davis</v>
      </c>
      <c r="I845" t="str">
        <f>IFERROR(VLOOKUP(VLOOKUP(A845,'Sales Order'!A:C,3,FALSE),Employee!A:J,10,FALSE),"Not Specified")</f>
        <v>WA</v>
      </c>
      <c r="J845" t="str">
        <f>VLOOKUP(B845,Product!A:B,2,FALSE)</f>
        <v>Product WUXYK</v>
      </c>
      <c r="K845" t="str">
        <f>VLOOKUP(VLOOKUP(B845,Product!A:D,4,FALSE),Category!A:B,2,FALSE)</f>
        <v>Confections</v>
      </c>
      <c r="L845" s="24">
        <f>IFERROR(VLOOKUP(A845,'Sales Order'!A:D,4,FALSE),"")</f>
        <v>39242</v>
      </c>
      <c r="M845" s="24">
        <f>IFERROR(VLOOKUP(A845,'Sales Order'!A:F,6,FALSE),"")</f>
        <v>39245</v>
      </c>
      <c r="N845" t="str">
        <f>IFERROR(VLOOKUP(VLOOKUP(A845,'Sales Order'!A:G,7,FALSE),Shipper!A:B,2,FALSE),"Not Specified")</f>
        <v>Shipper GVSUA</v>
      </c>
      <c r="O845" t="str">
        <f>IFERROR(VLOOKUP(A845,'Sales Order'!A:I,9,FALSE),"Not Specified")</f>
        <v>Ship to 66-B</v>
      </c>
      <c r="P845" t="str">
        <f>IFERROR(VLOOKUP(A845,'Sales Order'!A:N,14,FALSE),"Not Specified")</f>
        <v>Italy</v>
      </c>
      <c r="Q845" t="str">
        <f>VLOOKUP(VLOOKUP(B845,Product!A:C,3,FALSE),Supplier!A:B,2,FALSE)</f>
        <v>Supplier OGLRK</v>
      </c>
      <c r="R845" t="str">
        <f>VLOOKUP(VLOOKUP(B845,Product!A:C,3,FALSE),Supplier!A:I,9,FALSE)</f>
        <v>Canada</v>
      </c>
      <c r="S845" t="str">
        <f>IFERROR(IF(VLOOKUP(A845,'Sales Order'!A:H,8,FALSE)&gt;100,"High Freight","Low Freight"),"Not Specified")</f>
        <v>Low Freight</v>
      </c>
      <c r="T845">
        <f t="shared" si="27"/>
        <v>443.7</v>
      </c>
    </row>
    <row r="846" spans="1:20">
      <c r="A846" s="9">
        <v>10563</v>
      </c>
      <c r="B846" s="6">
        <v>36</v>
      </c>
      <c r="C846" s="6">
        <v>19</v>
      </c>
      <c r="D846" s="6">
        <v>25</v>
      </c>
      <c r="E846" s="18">
        <v>0</v>
      </c>
      <c r="F846" s="6" t="str">
        <f>IFERROR(VLOOKUP(VLOOKUP(A846,'Sales Order'!A:B,2,FALSE),Customer!A:C,3,FALSE),"Not Specified")</f>
        <v>Garden, Euan</v>
      </c>
      <c r="G846" s="6" t="str">
        <f t="shared" si="26"/>
        <v>Garden Euan</v>
      </c>
      <c r="H846" s="22" t="str">
        <f>IFERROR(VLOOKUP(VLOOKUP(A846,'Sales Order'!A:C,3,FALSE),Employee!A:E,5,FALSE)&amp;" "&amp;VLOOKUP(VLOOKUP(A846,'Sales Order'!A:C,3,FALSE),Employee!A:C,3,FALSE)&amp;" "&amp;VLOOKUP(VLOOKUP(A846,'Sales Order'!A:C,3,FALSE),Employee!A:B,2,FALSE),"Not Specified")</f>
        <v>Dr. Don Funk</v>
      </c>
      <c r="I846" t="str">
        <f>IFERROR(VLOOKUP(VLOOKUP(A846,'Sales Order'!A:C,3,FALSE),Employee!A:J,10,FALSE),"Not Specified")</f>
        <v>WA</v>
      </c>
      <c r="J846" t="str">
        <f>VLOOKUP(B846,Product!A:B,2,FALSE)</f>
        <v>Product GMKIJ</v>
      </c>
      <c r="K846" t="str">
        <f>VLOOKUP(VLOOKUP(B846,Product!A:D,4,FALSE),Category!A:B,2,FALSE)</f>
        <v>Seafood</v>
      </c>
      <c r="L846" s="24">
        <f>IFERROR(VLOOKUP(A846,'Sales Order'!A:D,4,FALSE),"")</f>
        <v>39243</v>
      </c>
      <c r="M846" s="24">
        <f>IFERROR(VLOOKUP(A846,'Sales Order'!A:F,6,FALSE),"")</f>
        <v>39257</v>
      </c>
      <c r="N846" t="str">
        <f>IFERROR(VLOOKUP(VLOOKUP(A846,'Sales Order'!A:G,7,FALSE),Shipper!A:B,2,FALSE),"Not Specified")</f>
        <v>Shipper ETYNR</v>
      </c>
      <c r="O846" t="str">
        <f>IFERROR(VLOOKUP(A846,'Sales Order'!A:I,9,FALSE),"Not Specified")</f>
        <v>Ship to 67-B</v>
      </c>
      <c r="P846" t="str">
        <f>IFERROR(VLOOKUP(A846,'Sales Order'!A:N,14,FALSE),"Not Specified")</f>
        <v>Brazil</v>
      </c>
      <c r="Q846" t="str">
        <f>VLOOKUP(VLOOKUP(B846,Product!A:C,3,FALSE),Supplier!A:B,2,FALSE)</f>
        <v>Supplier QZGUF</v>
      </c>
      <c r="R846" t="str">
        <f>VLOOKUP(VLOOKUP(B846,Product!A:C,3,FALSE),Supplier!A:I,9,FALSE)</f>
        <v>Sweden</v>
      </c>
      <c r="S846" t="str">
        <f>IFERROR(IF(VLOOKUP(A846,'Sales Order'!A:H,8,FALSE)&gt;100,"High Freight","Low Freight"),"Not Specified")</f>
        <v>Low Freight</v>
      </c>
      <c r="T846">
        <f t="shared" si="27"/>
        <v>475</v>
      </c>
    </row>
    <row r="847" spans="1:20">
      <c r="A847" s="9">
        <v>10563</v>
      </c>
      <c r="B847" s="6">
        <v>52</v>
      </c>
      <c r="C847" s="6">
        <v>7</v>
      </c>
      <c r="D847" s="6">
        <v>70</v>
      </c>
      <c r="E847" s="18">
        <v>0</v>
      </c>
      <c r="F847" s="6" t="str">
        <f>IFERROR(VLOOKUP(VLOOKUP(A847,'Sales Order'!A:B,2,FALSE),Customer!A:C,3,FALSE),"Not Specified")</f>
        <v>Garden, Euan</v>
      </c>
      <c r="G847" s="6" t="str">
        <f t="shared" si="26"/>
        <v>Garden Euan</v>
      </c>
      <c r="H847" s="22" t="str">
        <f>IFERROR(VLOOKUP(VLOOKUP(A847,'Sales Order'!A:C,3,FALSE),Employee!A:E,5,FALSE)&amp;" "&amp;VLOOKUP(VLOOKUP(A847,'Sales Order'!A:C,3,FALSE),Employee!A:C,3,FALSE)&amp;" "&amp;VLOOKUP(VLOOKUP(A847,'Sales Order'!A:C,3,FALSE),Employee!A:B,2,FALSE),"Not Specified")</f>
        <v>Dr. Don Funk</v>
      </c>
      <c r="I847" t="str">
        <f>IFERROR(VLOOKUP(VLOOKUP(A847,'Sales Order'!A:C,3,FALSE),Employee!A:J,10,FALSE),"Not Specified")</f>
        <v>WA</v>
      </c>
      <c r="J847" t="str">
        <f>VLOOKUP(B847,Product!A:B,2,FALSE)</f>
        <v>Product QSRXF</v>
      </c>
      <c r="K847" t="str">
        <f>VLOOKUP(VLOOKUP(B847,Product!A:D,4,FALSE),Category!A:B,2,FALSE)</f>
        <v>Grains/Cereals</v>
      </c>
      <c r="L847" s="24">
        <f>IFERROR(VLOOKUP(A847,'Sales Order'!A:D,4,FALSE),"")</f>
        <v>39243</v>
      </c>
      <c r="M847" s="24">
        <f>IFERROR(VLOOKUP(A847,'Sales Order'!A:F,6,FALSE),"")</f>
        <v>39257</v>
      </c>
      <c r="N847" t="str">
        <f>IFERROR(VLOOKUP(VLOOKUP(A847,'Sales Order'!A:G,7,FALSE),Shipper!A:B,2,FALSE),"Not Specified")</f>
        <v>Shipper ETYNR</v>
      </c>
      <c r="O847" t="str">
        <f>IFERROR(VLOOKUP(A847,'Sales Order'!A:I,9,FALSE),"Not Specified")</f>
        <v>Ship to 67-B</v>
      </c>
      <c r="P847" t="str">
        <f>IFERROR(VLOOKUP(A847,'Sales Order'!A:N,14,FALSE),"Not Specified")</f>
        <v>Brazil</v>
      </c>
      <c r="Q847" t="str">
        <f>VLOOKUP(VLOOKUP(B847,Product!A:C,3,FALSE),Supplier!A:B,2,FALSE)</f>
        <v>Supplier JNNES</v>
      </c>
      <c r="R847" t="str">
        <f>VLOOKUP(VLOOKUP(B847,Product!A:C,3,FALSE),Supplier!A:I,9,FALSE)</f>
        <v>Australia</v>
      </c>
      <c r="S847" t="str">
        <f>IFERROR(IF(VLOOKUP(A847,'Sales Order'!A:H,8,FALSE)&gt;100,"High Freight","Low Freight"),"Not Specified")</f>
        <v>Low Freight</v>
      </c>
      <c r="T847">
        <f t="shared" si="27"/>
        <v>490</v>
      </c>
    </row>
    <row r="848" spans="1:20">
      <c r="A848" s="9">
        <v>10564</v>
      </c>
      <c r="B848" s="6">
        <v>17</v>
      </c>
      <c r="C848" s="6">
        <v>39</v>
      </c>
      <c r="D848" s="6">
        <v>16</v>
      </c>
      <c r="E848" s="18">
        <v>0.05</v>
      </c>
      <c r="F848" s="6" t="str">
        <f>IFERROR(VLOOKUP(VLOOKUP(A848,'Sales Order'!A:B,2,FALSE),Customer!A:C,3,FALSE),"Not Specified")</f>
        <v>Moore, Michael</v>
      </c>
      <c r="G848" s="6" t="str">
        <f t="shared" si="26"/>
        <v>Moore Michael</v>
      </c>
      <c r="H848" s="22" t="str">
        <f>IFERROR(VLOOKUP(VLOOKUP(A848,'Sales Order'!A:C,3,FALSE),Employee!A:E,5,FALSE)&amp;" "&amp;VLOOKUP(VLOOKUP(A848,'Sales Order'!A:C,3,FALSE),Employee!A:C,3,FALSE)&amp;" "&amp;VLOOKUP(VLOOKUP(A848,'Sales Order'!A:C,3,FALSE),Employee!A:B,2,FALSE),"Not Specified")</f>
        <v>Mrs. Yael Peled</v>
      </c>
      <c r="I848" t="str">
        <f>IFERROR(VLOOKUP(VLOOKUP(A848,'Sales Order'!A:C,3,FALSE),Employee!A:J,10,FALSE),"Not Specified")</f>
        <v>WA</v>
      </c>
      <c r="J848" t="str">
        <f>VLOOKUP(B848,Product!A:B,2,FALSE)</f>
        <v>Product BLCAX</v>
      </c>
      <c r="K848" t="str">
        <f>VLOOKUP(VLOOKUP(B848,Product!A:D,4,FALSE),Category!A:B,2,FALSE)</f>
        <v>Meat/Poultry</v>
      </c>
      <c r="L848" s="24">
        <f>IFERROR(VLOOKUP(A848,'Sales Order'!A:D,4,FALSE),"")</f>
        <v>39243</v>
      </c>
      <c r="M848" s="24">
        <f>IFERROR(VLOOKUP(A848,'Sales Order'!A:F,6,FALSE),"")</f>
        <v>39249</v>
      </c>
      <c r="N848" t="str">
        <f>IFERROR(VLOOKUP(VLOOKUP(A848,'Sales Order'!A:G,7,FALSE),Shipper!A:B,2,FALSE),"Not Specified")</f>
        <v>Shipper ZHISN</v>
      </c>
      <c r="O848" t="str">
        <f>IFERROR(VLOOKUP(A848,'Sales Order'!A:I,9,FALSE),"Not Specified")</f>
        <v>Ship to 65-B</v>
      </c>
      <c r="P848" t="str">
        <f>IFERROR(VLOOKUP(A848,'Sales Order'!A:N,14,FALSE),"Not Specified")</f>
        <v>USA</v>
      </c>
      <c r="Q848" t="str">
        <f>VLOOKUP(VLOOKUP(B848,Product!A:C,3,FALSE),Supplier!A:B,2,FALSE)</f>
        <v>Supplier GQRCV</v>
      </c>
      <c r="R848" t="str">
        <f>VLOOKUP(VLOOKUP(B848,Product!A:C,3,FALSE),Supplier!A:I,9,FALSE)</f>
        <v>Australia</v>
      </c>
      <c r="S848" t="str">
        <f>IFERROR(IF(VLOOKUP(A848,'Sales Order'!A:H,8,FALSE)&gt;100,"High Freight","Low Freight"),"Not Specified")</f>
        <v>Low Freight</v>
      </c>
      <c r="T848">
        <f t="shared" si="27"/>
        <v>592.79999999999995</v>
      </c>
    </row>
    <row r="849" spans="1:20">
      <c r="A849" s="9">
        <v>10564</v>
      </c>
      <c r="B849" s="6">
        <v>31</v>
      </c>
      <c r="C849" s="6">
        <v>12.5</v>
      </c>
      <c r="D849" s="6">
        <v>6</v>
      </c>
      <c r="E849" s="18">
        <v>0.05</v>
      </c>
      <c r="F849" s="6" t="str">
        <f>IFERROR(VLOOKUP(VLOOKUP(A849,'Sales Order'!A:B,2,FALSE),Customer!A:C,3,FALSE),"Not Specified")</f>
        <v>Moore, Michael</v>
      </c>
      <c r="G849" s="6" t="str">
        <f t="shared" si="26"/>
        <v>Moore Michael</v>
      </c>
      <c r="H849" s="22" t="str">
        <f>IFERROR(VLOOKUP(VLOOKUP(A849,'Sales Order'!A:C,3,FALSE),Employee!A:E,5,FALSE)&amp;" "&amp;VLOOKUP(VLOOKUP(A849,'Sales Order'!A:C,3,FALSE),Employee!A:C,3,FALSE)&amp;" "&amp;VLOOKUP(VLOOKUP(A849,'Sales Order'!A:C,3,FALSE),Employee!A:B,2,FALSE),"Not Specified")</f>
        <v>Mrs. Yael Peled</v>
      </c>
      <c r="I849" t="str">
        <f>IFERROR(VLOOKUP(VLOOKUP(A849,'Sales Order'!A:C,3,FALSE),Employee!A:J,10,FALSE),"Not Specified")</f>
        <v>WA</v>
      </c>
      <c r="J849" t="str">
        <f>VLOOKUP(B849,Product!A:B,2,FALSE)</f>
        <v>Product XWOXC</v>
      </c>
      <c r="K849" t="str">
        <f>VLOOKUP(VLOOKUP(B849,Product!A:D,4,FALSE),Category!A:B,2,FALSE)</f>
        <v>Dairy Product</v>
      </c>
      <c r="L849" s="24">
        <f>IFERROR(VLOOKUP(A849,'Sales Order'!A:D,4,FALSE),"")</f>
        <v>39243</v>
      </c>
      <c r="M849" s="24">
        <f>IFERROR(VLOOKUP(A849,'Sales Order'!A:F,6,FALSE),"")</f>
        <v>39249</v>
      </c>
      <c r="N849" t="str">
        <f>IFERROR(VLOOKUP(VLOOKUP(A849,'Sales Order'!A:G,7,FALSE),Shipper!A:B,2,FALSE),"Not Specified")</f>
        <v>Shipper ZHISN</v>
      </c>
      <c r="O849" t="str">
        <f>IFERROR(VLOOKUP(A849,'Sales Order'!A:I,9,FALSE),"Not Specified")</f>
        <v>Ship to 65-B</v>
      </c>
      <c r="P849" t="str">
        <f>IFERROR(VLOOKUP(A849,'Sales Order'!A:N,14,FALSE),"Not Specified")</f>
        <v>USA</v>
      </c>
      <c r="Q849" t="str">
        <f>VLOOKUP(VLOOKUP(B849,Product!A:C,3,FALSE),Supplier!A:B,2,FALSE)</f>
        <v>Supplier KEREV</v>
      </c>
      <c r="R849" t="str">
        <f>VLOOKUP(VLOOKUP(B849,Product!A:C,3,FALSE),Supplier!A:I,9,FALSE)</f>
        <v>Italy</v>
      </c>
      <c r="S849" t="str">
        <f>IFERROR(IF(VLOOKUP(A849,'Sales Order'!A:H,8,FALSE)&gt;100,"High Freight","Low Freight"),"Not Specified")</f>
        <v>Low Freight</v>
      </c>
      <c r="T849">
        <f t="shared" si="27"/>
        <v>71.25</v>
      </c>
    </row>
    <row r="850" spans="1:20">
      <c r="A850" s="9">
        <v>10564</v>
      </c>
      <c r="B850" s="6">
        <v>55</v>
      </c>
      <c r="C850" s="6">
        <v>24</v>
      </c>
      <c r="D850" s="6">
        <v>25</v>
      </c>
      <c r="E850" s="18">
        <v>0.05</v>
      </c>
      <c r="F850" s="6" t="str">
        <f>IFERROR(VLOOKUP(VLOOKUP(A850,'Sales Order'!A:B,2,FALSE),Customer!A:C,3,FALSE),"Not Specified")</f>
        <v>Moore, Michael</v>
      </c>
      <c r="G850" s="6" t="str">
        <f t="shared" si="26"/>
        <v>Moore Michael</v>
      </c>
      <c r="H850" s="22" t="str">
        <f>IFERROR(VLOOKUP(VLOOKUP(A850,'Sales Order'!A:C,3,FALSE),Employee!A:E,5,FALSE)&amp;" "&amp;VLOOKUP(VLOOKUP(A850,'Sales Order'!A:C,3,FALSE),Employee!A:C,3,FALSE)&amp;" "&amp;VLOOKUP(VLOOKUP(A850,'Sales Order'!A:C,3,FALSE),Employee!A:B,2,FALSE),"Not Specified")</f>
        <v>Mrs. Yael Peled</v>
      </c>
      <c r="I850" t="str">
        <f>IFERROR(VLOOKUP(VLOOKUP(A850,'Sales Order'!A:C,3,FALSE),Employee!A:J,10,FALSE),"Not Specified")</f>
        <v>WA</v>
      </c>
      <c r="J850" t="str">
        <f>VLOOKUP(B850,Product!A:B,2,FALSE)</f>
        <v>Product YYWRT</v>
      </c>
      <c r="K850" t="str">
        <f>VLOOKUP(VLOOKUP(B850,Product!A:D,4,FALSE),Category!A:B,2,FALSE)</f>
        <v>Meat/Poultry</v>
      </c>
      <c r="L850" s="24">
        <f>IFERROR(VLOOKUP(A850,'Sales Order'!A:D,4,FALSE),"")</f>
        <v>39243</v>
      </c>
      <c r="M850" s="24">
        <f>IFERROR(VLOOKUP(A850,'Sales Order'!A:F,6,FALSE),"")</f>
        <v>39249</v>
      </c>
      <c r="N850" t="str">
        <f>IFERROR(VLOOKUP(VLOOKUP(A850,'Sales Order'!A:G,7,FALSE),Shipper!A:B,2,FALSE),"Not Specified")</f>
        <v>Shipper ZHISN</v>
      </c>
      <c r="O850" t="str">
        <f>IFERROR(VLOOKUP(A850,'Sales Order'!A:I,9,FALSE),"Not Specified")</f>
        <v>Ship to 65-B</v>
      </c>
      <c r="P850" t="str">
        <f>IFERROR(VLOOKUP(A850,'Sales Order'!A:N,14,FALSE),"Not Specified")</f>
        <v>USA</v>
      </c>
      <c r="Q850" t="str">
        <f>VLOOKUP(VLOOKUP(B850,Product!A:C,3,FALSE),Supplier!A:B,2,FALSE)</f>
        <v>Supplier ERVYZ</v>
      </c>
      <c r="R850" t="str">
        <f>VLOOKUP(VLOOKUP(B850,Product!A:C,3,FALSE),Supplier!A:I,9,FALSE)</f>
        <v>Canada</v>
      </c>
      <c r="S850" t="str">
        <f>IFERROR(IF(VLOOKUP(A850,'Sales Order'!A:H,8,FALSE)&gt;100,"High Freight","Low Freight"),"Not Specified")</f>
        <v>Low Freight</v>
      </c>
      <c r="T850">
        <f t="shared" si="27"/>
        <v>570</v>
      </c>
    </row>
    <row r="851" spans="1:20">
      <c r="A851" s="9">
        <v>10565</v>
      </c>
      <c r="B851" s="6">
        <v>24</v>
      </c>
      <c r="C851" s="6">
        <v>4.5</v>
      </c>
      <c r="D851" s="6">
        <v>25</v>
      </c>
      <c r="E851" s="18">
        <v>0.1</v>
      </c>
      <c r="F851" s="6" t="str">
        <f>IFERROR(VLOOKUP(VLOOKUP(A851,'Sales Order'!A:B,2,FALSE),Customer!A:C,3,FALSE),"Not Specified")</f>
        <v>Taylor, Maurice</v>
      </c>
      <c r="G851" s="6" t="str">
        <f t="shared" si="26"/>
        <v>Taylor Maurice</v>
      </c>
      <c r="H851" s="22" t="str">
        <f>IFERROR(VLOOKUP(VLOOKUP(A851,'Sales Order'!A:C,3,FALSE),Employee!A:E,5,FALSE)&amp;" "&amp;VLOOKUP(VLOOKUP(A851,'Sales Order'!A:C,3,FALSE),Employee!A:C,3,FALSE)&amp;" "&amp;VLOOKUP(VLOOKUP(A851,'Sales Order'!A:C,3,FALSE),Employee!A:B,2,FALSE),"Not Specified")</f>
        <v>Ms. Maria Cameron</v>
      </c>
      <c r="I851" t="str">
        <f>IFERROR(VLOOKUP(VLOOKUP(A851,'Sales Order'!A:C,3,FALSE),Employee!A:J,10,FALSE),"Not Specified")</f>
        <v>WA</v>
      </c>
      <c r="J851" t="str">
        <f>VLOOKUP(B851,Product!A:B,2,FALSE)</f>
        <v>Product QOGNU</v>
      </c>
      <c r="K851" t="str">
        <f>VLOOKUP(VLOOKUP(B851,Product!A:D,4,FALSE),Category!A:B,2,FALSE)</f>
        <v>Beverages</v>
      </c>
      <c r="L851" s="24">
        <f>IFERROR(VLOOKUP(A851,'Sales Order'!A:D,4,FALSE),"")</f>
        <v>39244</v>
      </c>
      <c r="M851" s="24">
        <f>IFERROR(VLOOKUP(A851,'Sales Order'!A:F,6,FALSE),"")</f>
        <v>39251</v>
      </c>
      <c r="N851" t="str">
        <f>IFERROR(VLOOKUP(VLOOKUP(A851,'Sales Order'!A:G,7,FALSE),Shipper!A:B,2,FALSE),"Not Specified")</f>
        <v>Shipper ETYNR</v>
      </c>
      <c r="O851" t="str">
        <f>IFERROR(VLOOKUP(A851,'Sales Order'!A:I,9,FALSE),"Not Specified")</f>
        <v>Ship to 51-C</v>
      </c>
      <c r="P851" t="str">
        <f>IFERROR(VLOOKUP(A851,'Sales Order'!A:N,14,FALSE),"Not Specified")</f>
        <v>Canada</v>
      </c>
      <c r="Q851" t="str">
        <f>VLOOKUP(VLOOKUP(B851,Product!A:C,3,FALSE),Supplier!A:B,2,FALSE)</f>
        <v>Supplier UNAHG</v>
      </c>
      <c r="R851" t="str">
        <f>VLOOKUP(VLOOKUP(B851,Product!A:C,3,FALSE),Supplier!A:I,9,FALSE)</f>
        <v>Brazil</v>
      </c>
      <c r="S851" t="str">
        <f>IFERROR(IF(VLOOKUP(A851,'Sales Order'!A:H,8,FALSE)&gt;100,"High Freight","Low Freight"),"Not Specified")</f>
        <v>Low Freight</v>
      </c>
      <c r="T851">
        <f t="shared" si="27"/>
        <v>101.25</v>
      </c>
    </row>
    <row r="852" spans="1:20">
      <c r="A852" s="9">
        <v>10565</v>
      </c>
      <c r="B852" s="6">
        <v>64</v>
      </c>
      <c r="C852" s="6">
        <v>33.25</v>
      </c>
      <c r="D852" s="6">
        <v>18</v>
      </c>
      <c r="E852" s="18">
        <v>0.1</v>
      </c>
      <c r="F852" s="6" t="str">
        <f>IFERROR(VLOOKUP(VLOOKUP(A852,'Sales Order'!A:B,2,FALSE),Customer!A:C,3,FALSE),"Not Specified")</f>
        <v>Taylor, Maurice</v>
      </c>
      <c r="G852" s="6" t="str">
        <f t="shared" si="26"/>
        <v>Taylor Maurice</v>
      </c>
      <c r="H852" s="22" t="str">
        <f>IFERROR(VLOOKUP(VLOOKUP(A852,'Sales Order'!A:C,3,FALSE),Employee!A:E,5,FALSE)&amp;" "&amp;VLOOKUP(VLOOKUP(A852,'Sales Order'!A:C,3,FALSE),Employee!A:C,3,FALSE)&amp;" "&amp;VLOOKUP(VLOOKUP(A852,'Sales Order'!A:C,3,FALSE),Employee!A:B,2,FALSE),"Not Specified")</f>
        <v>Ms. Maria Cameron</v>
      </c>
      <c r="I852" t="str">
        <f>IFERROR(VLOOKUP(VLOOKUP(A852,'Sales Order'!A:C,3,FALSE),Employee!A:J,10,FALSE),"Not Specified")</f>
        <v>WA</v>
      </c>
      <c r="J852" t="str">
        <f>VLOOKUP(B852,Product!A:B,2,FALSE)</f>
        <v>Product HCQDE</v>
      </c>
      <c r="K852" t="str">
        <f>VLOOKUP(VLOOKUP(B852,Product!A:D,4,FALSE),Category!A:B,2,FALSE)</f>
        <v>Grains/Cereals</v>
      </c>
      <c r="L852" s="24">
        <f>IFERROR(VLOOKUP(A852,'Sales Order'!A:D,4,FALSE),"")</f>
        <v>39244</v>
      </c>
      <c r="M852" s="24">
        <f>IFERROR(VLOOKUP(A852,'Sales Order'!A:F,6,FALSE),"")</f>
        <v>39251</v>
      </c>
      <c r="N852" t="str">
        <f>IFERROR(VLOOKUP(VLOOKUP(A852,'Sales Order'!A:G,7,FALSE),Shipper!A:B,2,FALSE),"Not Specified")</f>
        <v>Shipper ETYNR</v>
      </c>
      <c r="O852" t="str">
        <f>IFERROR(VLOOKUP(A852,'Sales Order'!A:I,9,FALSE),"Not Specified")</f>
        <v>Ship to 51-C</v>
      </c>
      <c r="P852" t="str">
        <f>IFERROR(VLOOKUP(A852,'Sales Order'!A:N,14,FALSE),"Not Specified")</f>
        <v>Canada</v>
      </c>
      <c r="Q852" t="str">
        <f>VLOOKUP(VLOOKUP(B852,Product!A:C,3,FALSE),Supplier!A:B,2,FALSE)</f>
        <v>Supplier SVIYA</v>
      </c>
      <c r="R852" t="str">
        <f>VLOOKUP(VLOOKUP(B852,Product!A:C,3,FALSE),Supplier!A:I,9,FALSE)</f>
        <v>Germany</v>
      </c>
      <c r="S852" t="str">
        <f>IFERROR(IF(VLOOKUP(A852,'Sales Order'!A:H,8,FALSE)&gt;100,"High Freight","Low Freight"),"Not Specified")</f>
        <v>Low Freight</v>
      </c>
      <c r="T852">
        <f t="shared" si="27"/>
        <v>538.65</v>
      </c>
    </row>
    <row r="853" spans="1:20">
      <c r="A853" s="9">
        <v>10566</v>
      </c>
      <c r="B853" s="6">
        <v>11</v>
      </c>
      <c r="C853" s="6">
        <v>21</v>
      </c>
      <c r="D853" s="6">
        <v>35</v>
      </c>
      <c r="E853" s="18">
        <v>0.15</v>
      </c>
      <c r="F853" s="6" t="str">
        <f>IFERROR(VLOOKUP(VLOOKUP(A853,'Sales Order'!A:B,2,FALSE),Customer!A:C,3,FALSE),"Not Specified")</f>
        <v>Bansal, Dushyant</v>
      </c>
      <c r="G853" s="6" t="str">
        <f t="shared" si="26"/>
        <v>Bansal Dushyant</v>
      </c>
      <c r="H853" s="22" t="str">
        <f>IFERROR(VLOOKUP(VLOOKUP(A853,'Sales Order'!A:C,3,FALSE),Employee!A:E,5,FALSE)&amp;" "&amp;VLOOKUP(VLOOKUP(A853,'Sales Order'!A:C,3,FALSE),Employee!A:C,3,FALSE)&amp;" "&amp;VLOOKUP(VLOOKUP(A853,'Sales Order'!A:C,3,FALSE),Employee!A:B,2,FALSE),"Not Specified")</f>
        <v>Ms. Zoya Dolgopyatova</v>
      </c>
      <c r="I853">
        <f>IFERROR(VLOOKUP(VLOOKUP(A853,'Sales Order'!A:C,3,FALSE),Employee!A:J,10,FALSE),"Not Specified")</f>
        <v>0</v>
      </c>
      <c r="J853" t="str">
        <f>VLOOKUP(B853,Product!A:B,2,FALSE)</f>
        <v>Product QMVUN</v>
      </c>
      <c r="K853" t="str">
        <f>VLOOKUP(VLOOKUP(B853,Product!A:D,4,FALSE),Category!A:B,2,FALSE)</f>
        <v>Dairy Product</v>
      </c>
      <c r="L853" s="24">
        <f>IFERROR(VLOOKUP(A853,'Sales Order'!A:D,4,FALSE),"")</f>
        <v>39245</v>
      </c>
      <c r="M853" s="24">
        <f>IFERROR(VLOOKUP(A853,'Sales Order'!A:F,6,FALSE),"")</f>
        <v>39251</v>
      </c>
      <c r="N853" t="str">
        <f>IFERROR(VLOOKUP(VLOOKUP(A853,'Sales Order'!A:G,7,FALSE),Shipper!A:B,2,FALSE),"Not Specified")</f>
        <v>Shipper GVSUA</v>
      </c>
      <c r="O853" t="str">
        <f>IFERROR(VLOOKUP(A853,'Sales Order'!A:I,9,FALSE),"Not Specified")</f>
        <v>Ship to 7-C</v>
      </c>
      <c r="P853" t="str">
        <f>IFERROR(VLOOKUP(A853,'Sales Order'!A:N,14,FALSE),"Not Specified")</f>
        <v>France</v>
      </c>
      <c r="Q853" t="str">
        <f>VLOOKUP(VLOOKUP(B853,Product!A:C,3,FALSE),Supplier!A:B,2,FALSE)</f>
        <v>Supplier EQPNC</v>
      </c>
      <c r="R853" t="str">
        <f>VLOOKUP(VLOOKUP(B853,Product!A:C,3,FALSE),Supplier!A:I,9,FALSE)</f>
        <v>Spain</v>
      </c>
      <c r="S853" t="str">
        <f>IFERROR(IF(VLOOKUP(A853,'Sales Order'!A:H,8,FALSE)&gt;100,"High Freight","Low Freight"),"Not Specified")</f>
        <v>Low Freight</v>
      </c>
      <c r="T853">
        <f t="shared" si="27"/>
        <v>624.75</v>
      </c>
    </row>
    <row r="854" spans="1:20">
      <c r="A854" s="9">
        <v>10566</v>
      </c>
      <c r="B854" s="6">
        <v>18</v>
      </c>
      <c r="C854" s="6">
        <v>62.5</v>
      </c>
      <c r="D854" s="6">
        <v>18</v>
      </c>
      <c r="E854" s="18">
        <v>0.15</v>
      </c>
      <c r="F854" s="6" t="str">
        <f>IFERROR(VLOOKUP(VLOOKUP(A854,'Sales Order'!A:B,2,FALSE),Customer!A:C,3,FALSE),"Not Specified")</f>
        <v>Bansal, Dushyant</v>
      </c>
      <c r="G854" s="6" t="str">
        <f t="shared" si="26"/>
        <v>Bansal Dushyant</v>
      </c>
      <c r="H854" s="22" t="str">
        <f>IFERROR(VLOOKUP(VLOOKUP(A854,'Sales Order'!A:C,3,FALSE),Employee!A:E,5,FALSE)&amp;" "&amp;VLOOKUP(VLOOKUP(A854,'Sales Order'!A:C,3,FALSE),Employee!A:C,3,FALSE)&amp;" "&amp;VLOOKUP(VLOOKUP(A854,'Sales Order'!A:C,3,FALSE),Employee!A:B,2,FALSE),"Not Specified")</f>
        <v>Ms. Zoya Dolgopyatova</v>
      </c>
      <c r="I854">
        <f>IFERROR(VLOOKUP(VLOOKUP(A854,'Sales Order'!A:C,3,FALSE),Employee!A:J,10,FALSE),"Not Specified")</f>
        <v>0</v>
      </c>
      <c r="J854" t="str">
        <f>VLOOKUP(B854,Product!A:B,2,FALSE)</f>
        <v>Product CKEDC</v>
      </c>
      <c r="K854" t="str">
        <f>VLOOKUP(VLOOKUP(B854,Product!A:D,4,FALSE),Category!A:B,2,FALSE)</f>
        <v>Seafood</v>
      </c>
      <c r="L854" s="24">
        <f>IFERROR(VLOOKUP(A854,'Sales Order'!A:D,4,FALSE),"")</f>
        <v>39245</v>
      </c>
      <c r="M854" s="24">
        <f>IFERROR(VLOOKUP(A854,'Sales Order'!A:F,6,FALSE),"")</f>
        <v>39251</v>
      </c>
      <c r="N854" t="str">
        <f>IFERROR(VLOOKUP(VLOOKUP(A854,'Sales Order'!A:G,7,FALSE),Shipper!A:B,2,FALSE),"Not Specified")</f>
        <v>Shipper GVSUA</v>
      </c>
      <c r="O854" t="str">
        <f>IFERROR(VLOOKUP(A854,'Sales Order'!A:I,9,FALSE),"Not Specified")</f>
        <v>Ship to 7-C</v>
      </c>
      <c r="P854" t="str">
        <f>IFERROR(VLOOKUP(A854,'Sales Order'!A:N,14,FALSE),"Not Specified")</f>
        <v>France</v>
      </c>
      <c r="Q854" t="str">
        <f>VLOOKUP(VLOOKUP(B854,Product!A:C,3,FALSE),Supplier!A:B,2,FALSE)</f>
        <v>Supplier GQRCV</v>
      </c>
      <c r="R854" t="str">
        <f>VLOOKUP(VLOOKUP(B854,Product!A:C,3,FALSE),Supplier!A:I,9,FALSE)</f>
        <v>Australia</v>
      </c>
      <c r="S854" t="str">
        <f>IFERROR(IF(VLOOKUP(A854,'Sales Order'!A:H,8,FALSE)&gt;100,"High Freight","Low Freight"),"Not Specified")</f>
        <v>Low Freight</v>
      </c>
      <c r="T854">
        <f t="shared" si="27"/>
        <v>956.25</v>
      </c>
    </row>
    <row r="855" spans="1:20">
      <c r="A855" s="9">
        <v>10566</v>
      </c>
      <c r="B855" s="6">
        <v>76</v>
      </c>
      <c r="C855" s="6">
        <v>18</v>
      </c>
      <c r="D855" s="6">
        <v>10</v>
      </c>
      <c r="E855" s="18">
        <v>0</v>
      </c>
      <c r="F855" s="6" t="str">
        <f>IFERROR(VLOOKUP(VLOOKUP(A855,'Sales Order'!A:B,2,FALSE),Customer!A:C,3,FALSE),"Not Specified")</f>
        <v>Bansal, Dushyant</v>
      </c>
      <c r="G855" s="6" t="str">
        <f t="shared" si="26"/>
        <v>Bansal Dushyant</v>
      </c>
      <c r="H855" s="22" t="str">
        <f>IFERROR(VLOOKUP(VLOOKUP(A855,'Sales Order'!A:C,3,FALSE),Employee!A:E,5,FALSE)&amp;" "&amp;VLOOKUP(VLOOKUP(A855,'Sales Order'!A:C,3,FALSE),Employee!A:C,3,FALSE)&amp;" "&amp;VLOOKUP(VLOOKUP(A855,'Sales Order'!A:C,3,FALSE),Employee!A:B,2,FALSE),"Not Specified")</f>
        <v>Ms. Zoya Dolgopyatova</v>
      </c>
      <c r="I855">
        <f>IFERROR(VLOOKUP(VLOOKUP(A855,'Sales Order'!A:C,3,FALSE),Employee!A:J,10,FALSE),"Not Specified")</f>
        <v>0</v>
      </c>
      <c r="J855" t="str">
        <f>VLOOKUP(B855,Product!A:B,2,FALSE)</f>
        <v>Product JYGFE</v>
      </c>
      <c r="K855" t="str">
        <f>VLOOKUP(VLOOKUP(B855,Product!A:D,4,FALSE),Category!A:B,2,FALSE)</f>
        <v>Beverages</v>
      </c>
      <c r="L855" s="24">
        <f>IFERROR(VLOOKUP(A855,'Sales Order'!A:D,4,FALSE),"")</f>
        <v>39245</v>
      </c>
      <c r="M855" s="24">
        <f>IFERROR(VLOOKUP(A855,'Sales Order'!A:F,6,FALSE),"")</f>
        <v>39251</v>
      </c>
      <c r="N855" t="str">
        <f>IFERROR(VLOOKUP(VLOOKUP(A855,'Sales Order'!A:G,7,FALSE),Shipper!A:B,2,FALSE),"Not Specified")</f>
        <v>Shipper GVSUA</v>
      </c>
      <c r="O855" t="str">
        <f>IFERROR(VLOOKUP(A855,'Sales Order'!A:I,9,FALSE),"Not Specified")</f>
        <v>Ship to 7-C</v>
      </c>
      <c r="P855" t="str">
        <f>IFERROR(VLOOKUP(A855,'Sales Order'!A:N,14,FALSE),"Not Specified")</f>
        <v>France</v>
      </c>
      <c r="Q855" t="str">
        <f>VLOOKUP(VLOOKUP(B855,Product!A:C,3,FALSE),Supplier!A:B,2,FALSE)</f>
        <v>Supplier ELCRN</v>
      </c>
      <c r="R855" t="str">
        <f>VLOOKUP(VLOOKUP(B855,Product!A:C,3,FALSE),Supplier!A:I,9,FALSE)</f>
        <v>Finland</v>
      </c>
      <c r="S855" t="str">
        <f>IFERROR(IF(VLOOKUP(A855,'Sales Order'!A:H,8,FALSE)&gt;100,"High Freight","Low Freight"),"Not Specified")</f>
        <v>Low Freight</v>
      </c>
      <c r="T855">
        <f t="shared" si="27"/>
        <v>180</v>
      </c>
    </row>
    <row r="856" spans="1:20">
      <c r="A856" s="9">
        <v>10567</v>
      </c>
      <c r="B856" s="6">
        <v>31</v>
      </c>
      <c r="C856" s="6">
        <v>12.5</v>
      </c>
      <c r="D856" s="6">
        <v>60</v>
      </c>
      <c r="E856" s="18">
        <v>0.2</v>
      </c>
      <c r="F856" s="6" t="str">
        <f>IFERROR(VLOOKUP(VLOOKUP(A856,'Sales Order'!A:B,2,FALSE),Customer!A:C,3,FALSE),"Not Specified")</f>
        <v>Crăciun, Ovidiu V.</v>
      </c>
      <c r="G856" s="6" t="str">
        <f t="shared" si="26"/>
        <v>Crăciun Ovidiu V.</v>
      </c>
      <c r="H856" s="22" t="str">
        <f>IFERROR(VLOOKUP(VLOOKUP(A856,'Sales Order'!A:C,3,FALSE),Employee!A:E,5,FALSE)&amp;" "&amp;VLOOKUP(VLOOKUP(A856,'Sales Order'!A:C,3,FALSE),Employee!A:C,3,FALSE)&amp;" "&amp;VLOOKUP(VLOOKUP(A856,'Sales Order'!A:C,3,FALSE),Employee!A:B,2,FALSE),"Not Specified")</f>
        <v>Ms. Sara Davis</v>
      </c>
      <c r="I856" t="str">
        <f>IFERROR(VLOOKUP(VLOOKUP(A856,'Sales Order'!A:C,3,FALSE),Employee!A:J,10,FALSE),"Not Specified")</f>
        <v>WA</v>
      </c>
      <c r="J856" t="str">
        <f>VLOOKUP(B856,Product!A:B,2,FALSE)</f>
        <v>Product XWOXC</v>
      </c>
      <c r="K856" t="str">
        <f>VLOOKUP(VLOOKUP(B856,Product!A:D,4,FALSE),Category!A:B,2,FALSE)</f>
        <v>Dairy Product</v>
      </c>
      <c r="L856" s="24">
        <f>IFERROR(VLOOKUP(A856,'Sales Order'!A:D,4,FALSE),"")</f>
        <v>39245</v>
      </c>
      <c r="M856" s="24">
        <f>IFERROR(VLOOKUP(A856,'Sales Order'!A:F,6,FALSE),"")</f>
        <v>39250</v>
      </c>
      <c r="N856" t="str">
        <f>IFERROR(VLOOKUP(VLOOKUP(A856,'Sales Order'!A:G,7,FALSE),Shipper!A:B,2,FALSE),"Not Specified")</f>
        <v>Shipper GVSUA</v>
      </c>
      <c r="O856" t="str">
        <f>IFERROR(VLOOKUP(A856,'Sales Order'!A:I,9,FALSE),"Not Specified")</f>
        <v>Destination DGKOU</v>
      </c>
      <c r="P856" t="str">
        <f>IFERROR(VLOOKUP(A856,'Sales Order'!A:N,14,FALSE),"Not Specified")</f>
        <v>Ireland</v>
      </c>
      <c r="Q856" t="str">
        <f>VLOOKUP(VLOOKUP(B856,Product!A:C,3,FALSE),Supplier!A:B,2,FALSE)</f>
        <v>Supplier KEREV</v>
      </c>
      <c r="R856" t="str">
        <f>VLOOKUP(VLOOKUP(B856,Product!A:C,3,FALSE),Supplier!A:I,9,FALSE)</f>
        <v>Italy</v>
      </c>
      <c r="S856" t="str">
        <f>IFERROR(IF(VLOOKUP(A856,'Sales Order'!A:H,8,FALSE)&gt;100,"High Freight","Low Freight"),"Not Specified")</f>
        <v>Low Freight</v>
      </c>
      <c r="T856">
        <f t="shared" si="27"/>
        <v>600</v>
      </c>
    </row>
    <row r="857" spans="1:20">
      <c r="A857" s="9">
        <v>10567</v>
      </c>
      <c r="B857" s="6">
        <v>51</v>
      </c>
      <c r="C857" s="6">
        <v>53</v>
      </c>
      <c r="D857" s="6">
        <v>3</v>
      </c>
      <c r="E857" s="18">
        <v>0</v>
      </c>
      <c r="F857" s="6" t="str">
        <f>IFERROR(VLOOKUP(VLOOKUP(A857,'Sales Order'!A:B,2,FALSE),Customer!A:C,3,FALSE),"Not Specified")</f>
        <v>Crăciun, Ovidiu V.</v>
      </c>
      <c r="G857" s="6" t="str">
        <f t="shared" si="26"/>
        <v>Crăciun Ovidiu V.</v>
      </c>
      <c r="H857" s="22" t="str">
        <f>IFERROR(VLOOKUP(VLOOKUP(A857,'Sales Order'!A:C,3,FALSE),Employee!A:E,5,FALSE)&amp;" "&amp;VLOOKUP(VLOOKUP(A857,'Sales Order'!A:C,3,FALSE),Employee!A:C,3,FALSE)&amp;" "&amp;VLOOKUP(VLOOKUP(A857,'Sales Order'!A:C,3,FALSE),Employee!A:B,2,FALSE),"Not Specified")</f>
        <v>Ms. Sara Davis</v>
      </c>
      <c r="I857" t="str">
        <f>IFERROR(VLOOKUP(VLOOKUP(A857,'Sales Order'!A:C,3,FALSE),Employee!A:J,10,FALSE),"Not Specified")</f>
        <v>WA</v>
      </c>
      <c r="J857" t="str">
        <f>VLOOKUP(B857,Product!A:B,2,FALSE)</f>
        <v>Product APITJ</v>
      </c>
      <c r="K857" t="str">
        <f>VLOOKUP(VLOOKUP(B857,Product!A:D,4,FALSE),Category!A:B,2,FALSE)</f>
        <v>Produce</v>
      </c>
      <c r="L857" s="24">
        <f>IFERROR(VLOOKUP(A857,'Sales Order'!A:D,4,FALSE),"")</f>
        <v>39245</v>
      </c>
      <c r="M857" s="24">
        <f>IFERROR(VLOOKUP(A857,'Sales Order'!A:F,6,FALSE),"")</f>
        <v>39250</v>
      </c>
      <c r="N857" t="str">
        <f>IFERROR(VLOOKUP(VLOOKUP(A857,'Sales Order'!A:G,7,FALSE),Shipper!A:B,2,FALSE),"Not Specified")</f>
        <v>Shipper GVSUA</v>
      </c>
      <c r="O857" t="str">
        <f>IFERROR(VLOOKUP(A857,'Sales Order'!A:I,9,FALSE),"Not Specified")</f>
        <v>Destination DGKOU</v>
      </c>
      <c r="P857" t="str">
        <f>IFERROR(VLOOKUP(A857,'Sales Order'!A:N,14,FALSE),"Not Specified")</f>
        <v>Ireland</v>
      </c>
      <c r="Q857" t="str">
        <f>VLOOKUP(VLOOKUP(B857,Product!A:C,3,FALSE),Supplier!A:B,2,FALSE)</f>
        <v>Supplier JNNES</v>
      </c>
      <c r="R857" t="str">
        <f>VLOOKUP(VLOOKUP(B857,Product!A:C,3,FALSE),Supplier!A:I,9,FALSE)</f>
        <v>Australia</v>
      </c>
      <c r="S857" t="str">
        <f>IFERROR(IF(VLOOKUP(A857,'Sales Order'!A:H,8,FALSE)&gt;100,"High Freight","Low Freight"),"Not Specified")</f>
        <v>Low Freight</v>
      </c>
      <c r="T857">
        <f t="shared" si="27"/>
        <v>159</v>
      </c>
    </row>
    <row r="858" spans="1:20">
      <c r="A858" s="9">
        <v>10567</v>
      </c>
      <c r="B858" s="6">
        <v>59</v>
      </c>
      <c r="C858" s="6">
        <v>55</v>
      </c>
      <c r="D858" s="6">
        <v>40</v>
      </c>
      <c r="E858" s="18">
        <v>0.2</v>
      </c>
      <c r="F858" s="6" t="str">
        <f>IFERROR(VLOOKUP(VLOOKUP(A858,'Sales Order'!A:B,2,FALSE),Customer!A:C,3,FALSE),"Not Specified")</f>
        <v>Crăciun, Ovidiu V.</v>
      </c>
      <c r="G858" s="6" t="str">
        <f t="shared" si="26"/>
        <v>Crăciun Ovidiu V.</v>
      </c>
      <c r="H858" s="22" t="str">
        <f>IFERROR(VLOOKUP(VLOOKUP(A858,'Sales Order'!A:C,3,FALSE),Employee!A:E,5,FALSE)&amp;" "&amp;VLOOKUP(VLOOKUP(A858,'Sales Order'!A:C,3,FALSE),Employee!A:C,3,FALSE)&amp;" "&amp;VLOOKUP(VLOOKUP(A858,'Sales Order'!A:C,3,FALSE),Employee!A:B,2,FALSE),"Not Specified")</f>
        <v>Ms. Sara Davis</v>
      </c>
      <c r="I858" t="str">
        <f>IFERROR(VLOOKUP(VLOOKUP(A858,'Sales Order'!A:C,3,FALSE),Employee!A:J,10,FALSE),"Not Specified")</f>
        <v>WA</v>
      </c>
      <c r="J858" t="str">
        <f>VLOOKUP(B858,Product!A:B,2,FALSE)</f>
        <v>Product UKXRI</v>
      </c>
      <c r="K858" t="str">
        <f>VLOOKUP(VLOOKUP(B858,Product!A:D,4,FALSE),Category!A:B,2,FALSE)</f>
        <v>Dairy Product</v>
      </c>
      <c r="L858" s="24">
        <f>IFERROR(VLOOKUP(A858,'Sales Order'!A:D,4,FALSE),"")</f>
        <v>39245</v>
      </c>
      <c r="M858" s="24">
        <f>IFERROR(VLOOKUP(A858,'Sales Order'!A:F,6,FALSE),"")</f>
        <v>39250</v>
      </c>
      <c r="N858" t="str">
        <f>IFERROR(VLOOKUP(VLOOKUP(A858,'Sales Order'!A:G,7,FALSE),Shipper!A:B,2,FALSE),"Not Specified")</f>
        <v>Shipper GVSUA</v>
      </c>
      <c r="O858" t="str">
        <f>IFERROR(VLOOKUP(A858,'Sales Order'!A:I,9,FALSE),"Not Specified")</f>
        <v>Destination DGKOU</v>
      </c>
      <c r="P858" t="str">
        <f>IFERROR(VLOOKUP(A858,'Sales Order'!A:N,14,FALSE),"Not Specified")</f>
        <v>Ireland</v>
      </c>
      <c r="Q858" t="str">
        <f>VLOOKUP(VLOOKUP(B858,Product!A:C,3,FALSE),Supplier!A:B,2,FALSE)</f>
        <v>Supplier OAVQT</v>
      </c>
      <c r="R858" t="str">
        <f>VLOOKUP(VLOOKUP(B858,Product!A:C,3,FALSE),Supplier!A:I,9,FALSE)</f>
        <v>France</v>
      </c>
      <c r="S858" t="str">
        <f>IFERROR(IF(VLOOKUP(A858,'Sales Order'!A:H,8,FALSE)&gt;100,"High Freight","Low Freight"),"Not Specified")</f>
        <v>Low Freight</v>
      </c>
      <c r="T858">
        <f t="shared" si="27"/>
        <v>1760</v>
      </c>
    </row>
    <row r="859" spans="1:20">
      <c r="A859" s="9">
        <v>10568</v>
      </c>
      <c r="B859" s="6">
        <v>10</v>
      </c>
      <c r="C859" s="6">
        <v>31</v>
      </c>
      <c r="D859" s="6">
        <v>5</v>
      </c>
      <c r="E859" s="18">
        <v>0</v>
      </c>
      <c r="F859" s="6" t="str">
        <f>IFERROR(VLOOKUP(VLOOKUP(A859,'Sales Order'!A:B,2,FALSE),Customer!A:C,3,FALSE),"Not Specified")</f>
        <v>Kolesnikova, Katerina</v>
      </c>
      <c r="G859" s="6" t="str">
        <f t="shared" si="26"/>
        <v>Kolesnikova Katerina</v>
      </c>
      <c r="H859" s="22" t="str">
        <f>IFERROR(VLOOKUP(VLOOKUP(A859,'Sales Order'!A:C,3,FALSE),Employee!A:E,5,FALSE)&amp;" "&amp;VLOOKUP(VLOOKUP(A859,'Sales Order'!A:C,3,FALSE),Employee!A:C,3,FALSE)&amp;" "&amp;VLOOKUP(VLOOKUP(A859,'Sales Order'!A:C,3,FALSE),Employee!A:B,2,FALSE),"Not Specified")</f>
        <v>Ms. Judy Lew</v>
      </c>
      <c r="I859" t="str">
        <f>IFERROR(VLOOKUP(VLOOKUP(A859,'Sales Order'!A:C,3,FALSE),Employee!A:J,10,FALSE),"Not Specified")</f>
        <v>WA</v>
      </c>
      <c r="J859" t="str">
        <f>VLOOKUP(B859,Product!A:B,2,FALSE)</f>
        <v>Product YHXGE</v>
      </c>
      <c r="K859" t="str">
        <f>VLOOKUP(VLOOKUP(B859,Product!A:D,4,FALSE),Category!A:B,2,FALSE)</f>
        <v>Seafood</v>
      </c>
      <c r="L859" s="24">
        <f>IFERROR(VLOOKUP(A859,'Sales Order'!A:D,4,FALSE),"")</f>
        <v>39246</v>
      </c>
      <c r="M859" s="24">
        <f>IFERROR(VLOOKUP(A859,'Sales Order'!A:F,6,FALSE),"")</f>
        <v>39272</v>
      </c>
      <c r="N859" t="str">
        <f>IFERROR(VLOOKUP(VLOOKUP(A859,'Sales Order'!A:G,7,FALSE),Shipper!A:B,2,FALSE),"Not Specified")</f>
        <v>Shipper ZHISN</v>
      </c>
      <c r="O859" t="str">
        <f>IFERROR(VLOOKUP(A859,'Sales Order'!A:I,9,FALSE),"Not Specified")</f>
        <v>Destination VPNNG</v>
      </c>
      <c r="P859" t="str">
        <f>IFERROR(VLOOKUP(A859,'Sales Order'!A:N,14,FALSE),"Not Specified")</f>
        <v>Spain</v>
      </c>
      <c r="Q859" t="str">
        <f>VLOOKUP(VLOOKUP(B859,Product!A:C,3,FALSE),Supplier!A:B,2,FALSE)</f>
        <v>Supplier QOVFD</v>
      </c>
      <c r="R859" t="str">
        <f>VLOOKUP(VLOOKUP(B859,Product!A:C,3,FALSE),Supplier!A:I,9,FALSE)</f>
        <v>Japan</v>
      </c>
      <c r="S859" t="str">
        <f>IFERROR(IF(VLOOKUP(A859,'Sales Order'!A:H,8,FALSE)&gt;100,"High Freight","Low Freight"),"Not Specified")</f>
        <v>Low Freight</v>
      </c>
      <c r="T859">
        <f t="shared" si="27"/>
        <v>155</v>
      </c>
    </row>
    <row r="860" spans="1:20">
      <c r="A860" s="9">
        <v>10569</v>
      </c>
      <c r="B860" s="6">
        <v>31</v>
      </c>
      <c r="C860" s="6">
        <v>12.5</v>
      </c>
      <c r="D860" s="6">
        <v>35</v>
      </c>
      <c r="E860" s="18">
        <v>0.2</v>
      </c>
      <c r="F860" s="6" t="str">
        <f>IFERROR(VLOOKUP(VLOOKUP(A860,'Sales Order'!A:B,2,FALSE),Customer!A:C,3,FALSE),"Not Specified")</f>
        <v>Moore, Michael</v>
      </c>
      <c r="G860" s="6" t="str">
        <f t="shared" si="26"/>
        <v>Moore Michael</v>
      </c>
      <c r="H860" s="22" t="str">
        <f>IFERROR(VLOOKUP(VLOOKUP(A860,'Sales Order'!A:C,3,FALSE),Employee!A:E,5,FALSE)&amp;" "&amp;VLOOKUP(VLOOKUP(A860,'Sales Order'!A:C,3,FALSE),Employee!A:C,3,FALSE)&amp;" "&amp;VLOOKUP(VLOOKUP(A860,'Sales Order'!A:C,3,FALSE),Employee!A:B,2,FALSE),"Not Specified")</f>
        <v>Mr. Sven Buck</v>
      </c>
      <c r="I860">
        <f>IFERROR(VLOOKUP(VLOOKUP(A860,'Sales Order'!A:C,3,FALSE),Employee!A:J,10,FALSE),"Not Specified")</f>
        <v>0</v>
      </c>
      <c r="J860" t="str">
        <f>VLOOKUP(B860,Product!A:B,2,FALSE)</f>
        <v>Product XWOXC</v>
      </c>
      <c r="K860" t="str">
        <f>VLOOKUP(VLOOKUP(B860,Product!A:D,4,FALSE),Category!A:B,2,FALSE)</f>
        <v>Dairy Product</v>
      </c>
      <c r="L860" s="24">
        <f>IFERROR(VLOOKUP(A860,'Sales Order'!A:D,4,FALSE),"")</f>
        <v>39249</v>
      </c>
      <c r="M860" s="24">
        <f>IFERROR(VLOOKUP(A860,'Sales Order'!A:F,6,FALSE),"")</f>
        <v>39274</v>
      </c>
      <c r="N860" t="str">
        <f>IFERROR(VLOOKUP(VLOOKUP(A860,'Sales Order'!A:G,7,FALSE),Shipper!A:B,2,FALSE),"Not Specified")</f>
        <v>Shipper GVSUA</v>
      </c>
      <c r="O860" t="str">
        <f>IFERROR(VLOOKUP(A860,'Sales Order'!A:I,9,FALSE),"Not Specified")</f>
        <v>Ship to 65-B</v>
      </c>
      <c r="P860" t="str">
        <f>IFERROR(VLOOKUP(A860,'Sales Order'!A:N,14,FALSE),"Not Specified")</f>
        <v>USA</v>
      </c>
      <c r="Q860" t="str">
        <f>VLOOKUP(VLOOKUP(B860,Product!A:C,3,FALSE),Supplier!A:B,2,FALSE)</f>
        <v>Supplier KEREV</v>
      </c>
      <c r="R860" t="str">
        <f>VLOOKUP(VLOOKUP(B860,Product!A:C,3,FALSE),Supplier!A:I,9,FALSE)</f>
        <v>Italy</v>
      </c>
      <c r="S860" t="str">
        <f>IFERROR(IF(VLOOKUP(A860,'Sales Order'!A:H,8,FALSE)&gt;100,"High Freight","Low Freight"),"Not Specified")</f>
        <v>Low Freight</v>
      </c>
      <c r="T860">
        <f t="shared" si="27"/>
        <v>350</v>
      </c>
    </row>
    <row r="861" spans="1:20">
      <c r="A861" s="9">
        <v>10569</v>
      </c>
      <c r="B861" s="6">
        <v>76</v>
      </c>
      <c r="C861" s="6">
        <v>18</v>
      </c>
      <c r="D861" s="6">
        <v>30</v>
      </c>
      <c r="E861" s="18">
        <v>0</v>
      </c>
      <c r="F861" s="6" t="str">
        <f>IFERROR(VLOOKUP(VLOOKUP(A861,'Sales Order'!A:B,2,FALSE),Customer!A:C,3,FALSE),"Not Specified")</f>
        <v>Moore, Michael</v>
      </c>
      <c r="G861" s="6" t="str">
        <f t="shared" si="26"/>
        <v>Moore Michael</v>
      </c>
      <c r="H861" s="22" t="str">
        <f>IFERROR(VLOOKUP(VLOOKUP(A861,'Sales Order'!A:C,3,FALSE),Employee!A:E,5,FALSE)&amp;" "&amp;VLOOKUP(VLOOKUP(A861,'Sales Order'!A:C,3,FALSE),Employee!A:C,3,FALSE)&amp;" "&amp;VLOOKUP(VLOOKUP(A861,'Sales Order'!A:C,3,FALSE),Employee!A:B,2,FALSE),"Not Specified")</f>
        <v>Mr. Sven Buck</v>
      </c>
      <c r="I861">
        <f>IFERROR(VLOOKUP(VLOOKUP(A861,'Sales Order'!A:C,3,FALSE),Employee!A:J,10,FALSE),"Not Specified")</f>
        <v>0</v>
      </c>
      <c r="J861" t="str">
        <f>VLOOKUP(B861,Product!A:B,2,FALSE)</f>
        <v>Product JYGFE</v>
      </c>
      <c r="K861" t="str">
        <f>VLOOKUP(VLOOKUP(B861,Product!A:D,4,FALSE),Category!A:B,2,FALSE)</f>
        <v>Beverages</v>
      </c>
      <c r="L861" s="24">
        <f>IFERROR(VLOOKUP(A861,'Sales Order'!A:D,4,FALSE),"")</f>
        <v>39249</v>
      </c>
      <c r="M861" s="24">
        <f>IFERROR(VLOOKUP(A861,'Sales Order'!A:F,6,FALSE),"")</f>
        <v>39274</v>
      </c>
      <c r="N861" t="str">
        <f>IFERROR(VLOOKUP(VLOOKUP(A861,'Sales Order'!A:G,7,FALSE),Shipper!A:B,2,FALSE),"Not Specified")</f>
        <v>Shipper GVSUA</v>
      </c>
      <c r="O861" t="str">
        <f>IFERROR(VLOOKUP(A861,'Sales Order'!A:I,9,FALSE),"Not Specified")</f>
        <v>Ship to 65-B</v>
      </c>
      <c r="P861" t="str">
        <f>IFERROR(VLOOKUP(A861,'Sales Order'!A:N,14,FALSE),"Not Specified")</f>
        <v>USA</v>
      </c>
      <c r="Q861" t="str">
        <f>VLOOKUP(VLOOKUP(B861,Product!A:C,3,FALSE),Supplier!A:B,2,FALSE)</f>
        <v>Supplier ELCRN</v>
      </c>
      <c r="R861" t="str">
        <f>VLOOKUP(VLOOKUP(B861,Product!A:C,3,FALSE),Supplier!A:I,9,FALSE)</f>
        <v>Finland</v>
      </c>
      <c r="S861" t="str">
        <f>IFERROR(IF(VLOOKUP(A861,'Sales Order'!A:H,8,FALSE)&gt;100,"High Freight","Low Freight"),"Not Specified")</f>
        <v>Low Freight</v>
      </c>
      <c r="T861">
        <f t="shared" si="27"/>
        <v>540</v>
      </c>
    </row>
    <row r="862" spans="1:20">
      <c r="A862" s="9">
        <v>10570</v>
      </c>
      <c r="B862" s="6">
        <v>11</v>
      </c>
      <c r="C862" s="6">
        <v>21</v>
      </c>
      <c r="D862" s="6">
        <v>15</v>
      </c>
      <c r="E862" s="18">
        <v>0.05</v>
      </c>
      <c r="F862" s="6" t="str">
        <f>IFERROR(VLOOKUP(VLOOKUP(A862,'Sales Order'!A:B,2,FALSE),Customer!A:C,3,FALSE),"Not Specified")</f>
        <v>Taylor, Maurice</v>
      </c>
      <c r="G862" s="6" t="str">
        <f t="shared" si="26"/>
        <v>Taylor Maurice</v>
      </c>
      <c r="H862" s="22" t="str">
        <f>IFERROR(VLOOKUP(VLOOKUP(A862,'Sales Order'!A:C,3,FALSE),Employee!A:E,5,FALSE)&amp;" "&amp;VLOOKUP(VLOOKUP(A862,'Sales Order'!A:C,3,FALSE),Employee!A:C,3,FALSE)&amp;" "&amp;VLOOKUP(VLOOKUP(A862,'Sales Order'!A:C,3,FALSE),Employee!A:B,2,FALSE),"Not Specified")</f>
        <v>Ms. Judy Lew</v>
      </c>
      <c r="I862" t="str">
        <f>IFERROR(VLOOKUP(VLOOKUP(A862,'Sales Order'!A:C,3,FALSE),Employee!A:J,10,FALSE),"Not Specified")</f>
        <v>WA</v>
      </c>
      <c r="J862" t="str">
        <f>VLOOKUP(B862,Product!A:B,2,FALSE)</f>
        <v>Product QMVUN</v>
      </c>
      <c r="K862" t="str">
        <f>VLOOKUP(VLOOKUP(B862,Product!A:D,4,FALSE),Category!A:B,2,FALSE)</f>
        <v>Dairy Product</v>
      </c>
      <c r="L862" s="24">
        <f>IFERROR(VLOOKUP(A862,'Sales Order'!A:D,4,FALSE),"")</f>
        <v>39250</v>
      </c>
      <c r="M862" s="24">
        <f>IFERROR(VLOOKUP(A862,'Sales Order'!A:F,6,FALSE),"")</f>
        <v>39252</v>
      </c>
      <c r="N862" t="str">
        <f>IFERROR(VLOOKUP(VLOOKUP(A862,'Sales Order'!A:G,7,FALSE),Shipper!A:B,2,FALSE),"Not Specified")</f>
        <v>Shipper ZHISN</v>
      </c>
      <c r="O862" t="str">
        <f>IFERROR(VLOOKUP(A862,'Sales Order'!A:I,9,FALSE),"Not Specified")</f>
        <v>Ship to 51-C</v>
      </c>
      <c r="P862" t="str">
        <f>IFERROR(VLOOKUP(A862,'Sales Order'!A:N,14,FALSE),"Not Specified")</f>
        <v>Canada</v>
      </c>
      <c r="Q862" t="str">
        <f>VLOOKUP(VLOOKUP(B862,Product!A:C,3,FALSE),Supplier!A:B,2,FALSE)</f>
        <v>Supplier EQPNC</v>
      </c>
      <c r="R862" t="str">
        <f>VLOOKUP(VLOOKUP(B862,Product!A:C,3,FALSE),Supplier!A:I,9,FALSE)</f>
        <v>Spain</v>
      </c>
      <c r="S862" t="str">
        <f>IFERROR(IF(VLOOKUP(A862,'Sales Order'!A:H,8,FALSE)&gt;100,"High Freight","Low Freight"),"Not Specified")</f>
        <v>High Freight</v>
      </c>
      <c r="T862">
        <f t="shared" si="27"/>
        <v>299.25</v>
      </c>
    </row>
    <row r="863" spans="1:20">
      <c r="A863" s="9">
        <v>10570</v>
      </c>
      <c r="B863" s="6">
        <v>56</v>
      </c>
      <c r="C863" s="6">
        <v>38</v>
      </c>
      <c r="D863" s="6">
        <v>60</v>
      </c>
      <c r="E863" s="18">
        <v>0.05</v>
      </c>
      <c r="F863" s="6" t="str">
        <f>IFERROR(VLOOKUP(VLOOKUP(A863,'Sales Order'!A:B,2,FALSE),Customer!A:C,3,FALSE),"Not Specified")</f>
        <v>Taylor, Maurice</v>
      </c>
      <c r="G863" s="6" t="str">
        <f t="shared" si="26"/>
        <v>Taylor Maurice</v>
      </c>
      <c r="H863" s="22" t="str">
        <f>IFERROR(VLOOKUP(VLOOKUP(A863,'Sales Order'!A:C,3,FALSE),Employee!A:E,5,FALSE)&amp;" "&amp;VLOOKUP(VLOOKUP(A863,'Sales Order'!A:C,3,FALSE),Employee!A:C,3,FALSE)&amp;" "&amp;VLOOKUP(VLOOKUP(A863,'Sales Order'!A:C,3,FALSE),Employee!A:B,2,FALSE),"Not Specified")</f>
        <v>Ms. Judy Lew</v>
      </c>
      <c r="I863" t="str">
        <f>IFERROR(VLOOKUP(VLOOKUP(A863,'Sales Order'!A:C,3,FALSE),Employee!A:J,10,FALSE),"Not Specified")</f>
        <v>WA</v>
      </c>
      <c r="J863" t="str">
        <f>VLOOKUP(B863,Product!A:B,2,FALSE)</f>
        <v>Product VKCMF</v>
      </c>
      <c r="K863" t="str">
        <f>VLOOKUP(VLOOKUP(B863,Product!A:D,4,FALSE),Category!A:B,2,FALSE)</f>
        <v>Grains/Cereals</v>
      </c>
      <c r="L863" s="24">
        <f>IFERROR(VLOOKUP(A863,'Sales Order'!A:D,4,FALSE),"")</f>
        <v>39250</v>
      </c>
      <c r="M863" s="24">
        <f>IFERROR(VLOOKUP(A863,'Sales Order'!A:F,6,FALSE),"")</f>
        <v>39252</v>
      </c>
      <c r="N863" t="str">
        <f>IFERROR(VLOOKUP(VLOOKUP(A863,'Sales Order'!A:G,7,FALSE),Shipper!A:B,2,FALSE),"Not Specified")</f>
        <v>Shipper ZHISN</v>
      </c>
      <c r="O863" t="str">
        <f>IFERROR(VLOOKUP(A863,'Sales Order'!A:I,9,FALSE),"Not Specified")</f>
        <v>Ship to 51-C</v>
      </c>
      <c r="P863" t="str">
        <f>IFERROR(VLOOKUP(A863,'Sales Order'!A:N,14,FALSE),"Not Specified")</f>
        <v>Canada</v>
      </c>
      <c r="Q863" t="str">
        <f>VLOOKUP(VLOOKUP(B863,Product!A:C,3,FALSE),Supplier!A:B,2,FALSE)</f>
        <v>Supplier ZWZDM</v>
      </c>
      <c r="R863" t="str">
        <f>VLOOKUP(VLOOKUP(B863,Product!A:C,3,FALSE),Supplier!A:I,9,FALSE)</f>
        <v>Italy</v>
      </c>
      <c r="S863" t="str">
        <f>IFERROR(IF(VLOOKUP(A863,'Sales Order'!A:H,8,FALSE)&gt;100,"High Freight","Low Freight"),"Not Specified")</f>
        <v>High Freight</v>
      </c>
      <c r="T863">
        <f t="shared" si="27"/>
        <v>2166</v>
      </c>
    </row>
    <row r="864" spans="1:20">
      <c r="A864" s="9">
        <v>10571</v>
      </c>
      <c r="B864" s="6">
        <v>14</v>
      </c>
      <c r="C864" s="6">
        <v>23.25</v>
      </c>
      <c r="D864" s="6">
        <v>11</v>
      </c>
      <c r="E864" s="18">
        <v>0.15</v>
      </c>
      <c r="F864" s="6" t="str">
        <f>IFERROR(VLOOKUP(VLOOKUP(A864,'Sales Order'!A:B,2,FALSE),Customer!A:C,3,FALSE),"Not Specified")</f>
        <v>Kane, John</v>
      </c>
      <c r="G864" s="6" t="str">
        <f t="shared" si="26"/>
        <v>Kane John</v>
      </c>
      <c r="H864" s="22" t="str">
        <f>IFERROR(VLOOKUP(VLOOKUP(A864,'Sales Order'!A:C,3,FALSE),Employee!A:E,5,FALSE)&amp;" "&amp;VLOOKUP(VLOOKUP(A864,'Sales Order'!A:C,3,FALSE),Employee!A:C,3,FALSE)&amp;" "&amp;VLOOKUP(VLOOKUP(A864,'Sales Order'!A:C,3,FALSE),Employee!A:B,2,FALSE),"Not Specified")</f>
        <v>Ms. Maria Cameron</v>
      </c>
      <c r="I864" t="str">
        <f>IFERROR(VLOOKUP(VLOOKUP(A864,'Sales Order'!A:C,3,FALSE),Employee!A:J,10,FALSE),"Not Specified")</f>
        <v>WA</v>
      </c>
      <c r="J864" t="str">
        <f>VLOOKUP(B864,Product!A:B,2,FALSE)</f>
        <v>Product PWCJB</v>
      </c>
      <c r="K864" t="str">
        <f>VLOOKUP(VLOOKUP(B864,Product!A:D,4,FALSE),Category!A:B,2,FALSE)</f>
        <v>Produce</v>
      </c>
      <c r="L864" s="24">
        <f>IFERROR(VLOOKUP(A864,'Sales Order'!A:D,4,FALSE),"")</f>
        <v>39250</v>
      </c>
      <c r="M864" s="24">
        <f>IFERROR(VLOOKUP(A864,'Sales Order'!A:F,6,FALSE),"")</f>
        <v>39267</v>
      </c>
      <c r="N864" t="str">
        <f>IFERROR(VLOOKUP(VLOOKUP(A864,'Sales Order'!A:G,7,FALSE),Shipper!A:B,2,FALSE),"Not Specified")</f>
        <v>Shipper ZHISN</v>
      </c>
      <c r="O864" t="str">
        <f>IFERROR(VLOOKUP(A864,'Sales Order'!A:I,9,FALSE),"Not Specified")</f>
        <v>Destination RVDMF</v>
      </c>
      <c r="P864" t="str">
        <f>IFERROR(VLOOKUP(A864,'Sales Order'!A:N,14,FALSE),"Not Specified")</f>
        <v>Austria</v>
      </c>
      <c r="Q864" t="str">
        <f>VLOOKUP(VLOOKUP(B864,Product!A:C,3,FALSE),Supplier!A:B,2,FALSE)</f>
        <v>Supplier QWUSF</v>
      </c>
      <c r="R864" t="str">
        <f>VLOOKUP(VLOOKUP(B864,Product!A:C,3,FALSE),Supplier!A:I,9,FALSE)</f>
        <v>Japan</v>
      </c>
      <c r="S864" t="str">
        <f>IFERROR(IF(VLOOKUP(A864,'Sales Order'!A:H,8,FALSE)&gt;100,"High Freight","Low Freight"),"Not Specified")</f>
        <v>Low Freight</v>
      </c>
      <c r="T864">
        <f t="shared" si="27"/>
        <v>217.38749999999999</v>
      </c>
    </row>
    <row r="865" spans="1:20">
      <c r="A865" s="9">
        <v>10571</v>
      </c>
      <c r="B865" s="6">
        <v>42</v>
      </c>
      <c r="C865" s="6">
        <v>14</v>
      </c>
      <c r="D865" s="6">
        <v>28</v>
      </c>
      <c r="E865" s="18">
        <v>0.15</v>
      </c>
      <c r="F865" s="6" t="str">
        <f>IFERROR(VLOOKUP(VLOOKUP(A865,'Sales Order'!A:B,2,FALSE),Customer!A:C,3,FALSE),"Not Specified")</f>
        <v>Kane, John</v>
      </c>
      <c r="G865" s="6" t="str">
        <f t="shared" si="26"/>
        <v>Kane John</v>
      </c>
      <c r="H865" s="22" t="str">
        <f>IFERROR(VLOOKUP(VLOOKUP(A865,'Sales Order'!A:C,3,FALSE),Employee!A:E,5,FALSE)&amp;" "&amp;VLOOKUP(VLOOKUP(A865,'Sales Order'!A:C,3,FALSE),Employee!A:C,3,FALSE)&amp;" "&amp;VLOOKUP(VLOOKUP(A865,'Sales Order'!A:C,3,FALSE),Employee!A:B,2,FALSE),"Not Specified")</f>
        <v>Ms. Maria Cameron</v>
      </c>
      <c r="I865" t="str">
        <f>IFERROR(VLOOKUP(VLOOKUP(A865,'Sales Order'!A:C,3,FALSE),Employee!A:J,10,FALSE),"Not Specified")</f>
        <v>WA</v>
      </c>
      <c r="J865" t="str">
        <f>VLOOKUP(B865,Product!A:B,2,FALSE)</f>
        <v>Product RJVNM</v>
      </c>
      <c r="K865" t="str">
        <f>VLOOKUP(VLOOKUP(B865,Product!A:D,4,FALSE),Category!A:B,2,FALSE)</f>
        <v>Grains/Cereals</v>
      </c>
      <c r="L865" s="24">
        <f>IFERROR(VLOOKUP(A865,'Sales Order'!A:D,4,FALSE),"")</f>
        <v>39250</v>
      </c>
      <c r="M865" s="24">
        <f>IFERROR(VLOOKUP(A865,'Sales Order'!A:F,6,FALSE),"")</f>
        <v>39267</v>
      </c>
      <c r="N865" t="str">
        <f>IFERROR(VLOOKUP(VLOOKUP(A865,'Sales Order'!A:G,7,FALSE),Shipper!A:B,2,FALSE),"Not Specified")</f>
        <v>Shipper ZHISN</v>
      </c>
      <c r="O865" t="str">
        <f>IFERROR(VLOOKUP(A865,'Sales Order'!A:I,9,FALSE),"Not Specified")</f>
        <v>Destination RVDMF</v>
      </c>
      <c r="P865" t="str">
        <f>IFERROR(VLOOKUP(A865,'Sales Order'!A:N,14,FALSE),"Not Specified")</f>
        <v>Austria</v>
      </c>
      <c r="Q865" t="str">
        <f>VLOOKUP(VLOOKUP(B865,Product!A:C,3,FALSE),Supplier!A:B,2,FALSE)</f>
        <v>Supplier CIYNM</v>
      </c>
      <c r="R865" t="str">
        <f>VLOOKUP(VLOOKUP(B865,Product!A:C,3,FALSE),Supplier!A:I,9,FALSE)</f>
        <v>Singapore</v>
      </c>
      <c r="S865" t="str">
        <f>IFERROR(IF(VLOOKUP(A865,'Sales Order'!A:H,8,FALSE)&gt;100,"High Freight","Low Freight"),"Not Specified")</f>
        <v>Low Freight</v>
      </c>
      <c r="T865">
        <f t="shared" si="27"/>
        <v>333.2</v>
      </c>
    </row>
    <row r="866" spans="1:20">
      <c r="A866" s="9">
        <v>10572</v>
      </c>
      <c r="B866" s="6">
        <v>16</v>
      </c>
      <c r="C866" s="6">
        <v>17.45</v>
      </c>
      <c r="D866" s="6">
        <v>12</v>
      </c>
      <c r="E866" s="18">
        <v>0.1</v>
      </c>
      <c r="F866" s="6" t="str">
        <f>IFERROR(VLOOKUP(VLOOKUP(A866,'Sales Order'!A:B,2,FALSE),Customer!A:C,3,FALSE),"Not Specified")</f>
        <v>Higginbotham, Tom</v>
      </c>
      <c r="G866" s="6" t="str">
        <f t="shared" si="26"/>
        <v>Higginbotham Tom</v>
      </c>
      <c r="H866" s="22" t="str">
        <f>IFERROR(VLOOKUP(VLOOKUP(A866,'Sales Order'!A:C,3,FALSE),Employee!A:E,5,FALSE)&amp;" "&amp;VLOOKUP(VLOOKUP(A866,'Sales Order'!A:C,3,FALSE),Employee!A:C,3,FALSE)&amp;" "&amp;VLOOKUP(VLOOKUP(A866,'Sales Order'!A:C,3,FALSE),Employee!A:B,2,FALSE),"Not Specified")</f>
        <v>Ms. Judy Lew</v>
      </c>
      <c r="I866" t="str">
        <f>IFERROR(VLOOKUP(VLOOKUP(A866,'Sales Order'!A:C,3,FALSE),Employee!A:J,10,FALSE),"Not Specified")</f>
        <v>WA</v>
      </c>
      <c r="J866" t="str">
        <f>VLOOKUP(B866,Product!A:B,2,FALSE)</f>
        <v>Product PAFRH</v>
      </c>
      <c r="K866" t="str">
        <f>VLOOKUP(VLOOKUP(B866,Product!A:D,4,FALSE),Category!A:B,2,FALSE)</f>
        <v>Confections</v>
      </c>
      <c r="L866" s="24">
        <f>IFERROR(VLOOKUP(A866,'Sales Order'!A:D,4,FALSE),"")</f>
        <v>39251</v>
      </c>
      <c r="M866" s="24">
        <f>IFERROR(VLOOKUP(A866,'Sales Order'!A:F,6,FALSE),"")</f>
        <v>39258</v>
      </c>
      <c r="N866" t="str">
        <f>IFERROR(VLOOKUP(VLOOKUP(A866,'Sales Order'!A:G,7,FALSE),Shipper!A:B,2,FALSE),"Not Specified")</f>
        <v>Shipper ETYNR</v>
      </c>
      <c r="O866" t="str">
        <f>IFERROR(VLOOKUP(A866,'Sales Order'!A:I,9,FALSE),"Not Specified")</f>
        <v>Ship to 5-B</v>
      </c>
      <c r="P866" t="str">
        <f>IFERROR(VLOOKUP(A866,'Sales Order'!A:N,14,FALSE),"Not Specified")</f>
        <v>Sweden</v>
      </c>
      <c r="Q866" t="str">
        <f>VLOOKUP(VLOOKUP(B866,Product!A:C,3,FALSE),Supplier!A:B,2,FALSE)</f>
        <v>Supplier GQRCV</v>
      </c>
      <c r="R866" t="str">
        <f>VLOOKUP(VLOOKUP(B866,Product!A:C,3,FALSE),Supplier!A:I,9,FALSE)</f>
        <v>Australia</v>
      </c>
      <c r="S866" t="str">
        <f>IFERROR(IF(VLOOKUP(A866,'Sales Order'!A:H,8,FALSE)&gt;100,"High Freight","Low Freight"),"Not Specified")</f>
        <v>High Freight</v>
      </c>
      <c r="T866">
        <f t="shared" si="27"/>
        <v>188.45999999999998</v>
      </c>
    </row>
    <row r="867" spans="1:20">
      <c r="A867" s="9">
        <v>10572</v>
      </c>
      <c r="B867" s="6">
        <v>32</v>
      </c>
      <c r="C867" s="6">
        <v>32</v>
      </c>
      <c r="D867" s="6">
        <v>10</v>
      </c>
      <c r="E867" s="18">
        <v>0.1</v>
      </c>
      <c r="F867" s="6" t="str">
        <f>IFERROR(VLOOKUP(VLOOKUP(A867,'Sales Order'!A:B,2,FALSE),Customer!A:C,3,FALSE),"Not Specified")</f>
        <v>Higginbotham, Tom</v>
      </c>
      <c r="G867" s="6" t="str">
        <f t="shared" si="26"/>
        <v>Higginbotham Tom</v>
      </c>
      <c r="H867" s="22" t="str">
        <f>IFERROR(VLOOKUP(VLOOKUP(A867,'Sales Order'!A:C,3,FALSE),Employee!A:E,5,FALSE)&amp;" "&amp;VLOOKUP(VLOOKUP(A867,'Sales Order'!A:C,3,FALSE),Employee!A:C,3,FALSE)&amp;" "&amp;VLOOKUP(VLOOKUP(A867,'Sales Order'!A:C,3,FALSE),Employee!A:B,2,FALSE),"Not Specified")</f>
        <v>Ms. Judy Lew</v>
      </c>
      <c r="I867" t="str">
        <f>IFERROR(VLOOKUP(VLOOKUP(A867,'Sales Order'!A:C,3,FALSE),Employee!A:J,10,FALSE),"Not Specified")</f>
        <v>WA</v>
      </c>
      <c r="J867" t="str">
        <f>VLOOKUP(B867,Product!A:B,2,FALSE)</f>
        <v>Product NUNAW</v>
      </c>
      <c r="K867" t="str">
        <f>VLOOKUP(VLOOKUP(B867,Product!A:D,4,FALSE),Category!A:B,2,FALSE)</f>
        <v>Dairy Product</v>
      </c>
      <c r="L867" s="24">
        <f>IFERROR(VLOOKUP(A867,'Sales Order'!A:D,4,FALSE),"")</f>
        <v>39251</v>
      </c>
      <c r="M867" s="24">
        <f>IFERROR(VLOOKUP(A867,'Sales Order'!A:F,6,FALSE),"")</f>
        <v>39258</v>
      </c>
      <c r="N867" t="str">
        <f>IFERROR(VLOOKUP(VLOOKUP(A867,'Sales Order'!A:G,7,FALSE),Shipper!A:B,2,FALSE),"Not Specified")</f>
        <v>Shipper ETYNR</v>
      </c>
      <c r="O867" t="str">
        <f>IFERROR(VLOOKUP(A867,'Sales Order'!A:I,9,FALSE),"Not Specified")</f>
        <v>Ship to 5-B</v>
      </c>
      <c r="P867" t="str">
        <f>IFERROR(VLOOKUP(A867,'Sales Order'!A:N,14,FALSE),"Not Specified")</f>
        <v>Sweden</v>
      </c>
      <c r="Q867" t="str">
        <f>VLOOKUP(VLOOKUP(B867,Product!A:C,3,FALSE),Supplier!A:B,2,FALSE)</f>
        <v>Supplier KEREV</v>
      </c>
      <c r="R867" t="str">
        <f>VLOOKUP(VLOOKUP(B867,Product!A:C,3,FALSE),Supplier!A:I,9,FALSE)</f>
        <v>Italy</v>
      </c>
      <c r="S867" t="str">
        <f>IFERROR(IF(VLOOKUP(A867,'Sales Order'!A:H,8,FALSE)&gt;100,"High Freight","Low Freight"),"Not Specified")</f>
        <v>High Freight</v>
      </c>
      <c r="T867">
        <f t="shared" si="27"/>
        <v>288</v>
      </c>
    </row>
    <row r="868" spans="1:20">
      <c r="A868" s="9">
        <v>10572</v>
      </c>
      <c r="B868" s="6">
        <v>40</v>
      </c>
      <c r="C868" s="6">
        <v>18.399999999999999</v>
      </c>
      <c r="D868" s="6">
        <v>50</v>
      </c>
      <c r="E868" s="18">
        <v>0</v>
      </c>
      <c r="F868" s="6" t="str">
        <f>IFERROR(VLOOKUP(VLOOKUP(A868,'Sales Order'!A:B,2,FALSE),Customer!A:C,3,FALSE),"Not Specified")</f>
        <v>Higginbotham, Tom</v>
      </c>
      <c r="G868" s="6" t="str">
        <f t="shared" si="26"/>
        <v>Higginbotham Tom</v>
      </c>
      <c r="H868" s="22" t="str">
        <f>IFERROR(VLOOKUP(VLOOKUP(A868,'Sales Order'!A:C,3,FALSE),Employee!A:E,5,FALSE)&amp;" "&amp;VLOOKUP(VLOOKUP(A868,'Sales Order'!A:C,3,FALSE),Employee!A:C,3,FALSE)&amp;" "&amp;VLOOKUP(VLOOKUP(A868,'Sales Order'!A:C,3,FALSE),Employee!A:B,2,FALSE),"Not Specified")</f>
        <v>Ms. Judy Lew</v>
      </c>
      <c r="I868" t="str">
        <f>IFERROR(VLOOKUP(VLOOKUP(A868,'Sales Order'!A:C,3,FALSE),Employee!A:J,10,FALSE),"Not Specified")</f>
        <v>WA</v>
      </c>
      <c r="J868" t="str">
        <f>VLOOKUP(B868,Product!A:B,2,FALSE)</f>
        <v>Product YZIXQ</v>
      </c>
      <c r="K868" t="str">
        <f>VLOOKUP(VLOOKUP(B868,Product!A:D,4,FALSE),Category!A:B,2,FALSE)</f>
        <v>Seafood</v>
      </c>
      <c r="L868" s="24">
        <f>IFERROR(VLOOKUP(A868,'Sales Order'!A:D,4,FALSE),"")</f>
        <v>39251</v>
      </c>
      <c r="M868" s="24">
        <f>IFERROR(VLOOKUP(A868,'Sales Order'!A:F,6,FALSE),"")</f>
        <v>39258</v>
      </c>
      <c r="N868" t="str">
        <f>IFERROR(VLOOKUP(VLOOKUP(A868,'Sales Order'!A:G,7,FALSE),Shipper!A:B,2,FALSE),"Not Specified")</f>
        <v>Shipper ETYNR</v>
      </c>
      <c r="O868" t="str">
        <f>IFERROR(VLOOKUP(A868,'Sales Order'!A:I,9,FALSE),"Not Specified")</f>
        <v>Ship to 5-B</v>
      </c>
      <c r="P868" t="str">
        <f>IFERROR(VLOOKUP(A868,'Sales Order'!A:N,14,FALSE),"Not Specified")</f>
        <v>Sweden</v>
      </c>
      <c r="Q868" t="str">
        <f>VLOOKUP(VLOOKUP(B868,Product!A:C,3,FALSE),Supplier!A:B,2,FALSE)</f>
        <v>Supplier JDNUG</v>
      </c>
      <c r="R868" t="str">
        <f>VLOOKUP(VLOOKUP(B868,Product!A:C,3,FALSE),Supplier!A:I,9,FALSE)</f>
        <v>USA</v>
      </c>
      <c r="S868" t="str">
        <f>IFERROR(IF(VLOOKUP(A868,'Sales Order'!A:H,8,FALSE)&gt;100,"High Freight","Low Freight"),"Not Specified")</f>
        <v>High Freight</v>
      </c>
      <c r="T868">
        <f t="shared" si="27"/>
        <v>919.99999999999989</v>
      </c>
    </row>
    <row r="869" spans="1:20">
      <c r="A869" s="9">
        <v>10572</v>
      </c>
      <c r="B869" s="6">
        <v>75</v>
      </c>
      <c r="C869" s="6">
        <v>7.75</v>
      </c>
      <c r="D869" s="6">
        <v>15</v>
      </c>
      <c r="E869" s="18">
        <v>0.1</v>
      </c>
      <c r="F869" s="6" t="str">
        <f>IFERROR(VLOOKUP(VLOOKUP(A869,'Sales Order'!A:B,2,FALSE),Customer!A:C,3,FALSE),"Not Specified")</f>
        <v>Higginbotham, Tom</v>
      </c>
      <c r="G869" s="6" t="str">
        <f t="shared" si="26"/>
        <v>Higginbotham Tom</v>
      </c>
      <c r="H869" s="22" t="str">
        <f>IFERROR(VLOOKUP(VLOOKUP(A869,'Sales Order'!A:C,3,FALSE),Employee!A:E,5,FALSE)&amp;" "&amp;VLOOKUP(VLOOKUP(A869,'Sales Order'!A:C,3,FALSE),Employee!A:C,3,FALSE)&amp;" "&amp;VLOOKUP(VLOOKUP(A869,'Sales Order'!A:C,3,FALSE),Employee!A:B,2,FALSE),"Not Specified")</f>
        <v>Ms. Judy Lew</v>
      </c>
      <c r="I869" t="str">
        <f>IFERROR(VLOOKUP(VLOOKUP(A869,'Sales Order'!A:C,3,FALSE),Employee!A:J,10,FALSE),"Not Specified")</f>
        <v>WA</v>
      </c>
      <c r="J869" t="str">
        <f>VLOOKUP(B869,Product!A:B,2,FALSE)</f>
        <v>Product BWRLG</v>
      </c>
      <c r="K869" t="str">
        <f>VLOOKUP(VLOOKUP(B869,Product!A:D,4,FALSE),Category!A:B,2,FALSE)</f>
        <v>Beverages</v>
      </c>
      <c r="L869" s="24">
        <f>IFERROR(VLOOKUP(A869,'Sales Order'!A:D,4,FALSE),"")</f>
        <v>39251</v>
      </c>
      <c r="M869" s="24">
        <f>IFERROR(VLOOKUP(A869,'Sales Order'!A:F,6,FALSE),"")</f>
        <v>39258</v>
      </c>
      <c r="N869" t="str">
        <f>IFERROR(VLOOKUP(VLOOKUP(A869,'Sales Order'!A:G,7,FALSE),Shipper!A:B,2,FALSE),"Not Specified")</f>
        <v>Shipper ETYNR</v>
      </c>
      <c r="O869" t="str">
        <f>IFERROR(VLOOKUP(A869,'Sales Order'!A:I,9,FALSE),"Not Specified")</f>
        <v>Ship to 5-B</v>
      </c>
      <c r="P869" t="str">
        <f>IFERROR(VLOOKUP(A869,'Sales Order'!A:N,14,FALSE),"Not Specified")</f>
        <v>Sweden</v>
      </c>
      <c r="Q869" t="str">
        <f>VLOOKUP(VLOOKUP(B869,Product!A:C,3,FALSE),Supplier!A:B,2,FALSE)</f>
        <v>Supplier SVIYA</v>
      </c>
      <c r="R869" t="str">
        <f>VLOOKUP(VLOOKUP(B869,Product!A:C,3,FALSE),Supplier!A:I,9,FALSE)</f>
        <v>Germany</v>
      </c>
      <c r="S869" t="str">
        <f>IFERROR(IF(VLOOKUP(A869,'Sales Order'!A:H,8,FALSE)&gt;100,"High Freight","Low Freight"),"Not Specified")</f>
        <v>High Freight</v>
      </c>
      <c r="T869">
        <f t="shared" si="27"/>
        <v>104.625</v>
      </c>
    </row>
    <row r="870" spans="1:20">
      <c r="A870" s="9">
        <v>10573</v>
      </c>
      <c r="B870" s="6">
        <v>17</v>
      </c>
      <c r="C870" s="6">
        <v>39</v>
      </c>
      <c r="D870" s="6">
        <v>18</v>
      </c>
      <c r="E870" s="18">
        <v>0</v>
      </c>
      <c r="F870" s="6" t="str">
        <f>IFERROR(VLOOKUP(VLOOKUP(A870,'Sales Order'!A:B,2,FALSE),Customer!A:C,3,FALSE),"Not Specified")</f>
        <v>Peoples, John</v>
      </c>
      <c r="G870" s="6" t="str">
        <f t="shared" si="26"/>
        <v>Peoples John</v>
      </c>
      <c r="H870" s="22" t="str">
        <f>IFERROR(VLOOKUP(VLOOKUP(A870,'Sales Order'!A:C,3,FALSE),Employee!A:E,5,FALSE)&amp;" "&amp;VLOOKUP(VLOOKUP(A870,'Sales Order'!A:C,3,FALSE),Employee!A:C,3,FALSE)&amp;" "&amp;VLOOKUP(VLOOKUP(A870,'Sales Order'!A:C,3,FALSE),Employee!A:B,2,FALSE),"Not Specified")</f>
        <v>Mr. Russell King</v>
      </c>
      <c r="I870">
        <f>IFERROR(VLOOKUP(VLOOKUP(A870,'Sales Order'!A:C,3,FALSE),Employee!A:J,10,FALSE),"Not Specified")</f>
        <v>0</v>
      </c>
      <c r="J870" t="str">
        <f>VLOOKUP(B870,Product!A:B,2,FALSE)</f>
        <v>Product BLCAX</v>
      </c>
      <c r="K870" t="str">
        <f>VLOOKUP(VLOOKUP(B870,Product!A:D,4,FALSE),Category!A:B,2,FALSE)</f>
        <v>Meat/Poultry</v>
      </c>
      <c r="L870" s="24">
        <f>IFERROR(VLOOKUP(A870,'Sales Order'!A:D,4,FALSE),"")</f>
        <v>39252</v>
      </c>
      <c r="M870" s="24">
        <f>IFERROR(VLOOKUP(A870,'Sales Order'!A:F,6,FALSE),"")</f>
        <v>39253</v>
      </c>
      <c r="N870" t="str">
        <f>IFERROR(VLOOKUP(VLOOKUP(A870,'Sales Order'!A:G,7,FALSE),Shipper!A:B,2,FALSE),"Not Specified")</f>
        <v>Shipper ZHISN</v>
      </c>
      <c r="O870" t="str">
        <f>IFERROR(VLOOKUP(A870,'Sales Order'!A:I,9,FALSE),"Not Specified")</f>
        <v>Destination LANNN</v>
      </c>
      <c r="P870" t="str">
        <f>IFERROR(VLOOKUP(A870,'Sales Order'!A:N,14,FALSE),"Not Specified")</f>
        <v>Mexico</v>
      </c>
      <c r="Q870" t="str">
        <f>VLOOKUP(VLOOKUP(B870,Product!A:C,3,FALSE),Supplier!A:B,2,FALSE)</f>
        <v>Supplier GQRCV</v>
      </c>
      <c r="R870" t="str">
        <f>VLOOKUP(VLOOKUP(B870,Product!A:C,3,FALSE),Supplier!A:I,9,FALSE)</f>
        <v>Australia</v>
      </c>
      <c r="S870" t="str">
        <f>IFERROR(IF(VLOOKUP(A870,'Sales Order'!A:H,8,FALSE)&gt;100,"High Freight","Low Freight"),"Not Specified")</f>
        <v>Low Freight</v>
      </c>
      <c r="T870">
        <f t="shared" si="27"/>
        <v>702</v>
      </c>
    </row>
    <row r="871" spans="1:20">
      <c r="A871" s="9">
        <v>10573</v>
      </c>
      <c r="B871" s="6">
        <v>34</v>
      </c>
      <c r="C871" s="6">
        <v>14</v>
      </c>
      <c r="D871" s="6">
        <v>40</v>
      </c>
      <c r="E871" s="18">
        <v>0</v>
      </c>
      <c r="F871" s="6" t="str">
        <f>IFERROR(VLOOKUP(VLOOKUP(A871,'Sales Order'!A:B,2,FALSE),Customer!A:C,3,FALSE),"Not Specified")</f>
        <v>Peoples, John</v>
      </c>
      <c r="G871" s="6" t="str">
        <f t="shared" si="26"/>
        <v>Peoples John</v>
      </c>
      <c r="H871" s="22" t="str">
        <f>IFERROR(VLOOKUP(VLOOKUP(A871,'Sales Order'!A:C,3,FALSE),Employee!A:E,5,FALSE)&amp;" "&amp;VLOOKUP(VLOOKUP(A871,'Sales Order'!A:C,3,FALSE),Employee!A:C,3,FALSE)&amp;" "&amp;VLOOKUP(VLOOKUP(A871,'Sales Order'!A:C,3,FALSE),Employee!A:B,2,FALSE),"Not Specified")</f>
        <v>Mr. Russell King</v>
      </c>
      <c r="I871">
        <f>IFERROR(VLOOKUP(VLOOKUP(A871,'Sales Order'!A:C,3,FALSE),Employee!A:J,10,FALSE),"Not Specified")</f>
        <v>0</v>
      </c>
      <c r="J871" t="str">
        <f>VLOOKUP(B871,Product!A:B,2,FALSE)</f>
        <v>Product SWNJY</v>
      </c>
      <c r="K871" t="str">
        <f>VLOOKUP(VLOOKUP(B871,Product!A:D,4,FALSE),Category!A:B,2,FALSE)</f>
        <v>Beverages</v>
      </c>
      <c r="L871" s="24">
        <f>IFERROR(VLOOKUP(A871,'Sales Order'!A:D,4,FALSE),"")</f>
        <v>39252</v>
      </c>
      <c r="M871" s="24">
        <f>IFERROR(VLOOKUP(A871,'Sales Order'!A:F,6,FALSE),"")</f>
        <v>39253</v>
      </c>
      <c r="N871" t="str">
        <f>IFERROR(VLOOKUP(VLOOKUP(A871,'Sales Order'!A:G,7,FALSE),Shipper!A:B,2,FALSE),"Not Specified")</f>
        <v>Shipper ZHISN</v>
      </c>
      <c r="O871" t="str">
        <f>IFERROR(VLOOKUP(A871,'Sales Order'!A:I,9,FALSE),"Not Specified")</f>
        <v>Destination LANNN</v>
      </c>
      <c r="P871" t="str">
        <f>IFERROR(VLOOKUP(A871,'Sales Order'!A:N,14,FALSE),"Not Specified")</f>
        <v>Mexico</v>
      </c>
      <c r="Q871" t="str">
        <f>VLOOKUP(VLOOKUP(B871,Product!A:C,3,FALSE),Supplier!A:B,2,FALSE)</f>
        <v>Supplier UHZRG</v>
      </c>
      <c r="R871" t="str">
        <f>VLOOKUP(VLOOKUP(B871,Product!A:C,3,FALSE),Supplier!A:I,9,FALSE)</f>
        <v>USA</v>
      </c>
      <c r="S871" t="str">
        <f>IFERROR(IF(VLOOKUP(A871,'Sales Order'!A:H,8,FALSE)&gt;100,"High Freight","Low Freight"),"Not Specified")</f>
        <v>Low Freight</v>
      </c>
      <c r="T871">
        <f t="shared" si="27"/>
        <v>560</v>
      </c>
    </row>
    <row r="872" spans="1:20">
      <c r="A872" s="9">
        <v>10573</v>
      </c>
      <c r="B872" s="6">
        <v>53</v>
      </c>
      <c r="C872" s="6">
        <v>32.799999999999997</v>
      </c>
      <c r="D872" s="6">
        <v>25</v>
      </c>
      <c r="E872" s="18">
        <v>0</v>
      </c>
      <c r="F872" s="6" t="str">
        <f>IFERROR(VLOOKUP(VLOOKUP(A872,'Sales Order'!A:B,2,FALSE),Customer!A:C,3,FALSE),"Not Specified")</f>
        <v>Peoples, John</v>
      </c>
      <c r="G872" s="6" t="str">
        <f t="shared" si="26"/>
        <v>Peoples John</v>
      </c>
      <c r="H872" s="22" t="str">
        <f>IFERROR(VLOOKUP(VLOOKUP(A872,'Sales Order'!A:C,3,FALSE),Employee!A:E,5,FALSE)&amp;" "&amp;VLOOKUP(VLOOKUP(A872,'Sales Order'!A:C,3,FALSE),Employee!A:C,3,FALSE)&amp;" "&amp;VLOOKUP(VLOOKUP(A872,'Sales Order'!A:C,3,FALSE),Employee!A:B,2,FALSE),"Not Specified")</f>
        <v>Mr. Russell King</v>
      </c>
      <c r="I872">
        <f>IFERROR(VLOOKUP(VLOOKUP(A872,'Sales Order'!A:C,3,FALSE),Employee!A:J,10,FALSE),"Not Specified")</f>
        <v>0</v>
      </c>
      <c r="J872" t="str">
        <f>VLOOKUP(B872,Product!A:B,2,FALSE)</f>
        <v>Product BKGEA</v>
      </c>
      <c r="K872" t="str">
        <f>VLOOKUP(VLOOKUP(B872,Product!A:D,4,FALSE),Category!A:B,2,FALSE)</f>
        <v>Meat/Poultry</v>
      </c>
      <c r="L872" s="24">
        <f>IFERROR(VLOOKUP(A872,'Sales Order'!A:D,4,FALSE),"")</f>
        <v>39252</v>
      </c>
      <c r="M872" s="24">
        <f>IFERROR(VLOOKUP(A872,'Sales Order'!A:F,6,FALSE),"")</f>
        <v>39253</v>
      </c>
      <c r="N872" t="str">
        <f>IFERROR(VLOOKUP(VLOOKUP(A872,'Sales Order'!A:G,7,FALSE),Shipper!A:B,2,FALSE),"Not Specified")</f>
        <v>Shipper ZHISN</v>
      </c>
      <c r="O872" t="str">
        <f>IFERROR(VLOOKUP(A872,'Sales Order'!A:I,9,FALSE),"Not Specified")</f>
        <v>Destination LANNN</v>
      </c>
      <c r="P872" t="str">
        <f>IFERROR(VLOOKUP(A872,'Sales Order'!A:N,14,FALSE),"Not Specified")</f>
        <v>Mexico</v>
      </c>
      <c r="Q872" t="str">
        <f>VLOOKUP(VLOOKUP(B872,Product!A:C,3,FALSE),Supplier!A:B,2,FALSE)</f>
        <v>Supplier JNNES</v>
      </c>
      <c r="R872" t="str">
        <f>VLOOKUP(VLOOKUP(B872,Product!A:C,3,FALSE),Supplier!A:I,9,FALSE)</f>
        <v>Australia</v>
      </c>
      <c r="S872" t="str">
        <f>IFERROR(IF(VLOOKUP(A872,'Sales Order'!A:H,8,FALSE)&gt;100,"High Freight","Low Freight"),"Not Specified")</f>
        <v>Low Freight</v>
      </c>
      <c r="T872">
        <f t="shared" si="27"/>
        <v>819.99999999999989</v>
      </c>
    </row>
    <row r="873" spans="1:20">
      <c r="A873" s="9">
        <v>10574</v>
      </c>
      <c r="B873" s="6">
        <v>33</v>
      </c>
      <c r="C873" s="6">
        <v>2.5</v>
      </c>
      <c r="D873" s="6">
        <v>14</v>
      </c>
      <c r="E873" s="18">
        <v>0</v>
      </c>
      <c r="F873" s="6" t="str">
        <f>IFERROR(VLOOKUP(VLOOKUP(A873,'Sales Order'!A:B,2,FALSE),Customer!A:C,3,FALSE),"Not Specified")</f>
        <v>Veninga, Tjeerd</v>
      </c>
      <c r="G873" s="6" t="str">
        <f t="shared" si="26"/>
        <v>Veninga Tjeerd</v>
      </c>
      <c r="H873" s="22" t="str">
        <f>IFERROR(VLOOKUP(VLOOKUP(A873,'Sales Order'!A:C,3,FALSE),Employee!A:E,5,FALSE)&amp;" "&amp;VLOOKUP(VLOOKUP(A873,'Sales Order'!A:C,3,FALSE),Employee!A:C,3,FALSE)&amp;" "&amp;VLOOKUP(VLOOKUP(A873,'Sales Order'!A:C,3,FALSE),Employee!A:B,2,FALSE),"Not Specified")</f>
        <v>Mrs. Yael Peled</v>
      </c>
      <c r="I873" t="str">
        <f>IFERROR(VLOOKUP(VLOOKUP(A873,'Sales Order'!A:C,3,FALSE),Employee!A:J,10,FALSE),"Not Specified")</f>
        <v>WA</v>
      </c>
      <c r="J873" t="str">
        <f>VLOOKUP(B873,Product!A:B,2,FALSE)</f>
        <v>Product ASTMN</v>
      </c>
      <c r="K873" t="str">
        <f>VLOOKUP(VLOOKUP(B873,Product!A:D,4,FALSE),Category!A:B,2,FALSE)</f>
        <v>Dairy Product</v>
      </c>
      <c r="L873" s="24">
        <f>IFERROR(VLOOKUP(A873,'Sales Order'!A:D,4,FALSE),"")</f>
        <v>39252</v>
      </c>
      <c r="M873" s="24">
        <f>IFERROR(VLOOKUP(A873,'Sales Order'!A:F,6,FALSE),"")</f>
        <v>39263</v>
      </c>
      <c r="N873" t="str">
        <f>IFERROR(VLOOKUP(VLOOKUP(A873,'Sales Order'!A:G,7,FALSE),Shipper!A:B,2,FALSE),"Not Specified")</f>
        <v>Shipper ETYNR</v>
      </c>
      <c r="O873" t="str">
        <f>IFERROR(VLOOKUP(A873,'Sales Order'!A:I,9,FALSE),"Not Specified")</f>
        <v>Ship to 82-A</v>
      </c>
      <c r="P873" t="str">
        <f>IFERROR(VLOOKUP(A873,'Sales Order'!A:N,14,FALSE),"Not Specified")</f>
        <v>USA</v>
      </c>
      <c r="Q873" t="str">
        <f>VLOOKUP(VLOOKUP(B873,Product!A:C,3,FALSE),Supplier!A:B,2,FALSE)</f>
        <v>Supplier NZLIF</v>
      </c>
      <c r="R873" t="str">
        <f>VLOOKUP(VLOOKUP(B873,Product!A:C,3,FALSE),Supplier!A:I,9,FALSE)</f>
        <v>Norway</v>
      </c>
      <c r="S873" t="str">
        <f>IFERROR(IF(VLOOKUP(A873,'Sales Order'!A:H,8,FALSE)&gt;100,"High Freight","Low Freight"),"Not Specified")</f>
        <v>Low Freight</v>
      </c>
      <c r="T873">
        <f t="shared" si="27"/>
        <v>35</v>
      </c>
    </row>
    <row r="874" spans="1:20">
      <c r="A874" s="9">
        <v>10574</v>
      </c>
      <c r="B874" s="6">
        <v>40</v>
      </c>
      <c r="C874" s="6">
        <v>18.399999999999999</v>
      </c>
      <c r="D874" s="6">
        <v>2</v>
      </c>
      <c r="E874" s="18">
        <v>0</v>
      </c>
      <c r="F874" s="6" t="str">
        <f>IFERROR(VLOOKUP(VLOOKUP(A874,'Sales Order'!A:B,2,FALSE),Customer!A:C,3,FALSE),"Not Specified")</f>
        <v>Veninga, Tjeerd</v>
      </c>
      <c r="G874" s="6" t="str">
        <f t="shared" si="26"/>
        <v>Veninga Tjeerd</v>
      </c>
      <c r="H874" s="22" t="str">
        <f>IFERROR(VLOOKUP(VLOOKUP(A874,'Sales Order'!A:C,3,FALSE),Employee!A:E,5,FALSE)&amp;" "&amp;VLOOKUP(VLOOKUP(A874,'Sales Order'!A:C,3,FALSE),Employee!A:C,3,FALSE)&amp;" "&amp;VLOOKUP(VLOOKUP(A874,'Sales Order'!A:C,3,FALSE),Employee!A:B,2,FALSE),"Not Specified")</f>
        <v>Mrs. Yael Peled</v>
      </c>
      <c r="I874" t="str">
        <f>IFERROR(VLOOKUP(VLOOKUP(A874,'Sales Order'!A:C,3,FALSE),Employee!A:J,10,FALSE),"Not Specified")</f>
        <v>WA</v>
      </c>
      <c r="J874" t="str">
        <f>VLOOKUP(B874,Product!A:B,2,FALSE)</f>
        <v>Product YZIXQ</v>
      </c>
      <c r="K874" t="str">
        <f>VLOOKUP(VLOOKUP(B874,Product!A:D,4,FALSE),Category!A:B,2,FALSE)</f>
        <v>Seafood</v>
      </c>
      <c r="L874" s="24">
        <f>IFERROR(VLOOKUP(A874,'Sales Order'!A:D,4,FALSE),"")</f>
        <v>39252</v>
      </c>
      <c r="M874" s="24">
        <f>IFERROR(VLOOKUP(A874,'Sales Order'!A:F,6,FALSE),"")</f>
        <v>39263</v>
      </c>
      <c r="N874" t="str">
        <f>IFERROR(VLOOKUP(VLOOKUP(A874,'Sales Order'!A:G,7,FALSE),Shipper!A:B,2,FALSE),"Not Specified")</f>
        <v>Shipper ETYNR</v>
      </c>
      <c r="O874" t="str">
        <f>IFERROR(VLOOKUP(A874,'Sales Order'!A:I,9,FALSE),"Not Specified")</f>
        <v>Ship to 82-A</v>
      </c>
      <c r="P874" t="str">
        <f>IFERROR(VLOOKUP(A874,'Sales Order'!A:N,14,FALSE),"Not Specified")</f>
        <v>USA</v>
      </c>
      <c r="Q874" t="str">
        <f>VLOOKUP(VLOOKUP(B874,Product!A:C,3,FALSE),Supplier!A:B,2,FALSE)</f>
        <v>Supplier JDNUG</v>
      </c>
      <c r="R874" t="str">
        <f>VLOOKUP(VLOOKUP(B874,Product!A:C,3,FALSE),Supplier!A:I,9,FALSE)</f>
        <v>USA</v>
      </c>
      <c r="S874" t="str">
        <f>IFERROR(IF(VLOOKUP(A874,'Sales Order'!A:H,8,FALSE)&gt;100,"High Freight","Low Freight"),"Not Specified")</f>
        <v>Low Freight</v>
      </c>
      <c r="T874">
        <f t="shared" si="27"/>
        <v>36.799999999999997</v>
      </c>
    </row>
    <row r="875" spans="1:20">
      <c r="A875" s="9">
        <v>10574</v>
      </c>
      <c r="B875" s="6">
        <v>62</v>
      </c>
      <c r="C875" s="6">
        <v>49.3</v>
      </c>
      <c r="D875" s="6">
        <v>10</v>
      </c>
      <c r="E875" s="18">
        <v>0</v>
      </c>
      <c r="F875" s="6" t="str">
        <f>IFERROR(VLOOKUP(VLOOKUP(A875,'Sales Order'!A:B,2,FALSE),Customer!A:C,3,FALSE),"Not Specified")</f>
        <v>Veninga, Tjeerd</v>
      </c>
      <c r="G875" s="6" t="str">
        <f t="shared" si="26"/>
        <v>Veninga Tjeerd</v>
      </c>
      <c r="H875" s="22" t="str">
        <f>IFERROR(VLOOKUP(VLOOKUP(A875,'Sales Order'!A:C,3,FALSE),Employee!A:E,5,FALSE)&amp;" "&amp;VLOOKUP(VLOOKUP(A875,'Sales Order'!A:C,3,FALSE),Employee!A:C,3,FALSE)&amp;" "&amp;VLOOKUP(VLOOKUP(A875,'Sales Order'!A:C,3,FALSE),Employee!A:B,2,FALSE),"Not Specified")</f>
        <v>Mrs. Yael Peled</v>
      </c>
      <c r="I875" t="str">
        <f>IFERROR(VLOOKUP(VLOOKUP(A875,'Sales Order'!A:C,3,FALSE),Employee!A:J,10,FALSE),"Not Specified")</f>
        <v>WA</v>
      </c>
      <c r="J875" t="str">
        <f>VLOOKUP(B875,Product!A:B,2,FALSE)</f>
        <v>Product WUXYK</v>
      </c>
      <c r="K875" t="str">
        <f>VLOOKUP(VLOOKUP(B875,Product!A:D,4,FALSE),Category!A:B,2,FALSE)</f>
        <v>Confections</v>
      </c>
      <c r="L875" s="24">
        <f>IFERROR(VLOOKUP(A875,'Sales Order'!A:D,4,FALSE),"")</f>
        <v>39252</v>
      </c>
      <c r="M875" s="24">
        <f>IFERROR(VLOOKUP(A875,'Sales Order'!A:F,6,FALSE),"")</f>
        <v>39263</v>
      </c>
      <c r="N875" t="str">
        <f>IFERROR(VLOOKUP(VLOOKUP(A875,'Sales Order'!A:G,7,FALSE),Shipper!A:B,2,FALSE),"Not Specified")</f>
        <v>Shipper ETYNR</v>
      </c>
      <c r="O875" t="str">
        <f>IFERROR(VLOOKUP(A875,'Sales Order'!A:I,9,FALSE),"Not Specified")</f>
        <v>Ship to 82-A</v>
      </c>
      <c r="P875" t="str">
        <f>IFERROR(VLOOKUP(A875,'Sales Order'!A:N,14,FALSE),"Not Specified")</f>
        <v>USA</v>
      </c>
      <c r="Q875" t="str">
        <f>VLOOKUP(VLOOKUP(B875,Product!A:C,3,FALSE),Supplier!A:B,2,FALSE)</f>
        <v>Supplier OGLRK</v>
      </c>
      <c r="R875" t="str">
        <f>VLOOKUP(VLOOKUP(B875,Product!A:C,3,FALSE),Supplier!A:I,9,FALSE)</f>
        <v>Canada</v>
      </c>
      <c r="S875" t="str">
        <f>IFERROR(IF(VLOOKUP(A875,'Sales Order'!A:H,8,FALSE)&gt;100,"High Freight","Low Freight"),"Not Specified")</f>
        <v>Low Freight</v>
      </c>
      <c r="T875">
        <f t="shared" si="27"/>
        <v>493</v>
      </c>
    </row>
    <row r="876" spans="1:20">
      <c r="A876" s="9">
        <v>10574</v>
      </c>
      <c r="B876" s="6">
        <v>64</v>
      </c>
      <c r="C876" s="6">
        <v>33.25</v>
      </c>
      <c r="D876" s="6">
        <v>6</v>
      </c>
      <c r="E876" s="18">
        <v>0</v>
      </c>
      <c r="F876" s="6" t="str">
        <f>IFERROR(VLOOKUP(VLOOKUP(A876,'Sales Order'!A:B,2,FALSE),Customer!A:C,3,FALSE),"Not Specified")</f>
        <v>Veninga, Tjeerd</v>
      </c>
      <c r="G876" s="6" t="str">
        <f t="shared" si="26"/>
        <v>Veninga Tjeerd</v>
      </c>
      <c r="H876" s="22" t="str">
        <f>IFERROR(VLOOKUP(VLOOKUP(A876,'Sales Order'!A:C,3,FALSE),Employee!A:E,5,FALSE)&amp;" "&amp;VLOOKUP(VLOOKUP(A876,'Sales Order'!A:C,3,FALSE),Employee!A:C,3,FALSE)&amp;" "&amp;VLOOKUP(VLOOKUP(A876,'Sales Order'!A:C,3,FALSE),Employee!A:B,2,FALSE),"Not Specified")</f>
        <v>Mrs. Yael Peled</v>
      </c>
      <c r="I876" t="str">
        <f>IFERROR(VLOOKUP(VLOOKUP(A876,'Sales Order'!A:C,3,FALSE),Employee!A:J,10,FALSE),"Not Specified")</f>
        <v>WA</v>
      </c>
      <c r="J876" t="str">
        <f>VLOOKUP(B876,Product!A:B,2,FALSE)</f>
        <v>Product HCQDE</v>
      </c>
      <c r="K876" t="str">
        <f>VLOOKUP(VLOOKUP(B876,Product!A:D,4,FALSE),Category!A:B,2,FALSE)</f>
        <v>Grains/Cereals</v>
      </c>
      <c r="L876" s="24">
        <f>IFERROR(VLOOKUP(A876,'Sales Order'!A:D,4,FALSE),"")</f>
        <v>39252</v>
      </c>
      <c r="M876" s="24">
        <f>IFERROR(VLOOKUP(A876,'Sales Order'!A:F,6,FALSE),"")</f>
        <v>39263</v>
      </c>
      <c r="N876" t="str">
        <f>IFERROR(VLOOKUP(VLOOKUP(A876,'Sales Order'!A:G,7,FALSE),Shipper!A:B,2,FALSE),"Not Specified")</f>
        <v>Shipper ETYNR</v>
      </c>
      <c r="O876" t="str">
        <f>IFERROR(VLOOKUP(A876,'Sales Order'!A:I,9,FALSE),"Not Specified")</f>
        <v>Ship to 82-A</v>
      </c>
      <c r="P876" t="str">
        <f>IFERROR(VLOOKUP(A876,'Sales Order'!A:N,14,FALSE),"Not Specified")</f>
        <v>USA</v>
      </c>
      <c r="Q876" t="str">
        <f>VLOOKUP(VLOOKUP(B876,Product!A:C,3,FALSE),Supplier!A:B,2,FALSE)</f>
        <v>Supplier SVIYA</v>
      </c>
      <c r="R876" t="str">
        <f>VLOOKUP(VLOOKUP(B876,Product!A:C,3,FALSE),Supplier!A:I,9,FALSE)</f>
        <v>Germany</v>
      </c>
      <c r="S876" t="str">
        <f>IFERROR(IF(VLOOKUP(A876,'Sales Order'!A:H,8,FALSE)&gt;100,"High Freight","Low Freight"),"Not Specified")</f>
        <v>Low Freight</v>
      </c>
      <c r="T876">
        <f t="shared" si="27"/>
        <v>199.5</v>
      </c>
    </row>
    <row r="877" spans="1:20">
      <c r="A877" s="9">
        <v>10575</v>
      </c>
      <c r="B877" s="6">
        <v>59</v>
      </c>
      <c r="C877" s="6">
        <v>55</v>
      </c>
      <c r="D877" s="6">
        <v>12</v>
      </c>
      <c r="E877" s="18">
        <v>0</v>
      </c>
      <c r="F877" s="6" t="str">
        <f>IFERROR(VLOOKUP(VLOOKUP(A877,'Sales Order'!A:B,2,FALSE),Customer!A:C,3,FALSE),"Not Specified")</f>
        <v>Dupont-Roc, Patrice</v>
      </c>
      <c r="G877" s="6" t="str">
        <f t="shared" si="26"/>
        <v>Dupont-Roc Patrice</v>
      </c>
      <c r="H877" s="22" t="str">
        <f>IFERROR(VLOOKUP(VLOOKUP(A877,'Sales Order'!A:C,3,FALSE),Employee!A:E,5,FALSE)&amp;" "&amp;VLOOKUP(VLOOKUP(A877,'Sales Order'!A:C,3,FALSE),Employee!A:C,3,FALSE)&amp;" "&amp;VLOOKUP(VLOOKUP(A877,'Sales Order'!A:C,3,FALSE),Employee!A:B,2,FALSE),"Not Specified")</f>
        <v>Mr. Sven Buck</v>
      </c>
      <c r="I877">
        <f>IFERROR(VLOOKUP(VLOOKUP(A877,'Sales Order'!A:C,3,FALSE),Employee!A:J,10,FALSE),"Not Specified")</f>
        <v>0</v>
      </c>
      <c r="J877" t="str">
        <f>VLOOKUP(B877,Product!A:B,2,FALSE)</f>
        <v>Product UKXRI</v>
      </c>
      <c r="K877" t="str">
        <f>VLOOKUP(VLOOKUP(B877,Product!A:D,4,FALSE),Category!A:B,2,FALSE)</f>
        <v>Dairy Product</v>
      </c>
      <c r="L877" s="24">
        <f>IFERROR(VLOOKUP(A877,'Sales Order'!A:D,4,FALSE),"")</f>
        <v>39253</v>
      </c>
      <c r="M877" s="24">
        <f>IFERROR(VLOOKUP(A877,'Sales Order'!A:F,6,FALSE),"")</f>
        <v>39263</v>
      </c>
      <c r="N877" t="str">
        <f>IFERROR(VLOOKUP(VLOOKUP(A877,'Sales Order'!A:G,7,FALSE),Shipper!A:B,2,FALSE),"Not Specified")</f>
        <v>Shipper GVSUA</v>
      </c>
      <c r="O877" t="str">
        <f>IFERROR(VLOOKUP(A877,'Sales Order'!A:I,9,FALSE),"Not Specified")</f>
        <v>Ship to 52-C</v>
      </c>
      <c r="P877" t="str">
        <f>IFERROR(VLOOKUP(A877,'Sales Order'!A:N,14,FALSE),"Not Specified")</f>
        <v>Germany</v>
      </c>
      <c r="Q877" t="str">
        <f>VLOOKUP(VLOOKUP(B877,Product!A:C,3,FALSE),Supplier!A:B,2,FALSE)</f>
        <v>Supplier OAVQT</v>
      </c>
      <c r="R877" t="str">
        <f>VLOOKUP(VLOOKUP(B877,Product!A:C,3,FALSE),Supplier!A:I,9,FALSE)</f>
        <v>France</v>
      </c>
      <c r="S877" t="str">
        <f>IFERROR(IF(VLOOKUP(A877,'Sales Order'!A:H,8,FALSE)&gt;100,"High Freight","Low Freight"),"Not Specified")</f>
        <v>High Freight</v>
      </c>
      <c r="T877">
        <f t="shared" si="27"/>
        <v>660</v>
      </c>
    </row>
    <row r="878" spans="1:20">
      <c r="A878" s="9">
        <v>10575</v>
      </c>
      <c r="B878" s="6">
        <v>63</v>
      </c>
      <c r="C878" s="6">
        <v>43.9</v>
      </c>
      <c r="D878" s="6">
        <v>6</v>
      </c>
      <c r="E878" s="18">
        <v>0</v>
      </c>
      <c r="F878" s="6" t="str">
        <f>IFERROR(VLOOKUP(VLOOKUP(A878,'Sales Order'!A:B,2,FALSE),Customer!A:C,3,FALSE),"Not Specified")</f>
        <v>Dupont-Roc, Patrice</v>
      </c>
      <c r="G878" s="6" t="str">
        <f t="shared" si="26"/>
        <v>Dupont-Roc Patrice</v>
      </c>
      <c r="H878" s="22" t="str">
        <f>IFERROR(VLOOKUP(VLOOKUP(A878,'Sales Order'!A:C,3,FALSE),Employee!A:E,5,FALSE)&amp;" "&amp;VLOOKUP(VLOOKUP(A878,'Sales Order'!A:C,3,FALSE),Employee!A:C,3,FALSE)&amp;" "&amp;VLOOKUP(VLOOKUP(A878,'Sales Order'!A:C,3,FALSE),Employee!A:B,2,FALSE),"Not Specified")</f>
        <v>Mr. Sven Buck</v>
      </c>
      <c r="I878">
        <f>IFERROR(VLOOKUP(VLOOKUP(A878,'Sales Order'!A:C,3,FALSE),Employee!A:J,10,FALSE),"Not Specified")</f>
        <v>0</v>
      </c>
      <c r="J878" t="str">
        <f>VLOOKUP(B878,Product!A:B,2,FALSE)</f>
        <v>Product ICKNK</v>
      </c>
      <c r="K878" t="str">
        <f>VLOOKUP(VLOOKUP(B878,Product!A:D,4,FALSE),Category!A:B,2,FALSE)</f>
        <v>Condiments</v>
      </c>
      <c r="L878" s="24">
        <f>IFERROR(VLOOKUP(A878,'Sales Order'!A:D,4,FALSE),"")</f>
        <v>39253</v>
      </c>
      <c r="M878" s="24">
        <f>IFERROR(VLOOKUP(A878,'Sales Order'!A:F,6,FALSE),"")</f>
        <v>39263</v>
      </c>
      <c r="N878" t="str">
        <f>IFERROR(VLOOKUP(VLOOKUP(A878,'Sales Order'!A:G,7,FALSE),Shipper!A:B,2,FALSE),"Not Specified")</f>
        <v>Shipper GVSUA</v>
      </c>
      <c r="O878" t="str">
        <f>IFERROR(VLOOKUP(A878,'Sales Order'!A:I,9,FALSE),"Not Specified")</f>
        <v>Ship to 52-C</v>
      </c>
      <c r="P878" t="str">
        <f>IFERROR(VLOOKUP(A878,'Sales Order'!A:N,14,FALSE),"Not Specified")</f>
        <v>Germany</v>
      </c>
      <c r="Q878" t="str">
        <f>VLOOKUP(VLOOKUP(B878,Product!A:C,3,FALSE),Supplier!A:B,2,FALSE)</f>
        <v>Supplier GQRCV</v>
      </c>
      <c r="R878" t="str">
        <f>VLOOKUP(VLOOKUP(B878,Product!A:C,3,FALSE),Supplier!A:I,9,FALSE)</f>
        <v>Australia</v>
      </c>
      <c r="S878" t="str">
        <f>IFERROR(IF(VLOOKUP(A878,'Sales Order'!A:H,8,FALSE)&gt;100,"High Freight","Low Freight"),"Not Specified")</f>
        <v>High Freight</v>
      </c>
      <c r="T878">
        <f t="shared" si="27"/>
        <v>263.39999999999998</v>
      </c>
    </row>
    <row r="879" spans="1:20">
      <c r="A879" s="9">
        <v>10575</v>
      </c>
      <c r="B879" s="6">
        <v>72</v>
      </c>
      <c r="C879" s="6">
        <v>34.799999999999997</v>
      </c>
      <c r="D879" s="6">
        <v>30</v>
      </c>
      <c r="E879" s="18">
        <v>0</v>
      </c>
      <c r="F879" s="6" t="str">
        <f>IFERROR(VLOOKUP(VLOOKUP(A879,'Sales Order'!A:B,2,FALSE),Customer!A:C,3,FALSE),"Not Specified")</f>
        <v>Dupont-Roc, Patrice</v>
      </c>
      <c r="G879" s="6" t="str">
        <f t="shared" si="26"/>
        <v>Dupont-Roc Patrice</v>
      </c>
      <c r="H879" s="22" t="str">
        <f>IFERROR(VLOOKUP(VLOOKUP(A879,'Sales Order'!A:C,3,FALSE),Employee!A:E,5,FALSE)&amp;" "&amp;VLOOKUP(VLOOKUP(A879,'Sales Order'!A:C,3,FALSE),Employee!A:C,3,FALSE)&amp;" "&amp;VLOOKUP(VLOOKUP(A879,'Sales Order'!A:C,3,FALSE),Employee!A:B,2,FALSE),"Not Specified")</f>
        <v>Mr. Sven Buck</v>
      </c>
      <c r="I879">
        <f>IFERROR(VLOOKUP(VLOOKUP(A879,'Sales Order'!A:C,3,FALSE),Employee!A:J,10,FALSE),"Not Specified")</f>
        <v>0</v>
      </c>
      <c r="J879" t="str">
        <f>VLOOKUP(B879,Product!A:B,2,FALSE)</f>
        <v>Product GEEOO</v>
      </c>
      <c r="K879" t="str">
        <f>VLOOKUP(VLOOKUP(B879,Product!A:D,4,FALSE),Category!A:B,2,FALSE)</f>
        <v>Dairy Product</v>
      </c>
      <c r="L879" s="24">
        <f>IFERROR(VLOOKUP(A879,'Sales Order'!A:D,4,FALSE),"")</f>
        <v>39253</v>
      </c>
      <c r="M879" s="24">
        <f>IFERROR(VLOOKUP(A879,'Sales Order'!A:F,6,FALSE),"")</f>
        <v>39263</v>
      </c>
      <c r="N879" t="str">
        <f>IFERROR(VLOOKUP(VLOOKUP(A879,'Sales Order'!A:G,7,FALSE),Shipper!A:B,2,FALSE),"Not Specified")</f>
        <v>Shipper GVSUA</v>
      </c>
      <c r="O879" t="str">
        <f>IFERROR(VLOOKUP(A879,'Sales Order'!A:I,9,FALSE),"Not Specified")</f>
        <v>Ship to 52-C</v>
      </c>
      <c r="P879" t="str">
        <f>IFERROR(VLOOKUP(A879,'Sales Order'!A:N,14,FALSE),"Not Specified")</f>
        <v>Germany</v>
      </c>
      <c r="Q879" t="str">
        <f>VLOOKUP(VLOOKUP(B879,Product!A:C,3,FALSE),Supplier!A:B,2,FALSE)</f>
        <v>Supplier KEREV</v>
      </c>
      <c r="R879" t="str">
        <f>VLOOKUP(VLOOKUP(B879,Product!A:C,3,FALSE),Supplier!A:I,9,FALSE)</f>
        <v>Italy</v>
      </c>
      <c r="S879" t="str">
        <f>IFERROR(IF(VLOOKUP(A879,'Sales Order'!A:H,8,FALSE)&gt;100,"High Freight","Low Freight"),"Not Specified")</f>
        <v>High Freight</v>
      </c>
      <c r="T879">
        <f t="shared" si="27"/>
        <v>1044</v>
      </c>
    </row>
    <row r="880" spans="1:20">
      <c r="A880" s="9">
        <v>10575</v>
      </c>
      <c r="B880" s="6">
        <v>76</v>
      </c>
      <c r="C880" s="6">
        <v>18</v>
      </c>
      <c r="D880" s="6">
        <v>10</v>
      </c>
      <c r="E880" s="18">
        <v>0</v>
      </c>
      <c r="F880" s="6" t="str">
        <f>IFERROR(VLOOKUP(VLOOKUP(A880,'Sales Order'!A:B,2,FALSE),Customer!A:C,3,FALSE),"Not Specified")</f>
        <v>Dupont-Roc, Patrice</v>
      </c>
      <c r="G880" s="6" t="str">
        <f t="shared" si="26"/>
        <v>Dupont-Roc Patrice</v>
      </c>
      <c r="H880" s="22" t="str">
        <f>IFERROR(VLOOKUP(VLOOKUP(A880,'Sales Order'!A:C,3,FALSE),Employee!A:E,5,FALSE)&amp;" "&amp;VLOOKUP(VLOOKUP(A880,'Sales Order'!A:C,3,FALSE),Employee!A:C,3,FALSE)&amp;" "&amp;VLOOKUP(VLOOKUP(A880,'Sales Order'!A:C,3,FALSE),Employee!A:B,2,FALSE),"Not Specified")</f>
        <v>Mr. Sven Buck</v>
      </c>
      <c r="I880">
        <f>IFERROR(VLOOKUP(VLOOKUP(A880,'Sales Order'!A:C,3,FALSE),Employee!A:J,10,FALSE),"Not Specified")</f>
        <v>0</v>
      </c>
      <c r="J880" t="str">
        <f>VLOOKUP(B880,Product!A:B,2,FALSE)</f>
        <v>Product JYGFE</v>
      </c>
      <c r="K880" t="str">
        <f>VLOOKUP(VLOOKUP(B880,Product!A:D,4,FALSE),Category!A:B,2,FALSE)</f>
        <v>Beverages</v>
      </c>
      <c r="L880" s="24">
        <f>IFERROR(VLOOKUP(A880,'Sales Order'!A:D,4,FALSE),"")</f>
        <v>39253</v>
      </c>
      <c r="M880" s="24">
        <f>IFERROR(VLOOKUP(A880,'Sales Order'!A:F,6,FALSE),"")</f>
        <v>39263</v>
      </c>
      <c r="N880" t="str">
        <f>IFERROR(VLOOKUP(VLOOKUP(A880,'Sales Order'!A:G,7,FALSE),Shipper!A:B,2,FALSE),"Not Specified")</f>
        <v>Shipper GVSUA</v>
      </c>
      <c r="O880" t="str">
        <f>IFERROR(VLOOKUP(A880,'Sales Order'!A:I,9,FALSE),"Not Specified")</f>
        <v>Ship to 52-C</v>
      </c>
      <c r="P880" t="str">
        <f>IFERROR(VLOOKUP(A880,'Sales Order'!A:N,14,FALSE),"Not Specified")</f>
        <v>Germany</v>
      </c>
      <c r="Q880" t="str">
        <f>VLOOKUP(VLOOKUP(B880,Product!A:C,3,FALSE),Supplier!A:B,2,FALSE)</f>
        <v>Supplier ELCRN</v>
      </c>
      <c r="R880" t="str">
        <f>VLOOKUP(VLOOKUP(B880,Product!A:C,3,FALSE),Supplier!A:I,9,FALSE)</f>
        <v>Finland</v>
      </c>
      <c r="S880" t="str">
        <f>IFERROR(IF(VLOOKUP(A880,'Sales Order'!A:H,8,FALSE)&gt;100,"High Freight","Low Freight"),"Not Specified")</f>
        <v>High Freight</v>
      </c>
      <c r="T880">
        <f t="shared" si="27"/>
        <v>180</v>
      </c>
    </row>
    <row r="881" spans="1:20">
      <c r="A881" s="9">
        <v>10576</v>
      </c>
      <c r="B881" s="6">
        <v>1</v>
      </c>
      <c r="C881" s="6">
        <v>18</v>
      </c>
      <c r="D881" s="6">
        <v>10</v>
      </c>
      <c r="E881" s="18">
        <v>0</v>
      </c>
      <c r="F881" s="6" t="str">
        <f>IFERROR(VLOOKUP(VLOOKUP(A881,'Sales Order'!A:B,2,FALSE),Customer!A:C,3,FALSE),"Not Specified")</f>
        <v>Geschwandtner, Jens</v>
      </c>
      <c r="G881" s="6" t="str">
        <f t="shared" si="26"/>
        <v>Geschwandtner Jens</v>
      </c>
      <c r="H881" s="22" t="str">
        <f>IFERROR(VLOOKUP(VLOOKUP(A881,'Sales Order'!A:C,3,FALSE),Employee!A:E,5,FALSE)&amp;" "&amp;VLOOKUP(VLOOKUP(A881,'Sales Order'!A:C,3,FALSE),Employee!A:C,3,FALSE)&amp;" "&amp;VLOOKUP(VLOOKUP(A881,'Sales Order'!A:C,3,FALSE),Employee!A:B,2,FALSE),"Not Specified")</f>
        <v>Ms. Judy Lew</v>
      </c>
      <c r="I881" t="str">
        <f>IFERROR(VLOOKUP(VLOOKUP(A881,'Sales Order'!A:C,3,FALSE),Employee!A:J,10,FALSE),"Not Specified")</f>
        <v>WA</v>
      </c>
      <c r="J881" t="str">
        <f>VLOOKUP(B881,Product!A:B,2,FALSE)</f>
        <v>Product HHYDP</v>
      </c>
      <c r="K881" t="str">
        <f>VLOOKUP(VLOOKUP(B881,Product!A:D,4,FALSE),Category!A:B,2,FALSE)</f>
        <v>Beverages</v>
      </c>
      <c r="L881" s="24">
        <f>IFERROR(VLOOKUP(A881,'Sales Order'!A:D,4,FALSE),"")</f>
        <v>39256</v>
      </c>
      <c r="M881" s="24">
        <f>IFERROR(VLOOKUP(A881,'Sales Order'!A:F,6,FALSE),"")</f>
        <v>39263</v>
      </c>
      <c r="N881" t="str">
        <f>IFERROR(VLOOKUP(VLOOKUP(A881,'Sales Order'!A:G,7,FALSE),Shipper!A:B,2,FALSE),"Not Specified")</f>
        <v>Shipper ZHISN</v>
      </c>
      <c r="O881" t="str">
        <f>IFERROR(VLOOKUP(A881,'Sales Order'!A:I,9,FALSE),"Not Specified")</f>
        <v>Ship to 80-C</v>
      </c>
      <c r="P881" t="str">
        <f>IFERROR(VLOOKUP(A881,'Sales Order'!A:N,14,FALSE),"Not Specified")</f>
        <v>Mexico</v>
      </c>
      <c r="Q881" t="str">
        <f>VLOOKUP(VLOOKUP(B881,Product!A:C,3,FALSE),Supplier!A:B,2,FALSE)</f>
        <v>Supplier SWRXU</v>
      </c>
      <c r="R881" t="str">
        <f>VLOOKUP(VLOOKUP(B881,Product!A:C,3,FALSE),Supplier!A:I,9,FALSE)</f>
        <v>UK</v>
      </c>
      <c r="S881" t="str">
        <f>IFERROR(IF(VLOOKUP(A881,'Sales Order'!A:H,8,FALSE)&gt;100,"High Freight","Low Freight"),"Not Specified")</f>
        <v>Low Freight</v>
      </c>
      <c r="T881">
        <f t="shared" si="27"/>
        <v>180</v>
      </c>
    </row>
    <row r="882" spans="1:20">
      <c r="A882" s="9">
        <v>10576</v>
      </c>
      <c r="B882" s="6">
        <v>31</v>
      </c>
      <c r="C882" s="6">
        <v>12.5</v>
      </c>
      <c r="D882" s="6">
        <v>20</v>
      </c>
      <c r="E882" s="18">
        <v>0</v>
      </c>
      <c r="F882" s="6" t="str">
        <f>IFERROR(VLOOKUP(VLOOKUP(A882,'Sales Order'!A:B,2,FALSE),Customer!A:C,3,FALSE),"Not Specified")</f>
        <v>Geschwandtner, Jens</v>
      </c>
      <c r="G882" s="6" t="str">
        <f t="shared" si="26"/>
        <v>Geschwandtner Jens</v>
      </c>
      <c r="H882" s="22" t="str">
        <f>IFERROR(VLOOKUP(VLOOKUP(A882,'Sales Order'!A:C,3,FALSE),Employee!A:E,5,FALSE)&amp;" "&amp;VLOOKUP(VLOOKUP(A882,'Sales Order'!A:C,3,FALSE),Employee!A:C,3,FALSE)&amp;" "&amp;VLOOKUP(VLOOKUP(A882,'Sales Order'!A:C,3,FALSE),Employee!A:B,2,FALSE),"Not Specified")</f>
        <v>Ms. Judy Lew</v>
      </c>
      <c r="I882" t="str">
        <f>IFERROR(VLOOKUP(VLOOKUP(A882,'Sales Order'!A:C,3,FALSE),Employee!A:J,10,FALSE),"Not Specified")</f>
        <v>WA</v>
      </c>
      <c r="J882" t="str">
        <f>VLOOKUP(B882,Product!A:B,2,FALSE)</f>
        <v>Product XWOXC</v>
      </c>
      <c r="K882" t="str">
        <f>VLOOKUP(VLOOKUP(B882,Product!A:D,4,FALSE),Category!A:B,2,FALSE)</f>
        <v>Dairy Product</v>
      </c>
      <c r="L882" s="24">
        <f>IFERROR(VLOOKUP(A882,'Sales Order'!A:D,4,FALSE),"")</f>
        <v>39256</v>
      </c>
      <c r="M882" s="24">
        <f>IFERROR(VLOOKUP(A882,'Sales Order'!A:F,6,FALSE),"")</f>
        <v>39263</v>
      </c>
      <c r="N882" t="str">
        <f>IFERROR(VLOOKUP(VLOOKUP(A882,'Sales Order'!A:G,7,FALSE),Shipper!A:B,2,FALSE),"Not Specified")</f>
        <v>Shipper ZHISN</v>
      </c>
      <c r="O882" t="str">
        <f>IFERROR(VLOOKUP(A882,'Sales Order'!A:I,9,FALSE),"Not Specified")</f>
        <v>Ship to 80-C</v>
      </c>
      <c r="P882" t="str">
        <f>IFERROR(VLOOKUP(A882,'Sales Order'!A:N,14,FALSE),"Not Specified")</f>
        <v>Mexico</v>
      </c>
      <c r="Q882" t="str">
        <f>VLOOKUP(VLOOKUP(B882,Product!A:C,3,FALSE),Supplier!A:B,2,FALSE)</f>
        <v>Supplier KEREV</v>
      </c>
      <c r="R882" t="str">
        <f>VLOOKUP(VLOOKUP(B882,Product!A:C,3,FALSE),Supplier!A:I,9,FALSE)</f>
        <v>Italy</v>
      </c>
      <c r="S882" t="str">
        <f>IFERROR(IF(VLOOKUP(A882,'Sales Order'!A:H,8,FALSE)&gt;100,"High Freight","Low Freight"),"Not Specified")</f>
        <v>Low Freight</v>
      </c>
      <c r="T882">
        <f t="shared" si="27"/>
        <v>250</v>
      </c>
    </row>
    <row r="883" spans="1:20">
      <c r="A883" s="9">
        <v>10576</v>
      </c>
      <c r="B883" s="6">
        <v>44</v>
      </c>
      <c r="C883" s="6">
        <v>19.45</v>
      </c>
      <c r="D883" s="6">
        <v>21</v>
      </c>
      <c r="E883" s="18">
        <v>0</v>
      </c>
      <c r="F883" s="6" t="str">
        <f>IFERROR(VLOOKUP(VLOOKUP(A883,'Sales Order'!A:B,2,FALSE),Customer!A:C,3,FALSE),"Not Specified")</f>
        <v>Geschwandtner, Jens</v>
      </c>
      <c r="G883" s="6" t="str">
        <f t="shared" si="26"/>
        <v>Geschwandtner Jens</v>
      </c>
      <c r="H883" s="22" t="str">
        <f>IFERROR(VLOOKUP(VLOOKUP(A883,'Sales Order'!A:C,3,FALSE),Employee!A:E,5,FALSE)&amp;" "&amp;VLOOKUP(VLOOKUP(A883,'Sales Order'!A:C,3,FALSE),Employee!A:C,3,FALSE)&amp;" "&amp;VLOOKUP(VLOOKUP(A883,'Sales Order'!A:C,3,FALSE),Employee!A:B,2,FALSE),"Not Specified")</f>
        <v>Ms. Judy Lew</v>
      </c>
      <c r="I883" t="str">
        <f>IFERROR(VLOOKUP(VLOOKUP(A883,'Sales Order'!A:C,3,FALSE),Employee!A:J,10,FALSE),"Not Specified")</f>
        <v>WA</v>
      </c>
      <c r="J883" t="str">
        <f>VLOOKUP(B883,Product!A:B,2,FALSE)</f>
        <v>Product VJIEO</v>
      </c>
      <c r="K883" t="str">
        <f>VLOOKUP(VLOOKUP(B883,Product!A:D,4,FALSE),Category!A:B,2,FALSE)</f>
        <v>Condiments</v>
      </c>
      <c r="L883" s="24">
        <f>IFERROR(VLOOKUP(A883,'Sales Order'!A:D,4,FALSE),"")</f>
        <v>39256</v>
      </c>
      <c r="M883" s="24">
        <f>IFERROR(VLOOKUP(A883,'Sales Order'!A:F,6,FALSE),"")</f>
        <v>39263</v>
      </c>
      <c r="N883" t="str">
        <f>IFERROR(VLOOKUP(VLOOKUP(A883,'Sales Order'!A:G,7,FALSE),Shipper!A:B,2,FALSE),"Not Specified")</f>
        <v>Shipper ZHISN</v>
      </c>
      <c r="O883" t="str">
        <f>IFERROR(VLOOKUP(A883,'Sales Order'!A:I,9,FALSE),"Not Specified")</f>
        <v>Ship to 80-C</v>
      </c>
      <c r="P883" t="str">
        <f>IFERROR(VLOOKUP(A883,'Sales Order'!A:N,14,FALSE),"Not Specified")</f>
        <v>Mexico</v>
      </c>
      <c r="Q883" t="str">
        <f>VLOOKUP(VLOOKUP(B883,Product!A:C,3,FALSE),Supplier!A:B,2,FALSE)</f>
        <v>Supplier CIYNM</v>
      </c>
      <c r="R883" t="str">
        <f>VLOOKUP(VLOOKUP(B883,Product!A:C,3,FALSE),Supplier!A:I,9,FALSE)</f>
        <v>Singapore</v>
      </c>
      <c r="S883" t="str">
        <f>IFERROR(IF(VLOOKUP(A883,'Sales Order'!A:H,8,FALSE)&gt;100,"High Freight","Low Freight"),"Not Specified")</f>
        <v>Low Freight</v>
      </c>
      <c r="T883">
        <f t="shared" si="27"/>
        <v>408.45</v>
      </c>
    </row>
    <row r="884" spans="1:20">
      <c r="A884" s="9">
        <v>10577</v>
      </c>
      <c r="B884" s="6">
        <v>39</v>
      </c>
      <c r="C884" s="6">
        <v>18</v>
      </c>
      <c r="D884" s="6">
        <v>10</v>
      </c>
      <c r="E884" s="18">
        <v>0</v>
      </c>
      <c r="F884" s="6" t="str">
        <f>IFERROR(VLOOKUP(VLOOKUP(A884,'Sales Order'!A:B,2,FALSE),Customer!A:C,3,FALSE),"Not Specified")</f>
        <v>Veninga, Tjeerd</v>
      </c>
      <c r="G884" s="6" t="str">
        <f t="shared" si="26"/>
        <v>Veninga Tjeerd</v>
      </c>
      <c r="H884" s="22" t="str">
        <f>IFERROR(VLOOKUP(VLOOKUP(A884,'Sales Order'!A:C,3,FALSE),Employee!A:E,5,FALSE)&amp;" "&amp;VLOOKUP(VLOOKUP(A884,'Sales Order'!A:C,3,FALSE),Employee!A:C,3,FALSE)&amp;" "&amp;VLOOKUP(VLOOKUP(A884,'Sales Order'!A:C,3,FALSE),Employee!A:B,2,FALSE),"Not Specified")</f>
        <v>Ms. Zoya Dolgopyatova</v>
      </c>
      <c r="I884">
        <f>IFERROR(VLOOKUP(VLOOKUP(A884,'Sales Order'!A:C,3,FALSE),Employee!A:J,10,FALSE),"Not Specified")</f>
        <v>0</v>
      </c>
      <c r="J884" t="str">
        <f>VLOOKUP(B884,Product!A:B,2,FALSE)</f>
        <v>Product LSOFL</v>
      </c>
      <c r="K884" t="str">
        <f>VLOOKUP(VLOOKUP(B884,Product!A:D,4,FALSE),Category!A:B,2,FALSE)</f>
        <v>Beverages</v>
      </c>
      <c r="L884" s="24">
        <f>IFERROR(VLOOKUP(A884,'Sales Order'!A:D,4,FALSE),"")</f>
        <v>39256</v>
      </c>
      <c r="M884" s="24">
        <f>IFERROR(VLOOKUP(A884,'Sales Order'!A:F,6,FALSE),"")</f>
        <v>39263</v>
      </c>
      <c r="N884" t="str">
        <f>IFERROR(VLOOKUP(VLOOKUP(A884,'Sales Order'!A:G,7,FALSE),Shipper!A:B,2,FALSE),"Not Specified")</f>
        <v>Shipper ETYNR</v>
      </c>
      <c r="O884" t="str">
        <f>IFERROR(VLOOKUP(A884,'Sales Order'!A:I,9,FALSE),"Not Specified")</f>
        <v>Ship to 82-B</v>
      </c>
      <c r="P884" t="str">
        <f>IFERROR(VLOOKUP(A884,'Sales Order'!A:N,14,FALSE),"Not Specified")</f>
        <v>USA</v>
      </c>
      <c r="Q884" t="str">
        <f>VLOOKUP(VLOOKUP(B884,Product!A:C,3,FALSE),Supplier!A:B,2,FALSE)</f>
        <v>Supplier LVJUA</v>
      </c>
      <c r="R884" t="str">
        <f>VLOOKUP(VLOOKUP(B884,Product!A:C,3,FALSE),Supplier!A:I,9,FALSE)</f>
        <v>France</v>
      </c>
      <c r="S884" t="str">
        <f>IFERROR(IF(VLOOKUP(A884,'Sales Order'!A:H,8,FALSE)&gt;100,"High Freight","Low Freight"),"Not Specified")</f>
        <v>Low Freight</v>
      </c>
      <c r="T884">
        <f t="shared" si="27"/>
        <v>180</v>
      </c>
    </row>
    <row r="885" spans="1:20">
      <c r="A885" s="9">
        <v>10577</v>
      </c>
      <c r="B885" s="6">
        <v>75</v>
      </c>
      <c r="C885" s="6">
        <v>7.75</v>
      </c>
      <c r="D885" s="6">
        <v>20</v>
      </c>
      <c r="E885" s="18">
        <v>0</v>
      </c>
      <c r="F885" s="6" t="str">
        <f>IFERROR(VLOOKUP(VLOOKUP(A885,'Sales Order'!A:B,2,FALSE),Customer!A:C,3,FALSE),"Not Specified")</f>
        <v>Veninga, Tjeerd</v>
      </c>
      <c r="G885" s="6" t="str">
        <f t="shared" si="26"/>
        <v>Veninga Tjeerd</v>
      </c>
      <c r="H885" s="22" t="str">
        <f>IFERROR(VLOOKUP(VLOOKUP(A885,'Sales Order'!A:C,3,FALSE),Employee!A:E,5,FALSE)&amp;" "&amp;VLOOKUP(VLOOKUP(A885,'Sales Order'!A:C,3,FALSE),Employee!A:C,3,FALSE)&amp;" "&amp;VLOOKUP(VLOOKUP(A885,'Sales Order'!A:C,3,FALSE),Employee!A:B,2,FALSE),"Not Specified")</f>
        <v>Ms. Zoya Dolgopyatova</v>
      </c>
      <c r="I885">
        <f>IFERROR(VLOOKUP(VLOOKUP(A885,'Sales Order'!A:C,3,FALSE),Employee!A:J,10,FALSE),"Not Specified")</f>
        <v>0</v>
      </c>
      <c r="J885" t="str">
        <f>VLOOKUP(B885,Product!A:B,2,FALSE)</f>
        <v>Product BWRLG</v>
      </c>
      <c r="K885" t="str">
        <f>VLOOKUP(VLOOKUP(B885,Product!A:D,4,FALSE),Category!A:B,2,FALSE)</f>
        <v>Beverages</v>
      </c>
      <c r="L885" s="24">
        <f>IFERROR(VLOOKUP(A885,'Sales Order'!A:D,4,FALSE),"")</f>
        <v>39256</v>
      </c>
      <c r="M885" s="24">
        <f>IFERROR(VLOOKUP(A885,'Sales Order'!A:F,6,FALSE),"")</f>
        <v>39263</v>
      </c>
      <c r="N885" t="str">
        <f>IFERROR(VLOOKUP(VLOOKUP(A885,'Sales Order'!A:G,7,FALSE),Shipper!A:B,2,FALSE),"Not Specified")</f>
        <v>Shipper ETYNR</v>
      </c>
      <c r="O885" t="str">
        <f>IFERROR(VLOOKUP(A885,'Sales Order'!A:I,9,FALSE),"Not Specified")</f>
        <v>Ship to 82-B</v>
      </c>
      <c r="P885" t="str">
        <f>IFERROR(VLOOKUP(A885,'Sales Order'!A:N,14,FALSE),"Not Specified")</f>
        <v>USA</v>
      </c>
      <c r="Q885" t="str">
        <f>VLOOKUP(VLOOKUP(B885,Product!A:C,3,FALSE),Supplier!A:B,2,FALSE)</f>
        <v>Supplier SVIYA</v>
      </c>
      <c r="R885" t="str">
        <f>VLOOKUP(VLOOKUP(B885,Product!A:C,3,FALSE),Supplier!A:I,9,FALSE)</f>
        <v>Germany</v>
      </c>
      <c r="S885" t="str">
        <f>IFERROR(IF(VLOOKUP(A885,'Sales Order'!A:H,8,FALSE)&gt;100,"High Freight","Low Freight"),"Not Specified")</f>
        <v>Low Freight</v>
      </c>
      <c r="T885">
        <f t="shared" si="27"/>
        <v>155</v>
      </c>
    </row>
    <row r="886" spans="1:20">
      <c r="A886" s="9">
        <v>10577</v>
      </c>
      <c r="B886" s="6">
        <v>77</v>
      </c>
      <c r="C886" s="6">
        <v>13</v>
      </c>
      <c r="D886" s="6">
        <v>18</v>
      </c>
      <c r="E886" s="18">
        <v>0</v>
      </c>
      <c r="F886" s="6" t="str">
        <f>IFERROR(VLOOKUP(VLOOKUP(A886,'Sales Order'!A:B,2,FALSE),Customer!A:C,3,FALSE),"Not Specified")</f>
        <v>Veninga, Tjeerd</v>
      </c>
      <c r="G886" s="6" t="str">
        <f t="shared" si="26"/>
        <v>Veninga Tjeerd</v>
      </c>
      <c r="H886" s="22" t="str">
        <f>IFERROR(VLOOKUP(VLOOKUP(A886,'Sales Order'!A:C,3,FALSE),Employee!A:E,5,FALSE)&amp;" "&amp;VLOOKUP(VLOOKUP(A886,'Sales Order'!A:C,3,FALSE),Employee!A:C,3,FALSE)&amp;" "&amp;VLOOKUP(VLOOKUP(A886,'Sales Order'!A:C,3,FALSE),Employee!A:B,2,FALSE),"Not Specified")</f>
        <v>Ms. Zoya Dolgopyatova</v>
      </c>
      <c r="I886">
        <f>IFERROR(VLOOKUP(VLOOKUP(A886,'Sales Order'!A:C,3,FALSE),Employee!A:J,10,FALSE),"Not Specified")</f>
        <v>0</v>
      </c>
      <c r="J886" t="str">
        <f>VLOOKUP(B886,Product!A:B,2,FALSE)</f>
        <v>Product LUNZZ</v>
      </c>
      <c r="K886" t="str">
        <f>VLOOKUP(VLOOKUP(B886,Product!A:D,4,FALSE),Category!A:B,2,FALSE)</f>
        <v>Condiments</v>
      </c>
      <c r="L886" s="24">
        <f>IFERROR(VLOOKUP(A886,'Sales Order'!A:D,4,FALSE),"")</f>
        <v>39256</v>
      </c>
      <c r="M886" s="24">
        <f>IFERROR(VLOOKUP(A886,'Sales Order'!A:F,6,FALSE),"")</f>
        <v>39263</v>
      </c>
      <c r="N886" t="str">
        <f>IFERROR(VLOOKUP(VLOOKUP(A886,'Sales Order'!A:G,7,FALSE),Shipper!A:B,2,FALSE),"Not Specified")</f>
        <v>Shipper ETYNR</v>
      </c>
      <c r="O886" t="str">
        <f>IFERROR(VLOOKUP(A886,'Sales Order'!A:I,9,FALSE),"Not Specified")</f>
        <v>Ship to 82-B</v>
      </c>
      <c r="P886" t="str">
        <f>IFERROR(VLOOKUP(A886,'Sales Order'!A:N,14,FALSE),"Not Specified")</f>
        <v>USA</v>
      </c>
      <c r="Q886" t="str">
        <f>VLOOKUP(VLOOKUP(B886,Product!A:C,3,FALSE),Supplier!A:B,2,FALSE)</f>
        <v>Supplier SVIYA</v>
      </c>
      <c r="R886" t="str">
        <f>VLOOKUP(VLOOKUP(B886,Product!A:C,3,FALSE),Supplier!A:I,9,FALSE)</f>
        <v>Germany</v>
      </c>
      <c r="S886" t="str">
        <f>IFERROR(IF(VLOOKUP(A886,'Sales Order'!A:H,8,FALSE)&gt;100,"High Freight","Low Freight"),"Not Specified")</f>
        <v>Low Freight</v>
      </c>
      <c r="T886">
        <f t="shared" si="27"/>
        <v>234</v>
      </c>
    </row>
    <row r="887" spans="1:20">
      <c r="A887" s="9">
        <v>10578</v>
      </c>
      <c r="B887" s="6">
        <v>35</v>
      </c>
      <c r="C887" s="6">
        <v>18</v>
      </c>
      <c r="D887" s="6">
        <v>20</v>
      </c>
      <c r="E887" s="18">
        <v>0</v>
      </c>
      <c r="F887" s="6" t="str">
        <f>IFERROR(VLOOKUP(VLOOKUP(A887,'Sales Order'!A:B,2,FALSE),Customer!A:C,3,FALSE),"Not Specified")</f>
        <v>Jaffe, David</v>
      </c>
      <c r="G887" s="6" t="str">
        <f t="shared" si="26"/>
        <v>Jaffe David</v>
      </c>
      <c r="H887" s="22" t="str">
        <f>IFERROR(VLOOKUP(VLOOKUP(A887,'Sales Order'!A:C,3,FALSE),Employee!A:E,5,FALSE)&amp;" "&amp;VLOOKUP(VLOOKUP(A887,'Sales Order'!A:C,3,FALSE),Employee!A:C,3,FALSE)&amp;" "&amp;VLOOKUP(VLOOKUP(A887,'Sales Order'!A:C,3,FALSE),Employee!A:B,2,FALSE),"Not Specified")</f>
        <v>Mrs. Yael Peled</v>
      </c>
      <c r="I887" t="str">
        <f>IFERROR(VLOOKUP(VLOOKUP(A887,'Sales Order'!A:C,3,FALSE),Employee!A:J,10,FALSE),"Not Specified")</f>
        <v>WA</v>
      </c>
      <c r="J887" t="str">
        <f>VLOOKUP(B887,Product!A:B,2,FALSE)</f>
        <v>Product NEVTJ</v>
      </c>
      <c r="K887" t="str">
        <f>VLOOKUP(VLOOKUP(B887,Product!A:D,4,FALSE),Category!A:B,2,FALSE)</f>
        <v>Beverages</v>
      </c>
      <c r="L887" s="24">
        <f>IFERROR(VLOOKUP(A887,'Sales Order'!A:D,4,FALSE),"")</f>
        <v>39257</v>
      </c>
      <c r="M887" s="24">
        <f>IFERROR(VLOOKUP(A887,'Sales Order'!A:F,6,FALSE),"")</f>
        <v>39288</v>
      </c>
      <c r="N887" t="str">
        <f>IFERROR(VLOOKUP(VLOOKUP(A887,'Sales Order'!A:G,7,FALSE),Shipper!A:B,2,FALSE),"Not Specified")</f>
        <v>Shipper ZHISN</v>
      </c>
      <c r="O887" t="str">
        <f>IFERROR(VLOOKUP(A887,'Sales Order'!A:I,9,FALSE),"Not Specified")</f>
        <v>Destination NZASL</v>
      </c>
      <c r="P887" t="str">
        <f>IFERROR(VLOOKUP(A887,'Sales Order'!A:N,14,FALSE),"Not Specified")</f>
        <v>UK</v>
      </c>
      <c r="Q887" t="str">
        <f>VLOOKUP(VLOOKUP(B887,Product!A:C,3,FALSE),Supplier!A:B,2,FALSE)</f>
        <v>Supplier UHZRG</v>
      </c>
      <c r="R887" t="str">
        <f>VLOOKUP(VLOOKUP(B887,Product!A:C,3,FALSE),Supplier!A:I,9,FALSE)</f>
        <v>USA</v>
      </c>
      <c r="S887" t="str">
        <f>IFERROR(IF(VLOOKUP(A887,'Sales Order'!A:H,8,FALSE)&gt;100,"High Freight","Low Freight"),"Not Specified")</f>
        <v>Low Freight</v>
      </c>
      <c r="T887">
        <f t="shared" si="27"/>
        <v>360</v>
      </c>
    </row>
    <row r="888" spans="1:20">
      <c r="A888" s="9">
        <v>10578</v>
      </c>
      <c r="B888" s="6">
        <v>57</v>
      </c>
      <c r="C888" s="6">
        <v>19.5</v>
      </c>
      <c r="D888" s="6">
        <v>6</v>
      </c>
      <c r="E888" s="18">
        <v>0</v>
      </c>
      <c r="F888" s="6" t="str">
        <f>IFERROR(VLOOKUP(VLOOKUP(A888,'Sales Order'!A:B,2,FALSE),Customer!A:C,3,FALSE),"Not Specified")</f>
        <v>Jaffe, David</v>
      </c>
      <c r="G888" s="6" t="str">
        <f t="shared" si="26"/>
        <v>Jaffe David</v>
      </c>
      <c r="H888" s="22" t="str">
        <f>IFERROR(VLOOKUP(VLOOKUP(A888,'Sales Order'!A:C,3,FALSE),Employee!A:E,5,FALSE)&amp;" "&amp;VLOOKUP(VLOOKUP(A888,'Sales Order'!A:C,3,FALSE),Employee!A:C,3,FALSE)&amp;" "&amp;VLOOKUP(VLOOKUP(A888,'Sales Order'!A:C,3,FALSE),Employee!A:B,2,FALSE),"Not Specified")</f>
        <v>Mrs. Yael Peled</v>
      </c>
      <c r="I888" t="str">
        <f>IFERROR(VLOOKUP(VLOOKUP(A888,'Sales Order'!A:C,3,FALSE),Employee!A:J,10,FALSE),"Not Specified")</f>
        <v>WA</v>
      </c>
      <c r="J888" t="str">
        <f>VLOOKUP(B888,Product!A:B,2,FALSE)</f>
        <v>Product OVLQI</v>
      </c>
      <c r="K888" t="str">
        <f>VLOOKUP(VLOOKUP(B888,Product!A:D,4,FALSE),Category!A:B,2,FALSE)</f>
        <v>Grains/Cereals</v>
      </c>
      <c r="L888" s="24">
        <f>IFERROR(VLOOKUP(A888,'Sales Order'!A:D,4,FALSE),"")</f>
        <v>39257</v>
      </c>
      <c r="M888" s="24">
        <f>IFERROR(VLOOKUP(A888,'Sales Order'!A:F,6,FALSE),"")</f>
        <v>39288</v>
      </c>
      <c r="N888" t="str">
        <f>IFERROR(VLOOKUP(VLOOKUP(A888,'Sales Order'!A:G,7,FALSE),Shipper!A:B,2,FALSE),"Not Specified")</f>
        <v>Shipper ZHISN</v>
      </c>
      <c r="O888" t="str">
        <f>IFERROR(VLOOKUP(A888,'Sales Order'!A:I,9,FALSE),"Not Specified")</f>
        <v>Destination NZASL</v>
      </c>
      <c r="P888" t="str">
        <f>IFERROR(VLOOKUP(A888,'Sales Order'!A:N,14,FALSE),"Not Specified")</f>
        <v>UK</v>
      </c>
      <c r="Q888" t="str">
        <f>VLOOKUP(VLOOKUP(B888,Product!A:C,3,FALSE),Supplier!A:B,2,FALSE)</f>
        <v>Supplier ZWZDM</v>
      </c>
      <c r="R888" t="str">
        <f>VLOOKUP(VLOOKUP(B888,Product!A:C,3,FALSE),Supplier!A:I,9,FALSE)</f>
        <v>Italy</v>
      </c>
      <c r="S888" t="str">
        <f>IFERROR(IF(VLOOKUP(A888,'Sales Order'!A:H,8,FALSE)&gt;100,"High Freight","Low Freight"),"Not Specified")</f>
        <v>Low Freight</v>
      </c>
      <c r="T888">
        <f t="shared" si="27"/>
        <v>117</v>
      </c>
    </row>
    <row r="889" spans="1:20">
      <c r="A889" s="9">
        <v>10579</v>
      </c>
      <c r="B889" s="6">
        <v>15</v>
      </c>
      <c r="C889" s="6">
        <v>15.5</v>
      </c>
      <c r="D889" s="6">
        <v>10</v>
      </c>
      <c r="E889" s="18">
        <v>0</v>
      </c>
      <c r="F889" s="6" t="str">
        <f>IFERROR(VLOOKUP(VLOOKUP(A889,'Sales Order'!A:B,2,FALSE),Customer!A:C,3,FALSE),"Not Specified")</f>
        <v>Sunkammurali, Krishna</v>
      </c>
      <c r="G889" s="6" t="str">
        <f t="shared" si="26"/>
        <v>Sunkammurali Krishna</v>
      </c>
      <c r="H889" s="22" t="str">
        <f>IFERROR(VLOOKUP(VLOOKUP(A889,'Sales Order'!A:C,3,FALSE),Employee!A:E,5,FALSE)&amp;" "&amp;VLOOKUP(VLOOKUP(A889,'Sales Order'!A:C,3,FALSE),Employee!A:C,3,FALSE)&amp;" "&amp;VLOOKUP(VLOOKUP(A889,'Sales Order'!A:C,3,FALSE),Employee!A:B,2,FALSE),"Not Specified")</f>
        <v>Ms. Sara Davis</v>
      </c>
      <c r="I889" t="str">
        <f>IFERROR(VLOOKUP(VLOOKUP(A889,'Sales Order'!A:C,3,FALSE),Employee!A:J,10,FALSE),"Not Specified")</f>
        <v>WA</v>
      </c>
      <c r="J889" t="str">
        <f>VLOOKUP(B889,Product!A:B,2,FALSE)</f>
        <v>Product KSZOI</v>
      </c>
      <c r="K889" t="str">
        <f>VLOOKUP(VLOOKUP(B889,Product!A:D,4,FALSE),Category!A:B,2,FALSE)</f>
        <v>Condiments</v>
      </c>
      <c r="L889" s="24">
        <f>IFERROR(VLOOKUP(A889,'Sales Order'!A:D,4,FALSE),"")</f>
        <v>39258</v>
      </c>
      <c r="M889" s="24">
        <f>IFERROR(VLOOKUP(A889,'Sales Order'!A:F,6,FALSE),"")</f>
        <v>39267</v>
      </c>
      <c r="N889" t="str">
        <f>IFERROR(VLOOKUP(VLOOKUP(A889,'Sales Order'!A:G,7,FALSE),Shipper!A:B,2,FALSE),"Not Specified")</f>
        <v>Shipper ETYNR</v>
      </c>
      <c r="O889" t="str">
        <f>IFERROR(VLOOKUP(A889,'Sales Order'!A:I,9,FALSE),"Not Specified")</f>
        <v>Ship to 45-C</v>
      </c>
      <c r="P889" t="str">
        <f>IFERROR(VLOOKUP(A889,'Sales Order'!A:N,14,FALSE),"Not Specified")</f>
        <v>USA</v>
      </c>
      <c r="Q889" t="str">
        <f>VLOOKUP(VLOOKUP(B889,Product!A:C,3,FALSE),Supplier!A:B,2,FALSE)</f>
        <v>Supplier QWUSF</v>
      </c>
      <c r="R889" t="str">
        <f>VLOOKUP(VLOOKUP(B889,Product!A:C,3,FALSE),Supplier!A:I,9,FALSE)</f>
        <v>Japan</v>
      </c>
      <c r="S889" t="str">
        <f>IFERROR(IF(VLOOKUP(A889,'Sales Order'!A:H,8,FALSE)&gt;100,"High Freight","Low Freight"),"Not Specified")</f>
        <v>Low Freight</v>
      </c>
      <c r="T889">
        <f t="shared" si="27"/>
        <v>155</v>
      </c>
    </row>
    <row r="890" spans="1:20">
      <c r="A890" s="9">
        <v>10579</v>
      </c>
      <c r="B890" s="6">
        <v>75</v>
      </c>
      <c r="C890" s="6">
        <v>7.75</v>
      </c>
      <c r="D890" s="6">
        <v>21</v>
      </c>
      <c r="E890" s="18">
        <v>0</v>
      </c>
      <c r="F890" s="6" t="str">
        <f>IFERROR(VLOOKUP(VLOOKUP(A890,'Sales Order'!A:B,2,FALSE),Customer!A:C,3,FALSE),"Not Specified")</f>
        <v>Sunkammurali, Krishna</v>
      </c>
      <c r="G890" s="6" t="str">
        <f t="shared" si="26"/>
        <v>Sunkammurali Krishna</v>
      </c>
      <c r="H890" s="22" t="str">
        <f>IFERROR(VLOOKUP(VLOOKUP(A890,'Sales Order'!A:C,3,FALSE),Employee!A:E,5,FALSE)&amp;" "&amp;VLOOKUP(VLOOKUP(A890,'Sales Order'!A:C,3,FALSE),Employee!A:C,3,FALSE)&amp;" "&amp;VLOOKUP(VLOOKUP(A890,'Sales Order'!A:C,3,FALSE),Employee!A:B,2,FALSE),"Not Specified")</f>
        <v>Ms. Sara Davis</v>
      </c>
      <c r="I890" t="str">
        <f>IFERROR(VLOOKUP(VLOOKUP(A890,'Sales Order'!A:C,3,FALSE),Employee!A:J,10,FALSE),"Not Specified")</f>
        <v>WA</v>
      </c>
      <c r="J890" t="str">
        <f>VLOOKUP(B890,Product!A:B,2,FALSE)</f>
        <v>Product BWRLG</v>
      </c>
      <c r="K890" t="str">
        <f>VLOOKUP(VLOOKUP(B890,Product!A:D,4,FALSE),Category!A:B,2,FALSE)</f>
        <v>Beverages</v>
      </c>
      <c r="L890" s="24">
        <f>IFERROR(VLOOKUP(A890,'Sales Order'!A:D,4,FALSE),"")</f>
        <v>39258</v>
      </c>
      <c r="M890" s="24">
        <f>IFERROR(VLOOKUP(A890,'Sales Order'!A:F,6,FALSE),"")</f>
        <v>39267</v>
      </c>
      <c r="N890" t="str">
        <f>IFERROR(VLOOKUP(VLOOKUP(A890,'Sales Order'!A:G,7,FALSE),Shipper!A:B,2,FALSE),"Not Specified")</f>
        <v>Shipper ETYNR</v>
      </c>
      <c r="O890" t="str">
        <f>IFERROR(VLOOKUP(A890,'Sales Order'!A:I,9,FALSE),"Not Specified")</f>
        <v>Ship to 45-C</v>
      </c>
      <c r="P890" t="str">
        <f>IFERROR(VLOOKUP(A890,'Sales Order'!A:N,14,FALSE),"Not Specified")</f>
        <v>USA</v>
      </c>
      <c r="Q890" t="str">
        <f>VLOOKUP(VLOOKUP(B890,Product!A:C,3,FALSE),Supplier!A:B,2,FALSE)</f>
        <v>Supplier SVIYA</v>
      </c>
      <c r="R890" t="str">
        <f>VLOOKUP(VLOOKUP(B890,Product!A:C,3,FALSE),Supplier!A:I,9,FALSE)</f>
        <v>Germany</v>
      </c>
      <c r="S890" t="str">
        <f>IFERROR(IF(VLOOKUP(A890,'Sales Order'!A:H,8,FALSE)&gt;100,"High Freight","Low Freight"),"Not Specified")</f>
        <v>Low Freight</v>
      </c>
      <c r="T890">
        <f t="shared" si="27"/>
        <v>162.75</v>
      </c>
    </row>
    <row r="891" spans="1:20">
      <c r="A891" s="9">
        <v>10580</v>
      </c>
      <c r="B891" s="6">
        <v>14</v>
      </c>
      <c r="C891" s="6">
        <v>23.25</v>
      </c>
      <c r="D891" s="6">
        <v>15</v>
      </c>
      <c r="E891" s="18">
        <v>0.05</v>
      </c>
      <c r="F891" s="6" t="str">
        <f>IFERROR(VLOOKUP(VLOOKUP(A891,'Sales Order'!A:B,2,FALSE),Customer!A:C,3,FALSE),"Not Specified")</f>
        <v>Marinova, Nadejda</v>
      </c>
      <c r="G891" s="6" t="str">
        <f t="shared" si="26"/>
        <v>Marinova Nadejda</v>
      </c>
      <c r="H891" s="22" t="str">
        <f>IFERROR(VLOOKUP(VLOOKUP(A891,'Sales Order'!A:C,3,FALSE),Employee!A:E,5,FALSE)&amp;" "&amp;VLOOKUP(VLOOKUP(A891,'Sales Order'!A:C,3,FALSE),Employee!A:C,3,FALSE)&amp;" "&amp;VLOOKUP(VLOOKUP(A891,'Sales Order'!A:C,3,FALSE),Employee!A:B,2,FALSE),"Not Specified")</f>
        <v>Mrs. Yael Peled</v>
      </c>
      <c r="I891" t="str">
        <f>IFERROR(VLOOKUP(VLOOKUP(A891,'Sales Order'!A:C,3,FALSE),Employee!A:J,10,FALSE),"Not Specified")</f>
        <v>WA</v>
      </c>
      <c r="J891" t="str">
        <f>VLOOKUP(B891,Product!A:B,2,FALSE)</f>
        <v>Product PWCJB</v>
      </c>
      <c r="K891" t="str">
        <f>VLOOKUP(VLOOKUP(B891,Product!A:D,4,FALSE),Category!A:B,2,FALSE)</f>
        <v>Produce</v>
      </c>
      <c r="L891" s="24">
        <f>IFERROR(VLOOKUP(A891,'Sales Order'!A:D,4,FALSE),"")</f>
        <v>39259</v>
      </c>
      <c r="M891" s="24">
        <f>IFERROR(VLOOKUP(A891,'Sales Order'!A:F,6,FALSE),"")</f>
        <v>39264</v>
      </c>
      <c r="N891" t="str">
        <f>IFERROR(VLOOKUP(VLOOKUP(A891,'Sales Order'!A:G,7,FALSE),Shipper!A:B,2,FALSE),"Not Specified")</f>
        <v>Shipper ZHISN</v>
      </c>
      <c r="O891" t="str">
        <f>IFERROR(VLOOKUP(A891,'Sales Order'!A:I,9,FALSE),"Not Specified")</f>
        <v>Ship to 56-C</v>
      </c>
      <c r="P891" t="str">
        <f>IFERROR(VLOOKUP(A891,'Sales Order'!A:N,14,FALSE),"Not Specified")</f>
        <v>Germany</v>
      </c>
      <c r="Q891" t="str">
        <f>VLOOKUP(VLOOKUP(B891,Product!A:C,3,FALSE),Supplier!A:B,2,FALSE)</f>
        <v>Supplier QWUSF</v>
      </c>
      <c r="R891" t="str">
        <f>VLOOKUP(VLOOKUP(B891,Product!A:C,3,FALSE),Supplier!A:I,9,FALSE)</f>
        <v>Japan</v>
      </c>
      <c r="S891" t="str">
        <f>IFERROR(IF(VLOOKUP(A891,'Sales Order'!A:H,8,FALSE)&gt;100,"High Freight","Low Freight"),"Not Specified")</f>
        <v>Low Freight</v>
      </c>
      <c r="T891">
        <f t="shared" si="27"/>
        <v>331.3125</v>
      </c>
    </row>
    <row r="892" spans="1:20">
      <c r="A892" s="9">
        <v>10580</v>
      </c>
      <c r="B892" s="6">
        <v>41</v>
      </c>
      <c r="C892" s="6">
        <v>9.65</v>
      </c>
      <c r="D892" s="6">
        <v>9</v>
      </c>
      <c r="E892" s="18">
        <v>0.05</v>
      </c>
      <c r="F892" s="6" t="str">
        <f>IFERROR(VLOOKUP(VLOOKUP(A892,'Sales Order'!A:B,2,FALSE),Customer!A:C,3,FALSE),"Not Specified")</f>
        <v>Marinova, Nadejda</v>
      </c>
      <c r="G892" s="6" t="str">
        <f t="shared" si="26"/>
        <v>Marinova Nadejda</v>
      </c>
      <c r="H892" s="22" t="str">
        <f>IFERROR(VLOOKUP(VLOOKUP(A892,'Sales Order'!A:C,3,FALSE),Employee!A:E,5,FALSE)&amp;" "&amp;VLOOKUP(VLOOKUP(A892,'Sales Order'!A:C,3,FALSE),Employee!A:C,3,FALSE)&amp;" "&amp;VLOOKUP(VLOOKUP(A892,'Sales Order'!A:C,3,FALSE),Employee!A:B,2,FALSE),"Not Specified")</f>
        <v>Mrs. Yael Peled</v>
      </c>
      <c r="I892" t="str">
        <f>IFERROR(VLOOKUP(VLOOKUP(A892,'Sales Order'!A:C,3,FALSE),Employee!A:J,10,FALSE),"Not Specified")</f>
        <v>WA</v>
      </c>
      <c r="J892" t="str">
        <f>VLOOKUP(B892,Product!A:B,2,FALSE)</f>
        <v>Product TTEEX</v>
      </c>
      <c r="K892" t="str">
        <f>VLOOKUP(VLOOKUP(B892,Product!A:D,4,FALSE),Category!A:B,2,FALSE)</f>
        <v>Seafood</v>
      </c>
      <c r="L892" s="24">
        <f>IFERROR(VLOOKUP(A892,'Sales Order'!A:D,4,FALSE),"")</f>
        <v>39259</v>
      </c>
      <c r="M892" s="24">
        <f>IFERROR(VLOOKUP(A892,'Sales Order'!A:F,6,FALSE),"")</f>
        <v>39264</v>
      </c>
      <c r="N892" t="str">
        <f>IFERROR(VLOOKUP(VLOOKUP(A892,'Sales Order'!A:G,7,FALSE),Shipper!A:B,2,FALSE),"Not Specified")</f>
        <v>Shipper ZHISN</v>
      </c>
      <c r="O892" t="str">
        <f>IFERROR(VLOOKUP(A892,'Sales Order'!A:I,9,FALSE),"Not Specified")</f>
        <v>Ship to 56-C</v>
      </c>
      <c r="P892" t="str">
        <f>IFERROR(VLOOKUP(A892,'Sales Order'!A:N,14,FALSE),"Not Specified")</f>
        <v>Germany</v>
      </c>
      <c r="Q892" t="str">
        <f>VLOOKUP(VLOOKUP(B892,Product!A:C,3,FALSE),Supplier!A:B,2,FALSE)</f>
        <v>Supplier JDNUG</v>
      </c>
      <c r="R892" t="str">
        <f>VLOOKUP(VLOOKUP(B892,Product!A:C,3,FALSE),Supplier!A:I,9,FALSE)</f>
        <v>USA</v>
      </c>
      <c r="S892" t="str">
        <f>IFERROR(IF(VLOOKUP(A892,'Sales Order'!A:H,8,FALSE)&gt;100,"High Freight","Low Freight"),"Not Specified")</f>
        <v>Low Freight</v>
      </c>
      <c r="T892">
        <f t="shared" si="27"/>
        <v>82.507500000000007</v>
      </c>
    </row>
    <row r="893" spans="1:20">
      <c r="A893" s="9">
        <v>10580</v>
      </c>
      <c r="B893" s="6">
        <v>65</v>
      </c>
      <c r="C893" s="6">
        <v>21.05</v>
      </c>
      <c r="D893" s="6">
        <v>30</v>
      </c>
      <c r="E893" s="18">
        <v>0.05</v>
      </c>
      <c r="F893" s="6" t="str">
        <f>IFERROR(VLOOKUP(VLOOKUP(A893,'Sales Order'!A:B,2,FALSE),Customer!A:C,3,FALSE),"Not Specified")</f>
        <v>Marinova, Nadejda</v>
      </c>
      <c r="G893" s="6" t="str">
        <f t="shared" si="26"/>
        <v>Marinova Nadejda</v>
      </c>
      <c r="H893" s="22" t="str">
        <f>IFERROR(VLOOKUP(VLOOKUP(A893,'Sales Order'!A:C,3,FALSE),Employee!A:E,5,FALSE)&amp;" "&amp;VLOOKUP(VLOOKUP(A893,'Sales Order'!A:C,3,FALSE),Employee!A:C,3,FALSE)&amp;" "&amp;VLOOKUP(VLOOKUP(A893,'Sales Order'!A:C,3,FALSE),Employee!A:B,2,FALSE),"Not Specified")</f>
        <v>Mrs. Yael Peled</v>
      </c>
      <c r="I893" t="str">
        <f>IFERROR(VLOOKUP(VLOOKUP(A893,'Sales Order'!A:C,3,FALSE),Employee!A:J,10,FALSE),"Not Specified")</f>
        <v>WA</v>
      </c>
      <c r="J893" t="str">
        <f>VLOOKUP(B893,Product!A:B,2,FALSE)</f>
        <v>Product XYWBZ</v>
      </c>
      <c r="K893" t="str">
        <f>VLOOKUP(VLOOKUP(B893,Product!A:D,4,FALSE),Category!A:B,2,FALSE)</f>
        <v>Condiments</v>
      </c>
      <c r="L893" s="24">
        <f>IFERROR(VLOOKUP(A893,'Sales Order'!A:D,4,FALSE),"")</f>
        <v>39259</v>
      </c>
      <c r="M893" s="24">
        <f>IFERROR(VLOOKUP(A893,'Sales Order'!A:F,6,FALSE),"")</f>
        <v>39264</v>
      </c>
      <c r="N893" t="str">
        <f>IFERROR(VLOOKUP(VLOOKUP(A893,'Sales Order'!A:G,7,FALSE),Shipper!A:B,2,FALSE),"Not Specified")</f>
        <v>Shipper ZHISN</v>
      </c>
      <c r="O893" t="str">
        <f>IFERROR(VLOOKUP(A893,'Sales Order'!A:I,9,FALSE),"Not Specified")</f>
        <v>Ship to 56-C</v>
      </c>
      <c r="P893" t="str">
        <f>IFERROR(VLOOKUP(A893,'Sales Order'!A:N,14,FALSE),"Not Specified")</f>
        <v>Germany</v>
      </c>
      <c r="Q893" t="str">
        <f>VLOOKUP(VLOOKUP(B893,Product!A:C,3,FALSE),Supplier!A:B,2,FALSE)</f>
        <v>Supplier VHQZD</v>
      </c>
      <c r="R893" t="str">
        <f>VLOOKUP(VLOOKUP(B893,Product!A:C,3,FALSE),Supplier!A:I,9,FALSE)</f>
        <v>USA</v>
      </c>
      <c r="S893" t="str">
        <f>IFERROR(IF(VLOOKUP(A893,'Sales Order'!A:H,8,FALSE)&gt;100,"High Freight","Low Freight"),"Not Specified")</f>
        <v>Low Freight</v>
      </c>
      <c r="T893">
        <f t="shared" si="27"/>
        <v>599.92499999999995</v>
      </c>
    </row>
    <row r="894" spans="1:20">
      <c r="A894" s="9">
        <v>10581</v>
      </c>
      <c r="B894" s="6">
        <v>75</v>
      </c>
      <c r="C894" s="6">
        <v>7.75</v>
      </c>
      <c r="D894" s="6">
        <v>50</v>
      </c>
      <c r="E894" s="18">
        <v>0.2</v>
      </c>
      <c r="F894" s="6" t="str">
        <f>IFERROR(VLOOKUP(VLOOKUP(A894,'Sales Order'!A:B,2,FALSE),Customer!A:C,3,FALSE),"Not Specified")</f>
        <v>Russo, Giuseppe</v>
      </c>
      <c r="G894" s="6" t="str">
        <f t="shared" si="26"/>
        <v>Russo Giuseppe</v>
      </c>
      <c r="H894" s="22" t="str">
        <f>IFERROR(VLOOKUP(VLOOKUP(A894,'Sales Order'!A:C,3,FALSE),Employee!A:E,5,FALSE)&amp;" "&amp;VLOOKUP(VLOOKUP(A894,'Sales Order'!A:C,3,FALSE),Employee!A:C,3,FALSE)&amp;" "&amp;VLOOKUP(VLOOKUP(A894,'Sales Order'!A:C,3,FALSE),Employee!A:B,2,FALSE),"Not Specified")</f>
        <v>Ms. Judy Lew</v>
      </c>
      <c r="I894" t="str">
        <f>IFERROR(VLOOKUP(VLOOKUP(A894,'Sales Order'!A:C,3,FALSE),Employee!A:J,10,FALSE),"Not Specified")</f>
        <v>WA</v>
      </c>
      <c r="J894" t="str">
        <f>VLOOKUP(B894,Product!A:B,2,FALSE)</f>
        <v>Product BWRLG</v>
      </c>
      <c r="K894" t="str">
        <f>VLOOKUP(VLOOKUP(B894,Product!A:D,4,FALSE),Category!A:B,2,FALSE)</f>
        <v>Beverages</v>
      </c>
      <c r="L894" s="24">
        <f>IFERROR(VLOOKUP(A894,'Sales Order'!A:D,4,FALSE),"")</f>
        <v>39259</v>
      </c>
      <c r="M894" s="24">
        <f>IFERROR(VLOOKUP(A894,'Sales Order'!A:F,6,FALSE),"")</f>
        <v>39265</v>
      </c>
      <c r="N894" t="str">
        <f>IFERROR(VLOOKUP(VLOOKUP(A894,'Sales Order'!A:G,7,FALSE),Shipper!A:B,2,FALSE),"Not Specified")</f>
        <v>Shipper GVSUA</v>
      </c>
      <c r="O894" t="str">
        <f>IFERROR(VLOOKUP(A894,'Sales Order'!A:I,9,FALSE),"Not Specified")</f>
        <v>Destination SSYXZ</v>
      </c>
      <c r="P894" t="str">
        <f>IFERROR(VLOOKUP(A894,'Sales Order'!A:N,14,FALSE),"Not Specified")</f>
        <v>Brazil</v>
      </c>
      <c r="Q894" t="str">
        <f>VLOOKUP(VLOOKUP(B894,Product!A:C,3,FALSE),Supplier!A:B,2,FALSE)</f>
        <v>Supplier SVIYA</v>
      </c>
      <c r="R894" t="str">
        <f>VLOOKUP(VLOOKUP(B894,Product!A:C,3,FALSE),Supplier!A:I,9,FALSE)</f>
        <v>Germany</v>
      </c>
      <c r="S894" t="str">
        <f>IFERROR(IF(VLOOKUP(A894,'Sales Order'!A:H,8,FALSE)&gt;100,"High Freight","Low Freight"),"Not Specified")</f>
        <v>Low Freight</v>
      </c>
      <c r="T894">
        <f t="shared" si="27"/>
        <v>310</v>
      </c>
    </row>
    <row r="895" spans="1:20">
      <c r="A895" s="9">
        <v>10582</v>
      </c>
      <c r="B895" s="6">
        <v>57</v>
      </c>
      <c r="C895" s="6">
        <v>19.5</v>
      </c>
      <c r="D895" s="6">
        <v>4</v>
      </c>
      <c r="E895" s="18">
        <v>0</v>
      </c>
      <c r="F895" s="6" t="str">
        <f>IFERROR(VLOOKUP(VLOOKUP(A895,'Sales Order'!A:B,2,FALSE),Customer!A:C,3,FALSE),"Not Specified")</f>
        <v>Poland, Carole</v>
      </c>
      <c r="G895" s="6" t="str">
        <f t="shared" si="26"/>
        <v>Poland Carole</v>
      </c>
      <c r="H895" s="22" t="str">
        <f>IFERROR(VLOOKUP(VLOOKUP(A895,'Sales Order'!A:C,3,FALSE),Employee!A:E,5,FALSE)&amp;" "&amp;VLOOKUP(VLOOKUP(A895,'Sales Order'!A:C,3,FALSE),Employee!A:C,3,FALSE)&amp;" "&amp;VLOOKUP(VLOOKUP(A895,'Sales Order'!A:C,3,FALSE),Employee!A:B,2,FALSE),"Not Specified")</f>
        <v>Ms. Judy Lew</v>
      </c>
      <c r="I895" t="str">
        <f>IFERROR(VLOOKUP(VLOOKUP(A895,'Sales Order'!A:C,3,FALSE),Employee!A:J,10,FALSE),"Not Specified")</f>
        <v>WA</v>
      </c>
      <c r="J895" t="str">
        <f>VLOOKUP(B895,Product!A:B,2,FALSE)</f>
        <v>Product OVLQI</v>
      </c>
      <c r="K895" t="str">
        <f>VLOOKUP(VLOOKUP(B895,Product!A:D,4,FALSE),Category!A:B,2,FALSE)</f>
        <v>Grains/Cereals</v>
      </c>
      <c r="L895" s="24">
        <f>IFERROR(VLOOKUP(A895,'Sales Order'!A:D,4,FALSE),"")</f>
        <v>39260</v>
      </c>
      <c r="M895" s="24">
        <f>IFERROR(VLOOKUP(A895,'Sales Order'!A:F,6,FALSE),"")</f>
        <v>39277</v>
      </c>
      <c r="N895" t="str">
        <f>IFERROR(VLOOKUP(VLOOKUP(A895,'Sales Order'!A:G,7,FALSE),Shipper!A:B,2,FALSE),"Not Specified")</f>
        <v>Shipper ETYNR</v>
      </c>
      <c r="O895" t="str">
        <f>IFERROR(VLOOKUP(A895,'Sales Order'!A:I,9,FALSE),"Not Specified")</f>
        <v>Ship to 6-A</v>
      </c>
      <c r="P895" t="str">
        <f>IFERROR(VLOOKUP(A895,'Sales Order'!A:N,14,FALSE),"Not Specified")</f>
        <v>Germany</v>
      </c>
      <c r="Q895" t="str">
        <f>VLOOKUP(VLOOKUP(B895,Product!A:C,3,FALSE),Supplier!A:B,2,FALSE)</f>
        <v>Supplier ZWZDM</v>
      </c>
      <c r="R895" t="str">
        <f>VLOOKUP(VLOOKUP(B895,Product!A:C,3,FALSE),Supplier!A:I,9,FALSE)</f>
        <v>Italy</v>
      </c>
      <c r="S895" t="str">
        <f>IFERROR(IF(VLOOKUP(A895,'Sales Order'!A:H,8,FALSE)&gt;100,"High Freight","Low Freight"),"Not Specified")</f>
        <v>Low Freight</v>
      </c>
      <c r="T895">
        <f t="shared" si="27"/>
        <v>78</v>
      </c>
    </row>
    <row r="896" spans="1:20">
      <c r="A896" s="9">
        <v>10582</v>
      </c>
      <c r="B896" s="6">
        <v>76</v>
      </c>
      <c r="C896" s="6">
        <v>18</v>
      </c>
      <c r="D896" s="6">
        <v>14</v>
      </c>
      <c r="E896" s="18">
        <v>0</v>
      </c>
      <c r="F896" s="6" t="str">
        <f>IFERROR(VLOOKUP(VLOOKUP(A896,'Sales Order'!A:B,2,FALSE),Customer!A:C,3,FALSE),"Not Specified")</f>
        <v>Poland, Carole</v>
      </c>
      <c r="G896" s="6" t="str">
        <f t="shared" si="26"/>
        <v>Poland Carole</v>
      </c>
      <c r="H896" s="22" t="str">
        <f>IFERROR(VLOOKUP(VLOOKUP(A896,'Sales Order'!A:C,3,FALSE),Employee!A:E,5,FALSE)&amp;" "&amp;VLOOKUP(VLOOKUP(A896,'Sales Order'!A:C,3,FALSE),Employee!A:C,3,FALSE)&amp;" "&amp;VLOOKUP(VLOOKUP(A896,'Sales Order'!A:C,3,FALSE),Employee!A:B,2,FALSE),"Not Specified")</f>
        <v>Ms. Judy Lew</v>
      </c>
      <c r="I896" t="str">
        <f>IFERROR(VLOOKUP(VLOOKUP(A896,'Sales Order'!A:C,3,FALSE),Employee!A:J,10,FALSE),"Not Specified")</f>
        <v>WA</v>
      </c>
      <c r="J896" t="str">
        <f>VLOOKUP(B896,Product!A:B,2,FALSE)</f>
        <v>Product JYGFE</v>
      </c>
      <c r="K896" t="str">
        <f>VLOOKUP(VLOOKUP(B896,Product!A:D,4,FALSE),Category!A:B,2,FALSE)</f>
        <v>Beverages</v>
      </c>
      <c r="L896" s="24">
        <f>IFERROR(VLOOKUP(A896,'Sales Order'!A:D,4,FALSE),"")</f>
        <v>39260</v>
      </c>
      <c r="M896" s="24">
        <f>IFERROR(VLOOKUP(A896,'Sales Order'!A:F,6,FALSE),"")</f>
        <v>39277</v>
      </c>
      <c r="N896" t="str">
        <f>IFERROR(VLOOKUP(VLOOKUP(A896,'Sales Order'!A:G,7,FALSE),Shipper!A:B,2,FALSE),"Not Specified")</f>
        <v>Shipper ETYNR</v>
      </c>
      <c r="O896" t="str">
        <f>IFERROR(VLOOKUP(A896,'Sales Order'!A:I,9,FALSE),"Not Specified")</f>
        <v>Ship to 6-A</v>
      </c>
      <c r="P896" t="str">
        <f>IFERROR(VLOOKUP(A896,'Sales Order'!A:N,14,FALSE),"Not Specified")</f>
        <v>Germany</v>
      </c>
      <c r="Q896" t="str">
        <f>VLOOKUP(VLOOKUP(B896,Product!A:C,3,FALSE),Supplier!A:B,2,FALSE)</f>
        <v>Supplier ELCRN</v>
      </c>
      <c r="R896" t="str">
        <f>VLOOKUP(VLOOKUP(B896,Product!A:C,3,FALSE),Supplier!A:I,9,FALSE)</f>
        <v>Finland</v>
      </c>
      <c r="S896" t="str">
        <f>IFERROR(IF(VLOOKUP(A896,'Sales Order'!A:H,8,FALSE)&gt;100,"High Freight","Low Freight"),"Not Specified")</f>
        <v>Low Freight</v>
      </c>
      <c r="T896">
        <f t="shared" si="27"/>
        <v>252</v>
      </c>
    </row>
    <row r="897" spans="1:20">
      <c r="A897" s="9">
        <v>10583</v>
      </c>
      <c r="B897" s="6">
        <v>29</v>
      </c>
      <c r="C897" s="6">
        <v>123.79</v>
      </c>
      <c r="D897" s="6">
        <v>10</v>
      </c>
      <c r="E897" s="18">
        <v>0</v>
      </c>
      <c r="F897" s="6" t="str">
        <f>IFERROR(VLOOKUP(VLOOKUP(A897,'Sales Order'!A:B,2,FALSE),Customer!A:C,3,FALSE),"Not Specified")</f>
        <v>Ludwig, Michael</v>
      </c>
      <c r="G897" s="6" t="str">
        <f t="shared" si="26"/>
        <v>Ludwig Michael</v>
      </c>
      <c r="H897" s="22" t="str">
        <f>IFERROR(VLOOKUP(VLOOKUP(A897,'Sales Order'!A:C,3,FALSE),Employee!A:E,5,FALSE)&amp;" "&amp;VLOOKUP(VLOOKUP(A897,'Sales Order'!A:C,3,FALSE),Employee!A:C,3,FALSE)&amp;" "&amp;VLOOKUP(VLOOKUP(A897,'Sales Order'!A:C,3,FALSE),Employee!A:B,2,FALSE),"Not Specified")</f>
        <v>Dr. Don Funk</v>
      </c>
      <c r="I897" t="str">
        <f>IFERROR(VLOOKUP(VLOOKUP(A897,'Sales Order'!A:C,3,FALSE),Employee!A:J,10,FALSE),"Not Specified")</f>
        <v>WA</v>
      </c>
      <c r="J897" t="str">
        <f>VLOOKUP(B897,Product!A:B,2,FALSE)</f>
        <v>Product VJXYN</v>
      </c>
      <c r="K897" t="str">
        <f>VLOOKUP(VLOOKUP(B897,Product!A:D,4,FALSE),Category!A:B,2,FALSE)</f>
        <v>Meat/Poultry</v>
      </c>
      <c r="L897" s="24">
        <f>IFERROR(VLOOKUP(A897,'Sales Order'!A:D,4,FALSE),"")</f>
        <v>39263</v>
      </c>
      <c r="M897" s="24">
        <f>IFERROR(VLOOKUP(A897,'Sales Order'!A:F,6,FALSE),"")</f>
        <v>39267</v>
      </c>
      <c r="N897" t="str">
        <f>IFERROR(VLOOKUP(VLOOKUP(A897,'Sales Order'!A:G,7,FALSE),Shipper!A:B,2,FALSE),"Not Specified")</f>
        <v>Shipper ETYNR</v>
      </c>
      <c r="O897" t="str">
        <f>IFERROR(VLOOKUP(A897,'Sales Order'!A:I,9,FALSE),"Not Specified")</f>
        <v>Ship to 87-C</v>
      </c>
      <c r="P897" t="str">
        <f>IFERROR(VLOOKUP(A897,'Sales Order'!A:N,14,FALSE),"Not Specified")</f>
        <v>Finland</v>
      </c>
      <c r="Q897" t="str">
        <f>VLOOKUP(VLOOKUP(B897,Product!A:C,3,FALSE),Supplier!A:B,2,FALSE)</f>
        <v>Supplier SVIYA</v>
      </c>
      <c r="R897" t="str">
        <f>VLOOKUP(VLOOKUP(B897,Product!A:C,3,FALSE),Supplier!A:I,9,FALSE)</f>
        <v>Germany</v>
      </c>
      <c r="S897" t="str">
        <f>IFERROR(IF(VLOOKUP(A897,'Sales Order'!A:H,8,FALSE)&gt;100,"High Freight","Low Freight"),"Not Specified")</f>
        <v>Low Freight</v>
      </c>
      <c r="T897">
        <f t="shared" si="27"/>
        <v>1237.9000000000001</v>
      </c>
    </row>
    <row r="898" spans="1:20">
      <c r="A898" s="9">
        <v>10583</v>
      </c>
      <c r="B898" s="6">
        <v>60</v>
      </c>
      <c r="C898" s="6">
        <v>34</v>
      </c>
      <c r="D898" s="6">
        <v>24</v>
      </c>
      <c r="E898" s="18">
        <v>0.15</v>
      </c>
      <c r="F898" s="6" t="str">
        <f>IFERROR(VLOOKUP(VLOOKUP(A898,'Sales Order'!A:B,2,FALSE),Customer!A:C,3,FALSE),"Not Specified")</f>
        <v>Ludwig, Michael</v>
      </c>
      <c r="G898" s="6" t="str">
        <f t="shared" si="26"/>
        <v>Ludwig Michael</v>
      </c>
      <c r="H898" s="22" t="str">
        <f>IFERROR(VLOOKUP(VLOOKUP(A898,'Sales Order'!A:C,3,FALSE),Employee!A:E,5,FALSE)&amp;" "&amp;VLOOKUP(VLOOKUP(A898,'Sales Order'!A:C,3,FALSE),Employee!A:C,3,FALSE)&amp;" "&amp;VLOOKUP(VLOOKUP(A898,'Sales Order'!A:C,3,FALSE),Employee!A:B,2,FALSE),"Not Specified")</f>
        <v>Dr. Don Funk</v>
      </c>
      <c r="I898" t="str">
        <f>IFERROR(VLOOKUP(VLOOKUP(A898,'Sales Order'!A:C,3,FALSE),Employee!A:J,10,FALSE),"Not Specified")</f>
        <v>WA</v>
      </c>
      <c r="J898" t="str">
        <f>VLOOKUP(B898,Product!A:B,2,FALSE)</f>
        <v>Product WHBYK</v>
      </c>
      <c r="K898" t="str">
        <f>VLOOKUP(VLOOKUP(B898,Product!A:D,4,FALSE),Category!A:B,2,FALSE)</f>
        <v>Dairy Product</v>
      </c>
      <c r="L898" s="24">
        <f>IFERROR(VLOOKUP(A898,'Sales Order'!A:D,4,FALSE),"")</f>
        <v>39263</v>
      </c>
      <c r="M898" s="24">
        <f>IFERROR(VLOOKUP(A898,'Sales Order'!A:F,6,FALSE),"")</f>
        <v>39267</v>
      </c>
      <c r="N898" t="str">
        <f>IFERROR(VLOOKUP(VLOOKUP(A898,'Sales Order'!A:G,7,FALSE),Shipper!A:B,2,FALSE),"Not Specified")</f>
        <v>Shipper ETYNR</v>
      </c>
      <c r="O898" t="str">
        <f>IFERROR(VLOOKUP(A898,'Sales Order'!A:I,9,FALSE),"Not Specified")</f>
        <v>Ship to 87-C</v>
      </c>
      <c r="P898" t="str">
        <f>IFERROR(VLOOKUP(A898,'Sales Order'!A:N,14,FALSE),"Not Specified")</f>
        <v>Finland</v>
      </c>
      <c r="Q898" t="str">
        <f>VLOOKUP(VLOOKUP(B898,Product!A:C,3,FALSE),Supplier!A:B,2,FALSE)</f>
        <v>Supplier OAVQT</v>
      </c>
      <c r="R898" t="str">
        <f>VLOOKUP(VLOOKUP(B898,Product!A:C,3,FALSE),Supplier!A:I,9,FALSE)</f>
        <v>France</v>
      </c>
      <c r="S898" t="str">
        <f>IFERROR(IF(VLOOKUP(A898,'Sales Order'!A:H,8,FALSE)&gt;100,"High Freight","Low Freight"),"Not Specified")</f>
        <v>Low Freight</v>
      </c>
      <c r="T898">
        <f t="shared" si="27"/>
        <v>693.6</v>
      </c>
    </row>
    <row r="899" spans="1:20">
      <c r="A899" s="9">
        <v>10583</v>
      </c>
      <c r="B899" s="6">
        <v>69</v>
      </c>
      <c r="C899" s="6">
        <v>36</v>
      </c>
      <c r="D899" s="6">
        <v>10</v>
      </c>
      <c r="E899" s="18">
        <v>0.15</v>
      </c>
      <c r="F899" s="6" t="str">
        <f>IFERROR(VLOOKUP(VLOOKUP(A899,'Sales Order'!A:B,2,FALSE),Customer!A:C,3,FALSE),"Not Specified")</f>
        <v>Ludwig, Michael</v>
      </c>
      <c r="G899" s="6" t="str">
        <f t="shared" ref="G899:G962" si="28">SUBSTITUTE(F899,",","",1)</f>
        <v>Ludwig Michael</v>
      </c>
      <c r="H899" s="22" t="str">
        <f>IFERROR(VLOOKUP(VLOOKUP(A899,'Sales Order'!A:C,3,FALSE),Employee!A:E,5,FALSE)&amp;" "&amp;VLOOKUP(VLOOKUP(A899,'Sales Order'!A:C,3,FALSE),Employee!A:C,3,FALSE)&amp;" "&amp;VLOOKUP(VLOOKUP(A899,'Sales Order'!A:C,3,FALSE),Employee!A:B,2,FALSE),"Not Specified")</f>
        <v>Dr. Don Funk</v>
      </c>
      <c r="I899" t="str">
        <f>IFERROR(VLOOKUP(VLOOKUP(A899,'Sales Order'!A:C,3,FALSE),Employee!A:J,10,FALSE),"Not Specified")</f>
        <v>WA</v>
      </c>
      <c r="J899" t="str">
        <f>VLOOKUP(B899,Product!A:B,2,FALSE)</f>
        <v>Product COAXA</v>
      </c>
      <c r="K899" t="str">
        <f>VLOOKUP(VLOOKUP(B899,Product!A:D,4,FALSE),Category!A:B,2,FALSE)</f>
        <v>Dairy Product</v>
      </c>
      <c r="L899" s="24">
        <f>IFERROR(VLOOKUP(A899,'Sales Order'!A:D,4,FALSE),"")</f>
        <v>39263</v>
      </c>
      <c r="M899" s="24">
        <f>IFERROR(VLOOKUP(A899,'Sales Order'!A:F,6,FALSE),"")</f>
        <v>39267</v>
      </c>
      <c r="N899" t="str">
        <f>IFERROR(VLOOKUP(VLOOKUP(A899,'Sales Order'!A:G,7,FALSE),Shipper!A:B,2,FALSE),"Not Specified")</f>
        <v>Shipper ETYNR</v>
      </c>
      <c r="O899" t="str">
        <f>IFERROR(VLOOKUP(A899,'Sales Order'!A:I,9,FALSE),"Not Specified")</f>
        <v>Ship to 87-C</v>
      </c>
      <c r="P899" t="str">
        <f>IFERROR(VLOOKUP(A899,'Sales Order'!A:N,14,FALSE),"Not Specified")</f>
        <v>Finland</v>
      </c>
      <c r="Q899" t="str">
        <f>VLOOKUP(VLOOKUP(B899,Product!A:C,3,FALSE),Supplier!A:B,2,FALSE)</f>
        <v>Supplier NZLIF</v>
      </c>
      <c r="R899" t="str">
        <f>VLOOKUP(VLOOKUP(B899,Product!A:C,3,FALSE),Supplier!A:I,9,FALSE)</f>
        <v>Norway</v>
      </c>
      <c r="S899" t="str">
        <f>IFERROR(IF(VLOOKUP(A899,'Sales Order'!A:H,8,FALSE)&gt;100,"High Freight","Low Freight"),"Not Specified")</f>
        <v>Low Freight</v>
      </c>
      <c r="T899">
        <f t="shared" ref="T899:T962" si="29">C899*D899*(1-E899)</f>
        <v>306</v>
      </c>
    </row>
    <row r="900" spans="1:20">
      <c r="A900" s="9">
        <v>10584</v>
      </c>
      <c r="B900" s="6">
        <v>31</v>
      </c>
      <c r="C900" s="6">
        <v>12.5</v>
      </c>
      <c r="D900" s="6">
        <v>50</v>
      </c>
      <c r="E900" s="18">
        <v>0.05</v>
      </c>
      <c r="F900" s="6" t="str">
        <f>IFERROR(VLOOKUP(VLOOKUP(A900,'Sales Order'!A:B,2,FALSE),Customer!A:C,3,FALSE),"Not Specified")</f>
        <v>Bansal, Dushyant</v>
      </c>
      <c r="G900" s="6" t="str">
        <f t="shared" si="28"/>
        <v>Bansal Dushyant</v>
      </c>
      <c r="H900" s="22" t="str">
        <f>IFERROR(VLOOKUP(VLOOKUP(A900,'Sales Order'!A:C,3,FALSE),Employee!A:E,5,FALSE)&amp;" "&amp;VLOOKUP(VLOOKUP(A900,'Sales Order'!A:C,3,FALSE),Employee!A:C,3,FALSE)&amp;" "&amp;VLOOKUP(VLOOKUP(A900,'Sales Order'!A:C,3,FALSE),Employee!A:B,2,FALSE),"Not Specified")</f>
        <v>Mrs. Yael Peled</v>
      </c>
      <c r="I900" t="str">
        <f>IFERROR(VLOOKUP(VLOOKUP(A900,'Sales Order'!A:C,3,FALSE),Employee!A:J,10,FALSE),"Not Specified")</f>
        <v>WA</v>
      </c>
      <c r="J900" t="str">
        <f>VLOOKUP(B900,Product!A:B,2,FALSE)</f>
        <v>Product XWOXC</v>
      </c>
      <c r="K900" t="str">
        <f>VLOOKUP(VLOOKUP(B900,Product!A:D,4,FALSE),Category!A:B,2,FALSE)</f>
        <v>Dairy Product</v>
      </c>
      <c r="L900" s="24">
        <f>IFERROR(VLOOKUP(A900,'Sales Order'!A:D,4,FALSE),"")</f>
        <v>39263</v>
      </c>
      <c r="M900" s="24">
        <f>IFERROR(VLOOKUP(A900,'Sales Order'!A:F,6,FALSE),"")</f>
        <v>39267</v>
      </c>
      <c r="N900" t="str">
        <f>IFERROR(VLOOKUP(VLOOKUP(A900,'Sales Order'!A:G,7,FALSE),Shipper!A:B,2,FALSE),"Not Specified")</f>
        <v>Shipper GVSUA</v>
      </c>
      <c r="O900" t="str">
        <f>IFERROR(VLOOKUP(A900,'Sales Order'!A:I,9,FALSE),"Not Specified")</f>
        <v>Ship to 7-B</v>
      </c>
      <c r="P900" t="str">
        <f>IFERROR(VLOOKUP(A900,'Sales Order'!A:N,14,FALSE),"Not Specified")</f>
        <v>France</v>
      </c>
      <c r="Q900" t="str">
        <f>VLOOKUP(VLOOKUP(B900,Product!A:C,3,FALSE),Supplier!A:B,2,FALSE)</f>
        <v>Supplier KEREV</v>
      </c>
      <c r="R900" t="str">
        <f>VLOOKUP(VLOOKUP(B900,Product!A:C,3,FALSE),Supplier!A:I,9,FALSE)</f>
        <v>Italy</v>
      </c>
      <c r="S900" t="str">
        <f>IFERROR(IF(VLOOKUP(A900,'Sales Order'!A:H,8,FALSE)&gt;100,"High Freight","Low Freight"),"Not Specified")</f>
        <v>Low Freight</v>
      </c>
      <c r="T900">
        <f t="shared" si="29"/>
        <v>593.75</v>
      </c>
    </row>
    <row r="901" spans="1:20">
      <c r="A901" s="9">
        <v>10585</v>
      </c>
      <c r="B901" s="6">
        <v>47</v>
      </c>
      <c r="C901" s="6">
        <v>9.5</v>
      </c>
      <c r="D901" s="6">
        <v>15</v>
      </c>
      <c r="E901" s="18">
        <v>0</v>
      </c>
      <c r="F901" s="6" t="str">
        <f>IFERROR(VLOOKUP(VLOOKUP(A901,'Sales Order'!A:B,2,FALSE),Customer!A:C,3,FALSE),"Not Specified")</f>
        <v>Li, Yan</v>
      </c>
      <c r="G901" s="6" t="str">
        <f t="shared" si="28"/>
        <v>Li Yan</v>
      </c>
      <c r="H901" s="22" t="str">
        <f>IFERROR(VLOOKUP(VLOOKUP(A901,'Sales Order'!A:C,3,FALSE),Employee!A:E,5,FALSE)&amp;" "&amp;VLOOKUP(VLOOKUP(A901,'Sales Order'!A:C,3,FALSE),Employee!A:C,3,FALSE)&amp;" "&amp;VLOOKUP(VLOOKUP(A901,'Sales Order'!A:C,3,FALSE),Employee!A:B,2,FALSE),"Not Specified")</f>
        <v>Mr. Russell King</v>
      </c>
      <c r="I901">
        <f>IFERROR(VLOOKUP(VLOOKUP(A901,'Sales Order'!A:C,3,FALSE),Employee!A:J,10,FALSE),"Not Specified")</f>
        <v>0</v>
      </c>
      <c r="J901" t="str">
        <f>VLOOKUP(B901,Product!A:B,2,FALSE)</f>
        <v>Product EZZPR</v>
      </c>
      <c r="K901" t="str">
        <f>VLOOKUP(VLOOKUP(B901,Product!A:D,4,FALSE),Category!A:B,2,FALSE)</f>
        <v>Confections</v>
      </c>
      <c r="L901" s="24">
        <f>IFERROR(VLOOKUP(A901,'Sales Order'!A:D,4,FALSE),"")</f>
        <v>39264</v>
      </c>
      <c r="M901" s="24">
        <f>IFERROR(VLOOKUP(A901,'Sales Order'!A:F,6,FALSE),"")</f>
        <v>39273</v>
      </c>
      <c r="N901" t="str">
        <f>IFERROR(VLOOKUP(VLOOKUP(A901,'Sales Order'!A:G,7,FALSE),Shipper!A:B,2,FALSE),"Not Specified")</f>
        <v>Shipper GVSUA</v>
      </c>
      <c r="O901" t="str">
        <f>IFERROR(VLOOKUP(A901,'Sales Order'!A:I,9,FALSE),"Not Specified")</f>
        <v>Ship to 88-A</v>
      </c>
      <c r="P901" t="str">
        <f>IFERROR(VLOOKUP(A901,'Sales Order'!A:N,14,FALSE),"Not Specified")</f>
        <v>Brazil</v>
      </c>
      <c r="Q901" t="str">
        <f>VLOOKUP(VLOOKUP(B901,Product!A:C,3,FALSE),Supplier!A:B,2,FALSE)</f>
        <v>Supplier FNUXM</v>
      </c>
      <c r="R901" t="str">
        <f>VLOOKUP(VLOOKUP(B901,Product!A:C,3,FALSE),Supplier!A:I,9,FALSE)</f>
        <v>Netherlands</v>
      </c>
      <c r="S901" t="str">
        <f>IFERROR(IF(VLOOKUP(A901,'Sales Order'!A:H,8,FALSE)&gt;100,"High Freight","Low Freight"),"Not Specified")</f>
        <v>Low Freight</v>
      </c>
      <c r="T901">
        <f t="shared" si="29"/>
        <v>142.5</v>
      </c>
    </row>
    <row r="902" spans="1:20">
      <c r="A902" s="9">
        <v>10586</v>
      </c>
      <c r="B902" s="6">
        <v>52</v>
      </c>
      <c r="C902" s="6">
        <v>7</v>
      </c>
      <c r="D902" s="6">
        <v>4</v>
      </c>
      <c r="E902" s="18">
        <v>0.15</v>
      </c>
      <c r="F902" s="6" t="str">
        <f>IFERROR(VLOOKUP(VLOOKUP(A902,'Sales Order'!A:B,2,FALSE),Customer!A:C,3,FALSE),"Not Specified")</f>
        <v>Voss, Florian</v>
      </c>
      <c r="G902" s="6" t="str">
        <f t="shared" si="28"/>
        <v>Voss Florian</v>
      </c>
      <c r="H902" s="22" t="str">
        <f>IFERROR(VLOOKUP(VLOOKUP(A902,'Sales Order'!A:C,3,FALSE),Employee!A:E,5,FALSE)&amp;" "&amp;VLOOKUP(VLOOKUP(A902,'Sales Order'!A:C,3,FALSE),Employee!A:C,3,FALSE)&amp;" "&amp;VLOOKUP(VLOOKUP(A902,'Sales Order'!A:C,3,FALSE),Employee!A:B,2,FALSE),"Not Specified")</f>
        <v>Ms. Zoya Dolgopyatova</v>
      </c>
      <c r="I902">
        <f>IFERROR(VLOOKUP(VLOOKUP(A902,'Sales Order'!A:C,3,FALSE),Employee!A:J,10,FALSE),"Not Specified")</f>
        <v>0</v>
      </c>
      <c r="J902" t="str">
        <f>VLOOKUP(B902,Product!A:B,2,FALSE)</f>
        <v>Product QSRXF</v>
      </c>
      <c r="K902" t="str">
        <f>VLOOKUP(VLOOKUP(B902,Product!A:D,4,FALSE),Category!A:B,2,FALSE)</f>
        <v>Grains/Cereals</v>
      </c>
      <c r="L902" s="24">
        <f>IFERROR(VLOOKUP(A902,'Sales Order'!A:D,4,FALSE),"")</f>
        <v>39265</v>
      </c>
      <c r="M902" s="24">
        <f>IFERROR(VLOOKUP(A902,'Sales Order'!A:F,6,FALSE),"")</f>
        <v>39272</v>
      </c>
      <c r="N902" t="str">
        <f>IFERROR(VLOOKUP(VLOOKUP(A902,'Sales Order'!A:G,7,FALSE),Shipper!A:B,2,FALSE),"Not Specified")</f>
        <v>Shipper GVSUA</v>
      </c>
      <c r="O902" t="str">
        <f>IFERROR(VLOOKUP(A902,'Sales Order'!A:I,9,FALSE),"Not Specified")</f>
        <v>Ship to 66-B</v>
      </c>
      <c r="P902" t="str">
        <f>IFERROR(VLOOKUP(A902,'Sales Order'!A:N,14,FALSE),"Not Specified")</f>
        <v>Italy</v>
      </c>
      <c r="Q902" t="str">
        <f>VLOOKUP(VLOOKUP(B902,Product!A:C,3,FALSE),Supplier!A:B,2,FALSE)</f>
        <v>Supplier JNNES</v>
      </c>
      <c r="R902" t="str">
        <f>VLOOKUP(VLOOKUP(B902,Product!A:C,3,FALSE),Supplier!A:I,9,FALSE)</f>
        <v>Australia</v>
      </c>
      <c r="S902" t="str">
        <f>IFERROR(IF(VLOOKUP(A902,'Sales Order'!A:H,8,FALSE)&gt;100,"High Freight","Low Freight"),"Not Specified")</f>
        <v>Low Freight</v>
      </c>
      <c r="T902">
        <f t="shared" si="29"/>
        <v>23.8</v>
      </c>
    </row>
    <row r="903" spans="1:20">
      <c r="A903" s="9">
        <v>10587</v>
      </c>
      <c r="B903" s="6">
        <v>26</v>
      </c>
      <c r="C903" s="6">
        <v>31.23</v>
      </c>
      <c r="D903" s="6">
        <v>6</v>
      </c>
      <c r="E903" s="18">
        <v>0</v>
      </c>
      <c r="F903" s="6" t="str">
        <f>IFERROR(VLOOKUP(VLOOKUP(A903,'Sales Order'!A:B,2,FALSE),Customer!A:C,3,FALSE),"Not Specified")</f>
        <v>Florczyk, Krzysztof</v>
      </c>
      <c r="G903" s="6" t="str">
        <f t="shared" si="28"/>
        <v>Florczyk Krzysztof</v>
      </c>
      <c r="H903" s="22" t="str">
        <f>IFERROR(VLOOKUP(VLOOKUP(A903,'Sales Order'!A:C,3,FALSE),Employee!A:E,5,FALSE)&amp;" "&amp;VLOOKUP(VLOOKUP(A903,'Sales Order'!A:C,3,FALSE),Employee!A:C,3,FALSE)&amp;" "&amp;VLOOKUP(VLOOKUP(A903,'Sales Order'!A:C,3,FALSE),Employee!A:B,2,FALSE),"Not Specified")</f>
        <v>Ms. Sara Davis</v>
      </c>
      <c r="I903" t="str">
        <f>IFERROR(VLOOKUP(VLOOKUP(A903,'Sales Order'!A:C,3,FALSE),Employee!A:J,10,FALSE),"Not Specified")</f>
        <v>WA</v>
      </c>
      <c r="J903" t="str">
        <f>VLOOKUP(B903,Product!A:B,2,FALSE)</f>
        <v>Product HLGZA</v>
      </c>
      <c r="K903" t="str">
        <f>VLOOKUP(VLOOKUP(B903,Product!A:D,4,FALSE),Category!A:B,2,FALSE)</f>
        <v>Confections</v>
      </c>
      <c r="L903" s="24">
        <f>IFERROR(VLOOKUP(A903,'Sales Order'!A:D,4,FALSE),"")</f>
        <v>39265</v>
      </c>
      <c r="M903" s="24">
        <f>IFERROR(VLOOKUP(A903,'Sales Order'!A:F,6,FALSE),"")</f>
        <v>39272</v>
      </c>
      <c r="N903" t="str">
        <f>IFERROR(VLOOKUP(VLOOKUP(A903,'Sales Order'!A:G,7,FALSE),Shipper!A:B,2,FALSE),"Not Specified")</f>
        <v>Shipper GVSUA</v>
      </c>
      <c r="O903" t="str">
        <f>IFERROR(VLOOKUP(A903,'Sales Order'!A:I,9,FALSE),"Not Specified")</f>
        <v>Ship to 61-C</v>
      </c>
      <c r="P903" t="str">
        <f>IFERROR(VLOOKUP(A903,'Sales Order'!A:N,14,FALSE),"Not Specified")</f>
        <v>Brazil</v>
      </c>
      <c r="Q903" t="str">
        <f>VLOOKUP(VLOOKUP(B903,Product!A:C,3,FALSE),Supplier!A:B,2,FALSE)</f>
        <v>Supplier ZPYVS</v>
      </c>
      <c r="R903" t="str">
        <f>VLOOKUP(VLOOKUP(B903,Product!A:C,3,FALSE),Supplier!A:I,9,FALSE)</f>
        <v>Germany</v>
      </c>
      <c r="S903" t="str">
        <f>IFERROR(IF(VLOOKUP(A903,'Sales Order'!A:H,8,FALSE)&gt;100,"High Freight","Low Freight"),"Not Specified")</f>
        <v>Low Freight</v>
      </c>
      <c r="T903">
        <f t="shared" si="29"/>
        <v>187.38</v>
      </c>
    </row>
    <row r="904" spans="1:20">
      <c r="A904" s="9">
        <v>10587</v>
      </c>
      <c r="B904" s="6">
        <v>35</v>
      </c>
      <c r="C904" s="6">
        <v>18</v>
      </c>
      <c r="D904" s="6">
        <v>20</v>
      </c>
      <c r="E904" s="18">
        <v>0</v>
      </c>
      <c r="F904" s="6" t="str">
        <f>IFERROR(VLOOKUP(VLOOKUP(A904,'Sales Order'!A:B,2,FALSE),Customer!A:C,3,FALSE),"Not Specified")</f>
        <v>Florczyk, Krzysztof</v>
      </c>
      <c r="G904" s="6" t="str">
        <f t="shared" si="28"/>
        <v>Florczyk Krzysztof</v>
      </c>
      <c r="H904" s="22" t="str">
        <f>IFERROR(VLOOKUP(VLOOKUP(A904,'Sales Order'!A:C,3,FALSE),Employee!A:E,5,FALSE)&amp;" "&amp;VLOOKUP(VLOOKUP(A904,'Sales Order'!A:C,3,FALSE),Employee!A:C,3,FALSE)&amp;" "&amp;VLOOKUP(VLOOKUP(A904,'Sales Order'!A:C,3,FALSE),Employee!A:B,2,FALSE),"Not Specified")</f>
        <v>Ms. Sara Davis</v>
      </c>
      <c r="I904" t="str">
        <f>IFERROR(VLOOKUP(VLOOKUP(A904,'Sales Order'!A:C,3,FALSE),Employee!A:J,10,FALSE),"Not Specified")</f>
        <v>WA</v>
      </c>
      <c r="J904" t="str">
        <f>VLOOKUP(B904,Product!A:B,2,FALSE)</f>
        <v>Product NEVTJ</v>
      </c>
      <c r="K904" t="str">
        <f>VLOOKUP(VLOOKUP(B904,Product!A:D,4,FALSE),Category!A:B,2,FALSE)</f>
        <v>Beverages</v>
      </c>
      <c r="L904" s="24">
        <f>IFERROR(VLOOKUP(A904,'Sales Order'!A:D,4,FALSE),"")</f>
        <v>39265</v>
      </c>
      <c r="M904" s="24">
        <f>IFERROR(VLOOKUP(A904,'Sales Order'!A:F,6,FALSE),"")</f>
        <v>39272</v>
      </c>
      <c r="N904" t="str">
        <f>IFERROR(VLOOKUP(VLOOKUP(A904,'Sales Order'!A:G,7,FALSE),Shipper!A:B,2,FALSE),"Not Specified")</f>
        <v>Shipper GVSUA</v>
      </c>
      <c r="O904" t="str">
        <f>IFERROR(VLOOKUP(A904,'Sales Order'!A:I,9,FALSE),"Not Specified")</f>
        <v>Ship to 61-C</v>
      </c>
      <c r="P904" t="str">
        <f>IFERROR(VLOOKUP(A904,'Sales Order'!A:N,14,FALSE),"Not Specified")</f>
        <v>Brazil</v>
      </c>
      <c r="Q904" t="str">
        <f>VLOOKUP(VLOOKUP(B904,Product!A:C,3,FALSE),Supplier!A:B,2,FALSE)</f>
        <v>Supplier UHZRG</v>
      </c>
      <c r="R904" t="str">
        <f>VLOOKUP(VLOOKUP(B904,Product!A:C,3,FALSE),Supplier!A:I,9,FALSE)</f>
        <v>USA</v>
      </c>
      <c r="S904" t="str">
        <f>IFERROR(IF(VLOOKUP(A904,'Sales Order'!A:H,8,FALSE)&gt;100,"High Freight","Low Freight"),"Not Specified")</f>
        <v>Low Freight</v>
      </c>
      <c r="T904">
        <f t="shared" si="29"/>
        <v>360</v>
      </c>
    </row>
    <row r="905" spans="1:20">
      <c r="A905" s="9">
        <v>10587</v>
      </c>
      <c r="B905" s="6">
        <v>77</v>
      </c>
      <c r="C905" s="6">
        <v>13</v>
      </c>
      <c r="D905" s="6">
        <v>20</v>
      </c>
      <c r="E905" s="18">
        <v>0</v>
      </c>
      <c r="F905" s="6" t="str">
        <f>IFERROR(VLOOKUP(VLOOKUP(A905,'Sales Order'!A:B,2,FALSE),Customer!A:C,3,FALSE),"Not Specified")</f>
        <v>Florczyk, Krzysztof</v>
      </c>
      <c r="G905" s="6" t="str">
        <f t="shared" si="28"/>
        <v>Florczyk Krzysztof</v>
      </c>
      <c r="H905" s="22" t="str">
        <f>IFERROR(VLOOKUP(VLOOKUP(A905,'Sales Order'!A:C,3,FALSE),Employee!A:E,5,FALSE)&amp;" "&amp;VLOOKUP(VLOOKUP(A905,'Sales Order'!A:C,3,FALSE),Employee!A:C,3,FALSE)&amp;" "&amp;VLOOKUP(VLOOKUP(A905,'Sales Order'!A:C,3,FALSE),Employee!A:B,2,FALSE),"Not Specified")</f>
        <v>Ms. Sara Davis</v>
      </c>
      <c r="I905" t="str">
        <f>IFERROR(VLOOKUP(VLOOKUP(A905,'Sales Order'!A:C,3,FALSE),Employee!A:J,10,FALSE),"Not Specified")</f>
        <v>WA</v>
      </c>
      <c r="J905" t="str">
        <f>VLOOKUP(B905,Product!A:B,2,FALSE)</f>
        <v>Product LUNZZ</v>
      </c>
      <c r="K905" t="str">
        <f>VLOOKUP(VLOOKUP(B905,Product!A:D,4,FALSE),Category!A:B,2,FALSE)</f>
        <v>Condiments</v>
      </c>
      <c r="L905" s="24">
        <f>IFERROR(VLOOKUP(A905,'Sales Order'!A:D,4,FALSE),"")</f>
        <v>39265</v>
      </c>
      <c r="M905" s="24">
        <f>IFERROR(VLOOKUP(A905,'Sales Order'!A:F,6,FALSE),"")</f>
        <v>39272</v>
      </c>
      <c r="N905" t="str">
        <f>IFERROR(VLOOKUP(VLOOKUP(A905,'Sales Order'!A:G,7,FALSE),Shipper!A:B,2,FALSE),"Not Specified")</f>
        <v>Shipper GVSUA</v>
      </c>
      <c r="O905" t="str">
        <f>IFERROR(VLOOKUP(A905,'Sales Order'!A:I,9,FALSE),"Not Specified")</f>
        <v>Ship to 61-C</v>
      </c>
      <c r="P905" t="str">
        <f>IFERROR(VLOOKUP(A905,'Sales Order'!A:N,14,FALSE),"Not Specified")</f>
        <v>Brazil</v>
      </c>
      <c r="Q905" t="str">
        <f>VLOOKUP(VLOOKUP(B905,Product!A:C,3,FALSE),Supplier!A:B,2,FALSE)</f>
        <v>Supplier SVIYA</v>
      </c>
      <c r="R905" t="str">
        <f>VLOOKUP(VLOOKUP(B905,Product!A:C,3,FALSE),Supplier!A:I,9,FALSE)</f>
        <v>Germany</v>
      </c>
      <c r="S905" t="str">
        <f>IFERROR(IF(VLOOKUP(A905,'Sales Order'!A:H,8,FALSE)&gt;100,"High Freight","Low Freight"),"Not Specified")</f>
        <v>Low Freight</v>
      </c>
      <c r="T905">
        <f t="shared" si="29"/>
        <v>260</v>
      </c>
    </row>
    <row r="906" spans="1:20">
      <c r="A906" s="9">
        <v>10588</v>
      </c>
      <c r="B906" s="6">
        <v>18</v>
      </c>
      <c r="C906" s="6">
        <v>62.5</v>
      </c>
      <c r="D906" s="6">
        <v>40</v>
      </c>
      <c r="E906" s="18">
        <v>0.2</v>
      </c>
      <c r="F906" s="6" t="str">
        <f>IFERROR(VLOOKUP(VLOOKUP(A906,'Sales Order'!A:B,2,FALSE),Customer!A:C,3,FALSE),"Not Specified")</f>
        <v>Veronesi, Giorgio</v>
      </c>
      <c r="G906" s="6" t="str">
        <f t="shared" si="28"/>
        <v>Veronesi Giorgio</v>
      </c>
      <c r="H906" s="22" t="str">
        <f>IFERROR(VLOOKUP(VLOOKUP(A906,'Sales Order'!A:C,3,FALSE),Employee!A:E,5,FALSE)&amp;" "&amp;VLOOKUP(VLOOKUP(A906,'Sales Order'!A:C,3,FALSE),Employee!A:C,3,FALSE)&amp;" "&amp;VLOOKUP(VLOOKUP(A906,'Sales Order'!A:C,3,FALSE),Employee!A:B,2,FALSE),"Not Specified")</f>
        <v>Dr. Don Funk</v>
      </c>
      <c r="I906" t="str">
        <f>IFERROR(VLOOKUP(VLOOKUP(A906,'Sales Order'!A:C,3,FALSE),Employee!A:J,10,FALSE),"Not Specified")</f>
        <v>WA</v>
      </c>
      <c r="J906" t="str">
        <f>VLOOKUP(B906,Product!A:B,2,FALSE)</f>
        <v>Product CKEDC</v>
      </c>
      <c r="K906" t="str">
        <f>VLOOKUP(VLOOKUP(B906,Product!A:D,4,FALSE),Category!A:B,2,FALSE)</f>
        <v>Seafood</v>
      </c>
      <c r="L906" s="24">
        <f>IFERROR(VLOOKUP(A906,'Sales Order'!A:D,4,FALSE),"")</f>
        <v>39266</v>
      </c>
      <c r="M906" s="24">
        <f>IFERROR(VLOOKUP(A906,'Sales Order'!A:F,6,FALSE),"")</f>
        <v>39273</v>
      </c>
      <c r="N906" t="str">
        <f>IFERROR(VLOOKUP(VLOOKUP(A906,'Sales Order'!A:G,7,FALSE),Shipper!A:B,2,FALSE),"Not Specified")</f>
        <v>Shipper ZHISN</v>
      </c>
      <c r="O906" t="str">
        <f>IFERROR(VLOOKUP(A906,'Sales Order'!A:I,9,FALSE),"Not Specified")</f>
        <v>Ship to 63-A</v>
      </c>
      <c r="P906" t="str">
        <f>IFERROR(VLOOKUP(A906,'Sales Order'!A:N,14,FALSE),"Not Specified")</f>
        <v>Germany</v>
      </c>
      <c r="Q906" t="str">
        <f>VLOOKUP(VLOOKUP(B906,Product!A:C,3,FALSE),Supplier!A:B,2,FALSE)</f>
        <v>Supplier GQRCV</v>
      </c>
      <c r="R906" t="str">
        <f>VLOOKUP(VLOOKUP(B906,Product!A:C,3,FALSE),Supplier!A:I,9,FALSE)</f>
        <v>Australia</v>
      </c>
      <c r="S906" t="str">
        <f>IFERROR(IF(VLOOKUP(A906,'Sales Order'!A:H,8,FALSE)&gt;100,"High Freight","Low Freight"),"Not Specified")</f>
        <v>High Freight</v>
      </c>
      <c r="T906">
        <f t="shared" si="29"/>
        <v>2000</v>
      </c>
    </row>
    <row r="907" spans="1:20">
      <c r="A907" s="9">
        <v>10588</v>
      </c>
      <c r="B907" s="6">
        <v>42</v>
      </c>
      <c r="C907" s="6">
        <v>14</v>
      </c>
      <c r="D907" s="6">
        <v>100</v>
      </c>
      <c r="E907" s="18">
        <v>0.2</v>
      </c>
      <c r="F907" s="6" t="str">
        <f>IFERROR(VLOOKUP(VLOOKUP(A907,'Sales Order'!A:B,2,FALSE),Customer!A:C,3,FALSE),"Not Specified")</f>
        <v>Veronesi, Giorgio</v>
      </c>
      <c r="G907" s="6" t="str">
        <f t="shared" si="28"/>
        <v>Veronesi Giorgio</v>
      </c>
      <c r="H907" s="22" t="str">
        <f>IFERROR(VLOOKUP(VLOOKUP(A907,'Sales Order'!A:C,3,FALSE),Employee!A:E,5,FALSE)&amp;" "&amp;VLOOKUP(VLOOKUP(A907,'Sales Order'!A:C,3,FALSE),Employee!A:C,3,FALSE)&amp;" "&amp;VLOOKUP(VLOOKUP(A907,'Sales Order'!A:C,3,FALSE),Employee!A:B,2,FALSE),"Not Specified")</f>
        <v>Dr. Don Funk</v>
      </c>
      <c r="I907" t="str">
        <f>IFERROR(VLOOKUP(VLOOKUP(A907,'Sales Order'!A:C,3,FALSE),Employee!A:J,10,FALSE),"Not Specified")</f>
        <v>WA</v>
      </c>
      <c r="J907" t="str">
        <f>VLOOKUP(B907,Product!A:B,2,FALSE)</f>
        <v>Product RJVNM</v>
      </c>
      <c r="K907" t="str">
        <f>VLOOKUP(VLOOKUP(B907,Product!A:D,4,FALSE),Category!A:B,2,FALSE)</f>
        <v>Grains/Cereals</v>
      </c>
      <c r="L907" s="24">
        <f>IFERROR(VLOOKUP(A907,'Sales Order'!A:D,4,FALSE),"")</f>
        <v>39266</v>
      </c>
      <c r="M907" s="24">
        <f>IFERROR(VLOOKUP(A907,'Sales Order'!A:F,6,FALSE),"")</f>
        <v>39273</v>
      </c>
      <c r="N907" t="str">
        <f>IFERROR(VLOOKUP(VLOOKUP(A907,'Sales Order'!A:G,7,FALSE),Shipper!A:B,2,FALSE),"Not Specified")</f>
        <v>Shipper ZHISN</v>
      </c>
      <c r="O907" t="str">
        <f>IFERROR(VLOOKUP(A907,'Sales Order'!A:I,9,FALSE),"Not Specified")</f>
        <v>Ship to 63-A</v>
      </c>
      <c r="P907" t="str">
        <f>IFERROR(VLOOKUP(A907,'Sales Order'!A:N,14,FALSE),"Not Specified")</f>
        <v>Germany</v>
      </c>
      <c r="Q907" t="str">
        <f>VLOOKUP(VLOOKUP(B907,Product!A:C,3,FALSE),Supplier!A:B,2,FALSE)</f>
        <v>Supplier CIYNM</v>
      </c>
      <c r="R907" t="str">
        <f>VLOOKUP(VLOOKUP(B907,Product!A:C,3,FALSE),Supplier!A:I,9,FALSE)</f>
        <v>Singapore</v>
      </c>
      <c r="S907" t="str">
        <f>IFERROR(IF(VLOOKUP(A907,'Sales Order'!A:H,8,FALSE)&gt;100,"High Freight","Low Freight"),"Not Specified")</f>
        <v>High Freight</v>
      </c>
      <c r="T907">
        <f t="shared" si="29"/>
        <v>1120</v>
      </c>
    </row>
    <row r="908" spans="1:20">
      <c r="A908" s="9">
        <v>10589</v>
      </c>
      <c r="B908" s="6">
        <v>35</v>
      </c>
      <c r="C908" s="6">
        <v>18</v>
      </c>
      <c r="D908" s="6">
        <v>4</v>
      </c>
      <c r="E908" s="18">
        <v>0</v>
      </c>
      <c r="F908" s="6" t="str">
        <f>IFERROR(VLOOKUP(VLOOKUP(A908,'Sales Order'!A:B,2,FALSE),Customer!A:C,3,FALSE),"Not Specified")</f>
        <v>Krishnan, Venky</v>
      </c>
      <c r="G908" s="6" t="str">
        <f t="shared" si="28"/>
        <v>Krishnan Venky</v>
      </c>
      <c r="H908" s="22" t="str">
        <f>IFERROR(VLOOKUP(VLOOKUP(A908,'Sales Order'!A:C,3,FALSE),Employee!A:E,5,FALSE)&amp;" "&amp;VLOOKUP(VLOOKUP(A908,'Sales Order'!A:C,3,FALSE),Employee!A:C,3,FALSE)&amp;" "&amp;VLOOKUP(VLOOKUP(A908,'Sales Order'!A:C,3,FALSE),Employee!A:B,2,FALSE),"Not Specified")</f>
        <v>Ms. Maria Cameron</v>
      </c>
      <c r="I908" t="str">
        <f>IFERROR(VLOOKUP(VLOOKUP(A908,'Sales Order'!A:C,3,FALSE),Employee!A:J,10,FALSE),"Not Specified")</f>
        <v>WA</v>
      </c>
      <c r="J908" t="str">
        <f>VLOOKUP(B908,Product!A:B,2,FALSE)</f>
        <v>Product NEVTJ</v>
      </c>
      <c r="K908" t="str">
        <f>VLOOKUP(VLOOKUP(B908,Product!A:D,4,FALSE),Category!A:B,2,FALSE)</f>
        <v>Beverages</v>
      </c>
      <c r="L908" s="24">
        <f>IFERROR(VLOOKUP(A908,'Sales Order'!A:D,4,FALSE),"")</f>
        <v>39267</v>
      </c>
      <c r="M908" s="24">
        <f>IFERROR(VLOOKUP(A908,'Sales Order'!A:F,6,FALSE),"")</f>
        <v>39277</v>
      </c>
      <c r="N908" t="str">
        <f>IFERROR(VLOOKUP(VLOOKUP(A908,'Sales Order'!A:G,7,FALSE),Shipper!A:B,2,FALSE),"Not Specified")</f>
        <v>Shipper ETYNR</v>
      </c>
      <c r="O908" t="str">
        <f>IFERROR(VLOOKUP(A908,'Sales Order'!A:I,9,FALSE),"Not Specified")</f>
        <v>Destination AVQUS</v>
      </c>
      <c r="P908" t="str">
        <f>IFERROR(VLOOKUP(A908,'Sales Order'!A:N,14,FALSE),"Not Specified")</f>
        <v>USA</v>
      </c>
      <c r="Q908" t="str">
        <f>VLOOKUP(VLOOKUP(B908,Product!A:C,3,FALSE),Supplier!A:B,2,FALSE)</f>
        <v>Supplier UHZRG</v>
      </c>
      <c r="R908" t="str">
        <f>VLOOKUP(VLOOKUP(B908,Product!A:C,3,FALSE),Supplier!A:I,9,FALSE)</f>
        <v>USA</v>
      </c>
      <c r="S908" t="str">
        <f>IFERROR(IF(VLOOKUP(A908,'Sales Order'!A:H,8,FALSE)&gt;100,"High Freight","Low Freight"),"Not Specified")</f>
        <v>Low Freight</v>
      </c>
      <c r="T908">
        <f t="shared" si="29"/>
        <v>72</v>
      </c>
    </row>
    <row r="909" spans="1:20">
      <c r="A909" s="9">
        <v>10590</v>
      </c>
      <c r="B909" s="6">
        <v>1</v>
      </c>
      <c r="C909" s="6">
        <v>18</v>
      </c>
      <c r="D909" s="6">
        <v>20</v>
      </c>
      <c r="E909" s="18">
        <v>0</v>
      </c>
      <c r="F909" s="6" t="str">
        <f>IFERROR(VLOOKUP(VLOOKUP(A909,'Sales Order'!A:B,2,FALSE),Customer!A:C,3,FALSE),"Not Specified")</f>
        <v>Taylor, Maurice</v>
      </c>
      <c r="G909" s="6" t="str">
        <f t="shared" si="28"/>
        <v>Taylor Maurice</v>
      </c>
      <c r="H909" s="22" t="str">
        <f>IFERROR(VLOOKUP(VLOOKUP(A909,'Sales Order'!A:C,3,FALSE),Employee!A:E,5,FALSE)&amp;" "&amp;VLOOKUP(VLOOKUP(A909,'Sales Order'!A:C,3,FALSE),Employee!A:C,3,FALSE)&amp;" "&amp;VLOOKUP(VLOOKUP(A909,'Sales Order'!A:C,3,FALSE),Employee!A:B,2,FALSE),"Not Specified")</f>
        <v>Mrs. Yael Peled</v>
      </c>
      <c r="I909" t="str">
        <f>IFERROR(VLOOKUP(VLOOKUP(A909,'Sales Order'!A:C,3,FALSE),Employee!A:J,10,FALSE),"Not Specified")</f>
        <v>WA</v>
      </c>
      <c r="J909" t="str">
        <f>VLOOKUP(B909,Product!A:B,2,FALSE)</f>
        <v>Product HHYDP</v>
      </c>
      <c r="K909" t="str">
        <f>VLOOKUP(VLOOKUP(B909,Product!A:D,4,FALSE),Category!A:B,2,FALSE)</f>
        <v>Beverages</v>
      </c>
      <c r="L909" s="24">
        <f>IFERROR(VLOOKUP(A909,'Sales Order'!A:D,4,FALSE),"")</f>
        <v>39270</v>
      </c>
      <c r="M909" s="24">
        <f>IFERROR(VLOOKUP(A909,'Sales Order'!A:F,6,FALSE),"")</f>
        <v>39277</v>
      </c>
      <c r="N909" t="str">
        <f>IFERROR(VLOOKUP(VLOOKUP(A909,'Sales Order'!A:G,7,FALSE),Shipper!A:B,2,FALSE),"Not Specified")</f>
        <v>Shipper ZHISN</v>
      </c>
      <c r="O909" t="str">
        <f>IFERROR(VLOOKUP(A909,'Sales Order'!A:I,9,FALSE),"Not Specified")</f>
        <v>Ship to 51-B</v>
      </c>
      <c r="P909" t="str">
        <f>IFERROR(VLOOKUP(A909,'Sales Order'!A:N,14,FALSE),"Not Specified")</f>
        <v>Canada</v>
      </c>
      <c r="Q909" t="str">
        <f>VLOOKUP(VLOOKUP(B909,Product!A:C,3,FALSE),Supplier!A:B,2,FALSE)</f>
        <v>Supplier SWRXU</v>
      </c>
      <c r="R909" t="str">
        <f>VLOOKUP(VLOOKUP(B909,Product!A:C,3,FALSE),Supplier!A:I,9,FALSE)</f>
        <v>UK</v>
      </c>
      <c r="S909" t="str">
        <f>IFERROR(IF(VLOOKUP(A909,'Sales Order'!A:H,8,FALSE)&gt;100,"High Freight","Low Freight"),"Not Specified")</f>
        <v>Low Freight</v>
      </c>
      <c r="T909">
        <f t="shared" si="29"/>
        <v>360</v>
      </c>
    </row>
    <row r="910" spans="1:20">
      <c r="A910" s="9">
        <v>10590</v>
      </c>
      <c r="B910" s="6">
        <v>77</v>
      </c>
      <c r="C910" s="6">
        <v>13</v>
      </c>
      <c r="D910" s="6">
        <v>60</v>
      </c>
      <c r="E910" s="18">
        <v>0.05</v>
      </c>
      <c r="F910" s="6" t="str">
        <f>IFERROR(VLOOKUP(VLOOKUP(A910,'Sales Order'!A:B,2,FALSE),Customer!A:C,3,FALSE),"Not Specified")</f>
        <v>Taylor, Maurice</v>
      </c>
      <c r="G910" s="6" t="str">
        <f t="shared" si="28"/>
        <v>Taylor Maurice</v>
      </c>
      <c r="H910" s="22" t="str">
        <f>IFERROR(VLOOKUP(VLOOKUP(A910,'Sales Order'!A:C,3,FALSE),Employee!A:E,5,FALSE)&amp;" "&amp;VLOOKUP(VLOOKUP(A910,'Sales Order'!A:C,3,FALSE),Employee!A:C,3,FALSE)&amp;" "&amp;VLOOKUP(VLOOKUP(A910,'Sales Order'!A:C,3,FALSE),Employee!A:B,2,FALSE),"Not Specified")</f>
        <v>Mrs. Yael Peled</v>
      </c>
      <c r="I910" t="str">
        <f>IFERROR(VLOOKUP(VLOOKUP(A910,'Sales Order'!A:C,3,FALSE),Employee!A:J,10,FALSE),"Not Specified")</f>
        <v>WA</v>
      </c>
      <c r="J910" t="str">
        <f>VLOOKUP(B910,Product!A:B,2,FALSE)</f>
        <v>Product LUNZZ</v>
      </c>
      <c r="K910" t="str">
        <f>VLOOKUP(VLOOKUP(B910,Product!A:D,4,FALSE),Category!A:B,2,FALSE)</f>
        <v>Condiments</v>
      </c>
      <c r="L910" s="24">
        <f>IFERROR(VLOOKUP(A910,'Sales Order'!A:D,4,FALSE),"")</f>
        <v>39270</v>
      </c>
      <c r="M910" s="24">
        <f>IFERROR(VLOOKUP(A910,'Sales Order'!A:F,6,FALSE),"")</f>
        <v>39277</v>
      </c>
      <c r="N910" t="str">
        <f>IFERROR(VLOOKUP(VLOOKUP(A910,'Sales Order'!A:G,7,FALSE),Shipper!A:B,2,FALSE),"Not Specified")</f>
        <v>Shipper ZHISN</v>
      </c>
      <c r="O910" t="str">
        <f>IFERROR(VLOOKUP(A910,'Sales Order'!A:I,9,FALSE),"Not Specified")</f>
        <v>Ship to 51-B</v>
      </c>
      <c r="P910" t="str">
        <f>IFERROR(VLOOKUP(A910,'Sales Order'!A:N,14,FALSE),"Not Specified")</f>
        <v>Canada</v>
      </c>
      <c r="Q910" t="str">
        <f>VLOOKUP(VLOOKUP(B910,Product!A:C,3,FALSE),Supplier!A:B,2,FALSE)</f>
        <v>Supplier SVIYA</v>
      </c>
      <c r="R910" t="str">
        <f>VLOOKUP(VLOOKUP(B910,Product!A:C,3,FALSE),Supplier!A:I,9,FALSE)</f>
        <v>Germany</v>
      </c>
      <c r="S910" t="str">
        <f>IFERROR(IF(VLOOKUP(A910,'Sales Order'!A:H,8,FALSE)&gt;100,"High Freight","Low Freight"),"Not Specified")</f>
        <v>Low Freight</v>
      </c>
      <c r="T910">
        <f t="shared" si="29"/>
        <v>741</v>
      </c>
    </row>
    <row r="911" spans="1:20">
      <c r="A911" s="9">
        <v>10591</v>
      </c>
      <c r="B911" s="6">
        <v>3</v>
      </c>
      <c r="C911" s="6">
        <v>10</v>
      </c>
      <c r="D911" s="6">
        <v>14</v>
      </c>
      <c r="E911" s="18">
        <v>0</v>
      </c>
      <c r="F911" s="6" t="str">
        <f>IFERROR(VLOOKUP(VLOOKUP(A911,'Sales Order'!A:B,2,FALSE),Customer!A:C,3,FALSE),"Not Specified")</f>
        <v>Fonteneau, Karl</v>
      </c>
      <c r="G911" s="6" t="str">
        <f t="shared" si="28"/>
        <v>Fonteneau Karl</v>
      </c>
      <c r="H911" s="22" t="str">
        <f>IFERROR(VLOOKUP(VLOOKUP(A911,'Sales Order'!A:C,3,FALSE),Employee!A:E,5,FALSE)&amp;" "&amp;VLOOKUP(VLOOKUP(A911,'Sales Order'!A:C,3,FALSE),Employee!A:C,3,FALSE)&amp;" "&amp;VLOOKUP(VLOOKUP(A911,'Sales Order'!A:C,3,FALSE),Employee!A:B,2,FALSE),"Not Specified")</f>
        <v>Ms. Sara Davis</v>
      </c>
      <c r="I911" t="str">
        <f>IFERROR(VLOOKUP(VLOOKUP(A911,'Sales Order'!A:C,3,FALSE),Employee!A:J,10,FALSE),"Not Specified")</f>
        <v>WA</v>
      </c>
      <c r="J911" t="str">
        <f>VLOOKUP(B911,Product!A:B,2,FALSE)</f>
        <v>Product IMEHJ</v>
      </c>
      <c r="K911" t="str">
        <f>VLOOKUP(VLOOKUP(B911,Product!A:D,4,FALSE),Category!A:B,2,FALSE)</f>
        <v>Condiments</v>
      </c>
      <c r="L911" s="24">
        <f>IFERROR(VLOOKUP(A911,'Sales Order'!A:D,4,FALSE),"")</f>
        <v>39270</v>
      </c>
      <c r="M911" s="24">
        <f>IFERROR(VLOOKUP(A911,'Sales Order'!A:F,6,FALSE),"")</f>
        <v>39279</v>
      </c>
      <c r="N911" t="str">
        <f>IFERROR(VLOOKUP(VLOOKUP(A911,'Sales Order'!A:G,7,FALSE),Shipper!A:B,2,FALSE),"Not Specified")</f>
        <v>Shipper GVSUA</v>
      </c>
      <c r="O911" t="str">
        <f>IFERROR(VLOOKUP(A911,'Sales Order'!A:I,9,FALSE),"Not Specified")</f>
        <v>Ship to 83-A</v>
      </c>
      <c r="P911" t="str">
        <f>IFERROR(VLOOKUP(A911,'Sales Order'!A:N,14,FALSE),"Not Specified")</f>
        <v>Denmark</v>
      </c>
      <c r="Q911" t="str">
        <f>VLOOKUP(VLOOKUP(B911,Product!A:C,3,FALSE),Supplier!A:B,2,FALSE)</f>
        <v>Supplier SWRXU</v>
      </c>
      <c r="R911" t="str">
        <f>VLOOKUP(VLOOKUP(B911,Product!A:C,3,FALSE),Supplier!A:I,9,FALSE)</f>
        <v>UK</v>
      </c>
      <c r="S911" t="str">
        <f>IFERROR(IF(VLOOKUP(A911,'Sales Order'!A:H,8,FALSE)&gt;100,"High Freight","Low Freight"),"Not Specified")</f>
        <v>Low Freight</v>
      </c>
      <c r="T911">
        <f t="shared" si="29"/>
        <v>140</v>
      </c>
    </row>
    <row r="912" spans="1:20">
      <c r="A912" s="9">
        <v>10591</v>
      </c>
      <c r="B912" s="6">
        <v>7</v>
      </c>
      <c r="C912" s="6">
        <v>30</v>
      </c>
      <c r="D912" s="6">
        <v>10</v>
      </c>
      <c r="E912" s="18">
        <v>0</v>
      </c>
      <c r="F912" s="6" t="str">
        <f>IFERROR(VLOOKUP(VLOOKUP(A912,'Sales Order'!A:B,2,FALSE),Customer!A:C,3,FALSE),"Not Specified")</f>
        <v>Fonteneau, Karl</v>
      </c>
      <c r="G912" s="6" t="str">
        <f t="shared" si="28"/>
        <v>Fonteneau Karl</v>
      </c>
      <c r="H912" s="22" t="str">
        <f>IFERROR(VLOOKUP(VLOOKUP(A912,'Sales Order'!A:C,3,FALSE),Employee!A:E,5,FALSE)&amp;" "&amp;VLOOKUP(VLOOKUP(A912,'Sales Order'!A:C,3,FALSE),Employee!A:C,3,FALSE)&amp;" "&amp;VLOOKUP(VLOOKUP(A912,'Sales Order'!A:C,3,FALSE),Employee!A:B,2,FALSE),"Not Specified")</f>
        <v>Ms. Sara Davis</v>
      </c>
      <c r="I912" t="str">
        <f>IFERROR(VLOOKUP(VLOOKUP(A912,'Sales Order'!A:C,3,FALSE),Employee!A:J,10,FALSE),"Not Specified")</f>
        <v>WA</v>
      </c>
      <c r="J912" t="str">
        <f>VLOOKUP(B912,Product!A:B,2,FALSE)</f>
        <v>Product HMLNI</v>
      </c>
      <c r="K912" t="str">
        <f>VLOOKUP(VLOOKUP(B912,Product!A:D,4,FALSE),Category!A:B,2,FALSE)</f>
        <v>Produce</v>
      </c>
      <c r="L912" s="24">
        <f>IFERROR(VLOOKUP(A912,'Sales Order'!A:D,4,FALSE),"")</f>
        <v>39270</v>
      </c>
      <c r="M912" s="24">
        <f>IFERROR(VLOOKUP(A912,'Sales Order'!A:F,6,FALSE),"")</f>
        <v>39279</v>
      </c>
      <c r="N912" t="str">
        <f>IFERROR(VLOOKUP(VLOOKUP(A912,'Sales Order'!A:G,7,FALSE),Shipper!A:B,2,FALSE),"Not Specified")</f>
        <v>Shipper GVSUA</v>
      </c>
      <c r="O912" t="str">
        <f>IFERROR(VLOOKUP(A912,'Sales Order'!A:I,9,FALSE),"Not Specified")</f>
        <v>Ship to 83-A</v>
      </c>
      <c r="P912" t="str">
        <f>IFERROR(VLOOKUP(A912,'Sales Order'!A:N,14,FALSE),"Not Specified")</f>
        <v>Denmark</v>
      </c>
      <c r="Q912" t="str">
        <f>VLOOKUP(VLOOKUP(B912,Product!A:C,3,FALSE),Supplier!A:B,2,FALSE)</f>
        <v>Supplier STUAZ</v>
      </c>
      <c r="R912" t="str">
        <f>VLOOKUP(VLOOKUP(B912,Product!A:C,3,FALSE),Supplier!A:I,9,FALSE)</f>
        <v>USA</v>
      </c>
      <c r="S912" t="str">
        <f>IFERROR(IF(VLOOKUP(A912,'Sales Order'!A:H,8,FALSE)&gt;100,"High Freight","Low Freight"),"Not Specified")</f>
        <v>Low Freight</v>
      </c>
      <c r="T912">
        <f t="shared" si="29"/>
        <v>300</v>
      </c>
    </row>
    <row r="913" spans="1:20">
      <c r="A913" s="9">
        <v>10591</v>
      </c>
      <c r="B913" s="6">
        <v>54</v>
      </c>
      <c r="C913" s="6">
        <v>7.45</v>
      </c>
      <c r="D913" s="6">
        <v>50</v>
      </c>
      <c r="E913" s="18">
        <v>0</v>
      </c>
      <c r="F913" s="6" t="str">
        <f>IFERROR(VLOOKUP(VLOOKUP(A913,'Sales Order'!A:B,2,FALSE),Customer!A:C,3,FALSE),"Not Specified")</f>
        <v>Fonteneau, Karl</v>
      </c>
      <c r="G913" s="6" t="str">
        <f t="shared" si="28"/>
        <v>Fonteneau Karl</v>
      </c>
      <c r="H913" s="22" t="str">
        <f>IFERROR(VLOOKUP(VLOOKUP(A913,'Sales Order'!A:C,3,FALSE),Employee!A:E,5,FALSE)&amp;" "&amp;VLOOKUP(VLOOKUP(A913,'Sales Order'!A:C,3,FALSE),Employee!A:C,3,FALSE)&amp;" "&amp;VLOOKUP(VLOOKUP(A913,'Sales Order'!A:C,3,FALSE),Employee!A:B,2,FALSE),"Not Specified")</f>
        <v>Ms. Sara Davis</v>
      </c>
      <c r="I913" t="str">
        <f>IFERROR(VLOOKUP(VLOOKUP(A913,'Sales Order'!A:C,3,FALSE),Employee!A:J,10,FALSE),"Not Specified")</f>
        <v>WA</v>
      </c>
      <c r="J913" t="str">
        <f>VLOOKUP(B913,Product!A:B,2,FALSE)</f>
        <v>Product QAQRL</v>
      </c>
      <c r="K913" t="str">
        <f>VLOOKUP(VLOOKUP(B913,Product!A:D,4,FALSE),Category!A:B,2,FALSE)</f>
        <v>Meat/Poultry</v>
      </c>
      <c r="L913" s="24">
        <f>IFERROR(VLOOKUP(A913,'Sales Order'!A:D,4,FALSE),"")</f>
        <v>39270</v>
      </c>
      <c r="M913" s="24">
        <f>IFERROR(VLOOKUP(A913,'Sales Order'!A:F,6,FALSE),"")</f>
        <v>39279</v>
      </c>
      <c r="N913" t="str">
        <f>IFERROR(VLOOKUP(VLOOKUP(A913,'Sales Order'!A:G,7,FALSE),Shipper!A:B,2,FALSE),"Not Specified")</f>
        <v>Shipper GVSUA</v>
      </c>
      <c r="O913" t="str">
        <f>IFERROR(VLOOKUP(A913,'Sales Order'!A:I,9,FALSE),"Not Specified")</f>
        <v>Ship to 83-A</v>
      </c>
      <c r="P913" t="str">
        <f>IFERROR(VLOOKUP(A913,'Sales Order'!A:N,14,FALSE),"Not Specified")</f>
        <v>Denmark</v>
      </c>
      <c r="Q913" t="str">
        <f>VLOOKUP(VLOOKUP(B913,Product!A:C,3,FALSE),Supplier!A:B,2,FALSE)</f>
        <v>Supplier ERVYZ</v>
      </c>
      <c r="R913" t="str">
        <f>VLOOKUP(VLOOKUP(B913,Product!A:C,3,FALSE),Supplier!A:I,9,FALSE)</f>
        <v>Canada</v>
      </c>
      <c r="S913" t="str">
        <f>IFERROR(IF(VLOOKUP(A913,'Sales Order'!A:H,8,FALSE)&gt;100,"High Freight","Low Freight"),"Not Specified")</f>
        <v>Low Freight</v>
      </c>
      <c r="T913">
        <f t="shared" si="29"/>
        <v>372.5</v>
      </c>
    </row>
    <row r="914" spans="1:20">
      <c r="A914" s="9">
        <v>10592</v>
      </c>
      <c r="B914" s="6">
        <v>15</v>
      </c>
      <c r="C914" s="6">
        <v>15.5</v>
      </c>
      <c r="D914" s="6">
        <v>25</v>
      </c>
      <c r="E914" s="18">
        <v>0.05</v>
      </c>
      <c r="F914" s="6" t="str">
        <f>IFERROR(VLOOKUP(VLOOKUP(A914,'Sales Order'!A:B,2,FALSE),Customer!A:C,3,FALSE),"Not Specified")</f>
        <v>Louverdis, George</v>
      </c>
      <c r="G914" s="6" t="str">
        <f t="shared" si="28"/>
        <v>Louverdis George</v>
      </c>
      <c r="H914" s="22" t="str">
        <f>IFERROR(VLOOKUP(VLOOKUP(A914,'Sales Order'!A:C,3,FALSE),Employee!A:E,5,FALSE)&amp;" "&amp;VLOOKUP(VLOOKUP(A914,'Sales Order'!A:C,3,FALSE),Employee!A:C,3,FALSE)&amp;" "&amp;VLOOKUP(VLOOKUP(A914,'Sales Order'!A:C,3,FALSE),Employee!A:B,2,FALSE),"Not Specified")</f>
        <v>Ms. Judy Lew</v>
      </c>
      <c r="I914" t="str">
        <f>IFERROR(VLOOKUP(VLOOKUP(A914,'Sales Order'!A:C,3,FALSE),Employee!A:J,10,FALSE),"Not Specified")</f>
        <v>WA</v>
      </c>
      <c r="J914" t="str">
        <f>VLOOKUP(B914,Product!A:B,2,FALSE)</f>
        <v>Product KSZOI</v>
      </c>
      <c r="K914" t="str">
        <f>VLOOKUP(VLOOKUP(B914,Product!A:D,4,FALSE),Category!A:B,2,FALSE)</f>
        <v>Condiments</v>
      </c>
      <c r="L914" s="24">
        <f>IFERROR(VLOOKUP(A914,'Sales Order'!A:D,4,FALSE),"")</f>
        <v>39271</v>
      </c>
      <c r="M914" s="24">
        <f>IFERROR(VLOOKUP(A914,'Sales Order'!A:F,6,FALSE),"")</f>
        <v>39279</v>
      </c>
      <c r="N914" t="str">
        <f>IFERROR(VLOOKUP(VLOOKUP(A914,'Sales Order'!A:G,7,FALSE),Shipper!A:B,2,FALSE),"Not Specified")</f>
        <v>Shipper GVSUA</v>
      </c>
      <c r="O914" t="str">
        <f>IFERROR(VLOOKUP(A914,'Sales Order'!A:I,9,FALSE),"Not Specified")</f>
        <v>Ship to 44-B</v>
      </c>
      <c r="P914" t="str">
        <f>IFERROR(VLOOKUP(A914,'Sales Order'!A:N,14,FALSE),"Not Specified")</f>
        <v>Germany</v>
      </c>
      <c r="Q914" t="str">
        <f>VLOOKUP(VLOOKUP(B914,Product!A:C,3,FALSE),Supplier!A:B,2,FALSE)</f>
        <v>Supplier QWUSF</v>
      </c>
      <c r="R914" t="str">
        <f>VLOOKUP(VLOOKUP(B914,Product!A:C,3,FALSE),Supplier!A:I,9,FALSE)</f>
        <v>Japan</v>
      </c>
      <c r="S914" t="str">
        <f>IFERROR(IF(VLOOKUP(A914,'Sales Order'!A:H,8,FALSE)&gt;100,"High Freight","Low Freight"),"Not Specified")</f>
        <v>Low Freight</v>
      </c>
      <c r="T914">
        <f t="shared" si="29"/>
        <v>368.125</v>
      </c>
    </row>
    <row r="915" spans="1:20">
      <c r="A915" s="9">
        <v>10592</v>
      </c>
      <c r="B915" s="6">
        <v>26</v>
      </c>
      <c r="C915" s="6">
        <v>31.23</v>
      </c>
      <c r="D915" s="6">
        <v>5</v>
      </c>
      <c r="E915" s="18">
        <v>0.05</v>
      </c>
      <c r="F915" s="6" t="str">
        <f>IFERROR(VLOOKUP(VLOOKUP(A915,'Sales Order'!A:B,2,FALSE),Customer!A:C,3,FALSE),"Not Specified")</f>
        <v>Louverdis, George</v>
      </c>
      <c r="G915" s="6" t="str">
        <f t="shared" si="28"/>
        <v>Louverdis George</v>
      </c>
      <c r="H915" s="22" t="str">
        <f>IFERROR(VLOOKUP(VLOOKUP(A915,'Sales Order'!A:C,3,FALSE),Employee!A:E,5,FALSE)&amp;" "&amp;VLOOKUP(VLOOKUP(A915,'Sales Order'!A:C,3,FALSE),Employee!A:C,3,FALSE)&amp;" "&amp;VLOOKUP(VLOOKUP(A915,'Sales Order'!A:C,3,FALSE),Employee!A:B,2,FALSE),"Not Specified")</f>
        <v>Ms. Judy Lew</v>
      </c>
      <c r="I915" t="str">
        <f>IFERROR(VLOOKUP(VLOOKUP(A915,'Sales Order'!A:C,3,FALSE),Employee!A:J,10,FALSE),"Not Specified")</f>
        <v>WA</v>
      </c>
      <c r="J915" t="str">
        <f>VLOOKUP(B915,Product!A:B,2,FALSE)</f>
        <v>Product HLGZA</v>
      </c>
      <c r="K915" t="str">
        <f>VLOOKUP(VLOOKUP(B915,Product!A:D,4,FALSE),Category!A:B,2,FALSE)</f>
        <v>Confections</v>
      </c>
      <c r="L915" s="24">
        <f>IFERROR(VLOOKUP(A915,'Sales Order'!A:D,4,FALSE),"")</f>
        <v>39271</v>
      </c>
      <c r="M915" s="24">
        <f>IFERROR(VLOOKUP(A915,'Sales Order'!A:F,6,FALSE),"")</f>
        <v>39279</v>
      </c>
      <c r="N915" t="str">
        <f>IFERROR(VLOOKUP(VLOOKUP(A915,'Sales Order'!A:G,7,FALSE),Shipper!A:B,2,FALSE),"Not Specified")</f>
        <v>Shipper GVSUA</v>
      </c>
      <c r="O915" t="str">
        <f>IFERROR(VLOOKUP(A915,'Sales Order'!A:I,9,FALSE),"Not Specified")</f>
        <v>Ship to 44-B</v>
      </c>
      <c r="P915" t="str">
        <f>IFERROR(VLOOKUP(A915,'Sales Order'!A:N,14,FALSE),"Not Specified")</f>
        <v>Germany</v>
      </c>
      <c r="Q915" t="str">
        <f>VLOOKUP(VLOOKUP(B915,Product!A:C,3,FALSE),Supplier!A:B,2,FALSE)</f>
        <v>Supplier ZPYVS</v>
      </c>
      <c r="R915" t="str">
        <f>VLOOKUP(VLOOKUP(B915,Product!A:C,3,FALSE),Supplier!A:I,9,FALSE)</f>
        <v>Germany</v>
      </c>
      <c r="S915" t="str">
        <f>IFERROR(IF(VLOOKUP(A915,'Sales Order'!A:H,8,FALSE)&gt;100,"High Freight","Low Freight"),"Not Specified")</f>
        <v>Low Freight</v>
      </c>
      <c r="T915">
        <f t="shared" si="29"/>
        <v>148.3425</v>
      </c>
    </row>
    <row r="916" spans="1:20">
      <c r="A916" s="9">
        <v>10593</v>
      </c>
      <c r="B916" s="6">
        <v>20</v>
      </c>
      <c r="C916" s="6">
        <v>81</v>
      </c>
      <c r="D916" s="6">
        <v>21</v>
      </c>
      <c r="E916" s="18">
        <v>0.2</v>
      </c>
      <c r="F916" s="6" t="str">
        <f>IFERROR(VLOOKUP(VLOOKUP(A916,'Sales Order'!A:B,2,FALSE),Customer!A:C,3,FALSE),"Not Specified")</f>
        <v>Louverdis, George</v>
      </c>
      <c r="G916" s="6" t="str">
        <f t="shared" si="28"/>
        <v>Louverdis George</v>
      </c>
      <c r="H916" s="22" t="str">
        <f>IFERROR(VLOOKUP(VLOOKUP(A916,'Sales Order'!A:C,3,FALSE),Employee!A:E,5,FALSE)&amp;" "&amp;VLOOKUP(VLOOKUP(A916,'Sales Order'!A:C,3,FALSE),Employee!A:C,3,FALSE)&amp;" "&amp;VLOOKUP(VLOOKUP(A916,'Sales Order'!A:C,3,FALSE),Employee!A:B,2,FALSE),"Not Specified")</f>
        <v>Mr. Russell King</v>
      </c>
      <c r="I916">
        <f>IFERROR(VLOOKUP(VLOOKUP(A916,'Sales Order'!A:C,3,FALSE),Employee!A:J,10,FALSE),"Not Specified")</f>
        <v>0</v>
      </c>
      <c r="J916" t="str">
        <f>VLOOKUP(B916,Product!A:B,2,FALSE)</f>
        <v>Product QHFFP</v>
      </c>
      <c r="K916" t="str">
        <f>VLOOKUP(VLOOKUP(B916,Product!A:D,4,FALSE),Category!A:B,2,FALSE)</f>
        <v>Confections</v>
      </c>
      <c r="L916" s="24">
        <f>IFERROR(VLOOKUP(A916,'Sales Order'!A:D,4,FALSE),"")</f>
        <v>39272</v>
      </c>
      <c r="M916" s="24">
        <f>IFERROR(VLOOKUP(A916,'Sales Order'!A:F,6,FALSE),"")</f>
        <v>39307</v>
      </c>
      <c r="N916" t="str">
        <f>IFERROR(VLOOKUP(VLOOKUP(A916,'Sales Order'!A:G,7,FALSE),Shipper!A:B,2,FALSE),"Not Specified")</f>
        <v>Shipper ETYNR</v>
      </c>
      <c r="O916" t="str">
        <f>IFERROR(VLOOKUP(A916,'Sales Order'!A:I,9,FALSE),"Not Specified")</f>
        <v>Ship to 44-C</v>
      </c>
      <c r="P916" t="str">
        <f>IFERROR(VLOOKUP(A916,'Sales Order'!A:N,14,FALSE),"Not Specified")</f>
        <v>Germany</v>
      </c>
      <c r="Q916" t="str">
        <f>VLOOKUP(VLOOKUP(B916,Product!A:C,3,FALSE),Supplier!A:B,2,FALSE)</f>
        <v>Supplier BWGYE</v>
      </c>
      <c r="R916" t="str">
        <f>VLOOKUP(VLOOKUP(B916,Product!A:C,3,FALSE),Supplier!A:I,9,FALSE)</f>
        <v>UK</v>
      </c>
      <c r="S916" t="str">
        <f>IFERROR(IF(VLOOKUP(A916,'Sales Order'!A:H,8,FALSE)&gt;100,"High Freight","Low Freight"),"Not Specified")</f>
        <v>High Freight</v>
      </c>
      <c r="T916">
        <f t="shared" si="29"/>
        <v>1360.8000000000002</v>
      </c>
    </row>
    <row r="917" spans="1:20">
      <c r="A917" s="9">
        <v>10593</v>
      </c>
      <c r="B917" s="6">
        <v>69</v>
      </c>
      <c r="C917" s="6">
        <v>36</v>
      </c>
      <c r="D917" s="6">
        <v>20</v>
      </c>
      <c r="E917" s="18">
        <v>0.2</v>
      </c>
      <c r="F917" s="6" t="str">
        <f>IFERROR(VLOOKUP(VLOOKUP(A917,'Sales Order'!A:B,2,FALSE),Customer!A:C,3,FALSE),"Not Specified")</f>
        <v>Louverdis, George</v>
      </c>
      <c r="G917" s="6" t="str">
        <f t="shared" si="28"/>
        <v>Louverdis George</v>
      </c>
      <c r="H917" s="22" t="str">
        <f>IFERROR(VLOOKUP(VLOOKUP(A917,'Sales Order'!A:C,3,FALSE),Employee!A:E,5,FALSE)&amp;" "&amp;VLOOKUP(VLOOKUP(A917,'Sales Order'!A:C,3,FALSE),Employee!A:C,3,FALSE)&amp;" "&amp;VLOOKUP(VLOOKUP(A917,'Sales Order'!A:C,3,FALSE),Employee!A:B,2,FALSE),"Not Specified")</f>
        <v>Mr. Russell King</v>
      </c>
      <c r="I917">
        <f>IFERROR(VLOOKUP(VLOOKUP(A917,'Sales Order'!A:C,3,FALSE),Employee!A:J,10,FALSE),"Not Specified")</f>
        <v>0</v>
      </c>
      <c r="J917" t="str">
        <f>VLOOKUP(B917,Product!A:B,2,FALSE)</f>
        <v>Product COAXA</v>
      </c>
      <c r="K917" t="str">
        <f>VLOOKUP(VLOOKUP(B917,Product!A:D,4,FALSE),Category!A:B,2,FALSE)</f>
        <v>Dairy Product</v>
      </c>
      <c r="L917" s="24">
        <f>IFERROR(VLOOKUP(A917,'Sales Order'!A:D,4,FALSE),"")</f>
        <v>39272</v>
      </c>
      <c r="M917" s="24">
        <f>IFERROR(VLOOKUP(A917,'Sales Order'!A:F,6,FALSE),"")</f>
        <v>39307</v>
      </c>
      <c r="N917" t="str">
        <f>IFERROR(VLOOKUP(VLOOKUP(A917,'Sales Order'!A:G,7,FALSE),Shipper!A:B,2,FALSE),"Not Specified")</f>
        <v>Shipper ETYNR</v>
      </c>
      <c r="O917" t="str">
        <f>IFERROR(VLOOKUP(A917,'Sales Order'!A:I,9,FALSE),"Not Specified")</f>
        <v>Ship to 44-C</v>
      </c>
      <c r="P917" t="str">
        <f>IFERROR(VLOOKUP(A917,'Sales Order'!A:N,14,FALSE),"Not Specified")</f>
        <v>Germany</v>
      </c>
      <c r="Q917" t="str">
        <f>VLOOKUP(VLOOKUP(B917,Product!A:C,3,FALSE),Supplier!A:B,2,FALSE)</f>
        <v>Supplier NZLIF</v>
      </c>
      <c r="R917" t="str">
        <f>VLOOKUP(VLOOKUP(B917,Product!A:C,3,FALSE),Supplier!A:I,9,FALSE)</f>
        <v>Norway</v>
      </c>
      <c r="S917" t="str">
        <f>IFERROR(IF(VLOOKUP(A917,'Sales Order'!A:H,8,FALSE)&gt;100,"High Freight","Low Freight"),"Not Specified")</f>
        <v>High Freight</v>
      </c>
      <c r="T917">
        <f t="shared" si="29"/>
        <v>576</v>
      </c>
    </row>
    <row r="918" spans="1:20">
      <c r="A918" s="9">
        <v>10593</v>
      </c>
      <c r="B918" s="6">
        <v>76</v>
      </c>
      <c r="C918" s="6">
        <v>18</v>
      </c>
      <c r="D918" s="6">
        <v>4</v>
      </c>
      <c r="E918" s="18">
        <v>0.2</v>
      </c>
      <c r="F918" s="6" t="str">
        <f>IFERROR(VLOOKUP(VLOOKUP(A918,'Sales Order'!A:B,2,FALSE),Customer!A:C,3,FALSE),"Not Specified")</f>
        <v>Louverdis, George</v>
      </c>
      <c r="G918" s="6" t="str">
        <f t="shared" si="28"/>
        <v>Louverdis George</v>
      </c>
      <c r="H918" s="22" t="str">
        <f>IFERROR(VLOOKUP(VLOOKUP(A918,'Sales Order'!A:C,3,FALSE),Employee!A:E,5,FALSE)&amp;" "&amp;VLOOKUP(VLOOKUP(A918,'Sales Order'!A:C,3,FALSE),Employee!A:C,3,FALSE)&amp;" "&amp;VLOOKUP(VLOOKUP(A918,'Sales Order'!A:C,3,FALSE),Employee!A:B,2,FALSE),"Not Specified")</f>
        <v>Mr. Russell King</v>
      </c>
      <c r="I918">
        <f>IFERROR(VLOOKUP(VLOOKUP(A918,'Sales Order'!A:C,3,FALSE),Employee!A:J,10,FALSE),"Not Specified")</f>
        <v>0</v>
      </c>
      <c r="J918" t="str">
        <f>VLOOKUP(B918,Product!A:B,2,FALSE)</f>
        <v>Product JYGFE</v>
      </c>
      <c r="K918" t="str">
        <f>VLOOKUP(VLOOKUP(B918,Product!A:D,4,FALSE),Category!A:B,2,FALSE)</f>
        <v>Beverages</v>
      </c>
      <c r="L918" s="24">
        <f>IFERROR(VLOOKUP(A918,'Sales Order'!A:D,4,FALSE),"")</f>
        <v>39272</v>
      </c>
      <c r="M918" s="24">
        <f>IFERROR(VLOOKUP(A918,'Sales Order'!A:F,6,FALSE),"")</f>
        <v>39307</v>
      </c>
      <c r="N918" t="str">
        <f>IFERROR(VLOOKUP(VLOOKUP(A918,'Sales Order'!A:G,7,FALSE),Shipper!A:B,2,FALSE),"Not Specified")</f>
        <v>Shipper ETYNR</v>
      </c>
      <c r="O918" t="str">
        <f>IFERROR(VLOOKUP(A918,'Sales Order'!A:I,9,FALSE),"Not Specified")</f>
        <v>Ship to 44-C</v>
      </c>
      <c r="P918" t="str">
        <f>IFERROR(VLOOKUP(A918,'Sales Order'!A:N,14,FALSE),"Not Specified")</f>
        <v>Germany</v>
      </c>
      <c r="Q918" t="str">
        <f>VLOOKUP(VLOOKUP(B918,Product!A:C,3,FALSE),Supplier!A:B,2,FALSE)</f>
        <v>Supplier ELCRN</v>
      </c>
      <c r="R918" t="str">
        <f>VLOOKUP(VLOOKUP(B918,Product!A:C,3,FALSE),Supplier!A:I,9,FALSE)</f>
        <v>Finland</v>
      </c>
      <c r="S918" t="str">
        <f>IFERROR(IF(VLOOKUP(A918,'Sales Order'!A:H,8,FALSE)&gt;100,"High Freight","Low Freight"),"Not Specified")</f>
        <v>High Freight</v>
      </c>
      <c r="T918">
        <f t="shared" si="29"/>
        <v>57.6</v>
      </c>
    </row>
    <row r="919" spans="1:20">
      <c r="A919" s="9">
        <v>10594</v>
      </c>
      <c r="B919" s="6">
        <v>52</v>
      </c>
      <c r="C919" s="6">
        <v>7</v>
      </c>
      <c r="D919" s="6">
        <v>24</v>
      </c>
      <c r="E919" s="18">
        <v>0</v>
      </c>
      <c r="F919" s="6" t="str">
        <f>IFERROR(VLOOKUP(VLOOKUP(A919,'Sales Order'!A:B,2,FALSE),Customer!A:C,3,FALSE),"Not Specified")</f>
        <v>Egelund-Muller, Anja</v>
      </c>
      <c r="G919" s="6" t="str">
        <f t="shared" si="28"/>
        <v>Egelund-Muller Anja</v>
      </c>
      <c r="H919" s="22" t="str">
        <f>IFERROR(VLOOKUP(VLOOKUP(A919,'Sales Order'!A:C,3,FALSE),Employee!A:E,5,FALSE)&amp;" "&amp;VLOOKUP(VLOOKUP(A919,'Sales Order'!A:C,3,FALSE),Employee!A:C,3,FALSE)&amp;" "&amp;VLOOKUP(VLOOKUP(A919,'Sales Order'!A:C,3,FALSE),Employee!A:B,2,FALSE),"Not Specified")</f>
        <v>Ms. Judy Lew</v>
      </c>
      <c r="I919" t="str">
        <f>IFERROR(VLOOKUP(VLOOKUP(A919,'Sales Order'!A:C,3,FALSE),Employee!A:J,10,FALSE),"Not Specified")</f>
        <v>WA</v>
      </c>
      <c r="J919" t="str">
        <f>VLOOKUP(B919,Product!A:B,2,FALSE)</f>
        <v>Product QSRXF</v>
      </c>
      <c r="K919" t="str">
        <f>VLOOKUP(VLOOKUP(B919,Product!A:D,4,FALSE),Category!A:B,2,FALSE)</f>
        <v>Grains/Cereals</v>
      </c>
      <c r="L919" s="24">
        <f>IFERROR(VLOOKUP(A919,'Sales Order'!A:D,4,FALSE),"")</f>
        <v>39272</v>
      </c>
      <c r="M919" s="24">
        <f>IFERROR(VLOOKUP(A919,'Sales Order'!A:F,6,FALSE),"")</f>
        <v>39279</v>
      </c>
      <c r="N919" t="str">
        <f>IFERROR(VLOOKUP(VLOOKUP(A919,'Sales Order'!A:G,7,FALSE),Shipper!A:B,2,FALSE),"Not Specified")</f>
        <v>Shipper ETYNR</v>
      </c>
      <c r="O919" t="str">
        <f>IFERROR(VLOOKUP(A919,'Sales Order'!A:I,9,FALSE),"Not Specified")</f>
        <v>Ship to 55-B</v>
      </c>
      <c r="P919" t="str">
        <f>IFERROR(VLOOKUP(A919,'Sales Order'!A:N,14,FALSE),"Not Specified")</f>
        <v>USA</v>
      </c>
      <c r="Q919" t="str">
        <f>VLOOKUP(VLOOKUP(B919,Product!A:C,3,FALSE),Supplier!A:B,2,FALSE)</f>
        <v>Supplier JNNES</v>
      </c>
      <c r="R919" t="str">
        <f>VLOOKUP(VLOOKUP(B919,Product!A:C,3,FALSE),Supplier!A:I,9,FALSE)</f>
        <v>Australia</v>
      </c>
      <c r="S919" t="str">
        <f>IFERROR(IF(VLOOKUP(A919,'Sales Order'!A:H,8,FALSE)&gt;100,"High Freight","Low Freight"),"Not Specified")</f>
        <v>Low Freight</v>
      </c>
      <c r="T919">
        <f t="shared" si="29"/>
        <v>168</v>
      </c>
    </row>
    <row r="920" spans="1:20">
      <c r="A920" s="9">
        <v>10594</v>
      </c>
      <c r="B920" s="6">
        <v>58</v>
      </c>
      <c r="C920" s="6">
        <v>13.25</v>
      </c>
      <c r="D920" s="6">
        <v>30</v>
      </c>
      <c r="E920" s="18">
        <v>0</v>
      </c>
      <c r="F920" s="6" t="str">
        <f>IFERROR(VLOOKUP(VLOOKUP(A920,'Sales Order'!A:B,2,FALSE),Customer!A:C,3,FALSE),"Not Specified")</f>
        <v>Egelund-Muller, Anja</v>
      </c>
      <c r="G920" s="6" t="str">
        <f t="shared" si="28"/>
        <v>Egelund-Muller Anja</v>
      </c>
      <c r="H920" s="22" t="str">
        <f>IFERROR(VLOOKUP(VLOOKUP(A920,'Sales Order'!A:C,3,FALSE),Employee!A:E,5,FALSE)&amp;" "&amp;VLOOKUP(VLOOKUP(A920,'Sales Order'!A:C,3,FALSE),Employee!A:C,3,FALSE)&amp;" "&amp;VLOOKUP(VLOOKUP(A920,'Sales Order'!A:C,3,FALSE),Employee!A:B,2,FALSE),"Not Specified")</f>
        <v>Ms. Judy Lew</v>
      </c>
      <c r="I920" t="str">
        <f>IFERROR(VLOOKUP(VLOOKUP(A920,'Sales Order'!A:C,3,FALSE),Employee!A:J,10,FALSE),"Not Specified")</f>
        <v>WA</v>
      </c>
      <c r="J920" t="str">
        <f>VLOOKUP(B920,Product!A:B,2,FALSE)</f>
        <v>Product ACRVI</v>
      </c>
      <c r="K920" t="str">
        <f>VLOOKUP(VLOOKUP(B920,Product!A:D,4,FALSE),Category!A:B,2,FALSE)</f>
        <v>Seafood</v>
      </c>
      <c r="L920" s="24">
        <f>IFERROR(VLOOKUP(A920,'Sales Order'!A:D,4,FALSE),"")</f>
        <v>39272</v>
      </c>
      <c r="M920" s="24">
        <f>IFERROR(VLOOKUP(A920,'Sales Order'!A:F,6,FALSE),"")</f>
        <v>39279</v>
      </c>
      <c r="N920" t="str">
        <f>IFERROR(VLOOKUP(VLOOKUP(A920,'Sales Order'!A:G,7,FALSE),Shipper!A:B,2,FALSE),"Not Specified")</f>
        <v>Shipper ETYNR</v>
      </c>
      <c r="O920" t="str">
        <f>IFERROR(VLOOKUP(A920,'Sales Order'!A:I,9,FALSE),"Not Specified")</f>
        <v>Ship to 55-B</v>
      </c>
      <c r="P920" t="str">
        <f>IFERROR(VLOOKUP(A920,'Sales Order'!A:N,14,FALSE),"Not Specified")</f>
        <v>USA</v>
      </c>
      <c r="Q920" t="str">
        <f>VLOOKUP(VLOOKUP(B920,Product!A:C,3,FALSE),Supplier!A:B,2,FALSE)</f>
        <v>Supplier ZRYDZ</v>
      </c>
      <c r="R920" t="str">
        <f>VLOOKUP(VLOOKUP(B920,Product!A:C,3,FALSE),Supplier!A:I,9,FALSE)</f>
        <v>France</v>
      </c>
      <c r="S920" t="str">
        <f>IFERROR(IF(VLOOKUP(A920,'Sales Order'!A:H,8,FALSE)&gt;100,"High Freight","Low Freight"),"Not Specified")</f>
        <v>Low Freight</v>
      </c>
      <c r="T920">
        <f t="shared" si="29"/>
        <v>397.5</v>
      </c>
    </row>
    <row r="921" spans="1:20">
      <c r="A921" s="9">
        <v>10595</v>
      </c>
      <c r="B921" s="6">
        <v>35</v>
      </c>
      <c r="C921" s="6">
        <v>18</v>
      </c>
      <c r="D921" s="6">
        <v>30</v>
      </c>
      <c r="E921" s="18">
        <v>0.25</v>
      </c>
      <c r="F921" s="6" t="str">
        <f>IFERROR(VLOOKUP(VLOOKUP(A921,'Sales Order'!A:B,2,FALSE),Customer!A:C,3,FALSE),"Not Specified")</f>
        <v>Kane, John</v>
      </c>
      <c r="G921" s="6" t="str">
        <f t="shared" si="28"/>
        <v>Kane John</v>
      </c>
      <c r="H921" s="22" t="str">
        <f>IFERROR(VLOOKUP(VLOOKUP(A921,'Sales Order'!A:C,3,FALSE),Employee!A:E,5,FALSE)&amp;" "&amp;VLOOKUP(VLOOKUP(A921,'Sales Order'!A:C,3,FALSE),Employee!A:C,3,FALSE)&amp;" "&amp;VLOOKUP(VLOOKUP(A921,'Sales Order'!A:C,3,FALSE),Employee!A:B,2,FALSE),"Not Specified")</f>
        <v>Dr. Don Funk</v>
      </c>
      <c r="I921" t="str">
        <f>IFERROR(VLOOKUP(VLOOKUP(A921,'Sales Order'!A:C,3,FALSE),Employee!A:J,10,FALSE),"Not Specified")</f>
        <v>WA</v>
      </c>
      <c r="J921" t="str">
        <f>VLOOKUP(B921,Product!A:B,2,FALSE)</f>
        <v>Product NEVTJ</v>
      </c>
      <c r="K921" t="str">
        <f>VLOOKUP(VLOOKUP(B921,Product!A:D,4,FALSE),Category!A:B,2,FALSE)</f>
        <v>Beverages</v>
      </c>
      <c r="L921" s="24">
        <f>IFERROR(VLOOKUP(A921,'Sales Order'!A:D,4,FALSE),"")</f>
        <v>39273</v>
      </c>
      <c r="M921" s="24">
        <f>IFERROR(VLOOKUP(A921,'Sales Order'!A:F,6,FALSE),"")</f>
        <v>39277</v>
      </c>
      <c r="N921" t="str">
        <f>IFERROR(VLOOKUP(VLOOKUP(A921,'Sales Order'!A:G,7,FALSE),Shipper!A:B,2,FALSE),"Not Specified")</f>
        <v>Shipper GVSUA</v>
      </c>
      <c r="O921" t="str">
        <f>IFERROR(VLOOKUP(A921,'Sales Order'!A:I,9,FALSE),"Not Specified")</f>
        <v>Destination CUVPF</v>
      </c>
      <c r="P921" t="str">
        <f>IFERROR(VLOOKUP(A921,'Sales Order'!A:N,14,FALSE),"Not Specified")</f>
        <v>Austria</v>
      </c>
      <c r="Q921" t="str">
        <f>VLOOKUP(VLOOKUP(B921,Product!A:C,3,FALSE),Supplier!A:B,2,FALSE)</f>
        <v>Supplier UHZRG</v>
      </c>
      <c r="R921" t="str">
        <f>VLOOKUP(VLOOKUP(B921,Product!A:C,3,FALSE),Supplier!A:I,9,FALSE)</f>
        <v>USA</v>
      </c>
      <c r="S921" t="str">
        <f>IFERROR(IF(VLOOKUP(A921,'Sales Order'!A:H,8,FALSE)&gt;100,"High Freight","Low Freight"),"Not Specified")</f>
        <v>Low Freight</v>
      </c>
      <c r="T921">
        <f t="shared" si="29"/>
        <v>405</v>
      </c>
    </row>
    <row r="922" spans="1:20">
      <c r="A922" s="9">
        <v>10595</v>
      </c>
      <c r="B922" s="6">
        <v>61</v>
      </c>
      <c r="C922" s="6">
        <v>28.5</v>
      </c>
      <c r="D922" s="6">
        <v>120</v>
      </c>
      <c r="E922" s="18">
        <v>0.25</v>
      </c>
      <c r="F922" s="6" t="str">
        <f>IFERROR(VLOOKUP(VLOOKUP(A922,'Sales Order'!A:B,2,FALSE),Customer!A:C,3,FALSE),"Not Specified")</f>
        <v>Kane, John</v>
      </c>
      <c r="G922" s="6" t="str">
        <f t="shared" si="28"/>
        <v>Kane John</v>
      </c>
      <c r="H922" s="22" t="str">
        <f>IFERROR(VLOOKUP(VLOOKUP(A922,'Sales Order'!A:C,3,FALSE),Employee!A:E,5,FALSE)&amp;" "&amp;VLOOKUP(VLOOKUP(A922,'Sales Order'!A:C,3,FALSE),Employee!A:C,3,FALSE)&amp;" "&amp;VLOOKUP(VLOOKUP(A922,'Sales Order'!A:C,3,FALSE),Employee!A:B,2,FALSE),"Not Specified")</f>
        <v>Dr. Don Funk</v>
      </c>
      <c r="I922" t="str">
        <f>IFERROR(VLOOKUP(VLOOKUP(A922,'Sales Order'!A:C,3,FALSE),Employee!A:J,10,FALSE),"Not Specified")</f>
        <v>WA</v>
      </c>
      <c r="J922" t="str">
        <f>VLOOKUP(B922,Product!A:B,2,FALSE)</f>
        <v>Product XYZPE</v>
      </c>
      <c r="K922" t="str">
        <f>VLOOKUP(VLOOKUP(B922,Product!A:D,4,FALSE),Category!A:B,2,FALSE)</f>
        <v>Condiments</v>
      </c>
      <c r="L922" s="24">
        <f>IFERROR(VLOOKUP(A922,'Sales Order'!A:D,4,FALSE),"")</f>
        <v>39273</v>
      </c>
      <c r="M922" s="24">
        <f>IFERROR(VLOOKUP(A922,'Sales Order'!A:F,6,FALSE),"")</f>
        <v>39277</v>
      </c>
      <c r="N922" t="str">
        <f>IFERROR(VLOOKUP(VLOOKUP(A922,'Sales Order'!A:G,7,FALSE),Shipper!A:B,2,FALSE),"Not Specified")</f>
        <v>Shipper GVSUA</v>
      </c>
      <c r="O922" t="str">
        <f>IFERROR(VLOOKUP(A922,'Sales Order'!A:I,9,FALSE),"Not Specified")</f>
        <v>Destination CUVPF</v>
      </c>
      <c r="P922" t="str">
        <f>IFERROR(VLOOKUP(A922,'Sales Order'!A:N,14,FALSE),"Not Specified")</f>
        <v>Austria</v>
      </c>
      <c r="Q922" t="str">
        <f>VLOOKUP(VLOOKUP(B922,Product!A:C,3,FALSE),Supplier!A:B,2,FALSE)</f>
        <v>Supplier OGLRK</v>
      </c>
      <c r="R922" t="str">
        <f>VLOOKUP(VLOOKUP(B922,Product!A:C,3,FALSE),Supplier!A:I,9,FALSE)</f>
        <v>Canada</v>
      </c>
      <c r="S922" t="str">
        <f>IFERROR(IF(VLOOKUP(A922,'Sales Order'!A:H,8,FALSE)&gt;100,"High Freight","Low Freight"),"Not Specified")</f>
        <v>Low Freight</v>
      </c>
      <c r="T922">
        <f t="shared" si="29"/>
        <v>2565</v>
      </c>
    </row>
    <row r="923" spans="1:20">
      <c r="A923" s="9">
        <v>10595</v>
      </c>
      <c r="B923" s="6">
        <v>69</v>
      </c>
      <c r="C923" s="6">
        <v>36</v>
      </c>
      <c r="D923" s="6">
        <v>65</v>
      </c>
      <c r="E923" s="18">
        <v>0.25</v>
      </c>
      <c r="F923" s="6" t="str">
        <f>IFERROR(VLOOKUP(VLOOKUP(A923,'Sales Order'!A:B,2,FALSE),Customer!A:C,3,FALSE),"Not Specified")</f>
        <v>Kane, John</v>
      </c>
      <c r="G923" s="6" t="str">
        <f t="shared" si="28"/>
        <v>Kane John</v>
      </c>
      <c r="H923" s="22" t="str">
        <f>IFERROR(VLOOKUP(VLOOKUP(A923,'Sales Order'!A:C,3,FALSE),Employee!A:E,5,FALSE)&amp;" "&amp;VLOOKUP(VLOOKUP(A923,'Sales Order'!A:C,3,FALSE),Employee!A:C,3,FALSE)&amp;" "&amp;VLOOKUP(VLOOKUP(A923,'Sales Order'!A:C,3,FALSE),Employee!A:B,2,FALSE),"Not Specified")</f>
        <v>Dr. Don Funk</v>
      </c>
      <c r="I923" t="str">
        <f>IFERROR(VLOOKUP(VLOOKUP(A923,'Sales Order'!A:C,3,FALSE),Employee!A:J,10,FALSE),"Not Specified")</f>
        <v>WA</v>
      </c>
      <c r="J923" t="str">
        <f>VLOOKUP(B923,Product!A:B,2,FALSE)</f>
        <v>Product COAXA</v>
      </c>
      <c r="K923" t="str">
        <f>VLOOKUP(VLOOKUP(B923,Product!A:D,4,FALSE),Category!A:B,2,FALSE)</f>
        <v>Dairy Product</v>
      </c>
      <c r="L923" s="24">
        <f>IFERROR(VLOOKUP(A923,'Sales Order'!A:D,4,FALSE),"")</f>
        <v>39273</v>
      </c>
      <c r="M923" s="24">
        <f>IFERROR(VLOOKUP(A923,'Sales Order'!A:F,6,FALSE),"")</f>
        <v>39277</v>
      </c>
      <c r="N923" t="str">
        <f>IFERROR(VLOOKUP(VLOOKUP(A923,'Sales Order'!A:G,7,FALSE),Shipper!A:B,2,FALSE),"Not Specified")</f>
        <v>Shipper GVSUA</v>
      </c>
      <c r="O923" t="str">
        <f>IFERROR(VLOOKUP(A923,'Sales Order'!A:I,9,FALSE),"Not Specified")</f>
        <v>Destination CUVPF</v>
      </c>
      <c r="P923" t="str">
        <f>IFERROR(VLOOKUP(A923,'Sales Order'!A:N,14,FALSE),"Not Specified")</f>
        <v>Austria</v>
      </c>
      <c r="Q923" t="str">
        <f>VLOOKUP(VLOOKUP(B923,Product!A:C,3,FALSE),Supplier!A:B,2,FALSE)</f>
        <v>Supplier NZLIF</v>
      </c>
      <c r="R923" t="str">
        <f>VLOOKUP(VLOOKUP(B923,Product!A:C,3,FALSE),Supplier!A:I,9,FALSE)</f>
        <v>Norway</v>
      </c>
      <c r="S923" t="str">
        <f>IFERROR(IF(VLOOKUP(A923,'Sales Order'!A:H,8,FALSE)&gt;100,"High Freight","Low Freight"),"Not Specified")</f>
        <v>Low Freight</v>
      </c>
      <c r="T923">
        <f t="shared" si="29"/>
        <v>1755</v>
      </c>
    </row>
    <row r="924" spans="1:20">
      <c r="A924" s="9">
        <v>10596</v>
      </c>
      <c r="B924" s="6">
        <v>56</v>
      </c>
      <c r="C924" s="6">
        <v>38</v>
      </c>
      <c r="D924" s="6">
        <v>5</v>
      </c>
      <c r="E924" s="18">
        <v>0.2</v>
      </c>
      <c r="F924" s="6" t="str">
        <f>IFERROR(VLOOKUP(VLOOKUP(A924,'Sales Order'!A:B,2,FALSE),Customer!A:C,3,FALSE),"Not Specified")</f>
        <v>Smith Jr., Ronaldo</v>
      </c>
      <c r="G924" s="6" t="str">
        <f t="shared" si="28"/>
        <v>Smith Jr. Ronaldo</v>
      </c>
      <c r="H924" s="22" t="str">
        <f>IFERROR(VLOOKUP(VLOOKUP(A924,'Sales Order'!A:C,3,FALSE),Employee!A:E,5,FALSE)&amp;" "&amp;VLOOKUP(VLOOKUP(A924,'Sales Order'!A:C,3,FALSE),Employee!A:C,3,FALSE)&amp;" "&amp;VLOOKUP(VLOOKUP(A924,'Sales Order'!A:C,3,FALSE),Employee!A:B,2,FALSE),"Not Specified")</f>
        <v>Ms. Maria Cameron</v>
      </c>
      <c r="I924" t="str">
        <f>IFERROR(VLOOKUP(VLOOKUP(A924,'Sales Order'!A:C,3,FALSE),Employee!A:J,10,FALSE),"Not Specified")</f>
        <v>WA</v>
      </c>
      <c r="J924" t="str">
        <f>VLOOKUP(B924,Product!A:B,2,FALSE)</f>
        <v>Product VKCMF</v>
      </c>
      <c r="K924" t="str">
        <f>VLOOKUP(VLOOKUP(B924,Product!A:D,4,FALSE),Category!A:B,2,FALSE)</f>
        <v>Grains/Cereals</v>
      </c>
      <c r="L924" s="24">
        <f>IFERROR(VLOOKUP(A924,'Sales Order'!A:D,4,FALSE),"")</f>
        <v>39274</v>
      </c>
      <c r="M924" s="24">
        <f>IFERROR(VLOOKUP(A924,'Sales Order'!A:F,6,FALSE),"")</f>
        <v>39306</v>
      </c>
      <c r="N924" t="str">
        <f>IFERROR(VLOOKUP(VLOOKUP(A924,'Sales Order'!A:G,7,FALSE),Shipper!A:B,2,FALSE),"Not Specified")</f>
        <v>Shipper GVSUA</v>
      </c>
      <c r="O924" t="str">
        <f>IFERROR(VLOOKUP(A924,'Sales Order'!A:I,9,FALSE),"Not Specified")</f>
        <v>Ship to 89-C</v>
      </c>
      <c r="P924" t="str">
        <f>IFERROR(VLOOKUP(A924,'Sales Order'!A:N,14,FALSE),"Not Specified")</f>
        <v>USA</v>
      </c>
      <c r="Q924" t="str">
        <f>VLOOKUP(VLOOKUP(B924,Product!A:C,3,FALSE),Supplier!A:B,2,FALSE)</f>
        <v>Supplier ZWZDM</v>
      </c>
      <c r="R924" t="str">
        <f>VLOOKUP(VLOOKUP(B924,Product!A:C,3,FALSE),Supplier!A:I,9,FALSE)</f>
        <v>Italy</v>
      </c>
      <c r="S924" t="str">
        <f>IFERROR(IF(VLOOKUP(A924,'Sales Order'!A:H,8,FALSE)&gt;100,"High Freight","Low Freight"),"Not Specified")</f>
        <v>Low Freight</v>
      </c>
      <c r="T924">
        <f t="shared" si="29"/>
        <v>152</v>
      </c>
    </row>
    <row r="925" spans="1:20">
      <c r="A925" s="9">
        <v>10596</v>
      </c>
      <c r="B925" s="6">
        <v>63</v>
      </c>
      <c r="C925" s="6">
        <v>43.9</v>
      </c>
      <c r="D925" s="6">
        <v>24</v>
      </c>
      <c r="E925" s="18">
        <v>0.2</v>
      </c>
      <c r="F925" s="6" t="str">
        <f>IFERROR(VLOOKUP(VLOOKUP(A925,'Sales Order'!A:B,2,FALSE),Customer!A:C,3,FALSE),"Not Specified")</f>
        <v>Smith Jr., Ronaldo</v>
      </c>
      <c r="G925" s="6" t="str">
        <f t="shared" si="28"/>
        <v>Smith Jr. Ronaldo</v>
      </c>
      <c r="H925" s="22" t="str">
        <f>IFERROR(VLOOKUP(VLOOKUP(A925,'Sales Order'!A:C,3,FALSE),Employee!A:E,5,FALSE)&amp;" "&amp;VLOOKUP(VLOOKUP(A925,'Sales Order'!A:C,3,FALSE),Employee!A:C,3,FALSE)&amp;" "&amp;VLOOKUP(VLOOKUP(A925,'Sales Order'!A:C,3,FALSE),Employee!A:B,2,FALSE),"Not Specified")</f>
        <v>Ms. Maria Cameron</v>
      </c>
      <c r="I925" t="str">
        <f>IFERROR(VLOOKUP(VLOOKUP(A925,'Sales Order'!A:C,3,FALSE),Employee!A:J,10,FALSE),"Not Specified")</f>
        <v>WA</v>
      </c>
      <c r="J925" t="str">
        <f>VLOOKUP(B925,Product!A:B,2,FALSE)</f>
        <v>Product ICKNK</v>
      </c>
      <c r="K925" t="str">
        <f>VLOOKUP(VLOOKUP(B925,Product!A:D,4,FALSE),Category!A:B,2,FALSE)</f>
        <v>Condiments</v>
      </c>
      <c r="L925" s="24">
        <f>IFERROR(VLOOKUP(A925,'Sales Order'!A:D,4,FALSE),"")</f>
        <v>39274</v>
      </c>
      <c r="M925" s="24">
        <f>IFERROR(VLOOKUP(A925,'Sales Order'!A:F,6,FALSE),"")</f>
        <v>39306</v>
      </c>
      <c r="N925" t="str">
        <f>IFERROR(VLOOKUP(VLOOKUP(A925,'Sales Order'!A:G,7,FALSE),Shipper!A:B,2,FALSE),"Not Specified")</f>
        <v>Shipper GVSUA</v>
      </c>
      <c r="O925" t="str">
        <f>IFERROR(VLOOKUP(A925,'Sales Order'!A:I,9,FALSE),"Not Specified")</f>
        <v>Ship to 89-C</v>
      </c>
      <c r="P925" t="str">
        <f>IFERROR(VLOOKUP(A925,'Sales Order'!A:N,14,FALSE),"Not Specified")</f>
        <v>USA</v>
      </c>
      <c r="Q925" t="str">
        <f>VLOOKUP(VLOOKUP(B925,Product!A:C,3,FALSE),Supplier!A:B,2,FALSE)</f>
        <v>Supplier GQRCV</v>
      </c>
      <c r="R925" t="str">
        <f>VLOOKUP(VLOOKUP(B925,Product!A:C,3,FALSE),Supplier!A:I,9,FALSE)</f>
        <v>Australia</v>
      </c>
      <c r="S925" t="str">
        <f>IFERROR(IF(VLOOKUP(A925,'Sales Order'!A:H,8,FALSE)&gt;100,"High Freight","Low Freight"),"Not Specified")</f>
        <v>Low Freight</v>
      </c>
      <c r="T925">
        <f t="shared" si="29"/>
        <v>842.88</v>
      </c>
    </row>
    <row r="926" spans="1:20">
      <c r="A926" s="9">
        <v>10596</v>
      </c>
      <c r="B926" s="6">
        <v>75</v>
      </c>
      <c r="C926" s="6">
        <v>7.75</v>
      </c>
      <c r="D926" s="6">
        <v>30</v>
      </c>
      <c r="E926" s="18">
        <v>0.2</v>
      </c>
      <c r="F926" s="6" t="str">
        <f>IFERROR(VLOOKUP(VLOOKUP(A926,'Sales Order'!A:B,2,FALSE),Customer!A:C,3,FALSE),"Not Specified")</f>
        <v>Smith Jr., Ronaldo</v>
      </c>
      <c r="G926" s="6" t="str">
        <f t="shared" si="28"/>
        <v>Smith Jr. Ronaldo</v>
      </c>
      <c r="H926" s="22" t="str">
        <f>IFERROR(VLOOKUP(VLOOKUP(A926,'Sales Order'!A:C,3,FALSE),Employee!A:E,5,FALSE)&amp;" "&amp;VLOOKUP(VLOOKUP(A926,'Sales Order'!A:C,3,FALSE),Employee!A:C,3,FALSE)&amp;" "&amp;VLOOKUP(VLOOKUP(A926,'Sales Order'!A:C,3,FALSE),Employee!A:B,2,FALSE),"Not Specified")</f>
        <v>Ms. Maria Cameron</v>
      </c>
      <c r="I926" t="str">
        <f>IFERROR(VLOOKUP(VLOOKUP(A926,'Sales Order'!A:C,3,FALSE),Employee!A:J,10,FALSE),"Not Specified")</f>
        <v>WA</v>
      </c>
      <c r="J926" t="str">
        <f>VLOOKUP(B926,Product!A:B,2,FALSE)</f>
        <v>Product BWRLG</v>
      </c>
      <c r="K926" t="str">
        <f>VLOOKUP(VLOOKUP(B926,Product!A:D,4,FALSE),Category!A:B,2,FALSE)</f>
        <v>Beverages</v>
      </c>
      <c r="L926" s="24">
        <f>IFERROR(VLOOKUP(A926,'Sales Order'!A:D,4,FALSE),"")</f>
        <v>39274</v>
      </c>
      <c r="M926" s="24">
        <f>IFERROR(VLOOKUP(A926,'Sales Order'!A:F,6,FALSE),"")</f>
        <v>39306</v>
      </c>
      <c r="N926" t="str">
        <f>IFERROR(VLOOKUP(VLOOKUP(A926,'Sales Order'!A:G,7,FALSE),Shipper!A:B,2,FALSE),"Not Specified")</f>
        <v>Shipper GVSUA</v>
      </c>
      <c r="O926" t="str">
        <f>IFERROR(VLOOKUP(A926,'Sales Order'!A:I,9,FALSE),"Not Specified")</f>
        <v>Ship to 89-C</v>
      </c>
      <c r="P926" t="str">
        <f>IFERROR(VLOOKUP(A926,'Sales Order'!A:N,14,FALSE),"Not Specified")</f>
        <v>USA</v>
      </c>
      <c r="Q926" t="str">
        <f>VLOOKUP(VLOOKUP(B926,Product!A:C,3,FALSE),Supplier!A:B,2,FALSE)</f>
        <v>Supplier SVIYA</v>
      </c>
      <c r="R926" t="str">
        <f>VLOOKUP(VLOOKUP(B926,Product!A:C,3,FALSE),Supplier!A:I,9,FALSE)</f>
        <v>Germany</v>
      </c>
      <c r="S926" t="str">
        <f>IFERROR(IF(VLOOKUP(A926,'Sales Order'!A:H,8,FALSE)&gt;100,"High Freight","Low Freight"),"Not Specified")</f>
        <v>Low Freight</v>
      </c>
      <c r="T926">
        <f t="shared" si="29"/>
        <v>186</v>
      </c>
    </row>
    <row r="927" spans="1:20">
      <c r="A927" s="9">
        <v>10597</v>
      </c>
      <c r="B927" s="6">
        <v>24</v>
      </c>
      <c r="C927" s="6">
        <v>4.5</v>
      </c>
      <c r="D927" s="6">
        <v>35</v>
      </c>
      <c r="E927" s="18">
        <v>0.2</v>
      </c>
      <c r="F927" s="6" t="str">
        <f>IFERROR(VLOOKUP(VLOOKUP(A927,'Sales Order'!A:B,2,FALSE),Customer!A:C,3,FALSE),"Not Specified")</f>
        <v>Meston, Tosh</v>
      </c>
      <c r="G927" s="6" t="str">
        <f t="shared" si="28"/>
        <v>Meston Tosh</v>
      </c>
      <c r="H927" s="22" t="str">
        <f>IFERROR(VLOOKUP(VLOOKUP(A927,'Sales Order'!A:C,3,FALSE),Employee!A:E,5,FALSE)&amp;" "&amp;VLOOKUP(VLOOKUP(A927,'Sales Order'!A:C,3,FALSE),Employee!A:C,3,FALSE)&amp;" "&amp;VLOOKUP(VLOOKUP(A927,'Sales Order'!A:C,3,FALSE),Employee!A:B,2,FALSE),"Not Specified")</f>
        <v>Mr. Russell King</v>
      </c>
      <c r="I927">
        <f>IFERROR(VLOOKUP(VLOOKUP(A927,'Sales Order'!A:C,3,FALSE),Employee!A:J,10,FALSE),"Not Specified")</f>
        <v>0</v>
      </c>
      <c r="J927" t="str">
        <f>VLOOKUP(B927,Product!A:B,2,FALSE)</f>
        <v>Product QOGNU</v>
      </c>
      <c r="K927" t="str">
        <f>VLOOKUP(VLOOKUP(B927,Product!A:D,4,FALSE),Category!A:B,2,FALSE)</f>
        <v>Beverages</v>
      </c>
      <c r="L927" s="24">
        <f>IFERROR(VLOOKUP(A927,'Sales Order'!A:D,4,FALSE),"")</f>
        <v>39274</v>
      </c>
      <c r="M927" s="24">
        <f>IFERROR(VLOOKUP(A927,'Sales Order'!A:F,6,FALSE),"")</f>
        <v>39281</v>
      </c>
      <c r="N927" t="str">
        <f>IFERROR(VLOOKUP(VLOOKUP(A927,'Sales Order'!A:G,7,FALSE),Shipper!A:B,2,FALSE),"Not Specified")</f>
        <v>Shipper ZHISN</v>
      </c>
      <c r="O927" t="str">
        <f>IFERROR(VLOOKUP(A927,'Sales Order'!A:I,9,FALSE),"Not Specified")</f>
        <v>Ship to 59-B</v>
      </c>
      <c r="P927" t="str">
        <f>IFERROR(VLOOKUP(A927,'Sales Order'!A:N,14,FALSE),"Not Specified")</f>
        <v>Austria</v>
      </c>
      <c r="Q927" t="str">
        <f>VLOOKUP(VLOOKUP(B927,Product!A:C,3,FALSE),Supplier!A:B,2,FALSE)</f>
        <v>Supplier UNAHG</v>
      </c>
      <c r="R927" t="str">
        <f>VLOOKUP(VLOOKUP(B927,Product!A:C,3,FALSE),Supplier!A:I,9,FALSE)</f>
        <v>Brazil</v>
      </c>
      <c r="S927" t="str">
        <f>IFERROR(IF(VLOOKUP(A927,'Sales Order'!A:H,8,FALSE)&gt;100,"High Freight","Low Freight"),"Not Specified")</f>
        <v>Low Freight</v>
      </c>
      <c r="T927">
        <f t="shared" si="29"/>
        <v>126</v>
      </c>
    </row>
    <row r="928" spans="1:20">
      <c r="A928" s="9">
        <v>10597</v>
      </c>
      <c r="B928" s="6">
        <v>57</v>
      </c>
      <c r="C928" s="6">
        <v>19.5</v>
      </c>
      <c r="D928" s="6">
        <v>20</v>
      </c>
      <c r="E928" s="18">
        <v>0</v>
      </c>
      <c r="F928" s="6" t="str">
        <f>IFERROR(VLOOKUP(VLOOKUP(A928,'Sales Order'!A:B,2,FALSE),Customer!A:C,3,FALSE),"Not Specified")</f>
        <v>Meston, Tosh</v>
      </c>
      <c r="G928" s="6" t="str">
        <f t="shared" si="28"/>
        <v>Meston Tosh</v>
      </c>
      <c r="H928" s="22" t="str">
        <f>IFERROR(VLOOKUP(VLOOKUP(A928,'Sales Order'!A:C,3,FALSE),Employee!A:E,5,FALSE)&amp;" "&amp;VLOOKUP(VLOOKUP(A928,'Sales Order'!A:C,3,FALSE),Employee!A:C,3,FALSE)&amp;" "&amp;VLOOKUP(VLOOKUP(A928,'Sales Order'!A:C,3,FALSE),Employee!A:B,2,FALSE),"Not Specified")</f>
        <v>Mr. Russell King</v>
      </c>
      <c r="I928">
        <f>IFERROR(VLOOKUP(VLOOKUP(A928,'Sales Order'!A:C,3,FALSE),Employee!A:J,10,FALSE),"Not Specified")</f>
        <v>0</v>
      </c>
      <c r="J928" t="str">
        <f>VLOOKUP(B928,Product!A:B,2,FALSE)</f>
        <v>Product OVLQI</v>
      </c>
      <c r="K928" t="str">
        <f>VLOOKUP(VLOOKUP(B928,Product!A:D,4,FALSE),Category!A:B,2,FALSE)</f>
        <v>Grains/Cereals</v>
      </c>
      <c r="L928" s="24">
        <f>IFERROR(VLOOKUP(A928,'Sales Order'!A:D,4,FALSE),"")</f>
        <v>39274</v>
      </c>
      <c r="M928" s="24">
        <f>IFERROR(VLOOKUP(A928,'Sales Order'!A:F,6,FALSE),"")</f>
        <v>39281</v>
      </c>
      <c r="N928" t="str">
        <f>IFERROR(VLOOKUP(VLOOKUP(A928,'Sales Order'!A:G,7,FALSE),Shipper!A:B,2,FALSE),"Not Specified")</f>
        <v>Shipper ZHISN</v>
      </c>
      <c r="O928" t="str">
        <f>IFERROR(VLOOKUP(A928,'Sales Order'!A:I,9,FALSE),"Not Specified")</f>
        <v>Ship to 59-B</v>
      </c>
      <c r="P928" t="str">
        <f>IFERROR(VLOOKUP(A928,'Sales Order'!A:N,14,FALSE),"Not Specified")</f>
        <v>Austria</v>
      </c>
      <c r="Q928" t="str">
        <f>VLOOKUP(VLOOKUP(B928,Product!A:C,3,FALSE),Supplier!A:B,2,FALSE)</f>
        <v>Supplier ZWZDM</v>
      </c>
      <c r="R928" t="str">
        <f>VLOOKUP(VLOOKUP(B928,Product!A:C,3,FALSE),Supplier!A:I,9,FALSE)</f>
        <v>Italy</v>
      </c>
      <c r="S928" t="str">
        <f>IFERROR(IF(VLOOKUP(A928,'Sales Order'!A:H,8,FALSE)&gt;100,"High Freight","Low Freight"),"Not Specified")</f>
        <v>Low Freight</v>
      </c>
      <c r="T928">
        <f t="shared" si="29"/>
        <v>390</v>
      </c>
    </row>
    <row r="929" spans="1:20">
      <c r="A929" s="9">
        <v>10597</v>
      </c>
      <c r="B929" s="6">
        <v>65</v>
      </c>
      <c r="C929" s="6">
        <v>21.05</v>
      </c>
      <c r="D929" s="6">
        <v>12</v>
      </c>
      <c r="E929" s="18">
        <v>0.2</v>
      </c>
      <c r="F929" s="6" t="str">
        <f>IFERROR(VLOOKUP(VLOOKUP(A929,'Sales Order'!A:B,2,FALSE),Customer!A:C,3,FALSE),"Not Specified")</f>
        <v>Meston, Tosh</v>
      </c>
      <c r="G929" s="6" t="str">
        <f t="shared" si="28"/>
        <v>Meston Tosh</v>
      </c>
      <c r="H929" s="22" t="str">
        <f>IFERROR(VLOOKUP(VLOOKUP(A929,'Sales Order'!A:C,3,FALSE),Employee!A:E,5,FALSE)&amp;" "&amp;VLOOKUP(VLOOKUP(A929,'Sales Order'!A:C,3,FALSE),Employee!A:C,3,FALSE)&amp;" "&amp;VLOOKUP(VLOOKUP(A929,'Sales Order'!A:C,3,FALSE),Employee!A:B,2,FALSE),"Not Specified")</f>
        <v>Mr. Russell King</v>
      </c>
      <c r="I929">
        <f>IFERROR(VLOOKUP(VLOOKUP(A929,'Sales Order'!A:C,3,FALSE),Employee!A:J,10,FALSE),"Not Specified")</f>
        <v>0</v>
      </c>
      <c r="J929" t="str">
        <f>VLOOKUP(B929,Product!A:B,2,FALSE)</f>
        <v>Product XYWBZ</v>
      </c>
      <c r="K929" t="str">
        <f>VLOOKUP(VLOOKUP(B929,Product!A:D,4,FALSE),Category!A:B,2,FALSE)</f>
        <v>Condiments</v>
      </c>
      <c r="L929" s="24">
        <f>IFERROR(VLOOKUP(A929,'Sales Order'!A:D,4,FALSE),"")</f>
        <v>39274</v>
      </c>
      <c r="M929" s="24">
        <f>IFERROR(VLOOKUP(A929,'Sales Order'!A:F,6,FALSE),"")</f>
        <v>39281</v>
      </c>
      <c r="N929" t="str">
        <f>IFERROR(VLOOKUP(VLOOKUP(A929,'Sales Order'!A:G,7,FALSE),Shipper!A:B,2,FALSE),"Not Specified")</f>
        <v>Shipper ZHISN</v>
      </c>
      <c r="O929" t="str">
        <f>IFERROR(VLOOKUP(A929,'Sales Order'!A:I,9,FALSE),"Not Specified")</f>
        <v>Ship to 59-B</v>
      </c>
      <c r="P929" t="str">
        <f>IFERROR(VLOOKUP(A929,'Sales Order'!A:N,14,FALSE),"Not Specified")</f>
        <v>Austria</v>
      </c>
      <c r="Q929" t="str">
        <f>VLOOKUP(VLOOKUP(B929,Product!A:C,3,FALSE),Supplier!A:B,2,FALSE)</f>
        <v>Supplier VHQZD</v>
      </c>
      <c r="R929" t="str">
        <f>VLOOKUP(VLOOKUP(B929,Product!A:C,3,FALSE),Supplier!A:I,9,FALSE)</f>
        <v>USA</v>
      </c>
      <c r="S929" t="str">
        <f>IFERROR(IF(VLOOKUP(A929,'Sales Order'!A:H,8,FALSE)&gt;100,"High Freight","Low Freight"),"Not Specified")</f>
        <v>Low Freight</v>
      </c>
      <c r="T929">
        <f t="shared" si="29"/>
        <v>202.08000000000004</v>
      </c>
    </row>
    <row r="930" spans="1:20">
      <c r="A930" s="9">
        <v>10598</v>
      </c>
      <c r="B930" s="6">
        <v>27</v>
      </c>
      <c r="C930" s="6">
        <v>43.9</v>
      </c>
      <c r="D930" s="6">
        <v>50</v>
      </c>
      <c r="E930" s="18">
        <v>0</v>
      </c>
      <c r="F930" s="6" t="str">
        <f>IFERROR(VLOOKUP(VLOOKUP(A930,'Sales Order'!A:B,2,FALSE),Customer!A:C,3,FALSE),"Not Specified")</f>
        <v>Moore, Michael</v>
      </c>
      <c r="G930" s="6" t="str">
        <f t="shared" si="28"/>
        <v>Moore Michael</v>
      </c>
      <c r="H930" s="22" t="str">
        <f>IFERROR(VLOOKUP(VLOOKUP(A930,'Sales Order'!A:C,3,FALSE),Employee!A:E,5,FALSE)&amp;" "&amp;VLOOKUP(VLOOKUP(A930,'Sales Order'!A:C,3,FALSE),Employee!A:C,3,FALSE)&amp;" "&amp;VLOOKUP(VLOOKUP(A930,'Sales Order'!A:C,3,FALSE),Employee!A:B,2,FALSE),"Not Specified")</f>
        <v>Ms. Sara Davis</v>
      </c>
      <c r="I930" t="str">
        <f>IFERROR(VLOOKUP(VLOOKUP(A930,'Sales Order'!A:C,3,FALSE),Employee!A:J,10,FALSE),"Not Specified")</f>
        <v>WA</v>
      </c>
      <c r="J930" t="str">
        <f>VLOOKUP(B930,Product!A:B,2,FALSE)</f>
        <v>Product SMIOH</v>
      </c>
      <c r="K930" t="str">
        <f>VLOOKUP(VLOOKUP(B930,Product!A:D,4,FALSE),Category!A:B,2,FALSE)</f>
        <v>Confections</v>
      </c>
      <c r="L930" s="24">
        <f>IFERROR(VLOOKUP(A930,'Sales Order'!A:D,4,FALSE),"")</f>
        <v>39277</v>
      </c>
      <c r="M930" s="24">
        <f>IFERROR(VLOOKUP(A930,'Sales Order'!A:F,6,FALSE),"")</f>
        <v>39281</v>
      </c>
      <c r="N930" t="str">
        <f>IFERROR(VLOOKUP(VLOOKUP(A930,'Sales Order'!A:G,7,FALSE),Shipper!A:B,2,FALSE),"Not Specified")</f>
        <v>Shipper ZHISN</v>
      </c>
      <c r="O930" t="str">
        <f>IFERROR(VLOOKUP(A930,'Sales Order'!A:I,9,FALSE),"Not Specified")</f>
        <v>Ship to 65-C</v>
      </c>
      <c r="P930" t="str">
        <f>IFERROR(VLOOKUP(A930,'Sales Order'!A:N,14,FALSE),"Not Specified")</f>
        <v>USA</v>
      </c>
      <c r="Q930" t="str">
        <f>VLOOKUP(VLOOKUP(B930,Product!A:C,3,FALSE),Supplier!A:B,2,FALSE)</f>
        <v>Supplier ZPYVS</v>
      </c>
      <c r="R930" t="str">
        <f>VLOOKUP(VLOOKUP(B930,Product!A:C,3,FALSE),Supplier!A:I,9,FALSE)</f>
        <v>Germany</v>
      </c>
      <c r="S930" t="str">
        <f>IFERROR(IF(VLOOKUP(A930,'Sales Order'!A:H,8,FALSE)&gt;100,"High Freight","Low Freight"),"Not Specified")</f>
        <v>Low Freight</v>
      </c>
      <c r="T930">
        <f t="shared" si="29"/>
        <v>2195</v>
      </c>
    </row>
    <row r="931" spans="1:20">
      <c r="A931" s="9">
        <v>10598</v>
      </c>
      <c r="B931" s="6">
        <v>71</v>
      </c>
      <c r="C931" s="6">
        <v>21.5</v>
      </c>
      <c r="D931" s="6">
        <v>9</v>
      </c>
      <c r="E931" s="18">
        <v>0</v>
      </c>
      <c r="F931" s="6" t="str">
        <f>IFERROR(VLOOKUP(VLOOKUP(A931,'Sales Order'!A:B,2,FALSE),Customer!A:C,3,FALSE),"Not Specified")</f>
        <v>Moore, Michael</v>
      </c>
      <c r="G931" s="6" t="str">
        <f t="shared" si="28"/>
        <v>Moore Michael</v>
      </c>
      <c r="H931" s="22" t="str">
        <f>IFERROR(VLOOKUP(VLOOKUP(A931,'Sales Order'!A:C,3,FALSE),Employee!A:E,5,FALSE)&amp;" "&amp;VLOOKUP(VLOOKUP(A931,'Sales Order'!A:C,3,FALSE),Employee!A:C,3,FALSE)&amp;" "&amp;VLOOKUP(VLOOKUP(A931,'Sales Order'!A:C,3,FALSE),Employee!A:B,2,FALSE),"Not Specified")</f>
        <v>Ms. Sara Davis</v>
      </c>
      <c r="I931" t="str">
        <f>IFERROR(VLOOKUP(VLOOKUP(A931,'Sales Order'!A:C,3,FALSE),Employee!A:J,10,FALSE),"Not Specified")</f>
        <v>WA</v>
      </c>
      <c r="J931" t="str">
        <f>VLOOKUP(B931,Product!A:B,2,FALSE)</f>
        <v>Product MYMOI</v>
      </c>
      <c r="K931" t="str">
        <f>VLOOKUP(VLOOKUP(B931,Product!A:D,4,FALSE),Category!A:B,2,FALSE)</f>
        <v>Dairy Product</v>
      </c>
      <c r="L931" s="24">
        <f>IFERROR(VLOOKUP(A931,'Sales Order'!A:D,4,FALSE),"")</f>
        <v>39277</v>
      </c>
      <c r="M931" s="24">
        <f>IFERROR(VLOOKUP(A931,'Sales Order'!A:F,6,FALSE),"")</f>
        <v>39281</v>
      </c>
      <c r="N931" t="str">
        <f>IFERROR(VLOOKUP(VLOOKUP(A931,'Sales Order'!A:G,7,FALSE),Shipper!A:B,2,FALSE),"Not Specified")</f>
        <v>Shipper ZHISN</v>
      </c>
      <c r="O931" t="str">
        <f>IFERROR(VLOOKUP(A931,'Sales Order'!A:I,9,FALSE),"Not Specified")</f>
        <v>Ship to 65-C</v>
      </c>
      <c r="P931" t="str">
        <f>IFERROR(VLOOKUP(A931,'Sales Order'!A:N,14,FALSE),"Not Specified")</f>
        <v>USA</v>
      </c>
      <c r="Q931" t="str">
        <f>VLOOKUP(VLOOKUP(B931,Product!A:C,3,FALSE),Supplier!A:B,2,FALSE)</f>
        <v>Supplier NZLIF</v>
      </c>
      <c r="R931" t="str">
        <f>VLOOKUP(VLOOKUP(B931,Product!A:C,3,FALSE),Supplier!A:I,9,FALSE)</f>
        <v>Norway</v>
      </c>
      <c r="S931" t="str">
        <f>IFERROR(IF(VLOOKUP(A931,'Sales Order'!A:H,8,FALSE)&gt;100,"High Freight","Low Freight"),"Not Specified")</f>
        <v>Low Freight</v>
      </c>
      <c r="T931">
        <f t="shared" si="29"/>
        <v>193.5</v>
      </c>
    </row>
    <row r="932" spans="1:20">
      <c r="A932" s="9">
        <v>10599</v>
      </c>
      <c r="B932" s="6">
        <v>62</v>
      </c>
      <c r="C932" s="6">
        <v>49.3</v>
      </c>
      <c r="D932" s="6">
        <v>10</v>
      </c>
      <c r="E932" s="18">
        <v>0</v>
      </c>
      <c r="F932" s="6" t="str">
        <f>IFERROR(VLOOKUP(VLOOKUP(A932,'Sales Order'!A:B,2,FALSE),Customer!A:C,3,FALSE),"Not Specified")</f>
        <v>Jaffe, David</v>
      </c>
      <c r="G932" s="6" t="str">
        <f t="shared" si="28"/>
        <v>Jaffe David</v>
      </c>
      <c r="H932" s="22" t="str">
        <f>IFERROR(VLOOKUP(VLOOKUP(A932,'Sales Order'!A:C,3,FALSE),Employee!A:E,5,FALSE)&amp;" "&amp;VLOOKUP(VLOOKUP(A932,'Sales Order'!A:C,3,FALSE),Employee!A:C,3,FALSE)&amp;" "&amp;VLOOKUP(VLOOKUP(A932,'Sales Order'!A:C,3,FALSE),Employee!A:B,2,FALSE),"Not Specified")</f>
        <v>Mr. Paul Suurs</v>
      </c>
      <c r="I932">
        <f>IFERROR(VLOOKUP(VLOOKUP(A932,'Sales Order'!A:C,3,FALSE),Employee!A:J,10,FALSE),"Not Specified")</f>
        <v>0</v>
      </c>
      <c r="J932" t="str">
        <f>VLOOKUP(B932,Product!A:B,2,FALSE)</f>
        <v>Product WUXYK</v>
      </c>
      <c r="K932" t="str">
        <f>VLOOKUP(VLOOKUP(B932,Product!A:D,4,FALSE),Category!A:B,2,FALSE)</f>
        <v>Confections</v>
      </c>
      <c r="L932" s="24">
        <f>IFERROR(VLOOKUP(A932,'Sales Order'!A:D,4,FALSE),"")</f>
        <v>39278</v>
      </c>
      <c r="M932" s="24">
        <f>IFERROR(VLOOKUP(A932,'Sales Order'!A:F,6,FALSE),"")</f>
        <v>39284</v>
      </c>
      <c r="N932" t="str">
        <f>IFERROR(VLOOKUP(VLOOKUP(A932,'Sales Order'!A:G,7,FALSE),Shipper!A:B,2,FALSE),"Not Specified")</f>
        <v>Shipper ZHISN</v>
      </c>
      <c r="O932" t="str">
        <f>IFERROR(VLOOKUP(A932,'Sales Order'!A:I,9,FALSE),"Not Specified")</f>
        <v>Destination DLEUN</v>
      </c>
      <c r="P932" t="str">
        <f>IFERROR(VLOOKUP(A932,'Sales Order'!A:N,14,FALSE),"Not Specified")</f>
        <v>UK</v>
      </c>
      <c r="Q932" t="str">
        <f>VLOOKUP(VLOOKUP(B932,Product!A:C,3,FALSE),Supplier!A:B,2,FALSE)</f>
        <v>Supplier OGLRK</v>
      </c>
      <c r="R932" t="str">
        <f>VLOOKUP(VLOOKUP(B932,Product!A:C,3,FALSE),Supplier!A:I,9,FALSE)</f>
        <v>Canada</v>
      </c>
      <c r="S932" t="str">
        <f>IFERROR(IF(VLOOKUP(A932,'Sales Order'!A:H,8,FALSE)&gt;100,"High Freight","Low Freight"),"Not Specified")</f>
        <v>Low Freight</v>
      </c>
      <c r="T932">
        <f t="shared" si="29"/>
        <v>493</v>
      </c>
    </row>
    <row r="933" spans="1:20">
      <c r="A933" s="9">
        <v>10600</v>
      </c>
      <c r="B933" s="6">
        <v>54</v>
      </c>
      <c r="C933" s="6">
        <v>7.45</v>
      </c>
      <c r="D933" s="6">
        <v>4</v>
      </c>
      <c r="E933" s="18">
        <v>0</v>
      </c>
      <c r="F933" s="6" t="str">
        <f>IFERROR(VLOOKUP(VLOOKUP(A933,'Sales Order'!A:B,2,FALSE),Customer!A:C,3,FALSE),"Not Specified")</f>
        <v>Smith, Denise</v>
      </c>
      <c r="G933" s="6" t="str">
        <f t="shared" si="28"/>
        <v>Smith Denise</v>
      </c>
      <c r="H933" s="22" t="str">
        <f>IFERROR(VLOOKUP(VLOOKUP(A933,'Sales Order'!A:C,3,FALSE),Employee!A:E,5,FALSE)&amp;" "&amp;VLOOKUP(VLOOKUP(A933,'Sales Order'!A:C,3,FALSE),Employee!A:C,3,FALSE)&amp;" "&amp;VLOOKUP(VLOOKUP(A933,'Sales Order'!A:C,3,FALSE),Employee!A:B,2,FALSE),"Not Specified")</f>
        <v>Mrs. Yael Peled</v>
      </c>
      <c r="I933" t="str">
        <f>IFERROR(VLOOKUP(VLOOKUP(A933,'Sales Order'!A:C,3,FALSE),Employee!A:J,10,FALSE),"Not Specified")</f>
        <v>WA</v>
      </c>
      <c r="J933" t="str">
        <f>VLOOKUP(B933,Product!A:B,2,FALSE)</f>
        <v>Product QAQRL</v>
      </c>
      <c r="K933" t="str">
        <f>VLOOKUP(VLOOKUP(B933,Product!A:D,4,FALSE),Category!A:B,2,FALSE)</f>
        <v>Meat/Poultry</v>
      </c>
      <c r="L933" s="24">
        <f>IFERROR(VLOOKUP(A933,'Sales Order'!A:D,4,FALSE),"")</f>
        <v>39279</v>
      </c>
      <c r="M933" s="24">
        <f>IFERROR(VLOOKUP(A933,'Sales Order'!A:F,6,FALSE),"")</f>
        <v>39284</v>
      </c>
      <c r="N933" t="str">
        <f>IFERROR(VLOOKUP(VLOOKUP(A933,'Sales Order'!A:G,7,FALSE),Shipper!A:B,2,FALSE),"Not Specified")</f>
        <v>Shipper GVSUA</v>
      </c>
      <c r="O933" t="str">
        <f>IFERROR(VLOOKUP(A933,'Sales Order'!A:I,9,FALSE),"Not Specified")</f>
        <v>Destination HOHCR</v>
      </c>
      <c r="P933" t="str">
        <f>IFERROR(VLOOKUP(A933,'Sales Order'!A:N,14,FALSE),"Not Specified")</f>
        <v>USA</v>
      </c>
      <c r="Q933" t="str">
        <f>VLOOKUP(VLOOKUP(B933,Product!A:C,3,FALSE),Supplier!A:B,2,FALSE)</f>
        <v>Supplier ERVYZ</v>
      </c>
      <c r="R933" t="str">
        <f>VLOOKUP(VLOOKUP(B933,Product!A:C,3,FALSE),Supplier!A:I,9,FALSE)</f>
        <v>Canada</v>
      </c>
      <c r="S933" t="str">
        <f>IFERROR(IF(VLOOKUP(A933,'Sales Order'!A:H,8,FALSE)&gt;100,"High Freight","Low Freight"),"Not Specified")</f>
        <v>Low Freight</v>
      </c>
      <c r="T933">
        <f t="shared" si="29"/>
        <v>29.8</v>
      </c>
    </row>
    <row r="934" spans="1:20">
      <c r="A934" s="9">
        <v>10600</v>
      </c>
      <c r="B934" s="6">
        <v>73</v>
      </c>
      <c r="C934" s="6">
        <v>15</v>
      </c>
      <c r="D934" s="6">
        <v>30</v>
      </c>
      <c r="E934" s="18">
        <v>0</v>
      </c>
      <c r="F934" s="6" t="str">
        <f>IFERROR(VLOOKUP(VLOOKUP(A934,'Sales Order'!A:B,2,FALSE),Customer!A:C,3,FALSE),"Not Specified")</f>
        <v>Smith, Denise</v>
      </c>
      <c r="G934" s="6" t="str">
        <f t="shared" si="28"/>
        <v>Smith Denise</v>
      </c>
      <c r="H934" s="22" t="str">
        <f>IFERROR(VLOOKUP(VLOOKUP(A934,'Sales Order'!A:C,3,FALSE),Employee!A:E,5,FALSE)&amp;" "&amp;VLOOKUP(VLOOKUP(A934,'Sales Order'!A:C,3,FALSE),Employee!A:C,3,FALSE)&amp;" "&amp;VLOOKUP(VLOOKUP(A934,'Sales Order'!A:C,3,FALSE),Employee!A:B,2,FALSE),"Not Specified")</f>
        <v>Mrs. Yael Peled</v>
      </c>
      <c r="I934" t="str">
        <f>IFERROR(VLOOKUP(VLOOKUP(A934,'Sales Order'!A:C,3,FALSE),Employee!A:J,10,FALSE),"Not Specified")</f>
        <v>WA</v>
      </c>
      <c r="J934" t="str">
        <f>VLOOKUP(B934,Product!A:B,2,FALSE)</f>
        <v>Product WEUJZ</v>
      </c>
      <c r="K934" t="str">
        <f>VLOOKUP(VLOOKUP(B934,Product!A:D,4,FALSE),Category!A:B,2,FALSE)</f>
        <v>Seafood</v>
      </c>
      <c r="L934" s="24">
        <f>IFERROR(VLOOKUP(A934,'Sales Order'!A:D,4,FALSE),"")</f>
        <v>39279</v>
      </c>
      <c r="M934" s="24">
        <f>IFERROR(VLOOKUP(A934,'Sales Order'!A:F,6,FALSE),"")</f>
        <v>39284</v>
      </c>
      <c r="N934" t="str">
        <f>IFERROR(VLOOKUP(VLOOKUP(A934,'Sales Order'!A:G,7,FALSE),Shipper!A:B,2,FALSE),"Not Specified")</f>
        <v>Shipper GVSUA</v>
      </c>
      <c r="O934" t="str">
        <f>IFERROR(VLOOKUP(A934,'Sales Order'!A:I,9,FALSE),"Not Specified")</f>
        <v>Destination HOHCR</v>
      </c>
      <c r="P934" t="str">
        <f>IFERROR(VLOOKUP(A934,'Sales Order'!A:N,14,FALSE),"Not Specified")</f>
        <v>USA</v>
      </c>
      <c r="Q934" t="str">
        <f>VLOOKUP(VLOOKUP(B934,Product!A:C,3,FALSE),Supplier!A:B,2,FALSE)</f>
        <v>Supplier QZGUF</v>
      </c>
      <c r="R934" t="str">
        <f>VLOOKUP(VLOOKUP(B934,Product!A:C,3,FALSE),Supplier!A:I,9,FALSE)</f>
        <v>Sweden</v>
      </c>
      <c r="S934" t="str">
        <f>IFERROR(IF(VLOOKUP(A934,'Sales Order'!A:H,8,FALSE)&gt;100,"High Freight","Low Freight"),"Not Specified")</f>
        <v>Low Freight</v>
      </c>
      <c r="T934">
        <f t="shared" si="29"/>
        <v>450</v>
      </c>
    </row>
    <row r="935" spans="1:20">
      <c r="A935" s="9">
        <v>10601</v>
      </c>
      <c r="B935" s="6">
        <v>13</v>
      </c>
      <c r="C935" s="6">
        <v>6</v>
      </c>
      <c r="D935" s="6">
        <v>60</v>
      </c>
      <c r="E935" s="18">
        <v>0</v>
      </c>
      <c r="F935" s="6" t="str">
        <f>IFERROR(VLOOKUP(VLOOKUP(A935,'Sales Order'!A:B,2,FALSE),Customer!A:C,3,FALSE),"Not Specified")</f>
        <v>Langohr, Kris</v>
      </c>
      <c r="G935" s="6" t="str">
        <f t="shared" si="28"/>
        <v>Langohr Kris</v>
      </c>
      <c r="H935" s="22" t="str">
        <f>IFERROR(VLOOKUP(VLOOKUP(A935,'Sales Order'!A:C,3,FALSE),Employee!A:E,5,FALSE)&amp;" "&amp;VLOOKUP(VLOOKUP(A935,'Sales Order'!A:C,3,FALSE),Employee!A:C,3,FALSE)&amp;" "&amp;VLOOKUP(VLOOKUP(A935,'Sales Order'!A:C,3,FALSE),Employee!A:B,2,FALSE),"Not Specified")</f>
        <v>Mr. Russell King</v>
      </c>
      <c r="I935">
        <f>IFERROR(VLOOKUP(VLOOKUP(A935,'Sales Order'!A:C,3,FALSE),Employee!A:J,10,FALSE),"Not Specified")</f>
        <v>0</v>
      </c>
      <c r="J935" t="str">
        <f>VLOOKUP(B935,Product!A:B,2,FALSE)</f>
        <v>Product POXFU</v>
      </c>
      <c r="K935" t="str">
        <f>VLOOKUP(VLOOKUP(B935,Product!A:D,4,FALSE),Category!A:B,2,FALSE)</f>
        <v>Seafood</v>
      </c>
      <c r="L935" s="24">
        <f>IFERROR(VLOOKUP(A935,'Sales Order'!A:D,4,FALSE),"")</f>
        <v>39279</v>
      </c>
      <c r="M935" s="24">
        <f>IFERROR(VLOOKUP(A935,'Sales Order'!A:F,6,FALSE),"")</f>
        <v>39285</v>
      </c>
      <c r="N935" t="str">
        <f>IFERROR(VLOOKUP(VLOOKUP(A935,'Sales Order'!A:G,7,FALSE),Shipper!A:B,2,FALSE),"Not Specified")</f>
        <v>Shipper GVSUA</v>
      </c>
      <c r="O935" t="str">
        <f>IFERROR(VLOOKUP(A935,'Sales Order'!A:I,9,FALSE),"Not Specified")</f>
        <v>Destination UOUWK</v>
      </c>
      <c r="P935" t="str">
        <f>IFERROR(VLOOKUP(A935,'Sales Order'!A:N,14,FALSE),"Not Specified")</f>
        <v>Venezuela</v>
      </c>
      <c r="Q935" t="str">
        <f>VLOOKUP(VLOOKUP(B935,Product!A:C,3,FALSE),Supplier!A:B,2,FALSE)</f>
        <v>Supplier QWUSF</v>
      </c>
      <c r="R935" t="str">
        <f>VLOOKUP(VLOOKUP(B935,Product!A:C,3,FALSE),Supplier!A:I,9,FALSE)</f>
        <v>Japan</v>
      </c>
      <c r="S935" t="str">
        <f>IFERROR(IF(VLOOKUP(A935,'Sales Order'!A:H,8,FALSE)&gt;100,"High Freight","Low Freight"),"Not Specified")</f>
        <v>Low Freight</v>
      </c>
      <c r="T935">
        <f t="shared" si="29"/>
        <v>360</v>
      </c>
    </row>
    <row r="936" spans="1:20">
      <c r="A936" s="9">
        <v>10601</v>
      </c>
      <c r="B936" s="6">
        <v>59</v>
      </c>
      <c r="C936" s="6">
        <v>55</v>
      </c>
      <c r="D936" s="6">
        <v>35</v>
      </c>
      <c r="E936" s="18">
        <v>0</v>
      </c>
      <c r="F936" s="6" t="str">
        <f>IFERROR(VLOOKUP(VLOOKUP(A936,'Sales Order'!A:B,2,FALSE),Customer!A:C,3,FALSE),"Not Specified")</f>
        <v>Langohr, Kris</v>
      </c>
      <c r="G936" s="6" t="str">
        <f t="shared" si="28"/>
        <v>Langohr Kris</v>
      </c>
      <c r="H936" s="22" t="str">
        <f>IFERROR(VLOOKUP(VLOOKUP(A936,'Sales Order'!A:C,3,FALSE),Employee!A:E,5,FALSE)&amp;" "&amp;VLOOKUP(VLOOKUP(A936,'Sales Order'!A:C,3,FALSE),Employee!A:C,3,FALSE)&amp;" "&amp;VLOOKUP(VLOOKUP(A936,'Sales Order'!A:C,3,FALSE),Employee!A:B,2,FALSE),"Not Specified")</f>
        <v>Mr. Russell King</v>
      </c>
      <c r="I936">
        <f>IFERROR(VLOOKUP(VLOOKUP(A936,'Sales Order'!A:C,3,FALSE),Employee!A:J,10,FALSE),"Not Specified")</f>
        <v>0</v>
      </c>
      <c r="J936" t="str">
        <f>VLOOKUP(B936,Product!A:B,2,FALSE)</f>
        <v>Product UKXRI</v>
      </c>
      <c r="K936" t="str">
        <f>VLOOKUP(VLOOKUP(B936,Product!A:D,4,FALSE),Category!A:B,2,FALSE)</f>
        <v>Dairy Product</v>
      </c>
      <c r="L936" s="24">
        <f>IFERROR(VLOOKUP(A936,'Sales Order'!A:D,4,FALSE),"")</f>
        <v>39279</v>
      </c>
      <c r="M936" s="24">
        <f>IFERROR(VLOOKUP(A936,'Sales Order'!A:F,6,FALSE),"")</f>
        <v>39285</v>
      </c>
      <c r="N936" t="str">
        <f>IFERROR(VLOOKUP(VLOOKUP(A936,'Sales Order'!A:G,7,FALSE),Shipper!A:B,2,FALSE),"Not Specified")</f>
        <v>Shipper GVSUA</v>
      </c>
      <c r="O936" t="str">
        <f>IFERROR(VLOOKUP(A936,'Sales Order'!A:I,9,FALSE),"Not Specified")</f>
        <v>Destination UOUWK</v>
      </c>
      <c r="P936" t="str">
        <f>IFERROR(VLOOKUP(A936,'Sales Order'!A:N,14,FALSE),"Not Specified")</f>
        <v>Venezuela</v>
      </c>
      <c r="Q936" t="str">
        <f>VLOOKUP(VLOOKUP(B936,Product!A:C,3,FALSE),Supplier!A:B,2,FALSE)</f>
        <v>Supplier OAVQT</v>
      </c>
      <c r="R936" t="str">
        <f>VLOOKUP(VLOOKUP(B936,Product!A:C,3,FALSE),Supplier!A:I,9,FALSE)</f>
        <v>France</v>
      </c>
      <c r="S936" t="str">
        <f>IFERROR(IF(VLOOKUP(A936,'Sales Order'!A:H,8,FALSE)&gt;100,"High Freight","Low Freight"),"Not Specified")</f>
        <v>Low Freight</v>
      </c>
      <c r="T936">
        <f t="shared" si="29"/>
        <v>1925</v>
      </c>
    </row>
    <row r="937" spans="1:20">
      <c r="A937" s="9">
        <v>10602</v>
      </c>
      <c r="B937" s="6">
        <v>77</v>
      </c>
      <c r="C937" s="6">
        <v>13</v>
      </c>
      <c r="D937" s="6">
        <v>5</v>
      </c>
      <c r="E937" s="18">
        <v>0.25</v>
      </c>
      <c r="F937" s="6" t="str">
        <f>IFERROR(VLOOKUP(VLOOKUP(A937,'Sales Order'!A:B,2,FALSE),Customer!A:C,3,FALSE),"Not Specified")</f>
        <v>Fonteneau, Karl</v>
      </c>
      <c r="G937" s="6" t="str">
        <f t="shared" si="28"/>
        <v>Fonteneau Karl</v>
      </c>
      <c r="H937" s="22" t="str">
        <f>IFERROR(VLOOKUP(VLOOKUP(A937,'Sales Order'!A:C,3,FALSE),Employee!A:E,5,FALSE)&amp;" "&amp;VLOOKUP(VLOOKUP(A937,'Sales Order'!A:C,3,FALSE),Employee!A:C,3,FALSE)&amp;" "&amp;VLOOKUP(VLOOKUP(A937,'Sales Order'!A:C,3,FALSE),Employee!A:B,2,FALSE),"Not Specified")</f>
        <v>Ms. Maria Cameron</v>
      </c>
      <c r="I937" t="str">
        <f>IFERROR(VLOOKUP(VLOOKUP(A937,'Sales Order'!A:C,3,FALSE),Employee!A:J,10,FALSE),"Not Specified")</f>
        <v>WA</v>
      </c>
      <c r="J937" t="str">
        <f>VLOOKUP(B937,Product!A:B,2,FALSE)</f>
        <v>Product LUNZZ</v>
      </c>
      <c r="K937" t="str">
        <f>VLOOKUP(VLOOKUP(B937,Product!A:D,4,FALSE),Category!A:B,2,FALSE)</f>
        <v>Condiments</v>
      </c>
      <c r="L937" s="24">
        <f>IFERROR(VLOOKUP(A937,'Sales Order'!A:D,4,FALSE),"")</f>
        <v>39280</v>
      </c>
      <c r="M937" s="24">
        <f>IFERROR(VLOOKUP(A937,'Sales Order'!A:F,6,FALSE),"")</f>
        <v>39285</v>
      </c>
      <c r="N937" t="str">
        <f>IFERROR(VLOOKUP(VLOOKUP(A937,'Sales Order'!A:G,7,FALSE),Shipper!A:B,2,FALSE),"Not Specified")</f>
        <v>Shipper ETYNR</v>
      </c>
      <c r="O937" t="str">
        <f>IFERROR(VLOOKUP(A937,'Sales Order'!A:I,9,FALSE),"Not Specified")</f>
        <v>Ship to 83-A</v>
      </c>
      <c r="P937" t="str">
        <f>IFERROR(VLOOKUP(A937,'Sales Order'!A:N,14,FALSE),"Not Specified")</f>
        <v>Denmark</v>
      </c>
      <c r="Q937" t="str">
        <f>VLOOKUP(VLOOKUP(B937,Product!A:C,3,FALSE),Supplier!A:B,2,FALSE)</f>
        <v>Supplier SVIYA</v>
      </c>
      <c r="R937" t="str">
        <f>VLOOKUP(VLOOKUP(B937,Product!A:C,3,FALSE),Supplier!A:I,9,FALSE)</f>
        <v>Germany</v>
      </c>
      <c r="S937" t="str">
        <f>IFERROR(IF(VLOOKUP(A937,'Sales Order'!A:H,8,FALSE)&gt;100,"High Freight","Low Freight"),"Not Specified")</f>
        <v>Low Freight</v>
      </c>
      <c r="T937">
        <f t="shared" si="29"/>
        <v>48.75</v>
      </c>
    </row>
    <row r="938" spans="1:20">
      <c r="A938" s="9">
        <v>10603</v>
      </c>
      <c r="B938" s="6">
        <v>22</v>
      </c>
      <c r="C938" s="6">
        <v>21</v>
      </c>
      <c r="D938" s="6">
        <v>48</v>
      </c>
      <c r="E938" s="18">
        <v>0</v>
      </c>
      <c r="F938" s="6" t="str">
        <f>IFERROR(VLOOKUP(VLOOKUP(A938,'Sales Order'!A:B,2,FALSE),Customer!A:C,3,FALSE),"Not Specified")</f>
        <v>Navarro, Tomás</v>
      </c>
      <c r="G938" s="6" t="str">
        <f t="shared" si="28"/>
        <v>Navarro Tomás</v>
      </c>
      <c r="H938" s="22" t="str">
        <f>IFERROR(VLOOKUP(VLOOKUP(A938,'Sales Order'!A:C,3,FALSE),Employee!A:E,5,FALSE)&amp;" "&amp;VLOOKUP(VLOOKUP(A938,'Sales Order'!A:C,3,FALSE),Employee!A:C,3,FALSE)&amp;" "&amp;VLOOKUP(VLOOKUP(A938,'Sales Order'!A:C,3,FALSE),Employee!A:B,2,FALSE),"Not Specified")</f>
        <v>Ms. Maria Cameron</v>
      </c>
      <c r="I938" t="str">
        <f>IFERROR(VLOOKUP(VLOOKUP(A938,'Sales Order'!A:C,3,FALSE),Employee!A:J,10,FALSE),"Not Specified")</f>
        <v>WA</v>
      </c>
      <c r="J938" t="str">
        <f>VLOOKUP(B938,Product!A:B,2,FALSE)</f>
        <v>Product CPHFY</v>
      </c>
      <c r="K938" t="str">
        <f>VLOOKUP(VLOOKUP(B938,Product!A:D,4,FALSE),Category!A:B,2,FALSE)</f>
        <v>Grains/Cereals</v>
      </c>
      <c r="L938" s="24">
        <f>IFERROR(VLOOKUP(A938,'Sales Order'!A:D,4,FALSE),"")</f>
        <v>39281</v>
      </c>
      <c r="M938" s="24">
        <f>IFERROR(VLOOKUP(A938,'Sales Order'!A:F,6,FALSE),"")</f>
        <v>39302</v>
      </c>
      <c r="N938" t="str">
        <f>IFERROR(VLOOKUP(VLOOKUP(A938,'Sales Order'!A:G,7,FALSE),Shipper!A:B,2,FALSE),"Not Specified")</f>
        <v>Shipper ETYNR</v>
      </c>
      <c r="O938" t="str">
        <f>IFERROR(VLOOKUP(A938,'Sales Order'!A:I,9,FALSE),"Not Specified")</f>
        <v>Ship to 71-C</v>
      </c>
      <c r="P938" t="str">
        <f>IFERROR(VLOOKUP(A938,'Sales Order'!A:N,14,FALSE),"Not Specified")</f>
        <v>USA</v>
      </c>
      <c r="Q938" t="str">
        <f>VLOOKUP(VLOOKUP(B938,Product!A:C,3,FALSE),Supplier!A:B,2,FALSE)</f>
        <v>Supplier QQYEU</v>
      </c>
      <c r="R938" t="str">
        <f>VLOOKUP(VLOOKUP(B938,Product!A:C,3,FALSE),Supplier!A:I,9,FALSE)</f>
        <v>Sweden</v>
      </c>
      <c r="S938" t="str">
        <f>IFERROR(IF(VLOOKUP(A938,'Sales Order'!A:H,8,FALSE)&gt;100,"High Freight","Low Freight"),"Not Specified")</f>
        <v>Low Freight</v>
      </c>
      <c r="T938">
        <f t="shared" si="29"/>
        <v>1008</v>
      </c>
    </row>
    <row r="939" spans="1:20">
      <c r="A939" s="9">
        <v>10603</v>
      </c>
      <c r="B939" s="6">
        <v>49</v>
      </c>
      <c r="C939" s="6">
        <v>20</v>
      </c>
      <c r="D939" s="6">
        <v>25</v>
      </c>
      <c r="E939" s="18">
        <v>0.05</v>
      </c>
      <c r="F939" s="6" t="str">
        <f>IFERROR(VLOOKUP(VLOOKUP(A939,'Sales Order'!A:B,2,FALSE),Customer!A:C,3,FALSE),"Not Specified")</f>
        <v>Navarro, Tomás</v>
      </c>
      <c r="G939" s="6" t="str">
        <f t="shared" si="28"/>
        <v>Navarro Tomás</v>
      </c>
      <c r="H939" s="22" t="str">
        <f>IFERROR(VLOOKUP(VLOOKUP(A939,'Sales Order'!A:C,3,FALSE),Employee!A:E,5,FALSE)&amp;" "&amp;VLOOKUP(VLOOKUP(A939,'Sales Order'!A:C,3,FALSE),Employee!A:C,3,FALSE)&amp;" "&amp;VLOOKUP(VLOOKUP(A939,'Sales Order'!A:C,3,FALSE),Employee!A:B,2,FALSE),"Not Specified")</f>
        <v>Ms. Maria Cameron</v>
      </c>
      <c r="I939" t="str">
        <f>IFERROR(VLOOKUP(VLOOKUP(A939,'Sales Order'!A:C,3,FALSE),Employee!A:J,10,FALSE),"Not Specified")</f>
        <v>WA</v>
      </c>
      <c r="J939" t="str">
        <f>VLOOKUP(B939,Product!A:B,2,FALSE)</f>
        <v>Product FPYPN</v>
      </c>
      <c r="K939" t="str">
        <f>VLOOKUP(VLOOKUP(B939,Product!A:D,4,FALSE),Category!A:B,2,FALSE)</f>
        <v>Confections</v>
      </c>
      <c r="L939" s="24">
        <f>IFERROR(VLOOKUP(A939,'Sales Order'!A:D,4,FALSE),"")</f>
        <v>39281</v>
      </c>
      <c r="M939" s="24">
        <f>IFERROR(VLOOKUP(A939,'Sales Order'!A:F,6,FALSE),"")</f>
        <v>39302</v>
      </c>
      <c r="N939" t="str">
        <f>IFERROR(VLOOKUP(VLOOKUP(A939,'Sales Order'!A:G,7,FALSE),Shipper!A:B,2,FALSE),"Not Specified")</f>
        <v>Shipper ETYNR</v>
      </c>
      <c r="O939" t="str">
        <f>IFERROR(VLOOKUP(A939,'Sales Order'!A:I,9,FALSE),"Not Specified")</f>
        <v>Ship to 71-C</v>
      </c>
      <c r="P939" t="str">
        <f>IFERROR(VLOOKUP(A939,'Sales Order'!A:N,14,FALSE),"Not Specified")</f>
        <v>USA</v>
      </c>
      <c r="Q939" t="str">
        <f>VLOOKUP(VLOOKUP(B939,Product!A:C,3,FALSE),Supplier!A:B,2,FALSE)</f>
        <v>Supplier ELCRN</v>
      </c>
      <c r="R939" t="str">
        <f>VLOOKUP(VLOOKUP(B939,Product!A:C,3,FALSE),Supplier!A:I,9,FALSE)</f>
        <v>Finland</v>
      </c>
      <c r="S939" t="str">
        <f>IFERROR(IF(VLOOKUP(A939,'Sales Order'!A:H,8,FALSE)&gt;100,"High Freight","Low Freight"),"Not Specified")</f>
        <v>Low Freight</v>
      </c>
      <c r="T939">
        <f t="shared" si="29"/>
        <v>475</v>
      </c>
    </row>
    <row r="940" spans="1:20">
      <c r="A940" s="9">
        <v>10604</v>
      </c>
      <c r="B940" s="6">
        <v>48</v>
      </c>
      <c r="C940" s="6">
        <v>12.75</v>
      </c>
      <c r="D940" s="6">
        <v>6</v>
      </c>
      <c r="E940" s="18">
        <v>0.1</v>
      </c>
      <c r="F940" s="6" t="str">
        <f>IFERROR(VLOOKUP(VLOOKUP(A940,'Sales Order'!A:B,2,FALSE),Customer!A:C,3,FALSE),"Not Specified")</f>
        <v>Cavaglieri, Giorgio</v>
      </c>
      <c r="G940" s="6" t="str">
        <f t="shared" si="28"/>
        <v>Cavaglieri Giorgio</v>
      </c>
      <c r="H940" s="22" t="str">
        <f>IFERROR(VLOOKUP(VLOOKUP(A940,'Sales Order'!A:C,3,FALSE),Employee!A:E,5,FALSE)&amp;" "&amp;VLOOKUP(VLOOKUP(A940,'Sales Order'!A:C,3,FALSE),Employee!A:C,3,FALSE)&amp;" "&amp;VLOOKUP(VLOOKUP(A940,'Sales Order'!A:C,3,FALSE),Employee!A:B,2,FALSE),"Not Specified")</f>
        <v>Ms. Sara Davis</v>
      </c>
      <c r="I940" t="str">
        <f>IFERROR(VLOOKUP(VLOOKUP(A940,'Sales Order'!A:C,3,FALSE),Employee!A:J,10,FALSE),"Not Specified")</f>
        <v>WA</v>
      </c>
      <c r="J940" t="str">
        <f>VLOOKUP(B940,Product!A:B,2,FALSE)</f>
        <v>Product MYNXN</v>
      </c>
      <c r="K940" t="str">
        <f>VLOOKUP(VLOOKUP(B940,Product!A:D,4,FALSE),Category!A:B,2,FALSE)</f>
        <v>Confections</v>
      </c>
      <c r="L940" s="24">
        <f>IFERROR(VLOOKUP(A940,'Sales Order'!A:D,4,FALSE),"")</f>
        <v>39281</v>
      </c>
      <c r="M940" s="24">
        <f>IFERROR(VLOOKUP(A940,'Sales Order'!A:F,6,FALSE),"")</f>
        <v>39292</v>
      </c>
      <c r="N940" t="str">
        <f>IFERROR(VLOOKUP(VLOOKUP(A940,'Sales Order'!A:G,7,FALSE),Shipper!A:B,2,FALSE),"Not Specified")</f>
        <v>Shipper GVSUA</v>
      </c>
      <c r="O940" t="str">
        <f>IFERROR(VLOOKUP(A940,'Sales Order'!A:I,9,FALSE),"Not Specified")</f>
        <v>Destination CIRQO</v>
      </c>
      <c r="P940" t="str">
        <f>IFERROR(VLOOKUP(A940,'Sales Order'!A:N,14,FALSE),"Not Specified")</f>
        <v>Portugal</v>
      </c>
      <c r="Q940" t="str">
        <f>VLOOKUP(VLOOKUP(B940,Product!A:C,3,FALSE),Supplier!A:B,2,FALSE)</f>
        <v>Supplier FNUXM</v>
      </c>
      <c r="R940" t="str">
        <f>VLOOKUP(VLOOKUP(B940,Product!A:C,3,FALSE),Supplier!A:I,9,FALSE)</f>
        <v>Netherlands</v>
      </c>
      <c r="S940" t="str">
        <f>IFERROR(IF(VLOOKUP(A940,'Sales Order'!A:H,8,FALSE)&gt;100,"High Freight","Low Freight"),"Not Specified")</f>
        <v>Low Freight</v>
      </c>
      <c r="T940">
        <f t="shared" si="29"/>
        <v>68.850000000000009</v>
      </c>
    </row>
    <row r="941" spans="1:20">
      <c r="A941" s="9">
        <v>10604</v>
      </c>
      <c r="B941" s="6">
        <v>76</v>
      </c>
      <c r="C941" s="6">
        <v>18</v>
      </c>
      <c r="D941" s="6">
        <v>10</v>
      </c>
      <c r="E941" s="18">
        <v>0.1</v>
      </c>
      <c r="F941" s="6" t="str">
        <f>IFERROR(VLOOKUP(VLOOKUP(A941,'Sales Order'!A:B,2,FALSE),Customer!A:C,3,FALSE),"Not Specified")</f>
        <v>Cavaglieri, Giorgio</v>
      </c>
      <c r="G941" s="6" t="str">
        <f t="shared" si="28"/>
        <v>Cavaglieri Giorgio</v>
      </c>
      <c r="H941" s="22" t="str">
        <f>IFERROR(VLOOKUP(VLOOKUP(A941,'Sales Order'!A:C,3,FALSE),Employee!A:E,5,FALSE)&amp;" "&amp;VLOOKUP(VLOOKUP(A941,'Sales Order'!A:C,3,FALSE),Employee!A:C,3,FALSE)&amp;" "&amp;VLOOKUP(VLOOKUP(A941,'Sales Order'!A:C,3,FALSE),Employee!A:B,2,FALSE),"Not Specified")</f>
        <v>Ms. Sara Davis</v>
      </c>
      <c r="I941" t="str">
        <f>IFERROR(VLOOKUP(VLOOKUP(A941,'Sales Order'!A:C,3,FALSE),Employee!A:J,10,FALSE),"Not Specified")</f>
        <v>WA</v>
      </c>
      <c r="J941" t="str">
        <f>VLOOKUP(B941,Product!A:B,2,FALSE)</f>
        <v>Product JYGFE</v>
      </c>
      <c r="K941" t="str">
        <f>VLOOKUP(VLOOKUP(B941,Product!A:D,4,FALSE),Category!A:B,2,FALSE)</f>
        <v>Beverages</v>
      </c>
      <c r="L941" s="24">
        <f>IFERROR(VLOOKUP(A941,'Sales Order'!A:D,4,FALSE),"")</f>
        <v>39281</v>
      </c>
      <c r="M941" s="24">
        <f>IFERROR(VLOOKUP(A941,'Sales Order'!A:F,6,FALSE),"")</f>
        <v>39292</v>
      </c>
      <c r="N941" t="str">
        <f>IFERROR(VLOOKUP(VLOOKUP(A941,'Sales Order'!A:G,7,FALSE),Shipper!A:B,2,FALSE),"Not Specified")</f>
        <v>Shipper GVSUA</v>
      </c>
      <c r="O941" t="str">
        <f>IFERROR(VLOOKUP(A941,'Sales Order'!A:I,9,FALSE),"Not Specified")</f>
        <v>Destination CIRQO</v>
      </c>
      <c r="P941" t="str">
        <f>IFERROR(VLOOKUP(A941,'Sales Order'!A:N,14,FALSE),"Not Specified")</f>
        <v>Portugal</v>
      </c>
      <c r="Q941" t="str">
        <f>VLOOKUP(VLOOKUP(B941,Product!A:C,3,FALSE),Supplier!A:B,2,FALSE)</f>
        <v>Supplier ELCRN</v>
      </c>
      <c r="R941" t="str">
        <f>VLOOKUP(VLOOKUP(B941,Product!A:C,3,FALSE),Supplier!A:I,9,FALSE)</f>
        <v>Finland</v>
      </c>
      <c r="S941" t="str">
        <f>IFERROR(IF(VLOOKUP(A941,'Sales Order'!A:H,8,FALSE)&gt;100,"High Freight","Low Freight"),"Not Specified")</f>
        <v>Low Freight</v>
      </c>
      <c r="T941">
        <f t="shared" si="29"/>
        <v>162</v>
      </c>
    </row>
    <row r="942" spans="1:20">
      <c r="A942" s="9">
        <v>10605</v>
      </c>
      <c r="B942" s="6">
        <v>16</v>
      </c>
      <c r="C942" s="6">
        <v>17.45</v>
      </c>
      <c r="D942" s="6">
        <v>30</v>
      </c>
      <c r="E942" s="18">
        <v>0.05</v>
      </c>
      <c r="F942" s="6" t="str">
        <f>IFERROR(VLOOKUP(VLOOKUP(A942,'Sales Order'!A:B,2,FALSE),Customer!A:C,3,FALSE),"Not Specified")</f>
        <v>Taylor, Maurice</v>
      </c>
      <c r="G942" s="6" t="str">
        <f t="shared" si="28"/>
        <v>Taylor Maurice</v>
      </c>
      <c r="H942" s="22" t="str">
        <f>IFERROR(VLOOKUP(VLOOKUP(A942,'Sales Order'!A:C,3,FALSE),Employee!A:E,5,FALSE)&amp;" "&amp;VLOOKUP(VLOOKUP(A942,'Sales Order'!A:C,3,FALSE),Employee!A:C,3,FALSE)&amp;" "&amp;VLOOKUP(VLOOKUP(A942,'Sales Order'!A:C,3,FALSE),Employee!A:B,2,FALSE),"Not Specified")</f>
        <v>Ms. Sara Davis</v>
      </c>
      <c r="I942" t="str">
        <f>IFERROR(VLOOKUP(VLOOKUP(A942,'Sales Order'!A:C,3,FALSE),Employee!A:J,10,FALSE),"Not Specified")</f>
        <v>WA</v>
      </c>
      <c r="J942" t="str">
        <f>VLOOKUP(B942,Product!A:B,2,FALSE)</f>
        <v>Product PAFRH</v>
      </c>
      <c r="K942" t="str">
        <f>VLOOKUP(VLOOKUP(B942,Product!A:D,4,FALSE),Category!A:B,2,FALSE)</f>
        <v>Confections</v>
      </c>
      <c r="L942" s="24">
        <f>IFERROR(VLOOKUP(A942,'Sales Order'!A:D,4,FALSE),"")</f>
        <v>39284</v>
      </c>
      <c r="M942" s="24">
        <f>IFERROR(VLOOKUP(A942,'Sales Order'!A:F,6,FALSE),"")</f>
        <v>39292</v>
      </c>
      <c r="N942" t="str">
        <f>IFERROR(VLOOKUP(VLOOKUP(A942,'Sales Order'!A:G,7,FALSE),Shipper!A:B,2,FALSE),"Not Specified")</f>
        <v>Shipper ETYNR</v>
      </c>
      <c r="O942" t="str">
        <f>IFERROR(VLOOKUP(A942,'Sales Order'!A:I,9,FALSE),"Not Specified")</f>
        <v>Ship to 51-B</v>
      </c>
      <c r="P942" t="str">
        <f>IFERROR(VLOOKUP(A942,'Sales Order'!A:N,14,FALSE),"Not Specified")</f>
        <v>Canada</v>
      </c>
      <c r="Q942" t="str">
        <f>VLOOKUP(VLOOKUP(B942,Product!A:C,3,FALSE),Supplier!A:B,2,FALSE)</f>
        <v>Supplier GQRCV</v>
      </c>
      <c r="R942" t="str">
        <f>VLOOKUP(VLOOKUP(B942,Product!A:C,3,FALSE),Supplier!A:I,9,FALSE)</f>
        <v>Australia</v>
      </c>
      <c r="S942" t="str">
        <f>IFERROR(IF(VLOOKUP(A942,'Sales Order'!A:H,8,FALSE)&gt;100,"High Freight","Low Freight"),"Not Specified")</f>
        <v>High Freight</v>
      </c>
      <c r="T942">
        <f t="shared" si="29"/>
        <v>497.32499999999999</v>
      </c>
    </row>
    <row r="943" spans="1:20">
      <c r="A943" s="9">
        <v>10605</v>
      </c>
      <c r="B943" s="6">
        <v>59</v>
      </c>
      <c r="C943" s="6">
        <v>55</v>
      </c>
      <c r="D943" s="6">
        <v>20</v>
      </c>
      <c r="E943" s="18">
        <v>0.05</v>
      </c>
      <c r="F943" s="6" t="str">
        <f>IFERROR(VLOOKUP(VLOOKUP(A943,'Sales Order'!A:B,2,FALSE),Customer!A:C,3,FALSE),"Not Specified")</f>
        <v>Taylor, Maurice</v>
      </c>
      <c r="G943" s="6" t="str">
        <f t="shared" si="28"/>
        <v>Taylor Maurice</v>
      </c>
      <c r="H943" s="22" t="str">
        <f>IFERROR(VLOOKUP(VLOOKUP(A943,'Sales Order'!A:C,3,FALSE),Employee!A:E,5,FALSE)&amp;" "&amp;VLOOKUP(VLOOKUP(A943,'Sales Order'!A:C,3,FALSE),Employee!A:C,3,FALSE)&amp;" "&amp;VLOOKUP(VLOOKUP(A943,'Sales Order'!A:C,3,FALSE),Employee!A:B,2,FALSE),"Not Specified")</f>
        <v>Ms. Sara Davis</v>
      </c>
      <c r="I943" t="str">
        <f>IFERROR(VLOOKUP(VLOOKUP(A943,'Sales Order'!A:C,3,FALSE),Employee!A:J,10,FALSE),"Not Specified")</f>
        <v>WA</v>
      </c>
      <c r="J943" t="str">
        <f>VLOOKUP(B943,Product!A:B,2,FALSE)</f>
        <v>Product UKXRI</v>
      </c>
      <c r="K943" t="str">
        <f>VLOOKUP(VLOOKUP(B943,Product!A:D,4,FALSE),Category!A:B,2,FALSE)</f>
        <v>Dairy Product</v>
      </c>
      <c r="L943" s="24">
        <f>IFERROR(VLOOKUP(A943,'Sales Order'!A:D,4,FALSE),"")</f>
        <v>39284</v>
      </c>
      <c r="M943" s="24">
        <f>IFERROR(VLOOKUP(A943,'Sales Order'!A:F,6,FALSE),"")</f>
        <v>39292</v>
      </c>
      <c r="N943" t="str">
        <f>IFERROR(VLOOKUP(VLOOKUP(A943,'Sales Order'!A:G,7,FALSE),Shipper!A:B,2,FALSE),"Not Specified")</f>
        <v>Shipper ETYNR</v>
      </c>
      <c r="O943" t="str">
        <f>IFERROR(VLOOKUP(A943,'Sales Order'!A:I,9,FALSE),"Not Specified")</f>
        <v>Ship to 51-B</v>
      </c>
      <c r="P943" t="str">
        <f>IFERROR(VLOOKUP(A943,'Sales Order'!A:N,14,FALSE),"Not Specified")</f>
        <v>Canada</v>
      </c>
      <c r="Q943" t="str">
        <f>VLOOKUP(VLOOKUP(B943,Product!A:C,3,FALSE),Supplier!A:B,2,FALSE)</f>
        <v>Supplier OAVQT</v>
      </c>
      <c r="R943" t="str">
        <f>VLOOKUP(VLOOKUP(B943,Product!A:C,3,FALSE),Supplier!A:I,9,FALSE)</f>
        <v>France</v>
      </c>
      <c r="S943" t="str">
        <f>IFERROR(IF(VLOOKUP(A943,'Sales Order'!A:H,8,FALSE)&gt;100,"High Freight","Low Freight"),"Not Specified")</f>
        <v>High Freight</v>
      </c>
      <c r="T943">
        <f t="shared" si="29"/>
        <v>1045</v>
      </c>
    </row>
    <row r="944" spans="1:20">
      <c r="A944" s="9">
        <v>10605</v>
      </c>
      <c r="B944" s="6">
        <v>60</v>
      </c>
      <c r="C944" s="6">
        <v>34</v>
      </c>
      <c r="D944" s="6">
        <v>70</v>
      </c>
      <c r="E944" s="18">
        <v>0.05</v>
      </c>
      <c r="F944" s="6" t="str">
        <f>IFERROR(VLOOKUP(VLOOKUP(A944,'Sales Order'!A:B,2,FALSE),Customer!A:C,3,FALSE),"Not Specified")</f>
        <v>Taylor, Maurice</v>
      </c>
      <c r="G944" s="6" t="str">
        <f t="shared" si="28"/>
        <v>Taylor Maurice</v>
      </c>
      <c r="H944" s="22" t="str">
        <f>IFERROR(VLOOKUP(VLOOKUP(A944,'Sales Order'!A:C,3,FALSE),Employee!A:E,5,FALSE)&amp;" "&amp;VLOOKUP(VLOOKUP(A944,'Sales Order'!A:C,3,FALSE),Employee!A:C,3,FALSE)&amp;" "&amp;VLOOKUP(VLOOKUP(A944,'Sales Order'!A:C,3,FALSE),Employee!A:B,2,FALSE),"Not Specified")</f>
        <v>Ms. Sara Davis</v>
      </c>
      <c r="I944" t="str">
        <f>IFERROR(VLOOKUP(VLOOKUP(A944,'Sales Order'!A:C,3,FALSE),Employee!A:J,10,FALSE),"Not Specified")</f>
        <v>WA</v>
      </c>
      <c r="J944" t="str">
        <f>VLOOKUP(B944,Product!A:B,2,FALSE)</f>
        <v>Product WHBYK</v>
      </c>
      <c r="K944" t="str">
        <f>VLOOKUP(VLOOKUP(B944,Product!A:D,4,FALSE),Category!A:B,2,FALSE)</f>
        <v>Dairy Product</v>
      </c>
      <c r="L944" s="24">
        <f>IFERROR(VLOOKUP(A944,'Sales Order'!A:D,4,FALSE),"")</f>
        <v>39284</v>
      </c>
      <c r="M944" s="24">
        <f>IFERROR(VLOOKUP(A944,'Sales Order'!A:F,6,FALSE),"")</f>
        <v>39292</v>
      </c>
      <c r="N944" t="str">
        <f>IFERROR(VLOOKUP(VLOOKUP(A944,'Sales Order'!A:G,7,FALSE),Shipper!A:B,2,FALSE),"Not Specified")</f>
        <v>Shipper ETYNR</v>
      </c>
      <c r="O944" t="str">
        <f>IFERROR(VLOOKUP(A944,'Sales Order'!A:I,9,FALSE),"Not Specified")</f>
        <v>Ship to 51-B</v>
      </c>
      <c r="P944" t="str">
        <f>IFERROR(VLOOKUP(A944,'Sales Order'!A:N,14,FALSE),"Not Specified")</f>
        <v>Canada</v>
      </c>
      <c r="Q944" t="str">
        <f>VLOOKUP(VLOOKUP(B944,Product!A:C,3,FALSE),Supplier!A:B,2,FALSE)</f>
        <v>Supplier OAVQT</v>
      </c>
      <c r="R944" t="str">
        <f>VLOOKUP(VLOOKUP(B944,Product!A:C,3,FALSE),Supplier!A:I,9,FALSE)</f>
        <v>France</v>
      </c>
      <c r="S944" t="str">
        <f>IFERROR(IF(VLOOKUP(A944,'Sales Order'!A:H,8,FALSE)&gt;100,"High Freight","Low Freight"),"Not Specified")</f>
        <v>High Freight</v>
      </c>
      <c r="T944">
        <f t="shared" si="29"/>
        <v>2261</v>
      </c>
    </row>
    <row r="945" spans="1:20">
      <c r="A945" s="9">
        <v>10605</v>
      </c>
      <c r="B945" s="6">
        <v>71</v>
      </c>
      <c r="C945" s="6">
        <v>21.5</v>
      </c>
      <c r="D945" s="6">
        <v>15</v>
      </c>
      <c r="E945" s="18">
        <v>0.05</v>
      </c>
      <c r="F945" s="6" t="str">
        <f>IFERROR(VLOOKUP(VLOOKUP(A945,'Sales Order'!A:B,2,FALSE),Customer!A:C,3,FALSE),"Not Specified")</f>
        <v>Taylor, Maurice</v>
      </c>
      <c r="G945" s="6" t="str">
        <f t="shared" si="28"/>
        <v>Taylor Maurice</v>
      </c>
      <c r="H945" s="22" t="str">
        <f>IFERROR(VLOOKUP(VLOOKUP(A945,'Sales Order'!A:C,3,FALSE),Employee!A:E,5,FALSE)&amp;" "&amp;VLOOKUP(VLOOKUP(A945,'Sales Order'!A:C,3,FALSE),Employee!A:C,3,FALSE)&amp;" "&amp;VLOOKUP(VLOOKUP(A945,'Sales Order'!A:C,3,FALSE),Employee!A:B,2,FALSE),"Not Specified")</f>
        <v>Ms. Sara Davis</v>
      </c>
      <c r="I945" t="str">
        <f>IFERROR(VLOOKUP(VLOOKUP(A945,'Sales Order'!A:C,3,FALSE),Employee!A:J,10,FALSE),"Not Specified")</f>
        <v>WA</v>
      </c>
      <c r="J945" t="str">
        <f>VLOOKUP(B945,Product!A:B,2,FALSE)</f>
        <v>Product MYMOI</v>
      </c>
      <c r="K945" t="str">
        <f>VLOOKUP(VLOOKUP(B945,Product!A:D,4,FALSE),Category!A:B,2,FALSE)</f>
        <v>Dairy Product</v>
      </c>
      <c r="L945" s="24">
        <f>IFERROR(VLOOKUP(A945,'Sales Order'!A:D,4,FALSE),"")</f>
        <v>39284</v>
      </c>
      <c r="M945" s="24">
        <f>IFERROR(VLOOKUP(A945,'Sales Order'!A:F,6,FALSE),"")</f>
        <v>39292</v>
      </c>
      <c r="N945" t="str">
        <f>IFERROR(VLOOKUP(VLOOKUP(A945,'Sales Order'!A:G,7,FALSE),Shipper!A:B,2,FALSE),"Not Specified")</f>
        <v>Shipper ETYNR</v>
      </c>
      <c r="O945" t="str">
        <f>IFERROR(VLOOKUP(A945,'Sales Order'!A:I,9,FALSE),"Not Specified")</f>
        <v>Ship to 51-B</v>
      </c>
      <c r="P945" t="str">
        <f>IFERROR(VLOOKUP(A945,'Sales Order'!A:N,14,FALSE),"Not Specified")</f>
        <v>Canada</v>
      </c>
      <c r="Q945" t="str">
        <f>VLOOKUP(VLOOKUP(B945,Product!A:C,3,FALSE),Supplier!A:B,2,FALSE)</f>
        <v>Supplier NZLIF</v>
      </c>
      <c r="R945" t="str">
        <f>VLOOKUP(VLOOKUP(B945,Product!A:C,3,FALSE),Supplier!A:I,9,FALSE)</f>
        <v>Norway</v>
      </c>
      <c r="S945" t="str">
        <f>IFERROR(IF(VLOOKUP(A945,'Sales Order'!A:H,8,FALSE)&gt;100,"High Freight","Low Freight"),"Not Specified")</f>
        <v>High Freight</v>
      </c>
      <c r="T945">
        <f t="shared" si="29"/>
        <v>306.375</v>
      </c>
    </row>
    <row r="946" spans="1:20">
      <c r="A946" s="9">
        <v>10606</v>
      </c>
      <c r="B946" s="6">
        <v>4</v>
      </c>
      <c r="C946" s="6">
        <v>22</v>
      </c>
      <c r="D946" s="6">
        <v>20</v>
      </c>
      <c r="E946" s="18">
        <v>0.2</v>
      </c>
      <c r="F946" s="6" t="str">
        <f>IFERROR(VLOOKUP(VLOOKUP(A946,'Sales Order'!A:B,2,FALSE),Customer!A:C,3,FALSE),"Not Specified")</f>
        <v>Nagel, Jean-Philippe</v>
      </c>
      <c r="G946" s="6" t="str">
        <f t="shared" si="28"/>
        <v>Nagel Jean-Philippe</v>
      </c>
      <c r="H946" s="22" t="str">
        <f>IFERROR(VLOOKUP(VLOOKUP(A946,'Sales Order'!A:C,3,FALSE),Employee!A:E,5,FALSE)&amp;" "&amp;VLOOKUP(VLOOKUP(A946,'Sales Order'!A:C,3,FALSE),Employee!A:C,3,FALSE)&amp;" "&amp;VLOOKUP(VLOOKUP(A946,'Sales Order'!A:C,3,FALSE),Employee!A:B,2,FALSE),"Not Specified")</f>
        <v>Mrs. Yael Peled</v>
      </c>
      <c r="I946" t="str">
        <f>IFERROR(VLOOKUP(VLOOKUP(A946,'Sales Order'!A:C,3,FALSE),Employee!A:J,10,FALSE),"Not Specified")</f>
        <v>WA</v>
      </c>
      <c r="J946" t="str">
        <f>VLOOKUP(B946,Product!A:B,2,FALSE)</f>
        <v>Product KSBRM</v>
      </c>
      <c r="K946" t="str">
        <f>VLOOKUP(VLOOKUP(B946,Product!A:D,4,FALSE),Category!A:B,2,FALSE)</f>
        <v>Condiments</v>
      </c>
      <c r="L946" s="24">
        <f>IFERROR(VLOOKUP(A946,'Sales Order'!A:D,4,FALSE),"")</f>
        <v>39285</v>
      </c>
      <c r="M946" s="24">
        <f>IFERROR(VLOOKUP(A946,'Sales Order'!A:F,6,FALSE),"")</f>
        <v>39294</v>
      </c>
      <c r="N946" t="str">
        <f>IFERROR(VLOOKUP(VLOOKUP(A946,'Sales Order'!A:G,7,FALSE),Shipper!A:B,2,FALSE),"Not Specified")</f>
        <v>Shipper ZHISN</v>
      </c>
      <c r="O946" t="str">
        <f>IFERROR(VLOOKUP(A946,'Sales Order'!A:I,9,FALSE),"Not Specified")</f>
        <v>Ship to 81-C</v>
      </c>
      <c r="P946" t="str">
        <f>IFERROR(VLOOKUP(A946,'Sales Order'!A:N,14,FALSE),"Not Specified")</f>
        <v>Brazil</v>
      </c>
      <c r="Q946" t="str">
        <f>VLOOKUP(VLOOKUP(B946,Product!A:C,3,FALSE),Supplier!A:B,2,FALSE)</f>
        <v>Supplier VHQZD</v>
      </c>
      <c r="R946" t="str">
        <f>VLOOKUP(VLOOKUP(B946,Product!A:C,3,FALSE),Supplier!A:I,9,FALSE)</f>
        <v>USA</v>
      </c>
      <c r="S946" t="str">
        <f>IFERROR(IF(VLOOKUP(A946,'Sales Order'!A:H,8,FALSE)&gt;100,"High Freight","Low Freight"),"Not Specified")</f>
        <v>Low Freight</v>
      </c>
      <c r="T946">
        <f t="shared" si="29"/>
        <v>352</v>
      </c>
    </row>
    <row r="947" spans="1:20">
      <c r="A947" s="9">
        <v>10606</v>
      </c>
      <c r="B947" s="6">
        <v>55</v>
      </c>
      <c r="C947" s="6">
        <v>24</v>
      </c>
      <c r="D947" s="6">
        <v>20</v>
      </c>
      <c r="E947" s="18">
        <v>0.2</v>
      </c>
      <c r="F947" s="6" t="str">
        <f>IFERROR(VLOOKUP(VLOOKUP(A947,'Sales Order'!A:B,2,FALSE),Customer!A:C,3,FALSE),"Not Specified")</f>
        <v>Nagel, Jean-Philippe</v>
      </c>
      <c r="G947" s="6" t="str">
        <f t="shared" si="28"/>
        <v>Nagel Jean-Philippe</v>
      </c>
      <c r="H947" s="22" t="str">
        <f>IFERROR(VLOOKUP(VLOOKUP(A947,'Sales Order'!A:C,3,FALSE),Employee!A:E,5,FALSE)&amp;" "&amp;VLOOKUP(VLOOKUP(A947,'Sales Order'!A:C,3,FALSE),Employee!A:C,3,FALSE)&amp;" "&amp;VLOOKUP(VLOOKUP(A947,'Sales Order'!A:C,3,FALSE),Employee!A:B,2,FALSE),"Not Specified")</f>
        <v>Mrs. Yael Peled</v>
      </c>
      <c r="I947" t="str">
        <f>IFERROR(VLOOKUP(VLOOKUP(A947,'Sales Order'!A:C,3,FALSE),Employee!A:J,10,FALSE),"Not Specified")</f>
        <v>WA</v>
      </c>
      <c r="J947" t="str">
        <f>VLOOKUP(B947,Product!A:B,2,FALSE)</f>
        <v>Product YYWRT</v>
      </c>
      <c r="K947" t="str">
        <f>VLOOKUP(VLOOKUP(B947,Product!A:D,4,FALSE),Category!A:B,2,FALSE)</f>
        <v>Meat/Poultry</v>
      </c>
      <c r="L947" s="24">
        <f>IFERROR(VLOOKUP(A947,'Sales Order'!A:D,4,FALSE),"")</f>
        <v>39285</v>
      </c>
      <c r="M947" s="24">
        <f>IFERROR(VLOOKUP(A947,'Sales Order'!A:F,6,FALSE),"")</f>
        <v>39294</v>
      </c>
      <c r="N947" t="str">
        <f>IFERROR(VLOOKUP(VLOOKUP(A947,'Sales Order'!A:G,7,FALSE),Shipper!A:B,2,FALSE),"Not Specified")</f>
        <v>Shipper ZHISN</v>
      </c>
      <c r="O947" t="str">
        <f>IFERROR(VLOOKUP(A947,'Sales Order'!A:I,9,FALSE),"Not Specified")</f>
        <v>Ship to 81-C</v>
      </c>
      <c r="P947" t="str">
        <f>IFERROR(VLOOKUP(A947,'Sales Order'!A:N,14,FALSE),"Not Specified")</f>
        <v>Brazil</v>
      </c>
      <c r="Q947" t="str">
        <f>VLOOKUP(VLOOKUP(B947,Product!A:C,3,FALSE),Supplier!A:B,2,FALSE)</f>
        <v>Supplier ERVYZ</v>
      </c>
      <c r="R947" t="str">
        <f>VLOOKUP(VLOOKUP(B947,Product!A:C,3,FALSE),Supplier!A:I,9,FALSE)</f>
        <v>Canada</v>
      </c>
      <c r="S947" t="str">
        <f>IFERROR(IF(VLOOKUP(A947,'Sales Order'!A:H,8,FALSE)&gt;100,"High Freight","Low Freight"),"Not Specified")</f>
        <v>Low Freight</v>
      </c>
      <c r="T947">
        <f t="shared" si="29"/>
        <v>384</v>
      </c>
    </row>
    <row r="948" spans="1:20">
      <c r="A948" s="9">
        <v>10606</v>
      </c>
      <c r="B948" s="6">
        <v>62</v>
      </c>
      <c r="C948" s="6">
        <v>49.3</v>
      </c>
      <c r="D948" s="6">
        <v>10</v>
      </c>
      <c r="E948" s="18">
        <v>0.2</v>
      </c>
      <c r="F948" s="6" t="str">
        <f>IFERROR(VLOOKUP(VLOOKUP(A948,'Sales Order'!A:B,2,FALSE),Customer!A:C,3,FALSE),"Not Specified")</f>
        <v>Nagel, Jean-Philippe</v>
      </c>
      <c r="G948" s="6" t="str">
        <f t="shared" si="28"/>
        <v>Nagel Jean-Philippe</v>
      </c>
      <c r="H948" s="22" t="str">
        <f>IFERROR(VLOOKUP(VLOOKUP(A948,'Sales Order'!A:C,3,FALSE),Employee!A:E,5,FALSE)&amp;" "&amp;VLOOKUP(VLOOKUP(A948,'Sales Order'!A:C,3,FALSE),Employee!A:C,3,FALSE)&amp;" "&amp;VLOOKUP(VLOOKUP(A948,'Sales Order'!A:C,3,FALSE),Employee!A:B,2,FALSE),"Not Specified")</f>
        <v>Mrs. Yael Peled</v>
      </c>
      <c r="I948" t="str">
        <f>IFERROR(VLOOKUP(VLOOKUP(A948,'Sales Order'!A:C,3,FALSE),Employee!A:J,10,FALSE),"Not Specified")</f>
        <v>WA</v>
      </c>
      <c r="J948" t="str">
        <f>VLOOKUP(B948,Product!A:B,2,FALSE)</f>
        <v>Product WUXYK</v>
      </c>
      <c r="K948" t="str">
        <f>VLOOKUP(VLOOKUP(B948,Product!A:D,4,FALSE),Category!A:B,2,FALSE)</f>
        <v>Confections</v>
      </c>
      <c r="L948" s="24">
        <f>IFERROR(VLOOKUP(A948,'Sales Order'!A:D,4,FALSE),"")</f>
        <v>39285</v>
      </c>
      <c r="M948" s="24">
        <f>IFERROR(VLOOKUP(A948,'Sales Order'!A:F,6,FALSE),"")</f>
        <v>39294</v>
      </c>
      <c r="N948" t="str">
        <f>IFERROR(VLOOKUP(VLOOKUP(A948,'Sales Order'!A:G,7,FALSE),Shipper!A:B,2,FALSE),"Not Specified")</f>
        <v>Shipper ZHISN</v>
      </c>
      <c r="O948" t="str">
        <f>IFERROR(VLOOKUP(A948,'Sales Order'!A:I,9,FALSE),"Not Specified")</f>
        <v>Ship to 81-C</v>
      </c>
      <c r="P948" t="str">
        <f>IFERROR(VLOOKUP(A948,'Sales Order'!A:N,14,FALSE),"Not Specified")</f>
        <v>Brazil</v>
      </c>
      <c r="Q948" t="str">
        <f>VLOOKUP(VLOOKUP(B948,Product!A:C,3,FALSE),Supplier!A:B,2,FALSE)</f>
        <v>Supplier OGLRK</v>
      </c>
      <c r="R948" t="str">
        <f>VLOOKUP(VLOOKUP(B948,Product!A:C,3,FALSE),Supplier!A:I,9,FALSE)</f>
        <v>Canada</v>
      </c>
      <c r="S948" t="str">
        <f>IFERROR(IF(VLOOKUP(A948,'Sales Order'!A:H,8,FALSE)&gt;100,"High Freight","Low Freight"),"Not Specified")</f>
        <v>Low Freight</v>
      </c>
      <c r="T948">
        <f t="shared" si="29"/>
        <v>394.40000000000003</v>
      </c>
    </row>
    <row r="949" spans="1:20">
      <c r="A949" s="9">
        <v>10607</v>
      </c>
      <c r="B949" s="6">
        <v>7</v>
      </c>
      <c r="C949" s="6">
        <v>30</v>
      </c>
      <c r="D949" s="6">
        <v>45</v>
      </c>
      <c r="E949" s="18">
        <v>0</v>
      </c>
      <c r="F949" s="6" t="str">
        <f>IFERROR(VLOOKUP(VLOOKUP(A949,'Sales Order'!A:B,2,FALSE),Customer!A:C,3,FALSE),"Not Specified")</f>
        <v>Navarro, Tomás</v>
      </c>
      <c r="G949" s="6" t="str">
        <f t="shared" si="28"/>
        <v>Navarro Tomás</v>
      </c>
      <c r="H949" s="22" t="str">
        <f>IFERROR(VLOOKUP(VLOOKUP(A949,'Sales Order'!A:C,3,FALSE),Employee!A:E,5,FALSE)&amp;" "&amp;VLOOKUP(VLOOKUP(A949,'Sales Order'!A:C,3,FALSE),Employee!A:C,3,FALSE)&amp;" "&amp;VLOOKUP(VLOOKUP(A949,'Sales Order'!A:C,3,FALSE),Employee!A:B,2,FALSE),"Not Specified")</f>
        <v>Mr. Sven Buck</v>
      </c>
      <c r="I949">
        <f>IFERROR(VLOOKUP(VLOOKUP(A949,'Sales Order'!A:C,3,FALSE),Employee!A:J,10,FALSE),"Not Specified")</f>
        <v>0</v>
      </c>
      <c r="J949" t="str">
        <f>VLOOKUP(B949,Product!A:B,2,FALSE)</f>
        <v>Product HMLNI</v>
      </c>
      <c r="K949" t="str">
        <f>VLOOKUP(VLOOKUP(B949,Product!A:D,4,FALSE),Category!A:B,2,FALSE)</f>
        <v>Produce</v>
      </c>
      <c r="L949" s="24">
        <f>IFERROR(VLOOKUP(A949,'Sales Order'!A:D,4,FALSE),"")</f>
        <v>39285</v>
      </c>
      <c r="M949" s="24">
        <f>IFERROR(VLOOKUP(A949,'Sales Order'!A:F,6,FALSE),"")</f>
        <v>39288</v>
      </c>
      <c r="N949" t="str">
        <f>IFERROR(VLOOKUP(VLOOKUP(A949,'Sales Order'!A:G,7,FALSE),Shipper!A:B,2,FALSE),"Not Specified")</f>
        <v>Shipper GVSUA</v>
      </c>
      <c r="O949" t="str">
        <f>IFERROR(VLOOKUP(A949,'Sales Order'!A:I,9,FALSE),"Not Specified")</f>
        <v>Ship to 71-C</v>
      </c>
      <c r="P949" t="str">
        <f>IFERROR(VLOOKUP(A949,'Sales Order'!A:N,14,FALSE),"Not Specified")</f>
        <v>USA</v>
      </c>
      <c r="Q949" t="str">
        <f>VLOOKUP(VLOOKUP(B949,Product!A:C,3,FALSE),Supplier!A:B,2,FALSE)</f>
        <v>Supplier STUAZ</v>
      </c>
      <c r="R949" t="str">
        <f>VLOOKUP(VLOOKUP(B949,Product!A:C,3,FALSE),Supplier!A:I,9,FALSE)</f>
        <v>USA</v>
      </c>
      <c r="S949" t="str">
        <f>IFERROR(IF(VLOOKUP(A949,'Sales Order'!A:H,8,FALSE)&gt;100,"High Freight","Low Freight"),"Not Specified")</f>
        <v>High Freight</v>
      </c>
      <c r="T949">
        <f t="shared" si="29"/>
        <v>1350</v>
      </c>
    </row>
    <row r="950" spans="1:20">
      <c r="A950" s="9">
        <v>10607</v>
      </c>
      <c r="B950" s="6">
        <v>17</v>
      </c>
      <c r="C950" s="6">
        <v>39</v>
      </c>
      <c r="D950" s="6">
        <v>100</v>
      </c>
      <c r="E950" s="18">
        <v>0</v>
      </c>
      <c r="F950" s="6" t="str">
        <f>IFERROR(VLOOKUP(VLOOKUP(A950,'Sales Order'!A:B,2,FALSE),Customer!A:C,3,FALSE),"Not Specified")</f>
        <v>Navarro, Tomás</v>
      </c>
      <c r="G950" s="6" t="str">
        <f t="shared" si="28"/>
        <v>Navarro Tomás</v>
      </c>
      <c r="H950" s="22" t="str">
        <f>IFERROR(VLOOKUP(VLOOKUP(A950,'Sales Order'!A:C,3,FALSE),Employee!A:E,5,FALSE)&amp;" "&amp;VLOOKUP(VLOOKUP(A950,'Sales Order'!A:C,3,FALSE),Employee!A:C,3,FALSE)&amp;" "&amp;VLOOKUP(VLOOKUP(A950,'Sales Order'!A:C,3,FALSE),Employee!A:B,2,FALSE),"Not Specified")</f>
        <v>Mr. Sven Buck</v>
      </c>
      <c r="I950">
        <f>IFERROR(VLOOKUP(VLOOKUP(A950,'Sales Order'!A:C,3,FALSE),Employee!A:J,10,FALSE),"Not Specified")</f>
        <v>0</v>
      </c>
      <c r="J950" t="str">
        <f>VLOOKUP(B950,Product!A:B,2,FALSE)</f>
        <v>Product BLCAX</v>
      </c>
      <c r="K950" t="str">
        <f>VLOOKUP(VLOOKUP(B950,Product!A:D,4,FALSE),Category!A:B,2,FALSE)</f>
        <v>Meat/Poultry</v>
      </c>
      <c r="L950" s="24">
        <f>IFERROR(VLOOKUP(A950,'Sales Order'!A:D,4,FALSE),"")</f>
        <v>39285</v>
      </c>
      <c r="M950" s="24">
        <f>IFERROR(VLOOKUP(A950,'Sales Order'!A:F,6,FALSE),"")</f>
        <v>39288</v>
      </c>
      <c r="N950" t="str">
        <f>IFERROR(VLOOKUP(VLOOKUP(A950,'Sales Order'!A:G,7,FALSE),Shipper!A:B,2,FALSE),"Not Specified")</f>
        <v>Shipper GVSUA</v>
      </c>
      <c r="O950" t="str">
        <f>IFERROR(VLOOKUP(A950,'Sales Order'!A:I,9,FALSE),"Not Specified")</f>
        <v>Ship to 71-C</v>
      </c>
      <c r="P950" t="str">
        <f>IFERROR(VLOOKUP(A950,'Sales Order'!A:N,14,FALSE),"Not Specified")</f>
        <v>USA</v>
      </c>
      <c r="Q950" t="str">
        <f>VLOOKUP(VLOOKUP(B950,Product!A:C,3,FALSE),Supplier!A:B,2,FALSE)</f>
        <v>Supplier GQRCV</v>
      </c>
      <c r="R950" t="str">
        <f>VLOOKUP(VLOOKUP(B950,Product!A:C,3,FALSE),Supplier!A:I,9,FALSE)</f>
        <v>Australia</v>
      </c>
      <c r="S950" t="str">
        <f>IFERROR(IF(VLOOKUP(A950,'Sales Order'!A:H,8,FALSE)&gt;100,"High Freight","Low Freight"),"Not Specified")</f>
        <v>High Freight</v>
      </c>
      <c r="T950">
        <f t="shared" si="29"/>
        <v>3900</v>
      </c>
    </row>
    <row r="951" spans="1:20">
      <c r="A951" s="9">
        <v>10607</v>
      </c>
      <c r="B951" s="6">
        <v>33</v>
      </c>
      <c r="C951" s="6">
        <v>2.5</v>
      </c>
      <c r="D951" s="6">
        <v>14</v>
      </c>
      <c r="E951" s="18">
        <v>0</v>
      </c>
      <c r="F951" s="6" t="str">
        <f>IFERROR(VLOOKUP(VLOOKUP(A951,'Sales Order'!A:B,2,FALSE),Customer!A:C,3,FALSE),"Not Specified")</f>
        <v>Navarro, Tomás</v>
      </c>
      <c r="G951" s="6" t="str">
        <f t="shared" si="28"/>
        <v>Navarro Tomás</v>
      </c>
      <c r="H951" s="22" t="str">
        <f>IFERROR(VLOOKUP(VLOOKUP(A951,'Sales Order'!A:C,3,FALSE),Employee!A:E,5,FALSE)&amp;" "&amp;VLOOKUP(VLOOKUP(A951,'Sales Order'!A:C,3,FALSE),Employee!A:C,3,FALSE)&amp;" "&amp;VLOOKUP(VLOOKUP(A951,'Sales Order'!A:C,3,FALSE),Employee!A:B,2,FALSE),"Not Specified")</f>
        <v>Mr. Sven Buck</v>
      </c>
      <c r="I951">
        <f>IFERROR(VLOOKUP(VLOOKUP(A951,'Sales Order'!A:C,3,FALSE),Employee!A:J,10,FALSE),"Not Specified")</f>
        <v>0</v>
      </c>
      <c r="J951" t="str">
        <f>VLOOKUP(B951,Product!A:B,2,FALSE)</f>
        <v>Product ASTMN</v>
      </c>
      <c r="K951" t="str">
        <f>VLOOKUP(VLOOKUP(B951,Product!A:D,4,FALSE),Category!A:B,2,FALSE)</f>
        <v>Dairy Product</v>
      </c>
      <c r="L951" s="24">
        <f>IFERROR(VLOOKUP(A951,'Sales Order'!A:D,4,FALSE),"")</f>
        <v>39285</v>
      </c>
      <c r="M951" s="24">
        <f>IFERROR(VLOOKUP(A951,'Sales Order'!A:F,6,FALSE),"")</f>
        <v>39288</v>
      </c>
      <c r="N951" t="str">
        <f>IFERROR(VLOOKUP(VLOOKUP(A951,'Sales Order'!A:G,7,FALSE),Shipper!A:B,2,FALSE),"Not Specified")</f>
        <v>Shipper GVSUA</v>
      </c>
      <c r="O951" t="str">
        <f>IFERROR(VLOOKUP(A951,'Sales Order'!A:I,9,FALSE),"Not Specified")</f>
        <v>Ship to 71-C</v>
      </c>
      <c r="P951" t="str">
        <f>IFERROR(VLOOKUP(A951,'Sales Order'!A:N,14,FALSE),"Not Specified")</f>
        <v>USA</v>
      </c>
      <c r="Q951" t="str">
        <f>VLOOKUP(VLOOKUP(B951,Product!A:C,3,FALSE),Supplier!A:B,2,FALSE)</f>
        <v>Supplier NZLIF</v>
      </c>
      <c r="R951" t="str">
        <f>VLOOKUP(VLOOKUP(B951,Product!A:C,3,FALSE),Supplier!A:I,9,FALSE)</f>
        <v>Norway</v>
      </c>
      <c r="S951" t="str">
        <f>IFERROR(IF(VLOOKUP(A951,'Sales Order'!A:H,8,FALSE)&gt;100,"High Freight","Low Freight"),"Not Specified")</f>
        <v>High Freight</v>
      </c>
      <c r="T951">
        <f t="shared" si="29"/>
        <v>35</v>
      </c>
    </row>
    <row r="952" spans="1:20">
      <c r="A952" s="9">
        <v>10607</v>
      </c>
      <c r="B952" s="6">
        <v>40</v>
      </c>
      <c r="C952" s="6">
        <v>18.399999999999999</v>
      </c>
      <c r="D952" s="6">
        <v>42</v>
      </c>
      <c r="E952" s="18">
        <v>0</v>
      </c>
      <c r="F952" s="6" t="str">
        <f>IFERROR(VLOOKUP(VLOOKUP(A952,'Sales Order'!A:B,2,FALSE),Customer!A:C,3,FALSE),"Not Specified")</f>
        <v>Navarro, Tomás</v>
      </c>
      <c r="G952" s="6" t="str">
        <f t="shared" si="28"/>
        <v>Navarro Tomás</v>
      </c>
      <c r="H952" s="22" t="str">
        <f>IFERROR(VLOOKUP(VLOOKUP(A952,'Sales Order'!A:C,3,FALSE),Employee!A:E,5,FALSE)&amp;" "&amp;VLOOKUP(VLOOKUP(A952,'Sales Order'!A:C,3,FALSE),Employee!A:C,3,FALSE)&amp;" "&amp;VLOOKUP(VLOOKUP(A952,'Sales Order'!A:C,3,FALSE),Employee!A:B,2,FALSE),"Not Specified")</f>
        <v>Mr. Sven Buck</v>
      </c>
      <c r="I952">
        <f>IFERROR(VLOOKUP(VLOOKUP(A952,'Sales Order'!A:C,3,FALSE),Employee!A:J,10,FALSE),"Not Specified")</f>
        <v>0</v>
      </c>
      <c r="J952" t="str">
        <f>VLOOKUP(B952,Product!A:B,2,FALSE)</f>
        <v>Product YZIXQ</v>
      </c>
      <c r="K952" t="str">
        <f>VLOOKUP(VLOOKUP(B952,Product!A:D,4,FALSE),Category!A:B,2,FALSE)</f>
        <v>Seafood</v>
      </c>
      <c r="L952" s="24">
        <f>IFERROR(VLOOKUP(A952,'Sales Order'!A:D,4,FALSE),"")</f>
        <v>39285</v>
      </c>
      <c r="M952" s="24">
        <f>IFERROR(VLOOKUP(A952,'Sales Order'!A:F,6,FALSE),"")</f>
        <v>39288</v>
      </c>
      <c r="N952" t="str">
        <f>IFERROR(VLOOKUP(VLOOKUP(A952,'Sales Order'!A:G,7,FALSE),Shipper!A:B,2,FALSE),"Not Specified")</f>
        <v>Shipper GVSUA</v>
      </c>
      <c r="O952" t="str">
        <f>IFERROR(VLOOKUP(A952,'Sales Order'!A:I,9,FALSE),"Not Specified")</f>
        <v>Ship to 71-C</v>
      </c>
      <c r="P952" t="str">
        <f>IFERROR(VLOOKUP(A952,'Sales Order'!A:N,14,FALSE),"Not Specified")</f>
        <v>USA</v>
      </c>
      <c r="Q952" t="str">
        <f>VLOOKUP(VLOOKUP(B952,Product!A:C,3,FALSE),Supplier!A:B,2,FALSE)</f>
        <v>Supplier JDNUG</v>
      </c>
      <c r="R952" t="str">
        <f>VLOOKUP(VLOOKUP(B952,Product!A:C,3,FALSE),Supplier!A:I,9,FALSE)</f>
        <v>USA</v>
      </c>
      <c r="S952" t="str">
        <f>IFERROR(IF(VLOOKUP(A952,'Sales Order'!A:H,8,FALSE)&gt;100,"High Freight","Low Freight"),"Not Specified")</f>
        <v>High Freight</v>
      </c>
      <c r="T952">
        <f t="shared" si="29"/>
        <v>772.8</v>
      </c>
    </row>
    <row r="953" spans="1:20">
      <c r="A953" s="9">
        <v>10607</v>
      </c>
      <c r="B953" s="6">
        <v>72</v>
      </c>
      <c r="C953" s="6">
        <v>34.799999999999997</v>
      </c>
      <c r="D953" s="6">
        <v>12</v>
      </c>
      <c r="E953" s="18">
        <v>0</v>
      </c>
      <c r="F953" s="6" t="str">
        <f>IFERROR(VLOOKUP(VLOOKUP(A953,'Sales Order'!A:B,2,FALSE),Customer!A:C,3,FALSE),"Not Specified")</f>
        <v>Navarro, Tomás</v>
      </c>
      <c r="G953" s="6" t="str">
        <f t="shared" si="28"/>
        <v>Navarro Tomás</v>
      </c>
      <c r="H953" s="22" t="str">
        <f>IFERROR(VLOOKUP(VLOOKUP(A953,'Sales Order'!A:C,3,FALSE),Employee!A:E,5,FALSE)&amp;" "&amp;VLOOKUP(VLOOKUP(A953,'Sales Order'!A:C,3,FALSE),Employee!A:C,3,FALSE)&amp;" "&amp;VLOOKUP(VLOOKUP(A953,'Sales Order'!A:C,3,FALSE),Employee!A:B,2,FALSE),"Not Specified")</f>
        <v>Mr. Sven Buck</v>
      </c>
      <c r="I953">
        <f>IFERROR(VLOOKUP(VLOOKUP(A953,'Sales Order'!A:C,3,FALSE),Employee!A:J,10,FALSE),"Not Specified")</f>
        <v>0</v>
      </c>
      <c r="J953" t="str">
        <f>VLOOKUP(B953,Product!A:B,2,FALSE)</f>
        <v>Product GEEOO</v>
      </c>
      <c r="K953" t="str">
        <f>VLOOKUP(VLOOKUP(B953,Product!A:D,4,FALSE),Category!A:B,2,FALSE)</f>
        <v>Dairy Product</v>
      </c>
      <c r="L953" s="24">
        <f>IFERROR(VLOOKUP(A953,'Sales Order'!A:D,4,FALSE),"")</f>
        <v>39285</v>
      </c>
      <c r="M953" s="24">
        <f>IFERROR(VLOOKUP(A953,'Sales Order'!A:F,6,FALSE),"")</f>
        <v>39288</v>
      </c>
      <c r="N953" t="str">
        <f>IFERROR(VLOOKUP(VLOOKUP(A953,'Sales Order'!A:G,7,FALSE),Shipper!A:B,2,FALSE),"Not Specified")</f>
        <v>Shipper GVSUA</v>
      </c>
      <c r="O953" t="str">
        <f>IFERROR(VLOOKUP(A953,'Sales Order'!A:I,9,FALSE),"Not Specified")</f>
        <v>Ship to 71-C</v>
      </c>
      <c r="P953" t="str">
        <f>IFERROR(VLOOKUP(A953,'Sales Order'!A:N,14,FALSE),"Not Specified")</f>
        <v>USA</v>
      </c>
      <c r="Q953" t="str">
        <f>VLOOKUP(VLOOKUP(B953,Product!A:C,3,FALSE),Supplier!A:B,2,FALSE)</f>
        <v>Supplier KEREV</v>
      </c>
      <c r="R953" t="str">
        <f>VLOOKUP(VLOOKUP(B953,Product!A:C,3,FALSE),Supplier!A:I,9,FALSE)</f>
        <v>Italy</v>
      </c>
      <c r="S953" t="str">
        <f>IFERROR(IF(VLOOKUP(A953,'Sales Order'!A:H,8,FALSE)&gt;100,"High Freight","Low Freight"),"Not Specified")</f>
        <v>High Freight</v>
      </c>
      <c r="T953">
        <f t="shared" si="29"/>
        <v>417.59999999999997</v>
      </c>
    </row>
    <row r="954" spans="1:20">
      <c r="A954" s="9">
        <v>10608</v>
      </c>
      <c r="B954" s="6">
        <v>56</v>
      </c>
      <c r="C954" s="6">
        <v>38</v>
      </c>
      <c r="D954" s="6">
        <v>28</v>
      </c>
      <c r="E954" s="18">
        <v>0</v>
      </c>
      <c r="F954" s="6" t="str">
        <f>IFERROR(VLOOKUP(VLOOKUP(A954,'Sales Order'!A:B,2,FALSE),Customer!A:C,3,FALSE),"Not Specified")</f>
        <v>Wickham, Jim</v>
      </c>
      <c r="G954" s="6" t="str">
        <f t="shared" si="28"/>
        <v>Wickham Jim</v>
      </c>
      <c r="H954" s="22" t="str">
        <f>IFERROR(VLOOKUP(VLOOKUP(A954,'Sales Order'!A:C,3,FALSE),Employee!A:E,5,FALSE)&amp;" "&amp;VLOOKUP(VLOOKUP(A954,'Sales Order'!A:C,3,FALSE),Employee!A:C,3,FALSE)&amp;" "&amp;VLOOKUP(VLOOKUP(A954,'Sales Order'!A:C,3,FALSE),Employee!A:B,2,FALSE),"Not Specified")</f>
        <v>Mrs. Yael Peled</v>
      </c>
      <c r="I954" t="str">
        <f>IFERROR(VLOOKUP(VLOOKUP(A954,'Sales Order'!A:C,3,FALSE),Employee!A:J,10,FALSE),"Not Specified")</f>
        <v>WA</v>
      </c>
      <c r="J954" t="str">
        <f>VLOOKUP(B954,Product!A:B,2,FALSE)</f>
        <v>Product VKCMF</v>
      </c>
      <c r="K954" t="str">
        <f>VLOOKUP(VLOOKUP(B954,Product!A:D,4,FALSE),Category!A:B,2,FALSE)</f>
        <v>Grains/Cereals</v>
      </c>
      <c r="L954" s="24">
        <f>IFERROR(VLOOKUP(A954,'Sales Order'!A:D,4,FALSE),"")</f>
        <v>39286</v>
      </c>
      <c r="M954" s="24">
        <f>IFERROR(VLOOKUP(A954,'Sales Order'!A:F,6,FALSE),"")</f>
        <v>39295</v>
      </c>
      <c r="N954" t="str">
        <f>IFERROR(VLOOKUP(VLOOKUP(A954,'Sales Order'!A:G,7,FALSE),Shipper!A:B,2,FALSE),"Not Specified")</f>
        <v>Shipper ETYNR</v>
      </c>
      <c r="O954" t="str">
        <f>IFERROR(VLOOKUP(A954,'Sales Order'!A:I,9,FALSE),"Not Specified")</f>
        <v>Ship to 79-C</v>
      </c>
      <c r="P954" t="str">
        <f>IFERROR(VLOOKUP(A954,'Sales Order'!A:N,14,FALSE),"Not Specified")</f>
        <v>Germany</v>
      </c>
      <c r="Q954" t="str">
        <f>VLOOKUP(VLOOKUP(B954,Product!A:C,3,FALSE),Supplier!A:B,2,FALSE)</f>
        <v>Supplier ZWZDM</v>
      </c>
      <c r="R954" t="str">
        <f>VLOOKUP(VLOOKUP(B954,Product!A:C,3,FALSE),Supplier!A:I,9,FALSE)</f>
        <v>Italy</v>
      </c>
      <c r="S954" t="str">
        <f>IFERROR(IF(VLOOKUP(A954,'Sales Order'!A:H,8,FALSE)&gt;100,"High Freight","Low Freight"),"Not Specified")</f>
        <v>Low Freight</v>
      </c>
      <c r="T954">
        <f t="shared" si="29"/>
        <v>1064</v>
      </c>
    </row>
    <row r="955" spans="1:20">
      <c r="A955" s="9">
        <v>10609</v>
      </c>
      <c r="B955" s="6">
        <v>1</v>
      </c>
      <c r="C955" s="6">
        <v>18</v>
      </c>
      <c r="D955" s="6">
        <v>3</v>
      </c>
      <c r="E955" s="18">
        <v>0</v>
      </c>
      <c r="F955" s="6" t="str">
        <f>IFERROR(VLOOKUP(VLOOKUP(A955,'Sales Order'!A:B,2,FALSE),Customer!A:C,3,FALSE),"Not Specified")</f>
        <v>Rizaldy, Arif</v>
      </c>
      <c r="G955" s="6" t="str">
        <f t="shared" si="28"/>
        <v>Rizaldy Arif</v>
      </c>
      <c r="H955" s="22" t="str">
        <f>IFERROR(VLOOKUP(VLOOKUP(A955,'Sales Order'!A:C,3,FALSE),Employee!A:E,5,FALSE)&amp;" "&amp;VLOOKUP(VLOOKUP(A955,'Sales Order'!A:C,3,FALSE),Employee!A:C,3,FALSE)&amp;" "&amp;VLOOKUP(VLOOKUP(A955,'Sales Order'!A:C,3,FALSE),Employee!A:B,2,FALSE),"Not Specified")</f>
        <v>Mr. Russell King</v>
      </c>
      <c r="I955">
        <f>IFERROR(VLOOKUP(VLOOKUP(A955,'Sales Order'!A:C,3,FALSE),Employee!A:J,10,FALSE),"Not Specified")</f>
        <v>0</v>
      </c>
      <c r="J955" t="str">
        <f>VLOOKUP(B955,Product!A:B,2,FALSE)</f>
        <v>Product HHYDP</v>
      </c>
      <c r="K955" t="str">
        <f>VLOOKUP(VLOOKUP(B955,Product!A:D,4,FALSE),Category!A:B,2,FALSE)</f>
        <v>Beverages</v>
      </c>
      <c r="L955" s="24">
        <f>IFERROR(VLOOKUP(A955,'Sales Order'!A:D,4,FALSE),"")</f>
        <v>39287</v>
      </c>
      <c r="M955" s="24">
        <f>IFERROR(VLOOKUP(A955,'Sales Order'!A:F,6,FALSE),"")</f>
        <v>39293</v>
      </c>
      <c r="N955" t="str">
        <f>IFERROR(VLOOKUP(VLOOKUP(A955,'Sales Order'!A:G,7,FALSE),Shipper!A:B,2,FALSE),"Not Specified")</f>
        <v>Shipper ETYNR</v>
      </c>
      <c r="O955" t="str">
        <f>IFERROR(VLOOKUP(A955,'Sales Order'!A:I,9,FALSE),"Not Specified")</f>
        <v>Destination SNPXM</v>
      </c>
      <c r="P955" t="str">
        <f>IFERROR(VLOOKUP(A955,'Sales Order'!A:N,14,FALSE),"Not Specified")</f>
        <v>France</v>
      </c>
      <c r="Q955" t="str">
        <f>VLOOKUP(VLOOKUP(B955,Product!A:C,3,FALSE),Supplier!A:B,2,FALSE)</f>
        <v>Supplier SWRXU</v>
      </c>
      <c r="R955" t="str">
        <f>VLOOKUP(VLOOKUP(B955,Product!A:C,3,FALSE),Supplier!A:I,9,FALSE)</f>
        <v>UK</v>
      </c>
      <c r="S955" t="str">
        <f>IFERROR(IF(VLOOKUP(A955,'Sales Order'!A:H,8,FALSE)&gt;100,"High Freight","Low Freight"),"Not Specified")</f>
        <v>Low Freight</v>
      </c>
      <c r="T955">
        <f t="shared" si="29"/>
        <v>54</v>
      </c>
    </row>
    <row r="956" spans="1:20">
      <c r="A956" s="9">
        <v>10609</v>
      </c>
      <c r="B956" s="6">
        <v>10</v>
      </c>
      <c r="C956" s="6">
        <v>31</v>
      </c>
      <c r="D956" s="6">
        <v>10</v>
      </c>
      <c r="E956" s="18">
        <v>0</v>
      </c>
      <c r="F956" s="6" t="str">
        <f>IFERROR(VLOOKUP(VLOOKUP(A956,'Sales Order'!A:B,2,FALSE),Customer!A:C,3,FALSE),"Not Specified")</f>
        <v>Rizaldy, Arif</v>
      </c>
      <c r="G956" s="6" t="str">
        <f t="shared" si="28"/>
        <v>Rizaldy Arif</v>
      </c>
      <c r="H956" s="22" t="str">
        <f>IFERROR(VLOOKUP(VLOOKUP(A956,'Sales Order'!A:C,3,FALSE),Employee!A:E,5,FALSE)&amp;" "&amp;VLOOKUP(VLOOKUP(A956,'Sales Order'!A:C,3,FALSE),Employee!A:C,3,FALSE)&amp;" "&amp;VLOOKUP(VLOOKUP(A956,'Sales Order'!A:C,3,FALSE),Employee!A:B,2,FALSE),"Not Specified")</f>
        <v>Mr. Russell King</v>
      </c>
      <c r="I956">
        <f>IFERROR(VLOOKUP(VLOOKUP(A956,'Sales Order'!A:C,3,FALSE),Employee!A:J,10,FALSE),"Not Specified")</f>
        <v>0</v>
      </c>
      <c r="J956" t="str">
        <f>VLOOKUP(B956,Product!A:B,2,FALSE)</f>
        <v>Product YHXGE</v>
      </c>
      <c r="K956" t="str">
        <f>VLOOKUP(VLOOKUP(B956,Product!A:D,4,FALSE),Category!A:B,2,FALSE)</f>
        <v>Seafood</v>
      </c>
      <c r="L956" s="24">
        <f>IFERROR(VLOOKUP(A956,'Sales Order'!A:D,4,FALSE),"")</f>
        <v>39287</v>
      </c>
      <c r="M956" s="24">
        <f>IFERROR(VLOOKUP(A956,'Sales Order'!A:F,6,FALSE),"")</f>
        <v>39293</v>
      </c>
      <c r="N956" t="str">
        <f>IFERROR(VLOOKUP(VLOOKUP(A956,'Sales Order'!A:G,7,FALSE),Shipper!A:B,2,FALSE),"Not Specified")</f>
        <v>Shipper ETYNR</v>
      </c>
      <c r="O956" t="str">
        <f>IFERROR(VLOOKUP(A956,'Sales Order'!A:I,9,FALSE),"Not Specified")</f>
        <v>Destination SNPXM</v>
      </c>
      <c r="P956" t="str">
        <f>IFERROR(VLOOKUP(A956,'Sales Order'!A:N,14,FALSE),"Not Specified")</f>
        <v>France</v>
      </c>
      <c r="Q956" t="str">
        <f>VLOOKUP(VLOOKUP(B956,Product!A:C,3,FALSE),Supplier!A:B,2,FALSE)</f>
        <v>Supplier QOVFD</v>
      </c>
      <c r="R956" t="str">
        <f>VLOOKUP(VLOOKUP(B956,Product!A:C,3,FALSE),Supplier!A:I,9,FALSE)</f>
        <v>Japan</v>
      </c>
      <c r="S956" t="str">
        <f>IFERROR(IF(VLOOKUP(A956,'Sales Order'!A:H,8,FALSE)&gt;100,"High Freight","Low Freight"),"Not Specified")</f>
        <v>Low Freight</v>
      </c>
      <c r="T956">
        <f t="shared" si="29"/>
        <v>310</v>
      </c>
    </row>
    <row r="957" spans="1:20">
      <c r="A957" s="9">
        <v>10609</v>
      </c>
      <c r="B957" s="6">
        <v>21</v>
      </c>
      <c r="C957" s="6">
        <v>10</v>
      </c>
      <c r="D957" s="6">
        <v>6</v>
      </c>
      <c r="E957" s="18">
        <v>0</v>
      </c>
      <c r="F957" s="6" t="str">
        <f>IFERROR(VLOOKUP(VLOOKUP(A957,'Sales Order'!A:B,2,FALSE),Customer!A:C,3,FALSE),"Not Specified")</f>
        <v>Rizaldy, Arif</v>
      </c>
      <c r="G957" s="6" t="str">
        <f t="shared" si="28"/>
        <v>Rizaldy Arif</v>
      </c>
      <c r="H957" s="22" t="str">
        <f>IFERROR(VLOOKUP(VLOOKUP(A957,'Sales Order'!A:C,3,FALSE),Employee!A:E,5,FALSE)&amp;" "&amp;VLOOKUP(VLOOKUP(A957,'Sales Order'!A:C,3,FALSE),Employee!A:C,3,FALSE)&amp;" "&amp;VLOOKUP(VLOOKUP(A957,'Sales Order'!A:C,3,FALSE),Employee!A:B,2,FALSE),"Not Specified")</f>
        <v>Mr. Russell King</v>
      </c>
      <c r="I957">
        <f>IFERROR(VLOOKUP(VLOOKUP(A957,'Sales Order'!A:C,3,FALSE),Employee!A:J,10,FALSE),"Not Specified")</f>
        <v>0</v>
      </c>
      <c r="J957" t="str">
        <f>VLOOKUP(B957,Product!A:B,2,FALSE)</f>
        <v>Product VJZZH</v>
      </c>
      <c r="K957" t="str">
        <f>VLOOKUP(VLOOKUP(B957,Product!A:D,4,FALSE),Category!A:B,2,FALSE)</f>
        <v>Confections</v>
      </c>
      <c r="L957" s="24">
        <f>IFERROR(VLOOKUP(A957,'Sales Order'!A:D,4,FALSE),"")</f>
        <v>39287</v>
      </c>
      <c r="M957" s="24">
        <f>IFERROR(VLOOKUP(A957,'Sales Order'!A:F,6,FALSE),"")</f>
        <v>39293</v>
      </c>
      <c r="N957" t="str">
        <f>IFERROR(VLOOKUP(VLOOKUP(A957,'Sales Order'!A:G,7,FALSE),Shipper!A:B,2,FALSE),"Not Specified")</f>
        <v>Shipper ETYNR</v>
      </c>
      <c r="O957" t="str">
        <f>IFERROR(VLOOKUP(A957,'Sales Order'!A:I,9,FALSE),"Not Specified")</f>
        <v>Destination SNPXM</v>
      </c>
      <c r="P957" t="str">
        <f>IFERROR(VLOOKUP(A957,'Sales Order'!A:N,14,FALSE),"Not Specified")</f>
        <v>France</v>
      </c>
      <c r="Q957" t="str">
        <f>VLOOKUP(VLOOKUP(B957,Product!A:C,3,FALSE),Supplier!A:B,2,FALSE)</f>
        <v>Supplier BWGYE</v>
      </c>
      <c r="R957" t="str">
        <f>VLOOKUP(VLOOKUP(B957,Product!A:C,3,FALSE),Supplier!A:I,9,FALSE)</f>
        <v>UK</v>
      </c>
      <c r="S957" t="str">
        <f>IFERROR(IF(VLOOKUP(A957,'Sales Order'!A:H,8,FALSE)&gt;100,"High Freight","Low Freight"),"Not Specified")</f>
        <v>Low Freight</v>
      </c>
      <c r="T957">
        <f t="shared" si="29"/>
        <v>60</v>
      </c>
    </row>
    <row r="958" spans="1:20">
      <c r="A958" s="9">
        <v>10610</v>
      </c>
      <c r="B958" s="6">
        <v>36</v>
      </c>
      <c r="C958" s="6">
        <v>19</v>
      </c>
      <c r="D958" s="6">
        <v>21</v>
      </c>
      <c r="E958" s="18">
        <v>0.25</v>
      </c>
      <c r="F958" s="6" t="str">
        <f>IFERROR(VLOOKUP(VLOOKUP(A958,'Sales Order'!A:B,2,FALSE),Customer!A:C,3,FALSE),"Not Specified")</f>
        <v>Litton, Tim</v>
      </c>
      <c r="G958" s="6" t="str">
        <f t="shared" si="28"/>
        <v>Litton Tim</v>
      </c>
      <c r="H958" s="22" t="str">
        <f>IFERROR(VLOOKUP(VLOOKUP(A958,'Sales Order'!A:C,3,FALSE),Employee!A:E,5,FALSE)&amp;" "&amp;VLOOKUP(VLOOKUP(A958,'Sales Order'!A:C,3,FALSE),Employee!A:C,3,FALSE)&amp;" "&amp;VLOOKUP(VLOOKUP(A958,'Sales Order'!A:C,3,FALSE),Employee!A:B,2,FALSE),"Not Specified")</f>
        <v>Ms. Maria Cameron</v>
      </c>
      <c r="I958" t="str">
        <f>IFERROR(VLOOKUP(VLOOKUP(A958,'Sales Order'!A:C,3,FALSE),Employee!A:J,10,FALSE),"Not Specified")</f>
        <v>WA</v>
      </c>
      <c r="J958" t="str">
        <f>VLOOKUP(B958,Product!A:B,2,FALSE)</f>
        <v>Product GMKIJ</v>
      </c>
      <c r="K958" t="str">
        <f>VLOOKUP(VLOOKUP(B958,Product!A:D,4,FALSE),Category!A:B,2,FALSE)</f>
        <v>Seafood</v>
      </c>
      <c r="L958" s="24">
        <f>IFERROR(VLOOKUP(A958,'Sales Order'!A:D,4,FALSE),"")</f>
        <v>39288</v>
      </c>
      <c r="M958" s="24">
        <f>IFERROR(VLOOKUP(A958,'Sales Order'!A:F,6,FALSE),"")</f>
        <v>39300</v>
      </c>
      <c r="N958" t="str">
        <f>IFERROR(VLOOKUP(VLOOKUP(A958,'Sales Order'!A:G,7,FALSE),Shipper!A:B,2,FALSE),"Not Specified")</f>
        <v>Shipper GVSUA</v>
      </c>
      <c r="O958" t="str">
        <f>IFERROR(VLOOKUP(A958,'Sales Order'!A:I,9,FALSE),"Not Specified")</f>
        <v>Ship to 41-C</v>
      </c>
      <c r="P958" t="str">
        <f>IFERROR(VLOOKUP(A958,'Sales Order'!A:N,14,FALSE),"Not Specified")</f>
        <v>France</v>
      </c>
      <c r="Q958" t="str">
        <f>VLOOKUP(VLOOKUP(B958,Product!A:C,3,FALSE),Supplier!A:B,2,FALSE)</f>
        <v>Supplier QZGUF</v>
      </c>
      <c r="R958" t="str">
        <f>VLOOKUP(VLOOKUP(B958,Product!A:C,3,FALSE),Supplier!A:I,9,FALSE)</f>
        <v>Sweden</v>
      </c>
      <c r="S958" t="str">
        <f>IFERROR(IF(VLOOKUP(A958,'Sales Order'!A:H,8,FALSE)&gt;100,"High Freight","Low Freight"),"Not Specified")</f>
        <v>Low Freight</v>
      </c>
      <c r="T958">
        <f t="shared" si="29"/>
        <v>299.25</v>
      </c>
    </row>
    <row r="959" spans="1:20">
      <c r="A959" s="9">
        <v>10611</v>
      </c>
      <c r="B959" s="6">
        <v>1</v>
      </c>
      <c r="C959" s="6">
        <v>18</v>
      </c>
      <c r="D959" s="6">
        <v>6</v>
      </c>
      <c r="E959" s="18">
        <v>0</v>
      </c>
      <c r="F959" s="6" t="str">
        <f>IFERROR(VLOOKUP(VLOOKUP(A959,'Sales Order'!A:B,2,FALSE),Customer!A:C,3,FALSE),"Not Specified")</f>
        <v>Conn, Steve</v>
      </c>
      <c r="G959" s="6" t="str">
        <f t="shared" si="28"/>
        <v>Conn Steve</v>
      </c>
      <c r="H959" s="22" t="str">
        <f>IFERROR(VLOOKUP(VLOOKUP(A959,'Sales Order'!A:C,3,FALSE),Employee!A:E,5,FALSE)&amp;" "&amp;VLOOKUP(VLOOKUP(A959,'Sales Order'!A:C,3,FALSE),Employee!A:C,3,FALSE)&amp;" "&amp;VLOOKUP(VLOOKUP(A959,'Sales Order'!A:C,3,FALSE),Employee!A:B,2,FALSE),"Not Specified")</f>
        <v>Mr. Paul Suurs</v>
      </c>
      <c r="I959">
        <f>IFERROR(VLOOKUP(VLOOKUP(A959,'Sales Order'!A:C,3,FALSE),Employee!A:J,10,FALSE),"Not Specified")</f>
        <v>0</v>
      </c>
      <c r="J959" t="str">
        <f>VLOOKUP(B959,Product!A:B,2,FALSE)</f>
        <v>Product HHYDP</v>
      </c>
      <c r="K959" t="str">
        <f>VLOOKUP(VLOOKUP(B959,Product!A:D,4,FALSE),Category!A:B,2,FALSE)</f>
        <v>Beverages</v>
      </c>
      <c r="L959" s="24">
        <f>IFERROR(VLOOKUP(A959,'Sales Order'!A:D,4,FALSE),"")</f>
        <v>39288</v>
      </c>
      <c r="M959" s="24">
        <f>IFERROR(VLOOKUP(A959,'Sales Order'!A:F,6,FALSE),"")</f>
        <v>39295</v>
      </c>
      <c r="N959" t="str">
        <f>IFERROR(VLOOKUP(VLOOKUP(A959,'Sales Order'!A:G,7,FALSE),Shipper!A:B,2,FALSE),"Not Specified")</f>
        <v>Shipper ETYNR</v>
      </c>
      <c r="O959" t="str">
        <f>IFERROR(VLOOKUP(A959,'Sales Order'!A:I,9,FALSE),"Not Specified")</f>
        <v>Ship to 91-B</v>
      </c>
      <c r="P959" t="str">
        <f>IFERROR(VLOOKUP(A959,'Sales Order'!A:N,14,FALSE),"Not Specified")</f>
        <v>Poland</v>
      </c>
      <c r="Q959" t="str">
        <f>VLOOKUP(VLOOKUP(B959,Product!A:C,3,FALSE),Supplier!A:B,2,FALSE)</f>
        <v>Supplier SWRXU</v>
      </c>
      <c r="R959" t="str">
        <f>VLOOKUP(VLOOKUP(B959,Product!A:C,3,FALSE),Supplier!A:I,9,FALSE)</f>
        <v>UK</v>
      </c>
      <c r="S959" t="str">
        <f>IFERROR(IF(VLOOKUP(A959,'Sales Order'!A:H,8,FALSE)&gt;100,"High Freight","Low Freight"),"Not Specified")</f>
        <v>Low Freight</v>
      </c>
      <c r="T959">
        <f t="shared" si="29"/>
        <v>108</v>
      </c>
    </row>
    <row r="960" spans="1:20">
      <c r="A960" s="9">
        <v>10611</v>
      </c>
      <c r="B960" s="6">
        <v>2</v>
      </c>
      <c r="C960" s="6">
        <v>19</v>
      </c>
      <c r="D960" s="6">
        <v>10</v>
      </c>
      <c r="E960" s="18">
        <v>0</v>
      </c>
      <c r="F960" s="6" t="str">
        <f>IFERROR(VLOOKUP(VLOOKUP(A960,'Sales Order'!A:B,2,FALSE),Customer!A:C,3,FALSE),"Not Specified")</f>
        <v>Conn, Steve</v>
      </c>
      <c r="G960" s="6" t="str">
        <f t="shared" si="28"/>
        <v>Conn Steve</v>
      </c>
      <c r="H960" s="22" t="str">
        <f>IFERROR(VLOOKUP(VLOOKUP(A960,'Sales Order'!A:C,3,FALSE),Employee!A:E,5,FALSE)&amp;" "&amp;VLOOKUP(VLOOKUP(A960,'Sales Order'!A:C,3,FALSE),Employee!A:C,3,FALSE)&amp;" "&amp;VLOOKUP(VLOOKUP(A960,'Sales Order'!A:C,3,FALSE),Employee!A:B,2,FALSE),"Not Specified")</f>
        <v>Mr. Paul Suurs</v>
      </c>
      <c r="I960">
        <f>IFERROR(VLOOKUP(VLOOKUP(A960,'Sales Order'!A:C,3,FALSE),Employee!A:J,10,FALSE),"Not Specified")</f>
        <v>0</v>
      </c>
      <c r="J960" t="str">
        <f>VLOOKUP(B960,Product!A:B,2,FALSE)</f>
        <v>Product RECZE</v>
      </c>
      <c r="K960" t="str">
        <f>VLOOKUP(VLOOKUP(B960,Product!A:D,4,FALSE),Category!A:B,2,FALSE)</f>
        <v>Beverages</v>
      </c>
      <c r="L960" s="24">
        <f>IFERROR(VLOOKUP(A960,'Sales Order'!A:D,4,FALSE),"")</f>
        <v>39288</v>
      </c>
      <c r="M960" s="24">
        <f>IFERROR(VLOOKUP(A960,'Sales Order'!A:F,6,FALSE),"")</f>
        <v>39295</v>
      </c>
      <c r="N960" t="str">
        <f>IFERROR(VLOOKUP(VLOOKUP(A960,'Sales Order'!A:G,7,FALSE),Shipper!A:B,2,FALSE),"Not Specified")</f>
        <v>Shipper ETYNR</v>
      </c>
      <c r="O960" t="str">
        <f>IFERROR(VLOOKUP(A960,'Sales Order'!A:I,9,FALSE),"Not Specified")</f>
        <v>Ship to 91-B</v>
      </c>
      <c r="P960" t="str">
        <f>IFERROR(VLOOKUP(A960,'Sales Order'!A:N,14,FALSE),"Not Specified")</f>
        <v>Poland</v>
      </c>
      <c r="Q960" t="str">
        <f>VLOOKUP(VLOOKUP(B960,Product!A:C,3,FALSE),Supplier!A:B,2,FALSE)</f>
        <v>Supplier SWRXU</v>
      </c>
      <c r="R960" t="str">
        <f>VLOOKUP(VLOOKUP(B960,Product!A:C,3,FALSE),Supplier!A:I,9,FALSE)</f>
        <v>UK</v>
      </c>
      <c r="S960" t="str">
        <f>IFERROR(IF(VLOOKUP(A960,'Sales Order'!A:H,8,FALSE)&gt;100,"High Freight","Low Freight"),"Not Specified")</f>
        <v>Low Freight</v>
      </c>
      <c r="T960">
        <f t="shared" si="29"/>
        <v>190</v>
      </c>
    </row>
    <row r="961" spans="1:20">
      <c r="A961" s="9">
        <v>10611</v>
      </c>
      <c r="B961" s="6">
        <v>60</v>
      </c>
      <c r="C961" s="6">
        <v>34</v>
      </c>
      <c r="D961" s="6">
        <v>15</v>
      </c>
      <c r="E961" s="18">
        <v>0</v>
      </c>
      <c r="F961" s="6" t="str">
        <f>IFERROR(VLOOKUP(VLOOKUP(A961,'Sales Order'!A:B,2,FALSE),Customer!A:C,3,FALSE),"Not Specified")</f>
        <v>Conn, Steve</v>
      </c>
      <c r="G961" s="6" t="str">
        <f t="shared" si="28"/>
        <v>Conn Steve</v>
      </c>
      <c r="H961" s="22" t="str">
        <f>IFERROR(VLOOKUP(VLOOKUP(A961,'Sales Order'!A:C,3,FALSE),Employee!A:E,5,FALSE)&amp;" "&amp;VLOOKUP(VLOOKUP(A961,'Sales Order'!A:C,3,FALSE),Employee!A:C,3,FALSE)&amp;" "&amp;VLOOKUP(VLOOKUP(A961,'Sales Order'!A:C,3,FALSE),Employee!A:B,2,FALSE),"Not Specified")</f>
        <v>Mr. Paul Suurs</v>
      </c>
      <c r="I961">
        <f>IFERROR(VLOOKUP(VLOOKUP(A961,'Sales Order'!A:C,3,FALSE),Employee!A:J,10,FALSE),"Not Specified")</f>
        <v>0</v>
      </c>
      <c r="J961" t="str">
        <f>VLOOKUP(B961,Product!A:B,2,FALSE)</f>
        <v>Product WHBYK</v>
      </c>
      <c r="K961" t="str">
        <f>VLOOKUP(VLOOKUP(B961,Product!A:D,4,FALSE),Category!A:B,2,FALSE)</f>
        <v>Dairy Product</v>
      </c>
      <c r="L961" s="24">
        <f>IFERROR(VLOOKUP(A961,'Sales Order'!A:D,4,FALSE),"")</f>
        <v>39288</v>
      </c>
      <c r="M961" s="24">
        <f>IFERROR(VLOOKUP(A961,'Sales Order'!A:F,6,FALSE),"")</f>
        <v>39295</v>
      </c>
      <c r="N961" t="str">
        <f>IFERROR(VLOOKUP(VLOOKUP(A961,'Sales Order'!A:G,7,FALSE),Shipper!A:B,2,FALSE),"Not Specified")</f>
        <v>Shipper ETYNR</v>
      </c>
      <c r="O961" t="str">
        <f>IFERROR(VLOOKUP(A961,'Sales Order'!A:I,9,FALSE),"Not Specified")</f>
        <v>Ship to 91-B</v>
      </c>
      <c r="P961" t="str">
        <f>IFERROR(VLOOKUP(A961,'Sales Order'!A:N,14,FALSE),"Not Specified")</f>
        <v>Poland</v>
      </c>
      <c r="Q961" t="str">
        <f>VLOOKUP(VLOOKUP(B961,Product!A:C,3,FALSE),Supplier!A:B,2,FALSE)</f>
        <v>Supplier OAVQT</v>
      </c>
      <c r="R961" t="str">
        <f>VLOOKUP(VLOOKUP(B961,Product!A:C,3,FALSE),Supplier!A:I,9,FALSE)</f>
        <v>France</v>
      </c>
      <c r="S961" t="str">
        <f>IFERROR(IF(VLOOKUP(A961,'Sales Order'!A:H,8,FALSE)&gt;100,"High Freight","Low Freight"),"Not Specified")</f>
        <v>Low Freight</v>
      </c>
      <c r="T961">
        <f t="shared" si="29"/>
        <v>510</v>
      </c>
    </row>
    <row r="962" spans="1:20">
      <c r="A962" s="9">
        <v>10612</v>
      </c>
      <c r="B962" s="6">
        <v>10</v>
      </c>
      <c r="C962" s="6">
        <v>31</v>
      </c>
      <c r="D962" s="6">
        <v>70</v>
      </c>
      <c r="E962" s="18">
        <v>0</v>
      </c>
      <c r="F962" s="6" t="str">
        <f>IFERROR(VLOOKUP(VLOOKUP(A962,'Sales Order'!A:B,2,FALSE),Customer!A:C,3,FALSE),"Not Specified")</f>
        <v>Navarro, Tomás</v>
      </c>
      <c r="G962" s="6" t="str">
        <f t="shared" si="28"/>
        <v>Navarro Tomás</v>
      </c>
      <c r="H962" s="22" t="str">
        <f>IFERROR(VLOOKUP(VLOOKUP(A962,'Sales Order'!A:C,3,FALSE),Employee!A:E,5,FALSE)&amp;" "&amp;VLOOKUP(VLOOKUP(A962,'Sales Order'!A:C,3,FALSE),Employee!A:C,3,FALSE)&amp;" "&amp;VLOOKUP(VLOOKUP(A962,'Sales Order'!A:C,3,FALSE),Employee!A:B,2,FALSE),"Not Specified")</f>
        <v>Ms. Sara Davis</v>
      </c>
      <c r="I962" t="str">
        <f>IFERROR(VLOOKUP(VLOOKUP(A962,'Sales Order'!A:C,3,FALSE),Employee!A:J,10,FALSE),"Not Specified")</f>
        <v>WA</v>
      </c>
      <c r="J962" t="str">
        <f>VLOOKUP(B962,Product!A:B,2,FALSE)</f>
        <v>Product YHXGE</v>
      </c>
      <c r="K962" t="str">
        <f>VLOOKUP(VLOOKUP(B962,Product!A:D,4,FALSE),Category!A:B,2,FALSE)</f>
        <v>Seafood</v>
      </c>
      <c r="L962" s="24">
        <f>IFERROR(VLOOKUP(A962,'Sales Order'!A:D,4,FALSE),"")</f>
        <v>39291</v>
      </c>
      <c r="M962" s="24">
        <f>IFERROR(VLOOKUP(A962,'Sales Order'!A:F,6,FALSE),"")</f>
        <v>39295</v>
      </c>
      <c r="N962" t="str">
        <f>IFERROR(VLOOKUP(VLOOKUP(A962,'Sales Order'!A:G,7,FALSE),Shipper!A:B,2,FALSE),"Not Specified")</f>
        <v>Shipper ETYNR</v>
      </c>
      <c r="O962" t="str">
        <f>IFERROR(VLOOKUP(A962,'Sales Order'!A:I,9,FALSE),"Not Specified")</f>
        <v>Ship to 71-A</v>
      </c>
      <c r="P962" t="str">
        <f>IFERROR(VLOOKUP(A962,'Sales Order'!A:N,14,FALSE),"Not Specified")</f>
        <v>USA</v>
      </c>
      <c r="Q962" t="str">
        <f>VLOOKUP(VLOOKUP(B962,Product!A:C,3,FALSE),Supplier!A:B,2,FALSE)</f>
        <v>Supplier QOVFD</v>
      </c>
      <c r="R962" t="str">
        <f>VLOOKUP(VLOOKUP(B962,Product!A:C,3,FALSE),Supplier!A:I,9,FALSE)</f>
        <v>Japan</v>
      </c>
      <c r="S962" t="str">
        <f>IFERROR(IF(VLOOKUP(A962,'Sales Order'!A:H,8,FALSE)&gt;100,"High Freight","Low Freight"),"Not Specified")</f>
        <v>High Freight</v>
      </c>
      <c r="T962">
        <f t="shared" si="29"/>
        <v>2170</v>
      </c>
    </row>
    <row r="963" spans="1:20">
      <c r="A963" s="9">
        <v>10612</v>
      </c>
      <c r="B963" s="6">
        <v>36</v>
      </c>
      <c r="C963" s="6">
        <v>19</v>
      </c>
      <c r="D963" s="6">
        <v>55</v>
      </c>
      <c r="E963" s="18">
        <v>0</v>
      </c>
      <c r="F963" s="6" t="str">
        <f>IFERROR(VLOOKUP(VLOOKUP(A963,'Sales Order'!A:B,2,FALSE),Customer!A:C,3,FALSE),"Not Specified")</f>
        <v>Navarro, Tomás</v>
      </c>
      <c r="G963" s="6" t="str">
        <f t="shared" ref="G963:G1026" si="30">SUBSTITUTE(F963,",","",1)</f>
        <v>Navarro Tomás</v>
      </c>
      <c r="H963" s="22" t="str">
        <f>IFERROR(VLOOKUP(VLOOKUP(A963,'Sales Order'!A:C,3,FALSE),Employee!A:E,5,FALSE)&amp;" "&amp;VLOOKUP(VLOOKUP(A963,'Sales Order'!A:C,3,FALSE),Employee!A:C,3,FALSE)&amp;" "&amp;VLOOKUP(VLOOKUP(A963,'Sales Order'!A:C,3,FALSE),Employee!A:B,2,FALSE),"Not Specified")</f>
        <v>Ms. Sara Davis</v>
      </c>
      <c r="I963" t="str">
        <f>IFERROR(VLOOKUP(VLOOKUP(A963,'Sales Order'!A:C,3,FALSE),Employee!A:J,10,FALSE),"Not Specified")</f>
        <v>WA</v>
      </c>
      <c r="J963" t="str">
        <f>VLOOKUP(B963,Product!A:B,2,FALSE)</f>
        <v>Product GMKIJ</v>
      </c>
      <c r="K963" t="str">
        <f>VLOOKUP(VLOOKUP(B963,Product!A:D,4,FALSE),Category!A:B,2,FALSE)</f>
        <v>Seafood</v>
      </c>
      <c r="L963" s="24">
        <f>IFERROR(VLOOKUP(A963,'Sales Order'!A:D,4,FALSE),"")</f>
        <v>39291</v>
      </c>
      <c r="M963" s="24">
        <f>IFERROR(VLOOKUP(A963,'Sales Order'!A:F,6,FALSE),"")</f>
        <v>39295</v>
      </c>
      <c r="N963" t="str">
        <f>IFERROR(VLOOKUP(VLOOKUP(A963,'Sales Order'!A:G,7,FALSE),Shipper!A:B,2,FALSE),"Not Specified")</f>
        <v>Shipper ETYNR</v>
      </c>
      <c r="O963" t="str">
        <f>IFERROR(VLOOKUP(A963,'Sales Order'!A:I,9,FALSE),"Not Specified")</f>
        <v>Ship to 71-A</v>
      </c>
      <c r="P963" t="str">
        <f>IFERROR(VLOOKUP(A963,'Sales Order'!A:N,14,FALSE),"Not Specified")</f>
        <v>USA</v>
      </c>
      <c r="Q963" t="str">
        <f>VLOOKUP(VLOOKUP(B963,Product!A:C,3,FALSE),Supplier!A:B,2,FALSE)</f>
        <v>Supplier QZGUF</v>
      </c>
      <c r="R963" t="str">
        <f>VLOOKUP(VLOOKUP(B963,Product!A:C,3,FALSE),Supplier!A:I,9,FALSE)</f>
        <v>Sweden</v>
      </c>
      <c r="S963" t="str">
        <f>IFERROR(IF(VLOOKUP(A963,'Sales Order'!A:H,8,FALSE)&gt;100,"High Freight","Low Freight"),"Not Specified")</f>
        <v>High Freight</v>
      </c>
      <c r="T963">
        <f t="shared" ref="T963:T1026" si="31">C963*D963*(1-E963)</f>
        <v>1045</v>
      </c>
    </row>
    <row r="964" spans="1:20">
      <c r="A964" s="9">
        <v>10612</v>
      </c>
      <c r="B964" s="6">
        <v>49</v>
      </c>
      <c r="C964" s="6">
        <v>20</v>
      </c>
      <c r="D964" s="6">
        <v>18</v>
      </c>
      <c r="E964" s="18">
        <v>0</v>
      </c>
      <c r="F964" s="6" t="str">
        <f>IFERROR(VLOOKUP(VLOOKUP(A964,'Sales Order'!A:B,2,FALSE),Customer!A:C,3,FALSE),"Not Specified")</f>
        <v>Navarro, Tomás</v>
      </c>
      <c r="G964" s="6" t="str">
        <f t="shared" si="30"/>
        <v>Navarro Tomás</v>
      </c>
      <c r="H964" s="22" t="str">
        <f>IFERROR(VLOOKUP(VLOOKUP(A964,'Sales Order'!A:C,3,FALSE),Employee!A:E,5,FALSE)&amp;" "&amp;VLOOKUP(VLOOKUP(A964,'Sales Order'!A:C,3,FALSE),Employee!A:C,3,FALSE)&amp;" "&amp;VLOOKUP(VLOOKUP(A964,'Sales Order'!A:C,3,FALSE),Employee!A:B,2,FALSE),"Not Specified")</f>
        <v>Ms. Sara Davis</v>
      </c>
      <c r="I964" t="str">
        <f>IFERROR(VLOOKUP(VLOOKUP(A964,'Sales Order'!A:C,3,FALSE),Employee!A:J,10,FALSE),"Not Specified")</f>
        <v>WA</v>
      </c>
      <c r="J964" t="str">
        <f>VLOOKUP(B964,Product!A:B,2,FALSE)</f>
        <v>Product FPYPN</v>
      </c>
      <c r="K964" t="str">
        <f>VLOOKUP(VLOOKUP(B964,Product!A:D,4,FALSE),Category!A:B,2,FALSE)</f>
        <v>Confections</v>
      </c>
      <c r="L964" s="24">
        <f>IFERROR(VLOOKUP(A964,'Sales Order'!A:D,4,FALSE),"")</f>
        <v>39291</v>
      </c>
      <c r="M964" s="24">
        <f>IFERROR(VLOOKUP(A964,'Sales Order'!A:F,6,FALSE),"")</f>
        <v>39295</v>
      </c>
      <c r="N964" t="str">
        <f>IFERROR(VLOOKUP(VLOOKUP(A964,'Sales Order'!A:G,7,FALSE),Shipper!A:B,2,FALSE),"Not Specified")</f>
        <v>Shipper ETYNR</v>
      </c>
      <c r="O964" t="str">
        <f>IFERROR(VLOOKUP(A964,'Sales Order'!A:I,9,FALSE),"Not Specified")</f>
        <v>Ship to 71-A</v>
      </c>
      <c r="P964" t="str">
        <f>IFERROR(VLOOKUP(A964,'Sales Order'!A:N,14,FALSE),"Not Specified")</f>
        <v>USA</v>
      </c>
      <c r="Q964" t="str">
        <f>VLOOKUP(VLOOKUP(B964,Product!A:C,3,FALSE),Supplier!A:B,2,FALSE)</f>
        <v>Supplier ELCRN</v>
      </c>
      <c r="R964" t="str">
        <f>VLOOKUP(VLOOKUP(B964,Product!A:C,3,FALSE),Supplier!A:I,9,FALSE)</f>
        <v>Finland</v>
      </c>
      <c r="S964" t="str">
        <f>IFERROR(IF(VLOOKUP(A964,'Sales Order'!A:H,8,FALSE)&gt;100,"High Freight","Low Freight"),"Not Specified")</f>
        <v>High Freight</v>
      </c>
      <c r="T964">
        <f t="shared" si="31"/>
        <v>360</v>
      </c>
    </row>
    <row r="965" spans="1:20">
      <c r="A965" s="9">
        <v>10612</v>
      </c>
      <c r="B965" s="6">
        <v>60</v>
      </c>
      <c r="C965" s="6">
        <v>34</v>
      </c>
      <c r="D965" s="6">
        <v>40</v>
      </c>
      <c r="E965" s="18">
        <v>0</v>
      </c>
      <c r="F965" s="6" t="str">
        <f>IFERROR(VLOOKUP(VLOOKUP(A965,'Sales Order'!A:B,2,FALSE),Customer!A:C,3,FALSE),"Not Specified")</f>
        <v>Navarro, Tomás</v>
      </c>
      <c r="G965" s="6" t="str">
        <f t="shared" si="30"/>
        <v>Navarro Tomás</v>
      </c>
      <c r="H965" s="22" t="str">
        <f>IFERROR(VLOOKUP(VLOOKUP(A965,'Sales Order'!A:C,3,FALSE),Employee!A:E,5,FALSE)&amp;" "&amp;VLOOKUP(VLOOKUP(A965,'Sales Order'!A:C,3,FALSE),Employee!A:C,3,FALSE)&amp;" "&amp;VLOOKUP(VLOOKUP(A965,'Sales Order'!A:C,3,FALSE),Employee!A:B,2,FALSE),"Not Specified")</f>
        <v>Ms. Sara Davis</v>
      </c>
      <c r="I965" t="str">
        <f>IFERROR(VLOOKUP(VLOOKUP(A965,'Sales Order'!A:C,3,FALSE),Employee!A:J,10,FALSE),"Not Specified")</f>
        <v>WA</v>
      </c>
      <c r="J965" t="str">
        <f>VLOOKUP(B965,Product!A:B,2,FALSE)</f>
        <v>Product WHBYK</v>
      </c>
      <c r="K965" t="str">
        <f>VLOOKUP(VLOOKUP(B965,Product!A:D,4,FALSE),Category!A:B,2,FALSE)</f>
        <v>Dairy Product</v>
      </c>
      <c r="L965" s="24">
        <f>IFERROR(VLOOKUP(A965,'Sales Order'!A:D,4,FALSE),"")</f>
        <v>39291</v>
      </c>
      <c r="M965" s="24">
        <f>IFERROR(VLOOKUP(A965,'Sales Order'!A:F,6,FALSE),"")</f>
        <v>39295</v>
      </c>
      <c r="N965" t="str">
        <f>IFERROR(VLOOKUP(VLOOKUP(A965,'Sales Order'!A:G,7,FALSE),Shipper!A:B,2,FALSE),"Not Specified")</f>
        <v>Shipper ETYNR</v>
      </c>
      <c r="O965" t="str">
        <f>IFERROR(VLOOKUP(A965,'Sales Order'!A:I,9,FALSE),"Not Specified")</f>
        <v>Ship to 71-A</v>
      </c>
      <c r="P965" t="str">
        <f>IFERROR(VLOOKUP(A965,'Sales Order'!A:N,14,FALSE),"Not Specified")</f>
        <v>USA</v>
      </c>
      <c r="Q965" t="str">
        <f>VLOOKUP(VLOOKUP(B965,Product!A:C,3,FALSE),Supplier!A:B,2,FALSE)</f>
        <v>Supplier OAVQT</v>
      </c>
      <c r="R965" t="str">
        <f>VLOOKUP(VLOOKUP(B965,Product!A:C,3,FALSE),Supplier!A:I,9,FALSE)</f>
        <v>France</v>
      </c>
      <c r="S965" t="str">
        <f>IFERROR(IF(VLOOKUP(A965,'Sales Order'!A:H,8,FALSE)&gt;100,"High Freight","Low Freight"),"Not Specified")</f>
        <v>High Freight</v>
      </c>
      <c r="T965">
        <f t="shared" si="31"/>
        <v>1360</v>
      </c>
    </row>
    <row r="966" spans="1:20">
      <c r="A966" s="9">
        <v>10612</v>
      </c>
      <c r="B966" s="6">
        <v>76</v>
      </c>
      <c r="C966" s="6">
        <v>18</v>
      </c>
      <c r="D966" s="6">
        <v>80</v>
      </c>
      <c r="E966" s="18">
        <v>0</v>
      </c>
      <c r="F966" s="6" t="str">
        <f>IFERROR(VLOOKUP(VLOOKUP(A966,'Sales Order'!A:B,2,FALSE),Customer!A:C,3,FALSE),"Not Specified")</f>
        <v>Navarro, Tomás</v>
      </c>
      <c r="G966" s="6" t="str">
        <f t="shared" si="30"/>
        <v>Navarro Tomás</v>
      </c>
      <c r="H966" s="22" t="str">
        <f>IFERROR(VLOOKUP(VLOOKUP(A966,'Sales Order'!A:C,3,FALSE),Employee!A:E,5,FALSE)&amp;" "&amp;VLOOKUP(VLOOKUP(A966,'Sales Order'!A:C,3,FALSE),Employee!A:C,3,FALSE)&amp;" "&amp;VLOOKUP(VLOOKUP(A966,'Sales Order'!A:C,3,FALSE),Employee!A:B,2,FALSE),"Not Specified")</f>
        <v>Ms. Sara Davis</v>
      </c>
      <c r="I966" t="str">
        <f>IFERROR(VLOOKUP(VLOOKUP(A966,'Sales Order'!A:C,3,FALSE),Employee!A:J,10,FALSE),"Not Specified")</f>
        <v>WA</v>
      </c>
      <c r="J966" t="str">
        <f>VLOOKUP(B966,Product!A:B,2,FALSE)</f>
        <v>Product JYGFE</v>
      </c>
      <c r="K966" t="str">
        <f>VLOOKUP(VLOOKUP(B966,Product!A:D,4,FALSE),Category!A:B,2,FALSE)</f>
        <v>Beverages</v>
      </c>
      <c r="L966" s="24">
        <f>IFERROR(VLOOKUP(A966,'Sales Order'!A:D,4,FALSE),"")</f>
        <v>39291</v>
      </c>
      <c r="M966" s="24">
        <f>IFERROR(VLOOKUP(A966,'Sales Order'!A:F,6,FALSE),"")</f>
        <v>39295</v>
      </c>
      <c r="N966" t="str">
        <f>IFERROR(VLOOKUP(VLOOKUP(A966,'Sales Order'!A:G,7,FALSE),Shipper!A:B,2,FALSE),"Not Specified")</f>
        <v>Shipper ETYNR</v>
      </c>
      <c r="O966" t="str">
        <f>IFERROR(VLOOKUP(A966,'Sales Order'!A:I,9,FALSE),"Not Specified")</f>
        <v>Ship to 71-A</v>
      </c>
      <c r="P966" t="str">
        <f>IFERROR(VLOOKUP(A966,'Sales Order'!A:N,14,FALSE),"Not Specified")</f>
        <v>USA</v>
      </c>
      <c r="Q966" t="str">
        <f>VLOOKUP(VLOOKUP(B966,Product!A:C,3,FALSE),Supplier!A:B,2,FALSE)</f>
        <v>Supplier ELCRN</v>
      </c>
      <c r="R966" t="str">
        <f>VLOOKUP(VLOOKUP(B966,Product!A:C,3,FALSE),Supplier!A:I,9,FALSE)</f>
        <v>Finland</v>
      </c>
      <c r="S966" t="str">
        <f>IFERROR(IF(VLOOKUP(A966,'Sales Order'!A:H,8,FALSE)&gt;100,"High Freight","Low Freight"),"Not Specified")</f>
        <v>High Freight</v>
      </c>
      <c r="T966">
        <f t="shared" si="31"/>
        <v>1440</v>
      </c>
    </row>
    <row r="967" spans="1:20">
      <c r="A967" s="9">
        <v>10613</v>
      </c>
      <c r="B967" s="6">
        <v>13</v>
      </c>
      <c r="C967" s="6">
        <v>6</v>
      </c>
      <c r="D967" s="6">
        <v>8</v>
      </c>
      <c r="E967" s="18">
        <v>0.1</v>
      </c>
      <c r="F967" s="6" t="str">
        <f>IFERROR(VLOOKUP(VLOOKUP(A967,'Sales Order'!A:B,2,FALSE),Customer!A:C,3,FALSE),"Not Specified")</f>
        <v>Langohr, Kris</v>
      </c>
      <c r="G967" s="6" t="str">
        <f t="shared" si="30"/>
        <v>Langohr Kris</v>
      </c>
      <c r="H967" s="22" t="str">
        <f>IFERROR(VLOOKUP(VLOOKUP(A967,'Sales Order'!A:C,3,FALSE),Employee!A:E,5,FALSE)&amp;" "&amp;VLOOKUP(VLOOKUP(A967,'Sales Order'!A:C,3,FALSE),Employee!A:C,3,FALSE)&amp;" "&amp;VLOOKUP(VLOOKUP(A967,'Sales Order'!A:C,3,FALSE),Employee!A:B,2,FALSE),"Not Specified")</f>
        <v>Mrs. Yael Peled</v>
      </c>
      <c r="I967" t="str">
        <f>IFERROR(VLOOKUP(VLOOKUP(A967,'Sales Order'!A:C,3,FALSE),Employee!A:J,10,FALSE),"Not Specified")</f>
        <v>WA</v>
      </c>
      <c r="J967" t="str">
        <f>VLOOKUP(B967,Product!A:B,2,FALSE)</f>
        <v>Product POXFU</v>
      </c>
      <c r="K967" t="str">
        <f>VLOOKUP(VLOOKUP(B967,Product!A:D,4,FALSE),Category!A:B,2,FALSE)</f>
        <v>Seafood</v>
      </c>
      <c r="L967" s="24">
        <f>IFERROR(VLOOKUP(A967,'Sales Order'!A:D,4,FALSE),"")</f>
        <v>39292</v>
      </c>
      <c r="M967" s="24">
        <f>IFERROR(VLOOKUP(A967,'Sales Order'!A:F,6,FALSE),"")</f>
        <v>39295</v>
      </c>
      <c r="N967" t="str">
        <f>IFERROR(VLOOKUP(VLOOKUP(A967,'Sales Order'!A:G,7,FALSE),Shipper!A:B,2,FALSE),"Not Specified")</f>
        <v>Shipper ETYNR</v>
      </c>
      <c r="O967" t="str">
        <f>IFERROR(VLOOKUP(A967,'Sales Order'!A:I,9,FALSE),"Not Specified")</f>
        <v>Destination JYDLM</v>
      </c>
      <c r="P967" t="str">
        <f>IFERROR(VLOOKUP(A967,'Sales Order'!A:N,14,FALSE),"Not Specified")</f>
        <v>Venezuela</v>
      </c>
      <c r="Q967" t="str">
        <f>VLOOKUP(VLOOKUP(B967,Product!A:C,3,FALSE),Supplier!A:B,2,FALSE)</f>
        <v>Supplier QWUSF</v>
      </c>
      <c r="R967" t="str">
        <f>VLOOKUP(VLOOKUP(B967,Product!A:C,3,FALSE),Supplier!A:I,9,FALSE)</f>
        <v>Japan</v>
      </c>
      <c r="S967" t="str">
        <f>IFERROR(IF(VLOOKUP(A967,'Sales Order'!A:H,8,FALSE)&gt;100,"High Freight","Low Freight"),"Not Specified")</f>
        <v>Low Freight</v>
      </c>
      <c r="T967">
        <f t="shared" si="31"/>
        <v>43.2</v>
      </c>
    </row>
    <row r="968" spans="1:20">
      <c r="A968" s="9">
        <v>10613</v>
      </c>
      <c r="B968" s="6">
        <v>75</v>
      </c>
      <c r="C968" s="6">
        <v>7.75</v>
      </c>
      <c r="D968" s="6">
        <v>40</v>
      </c>
      <c r="E968" s="18">
        <v>0</v>
      </c>
      <c r="F968" s="6" t="str">
        <f>IFERROR(VLOOKUP(VLOOKUP(A968,'Sales Order'!A:B,2,FALSE),Customer!A:C,3,FALSE),"Not Specified")</f>
        <v>Langohr, Kris</v>
      </c>
      <c r="G968" s="6" t="str">
        <f t="shared" si="30"/>
        <v>Langohr Kris</v>
      </c>
      <c r="H968" s="22" t="str">
        <f>IFERROR(VLOOKUP(VLOOKUP(A968,'Sales Order'!A:C,3,FALSE),Employee!A:E,5,FALSE)&amp;" "&amp;VLOOKUP(VLOOKUP(A968,'Sales Order'!A:C,3,FALSE),Employee!A:C,3,FALSE)&amp;" "&amp;VLOOKUP(VLOOKUP(A968,'Sales Order'!A:C,3,FALSE),Employee!A:B,2,FALSE),"Not Specified")</f>
        <v>Mrs. Yael Peled</v>
      </c>
      <c r="I968" t="str">
        <f>IFERROR(VLOOKUP(VLOOKUP(A968,'Sales Order'!A:C,3,FALSE),Employee!A:J,10,FALSE),"Not Specified")</f>
        <v>WA</v>
      </c>
      <c r="J968" t="str">
        <f>VLOOKUP(B968,Product!A:B,2,FALSE)</f>
        <v>Product BWRLG</v>
      </c>
      <c r="K968" t="str">
        <f>VLOOKUP(VLOOKUP(B968,Product!A:D,4,FALSE),Category!A:B,2,FALSE)</f>
        <v>Beverages</v>
      </c>
      <c r="L968" s="24">
        <f>IFERROR(VLOOKUP(A968,'Sales Order'!A:D,4,FALSE),"")</f>
        <v>39292</v>
      </c>
      <c r="M968" s="24">
        <f>IFERROR(VLOOKUP(A968,'Sales Order'!A:F,6,FALSE),"")</f>
        <v>39295</v>
      </c>
      <c r="N968" t="str">
        <f>IFERROR(VLOOKUP(VLOOKUP(A968,'Sales Order'!A:G,7,FALSE),Shipper!A:B,2,FALSE),"Not Specified")</f>
        <v>Shipper ETYNR</v>
      </c>
      <c r="O968" t="str">
        <f>IFERROR(VLOOKUP(A968,'Sales Order'!A:I,9,FALSE),"Not Specified")</f>
        <v>Destination JYDLM</v>
      </c>
      <c r="P968" t="str">
        <f>IFERROR(VLOOKUP(A968,'Sales Order'!A:N,14,FALSE),"Not Specified")</f>
        <v>Venezuela</v>
      </c>
      <c r="Q968" t="str">
        <f>VLOOKUP(VLOOKUP(B968,Product!A:C,3,FALSE),Supplier!A:B,2,FALSE)</f>
        <v>Supplier SVIYA</v>
      </c>
      <c r="R968" t="str">
        <f>VLOOKUP(VLOOKUP(B968,Product!A:C,3,FALSE),Supplier!A:I,9,FALSE)</f>
        <v>Germany</v>
      </c>
      <c r="S968" t="str">
        <f>IFERROR(IF(VLOOKUP(A968,'Sales Order'!A:H,8,FALSE)&gt;100,"High Freight","Low Freight"),"Not Specified")</f>
        <v>Low Freight</v>
      </c>
      <c r="T968">
        <f t="shared" si="31"/>
        <v>310</v>
      </c>
    </row>
    <row r="969" spans="1:20">
      <c r="A969" s="9">
        <v>10614</v>
      </c>
      <c r="B969" s="6">
        <v>11</v>
      </c>
      <c r="C969" s="6">
        <v>21</v>
      </c>
      <c r="D969" s="6">
        <v>14</v>
      </c>
      <c r="E969" s="18">
        <v>0</v>
      </c>
      <c r="F969" s="6" t="str">
        <f>IFERROR(VLOOKUP(VLOOKUP(A969,'Sales Order'!A:B,2,FALSE),Customer!A:C,3,FALSE),"Not Specified")</f>
        <v>Poland, Carole</v>
      </c>
      <c r="G969" s="6" t="str">
        <f t="shared" si="30"/>
        <v>Poland Carole</v>
      </c>
      <c r="H969" s="22" t="str">
        <f>IFERROR(VLOOKUP(VLOOKUP(A969,'Sales Order'!A:C,3,FALSE),Employee!A:E,5,FALSE)&amp;" "&amp;VLOOKUP(VLOOKUP(A969,'Sales Order'!A:C,3,FALSE),Employee!A:C,3,FALSE)&amp;" "&amp;VLOOKUP(VLOOKUP(A969,'Sales Order'!A:C,3,FALSE),Employee!A:B,2,FALSE),"Not Specified")</f>
        <v>Ms. Maria Cameron</v>
      </c>
      <c r="I969" t="str">
        <f>IFERROR(VLOOKUP(VLOOKUP(A969,'Sales Order'!A:C,3,FALSE),Employee!A:J,10,FALSE),"Not Specified")</f>
        <v>WA</v>
      </c>
      <c r="J969" t="str">
        <f>VLOOKUP(B969,Product!A:B,2,FALSE)</f>
        <v>Product QMVUN</v>
      </c>
      <c r="K969" t="str">
        <f>VLOOKUP(VLOOKUP(B969,Product!A:D,4,FALSE),Category!A:B,2,FALSE)</f>
        <v>Dairy Product</v>
      </c>
      <c r="L969" s="24">
        <f>IFERROR(VLOOKUP(A969,'Sales Order'!A:D,4,FALSE),"")</f>
        <v>39292</v>
      </c>
      <c r="M969" s="24">
        <f>IFERROR(VLOOKUP(A969,'Sales Order'!A:F,6,FALSE),"")</f>
        <v>39295</v>
      </c>
      <c r="N969" t="str">
        <f>IFERROR(VLOOKUP(VLOOKUP(A969,'Sales Order'!A:G,7,FALSE),Shipper!A:B,2,FALSE),"Not Specified")</f>
        <v>Shipper ZHISN</v>
      </c>
      <c r="O969" t="str">
        <f>IFERROR(VLOOKUP(A969,'Sales Order'!A:I,9,FALSE),"Not Specified")</f>
        <v>Ship to 6-A</v>
      </c>
      <c r="P969" t="str">
        <f>IFERROR(VLOOKUP(A969,'Sales Order'!A:N,14,FALSE),"Not Specified")</f>
        <v>Germany</v>
      </c>
      <c r="Q969" t="str">
        <f>VLOOKUP(VLOOKUP(B969,Product!A:C,3,FALSE),Supplier!A:B,2,FALSE)</f>
        <v>Supplier EQPNC</v>
      </c>
      <c r="R969" t="str">
        <f>VLOOKUP(VLOOKUP(B969,Product!A:C,3,FALSE),Supplier!A:I,9,FALSE)</f>
        <v>Spain</v>
      </c>
      <c r="S969" t="str">
        <f>IFERROR(IF(VLOOKUP(A969,'Sales Order'!A:H,8,FALSE)&gt;100,"High Freight","Low Freight"),"Not Specified")</f>
        <v>Low Freight</v>
      </c>
      <c r="T969">
        <f t="shared" si="31"/>
        <v>294</v>
      </c>
    </row>
    <row r="970" spans="1:20">
      <c r="A970" s="9">
        <v>10614</v>
      </c>
      <c r="B970" s="6">
        <v>21</v>
      </c>
      <c r="C970" s="6">
        <v>10</v>
      </c>
      <c r="D970" s="6">
        <v>8</v>
      </c>
      <c r="E970" s="18">
        <v>0</v>
      </c>
      <c r="F970" s="6" t="str">
        <f>IFERROR(VLOOKUP(VLOOKUP(A970,'Sales Order'!A:B,2,FALSE),Customer!A:C,3,FALSE),"Not Specified")</f>
        <v>Poland, Carole</v>
      </c>
      <c r="G970" s="6" t="str">
        <f t="shared" si="30"/>
        <v>Poland Carole</v>
      </c>
      <c r="H970" s="22" t="str">
        <f>IFERROR(VLOOKUP(VLOOKUP(A970,'Sales Order'!A:C,3,FALSE),Employee!A:E,5,FALSE)&amp;" "&amp;VLOOKUP(VLOOKUP(A970,'Sales Order'!A:C,3,FALSE),Employee!A:C,3,FALSE)&amp;" "&amp;VLOOKUP(VLOOKUP(A970,'Sales Order'!A:C,3,FALSE),Employee!A:B,2,FALSE),"Not Specified")</f>
        <v>Ms. Maria Cameron</v>
      </c>
      <c r="I970" t="str">
        <f>IFERROR(VLOOKUP(VLOOKUP(A970,'Sales Order'!A:C,3,FALSE),Employee!A:J,10,FALSE),"Not Specified")</f>
        <v>WA</v>
      </c>
      <c r="J970" t="str">
        <f>VLOOKUP(B970,Product!A:B,2,FALSE)</f>
        <v>Product VJZZH</v>
      </c>
      <c r="K970" t="str">
        <f>VLOOKUP(VLOOKUP(B970,Product!A:D,4,FALSE),Category!A:B,2,FALSE)</f>
        <v>Confections</v>
      </c>
      <c r="L970" s="24">
        <f>IFERROR(VLOOKUP(A970,'Sales Order'!A:D,4,FALSE),"")</f>
        <v>39292</v>
      </c>
      <c r="M970" s="24">
        <f>IFERROR(VLOOKUP(A970,'Sales Order'!A:F,6,FALSE),"")</f>
        <v>39295</v>
      </c>
      <c r="N970" t="str">
        <f>IFERROR(VLOOKUP(VLOOKUP(A970,'Sales Order'!A:G,7,FALSE),Shipper!A:B,2,FALSE),"Not Specified")</f>
        <v>Shipper ZHISN</v>
      </c>
      <c r="O970" t="str">
        <f>IFERROR(VLOOKUP(A970,'Sales Order'!A:I,9,FALSE),"Not Specified")</f>
        <v>Ship to 6-A</v>
      </c>
      <c r="P970" t="str">
        <f>IFERROR(VLOOKUP(A970,'Sales Order'!A:N,14,FALSE),"Not Specified")</f>
        <v>Germany</v>
      </c>
      <c r="Q970" t="str">
        <f>VLOOKUP(VLOOKUP(B970,Product!A:C,3,FALSE),Supplier!A:B,2,FALSE)</f>
        <v>Supplier BWGYE</v>
      </c>
      <c r="R970" t="str">
        <f>VLOOKUP(VLOOKUP(B970,Product!A:C,3,FALSE),Supplier!A:I,9,FALSE)</f>
        <v>UK</v>
      </c>
      <c r="S970" t="str">
        <f>IFERROR(IF(VLOOKUP(A970,'Sales Order'!A:H,8,FALSE)&gt;100,"High Freight","Low Freight"),"Not Specified")</f>
        <v>Low Freight</v>
      </c>
      <c r="T970">
        <f t="shared" si="31"/>
        <v>80</v>
      </c>
    </row>
    <row r="971" spans="1:20">
      <c r="A971" s="9">
        <v>10614</v>
      </c>
      <c r="B971" s="6">
        <v>39</v>
      </c>
      <c r="C971" s="6">
        <v>18</v>
      </c>
      <c r="D971" s="6">
        <v>5</v>
      </c>
      <c r="E971" s="18">
        <v>0</v>
      </c>
      <c r="F971" s="6" t="str">
        <f>IFERROR(VLOOKUP(VLOOKUP(A971,'Sales Order'!A:B,2,FALSE),Customer!A:C,3,FALSE),"Not Specified")</f>
        <v>Poland, Carole</v>
      </c>
      <c r="G971" s="6" t="str">
        <f t="shared" si="30"/>
        <v>Poland Carole</v>
      </c>
      <c r="H971" s="22" t="str">
        <f>IFERROR(VLOOKUP(VLOOKUP(A971,'Sales Order'!A:C,3,FALSE),Employee!A:E,5,FALSE)&amp;" "&amp;VLOOKUP(VLOOKUP(A971,'Sales Order'!A:C,3,FALSE),Employee!A:C,3,FALSE)&amp;" "&amp;VLOOKUP(VLOOKUP(A971,'Sales Order'!A:C,3,FALSE),Employee!A:B,2,FALSE),"Not Specified")</f>
        <v>Ms. Maria Cameron</v>
      </c>
      <c r="I971" t="str">
        <f>IFERROR(VLOOKUP(VLOOKUP(A971,'Sales Order'!A:C,3,FALSE),Employee!A:J,10,FALSE),"Not Specified")</f>
        <v>WA</v>
      </c>
      <c r="J971" t="str">
        <f>VLOOKUP(B971,Product!A:B,2,FALSE)</f>
        <v>Product LSOFL</v>
      </c>
      <c r="K971" t="str">
        <f>VLOOKUP(VLOOKUP(B971,Product!A:D,4,FALSE),Category!A:B,2,FALSE)</f>
        <v>Beverages</v>
      </c>
      <c r="L971" s="24">
        <f>IFERROR(VLOOKUP(A971,'Sales Order'!A:D,4,FALSE),"")</f>
        <v>39292</v>
      </c>
      <c r="M971" s="24">
        <f>IFERROR(VLOOKUP(A971,'Sales Order'!A:F,6,FALSE),"")</f>
        <v>39295</v>
      </c>
      <c r="N971" t="str">
        <f>IFERROR(VLOOKUP(VLOOKUP(A971,'Sales Order'!A:G,7,FALSE),Shipper!A:B,2,FALSE),"Not Specified")</f>
        <v>Shipper ZHISN</v>
      </c>
      <c r="O971" t="str">
        <f>IFERROR(VLOOKUP(A971,'Sales Order'!A:I,9,FALSE),"Not Specified")</f>
        <v>Ship to 6-A</v>
      </c>
      <c r="P971" t="str">
        <f>IFERROR(VLOOKUP(A971,'Sales Order'!A:N,14,FALSE),"Not Specified")</f>
        <v>Germany</v>
      </c>
      <c r="Q971" t="str">
        <f>VLOOKUP(VLOOKUP(B971,Product!A:C,3,FALSE),Supplier!A:B,2,FALSE)</f>
        <v>Supplier LVJUA</v>
      </c>
      <c r="R971" t="str">
        <f>VLOOKUP(VLOOKUP(B971,Product!A:C,3,FALSE),Supplier!A:I,9,FALSE)</f>
        <v>France</v>
      </c>
      <c r="S971" t="str">
        <f>IFERROR(IF(VLOOKUP(A971,'Sales Order'!A:H,8,FALSE)&gt;100,"High Freight","Low Freight"),"Not Specified")</f>
        <v>Low Freight</v>
      </c>
      <c r="T971">
        <f t="shared" si="31"/>
        <v>90</v>
      </c>
    </row>
    <row r="972" spans="1:20">
      <c r="A972" s="9">
        <v>10615</v>
      </c>
      <c r="B972" s="6">
        <v>55</v>
      </c>
      <c r="C972" s="6">
        <v>24</v>
      </c>
      <c r="D972" s="6">
        <v>5</v>
      </c>
      <c r="E972" s="18">
        <v>0</v>
      </c>
      <c r="F972" s="6" t="str">
        <f>IFERROR(VLOOKUP(VLOOKUP(A972,'Sales Order'!A:B,2,FALSE),Customer!A:C,3,FALSE),"Not Specified")</f>
        <v>Larsson, Katarina</v>
      </c>
      <c r="G972" s="6" t="str">
        <f t="shared" si="30"/>
        <v>Larsson Katarina</v>
      </c>
      <c r="H972" s="22" t="str">
        <f>IFERROR(VLOOKUP(VLOOKUP(A972,'Sales Order'!A:C,3,FALSE),Employee!A:E,5,FALSE)&amp;" "&amp;VLOOKUP(VLOOKUP(A972,'Sales Order'!A:C,3,FALSE),Employee!A:C,3,FALSE)&amp;" "&amp;VLOOKUP(VLOOKUP(A972,'Sales Order'!A:C,3,FALSE),Employee!A:B,2,FALSE),"Not Specified")</f>
        <v>Dr. Don Funk</v>
      </c>
      <c r="I972" t="str">
        <f>IFERROR(VLOOKUP(VLOOKUP(A972,'Sales Order'!A:C,3,FALSE),Employee!A:J,10,FALSE),"Not Specified")</f>
        <v>WA</v>
      </c>
      <c r="J972" t="str">
        <f>VLOOKUP(B972,Product!A:B,2,FALSE)</f>
        <v>Product YYWRT</v>
      </c>
      <c r="K972" t="str">
        <f>VLOOKUP(VLOOKUP(B972,Product!A:D,4,FALSE),Category!A:B,2,FALSE)</f>
        <v>Meat/Poultry</v>
      </c>
      <c r="L972" s="24">
        <f>IFERROR(VLOOKUP(A972,'Sales Order'!A:D,4,FALSE),"")</f>
        <v>39293</v>
      </c>
      <c r="M972" s="24">
        <f>IFERROR(VLOOKUP(A972,'Sales Order'!A:F,6,FALSE),"")</f>
        <v>39300</v>
      </c>
      <c r="N972" t="str">
        <f>IFERROR(VLOOKUP(VLOOKUP(A972,'Sales Order'!A:G,7,FALSE),Shipper!A:B,2,FALSE),"Not Specified")</f>
        <v>Shipper ZHISN</v>
      </c>
      <c r="O972" t="str">
        <f>IFERROR(VLOOKUP(A972,'Sales Order'!A:I,9,FALSE),"Not Specified")</f>
        <v>Ship to 90-B</v>
      </c>
      <c r="P972" t="str">
        <f>IFERROR(VLOOKUP(A972,'Sales Order'!A:N,14,FALSE),"Not Specified")</f>
        <v>Finland</v>
      </c>
      <c r="Q972" t="str">
        <f>VLOOKUP(VLOOKUP(B972,Product!A:C,3,FALSE),Supplier!A:B,2,FALSE)</f>
        <v>Supplier ERVYZ</v>
      </c>
      <c r="R972" t="str">
        <f>VLOOKUP(VLOOKUP(B972,Product!A:C,3,FALSE),Supplier!A:I,9,FALSE)</f>
        <v>Canada</v>
      </c>
      <c r="S972" t="str">
        <f>IFERROR(IF(VLOOKUP(A972,'Sales Order'!A:H,8,FALSE)&gt;100,"High Freight","Low Freight"),"Not Specified")</f>
        <v>Low Freight</v>
      </c>
      <c r="T972">
        <f t="shared" si="31"/>
        <v>120</v>
      </c>
    </row>
    <row r="973" spans="1:20">
      <c r="A973" s="9">
        <v>10616</v>
      </c>
      <c r="B973" s="6">
        <v>38</v>
      </c>
      <c r="C973" s="6">
        <v>263.5</v>
      </c>
      <c r="D973" s="6">
        <v>15</v>
      </c>
      <c r="E973" s="18">
        <v>0.05</v>
      </c>
      <c r="F973" s="6" t="str">
        <f>IFERROR(VLOOKUP(VLOOKUP(A973,'Sales Order'!A:B,2,FALSE),Customer!A:C,3,FALSE),"Not Specified")</f>
        <v>Krishnan, Venky</v>
      </c>
      <c r="G973" s="6" t="str">
        <f t="shared" si="30"/>
        <v>Krishnan Venky</v>
      </c>
      <c r="H973" s="22" t="str">
        <f>IFERROR(VLOOKUP(VLOOKUP(A973,'Sales Order'!A:C,3,FALSE),Employee!A:E,5,FALSE)&amp;" "&amp;VLOOKUP(VLOOKUP(A973,'Sales Order'!A:C,3,FALSE),Employee!A:C,3,FALSE)&amp;" "&amp;VLOOKUP(VLOOKUP(A973,'Sales Order'!A:C,3,FALSE),Employee!A:B,2,FALSE),"Not Specified")</f>
        <v>Ms. Sara Davis</v>
      </c>
      <c r="I973" t="str">
        <f>IFERROR(VLOOKUP(VLOOKUP(A973,'Sales Order'!A:C,3,FALSE),Employee!A:J,10,FALSE),"Not Specified")</f>
        <v>WA</v>
      </c>
      <c r="J973" t="str">
        <f>VLOOKUP(B973,Product!A:B,2,FALSE)</f>
        <v>Product QDOMO</v>
      </c>
      <c r="K973" t="str">
        <f>VLOOKUP(VLOOKUP(B973,Product!A:D,4,FALSE),Category!A:B,2,FALSE)</f>
        <v>Beverages</v>
      </c>
      <c r="L973" s="24">
        <f>IFERROR(VLOOKUP(A973,'Sales Order'!A:D,4,FALSE),"")</f>
        <v>39294</v>
      </c>
      <c r="M973" s="24">
        <f>IFERROR(VLOOKUP(A973,'Sales Order'!A:F,6,FALSE),"")</f>
        <v>39299</v>
      </c>
      <c r="N973" t="str">
        <f>IFERROR(VLOOKUP(VLOOKUP(A973,'Sales Order'!A:G,7,FALSE),Shipper!A:B,2,FALSE),"Not Specified")</f>
        <v>Shipper ETYNR</v>
      </c>
      <c r="O973" t="str">
        <f>IFERROR(VLOOKUP(A973,'Sales Order'!A:I,9,FALSE),"Not Specified")</f>
        <v>Destination LLUXZ</v>
      </c>
      <c r="P973" t="str">
        <f>IFERROR(VLOOKUP(A973,'Sales Order'!A:N,14,FALSE),"Not Specified")</f>
        <v>USA</v>
      </c>
      <c r="Q973" t="str">
        <f>VLOOKUP(VLOOKUP(B973,Product!A:C,3,FALSE),Supplier!A:B,2,FALSE)</f>
        <v>Supplier LVJUA</v>
      </c>
      <c r="R973" t="str">
        <f>VLOOKUP(VLOOKUP(B973,Product!A:C,3,FALSE),Supplier!A:I,9,FALSE)</f>
        <v>France</v>
      </c>
      <c r="S973" t="str">
        <f>IFERROR(IF(VLOOKUP(A973,'Sales Order'!A:H,8,FALSE)&gt;100,"High Freight","Low Freight"),"Not Specified")</f>
        <v>High Freight</v>
      </c>
      <c r="T973">
        <f t="shared" si="31"/>
        <v>3754.875</v>
      </c>
    </row>
    <row r="974" spans="1:20">
      <c r="A974" s="9">
        <v>10616</v>
      </c>
      <c r="B974" s="6">
        <v>56</v>
      </c>
      <c r="C974" s="6">
        <v>38</v>
      </c>
      <c r="D974" s="6">
        <v>14</v>
      </c>
      <c r="E974" s="18">
        <v>0</v>
      </c>
      <c r="F974" s="6" t="str">
        <f>IFERROR(VLOOKUP(VLOOKUP(A974,'Sales Order'!A:B,2,FALSE),Customer!A:C,3,FALSE),"Not Specified")</f>
        <v>Krishnan, Venky</v>
      </c>
      <c r="G974" s="6" t="str">
        <f t="shared" si="30"/>
        <v>Krishnan Venky</v>
      </c>
      <c r="H974" s="22" t="str">
        <f>IFERROR(VLOOKUP(VLOOKUP(A974,'Sales Order'!A:C,3,FALSE),Employee!A:E,5,FALSE)&amp;" "&amp;VLOOKUP(VLOOKUP(A974,'Sales Order'!A:C,3,FALSE),Employee!A:C,3,FALSE)&amp;" "&amp;VLOOKUP(VLOOKUP(A974,'Sales Order'!A:C,3,FALSE),Employee!A:B,2,FALSE),"Not Specified")</f>
        <v>Ms. Sara Davis</v>
      </c>
      <c r="I974" t="str">
        <f>IFERROR(VLOOKUP(VLOOKUP(A974,'Sales Order'!A:C,3,FALSE),Employee!A:J,10,FALSE),"Not Specified")</f>
        <v>WA</v>
      </c>
      <c r="J974" t="str">
        <f>VLOOKUP(B974,Product!A:B,2,FALSE)</f>
        <v>Product VKCMF</v>
      </c>
      <c r="K974" t="str">
        <f>VLOOKUP(VLOOKUP(B974,Product!A:D,4,FALSE),Category!A:B,2,FALSE)</f>
        <v>Grains/Cereals</v>
      </c>
      <c r="L974" s="24">
        <f>IFERROR(VLOOKUP(A974,'Sales Order'!A:D,4,FALSE),"")</f>
        <v>39294</v>
      </c>
      <c r="M974" s="24">
        <f>IFERROR(VLOOKUP(A974,'Sales Order'!A:F,6,FALSE),"")</f>
        <v>39299</v>
      </c>
      <c r="N974" t="str">
        <f>IFERROR(VLOOKUP(VLOOKUP(A974,'Sales Order'!A:G,7,FALSE),Shipper!A:B,2,FALSE),"Not Specified")</f>
        <v>Shipper ETYNR</v>
      </c>
      <c r="O974" t="str">
        <f>IFERROR(VLOOKUP(A974,'Sales Order'!A:I,9,FALSE),"Not Specified")</f>
        <v>Destination LLUXZ</v>
      </c>
      <c r="P974" t="str">
        <f>IFERROR(VLOOKUP(A974,'Sales Order'!A:N,14,FALSE),"Not Specified")</f>
        <v>USA</v>
      </c>
      <c r="Q974" t="str">
        <f>VLOOKUP(VLOOKUP(B974,Product!A:C,3,FALSE),Supplier!A:B,2,FALSE)</f>
        <v>Supplier ZWZDM</v>
      </c>
      <c r="R974" t="str">
        <f>VLOOKUP(VLOOKUP(B974,Product!A:C,3,FALSE),Supplier!A:I,9,FALSE)</f>
        <v>Italy</v>
      </c>
      <c r="S974" t="str">
        <f>IFERROR(IF(VLOOKUP(A974,'Sales Order'!A:H,8,FALSE)&gt;100,"High Freight","Low Freight"),"Not Specified")</f>
        <v>High Freight</v>
      </c>
      <c r="T974">
        <f t="shared" si="31"/>
        <v>532</v>
      </c>
    </row>
    <row r="975" spans="1:20">
      <c r="A975" s="9">
        <v>10616</v>
      </c>
      <c r="B975" s="6">
        <v>70</v>
      </c>
      <c r="C975" s="6">
        <v>15</v>
      </c>
      <c r="D975" s="6">
        <v>15</v>
      </c>
      <c r="E975" s="18">
        <v>0.05</v>
      </c>
      <c r="F975" s="6" t="str">
        <f>IFERROR(VLOOKUP(VLOOKUP(A975,'Sales Order'!A:B,2,FALSE),Customer!A:C,3,FALSE),"Not Specified")</f>
        <v>Krishnan, Venky</v>
      </c>
      <c r="G975" s="6" t="str">
        <f t="shared" si="30"/>
        <v>Krishnan Venky</v>
      </c>
      <c r="H975" s="22" t="str">
        <f>IFERROR(VLOOKUP(VLOOKUP(A975,'Sales Order'!A:C,3,FALSE),Employee!A:E,5,FALSE)&amp;" "&amp;VLOOKUP(VLOOKUP(A975,'Sales Order'!A:C,3,FALSE),Employee!A:C,3,FALSE)&amp;" "&amp;VLOOKUP(VLOOKUP(A975,'Sales Order'!A:C,3,FALSE),Employee!A:B,2,FALSE),"Not Specified")</f>
        <v>Ms. Sara Davis</v>
      </c>
      <c r="I975" t="str">
        <f>IFERROR(VLOOKUP(VLOOKUP(A975,'Sales Order'!A:C,3,FALSE),Employee!A:J,10,FALSE),"Not Specified")</f>
        <v>WA</v>
      </c>
      <c r="J975" t="str">
        <f>VLOOKUP(B975,Product!A:B,2,FALSE)</f>
        <v>Product TOONT</v>
      </c>
      <c r="K975" t="str">
        <f>VLOOKUP(VLOOKUP(B975,Product!A:D,4,FALSE),Category!A:B,2,FALSE)</f>
        <v>Beverages</v>
      </c>
      <c r="L975" s="24">
        <f>IFERROR(VLOOKUP(A975,'Sales Order'!A:D,4,FALSE),"")</f>
        <v>39294</v>
      </c>
      <c r="M975" s="24">
        <f>IFERROR(VLOOKUP(A975,'Sales Order'!A:F,6,FALSE),"")</f>
        <v>39299</v>
      </c>
      <c r="N975" t="str">
        <f>IFERROR(VLOOKUP(VLOOKUP(A975,'Sales Order'!A:G,7,FALSE),Shipper!A:B,2,FALSE),"Not Specified")</f>
        <v>Shipper ETYNR</v>
      </c>
      <c r="O975" t="str">
        <f>IFERROR(VLOOKUP(A975,'Sales Order'!A:I,9,FALSE),"Not Specified")</f>
        <v>Destination LLUXZ</v>
      </c>
      <c r="P975" t="str">
        <f>IFERROR(VLOOKUP(A975,'Sales Order'!A:N,14,FALSE),"Not Specified")</f>
        <v>USA</v>
      </c>
      <c r="Q975" t="str">
        <f>VLOOKUP(VLOOKUP(B975,Product!A:C,3,FALSE),Supplier!A:B,2,FALSE)</f>
        <v>Supplier GQRCV</v>
      </c>
      <c r="R975" t="str">
        <f>VLOOKUP(VLOOKUP(B975,Product!A:C,3,FALSE),Supplier!A:I,9,FALSE)</f>
        <v>Australia</v>
      </c>
      <c r="S975" t="str">
        <f>IFERROR(IF(VLOOKUP(A975,'Sales Order'!A:H,8,FALSE)&gt;100,"High Freight","Low Freight"),"Not Specified")</f>
        <v>High Freight</v>
      </c>
      <c r="T975">
        <f t="shared" si="31"/>
        <v>213.75</v>
      </c>
    </row>
    <row r="976" spans="1:20">
      <c r="A976" s="9">
        <v>10616</v>
      </c>
      <c r="B976" s="6">
        <v>71</v>
      </c>
      <c r="C976" s="6">
        <v>21.5</v>
      </c>
      <c r="D976" s="6">
        <v>15</v>
      </c>
      <c r="E976" s="18">
        <v>0.05</v>
      </c>
      <c r="F976" s="6" t="str">
        <f>IFERROR(VLOOKUP(VLOOKUP(A976,'Sales Order'!A:B,2,FALSE),Customer!A:C,3,FALSE),"Not Specified")</f>
        <v>Krishnan, Venky</v>
      </c>
      <c r="G976" s="6" t="str">
        <f t="shared" si="30"/>
        <v>Krishnan Venky</v>
      </c>
      <c r="H976" s="22" t="str">
        <f>IFERROR(VLOOKUP(VLOOKUP(A976,'Sales Order'!A:C,3,FALSE),Employee!A:E,5,FALSE)&amp;" "&amp;VLOOKUP(VLOOKUP(A976,'Sales Order'!A:C,3,FALSE),Employee!A:C,3,FALSE)&amp;" "&amp;VLOOKUP(VLOOKUP(A976,'Sales Order'!A:C,3,FALSE),Employee!A:B,2,FALSE),"Not Specified")</f>
        <v>Ms. Sara Davis</v>
      </c>
      <c r="I976" t="str">
        <f>IFERROR(VLOOKUP(VLOOKUP(A976,'Sales Order'!A:C,3,FALSE),Employee!A:J,10,FALSE),"Not Specified")</f>
        <v>WA</v>
      </c>
      <c r="J976" t="str">
        <f>VLOOKUP(B976,Product!A:B,2,FALSE)</f>
        <v>Product MYMOI</v>
      </c>
      <c r="K976" t="str">
        <f>VLOOKUP(VLOOKUP(B976,Product!A:D,4,FALSE),Category!A:B,2,FALSE)</f>
        <v>Dairy Product</v>
      </c>
      <c r="L976" s="24">
        <f>IFERROR(VLOOKUP(A976,'Sales Order'!A:D,4,FALSE),"")</f>
        <v>39294</v>
      </c>
      <c r="M976" s="24">
        <f>IFERROR(VLOOKUP(A976,'Sales Order'!A:F,6,FALSE),"")</f>
        <v>39299</v>
      </c>
      <c r="N976" t="str">
        <f>IFERROR(VLOOKUP(VLOOKUP(A976,'Sales Order'!A:G,7,FALSE),Shipper!A:B,2,FALSE),"Not Specified")</f>
        <v>Shipper ETYNR</v>
      </c>
      <c r="O976" t="str">
        <f>IFERROR(VLOOKUP(A976,'Sales Order'!A:I,9,FALSE),"Not Specified")</f>
        <v>Destination LLUXZ</v>
      </c>
      <c r="P976" t="str">
        <f>IFERROR(VLOOKUP(A976,'Sales Order'!A:N,14,FALSE),"Not Specified")</f>
        <v>USA</v>
      </c>
      <c r="Q976" t="str">
        <f>VLOOKUP(VLOOKUP(B976,Product!A:C,3,FALSE),Supplier!A:B,2,FALSE)</f>
        <v>Supplier NZLIF</v>
      </c>
      <c r="R976" t="str">
        <f>VLOOKUP(VLOOKUP(B976,Product!A:C,3,FALSE),Supplier!A:I,9,FALSE)</f>
        <v>Norway</v>
      </c>
      <c r="S976" t="str">
        <f>IFERROR(IF(VLOOKUP(A976,'Sales Order'!A:H,8,FALSE)&gt;100,"High Freight","Low Freight"),"Not Specified")</f>
        <v>High Freight</v>
      </c>
      <c r="T976">
        <f t="shared" si="31"/>
        <v>306.375</v>
      </c>
    </row>
    <row r="977" spans="1:20">
      <c r="A977" s="9">
        <v>10617</v>
      </c>
      <c r="B977" s="6">
        <v>59</v>
      </c>
      <c r="C977" s="6">
        <v>55</v>
      </c>
      <c r="D977" s="6">
        <v>30</v>
      </c>
      <c r="E977" s="18">
        <v>0.15</v>
      </c>
      <c r="F977" s="6" t="str">
        <f>IFERROR(VLOOKUP(VLOOKUP(A977,'Sales Order'!A:B,2,FALSE),Customer!A:C,3,FALSE),"Not Specified")</f>
        <v>Krishnan, Venky</v>
      </c>
      <c r="G977" s="6" t="str">
        <f t="shared" si="30"/>
        <v>Krishnan Venky</v>
      </c>
      <c r="H977" s="22" t="str">
        <f>IFERROR(VLOOKUP(VLOOKUP(A977,'Sales Order'!A:C,3,FALSE),Employee!A:E,5,FALSE)&amp;" "&amp;VLOOKUP(VLOOKUP(A977,'Sales Order'!A:C,3,FALSE),Employee!A:C,3,FALSE)&amp;" "&amp;VLOOKUP(VLOOKUP(A977,'Sales Order'!A:C,3,FALSE),Employee!A:B,2,FALSE),"Not Specified")</f>
        <v>Mrs. Yael Peled</v>
      </c>
      <c r="I977" t="str">
        <f>IFERROR(VLOOKUP(VLOOKUP(A977,'Sales Order'!A:C,3,FALSE),Employee!A:J,10,FALSE),"Not Specified")</f>
        <v>WA</v>
      </c>
      <c r="J977" t="str">
        <f>VLOOKUP(B977,Product!A:B,2,FALSE)</f>
        <v>Product UKXRI</v>
      </c>
      <c r="K977" t="str">
        <f>VLOOKUP(VLOOKUP(B977,Product!A:D,4,FALSE),Category!A:B,2,FALSE)</f>
        <v>Dairy Product</v>
      </c>
      <c r="L977" s="24">
        <f>IFERROR(VLOOKUP(A977,'Sales Order'!A:D,4,FALSE),"")</f>
        <v>39294</v>
      </c>
      <c r="M977" s="24">
        <f>IFERROR(VLOOKUP(A977,'Sales Order'!A:F,6,FALSE),"")</f>
        <v>39298</v>
      </c>
      <c r="N977" t="str">
        <f>IFERROR(VLOOKUP(VLOOKUP(A977,'Sales Order'!A:G,7,FALSE),Shipper!A:B,2,FALSE),"Not Specified")</f>
        <v>Shipper ETYNR</v>
      </c>
      <c r="O977" t="str">
        <f>IFERROR(VLOOKUP(A977,'Sales Order'!A:I,9,FALSE),"Not Specified")</f>
        <v>Destination AVQUS</v>
      </c>
      <c r="P977" t="str">
        <f>IFERROR(VLOOKUP(A977,'Sales Order'!A:N,14,FALSE),"Not Specified")</f>
        <v>USA</v>
      </c>
      <c r="Q977" t="str">
        <f>VLOOKUP(VLOOKUP(B977,Product!A:C,3,FALSE),Supplier!A:B,2,FALSE)</f>
        <v>Supplier OAVQT</v>
      </c>
      <c r="R977" t="str">
        <f>VLOOKUP(VLOOKUP(B977,Product!A:C,3,FALSE),Supplier!A:I,9,FALSE)</f>
        <v>France</v>
      </c>
      <c r="S977" t="str">
        <f>IFERROR(IF(VLOOKUP(A977,'Sales Order'!A:H,8,FALSE)&gt;100,"High Freight","Low Freight"),"Not Specified")</f>
        <v>Low Freight</v>
      </c>
      <c r="T977">
        <f t="shared" si="31"/>
        <v>1402.5</v>
      </c>
    </row>
    <row r="978" spans="1:20">
      <c r="A978" s="9">
        <v>10618</v>
      </c>
      <c r="B978" s="6">
        <v>6</v>
      </c>
      <c r="C978" s="6">
        <v>25</v>
      </c>
      <c r="D978" s="6">
        <v>70</v>
      </c>
      <c r="E978" s="18">
        <v>0</v>
      </c>
      <c r="F978" s="6" t="str">
        <f>IFERROR(VLOOKUP(VLOOKUP(A978,'Sales Order'!A:B,2,FALSE),Customer!A:C,3,FALSE),"Not Specified")</f>
        <v>Taylor, Maurice</v>
      </c>
      <c r="G978" s="6" t="str">
        <f t="shared" si="30"/>
        <v>Taylor Maurice</v>
      </c>
      <c r="H978" s="22" t="str">
        <f>IFERROR(VLOOKUP(VLOOKUP(A978,'Sales Order'!A:C,3,FALSE),Employee!A:E,5,FALSE)&amp;" "&amp;VLOOKUP(VLOOKUP(A978,'Sales Order'!A:C,3,FALSE),Employee!A:C,3,FALSE)&amp;" "&amp;VLOOKUP(VLOOKUP(A978,'Sales Order'!A:C,3,FALSE),Employee!A:B,2,FALSE),"Not Specified")</f>
        <v>Ms. Sara Davis</v>
      </c>
      <c r="I978" t="str">
        <f>IFERROR(VLOOKUP(VLOOKUP(A978,'Sales Order'!A:C,3,FALSE),Employee!A:J,10,FALSE),"Not Specified")</f>
        <v>WA</v>
      </c>
      <c r="J978" t="str">
        <f>VLOOKUP(B978,Product!A:B,2,FALSE)</f>
        <v>Product VAIIV</v>
      </c>
      <c r="K978" t="str">
        <f>VLOOKUP(VLOOKUP(B978,Product!A:D,4,FALSE),Category!A:B,2,FALSE)</f>
        <v>Condiments</v>
      </c>
      <c r="L978" s="24">
        <f>IFERROR(VLOOKUP(A978,'Sales Order'!A:D,4,FALSE),"")</f>
        <v>39295</v>
      </c>
      <c r="M978" s="24">
        <f>IFERROR(VLOOKUP(A978,'Sales Order'!A:F,6,FALSE),"")</f>
        <v>39302</v>
      </c>
      <c r="N978" t="str">
        <f>IFERROR(VLOOKUP(VLOOKUP(A978,'Sales Order'!A:G,7,FALSE),Shipper!A:B,2,FALSE),"Not Specified")</f>
        <v>Shipper GVSUA</v>
      </c>
      <c r="O978" t="str">
        <f>IFERROR(VLOOKUP(A978,'Sales Order'!A:I,9,FALSE),"Not Specified")</f>
        <v>Ship to 51-C</v>
      </c>
      <c r="P978" t="str">
        <f>IFERROR(VLOOKUP(A978,'Sales Order'!A:N,14,FALSE),"Not Specified")</f>
        <v>Canada</v>
      </c>
      <c r="Q978" t="str">
        <f>VLOOKUP(VLOOKUP(B978,Product!A:C,3,FALSE),Supplier!A:B,2,FALSE)</f>
        <v>Supplier STUAZ</v>
      </c>
      <c r="R978" t="str">
        <f>VLOOKUP(VLOOKUP(B978,Product!A:C,3,FALSE),Supplier!A:I,9,FALSE)</f>
        <v>USA</v>
      </c>
      <c r="S978" t="str">
        <f>IFERROR(IF(VLOOKUP(A978,'Sales Order'!A:H,8,FALSE)&gt;100,"High Freight","Low Freight"),"Not Specified")</f>
        <v>High Freight</v>
      </c>
      <c r="T978">
        <f t="shared" si="31"/>
        <v>1750</v>
      </c>
    </row>
    <row r="979" spans="1:20">
      <c r="A979" s="9">
        <v>10618</v>
      </c>
      <c r="B979" s="6">
        <v>56</v>
      </c>
      <c r="C979" s="6">
        <v>38</v>
      </c>
      <c r="D979" s="6">
        <v>20</v>
      </c>
      <c r="E979" s="18">
        <v>0</v>
      </c>
      <c r="F979" s="6" t="str">
        <f>IFERROR(VLOOKUP(VLOOKUP(A979,'Sales Order'!A:B,2,FALSE),Customer!A:C,3,FALSE),"Not Specified")</f>
        <v>Taylor, Maurice</v>
      </c>
      <c r="G979" s="6" t="str">
        <f t="shared" si="30"/>
        <v>Taylor Maurice</v>
      </c>
      <c r="H979" s="22" t="str">
        <f>IFERROR(VLOOKUP(VLOOKUP(A979,'Sales Order'!A:C,3,FALSE),Employee!A:E,5,FALSE)&amp;" "&amp;VLOOKUP(VLOOKUP(A979,'Sales Order'!A:C,3,FALSE),Employee!A:C,3,FALSE)&amp;" "&amp;VLOOKUP(VLOOKUP(A979,'Sales Order'!A:C,3,FALSE),Employee!A:B,2,FALSE),"Not Specified")</f>
        <v>Ms. Sara Davis</v>
      </c>
      <c r="I979" t="str">
        <f>IFERROR(VLOOKUP(VLOOKUP(A979,'Sales Order'!A:C,3,FALSE),Employee!A:J,10,FALSE),"Not Specified")</f>
        <v>WA</v>
      </c>
      <c r="J979" t="str">
        <f>VLOOKUP(B979,Product!A:B,2,FALSE)</f>
        <v>Product VKCMF</v>
      </c>
      <c r="K979" t="str">
        <f>VLOOKUP(VLOOKUP(B979,Product!A:D,4,FALSE),Category!A:B,2,FALSE)</f>
        <v>Grains/Cereals</v>
      </c>
      <c r="L979" s="24">
        <f>IFERROR(VLOOKUP(A979,'Sales Order'!A:D,4,FALSE),"")</f>
        <v>39295</v>
      </c>
      <c r="M979" s="24">
        <f>IFERROR(VLOOKUP(A979,'Sales Order'!A:F,6,FALSE),"")</f>
        <v>39302</v>
      </c>
      <c r="N979" t="str">
        <f>IFERROR(VLOOKUP(VLOOKUP(A979,'Sales Order'!A:G,7,FALSE),Shipper!A:B,2,FALSE),"Not Specified")</f>
        <v>Shipper GVSUA</v>
      </c>
      <c r="O979" t="str">
        <f>IFERROR(VLOOKUP(A979,'Sales Order'!A:I,9,FALSE),"Not Specified")</f>
        <v>Ship to 51-C</v>
      </c>
      <c r="P979" t="str">
        <f>IFERROR(VLOOKUP(A979,'Sales Order'!A:N,14,FALSE),"Not Specified")</f>
        <v>Canada</v>
      </c>
      <c r="Q979" t="str">
        <f>VLOOKUP(VLOOKUP(B979,Product!A:C,3,FALSE),Supplier!A:B,2,FALSE)</f>
        <v>Supplier ZWZDM</v>
      </c>
      <c r="R979" t="str">
        <f>VLOOKUP(VLOOKUP(B979,Product!A:C,3,FALSE),Supplier!A:I,9,FALSE)</f>
        <v>Italy</v>
      </c>
      <c r="S979" t="str">
        <f>IFERROR(IF(VLOOKUP(A979,'Sales Order'!A:H,8,FALSE)&gt;100,"High Freight","Low Freight"),"Not Specified")</f>
        <v>High Freight</v>
      </c>
      <c r="T979">
        <f t="shared" si="31"/>
        <v>760</v>
      </c>
    </row>
    <row r="980" spans="1:20">
      <c r="A980" s="9">
        <v>10618</v>
      </c>
      <c r="B980" s="6">
        <v>68</v>
      </c>
      <c r="C980" s="6">
        <v>12.5</v>
      </c>
      <c r="D980" s="6">
        <v>15</v>
      </c>
      <c r="E980" s="18">
        <v>0</v>
      </c>
      <c r="F980" s="6" t="str">
        <f>IFERROR(VLOOKUP(VLOOKUP(A980,'Sales Order'!A:B,2,FALSE),Customer!A:C,3,FALSE),"Not Specified")</f>
        <v>Taylor, Maurice</v>
      </c>
      <c r="G980" s="6" t="str">
        <f t="shared" si="30"/>
        <v>Taylor Maurice</v>
      </c>
      <c r="H980" s="22" t="str">
        <f>IFERROR(VLOOKUP(VLOOKUP(A980,'Sales Order'!A:C,3,FALSE),Employee!A:E,5,FALSE)&amp;" "&amp;VLOOKUP(VLOOKUP(A980,'Sales Order'!A:C,3,FALSE),Employee!A:C,3,FALSE)&amp;" "&amp;VLOOKUP(VLOOKUP(A980,'Sales Order'!A:C,3,FALSE),Employee!A:B,2,FALSE),"Not Specified")</f>
        <v>Ms. Sara Davis</v>
      </c>
      <c r="I980" t="str">
        <f>IFERROR(VLOOKUP(VLOOKUP(A980,'Sales Order'!A:C,3,FALSE),Employee!A:J,10,FALSE),"Not Specified")</f>
        <v>WA</v>
      </c>
      <c r="J980" t="str">
        <f>VLOOKUP(B980,Product!A:B,2,FALSE)</f>
        <v>Product TBTBL</v>
      </c>
      <c r="K980" t="str">
        <f>VLOOKUP(VLOOKUP(B980,Product!A:D,4,FALSE),Category!A:B,2,FALSE)</f>
        <v>Confections</v>
      </c>
      <c r="L980" s="24">
        <f>IFERROR(VLOOKUP(A980,'Sales Order'!A:D,4,FALSE),"")</f>
        <v>39295</v>
      </c>
      <c r="M980" s="24">
        <f>IFERROR(VLOOKUP(A980,'Sales Order'!A:F,6,FALSE),"")</f>
        <v>39302</v>
      </c>
      <c r="N980" t="str">
        <f>IFERROR(VLOOKUP(VLOOKUP(A980,'Sales Order'!A:G,7,FALSE),Shipper!A:B,2,FALSE),"Not Specified")</f>
        <v>Shipper GVSUA</v>
      </c>
      <c r="O980" t="str">
        <f>IFERROR(VLOOKUP(A980,'Sales Order'!A:I,9,FALSE),"Not Specified")</f>
        <v>Ship to 51-C</v>
      </c>
      <c r="P980" t="str">
        <f>IFERROR(VLOOKUP(A980,'Sales Order'!A:N,14,FALSE),"Not Specified")</f>
        <v>Canada</v>
      </c>
      <c r="Q980" t="str">
        <f>VLOOKUP(VLOOKUP(B980,Product!A:C,3,FALSE),Supplier!A:B,2,FALSE)</f>
        <v>Supplier BWGYE</v>
      </c>
      <c r="R980" t="str">
        <f>VLOOKUP(VLOOKUP(B980,Product!A:C,3,FALSE),Supplier!A:I,9,FALSE)</f>
        <v>UK</v>
      </c>
      <c r="S980" t="str">
        <f>IFERROR(IF(VLOOKUP(A980,'Sales Order'!A:H,8,FALSE)&gt;100,"High Freight","Low Freight"),"Not Specified")</f>
        <v>High Freight</v>
      </c>
      <c r="T980">
        <f t="shared" si="31"/>
        <v>187.5</v>
      </c>
    </row>
    <row r="981" spans="1:20">
      <c r="A981" s="9">
        <v>10619</v>
      </c>
      <c r="B981" s="6">
        <v>21</v>
      </c>
      <c r="C981" s="6">
        <v>10</v>
      </c>
      <c r="D981" s="6">
        <v>42</v>
      </c>
      <c r="E981" s="18">
        <v>0</v>
      </c>
      <c r="F981" s="6" t="str">
        <f>IFERROR(VLOOKUP(VLOOKUP(A981,'Sales Order'!A:B,2,FALSE),Customer!A:C,3,FALSE),"Not Specified")</f>
        <v>Taylor, Maurice</v>
      </c>
      <c r="G981" s="6" t="str">
        <f t="shared" si="30"/>
        <v>Taylor Maurice</v>
      </c>
      <c r="H981" s="22" t="str">
        <f>IFERROR(VLOOKUP(VLOOKUP(A981,'Sales Order'!A:C,3,FALSE),Employee!A:E,5,FALSE)&amp;" "&amp;VLOOKUP(VLOOKUP(A981,'Sales Order'!A:C,3,FALSE),Employee!A:C,3,FALSE)&amp;" "&amp;VLOOKUP(VLOOKUP(A981,'Sales Order'!A:C,3,FALSE),Employee!A:B,2,FALSE),"Not Specified")</f>
        <v>Ms. Judy Lew</v>
      </c>
      <c r="I981" t="str">
        <f>IFERROR(VLOOKUP(VLOOKUP(A981,'Sales Order'!A:C,3,FALSE),Employee!A:J,10,FALSE),"Not Specified")</f>
        <v>WA</v>
      </c>
      <c r="J981" t="str">
        <f>VLOOKUP(B981,Product!A:B,2,FALSE)</f>
        <v>Product VJZZH</v>
      </c>
      <c r="K981" t="str">
        <f>VLOOKUP(VLOOKUP(B981,Product!A:D,4,FALSE),Category!A:B,2,FALSE)</f>
        <v>Confections</v>
      </c>
      <c r="L981" s="24">
        <f>IFERROR(VLOOKUP(A981,'Sales Order'!A:D,4,FALSE),"")</f>
        <v>39298</v>
      </c>
      <c r="M981" s="24">
        <f>IFERROR(VLOOKUP(A981,'Sales Order'!A:F,6,FALSE),"")</f>
        <v>39301</v>
      </c>
      <c r="N981" t="str">
        <f>IFERROR(VLOOKUP(VLOOKUP(A981,'Sales Order'!A:G,7,FALSE),Shipper!A:B,2,FALSE),"Not Specified")</f>
        <v>Shipper ZHISN</v>
      </c>
      <c r="O981" t="str">
        <f>IFERROR(VLOOKUP(A981,'Sales Order'!A:I,9,FALSE),"Not Specified")</f>
        <v>Ship to 51-B</v>
      </c>
      <c r="P981" t="str">
        <f>IFERROR(VLOOKUP(A981,'Sales Order'!A:N,14,FALSE),"Not Specified")</f>
        <v>Canada</v>
      </c>
      <c r="Q981" t="str">
        <f>VLOOKUP(VLOOKUP(B981,Product!A:C,3,FALSE),Supplier!A:B,2,FALSE)</f>
        <v>Supplier BWGYE</v>
      </c>
      <c r="R981" t="str">
        <f>VLOOKUP(VLOOKUP(B981,Product!A:C,3,FALSE),Supplier!A:I,9,FALSE)</f>
        <v>UK</v>
      </c>
      <c r="S981" t="str">
        <f>IFERROR(IF(VLOOKUP(A981,'Sales Order'!A:H,8,FALSE)&gt;100,"High Freight","Low Freight"),"Not Specified")</f>
        <v>Low Freight</v>
      </c>
      <c r="T981">
        <f t="shared" si="31"/>
        <v>420</v>
      </c>
    </row>
    <row r="982" spans="1:20">
      <c r="A982" s="9">
        <v>10619</v>
      </c>
      <c r="B982" s="6">
        <v>22</v>
      </c>
      <c r="C982" s="6">
        <v>21</v>
      </c>
      <c r="D982" s="6">
        <v>40</v>
      </c>
      <c r="E982" s="18">
        <v>0</v>
      </c>
      <c r="F982" s="6" t="str">
        <f>IFERROR(VLOOKUP(VLOOKUP(A982,'Sales Order'!A:B,2,FALSE),Customer!A:C,3,FALSE),"Not Specified")</f>
        <v>Taylor, Maurice</v>
      </c>
      <c r="G982" s="6" t="str">
        <f t="shared" si="30"/>
        <v>Taylor Maurice</v>
      </c>
      <c r="H982" s="22" t="str">
        <f>IFERROR(VLOOKUP(VLOOKUP(A982,'Sales Order'!A:C,3,FALSE),Employee!A:E,5,FALSE)&amp;" "&amp;VLOOKUP(VLOOKUP(A982,'Sales Order'!A:C,3,FALSE),Employee!A:C,3,FALSE)&amp;" "&amp;VLOOKUP(VLOOKUP(A982,'Sales Order'!A:C,3,FALSE),Employee!A:B,2,FALSE),"Not Specified")</f>
        <v>Ms. Judy Lew</v>
      </c>
      <c r="I982" t="str">
        <f>IFERROR(VLOOKUP(VLOOKUP(A982,'Sales Order'!A:C,3,FALSE),Employee!A:J,10,FALSE),"Not Specified")</f>
        <v>WA</v>
      </c>
      <c r="J982" t="str">
        <f>VLOOKUP(B982,Product!A:B,2,FALSE)</f>
        <v>Product CPHFY</v>
      </c>
      <c r="K982" t="str">
        <f>VLOOKUP(VLOOKUP(B982,Product!A:D,4,FALSE),Category!A:B,2,FALSE)</f>
        <v>Grains/Cereals</v>
      </c>
      <c r="L982" s="24">
        <f>IFERROR(VLOOKUP(A982,'Sales Order'!A:D,4,FALSE),"")</f>
        <v>39298</v>
      </c>
      <c r="M982" s="24">
        <f>IFERROR(VLOOKUP(A982,'Sales Order'!A:F,6,FALSE),"")</f>
        <v>39301</v>
      </c>
      <c r="N982" t="str">
        <f>IFERROR(VLOOKUP(VLOOKUP(A982,'Sales Order'!A:G,7,FALSE),Shipper!A:B,2,FALSE),"Not Specified")</f>
        <v>Shipper ZHISN</v>
      </c>
      <c r="O982" t="str">
        <f>IFERROR(VLOOKUP(A982,'Sales Order'!A:I,9,FALSE),"Not Specified")</f>
        <v>Ship to 51-B</v>
      </c>
      <c r="P982" t="str">
        <f>IFERROR(VLOOKUP(A982,'Sales Order'!A:N,14,FALSE),"Not Specified")</f>
        <v>Canada</v>
      </c>
      <c r="Q982" t="str">
        <f>VLOOKUP(VLOOKUP(B982,Product!A:C,3,FALSE),Supplier!A:B,2,FALSE)</f>
        <v>Supplier QQYEU</v>
      </c>
      <c r="R982" t="str">
        <f>VLOOKUP(VLOOKUP(B982,Product!A:C,3,FALSE),Supplier!A:I,9,FALSE)</f>
        <v>Sweden</v>
      </c>
      <c r="S982" t="str">
        <f>IFERROR(IF(VLOOKUP(A982,'Sales Order'!A:H,8,FALSE)&gt;100,"High Freight","Low Freight"),"Not Specified")</f>
        <v>Low Freight</v>
      </c>
      <c r="T982">
        <f t="shared" si="31"/>
        <v>840</v>
      </c>
    </row>
    <row r="983" spans="1:20">
      <c r="A983" s="9">
        <v>10620</v>
      </c>
      <c r="B983" s="6">
        <v>24</v>
      </c>
      <c r="C983" s="6">
        <v>4.5</v>
      </c>
      <c r="D983" s="6">
        <v>5</v>
      </c>
      <c r="E983" s="18">
        <v>0</v>
      </c>
      <c r="F983" s="6" t="str">
        <f>IFERROR(VLOOKUP(VLOOKUP(A983,'Sales Order'!A:B,2,FALSE),Customer!A:C,3,FALSE),"Not Specified")</f>
        <v>Steiner, Dominik</v>
      </c>
      <c r="G983" s="6" t="str">
        <f t="shared" si="30"/>
        <v>Steiner Dominik</v>
      </c>
      <c r="H983" s="22" t="str">
        <f>IFERROR(VLOOKUP(VLOOKUP(A983,'Sales Order'!A:C,3,FALSE),Employee!A:E,5,FALSE)&amp;" "&amp;VLOOKUP(VLOOKUP(A983,'Sales Order'!A:C,3,FALSE),Employee!A:C,3,FALSE)&amp;" "&amp;VLOOKUP(VLOOKUP(A983,'Sales Order'!A:C,3,FALSE),Employee!A:B,2,FALSE),"Not Specified")</f>
        <v>Dr. Don Funk</v>
      </c>
      <c r="I983" t="str">
        <f>IFERROR(VLOOKUP(VLOOKUP(A983,'Sales Order'!A:C,3,FALSE),Employee!A:J,10,FALSE),"Not Specified")</f>
        <v>WA</v>
      </c>
      <c r="J983" t="str">
        <f>VLOOKUP(B983,Product!A:B,2,FALSE)</f>
        <v>Product QOGNU</v>
      </c>
      <c r="K983" t="str">
        <f>VLOOKUP(VLOOKUP(B983,Product!A:D,4,FALSE),Category!A:B,2,FALSE)</f>
        <v>Beverages</v>
      </c>
      <c r="L983" s="24">
        <f>IFERROR(VLOOKUP(A983,'Sales Order'!A:D,4,FALSE),"")</f>
        <v>39299</v>
      </c>
      <c r="M983" s="24">
        <f>IFERROR(VLOOKUP(A983,'Sales Order'!A:F,6,FALSE),"")</f>
        <v>39308</v>
      </c>
      <c r="N983" t="str">
        <f>IFERROR(VLOOKUP(VLOOKUP(A983,'Sales Order'!A:G,7,FALSE),Shipper!A:B,2,FALSE),"Not Specified")</f>
        <v>Shipper ZHISN</v>
      </c>
      <c r="O983" t="str">
        <f>IFERROR(VLOOKUP(A983,'Sales Order'!A:I,9,FALSE),"Not Specified")</f>
        <v>Ship to 42-A</v>
      </c>
      <c r="P983" t="str">
        <f>IFERROR(VLOOKUP(A983,'Sales Order'!A:N,14,FALSE),"Not Specified")</f>
        <v>Canada</v>
      </c>
      <c r="Q983" t="str">
        <f>VLOOKUP(VLOOKUP(B983,Product!A:C,3,FALSE),Supplier!A:B,2,FALSE)</f>
        <v>Supplier UNAHG</v>
      </c>
      <c r="R983" t="str">
        <f>VLOOKUP(VLOOKUP(B983,Product!A:C,3,FALSE),Supplier!A:I,9,FALSE)</f>
        <v>Brazil</v>
      </c>
      <c r="S983" t="str">
        <f>IFERROR(IF(VLOOKUP(A983,'Sales Order'!A:H,8,FALSE)&gt;100,"High Freight","Low Freight"),"Not Specified")</f>
        <v>Low Freight</v>
      </c>
      <c r="T983">
        <f t="shared" si="31"/>
        <v>22.5</v>
      </c>
    </row>
    <row r="984" spans="1:20">
      <c r="A984" s="9">
        <v>10620</v>
      </c>
      <c r="B984" s="6">
        <v>52</v>
      </c>
      <c r="C984" s="6">
        <v>7</v>
      </c>
      <c r="D984" s="6">
        <v>5</v>
      </c>
      <c r="E984" s="18">
        <v>0</v>
      </c>
      <c r="F984" s="6" t="str">
        <f>IFERROR(VLOOKUP(VLOOKUP(A984,'Sales Order'!A:B,2,FALSE),Customer!A:C,3,FALSE),"Not Specified")</f>
        <v>Steiner, Dominik</v>
      </c>
      <c r="G984" s="6" t="str">
        <f t="shared" si="30"/>
        <v>Steiner Dominik</v>
      </c>
      <c r="H984" s="22" t="str">
        <f>IFERROR(VLOOKUP(VLOOKUP(A984,'Sales Order'!A:C,3,FALSE),Employee!A:E,5,FALSE)&amp;" "&amp;VLOOKUP(VLOOKUP(A984,'Sales Order'!A:C,3,FALSE),Employee!A:C,3,FALSE)&amp;" "&amp;VLOOKUP(VLOOKUP(A984,'Sales Order'!A:C,3,FALSE),Employee!A:B,2,FALSE),"Not Specified")</f>
        <v>Dr. Don Funk</v>
      </c>
      <c r="I984" t="str">
        <f>IFERROR(VLOOKUP(VLOOKUP(A984,'Sales Order'!A:C,3,FALSE),Employee!A:J,10,FALSE),"Not Specified")</f>
        <v>WA</v>
      </c>
      <c r="J984" t="str">
        <f>VLOOKUP(B984,Product!A:B,2,FALSE)</f>
        <v>Product QSRXF</v>
      </c>
      <c r="K984" t="str">
        <f>VLOOKUP(VLOOKUP(B984,Product!A:D,4,FALSE),Category!A:B,2,FALSE)</f>
        <v>Grains/Cereals</v>
      </c>
      <c r="L984" s="24">
        <f>IFERROR(VLOOKUP(A984,'Sales Order'!A:D,4,FALSE),"")</f>
        <v>39299</v>
      </c>
      <c r="M984" s="24">
        <f>IFERROR(VLOOKUP(A984,'Sales Order'!A:F,6,FALSE),"")</f>
        <v>39308</v>
      </c>
      <c r="N984" t="str">
        <f>IFERROR(VLOOKUP(VLOOKUP(A984,'Sales Order'!A:G,7,FALSE),Shipper!A:B,2,FALSE),"Not Specified")</f>
        <v>Shipper ZHISN</v>
      </c>
      <c r="O984" t="str">
        <f>IFERROR(VLOOKUP(A984,'Sales Order'!A:I,9,FALSE),"Not Specified")</f>
        <v>Ship to 42-A</v>
      </c>
      <c r="P984" t="str">
        <f>IFERROR(VLOOKUP(A984,'Sales Order'!A:N,14,FALSE),"Not Specified")</f>
        <v>Canada</v>
      </c>
      <c r="Q984" t="str">
        <f>VLOOKUP(VLOOKUP(B984,Product!A:C,3,FALSE),Supplier!A:B,2,FALSE)</f>
        <v>Supplier JNNES</v>
      </c>
      <c r="R984" t="str">
        <f>VLOOKUP(VLOOKUP(B984,Product!A:C,3,FALSE),Supplier!A:I,9,FALSE)</f>
        <v>Australia</v>
      </c>
      <c r="S984" t="str">
        <f>IFERROR(IF(VLOOKUP(A984,'Sales Order'!A:H,8,FALSE)&gt;100,"High Freight","Low Freight"),"Not Specified")</f>
        <v>Low Freight</v>
      </c>
      <c r="T984">
        <f t="shared" si="31"/>
        <v>35</v>
      </c>
    </row>
    <row r="985" spans="1:20">
      <c r="A985" s="9">
        <v>10621</v>
      </c>
      <c r="B985" s="6">
        <v>19</v>
      </c>
      <c r="C985" s="6">
        <v>9.1999999999999993</v>
      </c>
      <c r="D985" s="6">
        <v>5</v>
      </c>
      <c r="E985" s="18">
        <v>0</v>
      </c>
      <c r="F985" s="6" t="str">
        <f>IFERROR(VLOOKUP(VLOOKUP(A985,'Sales Order'!A:B,2,FALSE),Customer!A:C,3,FALSE),"Not Specified")</f>
        <v>Lee, Frank</v>
      </c>
      <c r="G985" s="6" t="str">
        <f t="shared" si="30"/>
        <v>Lee Frank</v>
      </c>
      <c r="H985" s="22" t="str">
        <f>IFERROR(VLOOKUP(VLOOKUP(A985,'Sales Order'!A:C,3,FALSE),Employee!A:E,5,FALSE)&amp;" "&amp;VLOOKUP(VLOOKUP(A985,'Sales Order'!A:C,3,FALSE),Employee!A:C,3,FALSE)&amp;" "&amp;VLOOKUP(VLOOKUP(A985,'Sales Order'!A:C,3,FALSE),Employee!A:B,2,FALSE),"Not Specified")</f>
        <v>Mrs. Yael Peled</v>
      </c>
      <c r="I985" t="str">
        <f>IFERROR(VLOOKUP(VLOOKUP(A985,'Sales Order'!A:C,3,FALSE),Employee!A:J,10,FALSE),"Not Specified")</f>
        <v>WA</v>
      </c>
      <c r="J985" t="str">
        <f>VLOOKUP(B985,Product!A:B,2,FALSE)</f>
        <v>Product XKXDO</v>
      </c>
      <c r="K985" t="str">
        <f>VLOOKUP(VLOOKUP(B985,Product!A:D,4,FALSE),Category!A:B,2,FALSE)</f>
        <v>Confections</v>
      </c>
      <c r="L985" s="24">
        <f>IFERROR(VLOOKUP(A985,'Sales Order'!A:D,4,FALSE),"")</f>
        <v>39299</v>
      </c>
      <c r="M985" s="24">
        <f>IFERROR(VLOOKUP(A985,'Sales Order'!A:F,6,FALSE),"")</f>
        <v>39305</v>
      </c>
      <c r="N985" t="str">
        <f>IFERROR(VLOOKUP(VLOOKUP(A985,'Sales Order'!A:G,7,FALSE),Shipper!A:B,2,FALSE),"Not Specified")</f>
        <v>Shipper ETYNR</v>
      </c>
      <c r="O985" t="str">
        <f>IFERROR(VLOOKUP(A985,'Sales Order'!A:I,9,FALSE),"Not Specified")</f>
        <v>Destination LMVGS</v>
      </c>
      <c r="P985" t="str">
        <f>IFERROR(VLOOKUP(A985,'Sales Order'!A:N,14,FALSE),"Not Specified")</f>
        <v>UK</v>
      </c>
      <c r="Q985" t="str">
        <f>VLOOKUP(VLOOKUP(B985,Product!A:C,3,FALSE),Supplier!A:B,2,FALSE)</f>
        <v>Supplier BWGYE</v>
      </c>
      <c r="R985" t="str">
        <f>VLOOKUP(VLOOKUP(B985,Product!A:C,3,FALSE),Supplier!A:I,9,FALSE)</f>
        <v>UK</v>
      </c>
      <c r="S985" t="str">
        <f>IFERROR(IF(VLOOKUP(A985,'Sales Order'!A:H,8,FALSE)&gt;100,"High Freight","Low Freight"),"Not Specified")</f>
        <v>Low Freight</v>
      </c>
      <c r="T985">
        <f t="shared" si="31"/>
        <v>46</v>
      </c>
    </row>
    <row r="986" spans="1:20">
      <c r="A986" s="9">
        <v>10621</v>
      </c>
      <c r="B986" s="6">
        <v>23</v>
      </c>
      <c r="C986" s="6">
        <v>9</v>
      </c>
      <c r="D986" s="6">
        <v>10</v>
      </c>
      <c r="E986" s="18">
        <v>0</v>
      </c>
      <c r="F986" s="6" t="str">
        <f>IFERROR(VLOOKUP(VLOOKUP(A986,'Sales Order'!A:B,2,FALSE),Customer!A:C,3,FALSE),"Not Specified")</f>
        <v>Lee, Frank</v>
      </c>
      <c r="G986" s="6" t="str">
        <f t="shared" si="30"/>
        <v>Lee Frank</v>
      </c>
      <c r="H986" s="22" t="str">
        <f>IFERROR(VLOOKUP(VLOOKUP(A986,'Sales Order'!A:C,3,FALSE),Employee!A:E,5,FALSE)&amp;" "&amp;VLOOKUP(VLOOKUP(A986,'Sales Order'!A:C,3,FALSE),Employee!A:C,3,FALSE)&amp;" "&amp;VLOOKUP(VLOOKUP(A986,'Sales Order'!A:C,3,FALSE),Employee!A:B,2,FALSE),"Not Specified")</f>
        <v>Mrs. Yael Peled</v>
      </c>
      <c r="I986" t="str">
        <f>IFERROR(VLOOKUP(VLOOKUP(A986,'Sales Order'!A:C,3,FALSE),Employee!A:J,10,FALSE),"Not Specified")</f>
        <v>WA</v>
      </c>
      <c r="J986" t="str">
        <f>VLOOKUP(B986,Product!A:B,2,FALSE)</f>
        <v>Product JLUDZ</v>
      </c>
      <c r="K986" t="str">
        <f>VLOOKUP(VLOOKUP(B986,Product!A:D,4,FALSE),Category!A:B,2,FALSE)</f>
        <v>Grains/Cereals</v>
      </c>
      <c r="L986" s="24">
        <f>IFERROR(VLOOKUP(A986,'Sales Order'!A:D,4,FALSE),"")</f>
        <v>39299</v>
      </c>
      <c r="M986" s="24">
        <f>IFERROR(VLOOKUP(A986,'Sales Order'!A:F,6,FALSE),"")</f>
        <v>39305</v>
      </c>
      <c r="N986" t="str">
        <f>IFERROR(VLOOKUP(VLOOKUP(A986,'Sales Order'!A:G,7,FALSE),Shipper!A:B,2,FALSE),"Not Specified")</f>
        <v>Shipper ETYNR</v>
      </c>
      <c r="O986" t="str">
        <f>IFERROR(VLOOKUP(A986,'Sales Order'!A:I,9,FALSE),"Not Specified")</f>
        <v>Destination LMVGS</v>
      </c>
      <c r="P986" t="str">
        <f>IFERROR(VLOOKUP(A986,'Sales Order'!A:N,14,FALSE),"Not Specified")</f>
        <v>UK</v>
      </c>
      <c r="Q986" t="str">
        <f>VLOOKUP(VLOOKUP(B986,Product!A:C,3,FALSE),Supplier!A:B,2,FALSE)</f>
        <v>Supplier QQYEU</v>
      </c>
      <c r="R986" t="str">
        <f>VLOOKUP(VLOOKUP(B986,Product!A:C,3,FALSE),Supplier!A:I,9,FALSE)</f>
        <v>Sweden</v>
      </c>
      <c r="S986" t="str">
        <f>IFERROR(IF(VLOOKUP(A986,'Sales Order'!A:H,8,FALSE)&gt;100,"High Freight","Low Freight"),"Not Specified")</f>
        <v>Low Freight</v>
      </c>
      <c r="T986">
        <f t="shared" si="31"/>
        <v>90</v>
      </c>
    </row>
    <row r="987" spans="1:20">
      <c r="A987" s="9">
        <v>10621</v>
      </c>
      <c r="B987" s="6">
        <v>70</v>
      </c>
      <c r="C987" s="6">
        <v>15</v>
      </c>
      <c r="D987" s="6">
        <v>20</v>
      </c>
      <c r="E987" s="18">
        <v>0</v>
      </c>
      <c r="F987" s="6" t="str">
        <f>IFERROR(VLOOKUP(VLOOKUP(A987,'Sales Order'!A:B,2,FALSE),Customer!A:C,3,FALSE),"Not Specified")</f>
        <v>Lee, Frank</v>
      </c>
      <c r="G987" s="6" t="str">
        <f t="shared" si="30"/>
        <v>Lee Frank</v>
      </c>
      <c r="H987" s="22" t="str">
        <f>IFERROR(VLOOKUP(VLOOKUP(A987,'Sales Order'!A:C,3,FALSE),Employee!A:E,5,FALSE)&amp;" "&amp;VLOOKUP(VLOOKUP(A987,'Sales Order'!A:C,3,FALSE),Employee!A:C,3,FALSE)&amp;" "&amp;VLOOKUP(VLOOKUP(A987,'Sales Order'!A:C,3,FALSE),Employee!A:B,2,FALSE),"Not Specified")</f>
        <v>Mrs. Yael Peled</v>
      </c>
      <c r="I987" t="str">
        <f>IFERROR(VLOOKUP(VLOOKUP(A987,'Sales Order'!A:C,3,FALSE),Employee!A:J,10,FALSE),"Not Specified")</f>
        <v>WA</v>
      </c>
      <c r="J987" t="str">
        <f>VLOOKUP(B987,Product!A:B,2,FALSE)</f>
        <v>Product TOONT</v>
      </c>
      <c r="K987" t="str">
        <f>VLOOKUP(VLOOKUP(B987,Product!A:D,4,FALSE),Category!A:B,2,FALSE)</f>
        <v>Beverages</v>
      </c>
      <c r="L987" s="24">
        <f>IFERROR(VLOOKUP(A987,'Sales Order'!A:D,4,FALSE),"")</f>
        <v>39299</v>
      </c>
      <c r="M987" s="24">
        <f>IFERROR(VLOOKUP(A987,'Sales Order'!A:F,6,FALSE),"")</f>
        <v>39305</v>
      </c>
      <c r="N987" t="str">
        <f>IFERROR(VLOOKUP(VLOOKUP(A987,'Sales Order'!A:G,7,FALSE),Shipper!A:B,2,FALSE),"Not Specified")</f>
        <v>Shipper ETYNR</v>
      </c>
      <c r="O987" t="str">
        <f>IFERROR(VLOOKUP(A987,'Sales Order'!A:I,9,FALSE),"Not Specified")</f>
        <v>Destination LMVGS</v>
      </c>
      <c r="P987" t="str">
        <f>IFERROR(VLOOKUP(A987,'Sales Order'!A:N,14,FALSE),"Not Specified")</f>
        <v>UK</v>
      </c>
      <c r="Q987" t="str">
        <f>VLOOKUP(VLOOKUP(B987,Product!A:C,3,FALSE),Supplier!A:B,2,FALSE)</f>
        <v>Supplier GQRCV</v>
      </c>
      <c r="R987" t="str">
        <f>VLOOKUP(VLOOKUP(B987,Product!A:C,3,FALSE),Supplier!A:I,9,FALSE)</f>
        <v>Australia</v>
      </c>
      <c r="S987" t="str">
        <f>IFERROR(IF(VLOOKUP(A987,'Sales Order'!A:H,8,FALSE)&gt;100,"High Freight","Low Freight"),"Not Specified")</f>
        <v>Low Freight</v>
      </c>
      <c r="T987">
        <f t="shared" si="31"/>
        <v>300</v>
      </c>
    </row>
    <row r="988" spans="1:20">
      <c r="A988" s="9">
        <v>10621</v>
      </c>
      <c r="B988" s="6">
        <v>71</v>
      </c>
      <c r="C988" s="6">
        <v>21.5</v>
      </c>
      <c r="D988" s="6">
        <v>15</v>
      </c>
      <c r="E988" s="18">
        <v>0</v>
      </c>
      <c r="F988" s="6" t="str">
        <f>IFERROR(VLOOKUP(VLOOKUP(A988,'Sales Order'!A:B,2,FALSE),Customer!A:C,3,FALSE),"Not Specified")</f>
        <v>Lee, Frank</v>
      </c>
      <c r="G988" s="6" t="str">
        <f t="shared" si="30"/>
        <v>Lee Frank</v>
      </c>
      <c r="H988" s="22" t="str">
        <f>IFERROR(VLOOKUP(VLOOKUP(A988,'Sales Order'!A:C,3,FALSE),Employee!A:E,5,FALSE)&amp;" "&amp;VLOOKUP(VLOOKUP(A988,'Sales Order'!A:C,3,FALSE),Employee!A:C,3,FALSE)&amp;" "&amp;VLOOKUP(VLOOKUP(A988,'Sales Order'!A:C,3,FALSE),Employee!A:B,2,FALSE),"Not Specified")</f>
        <v>Mrs. Yael Peled</v>
      </c>
      <c r="I988" t="str">
        <f>IFERROR(VLOOKUP(VLOOKUP(A988,'Sales Order'!A:C,3,FALSE),Employee!A:J,10,FALSE),"Not Specified")</f>
        <v>WA</v>
      </c>
      <c r="J988" t="str">
        <f>VLOOKUP(B988,Product!A:B,2,FALSE)</f>
        <v>Product MYMOI</v>
      </c>
      <c r="K988" t="str">
        <f>VLOOKUP(VLOOKUP(B988,Product!A:D,4,FALSE),Category!A:B,2,FALSE)</f>
        <v>Dairy Product</v>
      </c>
      <c r="L988" s="24">
        <f>IFERROR(VLOOKUP(A988,'Sales Order'!A:D,4,FALSE),"")</f>
        <v>39299</v>
      </c>
      <c r="M988" s="24">
        <f>IFERROR(VLOOKUP(A988,'Sales Order'!A:F,6,FALSE),"")</f>
        <v>39305</v>
      </c>
      <c r="N988" t="str">
        <f>IFERROR(VLOOKUP(VLOOKUP(A988,'Sales Order'!A:G,7,FALSE),Shipper!A:B,2,FALSE),"Not Specified")</f>
        <v>Shipper ETYNR</v>
      </c>
      <c r="O988" t="str">
        <f>IFERROR(VLOOKUP(A988,'Sales Order'!A:I,9,FALSE),"Not Specified")</f>
        <v>Destination LMVGS</v>
      </c>
      <c r="P988" t="str">
        <f>IFERROR(VLOOKUP(A988,'Sales Order'!A:N,14,FALSE),"Not Specified")</f>
        <v>UK</v>
      </c>
      <c r="Q988" t="str">
        <f>VLOOKUP(VLOOKUP(B988,Product!A:C,3,FALSE),Supplier!A:B,2,FALSE)</f>
        <v>Supplier NZLIF</v>
      </c>
      <c r="R988" t="str">
        <f>VLOOKUP(VLOOKUP(B988,Product!A:C,3,FALSE),Supplier!A:I,9,FALSE)</f>
        <v>Norway</v>
      </c>
      <c r="S988" t="str">
        <f>IFERROR(IF(VLOOKUP(A988,'Sales Order'!A:H,8,FALSE)&gt;100,"High Freight","Low Freight"),"Not Specified")</f>
        <v>Low Freight</v>
      </c>
      <c r="T988">
        <f t="shared" si="31"/>
        <v>322.5</v>
      </c>
    </row>
    <row r="989" spans="1:20">
      <c r="A989" s="9">
        <v>10622</v>
      </c>
      <c r="B989" s="6">
        <v>2</v>
      </c>
      <c r="C989" s="6">
        <v>19</v>
      </c>
      <c r="D989" s="6">
        <v>20</v>
      </c>
      <c r="E989" s="18">
        <v>0</v>
      </c>
      <c r="F989" s="6" t="str">
        <f>IFERROR(VLOOKUP(VLOOKUP(A989,'Sales Order'!A:B,2,FALSE),Customer!A:C,3,FALSE),"Not Specified")</f>
        <v>Garden, Euan</v>
      </c>
      <c r="G989" s="6" t="str">
        <f t="shared" si="30"/>
        <v>Garden Euan</v>
      </c>
      <c r="H989" s="22" t="str">
        <f>IFERROR(VLOOKUP(VLOOKUP(A989,'Sales Order'!A:C,3,FALSE),Employee!A:E,5,FALSE)&amp;" "&amp;VLOOKUP(VLOOKUP(A989,'Sales Order'!A:C,3,FALSE),Employee!A:C,3,FALSE)&amp;" "&amp;VLOOKUP(VLOOKUP(A989,'Sales Order'!A:C,3,FALSE),Employee!A:B,2,FALSE),"Not Specified")</f>
        <v>Mrs. Yael Peled</v>
      </c>
      <c r="I989" t="str">
        <f>IFERROR(VLOOKUP(VLOOKUP(A989,'Sales Order'!A:C,3,FALSE),Employee!A:J,10,FALSE),"Not Specified")</f>
        <v>WA</v>
      </c>
      <c r="J989" t="str">
        <f>VLOOKUP(B989,Product!A:B,2,FALSE)</f>
        <v>Product RECZE</v>
      </c>
      <c r="K989" t="str">
        <f>VLOOKUP(VLOOKUP(B989,Product!A:D,4,FALSE),Category!A:B,2,FALSE)</f>
        <v>Beverages</v>
      </c>
      <c r="L989" s="24">
        <f>IFERROR(VLOOKUP(A989,'Sales Order'!A:D,4,FALSE),"")</f>
        <v>39300</v>
      </c>
      <c r="M989" s="24">
        <f>IFERROR(VLOOKUP(A989,'Sales Order'!A:F,6,FALSE),"")</f>
        <v>39305</v>
      </c>
      <c r="N989" t="str">
        <f>IFERROR(VLOOKUP(VLOOKUP(A989,'Sales Order'!A:G,7,FALSE),Shipper!A:B,2,FALSE),"Not Specified")</f>
        <v>Shipper ZHISN</v>
      </c>
      <c r="O989" t="str">
        <f>IFERROR(VLOOKUP(A989,'Sales Order'!A:I,9,FALSE),"Not Specified")</f>
        <v>Ship to 67-A</v>
      </c>
      <c r="P989" t="str">
        <f>IFERROR(VLOOKUP(A989,'Sales Order'!A:N,14,FALSE),"Not Specified")</f>
        <v>Brazil</v>
      </c>
      <c r="Q989" t="str">
        <f>VLOOKUP(VLOOKUP(B989,Product!A:C,3,FALSE),Supplier!A:B,2,FALSE)</f>
        <v>Supplier SWRXU</v>
      </c>
      <c r="R989" t="str">
        <f>VLOOKUP(VLOOKUP(B989,Product!A:C,3,FALSE),Supplier!A:I,9,FALSE)</f>
        <v>UK</v>
      </c>
      <c r="S989" t="str">
        <f>IFERROR(IF(VLOOKUP(A989,'Sales Order'!A:H,8,FALSE)&gt;100,"High Freight","Low Freight"),"Not Specified")</f>
        <v>Low Freight</v>
      </c>
      <c r="T989">
        <f t="shared" si="31"/>
        <v>380</v>
      </c>
    </row>
    <row r="990" spans="1:20">
      <c r="A990" s="9">
        <v>10622</v>
      </c>
      <c r="B990" s="6">
        <v>68</v>
      </c>
      <c r="C990" s="6">
        <v>12.5</v>
      </c>
      <c r="D990" s="6">
        <v>18</v>
      </c>
      <c r="E990" s="18">
        <v>0.2</v>
      </c>
      <c r="F990" s="6" t="str">
        <f>IFERROR(VLOOKUP(VLOOKUP(A990,'Sales Order'!A:B,2,FALSE),Customer!A:C,3,FALSE),"Not Specified")</f>
        <v>Garden, Euan</v>
      </c>
      <c r="G990" s="6" t="str">
        <f t="shared" si="30"/>
        <v>Garden Euan</v>
      </c>
      <c r="H990" s="22" t="str">
        <f>IFERROR(VLOOKUP(VLOOKUP(A990,'Sales Order'!A:C,3,FALSE),Employee!A:E,5,FALSE)&amp;" "&amp;VLOOKUP(VLOOKUP(A990,'Sales Order'!A:C,3,FALSE),Employee!A:C,3,FALSE)&amp;" "&amp;VLOOKUP(VLOOKUP(A990,'Sales Order'!A:C,3,FALSE),Employee!A:B,2,FALSE),"Not Specified")</f>
        <v>Mrs. Yael Peled</v>
      </c>
      <c r="I990" t="str">
        <f>IFERROR(VLOOKUP(VLOOKUP(A990,'Sales Order'!A:C,3,FALSE),Employee!A:J,10,FALSE),"Not Specified")</f>
        <v>WA</v>
      </c>
      <c r="J990" t="str">
        <f>VLOOKUP(B990,Product!A:B,2,FALSE)</f>
        <v>Product TBTBL</v>
      </c>
      <c r="K990" t="str">
        <f>VLOOKUP(VLOOKUP(B990,Product!A:D,4,FALSE),Category!A:B,2,FALSE)</f>
        <v>Confections</v>
      </c>
      <c r="L990" s="24">
        <f>IFERROR(VLOOKUP(A990,'Sales Order'!A:D,4,FALSE),"")</f>
        <v>39300</v>
      </c>
      <c r="M990" s="24">
        <f>IFERROR(VLOOKUP(A990,'Sales Order'!A:F,6,FALSE),"")</f>
        <v>39305</v>
      </c>
      <c r="N990" t="str">
        <f>IFERROR(VLOOKUP(VLOOKUP(A990,'Sales Order'!A:G,7,FALSE),Shipper!A:B,2,FALSE),"Not Specified")</f>
        <v>Shipper ZHISN</v>
      </c>
      <c r="O990" t="str">
        <f>IFERROR(VLOOKUP(A990,'Sales Order'!A:I,9,FALSE),"Not Specified")</f>
        <v>Ship to 67-A</v>
      </c>
      <c r="P990" t="str">
        <f>IFERROR(VLOOKUP(A990,'Sales Order'!A:N,14,FALSE),"Not Specified")</f>
        <v>Brazil</v>
      </c>
      <c r="Q990" t="str">
        <f>VLOOKUP(VLOOKUP(B990,Product!A:C,3,FALSE),Supplier!A:B,2,FALSE)</f>
        <v>Supplier BWGYE</v>
      </c>
      <c r="R990" t="str">
        <f>VLOOKUP(VLOOKUP(B990,Product!A:C,3,FALSE),Supplier!A:I,9,FALSE)</f>
        <v>UK</v>
      </c>
      <c r="S990" t="str">
        <f>IFERROR(IF(VLOOKUP(A990,'Sales Order'!A:H,8,FALSE)&gt;100,"High Freight","Low Freight"),"Not Specified")</f>
        <v>Low Freight</v>
      </c>
      <c r="T990">
        <f t="shared" si="31"/>
        <v>180</v>
      </c>
    </row>
    <row r="991" spans="1:20">
      <c r="A991" s="9">
        <v>10623</v>
      </c>
      <c r="B991" s="6">
        <v>14</v>
      </c>
      <c r="C991" s="6">
        <v>23.25</v>
      </c>
      <c r="D991" s="6">
        <v>21</v>
      </c>
      <c r="E991" s="18">
        <v>0</v>
      </c>
      <c r="F991" s="6" t="str">
        <f>IFERROR(VLOOKUP(VLOOKUP(A991,'Sales Order'!A:B,2,FALSE),Customer!A:C,3,FALSE),"Not Specified")</f>
        <v>Carlson, Jason</v>
      </c>
      <c r="G991" s="6" t="str">
        <f t="shared" si="30"/>
        <v>Carlson Jason</v>
      </c>
      <c r="H991" s="22" t="str">
        <f>IFERROR(VLOOKUP(VLOOKUP(A991,'Sales Order'!A:C,3,FALSE),Employee!A:E,5,FALSE)&amp;" "&amp;VLOOKUP(VLOOKUP(A991,'Sales Order'!A:C,3,FALSE),Employee!A:C,3,FALSE)&amp;" "&amp;VLOOKUP(VLOOKUP(A991,'Sales Order'!A:C,3,FALSE),Employee!A:B,2,FALSE),"Not Specified")</f>
        <v>Ms. Maria Cameron</v>
      </c>
      <c r="I991" t="str">
        <f>IFERROR(VLOOKUP(VLOOKUP(A991,'Sales Order'!A:C,3,FALSE),Employee!A:J,10,FALSE),"Not Specified")</f>
        <v>WA</v>
      </c>
      <c r="J991" t="str">
        <f>VLOOKUP(B991,Product!A:B,2,FALSE)</f>
        <v>Product PWCJB</v>
      </c>
      <c r="K991" t="str">
        <f>VLOOKUP(VLOOKUP(B991,Product!A:D,4,FALSE),Category!A:B,2,FALSE)</f>
        <v>Produce</v>
      </c>
      <c r="L991" s="24">
        <f>IFERROR(VLOOKUP(A991,'Sales Order'!A:D,4,FALSE),"")</f>
        <v>39301</v>
      </c>
      <c r="M991" s="24">
        <f>IFERROR(VLOOKUP(A991,'Sales Order'!A:F,6,FALSE),"")</f>
        <v>39306</v>
      </c>
      <c r="N991" t="str">
        <f>IFERROR(VLOOKUP(VLOOKUP(A991,'Sales Order'!A:G,7,FALSE),Shipper!A:B,2,FALSE),"Not Specified")</f>
        <v>Shipper ETYNR</v>
      </c>
      <c r="O991" t="str">
        <f>IFERROR(VLOOKUP(A991,'Sales Order'!A:I,9,FALSE),"Not Specified")</f>
        <v>Destination VAPXU</v>
      </c>
      <c r="P991" t="str">
        <f>IFERROR(VLOOKUP(A991,'Sales Order'!A:N,14,FALSE),"Not Specified")</f>
        <v>Germany</v>
      </c>
      <c r="Q991" t="str">
        <f>VLOOKUP(VLOOKUP(B991,Product!A:C,3,FALSE),Supplier!A:B,2,FALSE)</f>
        <v>Supplier QWUSF</v>
      </c>
      <c r="R991" t="str">
        <f>VLOOKUP(VLOOKUP(B991,Product!A:C,3,FALSE),Supplier!A:I,9,FALSE)</f>
        <v>Japan</v>
      </c>
      <c r="S991" t="str">
        <f>IFERROR(IF(VLOOKUP(A991,'Sales Order'!A:H,8,FALSE)&gt;100,"High Freight","Low Freight"),"Not Specified")</f>
        <v>Low Freight</v>
      </c>
      <c r="T991">
        <f t="shared" si="31"/>
        <v>488.25</v>
      </c>
    </row>
    <row r="992" spans="1:20">
      <c r="A992" s="9">
        <v>10623</v>
      </c>
      <c r="B992" s="6">
        <v>19</v>
      </c>
      <c r="C992" s="6">
        <v>9.1999999999999993</v>
      </c>
      <c r="D992" s="6">
        <v>15</v>
      </c>
      <c r="E992" s="18">
        <v>0.1</v>
      </c>
      <c r="F992" s="6" t="str">
        <f>IFERROR(VLOOKUP(VLOOKUP(A992,'Sales Order'!A:B,2,FALSE),Customer!A:C,3,FALSE),"Not Specified")</f>
        <v>Carlson, Jason</v>
      </c>
      <c r="G992" s="6" t="str">
        <f t="shared" si="30"/>
        <v>Carlson Jason</v>
      </c>
      <c r="H992" s="22" t="str">
        <f>IFERROR(VLOOKUP(VLOOKUP(A992,'Sales Order'!A:C,3,FALSE),Employee!A:E,5,FALSE)&amp;" "&amp;VLOOKUP(VLOOKUP(A992,'Sales Order'!A:C,3,FALSE),Employee!A:C,3,FALSE)&amp;" "&amp;VLOOKUP(VLOOKUP(A992,'Sales Order'!A:C,3,FALSE),Employee!A:B,2,FALSE),"Not Specified")</f>
        <v>Ms. Maria Cameron</v>
      </c>
      <c r="I992" t="str">
        <f>IFERROR(VLOOKUP(VLOOKUP(A992,'Sales Order'!A:C,3,FALSE),Employee!A:J,10,FALSE),"Not Specified")</f>
        <v>WA</v>
      </c>
      <c r="J992" t="str">
        <f>VLOOKUP(B992,Product!A:B,2,FALSE)</f>
        <v>Product XKXDO</v>
      </c>
      <c r="K992" t="str">
        <f>VLOOKUP(VLOOKUP(B992,Product!A:D,4,FALSE),Category!A:B,2,FALSE)</f>
        <v>Confections</v>
      </c>
      <c r="L992" s="24">
        <f>IFERROR(VLOOKUP(A992,'Sales Order'!A:D,4,FALSE),"")</f>
        <v>39301</v>
      </c>
      <c r="M992" s="24">
        <f>IFERROR(VLOOKUP(A992,'Sales Order'!A:F,6,FALSE),"")</f>
        <v>39306</v>
      </c>
      <c r="N992" t="str">
        <f>IFERROR(VLOOKUP(VLOOKUP(A992,'Sales Order'!A:G,7,FALSE),Shipper!A:B,2,FALSE),"Not Specified")</f>
        <v>Shipper ETYNR</v>
      </c>
      <c r="O992" t="str">
        <f>IFERROR(VLOOKUP(A992,'Sales Order'!A:I,9,FALSE),"Not Specified")</f>
        <v>Destination VAPXU</v>
      </c>
      <c r="P992" t="str">
        <f>IFERROR(VLOOKUP(A992,'Sales Order'!A:N,14,FALSE),"Not Specified")</f>
        <v>Germany</v>
      </c>
      <c r="Q992" t="str">
        <f>VLOOKUP(VLOOKUP(B992,Product!A:C,3,FALSE),Supplier!A:B,2,FALSE)</f>
        <v>Supplier BWGYE</v>
      </c>
      <c r="R992" t="str">
        <f>VLOOKUP(VLOOKUP(B992,Product!A:C,3,FALSE),Supplier!A:I,9,FALSE)</f>
        <v>UK</v>
      </c>
      <c r="S992" t="str">
        <f>IFERROR(IF(VLOOKUP(A992,'Sales Order'!A:H,8,FALSE)&gt;100,"High Freight","Low Freight"),"Not Specified")</f>
        <v>Low Freight</v>
      </c>
      <c r="T992">
        <f t="shared" si="31"/>
        <v>124.2</v>
      </c>
    </row>
    <row r="993" spans="1:20">
      <c r="A993" s="9">
        <v>10623</v>
      </c>
      <c r="B993" s="6">
        <v>21</v>
      </c>
      <c r="C993" s="6">
        <v>10</v>
      </c>
      <c r="D993" s="6">
        <v>25</v>
      </c>
      <c r="E993" s="18">
        <v>0.1</v>
      </c>
      <c r="F993" s="6" t="str">
        <f>IFERROR(VLOOKUP(VLOOKUP(A993,'Sales Order'!A:B,2,FALSE),Customer!A:C,3,FALSE),"Not Specified")</f>
        <v>Carlson, Jason</v>
      </c>
      <c r="G993" s="6" t="str">
        <f t="shared" si="30"/>
        <v>Carlson Jason</v>
      </c>
      <c r="H993" s="22" t="str">
        <f>IFERROR(VLOOKUP(VLOOKUP(A993,'Sales Order'!A:C,3,FALSE),Employee!A:E,5,FALSE)&amp;" "&amp;VLOOKUP(VLOOKUP(A993,'Sales Order'!A:C,3,FALSE),Employee!A:C,3,FALSE)&amp;" "&amp;VLOOKUP(VLOOKUP(A993,'Sales Order'!A:C,3,FALSE),Employee!A:B,2,FALSE),"Not Specified")</f>
        <v>Ms. Maria Cameron</v>
      </c>
      <c r="I993" t="str">
        <f>IFERROR(VLOOKUP(VLOOKUP(A993,'Sales Order'!A:C,3,FALSE),Employee!A:J,10,FALSE),"Not Specified")</f>
        <v>WA</v>
      </c>
      <c r="J993" t="str">
        <f>VLOOKUP(B993,Product!A:B,2,FALSE)</f>
        <v>Product VJZZH</v>
      </c>
      <c r="K993" t="str">
        <f>VLOOKUP(VLOOKUP(B993,Product!A:D,4,FALSE),Category!A:B,2,FALSE)</f>
        <v>Confections</v>
      </c>
      <c r="L993" s="24">
        <f>IFERROR(VLOOKUP(A993,'Sales Order'!A:D,4,FALSE),"")</f>
        <v>39301</v>
      </c>
      <c r="M993" s="24">
        <f>IFERROR(VLOOKUP(A993,'Sales Order'!A:F,6,FALSE),"")</f>
        <v>39306</v>
      </c>
      <c r="N993" t="str">
        <f>IFERROR(VLOOKUP(VLOOKUP(A993,'Sales Order'!A:G,7,FALSE),Shipper!A:B,2,FALSE),"Not Specified")</f>
        <v>Shipper ETYNR</v>
      </c>
      <c r="O993" t="str">
        <f>IFERROR(VLOOKUP(A993,'Sales Order'!A:I,9,FALSE),"Not Specified")</f>
        <v>Destination VAPXU</v>
      </c>
      <c r="P993" t="str">
        <f>IFERROR(VLOOKUP(A993,'Sales Order'!A:N,14,FALSE),"Not Specified")</f>
        <v>Germany</v>
      </c>
      <c r="Q993" t="str">
        <f>VLOOKUP(VLOOKUP(B993,Product!A:C,3,FALSE),Supplier!A:B,2,FALSE)</f>
        <v>Supplier BWGYE</v>
      </c>
      <c r="R993" t="str">
        <f>VLOOKUP(VLOOKUP(B993,Product!A:C,3,FALSE),Supplier!A:I,9,FALSE)</f>
        <v>UK</v>
      </c>
      <c r="S993" t="str">
        <f>IFERROR(IF(VLOOKUP(A993,'Sales Order'!A:H,8,FALSE)&gt;100,"High Freight","Low Freight"),"Not Specified")</f>
        <v>Low Freight</v>
      </c>
      <c r="T993">
        <f t="shared" si="31"/>
        <v>225</v>
      </c>
    </row>
    <row r="994" spans="1:20">
      <c r="A994" s="9">
        <v>10623</v>
      </c>
      <c r="B994" s="6">
        <v>24</v>
      </c>
      <c r="C994" s="6">
        <v>4.5</v>
      </c>
      <c r="D994" s="6">
        <v>3</v>
      </c>
      <c r="E994" s="18">
        <v>0</v>
      </c>
      <c r="F994" s="6" t="str">
        <f>IFERROR(VLOOKUP(VLOOKUP(A994,'Sales Order'!A:B,2,FALSE),Customer!A:C,3,FALSE),"Not Specified")</f>
        <v>Carlson, Jason</v>
      </c>
      <c r="G994" s="6" t="str">
        <f t="shared" si="30"/>
        <v>Carlson Jason</v>
      </c>
      <c r="H994" s="22" t="str">
        <f>IFERROR(VLOOKUP(VLOOKUP(A994,'Sales Order'!A:C,3,FALSE),Employee!A:E,5,FALSE)&amp;" "&amp;VLOOKUP(VLOOKUP(A994,'Sales Order'!A:C,3,FALSE),Employee!A:C,3,FALSE)&amp;" "&amp;VLOOKUP(VLOOKUP(A994,'Sales Order'!A:C,3,FALSE),Employee!A:B,2,FALSE),"Not Specified")</f>
        <v>Ms. Maria Cameron</v>
      </c>
      <c r="I994" t="str">
        <f>IFERROR(VLOOKUP(VLOOKUP(A994,'Sales Order'!A:C,3,FALSE),Employee!A:J,10,FALSE),"Not Specified")</f>
        <v>WA</v>
      </c>
      <c r="J994" t="str">
        <f>VLOOKUP(B994,Product!A:B,2,FALSE)</f>
        <v>Product QOGNU</v>
      </c>
      <c r="K994" t="str">
        <f>VLOOKUP(VLOOKUP(B994,Product!A:D,4,FALSE),Category!A:B,2,FALSE)</f>
        <v>Beverages</v>
      </c>
      <c r="L994" s="24">
        <f>IFERROR(VLOOKUP(A994,'Sales Order'!A:D,4,FALSE),"")</f>
        <v>39301</v>
      </c>
      <c r="M994" s="24">
        <f>IFERROR(VLOOKUP(A994,'Sales Order'!A:F,6,FALSE),"")</f>
        <v>39306</v>
      </c>
      <c r="N994" t="str">
        <f>IFERROR(VLOOKUP(VLOOKUP(A994,'Sales Order'!A:G,7,FALSE),Shipper!A:B,2,FALSE),"Not Specified")</f>
        <v>Shipper ETYNR</v>
      </c>
      <c r="O994" t="str">
        <f>IFERROR(VLOOKUP(A994,'Sales Order'!A:I,9,FALSE),"Not Specified")</f>
        <v>Destination VAPXU</v>
      </c>
      <c r="P994" t="str">
        <f>IFERROR(VLOOKUP(A994,'Sales Order'!A:N,14,FALSE),"Not Specified")</f>
        <v>Germany</v>
      </c>
      <c r="Q994" t="str">
        <f>VLOOKUP(VLOOKUP(B994,Product!A:C,3,FALSE),Supplier!A:B,2,FALSE)</f>
        <v>Supplier UNAHG</v>
      </c>
      <c r="R994" t="str">
        <f>VLOOKUP(VLOOKUP(B994,Product!A:C,3,FALSE),Supplier!A:I,9,FALSE)</f>
        <v>Brazil</v>
      </c>
      <c r="S994" t="str">
        <f>IFERROR(IF(VLOOKUP(A994,'Sales Order'!A:H,8,FALSE)&gt;100,"High Freight","Low Freight"),"Not Specified")</f>
        <v>Low Freight</v>
      </c>
      <c r="T994">
        <f t="shared" si="31"/>
        <v>13.5</v>
      </c>
    </row>
    <row r="995" spans="1:20">
      <c r="A995" s="9">
        <v>10623</v>
      </c>
      <c r="B995" s="6">
        <v>35</v>
      </c>
      <c r="C995" s="6">
        <v>18</v>
      </c>
      <c r="D995" s="6">
        <v>30</v>
      </c>
      <c r="E995" s="18">
        <v>0.1</v>
      </c>
      <c r="F995" s="6" t="str">
        <f>IFERROR(VLOOKUP(VLOOKUP(A995,'Sales Order'!A:B,2,FALSE),Customer!A:C,3,FALSE),"Not Specified")</f>
        <v>Carlson, Jason</v>
      </c>
      <c r="G995" s="6" t="str">
        <f t="shared" si="30"/>
        <v>Carlson Jason</v>
      </c>
      <c r="H995" s="22" t="str">
        <f>IFERROR(VLOOKUP(VLOOKUP(A995,'Sales Order'!A:C,3,FALSE),Employee!A:E,5,FALSE)&amp;" "&amp;VLOOKUP(VLOOKUP(A995,'Sales Order'!A:C,3,FALSE),Employee!A:C,3,FALSE)&amp;" "&amp;VLOOKUP(VLOOKUP(A995,'Sales Order'!A:C,3,FALSE),Employee!A:B,2,FALSE),"Not Specified")</f>
        <v>Ms. Maria Cameron</v>
      </c>
      <c r="I995" t="str">
        <f>IFERROR(VLOOKUP(VLOOKUP(A995,'Sales Order'!A:C,3,FALSE),Employee!A:J,10,FALSE),"Not Specified")</f>
        <v>WA</v>
      </c>
      <c r="J995" t="str">
        <f>VLOOKUP(B995,Product!A:B,2,FALSE)</f>
        <v>Product NEVTJ</v>
      </c>
      <c r="K995" t="str">
        <f>VLOOKUP(VLOOKUP(B995,Product!A:D,4,FALSE),Category!A:B,2,FALSE)</f>
        <v>Beverages</v>
      </c>
      <c r="L995" s="24">
        <f>IFERROR(VLOOKUP(A995,'Sales Order'!A:D,4,FALSE),"")</f>
        <v>39301</v>
      </c>
      <c r="M995" s="24">
        <f>IFERROR(VLOOKUP(A995,'Sales Order'!A:F,6,FALSE),"")</f>
        <v>39306</v>
      </c>
      <c r="N995" t="str">
        <f>IFERROR(VLOOKUP(VLOOKUP(A995,'Sales Order'!A:G,7,FALSE),Shipper!A:B,2,FALSE),"Not Specified")</f>
        <v>Shipper ETYNR</v>
      </c>
      <c r="O995" t="str">
        <f>IFERROR(VLOOKUP(A995,'Sales Order'!A:I,9,FALSE),"Not Specified")</f>
        <v>Destination VAPXU</v>
      </c>
      <c r="P995" t="str">
        <f>IFERROR(VLOOKUP(A995,'Sales Order'!A:N,14,FALSE),"Not Specified")</f>
        <v>Germany</v>
      </c>
      <c r="Q995" t="str">
        <f>VLOOKUP(VLOOKUP(B995,Product!A:C,3,FALSE),Supplier!A:B,2,FALSE)</f>
        <v>Supplier UHZRG</v>
      </c>
      <c r="R995" t="str">
        <f>VLOOKUP(VLOOKUP(B995,Product!A:C,3,FALSE),Supplier!A:I,9,FALSE)</f>
        <v>USA</v>
      </c>
      <c r="S995" t="str">
        <f>IFERROR(IF(VLOOKUP(A995,'Sales Order'!A:H,8,FALSE)&gt;100,"High Freight","Low Freight"),"Not Specified")</f>
        <v>Low Freight</v>
      </c>
      <c r="T995">
        <f t="shared" si="31"/>
        <v>486</v>
      </c>
    </row>
    <row r="996" spans="1:20">
      <c r="A996" s="9">
        <v>10624</v>
      </c>
      <c r="B996" s="6">
        <v>28</v>
      </c>
      <c r="C996" s="6">
        <v>45.6</v>
      </c>
      <c r="D996" s="6">
        <v>10</v>
      </c>
      <c r="E996" s="18">
        <v>0</v>
      </c>
      <c r="F996" s="6" t="str">
        <f>IFERROR(VLOOKUP(VLOOKUP(A996,'Sales Order'!A:B,2,FALSE),Customer!A:C,3,FALSE),"Not Specified")</f>
        <v>Young, Robin</v>
      </c>
      <c r="G996" s="6" t="str">
        <f t="shared" si="30"/>
        <v>Young Robin</v>
      </c>
      <c r="H996" s="22" t="str">
        <f>IFERROR(VLOOKUP(VLOOKUP(A996,'Sales Order'!A:C,3,FALSE),Employee!A:E,5,FALSE)&amp;" "&amp;VLOOKUP(VLOOKUP(A996,'Sales Order'!A:C,3,FALSE),Employee!A:C,3,FALSE)&amp;" "&amp;VLOOKUP(VLOOKUP(A996,'Sales Order'!A:C,3,FALSE),Employee!A:B,2,FALSE),"Not Specified")</f>
        <v>Mrs. Yael Peled</v>
      </c>
      <c r="I996" t="str">
        <f>IFERROR(VLOOKUP(VLOOKUP(A996,'Sales Order'!A:C,3,FALSE),Employee!A:J,10,FALSE),"Not Specified")</f>
        <v>WA</v>
      </c>
      <c r="J996" t="str">
        <f>VLOOKUP(B996,Product!A:B,2,FALSE)</f>
        <v>Product OFBNT</v>
      </c>
      <c r="K996" t="str">
        <f>VLOOKUP(VLOOKUP(B996,Product!A:D,4,FALSE),Category!A:B,2,FALSE)</f>
        <v>Produce</v>
      </c>
      <c r="L996" s="24">
        <f>IFERROR(VLOOKUP(A996,'Sales Order'!A:D,4,FALSE),"")</f>
        <v>39301</v>
      </c>
      <c r="M996" s="24">
        <f>IFERROR(VLOOKUP(A996,'Sales Order'!A:F,6,FALSE),"")</f>
        <v>39313</v>
      </c>
      <c r="N996" t="str">
        <f>IFERROR(VLOOKUP(VLOOKUP(A996,'Sales Order'!A:G,7,FALSE),Shipper!A:B,2,FALSE),"Not Specified")</f>
        <v>Shipper ETYNR</v>
      </c>
      <c r="O996" t="str">
        <f>IFERROR(VLOOKUP(A996,'Sales Order'!A:I,9,FALSE),"Not Specified")</f>
        <v>Ship to 78-C</v>
      </c>
      <c r="P996" t="str">
        <f>IFERROR(VLOOKUP(A996,'Sales Order'!A:N,14,FALSE),"Not Specified")</f>
        <v>USA</v>
      </c>
      <c r="Q996" t="str">
        <f>VLOOKUP(VLOOKUP(B996,Product!A:C,3,FALSE),Supplier!A:B,2,FALSE)</f>
        <v>Supplier SVIYA</v>
      </c>
      <c r="R996" t="str">
        <f>VLOOKUP(VLOOKUP(B996,Product!A:C,3,FALSE),Supplier!A:I,9,FALSE)</f>
        <v>Germany</v>
      </c>
      <c r="S996" t="str">
        <f>IFERROR(IF(VLOOKUP(A996,'Sales Order'!A:H,8,FALSE)&gt;100,"High Freight","Low Freight"),"Not Specified")</f>
        <v>Low Freight</v>
      </c>
      <c r="T996">
        <f t="shared" si="31"/>
        <v>456</v>
      </c>
    </row>
    <row r="997" spans="1:20">
      <c r="A997" s="9">
        <v>10624</v>
      </c>
      <c r="B997" s="6">
        <v>29</v>
      </c>
      <c r="C997" s="6">
        <v>123.79</v>
      </c>
      <c r="D997" s="6">
        <v>6</v>
      </c>
      <c r="E997" s="18">
        <v>0</v>
      </c>
      <c r="F997" s="6" t="str">
        <f>IFERROR(VLOOKUP(VLOOKUP(A997,'Sales Order'!A:B,2,FALSE),Customer!A:C,3,FALSE),"Not Specified")</f>
        <v>Young, Robin</v>
      </c>
      <c r="G997" s="6" t="str">
        <f t="shared" si="30"/>
        <v>Young Robin</v>
      </c>
      <c r="H997" s="22" t="str">
        <f>IFERROR(VLOOKUP(VLOOKUP(A997,'Sales Order'!A:C,3,FALSE),Employee!A:E,5,FALSE)&amp;" "&amp;VLOOKUP(VLOOKUP(A997,'Sales Order'!A:C,3,FALSE),Employee!A:C,3,FALSE)&amp;" "&amp;VLOOKUP(VLOOKUP(A997,'Sales Order'!A:C,3,FALSE),Employee!A:B,2,FALSE),"Not Specified")</f>
        <v>Mrs. Yael Peled</v>
      </c>
      <c r="I997" t="str">
        <f>IFERROR(VLOOKUP(VLOOKUP(A997,'Sales Order'!A:C,3,FALSE),Employee!A:J,10,FALSE),"Not Specified")</f>
        <v>WA</v>
      </c>
      <c r="J997" t="str">
        <f>VLOOKUP(B997,Product!A:B,2,FALSE)</f>
        <v>Product VJXYN</v>
      </c>
      <c r="K997" t="str">
        <f>VLOOKUP(VLOOKUP(B997,Product!A:D,4,FALSE),Category!A:B,2,FALSE)</f>
        <v>Meat/Poultry</v>
      </c>
      <c r="L997" s="24">
        <f>IFERROR(VLOOKUP(A997,'Sales Order'!A:D,4,FALSE),"")</f>
        <v>39301</v>
      </c>
      <c r="M997" s="24">
        <f>IFERROR(VLOOKUP(A997,'Sales Order'!A:F,6,FALSE),"")</f>
        <v>39313</v>
      </c>
      <c r="N997" t="str">
        <f>IFERROR(VLOOKUP(VLOOKUP(A997,'Sales Order'!A:G,7,FALSE),Shipper!A:B,2,FALSE),"Not Specified")</f>
        <v>Shipper ETYNR</v>
      </c>
      <c r="O997" t="str">
        <f>IFERROR(VLOOKUP(A997,'Sales Order'!A:I,9,FALSE),"Not Specified")</f>
        <v>Ship to 78-C</v>
      </c>
      <c r="P997" t="str">
        <f>IFERROR(VLOOKUP(A997,'Sales Order'!A:N,14,FALSE),"Not Specified")</f>
        <v>USA</v>
      </c>
      <c r="Q997" t="str">
        <f>VLOOKUP(VLOOKUP(B997,Product!A:C,3,FALSE),Supplier!A:B,2,FALSE)</f>
        <v>Supplier SVIYA</v>
      </c>
      <c r="R997" t="str">
        <f>VLOOKUP(VLOOKUP(B997,Product!A:C,3,FALSE),Supplier!A:I,9,FALSE)</f>
        <v>Germany</v>
      </c>
      <c r="S997" t="str">
        <f>IFERROR(IF(VLOOKUP(A997,'Sales Order'!A:H,8,FALSE)&gt;100,"High Freight","Low Freight"),"Not Specified")</f>
        <v>Low Freight</v>
      </c>
      <c r="T997">
        <f t="shared" si="31"/>
        <v>742.74</v>
      </c>
    </row>
    <row r="998" spans="1:20">
      <c r="A998" s="9">
        <v>10624</v>
      </c>
      <c r="B998" s="6">
        <v>44</v>
      </c>
      <c r="C998" s="6">
        <v>19.45</v>
      </c>
      <c r="D998" s="6">
        <v>10</v>
      </c>
      <c r="E998" s="18">
        <v>0</v>
      </c>
      <c r="F998" s="6" t="str">
        <f>IFERROR(VLOOKUP(VLOOKUP(A998,'Sales Order'!A:B,2,FALSE),Customer!A:C,3,FALSE),"Not Specified")</f>
        <v>Young, Robin</v>
      </c>
      <c r="G998" s="6" t="str">
        <f t="shared" si="30"/>
        <v>Young Robin</v>
      </c>
      <c r="H998" s="22" t="str">
        <f>IFERROR(VLOOKUP(VLOOKUP(A998,'Sales Order'!A:C,3,FALSE),Employee!A:E,5,FALSE)&amp;" "&amp;VLOOKUP(VLOOKUP(A998,'Sales Order'!A:C,3,FALSE),Employee!A:C,3,FALSE)&amp;" "&amp;VLOOKUP(VLOOKUP(A998,'Sales Order'!A:C,3,FALSE),Employee!A:B,2,FALSE),"Not Specified")</f>
        <v>Mrs. Yael Peled</v>
      </c>
      <c r="I998" t="str">
        <f>IFERROR(VLOOKUP(VLOOKUP(A998,'Sales Order'!A:C,3,FALSE),Employee!A:J,10,FALSE),"Not Specified")</f>
        <v>WA</v>
      </c>
      <c r="J998" t="str">
        <f>VLOOKUP(B998,Product!A:B,2,FALSE)</f>
        <v>Product VJIEO</v>
      </c>
      <c r="K998" t="str">
        <f>VLOOKUP(VLOOKUP(B998,Product!A:D,4,FALSE),Category!A:B,2,FALSE)</f>
        <v>Condiments</v>
      </c>
      <c r="L998" s="24">
        <f>IFERROR(VLOOKUP(A998,'Sales Order'!A:D,4,FALSE),"")</f>
        <v>39301</v>
      </c>
      <c r="M998" s="24">
        <f>IFERROR(VLOOKUP(A998,'Sales Order'!A:F,6,FALSE),"")</f>
        <v>39313</v>
      </c>
      <c r="N998" t="str">
        <f>IFERROR(VLOOKUP(VLOOKUP(A998,'Sales Order'!A:G,7,FALSE),Shipper!A:B,2,FALSE),"Not Specified")</f>
        <v>Shipper ETYNR</v>
      </c>
      <c r="O998" t="str">
        <f>IFERROR(VLOOKUP(A998,'Sales Order'!A:I,9,FALSE),"Not Specified")</f>
        <v>Ship to 78-C</v>
      </c>
      <c r="P998" t="str">
        <f>IFERROR(VLOOKUP(A998,'Sales Order'!A:N,14,FALSE),"Not Specified")</f>
        <v>USA</v>
      </c>
      <c r="Q998" t="str">
        <f>VLOOKUP(VLOOKUP(B998,Product!A:C,3,FALSE),Supplier!A:B,2,FALSE)</f>
        <v>Supplier CIYNM</v>
      </c>
      <c r="R998" t="str">
        <f>VLOOKUP(VLOOKUP(B998,Product!A:C,3,FALSE),Supplier!A:I,9,FALSE)</f>
        <v>Singapore</v>
      </c>
      <c r="S998" t="str">
        <f>IFERROR(IF(VLOOKUP(A998,'Sales Order'!A:H,8,FALSE)&gt;100,"High Freight","Low Freight"),"Not Specified")</f>
        <v>Low Freight</v>
      </c>
      <c r="T998">
        <f t="shared" si="31"/>
        <v>194.5</v>
      </c>
    </row>
    <row r="999" spans="1:20">
      <c r="A999" s="9">
        <v>10625</v>
      </c>
      <c r="B999" s="6">
        <v>14</v>
      </c>
      <c r="C999" s="6">
        <v>23.25</v>
      </c>
      <c r="D999" s="6">
        <v>3</v>
      </c>
      <c r="E999" s="18">
        <v>0</v>
      </c>
      <c r="F999" s="6" t="str">
        <f>IFERROR(VLOOKUP(VLOOKUP(A999,'Sales Order'!A:B,2,FALSE),Customer!A:C,3,FALSE),"Not Specified")</f>
        <v>Hassall, Mark</v>
      </c>
      <c r="G999" s="6" t="str">
        <f t="shared" si="30"/>
        <v>Hassall Mark</v>
      </c>
      <c r="H999" s="22" t="str">
        <f>IFERROR(VLOOKUP(VLOOKUP(A999,'Sales Order'!A:C,3,FALSE),Employee!A:E,5,FALSE)&amp;" "&amp;VLOOKUP(VLOOKUP(A999,'Sales Order'!A:C,3,FALSE),Employee!A:C,3,FALSE)&amp;" "&amp;VLOOKUP(VLOOKUP(A999,'Sales Order'!A:C,3,FALSE),Employee!A:B,2,FALSE),"Not Specified")</f>
        <v>Ms. Judy Lew</v>
      </c>
      <c r="I999" t="str">
        <f>IFERROR(VLOOKUP(VLOOKUP(A999,'Sales Order'!A:C,3,FALSE),Employee!A:J,10,FALSE),"Not Specified")</f>
        <v>WA</v>
      </c>
      <c r="J999" t="str">
        <f>VLOOKUP(B999,Product!A:B,2,FALSE)</f>
        <v>Product PWCJB</v>
      </c>
      <c r="K999" t="str">
        <f>VLOOKUP(VLOOKUP(B999,Product!A:D,4,FALSE),Category!A:B,2,FALSE)</f>
        <v>Produce</v>
      </c>
      <c r="L999" s="24">
        <f>IFERROR(VLOOKUP(A999,'Sales Order'!A:D,4,FALSE),"")</f>
        <v>39302</v>
      </c>
      <c r="M999" s="24">
        <f>IFERROR(VLOOKUP(A999,'Sales Order'!A:F,6,FALSE),"")</f>
        <v>39308</v>
      </c>
      <c r="N999" t="str">
        <f>IFERROR(VLOOKUP(VLOOKUP(A999,'Sales Order'!A:G,7,FALSE),Shipper!A:B,2,FALSE),"Not Specified")</f>
        <v>Shipper GVSUA</v>
      </c>
      <c r="O999" t="str">
        <f>IFERROR(VLOOKUP(A999,'Sales Order'!A:I,9,FALSE),"Not Specified")</f>
        <v>Destination QOTQA</v>
      </c>
      <c r="P999" t="str">
        <f>IFERROR(VLOOKUP(A999,'Sales Order'!A:N,14,FALSE),"Not Specified")</f>
        <v>Mexico</v>
      </c>
      <c r="Q999" t="str">
        <f>VLOOKUP(VLOOKUP(B999,Product!A:C,3,FALSE),Supplier!A:B,2,FALSE)</f>
        <v>Supplier QWUSF</v>
      </c>
      <c r="R999" t="str">
        <f>VLOOKUP(VLOOKUP(B999,Product!A:C,3,FALSE),Supplier!A:I,9,FALSE)</f>
        <v>Japan</v>
      </c>
      <c r="S999" t="str">
        <f>IFERROR(IF(VLOOKUP(A999,'Sales Order'!A:H,8,FALSE)&gt;100,"High Freight","Low Freight"),"Not Specified")</f>
        <v>Low Freight</v>
      </c>
      <c r="T999">
        <f t="shared" si="31"/>
        <v>69.75</v>
      </c>
    </row>
    <row r="1000" spans="1:20">
      <c r="A1000" s="9">
        <v>10625</v>
      </c>
      <c r="B1000" s="6">
        <v>42</v>
      </c>
      <c r="C1000" s="6">
        <v>14</v>
      </c>
      <c r="D1000" s="6">
        <v>5</v>
      </c>
      <c r="E1000" s="18">
        <v>0</v>
      </c>
      <c r="F1000" s="6" t="str">
        <f>IFERROR(VLOOKUP(VLOOKUP(A1000,'Sales Order'!A:B,2,FALSE),Customer!A:C,3,FALSE),"Not Specified")</f>
        <v>Hassall, Mark</v>
      </c>
      <c r="G1000" s="6" t="str">
        <f t="shared" si="30"/>
        <v>Hassall Mark</v>
      </c>
      <c r="H1000" s="22" t="str">
        <f>IFERROR(VLOOKUP(VLOOKUP(A1000,'Sales Order'!A:C,3,FALSE),Employee!A:E,5,FALSE)&amp;" "&amp;VLOOKUP(VLOOKUP(A1000,'Sales Order'!A:C,3,FALSE),Employee!A:C,3,FALSE)&amp;" "&amp;VLOOKUP(VLOOKUP(A1000,'Sales Order'!A:C,3,FALSE),Employee!A:B,2,FALSE),"Not Specified")</f>
        <v>Ms. Judy Lew</v>
      </c>
      <c r="I1000" t="str">
        <f>IFERROR(VLOOKUP(VLOOKUP(A1000,'Sales Order'!A:C,3,FALSE),Employee!A:J,10,FALSE),"Not Specified")</f>
        <v>WA</v>
      </c>
      <c r="J1000" t="str">
        <f>VLOOKUP(B1000,Product!A:B,2,FALSE)</f>
        <v>Product RJVNM</v>
      </c>
      <c r="K1000" t="str">
        <f>VLOOKUP(VLOOKUP(B1000,Product!A:D,4,FALSE),Category!A:B,2,FALSE)</f>
        <v>Grains/Cereals</v>
      </c>
      <c r="L1000" s="24">
        <f>IFERROR(VLOOKUP(A1000,'Sales Order'!A:D,4,FALSE),"")</f>
        <v>39302</v>
      </c>
      <c r="M1000" s="24">
        <f>IFERROR(VLOOKUP(A1000,'Sales Order'!A:F,6,FALSE),"")</f>
        <v>39308</v>
      </c>
      <c r="N1000" t="str">
        <f>IFERROR(VLOOKUP(VLOOKUP(A1000,'Sales Order'!A:G,7,FALSE),Shipper!A:B,2,FALSE),"Not Specified")</f>
        <v>Shipper GVSUA</v>
      </c>
      <c r="O1000" t="str">
        <f>IFERROR(VLOOKUP(A1000,'Sales Order'!A:I,9,FALSE),"Not Specified")</f>
        <v>Destination QOTQA</v>
      </c>
      <c r="P1000" t="str">
        <f>IFERROR(VLOOKUP(A1000,'Sales Order'!A:N,14,FALSE),"Not Specified")</f>
        <v>Mexico</v>
      </c>
      <c r="Q1000" t="str">
        <f>VLOOKUP(VLOOKUP(B1000,Product!A:C,3,FALSE),Supplier!A:B,2,FALSE)</f>
        <v>Supplier CIYNM</v>
      </c>
      <c r="R1000" t="str">
        <f>VLOOKUP(VLOOKUP(B1000,Product!A:C,3,FALSE),Supplier!A:I,9,FALSE)</f>
        <v>Singapore</v>
      </c>
      <c r="S1000" t="str">
        <f>IFERROR(IF(VLOOKUP(A1000,'Sales Order'!A:H,8,FALSE)&gt;100,"High Freight","Low Freight"),"Not Specified")</f>
        <v>Low Freight</v>
      </c>
      <c r="T1000">
        <f t="shared" si="31"/>
        <v>70</v>
      </c>
    </row>
    <row r="1001" spans="1:20">
      <c r="A1001" s="9">
        <v>10625</v>
      </c>
      <c r="B1001" s="6">
        <v>60</v>
      </c>
      <c r="C1001" s="6">
        <v>34</v>
      </c>
      <c r="D1001" s="6">
        <v>10</v>
      </c>
      <c r="E1001" s="18">
        <v>0</v>
      </c>
      <c r="F1001" s="6" t="str">
        <f>IFERROR(VLOOKUP(VLOOKUP(A1001,'Sales Order'!A:B,2,FALSE),Customer!A:C,3,FALSE),"Not Specified")</f>
        <v>Hassall, Mark</v>
      </c>
      <c r="G1001" s="6" t="str">
        <f t="shared" si="30"/>
        <v>Hassall Mark</v>
      </c>
      <c r="H1001" s="22" t="str">
        <f>IFERROR(VLOOKUP(VLOOKUP(A1001,'Sales Order'!A:C,3,FALSE),Employee!A:E,5,FALSE)&amp;" "&amp;VLOOKUP(VLOOKUP(A1001,'Sales Order'!A:C,3,FALSE),Employee!A:C,3,FALSE)&amp;" "&amp;VLOOKUP(VLOOKUP(A1001,'Sales Order'!A:C,3,FALSE),Employee!A:B,2,FALSE),"Not Specified")</f>
        <v>Ms. Judy Lew</v>
      </c>
      <c r="I1001" t="str">
        <f>IFERROR(VLOOKUP(VLOOKUP(A1001,'Sales Order'!A:C,3,FALSE),Employee!A:J,10,FALSE),"Not Specified")</f>
        <v>WA</v>
      </c>
      <c r="J1001" t="str">
        <f>VLOOKUP(B1001,Product!A:B,2,FALSE)</f>
        <v>Product WHBYK</v>
      </c>
      <c r="K1001" t="str">
        <f>VLOOKUP(VLOOKUP(B1001,Product!A:D,4,FALSE),Category!A:B,2,FALSE)</f>
        <v>Dairy Product</v>
      </c>
      <c r="L1001" s="24">
        <f>IFERROR(VLOOKUP(A1001,'Sales Order'!A:D,4,FALSE),"")</f>
        <v>39302</v>
      </c>
      <c r="M1001" s="24">
        <f>IFERROR(VLOOKUP(A1001,'Sales Order'!A:F,6,FALSE),"")</f>
        <v>39308</v>
      </c>
      <c r="N1001" t="str">
        <f>IFERROR(VLOOKUP(VLOOKUP(A1001,'Sales Order'!A:G,7,FALSE),Shipper!A:B,2,FALSE),"Not Specified")</f>
        <v>Shipper GVSUA</v>
      </c>
      <c r="O1001" t="str">
        <f>IFERROR(VLOOKUP(A1001,'Sales Order'!A:I,9,FALSE),"Not Specified")</f>
        <v>Destination QOTQA</v>
      </c>
      <c r="P1001" t="str">
        <f>IFERROR(VLOOKUP(A1001,'Sales Order'!A:N,14,FALSE),"Not Specified")</f>
        <v>Mexico</v>
      </c>
      <c r="Q1001" t="str">
        <f>VLOOKUP(VLOOKUP(B1001,Product!A:C,3,FALSE),Supplier!A:B,2,FALSE)</f>
        <v>Supplier OAVQT</v>
      </c>
      <c r="R1001" t="str">
        <f>VLOOKUP(VLOOKUP(B1001,Product!A:C,3,FALSE),Supplier!A:I,9,FALSE)</f>
        <v>France</v>
      </c>
      <c r="S1001" t="str">
        <f>IFERROR(IF(VLOOKUP(A1001,'Sales Order'!A:H,8,FALSE)&gt;100,"High Freight","Low Freight"),"Not Specified")</f>
        <v>Low Freight</v>
      </c>
      <c r="T1001">
        <f t="shared" si="31"/>
        <v>340</v>
      </c>
    </row>
    <row r="1002" spans="1:20">
      <c r="A1002" s="9">
        <v>10626</v>
      </c>
      <c r="B1002" s="6">
        <v>53</v>
      </c>
      <c r="C1002" s="6">
        <v>32.799999999999997</v>
      </c>
      <c r="D1002" s="6">
        <v>12</v>
      </c>
      <c r="E1002" s="18">
        <v>0</v>
      </c>
      <c r="F1002" s="6" t="str">
        <f>IFERROR(VLOOKUP(VLOOKUP(A1002,'Sales Order'!A:B,2,FALSE),Customer!A:C,3,FALSE),"Not Specified")</f>
        <v>Higginbotham, Tom</v>
      </c>
      <c r="G1002" s="6" t="str">
        <f t="shared" si="30"/>
        <v>Higginbotham Tom</v>
      </c>
      <c r="H1002" s="22" t="str">
        <f>IFERROR(VLOOKUP(VLOOKUP(A1002,'Sales Order'!A:C,3,FALSE),Employee!A:E,5,FALSE)&amp;" "&amp;VLOOKUP(VLOOKUP(A1002,'Sales Order'!A:C,3,FALSE),Employee!A:C,3,FALSE)&amp;" "&amp;VLOOKUP(VLOOKUP(A1002,'Sales Order'!A:C,3,FALSE),Employee!A:B,2,FALSE),"Not Specified")</f>
        <v>Ms. Sara Davis</v>
      </c>
      <c r="I1002" t="str">
        <f>IFERROR(VLOOKUP(VLOOKUP(A1002,'Sales Order'!A:C,3,FALSE),Employee!A:J,10,FALSE),"Not Specified")</f>
        <v>WA</v>
      </c>
      <c r="J1002" t="str">
        <f>VLOOKUP(B1002,Product!A:B,2,FALSE)</f>
        <v>Product BKGEA</v>
      </c>
      <c r="K1002" t="str">
        <f>VLOOKUP(VLOOKUP(B1002,Product!A:D,4,FALSE),Category!A:B,2,FALSE)</f>
        <v>Meat/Poultry</v>
      </c>
      <c r="L1002" s="24">
        <f>IFERROR(VLOOKUP(A1002,'Sales Order'!A:D,4,FALSE),"")</f>
        <v>39305</v>
      </c>
      <c r="M1002" s="24">
        <f>IFERROR(VLOOKUP(A1002,'Sales Order'!A:F,6,FALSE),"")</f>
        <v>39314</v>
      </c>
      <c r="N1002" t="str">
        <f>IFERROR(VLOOKUP(VLOOKUP(A1002,'Sales Order'!A:G,7,FALSE),Shipper!A:B,2,FALSE),"Not Specified")</f>
        <v>Shipper ETYNR</v>
      </c>
      <c r="O1002" t="str">
        <f>IFERROR(VLOOKUP(A1002,'Sales Order'!A:I,9,FALSE),"Not Specified")</f>
        <v>Ship to 5-A</v>
      </c>
      <c r="P1002" t="str">
        <f>IFERROR(VLOOKUP(A1002,'Sales Order'!A:N,14,FALSE),"Not Specified")</f>
        <v>Sweden</v>
      </c>
      <c r="Q1002" t="str">
        <f>VLOOKUP(VLOOKUP(B1002,Product!A:C,3,FALSE),Supplier!A:B,2,FALSE)</f>
        <v>Supplier JNNES</v>
      </c>
      <c r="R1002" t="str">
        <f>VLOOKUP(VLOOKUP(B1002,Product!A:C,3,FALSE),Supplier!A:I,9,FALSE)</f>
        <v>Australia</v>
      </c>
      <c r="S1002" t="str">
        <f>IFERROR(IF(VLOOKUP(A1002,'Sales Order'!A:H,8,FALSE)&gt;100,"High Freight","Low Freight"),"Not Specified")</f>
        <v>High Freight</v>
      </c>
      <c r="T1002">
        <f t="shared" si="31"/>
        <v>393.59999999999997</v>
      </c>
    </row>
    <row r="1003" spans="1:20">
      <c r="A1003" s="9">
        <v>10626</v>
      </c>
      <c r="B1003" s="6">
        <v>60</v>
      </c>
      <c r="C1003" s="6">
        <v>34</v>
      </c>
      <c r="D1003" s="6">
        <v>20</v>
      </c>
      <c r="E1003" s="18">
        <v>0</v>
      </c>
      <c r="F1003" s="6" t="str">
        <f>IFERROR(VLOOKUP(VLOOKUP(A1003,'Sales Order'!A:B,2,FALSE),Customer!A:C,3,FALSE),"Not Specified")</f>
        <v>Higginbotham, Tom</v>
      </c>
      <c r="G1003" s="6" t="str">
        <f t="shared" si="30"/>
        <v>Higginbotham Tom</v>
      </c>
      <c r="H1003" s="22" t="str">
        <f>IFERROR(VLOOKUP(VLOOKUP(A1003,'Sales Order'!A:C,3,FALSE),Employee!A:E,5,FALSE)&amp;" "&amp;VLOOKUP(VLOOKUP(A1003,'Sales Order'!A:C,3,FALSE),Employee!A:C,3,FALSE)&amp;" "&amp;VLOOKUP(VLOOKUP(A1003,'Sales Order'!A:C,3,FALSE),Employee!A:B,2,FALSE),"Not Specified")</f>
        <v>Ms. Sara Davis</v>
      </c>
      <c r="I1003" t="str">
        <f>IFERROR(VLOOKUP(VLOOKUP(A1003,'Sales Order'!A:C,3,FALSE),Employee!A:J,10,FALSE),"Not Specified")</f>
        <v>WA</v>
      </c>
      <c r="J1003" t="str">
        <f>VLOOKUP(B1003,Product!A:B,2,FALSE)</f>
        <v>Product WHBYK</v>
      </c>
      <c r="K1003" t="str">
        <f>VLOOKUP(VLOOKUP(B1003,Product!A:D,4,FALSE),Category!A:B,2,FALSE)</f>
        <v>Dairy Product</v>
      </c>
      <c r="L1003" s="24">
        <f>IFERROR(VLOOKUP(A1003,'Sales Order'!A:D,4,FALSE),"")</f>
        <v>39305</v>
      </c>
      <c r="M1003" s="24">
        <f>IFERROR(VLOOKUP(A1003,'Sales Order'!A:F,6,FALSE),"")</f>
        <v>39314</v>
      </c>
      <c r="N1003" t="str">
        <f>IFERROR(VLOOKUP(VLOOKUP(A1003,'Sales Order'!A:G,7,FALSE),Shipper!A:B,2,FALSE),"Not Specified")</f>
        <v>Shipper ETYNR</v>
      </c>
      <c r="O1003" t="str">
        <f>IFERROR(VLOOKUP(A1003,'Sales Order'!A:I,9,FALSE),"Not Specified")</f>
        <v>Ship to 5-A</v>
      </c>
      <c r="P1003" t="str">
        <f>IFERROR(VLOOKUP(A1003,'Sales Order'!A:N,14,FALSE),"Not Specified")</f>
        <v>Sweden</v>
      </c>
      <c r="Q1003" t="str">
        <f>VLOOKUP(VLOOKUP(B1003,Product!A:C,3,FALSE),Supplier!A:B,2,FALSE)</f>
        <v>Supplier OAVQT</v>
      </c>
      <c r="R1003" t="str">
        <f>VLOOKUP(VLOOKUP(B1003,Product!A:C,3,FALSE),Supplier!A:I,9,FALSE)</f>
        <v>France</v>
      </c>
      <c r="S1003" t="str">
        <f>IFERROR(IF(VLOOKUP(A1003,'Sales Order'!A:H,8,FALSE)&gt;100,"High Freight","Low Freight"),"Not Specified")</f>
        <v>High Freight</v>
      </c>
      <c r="T1003">
        <f t="shared" si="31"/>
        <v>680</v>
      </c>
    </row>
    <row r="1004" spans="1:20">
      <c r="A1004" s="9">
        <v>10626</v>
      </c>
      <c r="B1004" s="6">
        <v>71</v>
      </c>
      <c r="C1004" s="6">
        <v>21.5</v>
      </c>
      <c r="D1004" s="6">
        <v>20</v>
      </c>
      <c r="E1004" s="18">
        <v>0</v>
      </c>
      <c r="F1004" s="6" t="str">
        <f>IFERROR(VLOOKUP(VLOOKUP(A1004,'Sales Order'!A:B,2,FALSE),Customer!A:C,3,FALSE),"Not Specified")</f>
        <v>Higginbotham, Tom</v>
      </c>
      <c r="G1004" s="6" t="str">
        <f t="shared" si="30"/>
        <v>Higginbotham Tom</v>
      </c>
      <c r="H1004" s="22" t="str">
        <f>IFERROR(VLOOKUP(VLOOKUP(A1004,'Sales Order'!A:C,3,FALSE),Employee!A:E,5,FALSE)&amp;" "&amp;VLOOKUP(VLOOKUP(A1004,'Sales Order'!A:C,3,FALSE),Employee!A:C,3,FALSE)&amp;" "&amp;VLOOKUP(VLOOKUP(A1004,'Sales Order'!A:C,3,FALSE),Employee!A:B,2,FALSE),"Not Specified")</f>
        <v>Ms. Sara Davis</v>
      </c>
      <c r="I1004" t="str">
        <f>IFERROR(VLOOKUP(VLOOKUP(A1004,'Sales Order'!A:C,3,FALSE),Employee!A:J,10,FALSE),"Not Specified")</f>
        <v>WA</v>
      </c>
      <c r="J1004" t="str">
        <f>VLOOKUP(B1004,Product!A:B,2,FALSE)</f>
        <v>Product MYMOI</v>
      </c>
      <c r="K1004" t="str">
        <f>VLOOKUP(VLOOKUP(B1004,Product!A:D,4,FALSE),Category!A:B,2,FALSE)</f>
        <v>Dairy Product</v>
      </c>
      <c r="L1004" s="24">
        <f>IFERROR(VLOOKUP(A1004,'Sales Order'!A:D,4,FALSE),"")</f>
        <v>39305</v>
      </c>
      <c r="M1004" s="24">
        <f>IFERROR(VLOOKUP(A1004,'Sales Order'!A:F,6,FALSE),"")</f>
        <v>39314</v>
      </c>
      <c r="N1004" t="str">
        <f>IFERROR(VLOOKUP(VLOOKUP(A1004,'Sales Order'!A:G,7,FALSE),Shipper!A:B,2,FALSE),"Not Specified")</f>
        <v>Shipper ETYNR</v>
      </c>
      <c r="O1004" t="str">
        <f>IFERROR(VLOOKUP(A1004,'Sales Order'!A:I,9,FALSE),"Not Specified")</f>
        <v>Ship to 5-A</v>
      </c>
      <c r="P1004" t="str">
        <f>IFERROR(VLOOKUP(A1004,'Sales Order'!A:N,14,FALSE),"Not Specified")</f>
        <v>Sweden</v>
      </c>
      <c r="Q1004" t="str">
        <f>VLOOKUP(VLOOKUP(B1004,Product!A:C,3,FALSE),Supplier!A:B,2,FALSE)</f>
        <v>Supplier NZLIF</v>
      </c>
      <c r="R1004" t="str">
        <f>VLOOKUP(VLOOKUP(B1004,Product!A:C,3,FALSE),Supplier!A:I,9,FALSE)</f>
        <v>Norway</v>
      </c>
      <c r="S1004" t="str">
        <f>IFERROR(IF(VLOOKUP(A1004,'Sales Order'!A:H,8,FALSE)&gt;100,"High Freight","Low Freight"),"Not Specified")</f>
        <v>High Freight</v>
      </c>
      <c r="T1004">
        <f t="shared" si="31"/>
        <v>430</v>
      </c>
    </row>
    <row r="1005" spans="1:20">
      <c r="A1005" s="9">
        <v>10627</v>
      </c>
      <c r="B1005" s="6">
        <v>62</v>
      </c>
      <c r="C1005" s="6">
        <v>49.3</v>
      </c>
      <c r="D1005" s="6">
        <v>15</v>
      </c>
      <c r="E1005" s="18">
        <v>0</v>
      </c>
      <c r="F1005" s="6" t="str">
        <f>IFERROR(VLOOKUP(VLOOKUP(A1005,'Sales Order'!A:B,2,FALSE),Customer!A:C,3,FALSE),"Not Specified")</f>
        <v>Navarro, Tomás</v>
      </c>
      <c r="G1005" s="6" t="str">
        <f t="shared" si="30"/>
        <v>Navarro Tomás</v>
      </c>
      <c r="H1005" s="22" t="str">
        <f>IFERROR(VLOOKUP(VLOOKUP(A1005,'Sales Order'!A:C,3,FALSE),Employee!A:E,5,FALSE)&amp;" "&amp;VLOOKUP(VLOOKUP(A1005,'Sales Order'!A:C,3,FALSE),Employee!A:C,3,FALSE)&amp;" "&amp;VLOOKUP(VLOOKUP(A1005,'Sales Order'!A:C,3,FALSE),Employee!A:B,2,FALSE),"Not Specified")</f>
        <v>Ms. Maria Cameron</v>
      </c>
      <c r="I1005" t="str">
        <f>IFERROR(VLOOKUP(VLOOKUP(A1005,'Sales Order'!A:C,3,FALSE),Employee!A:J,10,FALSE),"Not Specified")</f>
        <v>WA</v>
      </c>
      <c r="J1005" t="str">
        <f>VLOOKUP(B1005,Product!A:B,2,FALSE)</f>
        <v>Product WUXYK</v>
      </c>
      <c r="K1005" t="str">
        <f>VLOOKUP(VLOOKUP(B1005,Product!A:D,4,FALSE),Category!A:B,2,FALSE)</f>
        <v>Confections</v>
      </c>
      <c r="L1005" s="24">
        <f>IFERROR(VLOOKUP(A1005,'Sales Order'!A:D,4,FALSE),"")</f>
        <v>39305</v>
      </c>
      <c r="M1005" s="24">
        <f>IFERROR(VLOOKUP(A1005,'Sales Order'!A:F,6,FALSE),"")</f>
        <v>39315</v>
      </c>
      <c r="N1005" t="str">
        <f>IFERROR(VLOOKUP(VLOOKUP(A1005,'Sales Order'!A:G,7,FALSE),Shipper!A:B,2,FALSE),"Not Specified")</f>
        <v>Shipper ZHISN</v>
      </c>
      <c r="O1005" t="str">
        <f>IFERROR(VLOOKUP(A1005,'Sales Order'!A:I,9,FALSE),"Not Specified")</f>
        <v>Ship to 71-B</v>
      </c>
      <c r="P1005" t="str">
        <f>IFERROR(VLOOKUP(A1005,'Sales Order'!A:N,14,FALSE),"Not Specified")</f>
        <v>USA</v>
      </c>
      <c r="Q1005" t="str">
        <f>VLOOKUP(VLOOKUP(B1005,Product!A:C,3,FALSE),Supplier!A:B,2,FALSE)</f>
        <v>Supplier OGLRK</v>
      </c>
      <c r="R1005" t="str">
        <f>VLOOKUP(VLOOKUP(B1005,Product!A:C,3,FALSE),Supplier!A:I,9,FALSE)</f>
        <v>Canada</v>
      </c>
      <c r="S1005" t="str">
        <f>IFERROR(IF(VLOOKUP(A1005,'Sales Order'!A:H,8,FALSE)&gt;100,"High Freight","Low Freight"),"Not Specified")</f>
        <v>High Freight</v>
      </c>
      <c r="T1005">
        <f t="shared" si="31"/>
        <v>739.5</v>
      </c>
    </row>
    <row r="1006" spans="1:20">
      <c r="A1006" s="9">
        <v>10627</v>
      </c>
      <c r="B1006" s="6">
        <v>73</v>
      </c>
      <c r="C1006" s="6">
        <v>15</v>
      </c>
      <c r="D1006" s="6">
        <v>35</v>
      </c>
      <c r="E1006" s="18">
        <v>0.15</v>
      </c>
      <c r="F1006" s="6" t="str">
        <f>IFERROR(VLOOKUP(VLOOKUP(A1006,'Sales Order'!A:B,2,FALSE),Customer!A:C,3,FALSE),"Not Specified")</f>
        <v>Navarro, Tomás</v>
      </c>
      <c r="G1006" s="6" t="str">
        <f t="shared" si="30"/>
        <v>Navarro Tomás</v>
      </c>
      <c r="H1006" s="22" t="str">
        <f>IFERROR(VLOOKUP(VLOOKUP(A1006,'Sales Order'!A:C,3,FALSE),Employee!A:E,5,FALSE)&amp;" "&amp;VLOOKUP(VLOOKUP(A1006,'Sales Order'!A:C,3,FALSE),Employee!A:C,3,FALSE)&amp;" "&amp;VLOOKUP(VLOOKUP(A1006,'Sales Order'!A:C,3,FALSE),Employee!A:B,2,FALSE),"Not Specified")</f>
        <v>Ms. Maria Cameron</v>
      </c>
      <c r="I1006" t="str">
        <f>IFERROR(VLOOKUP(VLOOKUP(A1006,'Sales Order'!A:C,3,FALSE),Employee!A:J,10,FALSE),"Not Specified")</f>
        <v>WA</v>
      </c>
      <c r="J1006" t="str">
        <f>VLOOKUP(B1006,Product!A:B,2,FALSE)</f>
        <v>Product WEUJZ</v>
      </c>
      <c r="K1006" t="str">
        <f>VLOOKUP(VLOOKUP(B1006,Product!A:D,4,FALSE),Category!A:B,2,FALSE)</f>
        <v>Seafood</v>
      </c>
      <c r="L1006" s="24">
        <f>IFERROR(VLOOKUP(A1006,'Sales Order'!A:D,4,FALSE),"")</f>
        <v>39305</v>
      </c>
      <c r="M1006" s="24">
        <f>IFERROR(VLOOKUP(A1006,'Sales Order'!A:F,6,FALSE),"")</f>
        <v>39315</v>
      </c>
      <c r="N1006" t="str">
        <f>IFERROR(VLOOKUP(VLOOKUP(A1006,'Sales Order'!A:G,7,FALSE),Shipper!A:B,2,FALSE),"Not Specified")</f>
        <v>Shipper ZHISN</v>
      </c>
      <c r="O1006" t="str">
        <f>IFERROR(VLOOKUP(A1006,'Sales Order'!A:I,9,FALSE),"Not Specified")</f>
        <v>Ship to 71-B</v>
      </c>
      <c r="P1006" t="str">
        <f>IFERROR(VLOOKUP(A1006,'Sales Order'!A:N,14,FALSE),"Not Specified")</f>
        <v>USA</v>
      </c>
      <c r="Q1006" t="str">
        <f>VLOOKUP(VLOOKUP(B1006,Product!A:C,3,FALSE),Supplier!A:B,2,FALSE)</f>
        <v>Supplier QZGUF</v>
      </c>
      <c r="R1006" t="str">
        <f>VLOOKUP(VLOOKUP(B1006,Product!A:C,3,FALSE),Supplier!A:I,9,FALSE)</f>
        <v>Sweden</v>
      </c>
      <c r="S1006" t="str">
        <f>IFERROR(IF(VLOOKUP(A1006,'Sales Order'!A:H,8,FALSE)&gt;100,"High Freight","Low Freight"),"Not Specified")</f>
        <v>High Freight</v>
      </c>
      <c r="T1006">
        <f t="shared" si="31"/>
        <v>446.25</v>
      </c>
    </row>
    <row r="1007" spans="1:20">
      <c r="A1007" s="9">
        <v>10628</v>
      </c>
      <c r="B1007" s="6">
        <v>1</v>
      </c>
      <c r="C1007" s="6">
        <v>18</v>
      </c>
      <c r="D1007" s="6">
        <v>25</v>
      </c>
      <c r="E1007" s="18">
        <v>0</v>
      </c>
      <c r="F1007" s="6" t="str">
        <f>IFERROR(VLOOKUP(VLOOKUP(A1007,'Sales Order'!A:B,2,FALSE),Customer!A:C,3,FALSE),"Not Specified")</f>
        <v>Bansal, Dushyant</v>
      </c>
      <c r="G1007" s="6" t="str">
        <f t="shared" si="30"/>
        <v>Bansal Dushyant</v>
      </c>
      <c r="H1007" s="22" t="str">
        <f>IFERROR(VLOOKUP(VLOOKUP(A1007,'Sales Order'!A:C,3,FALSE),Employee!A:E,5,FALSE)&amp;" "&amp;VLOOKUP(VLOOKUP(A1007,'Sales Order'!A:C,3,FALSE),Employee!A:C,3,FALSE)&amp;" "&amp;VLOOKUP(VLOOKUP(A1007,'Sales Order'!A:C,3,FALSE),Employee!A:B,2,FALSE),"Not Specified")</f>
        <v>Mrs. Yael Peled</v>
      </c>
      <c r="I1007" t="str">
        <f>IFERROR(VLOOKUP(VLOOKUP(A1007,'Sales Order'!A:C,3,FALSE),Employee!A:J,10,FALSE),"Not Specified")</f>
        <v>WA</v>
      </c>
      <c r="J1007" t="str">
        <f>VLOOKUP(B1007,Product!A:B,2,FALSE)</f>
        <v>Product HHYDP</v>
      </c>
      <c r="K1007" t="str">
        <f>VLOOKUP(VLOOKUP(B1007,Product!A:D,4,FALSE),Category!A:B,2,FALSE)</f>
        <v>Beverages</v>
      </c>
      <c r="L1007" s="24">
        <f>IFERROR(VLOOKUP(A1007,'Sales Order'!A:D,4,FALSE),"")</f>
        <v>39306</v>
      </c>
      <c r="M1007" s="24">
        <f>IFERROR(VLOOKUP(A1007,'Sales Order'!A:F,6,FALSE),"")</f>
        <v>39314</v>
      </c>
      <c r="N1007" t="str">
        <f>IFERROR(VLOOKUP(VLOOKUP(A1007,'Sales Order'!A:G,7,FALSE),Shipper!A:B,2,FALSE),"Not Specified")</f>
        <v>Shipper ZHISN</v>
      </c>
      <c r="O1007" t="str">
        <f>IFERROR(VLOOKUP(A1007,'Sales Order'!A:I,9,FALSE),"Not Specified")</f>
        <v>Ship to 7-B</v>
      </c>
      <c r="P1007" t="str">
        <f>IFERROR(VLOOKUP(A1007,'Sales Order'!A:N,14,FALSE),"Not Specified")</f>
        <v>France</v>
      </c>
      <c r="Q1007" t="str">
        <f>VLOOKUP(VLOOKUP(B1007,Product!A:C,3,FALSE),Supplier!A:B,2,FALSE)</f>
        <v>Supplier SWRXU</v>
      </c>
      <c r="R1007" t="str">
        <f>VLOOKUP(VLOOKUP(B1007,Product!A:C,3,FALSE),Supplier!A:I,9,FALSE)</f>
        <v>UK</v>
      </c>
      <c r="S1007" t="str">
        <f>IFERROR(IF(VLOOKUP(A1007,'Sales Order'!A:H,8,FALSE)&gt;100,"High Freight","Low Freight"),"Not Specified")</f>
        <v>Low Freight</v>
      </c>
      <c r="T1007">
        <f t="shared" si="31"/>
        <v>450</v>
      </c>
    </row>
    <row r="1008" spans="1:20">
      <c r="A1008" s="9">
        <v>10629</v>
      </c>
      <c r="B1008" s="6">
        <v>29</v>
      </c>
      <c r="C1008" s="6">
        <v>123.79</v>
      </c>
      <c r="D1008" s="6">
        <v>20</v>
      </c>
      <c r="E1008" s="18">
        <v>0</v>
      </c>
      <c r="F1008" s="6" t="str">
        <f>IFERROR(VLOOKUP(VLOOKUP(A1008,'Sales Order'!A:B,2,FALSE),Customer!A:C,3,FALSE),"Not Specified")</f>
        <v>Shabalin, Rostislav</v>
      </c>
      <c r="G1008" s="6" t="str">
        <f t="shared" si="30"/>
        <v>Shabalin Rostislav</v>
      </c>
      <c r="H1008" s="22" t="str">
        <f>IFERROR(VLOOKUP(VLOOKUP(A1008,'Sales Order'!A:C,3,FALSE),Employee!A:E,5,FALSE)&amp;" "&amp;VLOOKUP(VLOOKUP(A1008,'Sales Order'!A:C,3,FALSE),Employee!A:C,3,FALSE)&amp;" "&amp;VLOOKUP(VLOOKUP(A1008,'Sales Order'!A:C,3,FALSE),Employee!A:B,2,FALSE),"Not Specified")</f>
        <v>Mrs. Yael Peled</v>
      </c>
      <c r="I1008" t="str">
        <f>IFERROR(VLOOKUP(VLOOKUP(A1008,'Sales Order'!A:C,3,FALSE),Employee!A:J,10,FALSE),"Not Specified")</f>
        <v>WA</v>
      </c>
      <c r="J1008" t="str">
        <f>VLOOKUP(B1008,Product!A:B,2,FALSE)</f>
        <v>Product VJXYN</v>
      </c>
      <c r="K1008" t="str">
        <f>VLOOKUP(VLOOKUP(B1008,Product!A:D,4,FALSE),Category!A:B,2,FALSE)</f>
        <v>Meat/Poultry</v>
      </c>
      <c r="L1008" s="24">
        <f>IFERROR(VLOOKUP(A1008,'Sales Order'!A:D,4,FALSE),"")</f>
        <v>39306</v>
      </c>
      <c r="M1008" s="24">
        <f>IFERROR(VLOOKUP(A1008,'Sales Order'!A:F,6,FALSE),"")</f>
        <v>39314</v>
      </c>
      <c r="N1008" t="str">
        <f>IFERROR(VLOOKUP(VLOOKUP(A1008,'Sales Order'!A:G,7,FALSE),Shipper!A:B,2,FALSE),"Not Specified")</f>
        <v>Shipper ZHISN</v>
      </c>
      <c r="O1008" t="str">
        <f>IFERROR(VLOOKUP(A1008,'Sales Order'!A:I,9,FALSE),"Not Specified")</f>
        <v>Destination IIYDD</v>
      </c>
      <c r="P1008" t="str">
        <f>IFERROR(VLOOKUP(A1008,'Sales Order'!A:N,14,FALSE),"Not Specified")</f>
        <v>Spain</v>
      </c>
      <c r="Q1008" t="str">
        <f>VLOOKUP(VLOOKUP(B1008,Product!A:C,3,FALSE),Supplier!A:B,2,FALSE)</f>
        <v>Supplier SVIYA</v>
      </c>
      <c r="R1008" t="str">
        <f>VLOOKUP(VLOOKUP(B1008,Product!A:C,3,FALSE),Supplier!A:I,9,FALSE)</f>
        <v>Germany</v>
      </c>
      <c r="S1008" t="str">
        <f>IFERROR(IF(VLOOKUP(A1008,'Sales Order'!A:H,8,FALSE)&gt;100,"High Freight","Low Freight"),"Not Specified")</f>
        <v>Low Freight</v>
      </c>
      <c r="T1008">
        <f t="shared" si="31"/>
        <v>2475.8000000000002</v>
      </c>
    </row>
    <row r="1009" spans="1:20">
      <c r="A1009" s="9">
        <v>10629</v>
      </c>
      <c r="B1009" s="6">
        <v>64</v>
      </c>
      <c r="C1009" s="6">
        <v>33.25</v>
      </c>
      <c r="D1009" s="6">
        <v>9</v>
      </c>
      <c r="E1009" s="18">
        <v>0</v>
      </c>
      <c r="F1009" s="6" t="str">
        <f>IFERROR(VLOOKUP(VLOOKUP(A1009,'Sales Order'!A:B,2,FALSE),Customer!A:C,3,FALSE),"Not Specified")</f>
        <v>Shabalin, Rostislav</v>
      </c>
      <c r="G1009" s="6" t="str">
        <f t="shared" si="30"/>
        <v>Shabalin Rostislav</v>
      </c>
      <c r="H1009" s="22" t="str">
        <f>IFERROR(VLOOKUP(VLOOKUP(A1009,'Sales Order'!A:C,3,FALSE),Employee!A:E,5,FALSE)&amp;" "&amp;VLOOKUP(VLOOKUP(A1009,'Sales Order'!A:C,3,FALSE),Employee!A:C,3,FALSE)&amp;" "&amp;VLOOKUP(VLOOKUP(A1009,'Sales Order'!A:C,3,FALSE),Employee!A:B,2,FALSE),"Not Specified")</f>
        <v>Mrs. Yael Peled</v>
      </c>
      <c r="I1009" t="str">
        <f>IFERROR(VLOOKUP(VLOOKUP(A1009,'Sales Order'!A:C,3,FALSE),Employee!A:J,10,FALSE),"Not Specified")</f>
        <v>WA</v>
      </c>
      <c r="J1009" t="str">
        <f>VLOOKUP(B1009,Product!A:B,2,FALSE)</f>
        <v>Product HCQDE</v>
      </c>
      <c r="K1009" t="str">
        <f>VLOOKUP(VLOOKUP(B1009,Product!A:D,4,FALSE),Category!A:B,2,FALSE)</f>
        <v>Grains/Cereals</v>
      </c>
      <c r="L1009" s="24">
        <f>IFERROR(VLOOKUP(A1009,'Sales Order'!A:D,4,FALSE),"")</f>
        <v>39306</v>
      </c>
      <c r="M1009" s="24">
        <f>IFERROR(VLOOKUP(A1009,'Sales Order'!A:F,6,FALSE),"")</f>
        <v>39314</v>
      </c>
      <c r="N1009" t="str">
        <f>IFERROR(VLOOKUP(VLOOKUP(A1009,'Sales Order'!A:G,7,FALSE),Shipper!A:B,2,FALSE),"Not Specified")</f>
        <v>Shipper ZHISN</v>
      </c>
      <c r="O1009" t="str">
        <f>IFERROR(VLOOKUP(A1009,'Sales Order'!A:I,9,FALSE),"Not Specified")</f>
        <v>Destination IIYDD</v>
      </c>
      <c r="P1009" t="str">
        <f>IFERROR(VLOOKUP(A1009,'Sales Order'!A:N,14,FALSE),"Not Specified")</f>
        <v>Spain</v>
      </c>
      <c r="Q1009" t="str">
        <f>VLOOKUP(VLOOKUP(B1009,Product!A:C,3,FALSE),Supplier!A:B,2,FALSE)</f>
        <v>Supplier SVIYA</v>
      </c>
      <c r="R1009" t="str">
        <f>VLOOKUP(VLOOKUP(B1009,Product!A:C,3,FALSE),Supplier!A:I,9,FALSE)</f>
        <v>Germany</v>
      </c>
      <c r="S1009" t="str">
        <f>IFERROR(IF(VLOOKUP(A1009,'Sales Order'!A:H,8,FALSE)&gt;100,"High Freight","Low Freight"),"Not Specified")</f>
        <v>Low Freight</v>
      </c>
      <c r="T1009">
        <f t="shared" si="31"/>
        <v>299.25</v>
      </c>
    </row>
    <row r="1010" spans="1:20">
      <c r="A1010" s="9">
        <v>10630</v>
      </c>
      <c r="B1010" s="6">
        <v>55</v>
      </c>
      <c r="C1010" s="6">
        <v>24</v>
      </c>
      <c r="D1010" s="6">
        <v>12</v>
      </c>
      <c r="E1010" s="18">
        <v>0.05</v>
      </c>
      <c r="F1010" s="6" t="str">
        <f>IFERROR(VLOOKUP(VLOOKUP(A1010,'Sales Order'!A:B,2,FALSE),Customer!A:C,3,FALSE),"Not Specified")</f>
        <v>Song, Lolan</v>
      </c>
      <c r="G1010" s="6" t="str">
        <f t="shared" si="30"/>
        <v>Song Lolan</v>
      </c>
      <c r="H1010" s="22" t="str">
        <f>IFERROR(VLOOKUP(VLOOKUP(A1010,'Sales Order'!A:C,3,FALSE),Employee!A:E,5,FALSE)&amp;" "&amp;VLOOKUP(VLOOKUP(A1010,'Sales Order'!A:C,3,FALSE),Employee!A:C,3,FALSE)&amp;" "&amp;VLOOKUP(VLOOKUP(A1010,'Sales Order'!A:C,3,FALSE),Employee!A:B,2,FALSE),"Not Specified")</f>
        <v>Ms. Sara Davis</v>
      </c>
      <c r="I1010" t="str">
        <f>IFERROR(VLOOKUP(VLOOKUP(A1010,'Sales Order'!A:C,3,FALSE),Employee!A:J,10,FALSE),"Not Specified")</f>
        <v>WA</v>
      </c>
      <c r="J1010" t="str">
        <f>VLOOKUP(B1010,Product!A:B,2,FALSE)</f>
        <v>Product YYWRT</v>
      </c>
      <c r="K1010" t="str">
        <f>VLOOKUP(VLOOKUP(B1010,Product!A:D,4,FALSE),Category!A:B,2,FALSE)</f>
        <v>Meat/Poultry</v>
      </c>
      <c r="L1010" s="24">
        <f>IFERROR(VLOOKUP(A1010,'Sales Order'!A:D,4,FALSE),"")</f>
        <v>39307</v>
      </c>
      <c r="M1010" s="24">
        <f>IFERROR(VLOOKUP(A1010,'Sales Order'!A:F,6,FALSE),"")</f>
        <v>39313</v>
      </c>
      <c r="N1010" t="str">
        <f>IFERROR(VLOOKUP(VLOOKUP(A1010,'Sales Order'!A:G,7,FALSE),Shipper!A:B,2,FALSE),"Not Specified")</f>
        <v>Shipper ETYNR</v>
      </c>
      <c r="O1010" t="str">
        <f>IFERROR(VLOOKUP(A1010,'Sales Order'!A:I,9,FALSE),"Not Specified")</f>
        <v>Destination RMBHM</v>
      </c>
      <c r="P1010" t="str">
        <f>IFERROR(VLOOKUP(A1010,'Sales Order'!A:N,14,FALSE),"Not Specified")</f>
        <v>Germany</v>
      </c>
      <c r="Q1010" t="str">
        <f>VLOOKUP(VLOOKUP(B1010,Product!A:C,3,FALSE),Supplier!A:B,2,FALSE)</f>
        <v>Supplier ERVYZ</v>
      </c>
      <c r="R1010" t="str">
        <f>VLOOKUP(VLOOKUP(B1010,Product!A:C,3,FALSE),Supplier!A:I,9,FALSE)</f>
        <v>Canada</v>
      </c>
      <c r="S1010" t="str">
        <f>IFERROR(IF(VLOOKUP(A1010,'Sales Order'!A:H,8,FALSE)&gt;100,"High Freight","Low Freight"),"Not Specified")</f>
        <v>Low Freight</v>
      </c>
      <c r="T1010">
        <f t="shared" si="31"/>
        <v>273.59999999999997</v>
      </c>
    </row>
    <row r="1011" spans="1:20">
      <c r="A1011" s="9">
        <v>10630</v>
      </c>
      <c r="B1011" s="6">
        <v>76</v>
      </c>
      <c r="C1011" s="6">
        <v>18</v>
      </c>
      <c r="D1011" s="6">
        <v>35</v>
      </c>
      <c r="E1011" s="18">
        <v>0</v>
      </c>
      <c r="F1011" s="6" t="str">
        <f>IFERROR(VLOOKUP(VLOOKUP(A1011,'Sales Order'!A:B,2,FALSE),Customer!A:C,3,FALSE),"Not Specified")</f>
        <v>Song, Lolan</v>
      </c>
      <c r="G1011" s="6" t="str">
        <f t="shared" si="30"/>
        <v>Song Lolan</v>
      </c>
      <c r="H1011" s="22" t="str">
        <f>IFERROR(VLOOKUP(VLOOKUP(A1011,'Sales Order'!A:C,3,FALSE),Employee!A:E,5,FALSE)&amp;" "&amp;VLOOKUP(VLOOKUP(A1011,'Sales Order'!A:C,3,FALSE),Employee!A:C,3,FALSE)&amp;" "&amp;VLOOKUP(VLOOKUP(A1011,'Sales Order'!A:C,3,FALSE),Employee!A:B,2,FALSE),"Not Specified")</f>
        <v>Ms. Sara Davis</v>
      </c>
      <c r="I1011" t="str">
        <f>IFERROR(VLOOKUP(VLOOKUP(A1011,'Sales Order'!A:C,3,FALSE),Employee!A:J,10,FALSE),"Not Specified")</f>
        <v>WA</v>
      </c>
      <c r="J1011" t="str">
        <f>VLOOKUP(B1011,Product!A:B,2,FALSE)</f>
        <v>Product JYGFE</v>
      </c>
      <c r="K1011" t="str">
        <f>VLOOKUP(VLOOKUP(B1011,Product!A:D,4,FALSE),Category!A:B,2,FALSE)</f>
        <v>Beverages</v>
      </c>
      <c r="L1011" s="24">
        <f>IFERROR(VLOOKUP(A1011,'Sales Order'!A:D,4,FALSE),"")</f>
        <v>39307</v>
      </c>
      <c r="M1011" s="24">
        <f>IFERROR(VLOOKUP(A1011,'Sales Order'!A:F,6,FALSE),"")</f>
        <v>39313</v>
      </c>
      <c r="N1011" t="str">
        <f>IFERROR(VLOOKUP(VLOOKUP(A1011,'Sales Order'!A:G,7,FALSE),Shipper!A:B,2,FALSE),"Not Specified")</f>
        <v>Shipper ETYNR</v>
      </c>
      <c r="O1011" t="str">
        <f>IFERROR(VLOOKUP(A1011,'Sales Order'!A:I,9,FALSE),"Not Specified")</f>
        <v>Destination RMBHM</v>
      </c>
      <c r="P1011" t="str">
        <f>IFERROR(VLOOKUP(A1011,'Sales Order'!A:N,14,FALSE),"Not Specified")</f>
        <v>Germany</v>
      </c>
      <c r="Q1011" t="str">
        <f>VLOOKUP(VLOOKUP(B1011,Product!A:C,3,FALSE),Supplier!A:B,2,FALSE)</f>
        <v>Supplier ELCRN</v>
      </c>
      <c r="R1011" t="str">
        <f>VLOOKUP(VLOOKUP(B1011,Product!A:C,3,FALSE),Supplier!A:I,9,FALSE)</f>
        <v>Finland</v>
      </c>
      <c r="S1011" t="str">
        <f>IFERROR(IF(VLOOKUP(A1011,'Sales Order'!A:H,8,FALSE)&gt;100,"High Freight","Low Freight"),"Not Specified")</f>
        <v>Low Freight</v>
      </c>
      <c r="T1011">
        <f t="shared" si="31"/>
        <v>630</v>
      </c>
    </row>
    <row r="1012" spans="1:20">
      <c r="A1012" s="9">
        <v>10631</v>
      </c>
      <c r="B1012" s="6">
        <v>75</v>
      </c>
      <c r="C1012" s="6">
        <v>7.75</v>
      </c>
      <c r="D1012" s="6">
        <v>8</v>
      </c>
      <c r="E1012" s="18">
        <v>0.1</v>
      </c>
      <c r="F1012" s="6" t="str">
        <f>IFERROR(VLOOKUP(VLOOKUP(A1012,'Sales Order'!A:B,2,FALSE),Customer!A:C,3,FALSE),"Not Specified")</f>
        <v>Litton, Tim</v>
      </c>
      <c r="G1012" s="6" t="str">
        <f t="shared" si="30"/>
        <v>Litton Tim</v>
      </c>
      <c r="H1012" s="22" t="str">
        <f>IFERROR(VLOOKUP(VLOOKUP(A1012,'Sales Order'!A:C,3,FALSE),Employee!A:E,5,FALSE)&amp;" "&amp;VLOOKUP(VLOOKUP(A1012,'Sales Order'!A:C,3,FALSE),Employee!A:C,3,FALSE)&amp;" "&amp;VLOOKUP(VLOOKUP(A1012,'Sales Order'!A:C,3,FALSE),Employee!A:B,2,FALSE),"Not Specified")</f>
        <v>Ms. Maria Cameron</v>
      </c>
      <c r="I1012" t="str">
        <f>IFERROR(VLOOKUP(VLOOKUP(A1012,'Sales Order'!A:C,3,FALSE),Employee!A:J,10,FALSE),"Not Specified")</f>
        <v>WA</v>
      </c>
      <c r="J1012" t="str">
        <f>VLOOKUP(B1012,Product!A:B,2,FALSE)</f>
        <v>Product BWRLG</v>
      </c>
      <c r="K1012" t="str">
        <f>VLOOKUP(VLOOKUP(B1012,Product!A:D,4,FALSE),Category!A:B,2,FALSE)</f>
        <v>Beverages</v>
      </c>
      <c r="L1012" s="24">
        <f>IFERROR(VLOOKUP(A1012,'Sales Order'!A:D,4,FALSE),"")</f>
        <v>39308</v>
      </c>
      <c r="M1012" s="24">
        <f>IFERROR(VLOOKUP(A1012,'Sales Order'!A:F,6,FALSE),"")</f>
        <v>39309</v>
      </c>
      <c r="N1012" t="str">
        <f>IFERROR(VLOOKUP(VLOOKUP(A1012,'Sales Order'!A:G,7,FALSE),Shipper!A:B,2,FALSE),"Not Specified")</f>
        <v>Shipper GVSUA</v>
      </c>
      <c r="O1012" t="str">
        <f>IFERROR(VLOOKUP(A1012,'Sales Order'!A:I,9,FALSE),"Not Specified")</f>
        <v>Destination OLJND</v>
      </c>
      <c r="P1012" t="str">
        <f>IFERROR(VLOOKUP(A1012,'Sales Order'!A:N,14,FALSE),"Not Specified")</f>
        <v>France</v>
      </c>
      <c r="Q1012" t="str">
        <f>VLOOKUP(VLOOKUP(B1012,Product!A:C,3,FALSE),Supplier!A:B,2,FALSE)</f>
        <v>Supplier SVIYA</v>
      </c>
      <c r="R1012" t="str">
        <f>VLOOKUP(VLOOKUP(B1012,Product!A:C,3,FALSE),Supplier!A:I,9,FALSE)</f>
        <v>Germany</v>
      </c>
      <c r="S1012" t="str">
        <f>IFERROR(IF(VLOOKUP(A1012,'Sales Order'!A:H,8,FALSE)&gt;100,"High Freight","Low Freight"),"Not Specified")</f>
        <v>Low Freight</v>
      </c>
      <c r="T1012">
        <f t="shared" si="31"/>
        <v>55.800000000000004</v>
      </c>
    </row>
    <row r="1013" spans="1:20">
      <c r="A1013" s="9">
        <v>10632</v>
      </c>
      <c r="B1013" s="6">
        <v>2</v>
      </c>
      <c r="C1013" s="6">
        <v>19</v>
      </c>
      <c r="D1013" s="6">
        <v>30</v>
      </c>
      <c r="E1013" s="18">
        <v>0.05</v>
      </c>
      <c r="F1013" s="6" t="str">
        <f>IFERROR(VLOOKUP(VLOOKUP(A1013,'Sales Order'!A:B,2,FALSE),Customer!A:C,3,FALSE),"Not Specified")</f>
        <v>Syamala, Manoj</v>
      </c>
      <c r="G1013" s="6" t="str">
        <f t="shared" si="30"/>
        <v>Syamala Manoj</v>
      </c>
      <c r="H1013" s="22" t="str">
        <f>IFERROR(VLOOKUP(VLOOKUP(A1013,'Sales Order'!A:C,3,FALSE),Employee!A:E,5,FALSE)&amp;" "&amp;VLOOKUP(VLOOKUP(A1013,'Sales Order'!A:C,3,FALSE),Employee!A:C,3,FALSE)&amp;" "&amp;VLOOKUP(VLOOKUP(A1013,'Sales Order'!A:C,3,FALSE),Employee!A:B,2,FALSE),"Not Specified")</f>
        <v>Ms. Maria Cameron</v>
      </c>
      <c r="I1013" t="str">
        <f>IFERROR(VLOOKUP(VLOOKUP(A1013,'Sales Order'!A:C,3,FALSE),Employee!A:J,10,FALSE),"Not Specified")</f>
        <v>WA</v>
      </c>
      <c r="J1013" t="str">
        <f>VLOOKUP(B1013,Product!A:B,2,FALSE)</f>
        <v>Product RECZE</v>
      </c>
      <c r="K1013" t="str">
        <f>VLOOKUP(VLOOKUP(B1013,Product!A:D,4,FALSE),Category!A:B,2,FALSE)</f>
        <v>Beverages</v>
      </c>
      <c r="L1013" s="24">
        <f>IFERROR(VLOOKUP(A1013,'Sales Order'!A:D,4,FALSE),"")</f>
        <v>39308</v>
      </c>
      <c r="M1013" s="24">
        <f>IFERROR(VLOOKUP(A1013,'Sales Order'!A:F,6,FALSE),"")</f>
        <v>39313</v>
      </c>
      <c r="N1013" t="str">
        <f>IFERROR(VLOOKUP(VLOOKUP(A1013,'Sales Order'!A:G,7,FALSE),Shipper!A:B,2,FALSE),"Not Specified")</f>
        <v>Shipper GVSUA</v>
      </c>
      <c r="O1013" t="str">
        <f>IFERROR(VLOOKUP(A1013,'Sales Order'!A:I,9,FALSE),"Not Specified")</f>
        <v>Ship to 86-C</v>
      </c>
      <c r="P1013" t="str">
        <f>IFERROR(VLOOKUP(A1013,'Sales Order'!A:N,14,FALSE),"Not Specified")</f>
        <v>Germany</v>
      </c>
      <c r="Q1013" t="str">
        <f>VLOOKUP(VLOOKUP(B1013,Product!A:C,3,FALSE),Supplier!A:B,2,FALSE)</f>
        <v>Supplier SWRXU</v>
      </c>
      <c r="R1013" t="str">
        <f>VLOOKUP(VLOOKUP(B1013,Product!A:C,3,FALSE),Supplier!A:I,9,FALSE)</f>
        <v>UK</v>
      </c>
      <c r="S1013" t="str">
        <f>IFERROR(IF(VLOOKUP(A1013,'Sales Order'!A:H,8,FALSE)&gt;100,"High Freight","Low Freight"),"Not Specified")</f>
        <v>Low Freight</v>
      </c>
      <c r="T1013">
        <f t="shared" si="31"/>
        <v>541.5</v>
      </c>
    </row>
    <row r="1014" spans="1:20">
      <c r="A1014" s="9">
        <v>10632</v>
      </c>
      <c r="B1014" s="6">
        <v>33</v>
      </c>
      <c r="C1014" s="6">
        <v>2.5</v>
      </c>
      <c r="D1014" s="6">
        <v>20</v>
      </c>
      <c r="E1014" s="18">
        <v>0.05</v>
      </c>
      <c r="F1014" s="6" t="str">
        <f>IFERROR(VLOOKUP(VLOOKUP(A1014,'Sales Order'!A:B,2,FALSE),Customer!A:C,3,FALSE),"Not Specified")</f>
        <v>Syamala, Manoj</v>
      </c>
      <c r="G1014" s="6" t="str">
        <f t="shared" si="30"/>
        <v>Syamala Manoj</v>
      </c>
      <c r="H1014" s="22" t="str">
        <f>IFERROR(VLOOKUP(VLOOKUP(A1014,'Sales Order'!A:C,3,FALSE),Employee!A:E,5,FALSE)&amp;" "&amp;VLOOKUP(VLOOKUP(A1014,'Sales Order'!A:C,3,FALSE),Employee!A:C,3,FALSE)&amp;" "&amp;VLOOKUP(VLOOKUP(A1014,'Sales Order'!A:C,3,FALSE),Employee!A:B,2,FALSE),"Not Specified")</f>
        <v>Ms. Maria Cameron</v>
      </c>
      <c r="I1014" t="str">
        <f>IFERROR(VLOOKUP(VLOOKUP(A1014,'Sales Order'!A:C,3,FALSE),Employee!A:J,10,FALSE),"Not Specified")</f>
        <v>WA</v>
      </c>
      <c r="J1014" t="str">
        <f>VLOOKUP(B1014,Product!A:B,2,FALSE)</f>
        <v>Product ASTMN</v>
      </c>
      <c r="K1014" t="str">
        <f>VLOOKUP(VLOOKUP(B1014,Product!A:D,4,FALSE),Category!A:B,2,FALSE)</f>
        <v>Dairy Product</v>
      </c>
      <c r="L1014" s="24">
        <f>IFERROR(VLOOKUP(A1014,'Sales Order'!A:D,4,FALSE),"")</f>
        <v>39308</v>
      </c>
      <c r="M1014" s="24">
        <f>IFERROR(VLOOKUP(A1014,'Sales Order'!A:F,6,FALSE),"")</f>
        <v>39313</v>
      </c>
      <c r="N1014" t="str">
        <f>IFERROR(VLOOKUP(VLOOKUP(A1014,'Sales Order'!A:G,7,FALSE),Shipper!A:B,2,FALSE),"Not Specified")</f>
        <v>Shipper GVSUA</v>
      </c>
      <c r="O1014" t="str">
        <f>IFERROR(VLOOKUP(A1014,'Sales Order'!A:I,9,FALSE),"Not Specified")</f>
        <v>Ship to 86-C</v>
      </c>
      <c r="P1014" t="str">
        <f>IFERROR(VLOOKUP(A1014,'Sales Order'!A:N,14,FALSE),"Not Specified")</f>
        <v>Germany</v>
      </c>
      <c r="Q1014" t="str">
        <f>VLOOKUP(VLOOKUP(B1014,Product!A:C,3,FALSE),Supplier!A:B,2,FALSE)</f>
        <v>Supplier NZLIF</v>
      </c>
      <c r="R1014" t="str">
        <f>VLOOKUP(VLOOKUP(B1014,Product!A:C,3,FALSE),Supplier!A:I,9,FALSE)</f>
        <v>Norway</v>
      </c>
      <c r="S1014" t="str">
        <f>IFERROR(IF(VLOOKUP(A1014,'Sales Order'!A:H,8,FALSE)&gt;100,"High Freight","Low Freight"),"Not Specified")</f>
        <v>Low Freight</v>
      </c>
      <c r="T1014">
        <f t="shared" si="31"/>
        <v>47.5</v>
      </c>
    </row>
    <row r="1015" spans="1:20">
      <c r="A1015" s="9">
        <v>10633</v>
      </c>
      <c r="B1015" s="6">
        <v>12</v>
      </c>
      <c r="C1015" s="6">
        <v>38</v>
      </c>
      <c r="D1015" s="6">
        <v>36</v>
      </c>
      <c r="E1015" s="18">
        <v>0.15</v>
      </c>
      <c r="F1015" s="6" t="str">
        <f>IFERROR(VLOOKUP(VLOOKUP(A1015,'Sales Order'!A:B,2,FALSE),Customer!A:C,3,FALSE),"Not Specified")</f>
        <v>Kane, John</v>
      </c>
      <c r="G1015" s="6" t="str">
        <f t="shared" si="30"/>
        <v>Kane John</v>
      </c>
      <c r="H1015" s="22" t="str">
        <f>IFERROR(VLOOKUP(VLOOKUP(A1015,'Sales Order'!A:C,3,FALSE),Employee!A:E,5,FALSE)&amp;" "&amp;VLOOKUP(VLOOKUP(A1015,'Sales Order'!A:C,3,FALSE),Employee!A:C,3,FALSE)&amp;" "&amp;VLOOKUP(VLOOKUP(A1015,'Sales Order'!A:C,3,FALSE),Employee!A:B,2,FALSE),"Not Specified")</f>
        <v>Mr. Russell King</v>
      </c>
      <c r="I1015">
        <f>IFERROR(VLOOKUP(VLOOKUP(A1015,'Sales Order'!A:C,3,FALSE),Employee!A:J,10,FALSE),"Not Specified")</f>
        <v>0</v>
      </c>
      <c r="J1015" t="str">
        <f>VLOOKUP(B1015,Product!A:B,2,FALSE)</f>
        <v>Product OSFNS</v>
      </c>
      <c r="K1015" t="str">
        <f>VLOOKUP(VLOOKUP(B1015,Product!A:D,4,FALSE),Category!A:B,2,FALSE)</f>
        <v>Dairy Product</v>
      </c>
      <c r="L1015" s="24">
        <f>IFERROR(VLOOKUP(A1015,'Sales Order'!A:D,4,FALSE),"")</f>
        <v>39309</v>
      </c>
      <c r="M1015" s="24">
        <f>IFERROR(VLOOKUP(A1015,'Sales Order'!A:F,6,FALSE),"")</f>
        <v>39312</v>
      </c>
      <c r="N1015" t="str">
        <f>IFERROR(VLOOKUP(VLOOKUP(A1015,'Sales Order'!A:G,7,FALSE),Shipper!A:B,2,FALSE),"Not Specified")</f>
        <v>Shipper ZHISN</v>
      </c>
      <c r="O1015" t="str">
        <f>IFERROR(VLOOKUP(A1015,'Sales Order'!A:I,9,FALSE),"Not Specified")</f>
        <v>Destination FFXKT</v>
      </c>
      <c r="P1015" t="str">
        <f>IFERROR(VLOOKUP(A1015,'Sales Order'!A:N,14,FALSE),"Not Specified")</f>
        <v>Austria</v>
      </c>
      <c r="Q1015" t="str">
        <f>VLOOKUP(VLOOKUP(B1015,Product!A:C,3,FALSE),Supplier!A:B,2,FALSE)</f>
        <v>Supplier EQPNC</v>
      </c>
      <c r="R1015" t="str">
        <f>VLOOKUP(VLOOKUP(B1015,Product!A:C,3,FALSE),Supplier!A:I,9,FALSE)</f>
        <v>Spain</v>
      </c>
      <c r="S1015" t="str">
        <f>IFERROR(IF(VLOOKUP(A1015,'Sales Order'!A:H,8,FALSE)&gt;100,"High Freight","Low Freight"),"Not Specified")</f>
        <v>High Freight</v>
      </c>
      <c r="T1015">
        <f t="shared" si="31"/>
        <v>1162.8</v>
      </c>
    </row>
    <row r="1016" spans="1:20">
      <c r="A1016" s="9">
        <v>10633</v>
      </c>
      <c r="B1016" s="6">
        <v>13</v>
      </c>
      <c r="C1016" s="6">
        <v>6</v>
      </c>
      <c r="D1016" s="6">
        <v>13</v>
      </c>
      <c r="E1016" s="18">
        <v>0.15</v>
      </c>
      <c r="F1016" s="6" t="str">
        <f>IFERROR(VLOOKUP(VLOOKUP(A1016,'Sales Order'!A:B,2,FALSE),Customer!A:C,3,FALSE),"Not Specified")</f>
        <v>Kane, John</v>
      </c>
      <c r="G1016" s="6" t="str">
        <f t="shared" si="30"/>
        <v>Kane John</v>
      </c>
      <c r="H1016" s="22" t="str">
        <f>IFERROR(VLOOKUP(VLOOKUP(A1016,'Sales Order'!A:C,3,FALSE),Employee!A:E,5,FALSE)&amp;" "&amp;VLOOKUP(VLOOKUP(A1016,'Sales Order'!A:C,3,FALSE),Employee!A:C,3,FALSE)&amp;" "&amp;VLOOKUP(VLOOKUP(A1016,'Sales Order'!A:C,3,FALSE),Employee!A:B,2,FALSE),"Not Specified")</f>
        <v>Mr. Russell King</v>
      </c>
      <c r="I1016">
        <f>IFERROR(VLOOKUP(VLOOKUP(A1016,'Sales Order'!A:C,3,FALSE),Employee!A:J,10,FALSE),"Not Specified")</f>
        <v>0</v>
      </c>
      <c r="J1016" t="str">
        <f>VLOOKUP(B1016,Product!A:B,2,FALSE)</f>
        <v>Product POXFU</v>
      </c>
      <c r="K1016" t="str">
        <f>VLOOKUP(VLOOKUP(B1016,Product!A:D,4,FALSE),Category!A:B,2,FALSE)</f>
        <v>Seafood</v>
      </c>
      <c r="L1016" s="24">
        <f>IFERROR(VLOOKUP(A1016,'Sales Order'!A:D,4,FALSE),"")</f>
        <v>39309</v>
      </c>
      <c r="M1016" s="24">
        <f>IFERROR(VLOOKUP(A1016,'Sales Order'!A:F,6,FALSE),"")</f>
        <v>39312</v>
      </c>
      <c r="N1016" t="str">
        <f>IFERROR(VLOOKUP(VLOOKUP(A1016,'Sales Order'!A:G,7,FALSE),Shipper!A:B,2,FALSE),"Not Specified")</f>
        <v>Shipper ZHISN</v>
      </c>
      <c r="O1016" t="str">
        <f>IFERROR(VLOOKUP(A1016,'Sales Order'!A:I,9,FALSE),"Not Specified")</f>
        <v>Destination FFXKT</v>
      </c>
      <c r="P1016" t="str">
        <f>IFERROR(VLOOKUP(A1016,'Sales Order'!A:N,14,FALSE),"Not Specified")</f>
        <v>Austria</v>
      </c>
      <c r="Q1016" t="str">
        <f>VLOOKUP(VLOOKUP(B1016,Product!A:C,3,FALSE),Supplier!A:B,2,FALSE)</f>
        <v>Supplier QWUSF</v>
      </c>
      <c r="R1016" t="str">
        <f>VLOOKUP(VLOOKUP(B1016,Product!A:C,3,FALSE),Supplier!A:I,9,FALSE)</f>
        <v>Japan</v>
      </c>
      <c r="S1016" t="str">
        <f>IFERROR(IF(VLOOKUP(A1016,'Sales Order'!A:H,8,FALSE)&gt;100,"High Freight","Low Freight"),"Not Specified")</f>
        <v>High Freight</v>
      </c>
      <c r="T1016">
        <f t="shared" si="31"/>
        <v>66.3</v>
      </c>
    </row>
    <row r="1017" spans="1:20">
      <c r="A1017" s="9">
        <v>10633</v>
      </c>
      <c r="B1017" s="6">
        <v>26</v>
      </c>
      <c r="C1017" s="6">
        <v>31.23</v>
      </c>
      <c r="D1017" s="6">
        <v>35</v>
      </c>
      <c r="E1017" s="18">
        <v>0.15</v>
      </c>
      <c r="F1017" s="6" t="str">
        <f>IFERROR(VLOOKUP(VLOOKUP(A1017,'Sales Order'!A:B,2,FALSE),Customer!A:C,3,FALSE),"Not Specified")</f>
        <v>Kane, John</v>
      </c>
      <c r="G1017" s="6" t="str">
        <f t="shared" si="30"/>
        <v>Kane John</v>
      </c>
      <c r="H1017" s="22" t="str">
        <f>IFERROR(VLOOKUP(VLOOKUP(A1017,'Sales Order'!A:C,3,FALSE),Employee!A:E,5,FALSE)&amp;" "&amp;VLOOKUP(VLOOKUP(A1017,'Sales Order'!A:C,3,FALSE),Employee!A:C,3,FALSE)&amp;" "&amp;VLOOKUP(VLOOKUP(A1017,'Sales Order'!A:C,3,FALSE),Employee!A:B,2,FALSE),"Not Specified")</f>
        <v>Mr. Russell King</v>
      </c>
      <c r="I1017">
        <f>IFERROR(VLOOKUP(VLOOKUP(A1017,'Sales Order'!A:C,3,FALSE),Employee!A:J,10,FALSE),"Not Specified")</f>
        <v>0</v>
      </c>
      <c r="J1017" t="str">
        <f>VLOOKUP(B1017,Product!A:B,2,FALSE)</f>
        <v>Product HLGZA</v>
      </c>
      <c r="K1017" t="str">
        <f>VLOOKUP(VLOOKUP(B1017,Product!A:D,4,FALSE),Category!A:B,2,FALSE)</f>
        <v>Confections</v>
      </c>
      <c r="L1017" s="24">
        <f>IFERROR(VLOOKUP(A1017,'Sales Order'!A:D,4,FALSE),"")</f>
        <v>39309</v>
      </c>
      <c r="M1017" s="24">
        <f>IFERROR(VLOOKUP(A1017,'Sales Order'!A:F,6,FALSE),"")</f>
        <v>39312</v>
      </c>
      <c r="N1017" t="str">
        <f>IFERROR(VLOOKUP(VLOOKUP(A1017,'Sales Order'!A:G,7,FALSE),Shipper!A:B,2,FALSE),"Not Specified")</f>
        <v>Shipper ZHISN</v>
      </c>
      <c r="O1017" t="str">
        <f>IFERROR(VLOOKUP(A1017,'Sales Order'!A:I,9,FALSE),"Not Specified")</f>
        <v>Destination FFXKT</v>
      </c>
      <c r="P1017" t="str">
        <f>IFERROR(VLOOKUP(A1017,'Sales Order'!A:N,14,FALSE),"Not Specified")</f>
        <v>Austria</v>
      </c>
      <c r="Q1017" t="str">
        <f>VLOOKUP(VLOOKUP(B1017,Product!A:C,3,FALSE),Supplier!A:B,2,FALSE)</f>
        <v>Supplier ZPYVS</v>
      </c>
      <c r="R1017" t="str">
        <f>VLOOKUP(VLOOKUP(B1017,Product!A:C,3,FALSE),Supplier!A:I,9,FALSE)</f>
        <v>Germany</v>
      </c>
      <c r="S1017" t="str">
        <f>IFERROR(IF(VLOOKUP(A1017,'Sales Order'!A:H,8,FALSE)&gt;100,"High Freight","Low Freight"),"Not Specified")</f>
        <v>High Freight</v>
      </c>
      <c r="T1017">
        <f t="shared" si="31"/>
        <v>929.09249999999997</v>
      </c>
    </row>
    <row r="1018" spans="1:20">
      <c r="A1018" s="9">
        <v>10633</v>
      </c>
      <c r="B1018" s="6">
        <v>62</v>
      </c>
      <c r="C1018" s="6">
        <v>49.3</v>
      </c>
      <c r="D1018" s="6">
        <v>80</v>
      </c>
      <c r="E1018" s="18">
        <v>0.15</v>
      </c>
      <c r="F1018" s="6" t="str">
        <f>IFERROR(VLOOKUP(VLOOKUP(A1018,'Sales Order'!A:B,2,FALSE),Customer!A:C,3,FALSE),"Not Specified")</f>
        <v>Kane, John</v>
      </c>
      <c r="G1018" s="6" t="str">
        <f t="shared" si="30"/>
        <v>Kane John</v>
      </c>
      <c r="H1018" s="22" t="str">
        <f>IFERROR(VLOOKUP(VLOOKUP(A1018,'Sales Order'!A:C,3,FALSE),Employee!A:E,5,FALSE)&amp;" "&amp;VLOOKUP(VLOOKUP(A1018,'Sales Order'!A:C,3,FALSE),Employee!A:C,3,FALSE)&amp;" "&amp;VLOOKUP(VLOOKUP(A1018,'Sales Order'!A:C,3,FALSE),Employee!A:B,2,FALSE),"Not Specified")</f>
        <v>Mr. Russell King</v>
      </c>
      <c r="I1018">
        <f>IFERROR(VLOOKUP(VLOOKUP(A1018,'Sales Order'!A:C,3,FALSE),Employee!A:J,10,FALSE),"Not Specified")</f>
        <v>0</v>
      </c>
      <c r="J1018" t="str">
        <f>VLOOKUP(B1018,Product!A:B,2,FALSE)</f>
        <v>Product WUXYK</v>
      </c>
      <c r="K1018" t="str">
        <f>VLOOKUP(VLOOKUP(B1018,Product!A:D,4,FALSE),Category!A:B,2,FALSE)</f>
        <v>Confections</v>
      </c>
      <c r="L1018" s="24">
        <f>IFERROR(VLOOKUP(A1018,'Sales Order'!A:D,4,FALSE),"")</f>
        <v>39309</v>
      </c>
      <c r="M1018" s="24">
        <f>IFERROR(VLOOKUP(A1018,'Sales Order'!A:F,6,FALSE),"")</f>
        <v>39312</v>
      </c>
      <c r="N1018" t="str">
        <f>IFERROR(VLOOKUP(VLOOKUP(A1018,'Sales Order'!A:G,7,FALSE),Shipper!A:B,2,FALSE),"Not Specified")</f>
        <v>Shipper ZHISN</v>
      </c>
      <c r="O1018" t="str">
        <f>IFERROR(VLOOKUP(A1018,'Sales Order'!A:I,9,FALSE),"Not Specified")</f>
        <v>Destination FFXKT</v>
      </c>
      <c r="P1018" t="str">
        <f>IFERROR(VLOOKUP(A1018,'Sales Order'!A:N,14,FALSE),"Not Specified")</f>
        <v>Austria</v>
      </c>
      <c r="Q1018" t="str">
        <f>VLOOKUP(VLOOKUP(B1018,Product!A:C,3,FALSE),Supplier!A:B,2,FALSE)</f>
        <v>Supplier OGLRK</v>
      </c>
      <c r="R1018" t="str">
        <f>VLOOKUP(VLOOKUP(B1018,Product!A:C,3,FALSE),Supplier!A:I,9,FALSE)</f>
        <v>Canada</v>
      </c>
      <c r="S1018" t="str">
        <f>IFERROR(IF(VLOOKUP(A1018,'Sales Order'!A:H,8,FALSE)&gt;100,"High Freight","Low Freight"),"Not Specified")</f>
        <v>High Freight</v>
      </c>
      <c r="T1018">
        <f t="shared" si="31"/>
        <v>3352.4</v>
      </c>
    </row>
    <row r="1019" spans="1:20">
      <c r="A1019" s="9">
        <v>10634</v>
      </c>
      <c r="B1019" s="6">
        <v>7</v>
      </c>
      <c r="C1019" s="6">
        <v>30</v>
      </c>
      <c r="D1019" s="6">
        <v>35</v>
      </c>
      <c r="E1019" s="18">
        <v>0</v>
      </c>
      <c r="F1019" s="6" t="str">
        <f>IFERROR(VLOOKUP(VLOOKUP(A1019,'Sales Order'!A:B,2,FALSE),Customer!A:C,3,FALSE),"Not Specified")</f>
        <v>Khanna, Karan</v>
      </c>
      <c r="G1019" s="6" t="str">
        <f t="shared" si="30"/>
        <v>Khanna Karan</v>
      </c>
      <c r="H1019" s="22" t="str">
        <f>IFERROR(VLOOKUP(VLOOKUP(A1019,'Sales Order'!A:C,3,FALSE),Employee!A:E,5,FALSE)&amp;" "&amp;VLOOKUP(VLOOKUP(A1019,'Sales Order'!A:C,3,FALSE),Employee!A:C,3,FALSE)&amp;" "&amp;VLOOKUP(VLOOKUP(A1019,'Sales Order'!A:C,3,FALSE),Employee!A:B,2,FALSE),"Not Specified")</f>
        <v>Mrs. Yael Peled</v>
      </c>
      <c r="I1019" t="str">
        <f>IFERROR(VLOOKUP(VLOOKUP(A1019,'Sales Order'!A:C,3,FALSE),Employee!A:J,10,FALSE),"Not Specified")</f>
        <v>WA</v>
      </c>
      <c r="J1019" t="str">
        <f>VLOOKUP(B1019,Product!A:B,2,FALSE)</f>
        <v>Product HMLNI</v>
      </c>
      <c r="K1019" t="str">
        <f>VLOOKUP(VLOOKUP(B1019,Product!A:D,4,FALSE),Category!A:B,2,FALSE)</f>
        <v>Produce</v>
      </c>
      <c r="L1019" s="24">
        <f>IFERROR(VLOOKUP(A1019,'Sales Order'!A:D,4,FALSE),"")</f>
        <v>39309</v>
      </c>
      <c r="M1019" s="24">
        <f>IFERROR(VLOOKUP(A1019,'Sales Order'!A:F,6,FALSE),"")</f>
        <v>39315</v>
      </c>
      <c r="N1019" t="str">
        <f>IFERROR(VLOOKUP(VLOOKUP(A1019,'Sales Order'!A:G,7,FALSE),Shipper!A:B,2,FALSE),"Not Specified")</f>
        <v>Shipper ZHISN</v>
      </c>
      <c r="O1019" t="str">
        <f>IFERROR(VLOOKUP(A1019,'Sales Order'!A:I,9,FALSE),"Not Specified")</f>
        <v>Destination AGPCO</v>
      </c>
      <c r="P1019" t="str">
        <f>IFERROR(VLOOKUP(A1019,'Sales Order'!A:N,14,FALSE),"Not Specified")</f>
        <v>France</v>
      </c>
      <c r="Q1019" t="str">
        <f>VLOOKUP(VLOOKUP(B1019,Product!A:C,3,FALSE),Supplier!A:B,2,FALSE)</f>
        <v>Supplier STUAZ</v>
      </c>
      <c r="R1019" t="str">
        <f>VLOOKUP(VLOOKUP(B1019,Product!A:C,3,FALSE),Supplier!A:I,9,FALSE)</f>
        <v>USA</v>
      </c>
      <c r="S1019" t="str">
        <f>IFERROR(IF(VLOOKUP(A1019,'Sales Order'!A:H,8,FALSE)&gt;100,"High Freight","Low Freight"),"Not Specified")</f>
        <v>High Freight</v>
      </c>
      <c r="T1019">
        <f t="shared" si="31"/>
        <v>1050</v>
      </c>
    </row>
    <row r="1020" spans="1:20">
      <c r="A1020" s="9">
        <v>10634</v>
      </c>
      <c r="B1020" s="6">
        <v>18</v>
      </c>
      <c r="C1020" s="6">
        <v>62.5</v>
      </c>
      <c r="D1020" s="6">
        <v>50</v>
      </c>
      <c r="E1020" s="18">
        <v>0</v>
      </c>
      <c r="F1020" s="6" t="str">
        <f>IFERROR(VLOOKUP(VLOOKUP(A1020,'Sales Order'!A:B,2,FALSE),Customer!A:C,3,FALSE),"Not Specified")</f>
        <v>Khanna, Karan</v>
      </c>
      <c r="G1020" s="6" t="str">
        <f t="shared" si="30"/>
        <v>Khanna Karan</v>
      </c>
      <c r="H1020" s="22" t="str">
        <f>IFERROR(VLOOKUP(VLOOKUP(A1020,'Sales Order'!A:C,3,FALSE),Employee!A:E,5,FALSE)&amp;" "&amp;VLOOKUP(VLOOKUP(A1020,'Sales Order'!A:C,3,FALSE),Employee!A:C,3,FALSE)&amp;" "&amp;VLOOKUP(VLOOKUP(A1020,'Sales Order'!A:C,3,FALSE),Employee!A:B,2,FALSE),"Not Specified")</f>
        <v>Mrs. Yael Peled</v>
      </c>
      <c r="I1020" t="str">
        <f>IFERROR(VLOOKUP(VLOOKUP(A1020,'Sales Order'!A:C,3,FALSE),Employee!A:J,10,FALSE),"Not Specified")</f>
        <v>WA</v>
      </c>
      <c r="J1020" t="str">
        <f>VLOOKUP(B1020,Product!A:B,2,FALSE)</f>
        <v>Product CKEDC</v>
      </c>
      <c r="K1020" t="str">
        <f>VLOOKUP(VLOOKUP(B1020,Product!A:D,4,FALSE),Category!A:B,2,FALSE)</f>
        <v>Seafood</v>
      </c>
      <c r="L1020" s="24">
        <f>IFERROR(VLOOKUP(A1020,'Sales Order'!A:D,4,FALSE),"")</f>
        <v>39309</v>
      </c>
      <c r="M1020" s="24">
        <f>IFERROR(VLOOKUP(A1020,'Sales Order'!A:F,6,FALSE),"")</f>
        <v>39315</v>
      </c>
      <c r="N1020" t="str">
        <f>IFERROR(VLOOKUP(VLOOKUP(A1020,'Sales Order'!A:G,7,FALSE),Shipper!A:B,2,FALSE),"Not Specified")</f>
        <v>Shipper ZHISN</v>
      </c>
      <c r="O1020" t="str">
        <f>IFERROR(VLOOKUP(A1020,'Sales Order'!A:I,9,FALSE),"Not Specified")</f>
        <v>Destination AGPCO</v>
      </c>
      <c r="P1020" t="str">
        <f>IFERROR(VLOOKUP(A1020,'Sales Order'!A:N,14,FALSE),"Not Specified")</f>
        <v>France</v>
      </c>
      <c r="Q1020" t="str">
        <f>VLOOKUP(VLOOKUP(B1020,Product!A:C,3,FALSE),Supplier!A:B,2,FALSE)</f>
        <v>Supplier GQRCV</v>
      </c>
      <c r="R1020" t="str">
        <f>VLOOKUP(VLOOKUP(B1020,Product!A:C,3,FALSE),Supplier!A:I,9,FALSE)</f>
        <v>Australia</v>
      </c>
      <c r="S1020" t="str">
        <f>IFERROR(IF(VLOOKUP(A1020,'Sales Order'!A:H,8,FALSE)&gt;100,"High Freight","Low Freight"),"Not Specified")</f>
        <v>High Freight</v>
      </c>
      <c r="T1020">
        <f t="shared" si="31"/>
        <v>3125</v>
      </c>
    </row>
    <row r="1021" spans="1:20">
      <c r="A1021" s="9">
        <v>10634</v>
      </c>
      <c r="B1021" s="6">
        <v>51</v>
      </c>
      <c r="C1021" s="6">
        <v>53</v>
      </c>
      <c r="D1021" s="6">
        <v>15</v>
      </c>
      <c r="E1021" s="18">
        <v>0</v>
      </c>
      <c r="F1021" s="6" t="str">
        <f>IFERROR(VLOOKUP(VLOOKUP(A1021,'Sales Order'!A:B,2,FALSE),Customer!A:C,3,FALSE),"Not Specified")</f>
        <v>Khanna, Karan</v>
      </c>
      <c r="G1021" s="6" t="str">
        <f t="shared" si="30"/>
        <v>Khanna Karan</v>
      </c>
      <c r="H1021" s="22" t="str">
        <f>IFERROR(VLOOKUP(VLOOKUP(A1021,'Sales Order'!A:C,3,FALSE),Employee!A:E,5,FALSE)&amp;" "&amp;VLOOKUP(VLOOKUP(A1021,'Sales Order'!A:C,3,FALSE),Employee!A:C,3,FALSE)&amp;" "&amp;VLOOKUP(VLOOKUP(A1021,'Sales Order'!A:C,3,FALSE),Employee!A:B,2,FALSE),"Not Specified")</f>
        <v>Mrs. Yael Peled</v>
      </c>
      <c r="I1021" t="str">
        <f>IFERROR(VLOOKUP(VLOOKUP(A1021,'Sales Order'!A:C,3,FALSE),Employee!A:J,10,FALSE),"Not Specified")</f>
        <v>WA</v>
      </c>
      <c r="J1021" t="str">
        <f>VLOOKUP(B1021,Product!A:B,2,FALSE)</f>
        <v>Product APITJ</v>
      </c>
      <c r="K1021" t="str">
        <f>VLOOKUP(VLOOKUP(B1021,Product!A:D,4,FALSE),Category!A:B,2,FALSE)</f>
        <v>Produce</v>
      </c>
      <c r="L1021" s="24">
        <f>IFERROR(VLOOKUP(A1021,'Sales Order'!A:D,4,FALSE),"")</f>
        <v>39309</v>
      </c>
      <c r="M1021" s="24">
        <f>IFERROR(VLOOKUP(A1021,'Sales Order'!A:F,6,FALSE),"")</f>
        <v>39315</v>
      </c>
      <c r="N1021" t="str">
        <f>IFERROR(VLOOKUP(VLOOKUP(A1021,'Sales Order'!A:G,7,FALSE),Shipper!A:B,2,FALSE),"Not Specified")</f>
        <v>Shipper ZHISN</v>
      </c>
      <c r="O1021" t="str">
        <f>IFERROR(VLOOKUP(A1021,'Sales Order'!A:I,9,FALSE),"Not Specified")</f>
        <v>Destination AGPCO</v>
      </c>
      <c r="P1021" t="str">
        <f>IFERROR(VLOOKUP(A1021,'Sales Order'!A:N,14,FALSE),"Not Specified")</f>
        <v>France</v>
      </c>
      <c r="Q1021" t="str">
        <f>VLOOKUP(VLOOKUP(B1021,Product!A:C,3,FALSE),Supplier!A:B,2,FALSE)</f>
        <v>Supplier JNNES</v>
      </c>
      <c r="R1021" t="str">
        <f>VLOOKUP(VLOOKUP(B1021,Product!A:C,3,FALSE),Supplier!A:I,9,FALSE)</f>
        <v>Australia</v>
      </c>
      <c r="S1021" t="str">
        <f>IFERROR(IF(VLOOKUP(A1021,'Sales Order'!A:H,8,FALSE)&gt;100,"High Freight","Low Freight"),"Not Specified")</f>
        <v>High Freight</v>
      </c>
      <c r="T1021">
        <f t="shared" si="31"/>
        <v>795</v>
      </c>
    </row>
    <row r="1022" spans="1:20">
      <c r="A1022" s="9">
        <v>10634</v>
      </c>
      <c r="B1022" s="6">
        <v>75</v>
      </c>
      <c r="C1022" s="6">
        <v>7.75</v>
      </c>
      <c r="D1022" s="6">
        <v>2</v>
      </c>
      <c r="E1022" s="18">
        <v>0</v>
      </c>
      <c r="F1022" s="6" t="str">
        <f>IFERROR(VLOOKUP(VLOOKUP(A1022,'Sales Order'!A:B,2,FALSE),Customer!A:C,3,FALSE),"Not Specified")</f>
        <v>Khanna, Karan</v>
      </c>
      <c r="G1022" s="6" t="str">
        <f t="shared" si="30"/>
        <v>Khanna Karan</v>
      </c>
      <c r="H1022" s="22" t="str">
        <f>IFERROR(VLOOKUP(VLOOKUP(A1022,'Sales Order'!A:C,3,FALSE),Employee!A:E,5,FALSE)&amp;" "&amp;VLOOKUP(VLOOKUP(A1022,'Sales Order'!A:C,3,FALSE),Employee!A:C,3,FALSE)&amp;" "&amp;VLOOKUP(VLOOKUP(A1022,'Sales Order'!A:C,3,FALSE),Employee!A:B,2,FALSE),"Not Specified")</f>
        <v>Mrs. Yael Peled</v>
      </c>
      <c r="I1022" t="str">
        <f>IFERROR(VLOOKUP(VLOOKUP(A1022,'Sales Order'!A:C,3,FALSE),Employee!A:J,10,FALSE),"Not Specified")</f>
        <v>WA</v>
      </c>
      <c r="J1022" t="str">
        <f>VLOOKUP(B1022,Product!A:B,2,FALSE)</f>
        <v>Product BWRLG</v>
      </c>
      <c r="K1022" t="str">
        <f>VLOOKUP(VLOOKUP(B1022,Product!A:D,4,FALSE),Category!A:B,2,FALSE)</f>
        <v>Beverages</v>
      </c>
      <c r="L1022" s="24">
        <f>IFERROR(VLOOKUP(A1022,'Sales Order'!A:D,4,FALSE),"")</f>
        <v>39309</v>
      </c>
      <c r="M1022" s="24">
        <f>IFERROR(VLOOKUP(A1022,'Sales Order'!A:F,6,FALSE),"")</f>
        <v>39315</v>
      </c>
      <c r="N1022" t="str">
        <f>IFERROR(VLOOKUP(VLOOKUP(A1022,'Sales Order'!A:G,7,FALSE),Shipper!A:B,2,FALSE),"Not Specified")</f>
        <v>Shipper ZHISN</v>
      </c>
      <c r="O1022" t="str">
        <f>IFERROR(VLOOKUP(A1022,'Sales Order'!A:I,9,FALSE),"Not Specified")</f>
        <v>Destination AGPCO</v>
      </c>
      <c r="P1022" t="str">
        <f>IFERROR(VLOOKUP(A1022,'Sales Order'!A:N,14,FALSE),"Not Specified")</f>
        <v>France</v>
      </c>
      <c r="Q1022" t="str">
        <f>VLOOKUP(VLOOKUP(B1022,Product!A:C,3,FALSE),Supplier!A:B,2,FALSE)</f>
        <v>Supplier SVIYA</v>
      </c>
      <c r="R1022" t="str">
        <f>VLOOKUP(VLOOKUP(B1022,Product!A:C,3,FALSE),Supplier!A:I,9,FALSE)</f>
        <v>Germany</v>
      </c>
      <c r="S1022" t="str">
        <f>IFERROR(IF(VLOOKUP(A1022,'Sales Order'!A:H,8,FALSE)&gt;100,"High Freight","Low Freight"),"Not Specified")</f>
        <v>High Freight</v>
      </c>
      <c r="T1022">
        <f t="shared" si="31"/>
        <v>15.5</v>
      </c>
    </row>
    <row r="1023" spans="1:20">
      <c r="A1023" s="9">
        <v>10635</v>
      </c>
      <c r="B1023" s="6">
        <v>4</v>
      </c>
      <c r="C1023" s="6">
        <v>22</v>
      </c>
      <c r="D1023" s="6">
        <v>10</v>
      </c>
      <c r="E1023" s="18">
        <v>0.1</v>
      </c>
      <c r="F1023" s="6" t="str">
        <f>IFERROR(VLOOKUP(VLOOKUP(A1023,'Sales Order'!A:B,2,FALSE),Customer!A:C,3,FALSE),"Not Specified")</f>
        <v>Duerr, Bernard</v>
      </c>
      <c r="G1023" s="6" t="str">
        <f t="shared" si="30"/>
        <v>Duerr Bernard</v>
      </c>
      <c r="H1023" s="22" t="str">
        <f>IFERROR(VLOOKUP(VLOOKUP(A1023,'Sales Order'!A:C,3,FALSE),Employee!A:E,5,FALSE)&amp;" "&amp;VLOOKUP(VLOOKUP(A1023,'Sales Order'!A:C,3,FALSE),Employee!A:C,3,FALSE)&amp;" "&amp;VLOOKUP(VLOOKUP(A1023,'Sales Order'!A:C,3,FALSE),Employee!A:B,2,FALSE),"Not Specified")</f>
        <v>Ms. Maria Cameron</v>
      </c>
      <c r="I1023" t="str">
        <f>IFERROR(VLOOKUP(VLOOKUP(A1023,'Sales Order'!A:C,3,FALSE),Employee!A:J,10,FALSE),"Not Specified")</f>
        <v>WA</v>
      </c>
      <c r="J1023" t="str">
        <f>VLOOKUP(B1023,Product!A:B,2,FALSE)</f>
        <v>Product KSBRM</v>
      </c>
      <c r="K1023" t="str">
        <f>VLOOKUP(VLOOKUP(B1023,Product!A:D,4,FALSE),Category!A:B,2,FALSE)</f>
        <v>Condiments</v>
      </c>
      <c r="L1023" s="24">
        <f>IFERROR(VLOOKUP(A1023,'Sales Order'!A:D,4,FALSE),"")</f>
        <v>39312</v>
      </c>
      <c r="M1023" s="24">
        <f>IFERROR(VLOOKUP(A1023,'Sales Order'!A:F,6,FALSE),"")</f>
        <v>39315</v>
      </c>
      <c r="N1023" t="str">
        <f>IFERROR(VLOOKUP(VLOOKUP(A1023,'Sales Order'!A:G,7,FALSE),Shipper!A:B,2,FALSE),"Not Specified")</f>
        <v>Shipper ZHISN</v>
      </c>
      <c r="O1023" t="str">
        <f>IFERROR(VLOOKUP(A1023,'Sales Order'!A:I,9,FALSE),"Not Specified")</f>
        <v>Ship to 49-A</v>
      </c>
      <c r="P1023" t="str">
        <f>IFERROR(VLOOKUP(A1023,'Sales Order'!A:N,14,FALSE),"Not Specified")</f>
        <v>Italy</v>
      </c>
      <c r="Q1023" t="str">
        <f>VLOOKUP(VLOOKUP(B1023,Product!A:C,3,FALSE),Supplier!A:B,2,FALSE)</f>
        <v>Supplier VHQZD</v>
      </c>
      <c r="R1023" t="str">
        <f>VLOOKUP(VLOOKUP(B1023,Product!A:C,3,FALSE),Supplier!A:I,9,FALSE)</f>
        <v>USA</v>
      </c>
      <c r="S1023" t="str">
        <f>IFERROR(IF(VLOOKUP(A1023,'Sales Order'!A:H,8,FALSE)&gt;100,"High Freight","Low Freight"),"Not Specified")</f>
        <v>Low Freight</v>
      </c>
      <c r="T1023">
        <f t="shared" si="31"/>
        <v>198</v>
      </c>
    </row>
    <row r="1024" spans="1:20">
      <c r="A1024" s="9">
        <v>10635</v>
      </c>
      <c r="B1024" s="6">
        <v>5</v>
      </c>
      <c r="C1024" s="6">
        <v>21.35</v>
      </c>
      <c r="D1024" s="6">
        <v>15</v>
      </c>
      <c r="E1024" s="18">
        <v>0.1</v>
      </c>
      <c r="F1024" s="6" t="str">
        <f>IFERROR(VLOOKUP(VLOOKUP(A1024,'Sales Order'!A:B,2,FALSE),Customer!A:C,3,FALSE),"Not Specified")</f>
        <v>Duerr, Bernard</v>
      </c>
      <c r="G1024" s="6" t="str">
        <f t="shared" si="30"/>
        <v>Duerr Bernard</v>
      </c>
      <c r="H1024" s="22" t="str">
        <f>IFERROR(VLOOKUP(VLOOKUP(A1024,'Sales Order'!A:C,3,FALSE),Employee!A:E,5,FALSE)&amp;" "&amp;VLOOKUP(VLOOKUP(A1024,'Sales Order'!A:C,3,FALSE),Employee!A:C,3,FALSE)&amp;" "&amp;VLOOKUP(VLOOKUP(A1024,'Sales Order'!A:C,3,FALSE),Employee!A:B,2,FALSE),"Not Specified")</f>
        <v>Ms. Maria Cameron</v>
      </c>
      <c r="I1024" t="str">
        <f>IFERROR(VLOOKUP(VLOOKUP(A1024,'Sales Order'!A:C,3,FALSE),Employee!A:J,10,FALSE),"Not Specified")</f>
        <v>WA</v>
      </c>
      <c r="J1024" t="str">
        <f>VLOOKUP(B1024,Product!A:B,2,FALSE)</f>
        <v>Product EPEIM</v>
      </c>
      <c r="K1024" t="str">
        <f>VLOOKUP(VLOOKUP(B1024,Product!A:D,4,FALSE),Category!A:B,2,FALSE)</f>
        <v>Condiments</v>
      </c>
      <c r="L1024" s="24">
        <f>IFERROR(VLOOKUP(A1024,'Sales Order'!A:D,4,FALSE),"")</f>
        <v>39312</v>
      </c>
      <c r="M1024" s="24">
        <f>IFERROR(VLOOKUP(A1024,'Sales Order'!A:F,6,FALSE),"")</f>
        <v>39315</v>
      </c>
      <c r="N1024" t="str">
        <f>IFERROR(VLOOKUP(VLOOKUP(A1024,'Sales Order'!A:G,7,FALSE),Shipper!A:B,2,FALSE),"Not Specified")</f>
        <v>Shipper ZHISN</v>
      </c>
      <c r="O1024" t="str">
        <f>IFERROR(VLOOKUP(A1024,'Sales Order'!A:I,9,FALSE),"Not Specified")</f>
        <v>Ship to 49-A</v>
      </c>
      <c r="P1024" t="str">
        <f>IFERROR(VLOOKUP(A1024,'Sales Order'!A:N,14,FALSE),"Not Specified")</f>
        <v>Italy</v>
      </c>
      <c r="Q1024" t="str">
        <f>VLOOKUP(VLOOKUP(B1024,Product!A:C,3,FALSE),Supplier!A:B,2,FALSE)</f>
        <v>Supplier VHQZD</v>
      </c>
      <c r="R1024" t="str">
        <f>VLOOKUP(VLOOKUP(B1024,Product!A:C,3,FALSE),Supplier!A:I,9,FALSE)</f>
        <v>USA</v>
      </c>
      <c r="S1024" t="str">
        <f>IFERROR(IF(VLOOKUP(A1024,'Sales Order'!A:H,8,FALSE)&gt;100,"High Freight","Low Freight"),"Not Specified")</f>
        <v>Low Freight</v>
      </c>
      <c r="T1024">
        <f t="shared" si="31"/>
        <v>288.22500000000002</v>
      </c>
    </row>
    <row r="1025" spans="1:20">
      <c r="A1025" s="9">
        <v>10635</v>
      </c>
      <c r="B1025" s="6">
        <v>22</v>
      </c>
      <c r="C1025" s="6">
        <v>21</v>
      </c>
      <c r="D1025" s="6">
        <v>40</v>
      </c>
      <c r="E1025" s="18">
        <v>0</v>
      </c>
      <c r="F1025" s="6" t="str">
        <f>IFERROR(VLOOKUP(VLOOKUP(A1025,'Sales Order'!A:B,2,FALSE),Customer!A:C,3,FALSE),"Not Specified")</f>
        <v>Duerr, Bernard</v>
      </c>
      <c r="G1025" s="6" t="str">
        <f t="shared" si="30"/>
        <v>Duerr Bernard</v>
      </c>
      <c r="H1025" s="22" t="str">
        <f>IFERROR(VLOOKUP(VLOOKUP(A1025,'Sales Order'!A:C,3,FALSE),Employee!A:E,5,FALSE)&amp;" "&amp;VLOOKUP(VLOOKUP(A1025,'Sales Order'!A:C,3,FALSE),Employee!A:C,3,FALSE)&amp;" "&amp;VLOOKUP(VLOOKUP(A1025,'Sales Order'!A:C,3,FALSE),Employee!A:B,2,FALSE),"Not Specified")</f>
        <v>Ms. Maria Cameron</v>
      </c>
      <c r="I1025" t="str">
        <f>IFERROR(VLOOKUP(VLOOKUP(A1025,'Sales Order'!A:C,3,FALSE),Employee!A:J,10,FALSE),"Not Specified")</f>
        <v>WA</v>
      </c>
      <c r="J1025" t="str">
        <f>VLOOKUP(B1025,Product!A:B,2,FALSE)</f>
        <v>Product CPHFY</v>
      </c>
      <c r="K1025" t="str">
        <f>VLOOKUP(VLOOKUP(B1025,Product!A:D,4,FALSE),Category!A:B,2,FALSE)</f>
        <v>Grains/Cereals</v>
      </c>
      <c r="L1025" s="24">
        <f>IFERROR(VLOOKUP(A1025,'Sales Order'!A:D,4,FALSE),"")</f>
        <v>39312</v>
      </c>
      <c r="M1025" s="24">
        <f>IFERROR(VLOOKUP(A1025,'Sales Order'!A:F,6,FALSE),"")</f>
        <v>39315</v>
      </c>
      <c r="N1025" t="str">
        <f>IFERROR(VLOOKUP(VLOOKUP(A1025,'Sales Order'!A:G,7,FALSE),Shipper!A:B,2,FALSE),"Not Specified")</f>
        <v>Shipper ZHISN</v>
      </c>
      <c r="O1025" t="str">
        <f>IFERROR(VLOOKUP(A1025,'Sales Order'!A:I,9,FALSE),"Not Specified")</f>
        <v>Ship to 49-A</v>
      </c>
      <c r="P1025" t="str">
        <f>IFERROR(VLOOKUP(A1025,'Sales Order'!A:N,14,FALSE),"Not Specified")</f>
        <v>Italy</v>
      </c>
      <c r="Q1025" t="str">
        <f>VLOOKUP(VLOOKUP(B1025,Product!A:C,3,FALSE),Supplier!A:B,2,FALSE)</f>
        <v>Supplier QQYEU</v>
      </c>
      <c r="R1025" t="str">
        <f>VLOOKUP(VLOOKUP(B1025,Product!A:C,3,FALSE),Supplier!A:I,9,FALSE)</f>
        <v>Sweden</v>
      </c>
      <c r="S1025" t="str">
        <f>IFERROR(IF(VLOOKUP(A1025,'Sales Order'!A:H,8,FALSE)&gt;100,"High Freight","Low Freight"),"Not Specified")</f>
        <v>Low Freight</v>
      </c>
      <c r="T1025">
        <f t="shared" si="31"/>
        <v>840</v>
      </c>
    </row>
    <row r="1026" spans="1:20">
      <c r="A1026" s="9">
        <v>10636</v>
      </c>
      <c r="B1026" s="6">
        <v>4</v>
      </c>
      <c r="C1026" s="6">
        <v>22</v>
      </c>
      <c r="D1026" s="6">
        <v>25</v>
      </c>
      <c r="E1026" s="18">
        <v>0</v>
      </c>
      <c r="F1026" s="6" t="str">
        <f>IFERROR(VLOOKUP(VLOOKUP(A1026,'Sales Order'!A:B,2,FALSE),Customer!A:C,3,FALSE),"Not Specified")</f>
        <v>Ludwig, Michael</v>
      </c>
      <c r="G1026" s="6" t="str">
        <f t="shared" si="30"/>
        <v>Ludwig Michael</v>
      </c>
      <c r="H1026" s="22" t="str">
        <f>IFERROR(VLOOKUP(VLOOKUP(A1026,'Sales Order'!A:C,3,FALSE),Employee!A:E,5,FALSE)&amp;" "&amp;VLOOKUP(VLOOKUP(A1026,'Sales Order'!A:C,3,FALSE),Employee!A:C,3,FALSE)&amp;" "&amp;VLOOKUP(VLOOKUP(A1026,'Sales Order'!A:C,3,FALSE),Employee!A:B,2,FALSE),"Not Specified")</f>
        <v>Mrs. Yael Peled</v>
      </c>
      <c r="I1026" t="str">
        <f>IFERROR(VLOOKUP(VLOOKUP(A1026,'Sales Order'!A:C,3,FALSE),Employee!A:J,10,FALSE),"Not Specified")</f>
        <v>WA</v>
      </c>
      <c r="J1026" t="str">
        <f>VLOOKUP(B1026,Product!A:B,2,FALSE)</f>
        <v>Product KSBRM</v>
      </c>
      <c r="K1026" t="str">
        <f>VLOOKUP(VLOOKUP(B1026,Product!A:D,4,FALSE),Category!A:B,2,FALSE)</f>
        <v>Condiments</v>
      </c>
      <c r="L1026" s="24">
        <f>IFERROR(VLOOKUP(A1026,'Sales Order'!A:D,4,FALSE),"")</f>
        <v>39313</v>
      </c>
      <c r="M1026" s="24">
        <f>IFERROR(VLOOKUP(A1026,'Sales Order'!A:F,6,FALSE),"")</f>
        <v>39320</v>
      </c>
      <c r="N1026" t="str">
        <f>IFERROR(VLOOKUP(VLOOKUP(A1026,'Sales Order'!A:G,7,FALSE),Shipper!A:B,2,FALSE),"Not Specified")</f>
        <v>Shipper GVSUA</v>
      </c>
      <c r="O1026" t="str">
        <f>IFERROR(VLOOKUP(A1026,'Sales Order'!A:I,9,FALSE),"Not Specified")</f>
        <v>Ship to 87-A</v>
      </c>
      <c r="P1026" t="str">
        <f>IFERROR(VLOOKUP(A1026,'Sales Order'!A:N,14,FALSE),"Not Specified")</f>
        <v>Finland</v>
      </c>
      <c r="Q1026" t="str">
        <f>VLOOKUP(VLOOKUP(B1026,Product!A:C,3,FALSE),Supplier!A:B,2,FALSE)</f>
        <v>Supplier VHQZD</v>
      </c>
      <c r="R1026" t="str">
        <f>VLOOKUP(VLOOKUP(B1026,Product!A:C,3,FALSE),Supplier!A:I,9,FALSE)</f>
        <v>USA</v>
      </c>
      <c r="S1026" t="str">
        <f>IFERROR(IF(VLOOKUP(A1026,'Sales Order'!A:H,8,FALSE)&gt;100,"High Freight","Low Freight"),"Not Specified")</f>
        <v>Low Freight</v>
      </c>
      <c r="T1026">
        <f t="shared" si="31"/>
        <v>550</v>
      </c>
    </row>
    <row r="1027" spans="1:20">
      <c r="A1027" s="9">
        <v>10636</v>
      </c>
      <c r="B1027" s="6">
        <v>58</v>
      </c>
      <c r="C1027" s="6">
        <v>13.25</v>
      </c>
      <c r="D1027" s="6">
        <v>6</v>
      </c>
      <c r="E1027" s="18">
        <v>0</v>
      </c>
      <c r="F1027" s="6" t="str">
        <f>IFERROR(VLOOKUP(VLOOKUP(A1027,'Sales Order'!A:B,2,FALSE),Customer!A:C,3,FALSE),"Not Specified")</f>
        <v>Ludwig, Michael</v>
      </c>
      <c r="G1027" s="6" t="str">
        <f t="shared" ref="G1027:G1090" si="32">SUBSTITUTE(F1027,",","",1)</f>
        <v>Ludwig Michael</v>
      </c>
      <c r="H1027" s="22" t="str">
        <f>IFERROR(VLOOKUP(VLOOKUP(A1027,'Sales Order'!A:C,3,FALSE),Employee!A:E,5,FALSE)&amp;" "&amp;VLOOKUP(VLOOKUP(A1027,'Sales Order'!A:C,3,FALSE),Employee!A:C,3,FALSE)&amp;" "&amp;VLOOKUP(VLOOKUP(A1027,'Sales Order'!A:C,3,FALSE),Employee!A:B,2,FALSE),"Not Specified")</f>
        <v>Mrs. Yael Peled</v>
      </c>
      <c r="I1027" t="str">
        <f>IFERROR(VLOOKUP(VLOOKUP(A1027,'Sales Order'!A:C,3,FALSE),Employee!A:J,10,FALSE),"Not Specified")</f>
        <v>WA</v>
      </c>
      <c r="J1027" t="str">
        <f>VLOOKUP(B1027,Product!A:B,2,FALSE)</f>
        <v>Product ACRVI</v>
      </c>
      <c r="K1027" t="str">
        <f>VLOOKUP(VLOOKUP(B1027,Product!A:D,4,FALSE),Category!A:B,2,FALSE)</f>
        <v>Seafood</v>
      </c>
      <c r="L1027" s="24">
        <f>IFERROR(VLOOKUP(A1027,'Sales Order'!A:D,4,FALSE),"")</f>
        <v>39313</v>
      </c>
      <c r="M1027" s="24">
        <f>IFERROR(VLOOKUP(A1027,'Sales Order'!A:F,6,FALSE),"")</f>
        <v>39320</v>
      </c>
      <c r="N1027" t="str">
        <f>IFERROR(VLOOKUP(VLOOKUP(A1027,'Sales Order'!A:G,7,FALSE),Shipper!A:B,2,FALSE),"Not Specified")</f>
        <v>Shipper GVSUA</v>
      </c>
      <c r="O1027" t="str">
        <f>IFERROR(VLOOKUP(A1027,'Sales Order'!A:I,9,FALSE),"Not Specified")</f>
        <v>Ship to 87-A</v>
      </c>
      <c r="P1027" t="str">
        <f>IFERROR(VLOOKUP(A1027,'Sales Order'!A:N,14,FALSE),"Not Specified")</f>
        <v>Finland</v>
      </c>
      <c r="Q1027" t="str">
        <f>VLOOKUP(VLOOKUP(B1027,Product!A:C,3,FALSE),Supplier!A:B,2,FALSE)</f>
        <v>Supplier ZRYDZ</v>
      </c>
      <c r="R1027" t="str">
        <f>VLOOKUP(VLOOKUP(B1027,Product!A:C,3,FALSE),Supplier!A:I,9,FALSE)</f>
        <v>France</v>
      </c>
      <c r="S1027" t="str">
        <f>IFERROR(IF(VLOOKUP(A1027,'Sales Order'!A:H,8,FALSE)&gt;100,"High Freight","Low Freight"),"Not Specified")</f>
        <v>Low Freight</v>
      </c>
      <c r="T1027">
        <f t="shared" ref="T1027:T1090" si="33">C1027*D1027*(1-E1027)</f>
        <v>79.5</v>
      </c>
    </row>
    <row r="1028" spans="1:20">
      <c r="A1028" s="9">
        <v>10637</v>
      </c>
      <c r="B1028" s="6">
        <v>11</v>
      </c>
      <c r="C1028" s="6">
        <v>21</v>
      </c>
      <c r="D1028" s="6">
        <v>10</v>
      </c>
      <c r="E1028" s="18">
        <v>0</v>
      </c>
      <c r="F1028" s="6" t="str">
        <f>IFERROR(VLOOKUP(VLOOKUP(A1028,'Sales Order'!A:B,2,FALSE),Customer!A:C,3,FALSE),"Not Specified")</f>
        <v>Misiec, Anna</v>
      </c>
      <c r="G1028" s="6" t="str">
        <f t="shared" si="32"/>
        <v>Misiec Anna</v>
      </c>
      <c r="H1028" s="22" t="str">
        <f>IFERROR(VLOOKUP(VLOOKUP(A1028,'Sales Order'!A:C,3,FALSE),Employee!A:E,5,FALSE)&amp;" "&amp;VLOOKUP(VLOOKUP(A1028,'Sales Order'!A:C,3,FALSE),Employee!A:C,3,FALSE)&amp;" "&amp;VLOOKUP(VLOOKUP(A1028,'Sales Order'!A:C,3,FALSE),Employee!A:B,2,FALSE),"Not Specified")</f>
        <v>Mr. Paul Suurs</v>
      </c>
      <c r="I1028">
        <f>IFERROR(VLOOKUP(VLOOKUP(A1028,'Sales Order'!A:C,3,FALSE),Employee!A:J,10,FALSE),"Not Specified")</f>
        <v>0</v>
      </c>
      <c r="J1028" t="str">
        <f>VLOOKUP(B1028,Product!A:B,2,FALSE)</f>
        <v>Product QMVUN</v>
      </c>
      <c r="K1028" t="str">
        <f>VLOOKUP(VLOOKUP(B1028,Product!A:D,4,FALSE),Category!A:B,2,FALSE)</f>
        <v>Dairy Product</v>
      </c>
      <c r="L1028" s="24">
        <f>IFERROR(VLOOKUP(A1028,'Sales Order'!A:D,4,FALSE),"")</f>
        <v>39313</v>
      </c>
      <c r="M1028" s="24">
        <f>IFERROR(VLOOKUP(A1028,'Sales Order'!A:F,6,FALSE),"")</f>
        <v>39320</v>
      </c>
      <c r="N1028" t="str">
        <f>IFERROR(VLOOKUP(VLOOKUP(A1028,'Sales Order'!A:G,7,FALSE),Shipper!A:B,2,FALSE),"Not Specified")</f>
        <v>Shipper GVSUA</v>
      </c>
      <c r="O1028" t="str">
        <f>IFERROR(VLOOKUP(A1028,'Sales Order'!A:I,9,FALSE),"Not Specified")</f>
        <v>Ship to 62-C</v>
      </c>
      <c r="P1028" t="str">
        <f>IFERROR(VLOOKUP(A1028,'Sales Order'!A:N,14,FALSE),"Not Specified")</f>
        <v>Brazil</v>
      </c>
      <c r="Q1028" t="str">
        <f>VLOOKUP(VLOOKUP(B1028,Product!A:C,3,FALSE),Supplier!A:B,2,FALSE)</f>
        <v>Supplier EQPNC</v>
      </c>
      <c r="R1028" t="str">
        <f>VLOOKUP(VLOOKUP(B1028,Product!A:C,3,FALSE),Supplier!A:I,9,FALSE)</f>
        <v>Spain</v>
      </c>
      <c r="S1028" t="str">
        <f>IFERROR(IF(VLOOKUP(A1028,'Sales Order'!A:H,8,FALSE)&gt;100,"High Freight","Low Freight"),"Not Specified")</f>
        <v>High Freight</v>
      </c>
      <c r="T1028">
        <f t="shared" si="33"/>
        <v>210</v>
      </c>
    </row>
    <row r="1029" spans="1:20">
      <c r="A1029" s="9">
        <v>10637</v>
      </c>
      <c r="B1029" s="6">
        <v>50</v>
      </c>
      <c r="C1029" s="6">
        <v>16.25</v>
      </c>
      <c r="D1029" s="6">
        <v>25</v>
      </c>
      <c r="E1029" s="18">
        <v>0.05</v>
      </c>
      <c r="F1029" s="6" t="str">
        <f>IFERROR(VLOOKUP(VLOOKUP(A1029,'Sales Order'!A:B,2,FALSE),Customer!A:C,3,FALSE),"Not Specified")</f>
        <v>Misiec, Anna</v>
      </c>
      <c r="G1029" s="6" t="str">
        <f t="shared" si="32"/>
        <v>Misiec Anna</v>
      </c>
      <c r="H1029" s="22" t="str">
        <f>IFERROR(VLOOKUP(VLOOKUP(A1029,'Sales Order'!A:C,3,FALSE),Employee!A:E,5,FALSE)&amp;" "&amp;VLOOKUP(VLOOKUP(A1029,'Sales Order'!A:C,3,FALSE),Employee!A:C,3,FALSE)&amp;" "&amp;VLOOKUP(VLOOKUP(A1029,'Sales Order'!A:C,3,FALSE),Employee!A:B,2,FALSE),"Not Specified")</f>
        <v>Mr. Paul Suurs</v>
      </c>
      <c r="I1029">
        <f>IFERROR(VLOOKUP(VLOOKUP(A1029,'Sales Order'!A:C,3,FALSE),Employee!A:J,10,FALSE),"Not Specified")</f>
        <v>0</v>
      </c>
      <c r="J1029" t="str">
        <f>VLOOKUP(B1029,Product!A:B,2,FALSE)</f>
        <v>Product BIUDV</v>
      </c>
      <c r="K1029" t="str">
        <f>VLOOKUP(VLOOKUP(B1029,Product!A:D,4,FALSE),Category!A:B,2,FALSE)</f>
        <v>Confections</v>
      </c>
      <c r="L1029" s="24">
        <f>IFERROR(VLOOKUP(A1029,'Sales Order'!A:D,4,FALSE),"")</f>
        <v>39313</v>
      </c>
      <c r="M1029" s="24">
        <f>IFERROR(VLOOKUP(A1029,'Sales Order'!A:F,6,FALSE),"")</f>
        <v>39320</v>
      </c>
      <c r="N1029" t="str">
        <f>IFERROR(VLOOKUP(VLOOKUP(A1029,'Sales Order'!A:G,7,FALSE),Shipper!A:B,2,FALSE),"Not Specified")</f>
        <v>Shipper GVSUA</v>
      </c>
      <c r="O1029" t="str">
        <f>IFERROR(VLOOKUP(A1029,'Sales Order'!A:I,9,FALSE),"Not Specified")</f>
        <v>Ship to 62-C</v>
      </c>
      <c r="P1029" t="str">
        <f>IFERROR(VLOOKUP(A1029,'Sales Order'!A:N,14,FALSE),"Not Specified")</f>
        <v>Brazil</v>
      </c>
      <c r="Q1029" t="str">
        <f>VLOOKUP(VLOOKUP(B1029,Product!A:C,3,FALSE),Supplier!A:B,2,FALSE)</f>
        <v>Supplier ELCRN</v>
      </c>
      <c r="R1029" t="str">
        <f>VLOOKUP(VLOOKUP(B1029,Product!A:C,3,FALSE),Supplier!A:I,9,FALSE)</f>
        <v>Finland</v>
      </c>
      <c r="S1029" t="str">
        <f>IFERROR(IF(VLOOKUP(A1029,'Sales Order'!A:H,8,FALSE)&gt;100,"High Freight","Low Freight"),"Not Specified")</f>
        <v>High Freight</v>
      </c>
      <c r="T1029">
        <f t="shared" si="33"/>
        <v>385.9375</v>
      </c>
    </row>
    <row r="1030" spans="1:20">
      <c r="A1030" s="9">
        <v>10637</v>
      </c>
      <c r="B1030" s="6">
        <v>56</v>
      </c>
      <c r="C1030" s="6">
        <v>38</v>
      </c>
      <c r="D1030" s="6">
        <v>60</v>
      </c>
      <c r="E1030" s="18">
        <v>0.05</v>
      </c>
      <c r="F1030" s="6" t="str">
        <f>IFERROR(VLOOKUP(VLOOKUP(A1030,'Sales Order'!A:B,2,FALSE),Customer!A:C,3,FALSE),"Not Specified")</f>
        <v>Misiec, Anna</v>
      </c>
      <c r="G1030" s="6" t="str">
        <f t="shared" si="32"/>
        <v>Misiec Anna</v>
      </c>
      <c r="H1030" s="22" t="str">
        <f>IFERROR(VLOOKUP(VLOOKUP(A1030,'Sales Order'!A:C,3,FALSE),Employee!A:E,5,FALSE)&amp;" "&amp;VLOOKUP(VLOOKUP(A1030,'Sales Order'!A:C,3,FALSE),Employee!A:C,3,FALSE)&amp;" "&amp;VLOOKUP(VLOOKUP(A1030,'Sales Order'!A:C,3,FALSE),Employee!A:B,2,FALSE),"Not Specified")</f>
        <v>Mr. Paul Suurs</v>
      </c>
      <c r="I1030">
        <f>IFERROR(VLOOKUP(VLOOKUP(A1030,'Sales Order'!A:C,3,FALSE),Employee!A:J,10,FALSE),"Not Specified")</f>
        <v>0</v>
      </c>
      <c r="J1030" t="str">
        <f>VLOOKUP(B1030,Product!A:B,2,FALSE)</f>
        <v>Product VKCMF</v>
      </c>
      <c r="K1030" t="str">
        <f>VLOOKUP(VLOOKUP(B1030,Product!A:D,4,FALSE),Category!A:B,2,FALSE)</f>
        <v>Grains/Cereals</v>
      </c>
      <c r="L1030" s="24">
        <f>IFERROR(VLOOKUP(A1030,'Sales Order'!A:D,4,FALSE),"")</f>
        <v>39313</v>
      </c>
      <c r="M1030" s="24">
        <f>IFERROR(VLOOKUP(A1030,'Sales Order'!A:F,6,FALSE),"")</f>
        <v>39320</v>
      </c>
      <c r="N1030" t="str">
        <f>IFERROR(VLOOKUP(VLOOKUP(A1030,'Sales Order'!A:G,7,FALSE),Shipper!A:B,2,FALSE),"Not Specified")</f>
        <v>Shipper GVSUA</v>
      </c>
      <c r="O1030" t="str">
        <f>IFERROR(VLOOKUP(A1030,'Sales Order'!A:I,9,FALSE),"Not Specified")</f>
        <v>Ship to 62-C</v>
      </c>
      <c r="P1030" t="str">
        <f>IFERROR(VLOOKUP(A1030,'Sales Order'!A:N,14,FALSE),"Not Specified")</f>
        <v>Brazil</v>
      </c>
      <c r="Q1030" t="str">
        <f>VLOOKUP(VLOOKUP(B1030,Product!A:C,3,FALSE),Supplier!A:B,2,FALSE)</f>
        <v>Supplier ZWZDM</v>
      </c>
      <c r="R1030" t="str">
        <f>VLOOKUP(VLOOKUP(B1030,Product!A:C,3,FALSE),Supplier!A:I,9,FALSE)</f>
        <v>Italy</v>
      </c>
      <c r="S1030" t="str">
        <f>IFERROR(IF(VLOOKUP(A1030,'Sales Order'!A:H,8,FALSE)&gt;100,"High Freight","Low Freight"),"Not Specified")</f>
        <v>High Freight</v>
      </c>
      <c r="T1030">
        <f t="shared" si="33"/>
        <v>2166</v>
      </c>
    </row>
    <row r="1031" spans="1:20">
      <c r="A1031" s="9">
        <v>10638</v>
      </c>
      <c r="B1031" s="6">
        <v>45</v>
      </c>
      <c r="C1031" s="6">
        <v>9.5</v>
      </c>
      <c r="D1031" s="6">
        <v>20</v>
      </c>
      <c r="E1031" s="18">
        <v>0</v>
      </c>
      <c r="F1031" s="6" t="str">
        <f>IFERROR(VLOOKUP(VLOOKUP(A1031,'Sales Order'!A:B,2,FALSE),Customer!A:C,3,FALSE),"Not Specified")</f>
        <v>Lupu, Cornel</v>
      </c>
      <c r="G1031" s="6" t="str">
        <f t="shared" si="32"/>
        <v>Lupu Cornel</v>
      </c>
      <c r="H1031" s="22" t="str">
        <f>IFERROR(VLOOKUP(VLOOKUP(A1031,'Sales Order'!A:C,3,FALSE),Employee!A:E,5,FALSE)&amp;" "&amp;VLOOKUP(VLOOKUP(A1031,'Sales Order'!A:C,3,FALSE),Employee!A:C,3,FALSE)&amp;" "&amp;VLOOKUP(VLOOKUP(A1031,'Sales Order'!A:C,3,FALSE),Employee!A:B,2,FALSE),"Not Specified")</f>
        <v>Ms. Judy Lew</v>
      </c>
      <c r="I1031" t="str">
        <f>IFERROR(VLOOKUP(VLOOKUP(A1031,'Sales Order'!A:C,3,FALSE),Employee!A:J,10,FALSE),"Not Specified")</f>
        <v>WA</v>
      </c>
      <c r="J1031" t="str">
        <f>VLOOKUP(B1031,Product!A:B,2,FALSE)</f>
        <v>Product AQOKR</v>
      </c>
      <c r="K1031" t="str">
        <f>VLOOKUP(VLOOKUP(B1031,Product!A:D,4,FALSE),Category!A:B,2,FALSE)</f>
        <v>Seafood</v>
      </c>
      <c r="L1031" s="24">
        <f>IFERROR(VLOOKUP(A1031,'Sales Order'!A:D,4,FALSE),"")</f>
        <v>39314</v>
      </c>
      <c r="M1031" s="24">
        <f>IFERROR(VLOOKUP(A1031,'Sales Order'!A:F,6,FALSE),"")</f>
        <v>39326</v>
      </c>
      <c r="N1031" t="str">
        <f>IFERROR(VLOOKUP(VLOOKUP(A1031,'Sales Order'!A:G,7,FALSE),Shipper!A:B,2,FALSE),"Not Specified")</f>
        <v>Shipper GVSUA</v>
      </c>
      <c r="O1031" t="str">
        <f>IFERROR(VLOOKUP(A1031,'Sales Order'!A:I,9,FALSE),"Not Specified")</f>
        <v>Ship to 47-B</v>
      </c>
      <c r="P1031" t="str">
        <f>IFERROR(VLOOKUP(A1031,'Sales Order'!A:N,14,FALSE),"Not Specified")</f>
        <v>Venezuela</v>
      </c>
      <c r="Q1031" t="str">
        <f>VLOOKUP(VLOOKUP(B1031,Product!A:C,3,FALSE),Supplier!A:B,2,FALSE)</f>
        <v>Supplier XOXZA</v>
      </c>
      <c r="R1031" t="str">
        <f>VLOOKUP(VLOOKUP(B1031,Product!A:C,3,FALSE),Supplier!A:I,9,FALSE)</f>
        <v>Denmark</v>
      </c>
      <c r="S1031" t="str">
        <f>IFERROR(IF(VLOOKUP(A1031,'Sales Order'!A:H,8,FALSE)&gt;100,"High Freight","Low Freight"),"Not Specified")</f>
        <v>High Freight</v>
      </c>
      <c r="T1031">
        <f t="shared" si="33"/>
        <v>190</v>
      </c>
    </row>
    <row r="1032" spans="1:20">
      <c r="A1032" s="9">
        <v>10638</v>
      </c>
      <c r="B1032" s="6">
        <v>65</v>
      </c>
      <c r="C1032" s="6">
        <v>21.05</v>
      </c>
      <c r="D1032" s="6">
        <v>21</v>
      </c>
      <c r="E1032" s="18">
        <v>0</v>
      </c>
      <c r="F1032" s="6" t="str">
        <f>IFERROR(VLOOKUP(VLOOKUP(A1032,'Sales Order'!A:B,2,FALSE),Customer!A:C,3,FALSE),"Not Specified")</f>
        <v>Lupu, Cornel</v>
      </c>
      <c r="G1032" s="6" t="str">
        <f t="shared" si="32"/>
        <v>Lupu Cornel</v>
      </c>
      <c r="H1032" s="22" t="str">
        <f>IFERROR(VLOOKUP(VLOOKUP(A1032,'Sales Order'!A:C,3,FALSE),Employee!A:E,5,FALSE)&amp;" "&amp;VLOOKUP(VLOOKUP(A1032,'Sales Order'!A:C,3,FALSE),Employee!A:C,3,FALSE)&amp;" "&amp;VLOOKUP(VLOOKUP(A1032,'Sales Order'!A:C,3,FALSE),Employee!A:B,2,FALSE),"Not Specified")</f>
        <v>Ms. Judy Lew</v>
      </c>
      <c r="I1032" t="str">
        <f>IFERROR(VLOOKUP(VLOOKUP(A1032,'Sales Order'!A:C,3,FALSE),Employee!A:J,10,FALSE),"Not Specified")</f>
        <v>WA</v>
      </c>
      <c r="J1032" t="str">
        <f>VLOOKUP(B1032,Product!A:B,2,FALSE)</f>
        <v>Product XYWBZ</v>
      </c>
      <c r="K1032" t="str">
        <f>VLOOKUP(VLOOKUP(B1032,Product!A:D,4,FALSE),Category!A:B,2,FALSE)</f>
        <v>Condiments</v>
      </c>
      <c r="L1032" s="24">
        <f>IFERROR(VLOOKUP(A1032,'Sales Order'!A:D,4,FALSE),"")</f>
        <v>39314</v>
      </c>
      <c r="M1032" s="24">
        <f>IFERROR(VLOOKUP(A1032,'Sales Order'!A:F,6,FALSE),"")</f>
        <v>39326</v>
      </c>
      <c r="N1032" t="str">
        <f>IFERROR(VLOOKUP(VLOOKUP(A1032,'Sales Order'!A:G,7,FALSE),Shipper!A:B,2,FALSE),"Not Specified")</f>
        <v>Shipper GVSUA</v>
      </c>
      <c r="O1032" t="str">
        <f>IFERROR(VLOOKUP(A1032,'Sales Order'!A:I,9,FALSE),"Not Specified")</f>
        <v>Ship to 47-B</v>
      </c>
      <c r="P1032" t="str">
        <f>IFERROR(VLOOKUP(A1032,'Sales Order'!A:N,14,FALSE),"Not Specified")</f>
        <v>Venezuela</v>
      </c>
      <c r="Q1032" t="str">
        <f>VLOOKUP(VLOOKUP(B1032,Product!A:C,3,FALSE),Supplier!A:B,2,FALSE)</f>
        <v>Supplier VHQZD</v>
      </c>
      <c r="R1032" t="str">
        <f>VLOOKUP(VLOOKUP(B1032,Product!A:C,3,FALSE),Supplier!A:I,9,FALSE)</f>
        <v>USA</v>
      </c>
      <c r="S1032" t="str">
        <f>IFERROR(IF(VLOOKUP(A1032,'Sales Order'!A:H,8,FALSE)&gt;100,"High Freight","Low Freight"),"Not Specified")</f>
        <v>High Freight</v>
      </c>
      <c r="T1032">
        <f t="shared" si="33"/>
        <v>442.05</v>
      </c>
    </row>
    <row r="1033" spans="1:20">
      <c r="A1033" s="9">
        <v>10638</v>
      </c>
      <c r="B1033" s="6">
        <v>72</v>
      </c>
      <c r="C1033" s="6">
        <v>34.799999999999997</v>
      </c>
      <c r="D1033" s="6">
        <v>60</v>
      </c>
      <c r="E1033" s="18">
        <v>0</v>
      </c>
      <c r="F1033" s="6" t="str">
        <f>IFERROR(VLOOKUP(VLOOKUP(A1033,'Sales Order'!A:B,2,FALSE),Customer!A:C,3,FALSE),"Not Specified")</f>
        <v>Lupu, Cornel</v>
      </c>
      <c r="G1033" s="6" t="str">
        <f t="shared" si="32"/>
        <v>Lupu Cornel</v>
      </c>
      <c r="H1033" s="22" t="str">
        <f>IFERROR(VLOOKUP(VLOOKUP(A1033,'Sales Order'!A:C,3,FALSE),Employee!A:E,5,FALSE)&amp;" "&amp;VLOOKUP(VLOOKUP(A1033,'Sales Order'!A:C,3,FALSE),Employee!A:C,3,FALSE)&amp;" "&amp;VLOOKUP(VLOOKUP(A1033,'Sales Order'!A:C,3,FALSE),Employee!A:B,2,FALSE),"Not Specified")</f>
        <v>Ms. Judy Lew</v>
      </c>
      <c r="I1033" t="str">
        <f>IFERROR(VLOOKUP(VLOOKUP(A1033,'Sales Order'!A:C,3,FALSE),Employee!A:J,10,FALSE),"Not Specified")</f>
        <v>WA</v>
      </c>
      <c r="J1033" t="str">
        <f>VLOOKUP(B1033,Product!A:B,2,FALSE)</f>
        <v>Product GEEOO</v>
      </c>
      <c r="K1033" t="str">
        <f>VLOOKUP(VLOOKUP(B1033,Product!A:D,4,FALSE),Category!A:B,2,FALSE)</f>
        <v>Dairy Product</v>
      </c>
      <c r="L1033" s="24">
        <f>IFERROR(VLOOKUP(A1033,'Sales Order'!A:D,4,FALSE),"")</f>
        <v>39314</v>
      </c>
      <c r="M1033" s="24">
        <f>IFERROR(VLOOKUP(A1033,'Sales Order'!A:F,6,FALSE),"")</f>
        <v>39326</v>
      </c>
      <c r="N1033" t="str">
        <f>IFERROR(VLOOKUP(VLOOKUP(A1033,'Sales Order'!A:G,7,FALSE),Shipper!A:B,2,FALSE),"Not Specified")</f>
        <v>Shipper GVSUA</v>
      </c>
      <c r="O1033" t="str">
        <f>IFERROR(VLOOKUP(A1033,'Sales Order'!A:I,9,FALSE),"Not Specified")</f>
        <v>Ship to 47-B</v>
      </c>
      <c r="P1033" t="str">
        <f>IFERROR(VLOOKUP(A1033,'Sales Order'!A:N,14,FALSE),"Not Specified")</f>
        <v>Venezuela</v>
      </c>
      <c r="Q1033" t="str">
        <f>VLOOKUP(VLOOKUP(B1033,Product!A:C,3,FALSE),Supplier!A:B,2,FALSE)</f>
        <v>Supplier KEREV</v>
      </c>
      <c r="R1033" t="str">
        <f>VLOOKUP(VLOOKUP(B1033,Product!A:C,3,FALSE),Supplier!A:I,9,FALSE)</f>
        <v>Italy</v>
      </c>
      <c r="S1033" t="str">
        <f>IFERROR(IF(VLOOKUP(A1033,'Sales Order'!A:H,8,FALSE)&gt;100,"High Freight","Low Freight"),"Not Specified")</f>
        <v>High Freight</v>
      </c>
      <c r="T1033">
        <f t="shared" si="33"/>
        <v>2088</v>
      </c>
    </row>
    <row r="1034" spans="1:20">
      <c r="A1034" s="9">
        <v>10639</v>
      </c>
      <c r="B1034" s="6">
        <v>18</v>
      </c>
      <c r="C1034" s="6">
        <v>62.5</v>
      </c>
      <c r="D1034" s="6">
        <v>8</v>
      </c>
      <c r="E1034" s="18">
        <v>0</v>
      </c>
      <c r="F1034" s="6" t="str">
        <f>IFERROR(VLOOKUP(VLOOKUP(A1034,'Sales Order'!A:B,2,FALSE),Customer!A:C,3,FALSE),"Not Specified")</f>
        <v>Ginters, Kaspars</v>
      </c>
      <c r="G1034" s="6" t="str">
        <f t="shared" si="32"/>
        <v>Ginters Kaspars</v>
      </c>
      <c r="H1034" s="22" t="str">
        <f>IFERROR(VLOOKUP(VLOOKUP(A1034,'Sales Order'!A:C,3,FALSE),Employee!A:E,5,FALSE)&amp;" "&amp;VLOOKUP(VLOOKUP(A1034,'Sales Order'!A:C,3,FALSE),Employee!A:C,3,FALSE)&amp;" "&amp;VLOOKUP(VLOOKUP(A1034,'Sales Order'!A:C,3,FALSE),Employee!A:B,2,FALSE),"Not Specified")</f>
        <v>Mr. Russell King</v>
      </c>
      <c r="I1034">
        <f>IFERROR(VLOOKUP(VLOOKUP(A1034,'Sales Order'!A:C,3,FALSE),Employee!A:J,10,FALSE),"Not Specified")</f>
        <v>0</v>
      </c>
      <c r="J1034" t="str">
        <f>VLOOKUP(B1034,Product!A:B,2,FALSE)</f>
        <v>Product CKEDC</v>
      </c>
      <c r="K1034" t="str">
        <f>VLOOKUP(VLOOKUP(B1034,Product!A:D,4,FALSE),Category!A:B,2,FALSE)</f>
        <v>Seafood</v>
      </c>
      <c r="L1034" s="24">
        <f>IFERROR(VLOOKUP(A1034,'Sales Order'!A:D,4,FALSE),"")</f>
        <v>39314</v>
      </c>
      <c r="M1034" s="24">
        <f>IFERROR(VLOOKUP(A1034,'Sales Order'!A:F,6,FALSE),"")</f>
        <v>39321</v>
      </c>
      <c r="N1034" t="str">
        <f>IFERROR(VLOOKUP(VLOOKUP(A1034,'Sales Order'!A:G,7,FALSE),Shipper!A:B,2,FALSE),"Not Specified")</f>
        <v>Shipper ZHISN</v>
      </c>
      <c r="O1034" t="str">
        <f>IFERROR(VLOOKUP(A1034,'Sales Order'!A:I,9,FALSE),"Not Specified")</f>
        <v>Ship to 70-B</v>
      </c>
      <c r="P1034" t="str">
        <f>IFERROR(VLOOKUP(A1034,'Sales Order'!A:N,14,FALSE),"Not Specified")</f>
        <v>Norway</v>
      </c>
      <c r="Q1034" t="str">
        <f>VLOOKUP(VLOOKUP(B1034,Product!A:C,3,FALSE),Supplier!A:B,2,FALSE)</f>
        <v>Supplier GQRCV</v>
      </c>
      <c r="R1034" t="str">
        <f>VLOOKUP(VLOOKUP(B1034,Product!A:C,3,FALSE),Supplier!A:I,9,FALSE)</f>
        <v>Australia</v>
      </c>
      <c r="S1034" t="str">
        <f>IFERROR(IF(VLOOKUP(A1034,'Sales Order'!A:H,8,FALSE)&gt;100,"High Freight","Low Freight"),"Not Specified")</f>
        <v>Low Freight</v>
      </c>
      <c r="T1034">
        <f t="shared" si="33"/>
        <v>500</v>
      </c>
    </row>
    <row r="1035" spans="1:20">
      <c r="A1035" s="9">
        <v>10640</v>
      </c>
      <c r="B1035" s="6">
        <v>69</v>
      </c>
      <c r="C1035" s="6">
        <v>36</v>
      </c>
      <c r="D1035" s="6">
        <v>20</v>
      </c>
      <c r="E1035" s="18">
        <v>0.25</v>
      </c>
      <c r="F1035" s="6" t="str">
        <f>IFERROR(VLOOKUP(VLOOKUP(A1035,'Sales Order'!A:B,2,FALSE),Customer!A:C,3,FALSE),"Not Specified")</f>
        <v>Syamala, Manoj</v>
      </c>
      <c r="G1035" s="6" t="str">
        <f t="shared" si="32"/>
        <v>Syamala Manoj</v>
      </c>
      <c r="H1035" s="22" t="str">
        <f>IFERROR(VLOOKUP(VLOOKUP(A1035,'Sales Order'!A:C,3,FALSE),Employee!A:E,5,FALSE)&amp;" "&amp;VLOOKUP(VLOOKUP(A1035,'Sales Order'!A:C,3,FALSE),Employee!A:C,3,FALSE)&amp;" "&amp;VLOOKUP(VLOOKUP(A1035,'Sales Order'!A:C,3,FALSE),Employee!A:B,2,FALSE),"Not Specified")</f>
        <v>Mrs. Yael Peled</v>
      </c>
      <c r="I1035" t="str">
        <f>IFERROR(VLOOKUP(VLOOKUP(A1035,'Sales Order'!A:C,3,FALSE),Employee!A:J,10,FALSE),"Not Specified")</f>
        <v>WA</v>
      </c>
      <c r="J1035" t="str">
        <f>VLOOKUP(B1035,Product!A:B,2,FALSE)</f>
        <v>Product COAXA</v>
      </c>
      <c r="K1035" t="str">
        <f>VLOOKUP(VLOOKUP(B1035,Product!A:D,4,FALSE),Category!A:B,2,FALSE)</f>
        <v>Dairy Product</v>
      </c>
      <c r="L1035" s="24">
        <f>IFERROR(VLOOKUP(A1035,'Sales Order'!A:D,4,FALSE),"")</f>
        <v>39315</v>
      </c>
      <c r="M1035" s="24">
        <f>IFERROR(VLOOKUP(A1035,'Sales Order'!A:F,6,FALSE),"")</f>
        <v>39322</v>
      </c>
      <c r="N1035" t="str">
        <f>IFERROR(VLOOKUP(VLOOKUP(A1035,'Sales Order'!A:G,7,FALSE),Shipper!A:B,2,FALSE),"Not Specified")</f>
        <v>Shipper GVSUA</v>
      </c>
      <c r="O1035" t="str">
        <f>IFERROR(VLOOKUP(A1035,'Sales Order'!A:I,9,FALSE),"Not Specified")</f>
        <v>Ship to 86-A</v>
      </c>
      <c r="P1035" t="str">
        <f>IFERROR(VLOOKUP(A1035,'Sales Order'!A:N,14,FALSE),"Not Specified")</f>
        <v>Germany</v>
      </c>
      <c r="Q1035" t="str">
        <f>VLOOKUP(VLOOKUP(B1035,Product!A:C,3,FALSE),Supplier!A:B,2,FALSE)</f>
        <v>Supplier NZLIF</v>
      </c>
      <c r="R1035" t="str">
        <f>VLOOKUP(VLOOKUP(B1035,Product!A:C,3,FALSE),Supplier!A:I,9,FALSE)</f>
        <v>Norway</v>
      </c>
      <c r="S1035" t="str">
        <f>IFERROR(IF(VLOOKUP(A1035,'Sales Order'!A:H,8,FALSE)&gt;100,"High Freight","Low Freight"),"Not Specified")</f>
        <v>Low Freight</v>
      </c>
      <c r="T1035">
        <f t="shared" si="33"/>
        <v>540</v>
      </c>
    </row>
    <row r="1036" spans="1:20">
      <c r="A1036" s="9">
        <v>10640</v>
      </c>
      <c r="B1036" s="6">
        <v>70</v>
      </c>
      <c r="C1036" s="6">
        <v>15</v>
      </c>
      <c r="D1036" s="6">
        <v>15</v>
      </c>
      <c r="E1036" s="18">
        <v>0.25</v>
      </c>
      <c r="F1036" s="6" t="str">
        <f>IFERROR(VLOOKUP(VLOOKUP(A1036,'Sales Order'!A:B,2,FALSE),Customer!A:C,3,FALSE),"Not Specified")</f>
        <v>Syamala, Manoj</v>
      </c>
      <c r="G1036" s="6" t="str">
        <f t="shared" si="32"/>
        <v>Syamala Manoj</v>
      </c>
      <c r="H1036" s="22" t="str">
        <f>IFERROR(VLOOKUP(VLOOKUP(A1036,'Sales Order'!A:C,3,FALSE),Employee!A:E,5,FALSE)&amp;" "&amp;VLOOKUP(VLOOKUP(A1036,'Sales Order'!A:C,3,FALSE),Employee!A:C,3,FALSE)&amp;" "&amp;VLOOKUP(VLOOKUP(A1036,'Sales Order'!A:C,3,FALSE),Employee!A:B,2,FALSE),"Not Specified")</f>
        <v>Mrs. Yael Peled</v>
      </c>
      <c r="I1036" t="str">
        <f>IFERROR(VLOOKUP(VLOOKUP(A1036,'Sales Order'!A:C,3,FALSE),Employee!A:J,10,FALSE),"Not Specified")</f>
        <v>WA</v>
      </c>
      <c r="J1036" t="str">
        <f>VLOOKUP(B1036,Product!A:B,2,FALSE)</f>
        <v>Product TOONT</v>
      </c>
      <c r="K1036" t="str">
        <f>VLOOKUP(VLOOKUP(B1036,Product!A:D,4,FALSE),Category!A:B,2,FALSE)</f>
        <v>Beverages</v>
      </c>
      <c r="L1036" s="24">
        <f>IFERROR(VLOOKUP(A1036,'Sales Order'!A:D,4,FALSE),"")</f>
        <v>39315</v>
      </c>
      <c r="M1036" s="24">
        <f>IFERROR(VLOOKUP(A1036,'Sales Order'!A:F,6,FALSE),"")</f>
        <v>39322</v>
      </c>
      <c r="N1036" t="str">
        <f>IFERROR(VLOOKUP(VLOOKUP(A1036,'Sales Order'!A:G,7,FALSE),Shipper!A:B,2,FALSE),"Not Specified")</f>
        <v>Shipper GVSUA</v>
      </c>
      <c r="O1036" t="str">
        <f>IFERROR(VLOOKUP(A1036,'Sales Order'!A:I,9,FALSE),"Not Specified")</f>
        <v>Ship to 86-A</v>
      </c>
      <c r="P1036" t="str">
        <f>IFERROR(VLOOKUP(A1036,'Sales Order'!A:N,14,FALSE),"Not Specified")</f>
        <v>Germany</v>
      </c>
      <c r="Q1036" t="str">
        <f>VLOOKUP(VLOOKUP(B1036,Product!A:C,3,FALSE),Supplier!A:B,2,FALSE)</f>
        <v>Supplier GQRCV</v>
      </c>
      <c r="R1036" t="str">
        <f>VLOOKUP(VLOOKUP(B1036,Product!A:C,3,FALSE),Supplier!A:I,9,FALSE)</f>
        <v>Australia</v>
      </c>
      <c r="S1036" t="str">
        <f>IFERROR(IF(VLOOKUP(A1036,'Sales Order'!A:H,8,FALSE)&gt;100,"High Freight","Low Freight"),"Not Specified")</f>
        <v>Low Freight</v>
      </c>
      <c r="T1036">
        <f t="shared" si="33"/>
        <v>168.75</v>
      </c>
    </row>
    <row r="1037" spans="1:20">
      <c r="A1037" s="9">
        <v>10641</v>
      </c>
      <c r="B1037" s="6">
        <v>2</v>
      </c>
      <c r="C1037" s="6">
        <v>19</v>
      </c>
      <c r="D1037" s="6">
        <v>50</v>
      </c>
      <c r="E1037" s="18">
        <v>0</v>
      </c>
      <c r="F1037" s="6" t="str">
        <f>IFERROR(VLOOKUP(VLOOKUP(A1037,'Sales Order'!A:B,2,FALSE),Customer!A:C,3,FALSE),"Not Specified")</f>
        <v>Langohr, Kris</v>
      </c>
      <c r="G1037" s="6" t="str">
        <f t="shared" si="32"/>
        <v>Langohr Kris</v>
      </c>
      <c r="H1037" s="22" t="str">
        <f>IFERROR(VLOOKUP(VLOOKUP(A1037,'Sales Order'!A:C,3,FALSE),Employee!A:E,5,FALSE)&amp;" "&amp;VLOOKUP(VLOOKUP(A1037,'Sales Order'!A:C,3,FALSE),Employee!A:C,3,FALSE)&amp;" "&amp;VLOOKUP(VLOOKUP(A1037,'Sales Order'!A:C,3,FALSE),Employee!A:B,2,FALSE),"Not Specified")</f>
        <v>Mrs. Yael Peled</v>
      </c>
      <c r="I1037" t="str">
        <f>IFERROR(VLOOKUP(VLOOKUP(A1037,'Sales Order'!A:C,3,FALSE),Employee!A:J,10,FALSE),"Not Specified")</f>
        <v>WA</v>
      </c>
      <c r="J1037" t="str">
        <f>VLOOKUP(B1037,Product!A:B,2,FALSE)</f>
        <v>Product RECZE</v>
      </c>
      <c r="K1037" t="str">
        <f>VLOOKUP(VLOOKUP(B1037,Product!A:D,4,FALSE),Category!A:B,2,FALSE)</f>
        <v>Beverages</v>
      </c>
      <c r="L1037" s="24">
        <f>IFERROR(VLOOKUP(A1037,'Sales Order'!A:D,4,FALSE),"")</f>
        <v>39316</v>
      </c>
      <c r="M1037" s="24">
        <f>IFERROR(VLOOKUP(A1037,'Sales Order'!A:F,6,FALSE),"")</f>
        <v>39320</v>
      </c>
      <c r="N1037" t="str">
        <f>IFERROR(VLOOKUP(VLOOKUP(A1037,'Sales Order'!A:G,7,FALSE),Shipper!A:B,2,FALSE),"Not Specified")</f>
        <v>Shipper ETYNR</v>
      </c>
      <c r="O1037" t="str">
        <f>IFERROR(VLOOKUP(A1037,'Sales Order'!A:I,9,FALSE),"Not Specified")</f>
        <v>Destination JYDLM</v>
      </c>
      <c r="P1037" t="str">
        <f>IFERROR(VLOOKUP(A1037,'Sales Order'!A:N,14,FALSE),"Not Specified")</f>
        <v>Venezuela</v>
      </c>
      <c r="Q1037" t="str">
        <f>VLOOKUP(VLOOKUP(B1037,Product!A:C,3,FALSE),Supplier!A:B,2,FALSE)</f>
        <v>Supplier SWRXU</v>
      </c>
      <c r="R1037" t="str">
        <f>VLOOKUP(VLOOKUP(B1037,Product!A:C,3,FALSE),Supplier!A:I,9,FALSE)</f>
        <v>UK</v>
      </c>
      <c r="S1037" t="str">
        <f>IFERROR(IF(VLOOKUP(A1037,'Sales Order'!A:H,8,FALSE)&gt;100,"High Freight","Low Freight"),"Not Specified")</f>
        <v>High Freight</v>
      </c>
      <c r="T1037">
        <f t="shared" si="33"/>
        <v>950</v>
      </c>
    </row>
    <row r="1038" spans="1:20">
      <c r="A1038" s="9">
        <v>10641</v>
      </c>
      <c r="B1038" s="6">
        <v>40</v>
      </c>
      <c r="C1038" s="6">
        <v>18.399999999999999</v>
      </c>
      <c r="D1038" s="6">
        <v>60</v>
      </c>
      <c r="E1038" s="18">
        <v>0</v>
      </c>
      <c r="F1038" s="6" t="str">
        <f>IFERROR(VLOOKUP(VLOOKUP(A1038,'Sales Order'!A:B,2,FALSE),Customer!A:C,3,FALSE),"Not Specified")</f>
        <v>Langohr, Kris</v>
      </c>
      <c r="G1038" s="6" t="str">
        <f t="shared" si="32"/>
        <v>Langohr Kris</v>
      </c>
      <c r="H1038" s="22" t="str">
        <f>IFERROR(VLOOKUP(VLOOKUP(A1038,'Sales Order'!A:C,3,FALSE),Employee!A:E,5,FALSE)&amp;" "&amp;VLOOKUP(VLOOKUP(A1038,'Sales Order'!A:C,3,FALSE),Employee!A:C,3,FALSE)&amp;" "&amp;VLOOKUP(VLOOKUP(A1038,'Sales Order'!A:C,3,FALSE),Employee!A:B,2,FALSE),"Not Specified")</f>
        <v>Mrs. Yael Peled</v>
      </c>
      <c r="I1038" t="str">
        <f>IFERROR(VLOOKUP(VLOOKUP(A1038,'Sales Order'!A:C,3,FALSE),Employee!A:J,10,FALSE),"Not Specified")</f>
        <v>WA</v>
      </c>
      <c r="J1038" t="str">
        <f>VLOOKUP(B1038,Product!A:B,2,FALSE)</f>
        <v>Product YZIXQ</v>
      </c>
      <c r="K1038" t="str">
        <f>VLOOKUP(VLOOKUP(B1038,Product!A:D,4,FALSE),Category!A:B,2,FALSE)</f>
        <v>Seafood</v>
      </c>
      <c r="L1038" s="24">
        <f>IFERROR(VLOOKUP(A1038,'Sales Order'!A:D,4,FALSE),"")</f>
        <v>39316</v>
      </c>
      <c r="M1038" s="24">
        <f>IFERROR(VLOOKUP(A1038,'Sales Order'!A:F,6,FALSE),"")</f>
        <v>39320</v>
      </c>
      <c r="N1038" t="str">
        <f>IFERROR(VLOOKUP(VLOOKUP(A1038,'Sales Order'!A:G,7,FALSE),Shipper!A:B,2,FALSE),"Not Specified")</f>
        <v>Shipper ETYNR</v>
      </c>
      <c r="O1038" t="str">
        <f>IFERROR(VLOOKUP(A1038,'Sales Order'!A:I,9,FALSE),"Not Specified")</f>
        <v>Destination JYDLM</v>
      </c>
      <c r="P1038" t="str">
        <f>IFERROR(VLOOKUP(A1038,'Sales Order'!A:N,14,FALSE),"Not Specified")</f>
        <v>Venezuela</v>
      </c>
      <c r="Q1038" t="str">
        <f>VLOOKUP(VLOOKUP(B1038,Product!A:C,3,FALSE),Supplier!A:B,2,FALSE)</f>
        <v>Supplier JDNUG</v>
      </c>
      <c r="R1038" t="str">
        <f>VLOOKUP(VLOOKUP(B1038,Product!A:C,3,FALSE),Supplier!A:I,9,FALSE)</f>
        <v>USA</v>
      </c>
      <c r="S1038" t="str">
        <f>IFERROR(IF(VLOOKUP(A1038,'Sales Order'!A:H,8,FALSE)&gt;100,"High Freight","Low Freight"),"Not Specified")</f>
        <v>High Freight</v>
      </c>
      <c r="T1038">
        <f t="shared" si="33"/>
        <v>1104</v>
      </c>
    </row>
    <row r="1039" spans="1:20">
      <c r="A1039" s="9">
        <v>10642</v>
      </c>
      <c r="B1039" s="6">
        <v>21</v>
      </c>
      <c r="C1039" s="6">
        <v>10</v>
      </c>
      <c r="D1039" s="6">
        <v>30</v>
      </c>
      <c r="E1039" s="18">
        <v>0.2</v>
      </c>
      <c r="F1039" s="6" t="str">
        <f>IFERROR(VLOOKUP(VLOOKUP(A1039,'Sales Order'!A:B,2,FALSE),Customer!A:C,3,FALSE),"Not Specified")</f>
        <v>Gonzalez, Nuria</v>
      </c>
      <c r="G1039" s="6" t="str">
        <f t="shared" si="32"/>
        <v>Gonzalez Nuria</v>
      </c>
      <c r="H1039" s="22" t="str">
        <f>IFERROR(VLOOKUP(VLOOKUP(A1039,'Sales Order'!A:C,3,FALSE),Employee!A:E,5,FALSE)&amp;" "&amp;VLOOKUP(VLOOKUP(A1039,'Sales Order'!A:C,3,FALSE),Employee!A:C,3,FALSE)&amp;" "&amp;VLOOKUP(VLOOKUP(A1039,'Sales Order'!A:C,3,FALSE),Employee!A:B,2,FALSE),"Not Specified")</f>
        <v>Mr. Russell King</v>
      </c>
      <c r="I1039">
        <f>IFERROR(VLOOKUP(VLOOKUP(A1039,'Sales Order'!A:C,3,FALSE),Employee!A:J,10,FALSE),"Not Specified")</f>
        <v>0</v>
      </c>
      <c r="J1039" t="str">
        <f>VLOOKUP(B1039,Product!A:B,2,FALSE)</f>
        <v>Product VJZZH</v>
      </c>
      <c r="K1039" t="str">
        <f>VLOOKUP(VLOOKUP(B1039,Product!A:D,4,FALSE),Category!A:B,2,FALSE)</f>
        <v>Confections</v>
      </c>
      <c r="L1039" s="24">
        <f>IFERROR(VLOOKUP(A1039,'Sales Order'!A:D,4,FALSE),"")</f>
        <v>39316</v>
      </c>
      <c r="M1039" s="24">
        <f>IFERROR(VLOOKUP(A1039,'Sales Order'!A:F,6,FALSE),"")</f>
        <v>39330</v>
      </c>
      <c r="N1039" t="str">
        <f>IFERROR(VLOOKUP(VLOOKUP(A1039,'Sales Order'!A:G,7,FALSE),Shipper!A:B,2,FALSE),"Not Specified")</f>
        <v>Shipper ZHISN</v>
      </c>
      <c r="O1039" t="str">
        <f>IFERROR(VLOOKUP(A1039,'Sales Order'!A:I,9,FALSE),"Not Specified")</f>
        <v>Ship to 73-C</v>
      </c>
      <c r="P1039" t="str">
        <f>IFERROR(VLOOKUP(A1039,'Sales Order'!A:N,14,FALSE),"Not Specified")</f>
        <v>Denmark</v>
      </c>
      <c r="Q1039" t="str">
        <f>VLOOKUP(VLOOKUP(B1039,Product!A:C,3,FALSE),Supplier!A:B,2,FALSE)</f>
        <v>Supplier BWGYE</v>
      </c>
      <c r="R1039" t="str">
        <f>VLOOKUP(VLOOKUP(B1039,Product!A:C,3,FALSE),Supplier!A:I,9,FALSE)</f>
        <v>UK</v>
      </c>
      <c r="S1039" t="str">
        <f>IFERROR(IF(VLOOKUP(A1039,'Sales Order'!A:H,8,FALSE)&gt;100,"High Freight","Low Freight"),"Not Specified")</f>
        <v>Low Freight</v>
      </c>
      <c r="T1039">
        <f t="shared" si="33"/>
        <v>240</v>
      </c>
    </row>
    <row r="1040" spans="1:20">
      <c r="A1040" s="9">
        <v>10642</v>
      </c>
      <c r="B1040" s="6">
        <v>61</v>
      </c>
      <c r="C1040" s="6">
        <v>28.5</v>
      </c>
      <c r="D1040" s="6">
        <v>20</v>
      </c>
      <c r="E1040" s="18">
        <v>0.2</v>
      </c>
      <c r="F1040" s="6" t="str">
        <f>IFERROR(VLOOKUP(VLOOKUP(A1040,'Sales Order'!A:B,2,FALSE),Customer!A:C,3,FALSE),"Not Specified")</f>
        <v>Gonzalez, Nuria</v>
      </c>
      <c r="G1040" s="6" t="str">
        <f t="shared" si="32"/>
        <v>Gonzalez Nuria</v>
      </c>
      <c r="H1040" s="22" t="str">
        <f>IFERROR(VLOOKUP(VLOOKUP(A1040,'Sales Order'!A:C,3,FALSE),Employee!A:E,5,FALSE)&amp;" "&amp;VLOOKUP(VLOOKUP(A1040,'Sales Order'!A:C,3,FALSE),Employee!A:C,3,FALSE)&amp;" "&amp;VLOOKUP(VLOOKUP(A1040,'Sales Order'!A:C,3,FALSE),Employee!A:B,2,FALSE),"Not Specified")</f>
        <v>Mr. Russell King</v>
      </c>
      <c r="I1040">
        <f>IFERROR(VLOOKUP(VLOOKUP(A1040,'Sales Order'!A:C,3,FALSE),Employee!A:J,10,FALSE),"Not Specified")</f>
        <v>0</v>
      </c>
      <c r="J1040" t="str">
        <f>VLOOKUP(B1040,Product!A:B,2,FALSE)</f>
        <v>Product XYZPE</v>
      </c>
      <c r="K1040" t="str">
        <f>VLOOKUP(VLOOKUP(B1040,Product!A:D,4,FALSE),Category!A:B,2,FALSE)</f>
        <v>Condiments</v>
      </c>
      <c r="L1040" s="24">
        <f>IFERROR(VLOOKUP(A1040,'Sales Order'!A:D,4,FALSE),"")</f>
        <v>39316</v>
      </c>
      <c r="M1040" s="24">
        <f>IFERROR(VLOOKUP(A1040,'Sales Order'!A:F,6,FALSE),"")</f>
        <v>39330</v>
      </c>
      <c r="N1040" t="str">
        <f>IFERROR(VLOOKUP(VLOOKUP(A1040,'Sales Order'!A:G,7,FALSE),Shipper!A:B,2,FALSE),"Not Specified")</f>
        <v>Shipper ZHISN</v>
      </c>
      <c r="O1040" t="str">
        <f>IFERROR(VLOOKUP(A1040,'Sales Order'!A:I,9,FALSE),"Not Specified")</f>
        <v>Ship to 73-C</v>
      </c>
      <c r="P1040" t="str">
        <f>IFERROR(VLOOKUP(A1040,'Sales Order'!A:N,14,FALSE),"Not Specified")</f>
        <v>Denmark</v>
      </c>
      <c r="Q1040" t="str">
        <f>VLOOKUP(VLOOKUP(B1040,Product!A:C,3,FALSE),Supplier!A:B,2,FALSE)</f>
        <v>Supplier OGLRK</v>
      </c>
      <c r="R1040" t="str">
        <f>VLOOKUP(VLOOKUP(B1040,Product!A:C,3,FALSE),Supplier!A:I,9,FALSE)</f>
        <v>Canada</v>
      </c>
      <c r="S1040" t="str">
        <f>IFERROR(IF(VLOOKUP(A1040,'Sales Order'!A:H,8,FALSE)&gt;100,"High Freight","Low Freight"),"Not Specified")</f>
        <v>Low Freight</v>
      </c>
      <c r="T1040">
        <f t="shared" si="33"/>
        <v>456</v>
      </c>
    </row>
    <row r="1041" spans="1:20">
      <c r="A1041" s="9">
        <v>10643</v>
      </c>
      <c r="B1041" s="6">
        <v>28</v>
      </c>
      <c r="C1041" s="6">
        <v>45.6</v>
      </c>
      <c r="D1041" s="6">
        <v>15</v>
      </c>
      <c r="E1041" s="18">
        <v>0.25</v>
      </c>
      <c r="F1041" s="6" t="str">
        <f>IFERROR(VLOOKUP(VLOOKUP(A1041,'Sales Order'!A:B,2,FALSE),Customer!A:C,3,FALSE),"Not Specified")</f>
        <v>Allen, Michael</v>
      </c>
      <c r="G1041" s="6" t="str">
        <f t="shared" si="32"/>
        <v>Allen Michael</v>
      </c>
      <c r="H1041" s="22" t="str">
        <f>IFERROR(VLOOKUP(VLOOKUP(A1041,'Sales Order'!A:C,3,FALSE),Employee!A:E,5,FALSE)&amp;" "&amp;VLOOKUP(VLOOKUP(A1041,'Sales Order'!A:C,3,FALSE),Employee!A:C,3,FALSE)&amp;" "&amp;VLOOKUP(VLOOKUP(A1041,'Sales Order'!A:C,3,FALSE),Employee!A:B,2,FALSE),"Not Specified")</f>
        <v>Mr. Paul Suurs</v>
      </c>
      <c r="I1041">
        <f>IFERROR(VLOOKUP(VLOOKUP(A1041,'Sales Order'!A:C,3,FALSE),Employee!A:J,10,FALSE),"Not Specified")</f>
        <v>0</v>
      </c>
      <c r="J1041" t="str">
        <f>VLOOKUP(B1041,Product!A:B,2,FALSE)</f>
        <v>Product OFBNT</v>
      </c>
      <c r="K1041" t="str">
        <f>VLOOKUP(VLOOKUP(B1041,Product!A:D,4,FALSE),Category!A:B,2,FALSE)</f>
        <v>Produce</v>
      </c>
      <c r="L1041" s="24">
        <f>IFERROR(VLOOKUP(A1041,'Sales Order'!A:D,4,FALSE),"")</f>
        <v>39319</v>
      </c>
      <c r="M1041" s="24">
        <f>IFERROR(VLOOKUP(A1041,'Sales Order'!A:F,6,FALSE),"")</f>
        <v>39327</v>
      </c>
      <c r="N1041" t="str">
        <f>IFERROR(VLOOKUP(VLOOKUP(A1041,'Sales Order'!A:G,7,FALSE),Shipper!A:B,2,FALSE),"Not Specified")</f>
        <v>Shipper GVSUA</v>
      </c>
      <c r="O1041" t="str">
        <f>IFERROR(VLOOKUP(A1041,'Sales Order'!A:I,9,FALSE),"Not Specified")</f>
        <v>Destination LOUIE</v>
      </c>
      <c r="P1041" t="str">
        <f>IFERROR(VLOOKUP(A1041,'Sales Order'!A:N,14,FALSE),"Not Specified")</f>
        <v>Germany</v>
      </c>
      <c r="Q1041" t="str">
        <f>VLOOKUP(VLOOKUP(B1041,Product!A:C,3,FALSE),Supplier!A:B,2,FALSE)</f>
        <v>Supplier SVIYA</v>
      </c>
      <c r="R1041" t="str">
        <f>VLOOKUP(VLOOKUP(B1041,Product!A:C,3,FALSE),Supplier!A:I,9,FALSE)</f>
        <v>Germany</v>
      </c>
      <c r="S1041" t="str">
        <f>IFERROR(IF(VLOOKUP(A1041,'Sales Order'!A:H,8,FALSE)&gt;100,"High Freight","Low Freight"),"Not Specified")</f>
        <v>Low Freight</v>
      </c>
      <c r="T1041">
        <f t="shared" si="33"/>
        <v>513</v>
      </c>
    </row>
    <row r="1042" spans="1:20">
      <c r="A1042" s="9">
        <v>10643</v>
      </c>
      <c r="B1042" s="6">
        <v>39</v>
      </c>
      <c r="C1042" s="6">
        <v>18</v>
      </c>
      <c r="D1042" s="6">
        <v>21</v>
      </c>
      <c r="E1042" s="18">
        <v>0.25</v>
      </c>
      <c r="F1042" s="6" t="str">
        <f>IFERROR(VLOOKUP(VLOOKUP(A1042,'Sales Order'!A:B,2,FALSE),Customer!A:C,3,FALSE),"Not Specified")</f>
        <v>Allen, Michael</v>
      </c>
      <c r="G1042" s="6" t="str">
        <f t="shared" si="32"/>
        <v>Allen Michael</v>
      </c>
      <c r="H1042" s="22" t="str">
        <f>IFERROR(VLOOKUP(VLOOKUP(A1042,'Sales Order'!A:C,3,FALSE),Employee!A:E,5,FALSE)&amp;" "&amp;VLOOKUP(VLOOKUP(A1042,'Sales Order'!A:C,3,FALSE),Employee!A:C,3,FALSE)&amp;" "&amp;VLOOKUP(VLOOKUP(A1042,'Sales Order'!A:C,3,FALSE),Employee!A:B,2,FALSE),"Not Specified")</f>
        <v>Mr. Paul Suurs</v>
      </c>
      <c r="I1042">
        <f>IFERROR(VLOOKUP(VLOOKUP(A1042,'Sales Order'!A:C,3,FALSE),Employee!A:J,10,FALSE),"Not Specified")</f>
        <v>0</v>
      </c>
      <c r="J1042" t="str">
        <f>VLOOKUP(B1042,Product!A:B,2,FALSE)</f>
        <v>Product LSOFL</v>
      </c>
      <c r="K1042" t="str">
        <f>VLOOKUP(VLOOKUP(B1042,Product!A:D,4,FALSE),Category!A:B,2,FALSE)</f>
        <v>Beverages</v>
      </c>
      <c r="L1042" s="24">
        <f>IFERROR(VLOOKUP(A1042,'Sales Order'!A:D,4,FALSE),"")</f>
        <v>39319</v>
      </c>
      <c r="M1042" s="24">
        <f>IFERROR(VLOOKUP(A1042,'Sales Order'!A:F,6,FALSE),"")</f>
        <v>39327</v>
      </c>
      <c r="N1042" t="str">
        <f>IFERROR(VLOOKUP(VLOOKUP(A1042,'Sales Order'!A:G,7,FALSE),Shipper!A:B,2,FALSE),"Not Specified")</f>
        <v>Shipper GVSUA</v>
      </c>
      <c r="O1042" t="str">
        <f>IFERROR(VLOOKUP(A1042,'Sales Order'!A:I,9,FALSE),"Not Specified")</f>
        <v>Destination LOUIE</v>
      </c>
      <c r="P1042" t="str">
        <f>IFERROR(VLOOKUP(A1042,'Sales Order'!A:N,14,FALSE),"Not Specified")</f>
        <v>Germany</v>
      </c>
      <c r="Q1042" t="str">
        <f>VLOOKUP(VLOOKUP(B1042,Product!A:C,3,FALSE),Supplier!A:B,2,FALSE)</f>
        <v>Supplier LVJUA</v>
      </c>
      <c r="R1042" t="str">
        <f>VLOOKUP(VLOOKUP(B1042,Product!A:C,3,FALSE),Supplier!A:I,9,FALSE)</f>
        <v>France</v>
      </c>
      <c r="S1042" t="str">
        <f>IFERROR(IF(VLOOKUP(A1042,'Sales Order'!A:H,8,FALSE)&gt;100,"High Freight","Low Freight"),"Not Specified")</f>
        <v>Low Freight</v>
      </c>
      <c r="T1042">
        <f t="shared" si="33"/>
        <v>283.5</v>
      </c>
    </row>
    <row r="1043" spans="1:20">
      <c r="A1043" s="9">
        <v>10643</v>
      </c>
      <c r="B1043" s="6">
        <v>46</v>
      </c>
      <c r="C1043" s="6">
        <v>12</v>
      </c>
      <c r="D1043" s="6">
        <v>2</v>
      </c>
      <c r="E1043" s="18">
        <v>0.25</v>
      </c>
      <c r="F1043" s="6" t="str">
        <f>IFERROR(VLOOKUP(VLOOKUP(A1043,'Sales Order'!A:B,2,FALSE),Customer!A:C,3,FALSE),"Not Specified")</f>
        <v>Allen, Michael</v>
      </c>
      <c r="G1043" s="6" t="str">
        <f t="shared" si="32"/>
        <v>Allen Michael</v>
      </c>
      <c r="H1043" s="22" t="str">
        <f>IFERROR(VLOOKUP(VLOOKUP(A1043,'Sales Order'!A:C,3,FALSE),Employee!A:E,5,FALSE)&amp;" "&amp;VLOOKUP(VLOOKUP(A1043,'Sales Order'!A:C,3,FALSE),Employee!A:C,3,FALSE)&amp;" "&amp;VLOOKUP(VLOOKUP(A1043,'Sales Order'!A:C,3,FALSE),Employee!A:B,2,FALSE),"Not Specified")</f>
        <v>Mr. Paul Suurs</v>
      </c>
      <c r="I1043">
        <f>IFERROR(VLOOKUP(VLOOKUP(A1043,'Sales Order'!A:C,3,FALSE),Employee!A:J,10,FALSE),"Not Specified")</f>
        <v>0</v>
      </c>
      <c r="J1043" t="str">
        <f>VLOOKUP(B1043,Product!A:B,2,FALSE)</f>
        <v>Product CBRRL</v>
      </c>
      <c r="K1043" t="str">
        <f>VLOOKUP(VLOOKUP(B1043,Product!A:D,4,FALSE),Category!A:B,2,FALSE)</f>
        <v>Seafood</v>
      </c>
      <c r="L1043" s="24">
        <f>IFERROR(VLOOKUP(A1043,'Sales Order'!A:D,4,FALSE),"")</f>
        <v>39319</v>
      </c>
      <c r="M1043" s="24">
        <f>IFERROR(VLOOKUP(A1043,'Sales Order'!A:F,6,FALSE),"")</f>
        <v>39327</v>
      </c>
      <c r="N1043" t="str">
        <f>IFERROR(VLOOKUP(VLOOKUP(A1043,'Sales Order'!A:G,7,FALSE),Shipper!A:B,2,FALSE),"Not Specified")</f>
        <v>Shipper GVSUA</v>
      </c>
      <c r="O1043" t="str">
        <f>IFERROR(VLOOKUP(A1043,'Sales Order'!A:I,9,FALSE),"Not Specified")</f>
        <v>Destination LOUIE</v>
      </c>
      <c r="P1043" t="str">
        <f>IFERROR(VLOOKUP(A1043,'Sales Order'!A:N,14,FALSE),"Not Specified")</f>
        <v>Germany</v>
      </c>
      <c r="Q1043" t="str">
        <f>VLOOKUP(VLOOKUP(B1043,Product!A:C,3,FALSE),Supplier!A:B,2,FALSE)</f>
        <v>Supplier XOXZA</v>
      </c>
      <c r="R1043" t="str">
        <f>VLOOKUP(VLOOKUP(B1043,Product!A:C,3,FALSE),Supplier!A:I,9,FALSE)</f>
        <v>Denmark</v>
      </c>
      <c r="S1043" t="str">
        <f>IFERROR(IF(VLOOKUP(A1043,'Sales Order'!A:H,8,FALSE)&gt;100,"High Freight","Low Freight"),"Not Specified")</f>
        <v>Low Freight</v>
      </c>
      <c r="T1043">
        <f t="shared" si="33"/>
        <v>18</v>
      </c>
    </row>
    <row r="1044" spans="1:20">
      <c r="A1044" s="9">
        <v>10644</v>
      </c>
      <c r="B1044" s="6">
        <v>18</v>
      </c>
      <c r="C1044" s="6">
        <v>62.5</v>
      </c>
      <c r="D1044" s="6">
        <v>4</v>
      </c>
      <c r="E1044" s="18">
        <v>0.1</v>
      </c>
      <c r="F1044" s="6" t="str">
        <f>IFERROR(VLOOKUP(VLOOKUP(A1044,'Sales Order'!A:B,2,FALSE),Customer!A:C,3,FALSE),"Not Specified")</f>
        <v>Li, Yan</v>
      </c>
      <c r="G1044" s="6" t="str">
        <f t="shared" si="32"/>
        <v>Li Yan</v>
      </c>
      <c r="H1044" s="22" t="str">
        <f>IFERROR(VLOOKUP(VLOOKUP(A1044,'Sales Order'!A:C,3,FALSE),Employee!A:E,5,FALSE)&amp;" "&amp;VLOOKUP(VLOOKUP(A1044,'Sales Order'!A:C,3,FALSE),Employee!A:C,3,FALSE)&amp;" "&amp;VLOOKUP(VLOOKUP(A1044,'Sales Order'!A:C,3,FALSE),Employee!A:B,2,FALSE),"Not Specified")</f>
        <v>Ms. Judy Lew</v>
      </c>
      <c r="I1044" t="str">
        <f>IFERROR(VLOOKUP(VLOOKUP(A1044,'Sales Order'!A:C,3,FALSE),Employee!A:J,10,FALSE),"Not Specified")</f>
        <v>WA</v>
      </c>
      <c r="J1044" t="str">
        <f>VLOOKUP(B1044,Product!A:B,2,FALSE)</f>
        <v>Product CKEDC</v>
      </c>
      <c r="K1044" t="str">
        <f>VLOOKUP(VLOOKUP(B1044,Product!A:D,4,FALSE),Category!A:B,2,FALSE)</f>
        <v>Seafood</v>
      </c>
      <c r="L1044" s="24">
        <f>IFERROR(VLOOKUP(A1044,'Sales Order'!A:D,4,FALSE),"")</f>
        <v>39319</v>
      </c>
      <c r="M1044" s="24">
        <f>IFERROR(VLOOKUP(A1044,'Sales Order'!A:F,6,FALSE),"")</f>
        <v>39326</v>
      </c>
      <c r="N1044" t="str">
        <f>IFERROR(VLOOKUP(VLOOKUP(A1044,'Sales Order'!A:G,7,FALSE),Shipper!A:B,2,FALSE),"Not Specified")</f>
        <v>Shipper ETYNR</v>
      </c>
      <c r="O1044" t="str">
        <f>IFERROR(VLOOKUP(A1044,'Sales Order'!A:I,9,FALSE),"Not Specified")</f>
        <v>Ship to 88-A</v>
      </c>
      <c r="P1044" t="str">
        <f>IFERROR(VLOOKUP(A1044,'Sales Order'!A:N,14,FALSE),"Not Specified")</f>
        <v>Brazil</v>
      </c>
      <c r="Q1044" t="str">
        <f>VLOOKUP(VLOOKUP(B1044,Product!A:C,3,FALSE),Supplier!A:B,2,FALSE)</f>
        <v>Supplier GQRCV</v>
      </c>
      <c r="R1044" t="str">
        <f>VLOOKUP(VLOOKUP(B1044,Product!A:C,3,FALSE),Supplier!A:I,9,FALSE)</f>
        <v>Australia</v>
      </c>
      <c r="S1044" t="str">
        <f>IFERROR(IF(VLOOKUP(A1044,'Sales Order'!A:H,8,FALSE)&gt;100,"High Freight","Low Freight"),"Not Specified")</f>
        <v>Low Freight</v>
      </c>
      <c r="T1044">
        <f t="shared" si="33"/>
        <v>225</v>
      </c>
    </row>
    <row r="1045" spans="1:20">
      <c r="A1045" s="9">
        <v>10644</v>
      </c>
      <c r="B1045" s="6">
        <v>43</v>
      </c>
      <c r="C1045" s="6">
        <v>46</v>
      </c>
      <c r="D1045" s="6">
        <v>20</v>
      </c>
      <c r="E1045" s="18">
        <v>0</v>
      </c>
      <c r="F1045" s="6" t="str">
        <f>IFERROR(VLOOKUP(VLOOKUP(A1045,'Sales Order'!A:B,2,FALSE),Customer!A:C,3,FALSE),"Not Specified")</f>
        <v>Li, Yan</v>
      </c>
      <c r="G1045" s="6" t="str">
        <f t="shared" si="32"/>
        <v>Li Yan</v>
      </c>
      <c r="H1045" s="22" t="str">
        <f>IFERROR(VLOOKUP(VLOOKUP(A1045,'Sales Order'!A:C,3,FALSE),Employee!A:E,5,FALSE)&amp;" "&amp;VLOOKUP(VLOOKUP(A1045,'Sales Order'!A:C,3,FALSE),Employee!A:C,3,FALSE)&amp;" "&amp;VLOOKUP(VLOOKUP(A1045,'Sales Order'!A:C,3,FALSE),Employee!A:B,2,FALSE),"Not Specified")</f>
        <v>Ms. Judy Lew</v>
      </c>
      <c r="I1045" t="str">
        <f>IFERROR(VLOOKUP(VLOOKUP(A1045,'Sales Order'!A:C,3,FALSE),Employee!A:J,10,FALSE),"Not Specified")</f>
        <v>WA</v>
      </c>
      <c r="J1045" t="str">
        <f>VLOOKUP(B1045,Product!A:B,2,FALSE)</f>
        <v>Product ZZZHR</v>
      </c>
      <c r="K1045" t="str">
        <f>VLOOKUP(VLOOKUP(B1045,Product!A:D,4,FALSE),Category!A:B,2,FALSE)</f>
        <v>Beverages</v>
      </c>
      <c r="L1045" s="24">
        <f>IFERROR(VLOOKUP(A1045,'Sales Order'!A:D,4,FALSE),"")</f>
        <v>39319</v>
      </c>
      <c r="M1045" s="24">
        <f>IFERROR(VLOOKUP(A1045,'Sales Order'!A:F,6,FALSE),"")</f>
        <v>39326</v>
      </c>
      <c r="N1045" t="str">
        <f>IFERROR(VLOOKUP(VLOOKUP(A1045,'Sales Order'!A:G,7,FALSE),Shipper!A:B,2,FALSE),"Not Specified")</f>
        <v>Shipper ETYNR</v>
      </c>
      <c r="O1045" t="str">
        <f>IFERROR(VLOOKUP(A1045,'Sales Order'!A:I,9,FALSE),"Not Specified")</f>
        <v>Ship to 88-A</v>
      </c>
      <c r="P1045" t="str">
        <f>IFERROR(VLOOKUP(A1045,'Sales Order'!A:N,14,FALSE),"Not Specified")</f>
        <v>Brazil</v>
      </c>
      <c r="Q1045" t="str">
        <f>VLOOKUP(VLOOKUP(B1045,Product!A:C,3,FALSE),Supplier!A:B,2,FALSE)</f>
        <v>Supplier CIYNM</v>
      </c>
      <c r="R1045" t="str">
        <f>VLOOKUP(VLOOKUP(B1045,Product!A:C,3,FALSE),Supplier!A:I,9,FALSE)</f>
        <v>Singapore</v>
      </c>
      <c r="S1045" t="str">
        <f>IFERROR(IF(VLOOKUP(A1045,'Sales Order'!A:H,8,FALSE)&gt;100,"High Freight","Low Freight"),"Not Specified")</f>
        <v>Low Freight</v>
      </c>
      <c r="T1045">
        <f t="shared" si="33"/>
        <v>920</v>
      </c>
    </row>
    <row r="1046" spans="1:20">
      <c r="A1046" s="9">
        <v>10644</v>
      </c>
      <c r="B1046" s="6">
        <v>46</v>
      </c>
      <c r="C1046" s="6">
        <v>12</v>
      </c>
      <c r="D1046" s="6">
        <v>21</v>
      </c>
      <c r="E1046" s="18">
        <v>0.1</v>
      </c>
      <c r="F1046" s="6" t="str">
        <f>IFERROR(VLOOKUP(VLOOKUP(A1046,'Sales Order'!A:B,2,FALSE),Customer!A:C,3,FALSE),"Not Specified")</f>
        <v>Li, Yan</v>
      </c>
      <c r="G1046" s="6" t="str">
        <f t="shared" si="32"/>
        <v>Li Yan</v>
      </c>
      <c r="H1046" s="22" t="str">
        <f>IFERROR(VLOOKUP(VLOOKUP(A1046,'Sales Order'!A:C,3,FALSE),Employee!A:E,5,FALSE)&amp;" "&amp;VLOOKUP(VLOOKUP(A1046,'Sales Order'!A:C,3,FALSE),Employee!A:C,3,FALSE)&amp;" "&amp;VLOOKUP(VLOOKUP(A1046,'Sales Order'!A:C,3,FALSE),Employee!A:B,2,FALSE),"Not Specified")</f>
        <v>Ms. Judy Lew</v>
      </c>
      <c r="I1046" t="str">
        <f>IFERROR(VLOOKUP(VLOOKUP(A1046,'Sales Order'!A:C,3,FALSE),Employee!A:J,10,FALSE),"Not Specified")</f>
        <v>WA</v>
      </c>
      <c r="J1046" t="str">
        <f>VLOOKUP(B1046,Product!A:B,2,FALSE)</f>
        <v>Product CBRRL</v>
      </c>
      <c r="K1046" t="str">
        <f>VLOOKUP(VLOOKUP(B1046,Product!A:D,4,FALSE),Category!A:B,2,FALSE)</f>
        <v>Seafood</v>
      </c>
      <c r="L1046" s="24">
        <f>IFERROR(VLOOKUP(A1046,'Sales Order'!A:D,4,FALSE),"")</f>
        <v>39319</v>
      </c>
      <c r="M1046" s="24">
        <f>IFERROR(VLOOKUP(A1046,'Sales Order'!A:F,6,FALSE),"")</f>
        <v>39326</v>
      </c>
      <c r="N1046" t="str">
        <f>IFERROR(VLOOKUP(VLOOKUP(A1046,'Sales Order'!A:G,7,FALSE),Shipper!A:B,2,FALSE),"Not Specified")</f>
        <v>Shipper ETYNR</v>
      </c>
      <c r="O1046" t="str">
        <f>IFERROR(VLOOKUP(A1046,'Sales Order'!A:I,9,FALSE),"Not Specified")</f>
        <v>Ship to 88-A</v>
      </c>
      <c r="P1046" t="str">
        <f>IFERROR(VLOOKUP(A1046,'Sales Order'!A:N,14,FALSE),"Not Specified")</f>
        <v>Brazil</v>
      </c>
      <c r="Q1046" t="str">
        <f>VLOOKUP(VLOOKUP(B1046,Product!A:C,3,FALSE),Supplier!A:B,2,FALSE)</f>
        <v>Supplier XOXZA</v>
      </c>
      <c r="R1046" t="str">
        <f>VLOOKUP(VLOOKUP(B1046,Product!A:C,3,FALSE),Supplier!A:I,9,FALSE)</f>
        <v>Denmark</v>
      </c>
      <c r="S1046" t="str">
        <f>IFERROR(IF(VLOOKUP(A1046,'Sales Order'!A:H,8,FALSE)&gt;100,"High Freight","Low Freight"),"Not Specified")</f>
        <v>Low Freight</v>
      </c>
      <c r="T1046">
        <f t="shared" si="33"/>
        <v>226.8</v>
      </c>
    </row>
    <row r="1047" spans="1:20">
      <c r="A1047" s="9">
        <v>10645</v>
      </c>
      <c r="B1047" s="6">
        <v>18</v>
      </c>
      <c r="C1047" s="6">
        <v>62.5</v>
      </c>
      <c r="D1047" s="6">
        <v>20</v>
      </c>
      <c r="E1047" s="18">
        <v>0</v>
      </c>
      <c r="F1047" s="6" t="str">
        <f>IFERROR(VLOOKUP(VLOOKUP(A1047,'Sales Order'!A:B,2,FALSE),Customer!A:C,3,FALSE),"Not Specified")</f>
        <v>Cohen, Shy</v>
      </c>
      <c r="G1047" s="6" t="str">
        <f t="shared" si="32"/>
        <v>Cohen Shy</v>
      </c>
      <c r="H1047" s="22" t="str">
        <f>IFERROR(VLOOKUP(VLOOKUP(A1047,'Sales Order'!A:C,3,FALSE),Employee!A:E,5,FALSE)&amp;" "&amp;VLOOKUP(VLOOKUP(A1047,'Sales Order'!A:C,3,FALSE),Employee!A:C,3,FALSE)&amp;" "&amp;VLOOKUP(VLOOKUP(A1047,'Sales Order'!A:C,3,FALSE),Employee!A:B,2,FALSE),"Not Specified")</f>
        <v>Mrs. Yael Peled</v>
      </c>
      <c r="I1047" t="str">
        <f>IFERROR(VLOOKUP(VLOOKUP(A1047,'Sales Order'!A:C,3,FALSE),Employee!A:J,10,FALSE),"Not Specified")</f>
        <v>WA</v>
      </c>
      <c r="J1047" t="str">
        <f>VLOOKUP(B1047,Product!A:B,2,FALSE)</f>
        <v>Product CKEDC</v>
      </c>
      <c r="K1047" t="str">
        <f>VLOOKUP(VLOOKUP(B1047,Product!A:D,4,FALSE),Category!A:B,2,FALSE)</f>
        <v>Seafood</v>
      </c>
      <c r="L1047" s="24">
        <f>IFERROR(VLOOKUP(A1047,'Sales Order'!A:D,4,FALSE),"")</f>
        <v>39320</v>
      </c>
      <c r="M1047" s="24">
        <f>IFERROR(VLOOKUP(A1047,'Sales Order'!A:F,6,FALSE),"")</f>
        <v>39327</v>
      </c>
      <c r="N1047" t="str">
        <f>IFERROR(VLOOKUP(VLOOKUP(A1047,'Sales Order'!A:G,7,FALSE),Shipper!A:B,2,FALSE),"Not Specified")</f>
        <v>Shipper GVSUA</v>
      </c>
      <c r="O1047" t="str">
        <f>IFERROR(VLOOKUP(A1047,'Sales Order'!A:I,9,FALSE),"Not Specified")</f>
        <v>Destination DPCVR</v>
      </c>
      <c r="P1047" t="str">
        <f>IFERROR(VLOOKUP(A1047,'Sales Order'!A:N,14,FALSE),"Not Specified")</f>
        <v>Brazil</v>
      </c>
      <c r="Q1047" t="str">
        <f>VLOOKUP(VLOOKUP(B1047,Product!A:C,3,FALSE),Supplier!A:B,2,FALSE)</f>
        <v>Supplier GQRCV</v>
      </c>
      <c r="R1047" t="str">
        <f>VLOOKUP(VLOOKUP(B1047,Product!A:C,3,FALSE),Supplier!A:I,9,FALSE)</f>
        <v>Australia</v>
      </c>
      <c r="S1047" t="str">
        <f>IFERROR(IF(VLOOKUP(A1047,'Sales Order'!A:H,8,FALSE)&gt;100,"High Freight","Low Freight"),"Not Specified")</f>
        <v>Low Freight</v>
      </c>
      <c r="T1047">
        <f t="shared" si="33"/>
        <v>1250</v>
      </c>
    </row>
    <row r="1048" spans="1:20">
      <c r="A1048" s="9">
        <v>10645</v>
      </c>
      <c r="B1048" s="6">
        <v>36</v>
      </c>
      <c r="C1048" s="6">
        <v>19</v>
      </c>
      <c r="D1048" s="6">
        <v>15</v>
      </c>
      <c r="E1048" s="18">
        <v>0</v>
      </c>
      <c r="F1048" s="6" t="str">
        <f>IFERROR(VLOOKUP(VLOOKUP(A1048,'Sales Order'!A:B,2,FALSE),Customer!A:C,3,FALSE),"Not Specified")</f>
        <v>Cohen, Shy</v>
      </c>
      <c r="G1048" s="6" t="str">
        <f t="shared" si="32"/>
        <v>Cohen Shy</v>
      </c>
      <c r="H1048" s="22" t="str">
        <f>IFERROR(VLOOKUP(VLOOKUP(A1048,'Sales Order'!A:C,3,FALSE),Employee!A:E,5,FALSE)&amp;" "&amp;VLOOKUP(VLOOKUP(A1048,'Sales Order'!A:C,3,FALSE),Employee!A:C,3,FALSE)&amp;" "&amp;VLOOKUP(VLOOKUP(A1048,'Sales Order'!A:C,3,FALSE),Employee!A:B,2,FALSE),"Not Specified")</f>
        <v>Mrs. Yael Peled</v>
      </c>
      <c r="I1048" t="str">
        <f>IFERROR(VLOOKUP(VLOOKUP(A1048,'Sales Order'!A:C,3,FALSE),Employee!A:J,10,FALSE),"Not Specified")</f>
        <v>WA</v>
      </c>
      <c r="J1048" t="str">
        <f>VLOOKUP(B1048,Product!A:B,2,FALSE)</f>
        <v>Product GMKIJ</v>
      </c>
      <c r="K1048" t="str">
        <f>VLOOKUP(VLOOKUP(B1048,Product!A:D,4,FALSE),Category!A:B,2,FALSE)</f>
        <v>Seafood</v>
      </c>
      <c r="L1048" s="24">
        <f>IFERROR(VLOOKUP(A1048,'Sales Order'!A:D,4,FALSE),"")</f>
        <v>39320</v>
      </c>
      <c r="M1048" s="24">
        <f>IFERROR(VLOOKUP(A1048,'Sales Order'!A:F,6,FALSE),"")</f>
        <v>39327</v>
      </c>
      <c r="N1048" t="str">
        <f>IFERROR(VLOOKUP(VLOOKUP(A1048,'Sales Order'!A:G,7,FALSE),Shipper!A:B,2,FALSE),"Not Specified")</f>
        <v>Shipper GVSUA</v>
      </c>
      <c r="O1048" t="str">
        <f>IFERROR(VLOOKUP(A1048,'Sales Order'!A:I,9,FALSE),"Not Specified")</f>
        <v>Destination DPCVR</v>
      </c>
      <c r="P1048" t="str">
        <f>IFERROR(VLOOKUP(A1048,'Sales Order'!A:N,14,FALSE),"Not Specified")</f>
        <v>Brazil</v>
      </c>
      <c r="Q1048" t="str">
        <f>VLOOKUP(VLOOKUP(B1048,Product!A:C,3,FALSE),Supplier!A:B,2,FALSE)</f>
        <v>Supplier QZGUF</v>
      </c>
      <c r="R1048" t="str">
        <f>VLOOKUP(VLOOKUP(B1048,Product!A:C,3,FALSE),Supplier!A:I,9,FALSE)</f>
        <v>Sweden</v>
      </c>
      <c r="S1048" t="str">
        <f>IFERROR(IF(VLOOKUP(A1048,'Sales Order'!A:H,8,FALSE)&gt;100,"High Freight","Low Freight"),"Not Specified")</f>
        <v>Low Freight</v>
      </c>
      <c r="T1048">
        <f t="shared" si="33"/>
        <v>285</v>
      </c>
    </row>
    <row r="1049" spans="1:20">
      <c r="A1049" s="9">
        <v>10646</v>
      </c>
      <c r="B1049" s="6">
        <v>1</v>
      </c>
      <c r="C1049" s="6">
        <v>18</v>
      </c>
      <c r="D1049" s="6">
        <v>15</v>
      </c>
      <c r="E1049" s="18">
        <v>0.25</v>
      </c>
      <c r="F1049" s="6" t="str">
        <f>IFERROR(VLOOKUP(VLOOKUP(A1049,'Sales Order'!A:B,2,FALSE),Customer!A:C,3,FALSE),"Not Specified")</f>
        <v>Crăciun, Ovidiu V.</v>
      </c>
      <c r="G1049" s="6" t="str">
        <f t="shared" si="32"/>
        <v>Crăciun Ovidiu V.</v>
      </c>
      <c r="H1049" s="22" t="str">
        <f>IFERROR(VLOOKUP(VLOOKUP(A1049,'Sales Order'!A:C,3,FALSE),Employee!A:E,5,FALSE)&amp;" "&amp;VLOOKUP(VLOOKUP(A1049,'Sales Order'!A:C,3,FALSE),Employee!A:C,3,FALSE)&amp;" "&amp;VLOOKUP(VLOOKUP(A1049,'Sales Order'!A:C,3,FALSE),Employee!A:B,2,FALSE),"Not Specified")</f>
        <v>Ms. Zoya Dolgopyatova</v>
      </c>
      <c r="I1049">
        <f>IFERROR(VLOOKUP(VLOOKUP(A1049,'Sales Order'!A:C,3,FALSE),Employee!A:J,10,FALSE),"Not Specified")</f>
        <v>0</v>
      </c>
      <c r="J1049" t="str">
        <f>VLOOKUP(B1049,Product!A:B,2,FALSE)</f>
        <v>Product HHYDP</v>
      </c>
      <c r="K1049" t="str">
        <f>VLOOKUP(VLOOKUP(B1049,Product!A:D,4,FALSE),Category!A:B,2,FALSE)</f>
        <v>Beverages</v>
      </c>
      <c r="L1049" s="24">
        <f>IFERROR(VLOOKUP(A1049,'Sales Order'!A:D,4,FALSE),"")</f>
        <v>39321</v>
      </c>
      <c r="M1049" s="24">
        <f>IFERROR(VLOOKUP(A1049,'Sales Order'!A:F,6,FALSE),"")</f>
        <v>39328</v>
      </c>
      <c r="N1049" t="str">
        <f>IFERROR(VLOOKUP(VLOOKUP(A1049,'Sales Order'!A:G,7,FALSE),Shipper!A:B,2,FALSE),"Not Specified")</f>
        <v>Shipper ZHISN</v>
      </c>
      <c r="O1049" t="str">
        <f>IFERROR(VLOOKUP(A1049,'Sales Order'!A:I,9,FALSE),"Not Specified")</f>
        <v>Destination ATSOA</v>
      </c>
      <c r="P1049" t="str">
        <f>IFERROR(VLOOKUP(A1049,'Sales Order'!A:N,14,FALSE),"Not Specified")</f>
        <v>Ireland</v>
      </c>
      <c r="Q1049" t="str">
        <f>VLOOKUP(VLOOKUP(B1049,Product!A:C,3,FALSE),Supplier!A:B,2,FALSE)</f>
        <v>Supplier SWRXU</v>
      </c>
      <c r="R1049" t="str">
        <f>VLOOKUP(VLOOKUP(B1049,Product!A:C,3,FALSE),Supplier!A:I,9,FALSE)</f>
        <v>UK</v>
      </c>
      <c r="S1049" t="str">
        <f>IFERROR(IF(VLOOKUP(A1049,'Sales Order'!A:H,8,FALSE)&gt;100,"High Freight","Low Freight"),"Not Specified")</f>
        <v>High Freight</v>
      </c>
      <c r="T1049">
        <f t="shared" si="33"/>
        <v>202.5</v>
      </c>
    </row>
    <row r="1050" spans="1:20">
      <c r="A1050" s="9">
        <v>10646</v>
      </c>
      <c r="B1050" s="6">
        <v>10</v>
      </c>
      <c r="C1050" s="6">
        <v>31</v>
      </c>
      <c r="D1050" s="6">
        <v>18</v>
      </c>
      <c r="E1050" s="18">
        <v>0.25</v>
      </c>
      <c r="F1050" s="6" t="str">
        <f>IFERROR(VLOOKUP(VLOOKUP(A1050,'Sales Order'!A:B,2,FALSE),Customer!A:C,3,FALSE),"Not Specified")</f>
        <v>Crăciun, Ovidiu V.</v>
      </c>
      <c r="G1050" s="6" t="str">
        <f t="shared" si="32"/>
        <v>Crăciun Ovidiu V.</v>
      </c>
      <c r="H1050" s="22" t="str">
        <f>IFERROR(VLOOKUP(VLOOKUP(A1050,'Sales Order'!A:C,3,FALSE),Employee!A:E,5,FALSE)&amp;" "&amp;VLOOKUP(VLOOKUP(A1050,'Sales Order'!A:C,3,FALSE),Employee!A:C,3,FALSE)&amp;" "&amp;VLOOKUP(VLOOKUP(A1050,'Sales Order'!A:C,3,FALSE),Employee!A:B,2,FALSE),"Not Specified")</f>
        <v>Ms. Zoya Dolgopyatova</v>
      </c>
      <c r="I1050">
        <f>IFERROR(VLOOKUP(VLOOKUP(A1050,'Sales Order'!A:C,3,FALSE),Employee!A:J,10,FALSE),"Not Specified")</f>
        <v>0</v>
      </c>
      <c r="J1050" t="str">
        <f>VLOOKUP(B1050,Product!A:B,2,FALSE)</f>
        <v>Product YHXGE</v>
      </c>
      <c r="K1050" t="str">
        <f>VLOOKUP(VLOOKUP(B1050,Product!A:D,4,FALSE),Category!A:B,2,FALSE)</f>
        <v>Seafood</v>
      </c>
      <c r="L1050" s="24">
        <f>IFERROR(VLOOKUP(A1050,'Sales Order'!A:D,4,FALSE),"")</f>
        <v>39321</v>
      </c>
      <c r="M1050" s="24">
        <f>IFERROR(VLOOKUP(A1050,'Sales Order'!A:F,6,FALSE),"")</f>
        <v>39328</v>
      </c>
      <c r="N1050" t="str">
        <f>IFERROR(VLOOKUP(VLOOKUP(A1050,'Sales Order'!A:G,7,FALSE),Shipper!A:B,2,FALSE),"Not Specified")</f>
        <v>Shipper ZHISN</v>
      </c>
      <c r="O1050" t="str">
        <f>IFERROR(VLOOKUP(A1050,'Sales Order'!A:I,9,FALSE),"Not Specified")</f>
        <v>Destination ATSOA</v>
      </c>
      <c r="P1050" t="str">
        <f>IFERROR(VLOOKUP(A1050,'Sales Order'!A:N,14,FALSE),"Not Specified")</f>
        <v>Ireland</v>
      </c>
      <c r="Q1050" t="str">
        <f>VLOOKUP(VLOOKUP(B1050,Product!A:C,3,FALSE),Supplier!A:B,2,FALSE)</f>
        <v>Supplier QOVFD</v>
      </c>
      <c r="R1050" t="str">
        <f>VLOOKUP(VLOOKUP(B1050,Product!A:C,3,FALSE),Supplier!A:I,9,FALSE)</f>
        <v>Japan</v>
      </c>
      <c r="S1050" t="str">
        <f>IFERROR(IF(VLOOKUP(A1050,'Sales Order'!A:H,8,FALSE)&gt;100,"High Freight","Low Freight"),"Not Specified")</f>
        <v>High Freight</v>
      </c>
      <c r="T1050">
        <f t="shared" si="33"/>
        <v>418.5</v>
      </c>
    </row>
    <row r="1051" spans="1:20">
      <c r="A1051" s="9">
        <v>10646</v>
      </c>
      <c r="B1051" s="6">
        <v>71</v>
      </c>
      <c r="C1051" s="6">
        <v>21.5</v>
      </c>
      <c r="D1051" s="6">
        <v>30</v>
      </c>
      <c r="E1051" s="18">
        <v>0.25</v>
      </c>
      <c r="F1051" s="6" t="str">
        <f>IFERROR(VLOOKUP(VLOOKUP(A1051,'Sales Order'!A:B,2,FALSE),Customer!A:C,3,FALSE),"Not Specified")</f>
        <v>Crăciun, Ovidiu V.</v>
      </c>
      <c r="G1051" s="6" t="str">
        <f t="shared" si="32"/>
        <v>Crăciun Ovidiu V.</v>
      </c>
      <c r="H1051" s="22" t="str">
        <f>IFERROR(VLOOKUP(VLOOKUP(A1051,'Sales Order'!A:C,3,FALSE),Employee!A:E,5,FALSE)&amp;" "&amp;VLOOKUP(VLOOKUP(A1051,'Sales Order'!A:C,3,FALSE),Employee!A:C,3,FALSE)&amp;" "&amp;VLOOKUP(VLOOKUP(A1051,'Sales Order'!A:C,3,FALSE),Employee!A:B,2,FALSE),"Not Specified")</f>
        <v>Ms. Zoya Dolgopyatova</v>
      </c>
      <c r="I1051">
        <f>IFERROR(VLOOKUP(VLOOKUP(A1051,'Sales Order'!A:C,3,FALSE),Employee!A:J,10,FALSE),"Not Specified")</f>
        <v>0</v>
      </c>
      <c r="J1051" t="str">
        <f>VLOOKUP(B1051,Product!A:B,2,FALSE)</f>
        <v>Product MYMOI</v>
      </c>
      <c r="K1051" t="str">
        <f>VLOOKUP(VLOOKUP(B1051,Product!A:D,4,FALSE),Category!A:B,2,FALSE)</f>
        <v>Dairy Product</v>
      </c>
      <c r="L1051" s="24">
        <f>IFERROR(VLOOKUP(A1051,'Sales Order'!A:D,4,FALSE),"")</f>
        <v>39321</v>
      </c>
      <c r="M1051" s="24">
        <f>IFERROR(VLOOKUP(A1051,'Sales Order'!A:F,6,FALSE),"")</f>
        <v>39328</v>
      </c>
      <c r="N1051" t="str">
        <f>IFERROR(VLOOKUP(VLOOKUP(A1051,'Sales Order'!A:G,7,FALSE),Shipper!A:B,2,FALSE),"Not Specified")</f>
        <v>Shipper ZHISN</v>
      </c>
      <c r="O1051" t="str">
        <f>IFERROR(VLOOKUP(A1051,'Sales Order'!A:I,9,FALSE),"Not Specified")</f>
        <v>Destination ATSOA</v>
      </c>
      <c r="P1051" t="str">
        <f>IFERROR(VLOOKUP(A1051,'Sales Order'!A:N,14,FALSE),"Not Specified")</f>
        <v>Ireland</v>
      </c>
      <c r="Q1051" t="str">
        <f>VLOOKUP(VLOOKUP(B1051,Product!A:C,3,FALSE),Supplier!A:B,2,FALSE)</f>
        <v>Supplier NZLIF</v>
      </c>
      <c r="R1051" t="str">
        <f>VLOOKUP(VLOOKUP(B1051,Product!A:C,3,FALSE),Supplier!A:I,9,FALSE)</f>
        <v>Norway</v>
      </c>
      <c r="S1051" t="str">
        <f>IFERROR(IF(VLOOKUP(A1051,'Sales Order'!A:H,8,FALSE)&gt;100,"High Freight","Low Freight"),"Not Specified")</f>
        <v>High Freight</v>
      </c>
      <c r="T1051">
        <f t="shared" si="33"/>
        <v>483.75</v>
      </c>
    </row>
    <row r="1052" spans="1:20">
      <c r="A1052" s="9">
        <v>10646</v>
      </c>
      <c r="B1052" s="6">
        <v>77</v>
      </c>
      <c r="C1052" s="6">
        <v>13</v>
      </c>
      <c r="D1052" s="6">
        <v>35</v>
      </c>
      <c r="E1052" s="18">
        <v>0.25</v>
      </c>
      <c r="F1052" s="6" t="str">
        <f>IFERROR(VLOOKUP(VLOOKUP(A1052,'Sales Order'!A:B,2,FALSE),Customer!A:C,3,FALSE),"Not Specified")</f>
        <v>Crăciun, Ovidiu V.</v>
      </c>
      <c r="G1052" s="6" t="str">
        <f t="shared" si="32"/>
        <v>Crăciun Ovidiu V.</v>
      </c>
      <c r="H1052" s="22" t="str">
        <f>IFERROR(VLOOKUP(VLOOKUP(A1052,'Sales Order'!A:C,3,FALSE),Employee!A:E,5,FALSE)&amp;" "&amp;VLOOKUP(VLOOKUP(A1052,'Sales Order'!A:C,3,FALSE),Employee!A:C,3,FALSE)&amp;" "&amp;VLOOKUP(VLOOKUP(A1052,'Sales Order'!A:C,3,FALSE),Employee!A:B,2,FALSE),"Not Specified")</f>
        <v>Ms. Zoya Dolgopyatova</v>
      </c>
      <c r="I1052">
        <f>IFERROR(VLOOKUP(VLOOKUP(A1052,'Sales Order'!A:C,3,FALSE),Employee!A:J,10,FALSE),"Not Specified")</f>
        <v>0</v>
      </c>
      <c r="J1052" t="str">
        <f>VLOOKUP(B1052,Product!A:B,2,FALSE)</f>
        <v>Product LUNZZ</v>
      </c>
      <c r="K1052" t="str">
        <f>VLOOKUP(VLOOKUP(B1052,Product!A:D,4,FALSE),Category!A:B,2,FALSE)</f>
        <v>Condiments</v>
      </c>
      <c r="L1052" s="24">
        <f>IFERROR(VLOOKUP(A1052,'Sales Order'!A:D,4,FALSE),"")</f>
        <v>39321</v>
      </c>
      <c r="M1052" s="24">
        <f>IFERROR(VLOOKUP(A1052,'Sales Order'!A:F,6,FALSE),"")</f>
        <v>39328</v>
      </c>
      <c r="N1052" t="str">
        <f>IFERROR(VLOOKUP(VLOOKUP(A1052,'Sales Order'!A:G,7,FALSE),Shipper!A:B,2,FALSE),"Not Specified")</f>
        <v>Shipper ZHISN</v>
      </c>
      <c r="O1052" t="str">
        <f>IFERROR(VLOOKUP(A1052,'Sales Order'!A:I,9,FALSE),"Not Specified")</f>
        <v>Destination ATSOA</v>
      </c>
      <c r="P1052" t="str">
        <f>IFERROR(VLOOKUP(A1052,'Sales Order'!A:N,14,FALSE),"Not Specified")</f>
        <v>Ireland</v>
      </c>
      <c r="Q1052" t="str">
        <f>VLOOKUP(VLOOKUP(B1052,Product!A:C,3,FALSE),Supplier!A:B,2,FALSE)</f>
        <v>Supplier SVIYA</v>
      </c>
      <c r="R1052" t="str">
        <f>VLOOKUP(VLOOKUP(B1052,Product!A:C,3,FALSE),Supplier!A:I,9,FALSE)</f>
        <v>Germany</v>
      </c>
      <c r="S1052" t="str">
        <f>IFERROR(IF(VLOOKUP(A1052,'Sales Order'!A:H,8,FALSE)&gt;100,"High Freight","Low Freight"),"Not Specified")</f>
        <v>High Freight</v>
      </c>
      <c r="T1052">
        <f t="shared" si="33"/>
        <v>341.25</v>
      </c>
    </row>
    <row r="1053" spans="1:20">
      <c r="A1053" s="9">
        <v>10647</v>
      </c>
      <c r="B1053" s="6">
        <v>19</v>
      </c>
      <c r="C1053" s="6">
        <v>9.1999999999999993</v>
      </c>
      <c r="D1053" s="6">
        <v>30</v>
      </c>
      <c r="E1053" s="18">
        <v>0</v>
      </c>
      <c r="F1053" s="6" t="str">
        <f>IFERROR(VLOOKUP(VLOOKUP(A1053,'Sales Order'!A:B,2,FALSE),Customer!A:C,3,FALSE),"Not Specified")</f>
        <v>Florczyk, Krzysztof</v>
      </c>
      <c r="G1053" s="6" t="str">
        <f t="shared" si="32"/>
        <v>Florczyk Krzysztof</v>
      </c>
      <c r="H1053" s="22" t="str">
        <f>IFERROR(VLOOKUP(VLOOKUP(A1053,'Sales Order'!A:C,3,FALSE),Employee!A:E,5,FALSE)&amp;" "&amp;VLOOKUP(VLOOKUP(A1053,'Sales Order'!A:C,3,FALSE),Employee!A:C,3,FALSE)&amp;" "&amp;VLOOKUP(VLOOKUP(A1053,'Sales Order'!A:C,3,FALSE),Employee!A:B,2,FALSE),"Not Specified")</f>
        <v>Mrs. Yael Peled</v>
      </c>
      <c r="I1053" t="str">
        <f>IFERROR(VLOOKUP(VLOOKUP(A1053,'Sales Order'!A:C,3,FALSE),Employee!A:J,10,FALSE),"Not Specified")</f>
        <v>WA</v>
      </c>
      <c r="J1053" t="str">
        <f>VLOOKUP(B1053,Product!A:B,2,FALSE)</f>
        <v>Product XKXDO</v>
      </c>
      <c r="K1053" t="str">
        <f>VLOOKUP(VLOOKUP(B1053,Product!A:D,4,FALSE),Category!A:B,2,FALSE)</f>
        <v>Confections</v>
      </c>
      <c r="L1053" s="24">
        <f>IFERROR(VLOOKUP(A1053,'Sales Order'!A:D,4,FALSE),"")</f>
        <v>39321</v>
      </c>
      <c r="M1053" s="24">
        <f>IFERROR(VLOOKUP(A1053,'Sales Order'!A:F,6,FALSE),"")</f>
        <v>39328</v>
      </c>
      <c r="N1053" t="str">
        <f>IFERROR(VLOOKUP(VLOOKUP(A1053,'Sales Order'!A:G,7,FALSE),Shipper!A:B,2,FALSE),"Not Specified")</f>
        <v>Shipper ETYNR</v>
      </c>
      <c r="O1053" t="str">
        <f>IFERROR(VLOOKUP(A1053,'Sales Order'!A:I,9,FALSE),"Not Specified")</f>
        <v>Ship to 61-B</v>
      </c>
      <c r="P1053" t="str">
        <f>IFERROR(VLOOKUP(A1053,'Sales Order'!A:N,14,FALSE),"Not Specified")</f>
        <v>Brazil</v>
      </c>
      <c r="Q1053" t="str">
        <f>VLOOKUP(VLOOKUP(B1053,Product!A:C,3,FALSE),Supplier!A:B,2,FALSE)</f>
        <v>Supplier BWGYE</v>
      </c>
      <c r="R1053" t="str">
        <f>VLOOKUP(VLOOKUP(B1053,Product!A:C,3,FALSE),Supplier!A:I,9,FALSE)</f>
        <v>UK</v>
      </c>
      <c r="S1053" t="str">
        <f>IFERROR(IF(VLOOKUP(A1053,'Sales Order'!A:H,8,FALSE)&gt;100,"High Freight","Low Freight"),"Not Specified")</f>
        <v>Low Freight</v>
      </c>
      <c r="T1053">
        <f t="shared" si="33"/>
        <v>276</v>
      </c>
    </row>
    <row r="1054" spans="1:20">
      <c r="A1054" s="9">
        <v>10647</v>
      </c>
      <c r="B1054" s="6">
        <v>39</v>
      </c>
      <c r="C1054" s="6">
        <v>18</v>
      </c>
      <c r="D1054" s="6">
        <v>20</v>
      </c>
      <c r="E1054" s="18">
        <v>0</v>
      </c>
      <c r="F1054" s="6" t="str">
        <f>IFERROR(VLOOKUP(VLOOKUP(A1054,'Sales Order'!A:B,2,FALSE),Customer!A:C,3,FALSE),"Not Specified")</f>
        <v>Florczyk, Krzysztof</v>
      </c>
      <c r="G1054" s="6" t="str">
        <f t="shared" si="32"/>
        <v>Florczyk Krzysztof</v>
      </c>
      <c r="H1054" s="22" t="str">
        <f>IFERROR(VLOOKUP(VLOOKUP(A1054,'Sales Order'!A:C,3,FALSE),Employee!A:E,5,FALSE)&amp;" "&amp;VLOOKUP(VLOOKUP(A1054,'Sales Order'!A:C,3,FALSE),Employee!A:C,3,FALSE)&amp;" "&amp;VLOOKUP(VLOOKUP(A1054,'Sales Order'!A:C,3,FALSE),Employee!A:B,2,FALSE),"Not Specified")</f>
        <v>Mrs. Yael Peled</v>
      </c>
      <c r="I1054" t="str">
        <f>IFERROR(VLOOKUP(VLOOKUP(A1054,'Sales Order'!A:C,3,FALSE),Employee!A:J,10,FALSE),"Not Specified")</f>
        <v>WA</v>
      </c>
      <c r="J1054" t="str">
        <f>VLOOKUP(B1054,Product!A:B,2,FALSE)</f>
        <v>Product LSOFL</v>
      </c>
      <c r="K1054" t="str">
        <f>VLOOKUP(VLOOKUP(B1054,Product!A:D,4,FALSE),Category!A:B,2,FALSE)</f>
        <v>Beverages</v>
      </c>
      <c r="L1054" s="24">
        <f>IFERROR(VLOOKUP(A1054,'Sales Order'!A:D,4,FALSE),"")</f>
        <v>39321</v>
      </c>
      <c r="M1054" s="24">
        <f>IFERROR(VLOOKUP(A1054,'Sales Order'!A:F,6,FALSE),"")</f>
        <v>39328</v>
      </c>
      <c r="N1054" t="str">
        <f>IFERROR(VLOOKUP(VLOOKUP(A1054,'Sales Order'!A:G,7,FALSE),Shipper!A:B,2,FALSE),"Not Specified")</f>
        <v>Shipper ETYNR</v>
      </c>
      <c r="O1054" t="str">
        <f>IFERROR(VLOOKUP(A1054,'Sales Order'!A:I,9,FALSE),"Not Specified")</f>
        <v>Ship to 61-B</v>
      </c>
      <c r="P1054" t="str">
        <f>IFERROR(VLOOKUP(A1054,'Sales Order'!A:N,14,FALSE),"Not Specified")</f>
        <v>Brazil</v>
      </c>
      <c r="Q1054" t="str">
        <f>VLOOKUP(VLOOKUP(B1054,Product!A:C,3,FALSE),Supplier!A:B,2,FALSE)</f>
        <v>Supplier LVJUA</v>
      </c>
      <c r="R1054" t="str">
        <f>VLOOKUP(VLOOKUP(B1054,Product!A:C,3,FALSE),Supplier!A:I,9,FALSE)</f>
        <v>France</v>
      </c>
      <c r="S1054" t="str">
        <f>IFERROR(IF(VLOOKUP(A1054,'Sales Order'!A:H,8,FALSE)&gt;100,"High Freight","Low Freight"),"Not Specified")</f>
        <v>Low Freight</v>
      </c>
      <c r="T1054">
        <f t="shared" si="33"/>
        <v>360</v>
      </c>
    </row>
    <row r="1055" spans="1:20">
      <c r="A1055" s="9">
        <v>10648</v>
      </c>
      <c r="B1055" s="6">
        <v>22</v>
      </c>
      <c r="C1055" s="6">
        <v>21</v>
      </c>
      <c r="D1055" s="6">
        <v>15</v>
      </c>
      <c r="E1055" s="18">
        <v>0</v>
      </c>
      <c r="F1055" s="6" t="str">
        <f>IFERROR(VLOOKUP(VLOOKUP(A1055,'Sales Order'!A:B,2,FALSE),Customer!A:C,3,FALSE),"Not Specified")</f>
        <v>Garden, Euan</v>
      </c>
      <c r="G1055" s="6" t="str">
        <f t="shared" si="32"/>
        <v>Garden Euan</v>
      </c>
      <c r="H1055" s="22" t="str">
        <f>IFERROR(VLOOKUP(VLOOKUP(A1055,'Sales Order'!A:C,3,FALSE),Employee!A:E,5,FALSE)&amp;" "&amp;VLOOKUP(VLOOKUP(A1055,'Sales Order'!A:C,3,FALSE),Employee!A:C,3,FALSE)&amp;" "&amp;VLOOKUP(VLOOKUP(A1055,'Sales Order'!A:C,3,FALSE),Employee!A:B,2,FALSE),"Not Specified")</f>
        <v>Mr. Sven Buck</v>
      </c>
      <c r="I1055">
        <f>IFERROR(VLOOKUP(VLOOKUP(A1055,'Sales Order'!A:C,3,FALSE),Employee!A:J,10,FALSE),"Not Specified")</f>
        <v>0</v>
      </c>
      <c r="J1055" t="str">
        <f>VLOOKUP(B1055,Product!A:B,2,FALSE)</f>
        <v>Product CPHFY</v>
      </c>
      <c r="K1055" t="str">
        <f>VLOOKUP(VLOOKUP(B1055,Product!A:D,4,FALSE),Category!A:B,2,FALSE)</f>
        <v>Grains/Cereals</v>
      </c>
      <c r="L1055" s="24">
        <f>IFERROR(VLOOKUP(A1055,'Sales Order'!A:D,4,FALSE),"")</f>
        <v>39322</v>
      </c>
      <c r="M1055" s="24">
        <f>IFERROR(VLOOKUP(A1055,'Sales Order'!A:F,6,FALSE),"")</f>
        <v>39334</v>
      </c>
      <c r="N1055" t="str">
        <f>IFERROR(VLOOKUP(VLOOKUP(A1055,'Sales Order'!A:G,7,FALSE),Shipper!A:B,2,FALSE),"Not Specified")</f>
        <v>Shipper ETYNR</v>
      </c>
      <c r="O1055" t="str">
        <f>IFERROR(VLOOKUP(A1055,'Sales Order'!A:I,9,FALSE),"Not Specified")</f>
        <v>Ship to 67-C</v>
      </c>
      <c r="P1055" t="str">
        <f>IFERROR(VLOOKUP(A1055,'Sales Order'!A:N,14,FALSE),"Not Specified")</f>
        <v>Brazil</v>
      </c>
      <c r="Q1055" t="str">
        <f>VLOOKUP(VLOOKUP(B1055,Product!A:C,3,FALSE),Supplier!A:B,2,FALSE)</f>
        <v>Supplier QQYEU</v>
      </c>
      <c r="R1055" t="str">
        <f>VLOOKUP(VLOOKUP(B1055,Product!A:C,3,FALSE),Supplier!A:I,9,FALSE)</f>
        <v>Sweden</v>
      </c>
      <c r="S1055" t="str">
        <f>IFERROR(IF(VLOOKUP(A1055,'Sales Order'!A:H,8,FALSE)&gt;100,"High Freight","Low Freight"),"Not Specified")</f>
        <v>Low Freight</v>
      </c>
      <c r="T1055">
        <f t="shared" si="33"/>
        <v>315</v>
      </c>
    </row>
    <row r="1056" spans="1:20">
      <c r="A1056" s="9">
        <v>10648</v>
      </c>
      <c r="B1056" s="6">
        <v>24</v>
      </c>
      <c r="C1056" s="6">
        <v>4.5</v>
      </c>
      <c r="D1056" s="6">
        <v>15</v>
      </c>
      <c r="E1056" s="18">
        <v>0.15</v>
      </c>
      <c r="F1056" s="6" t="str">
        <f>IFERROR(VLOOKUP(VLOOKUP(A1056,'Sales Order'!A:B,2,FALSE),Customer!A:C,3,FALSE),"Not Specified")</f>
        <v>Garden, Euan</v>
      </c>
      <c r="G1056" s="6" t="str">
        <f t="shared" si="32"/>
        <v>Garden Euan</v>
      </c>
      <c r="H1056" s="22" t="str">
        <f>IFERROR(VLOOKUP(VLOOKUP(A1056,'Sales Order'!A:C,3,FALSE),Employee!A:E,5,FALSE)&amp;" "&amp;VLOOKUP(VLOOKUP(A1056,'Sales Order'!A:C,3,FALSE),Employee!A:C,3,FALSE)&amp;" "&amp;VLOOKUP(VLOOKUP(A1056,'Sales Order'!A:C,3,FALSE),Employee!A:B,2,FALSE),"Not Specified")</f>
        <v>Mr. Sven Buck</v>
      </c>
      <c r="I1056">
        <f>IFERROR(VLOOKUP(VLOOKUP(A1056,'Sales Order'!A:C,3,FALSE),Employee!A:J,10,FALSE),"Not Specified")</f>
        <v>0</v>
      </c>
      <c r="J1056" t="str">
        <f>VLOOKUP(B1056,Product!A:B,2,FALSE)</f>
        <v>Product QOGNU</v>
      </c>
      <c r="K1056" t="str">
        <f>VLOOKUP(VLOOKUP(B1056,Product!A:D,4,FALSE),Category!A:B,2,FALSE)</f>
        <v>Beverages</v>
      </c>
      <c r="L1056" s="24">
        <f>IFERROR(VLOOKUP(A1056,'Sales Order'!A:D,4,FALSE),"")</f>
        <v>39322</v>
      </c>
      <c r="M1056" s="24">
        <f>IFERROR(VLOOKUP(A1056,'Sales Order'!A:F,6,FALSE),"")</f>
        <v>39334</v>
      </c>
      <c r="N1056" t="str">
        <f>IFERROR(VLOOKUP(VLOOKUP(A1056,'Sales Order'!A:G,7,FALSE),Shipper!A:B,2,FALSE),"Not Specified")</f>
        <v>Shipper ETYNR</v>
      </c>
      <c r="O1056" t="str">
        <f>IFERROR(VLOOKUP(A1056,'Sales Order'!A:I,9,FALSE),"Not Specified")</f>
        <v>Ship to 67-C</v>
      </c>
      <c r="P1056" t="str">
        <f>IFERROR(VLOOKUP(A1056,'Sales Order'!A:N,14,FALSE),"Not Specified")</f>
        <v>Brazil</v>
      </c>
      <c r="Q1056" t="str">
        <f>VLOOKUP(VLOOKUP(B1056,Product!A:C,3,FALSE),Supplier!A:B,2,FALSE)</f>
        <v>Supplier UNAHG</v>
      </c>
      <c r="R1056" t="str">
        <f>VLOOKUP(VLOOKUP(B1056,Product!A:C,3,FALSE),Supplier!A:I,9,FALSE)</f>
        <v>Brazil</v>
      </c>
      <c r="S1056" t="str">
        <f>IFERROR(IF(VLOOKUP(A1056,'Sales Order'!A:H,8,FALSE)&gt;100,"High Freight","Low Freight"),"Not Specified")</f>
        <v>Low Freight</v>
      </c>
      <c r="T1056">
        <f t="shared" si="33"/>
        <v>57.375</v>
      </c>
    </row>
    <row r="1057" spans="1:20">
      <c r="A1057" s="9">
        <v>10649</v>
      </c>
      <c r="B1057" s="6">
        <v>28</v>
      </c>
      <c r="C1057" s="6">
        <v>45.6</v>
      </c>
      <c r="D1057" s="6">
        <v>20</v>
      </c>
      <c r="E1057" s="18">
        <v>0</v>
      </c>
      <c r="F1057" s="6" t="str">
        <f>IFERROR(VLOOKUP(VLOOKUP(A1057,'Sales Order'!A:B,2,FALSE),Customer!A:C,3,FALSE),"Not Specified")</f>
        <v>Mace, Donald</v>
      </c>
      <c r="G1057" s="6" t="str">
        <f t="shared" si="32"/>
        <v>Mace Donald</v>
      </c>
      <c r="H1057" s="22" t="str">
        <f>IFERROR(VLOOKUP(VLOOKUP(A1057,'Sales Order'!A:C,3,FALSE),Employee!A:E,5,FALSE)&amp;" "&amp;VLOOKUP(VLOOKUP(A1057,'Sales Order'!A:C,3,FALSE),Employee!A:C,3,FALSE)&amp;" "&amp;VLOOKUP(VLOOKUP(A1057,'Sales Order'!A:C,3,FALSE),Employee!A:B,2,FALSE),"Not Specified")</f>
        <v>Mr. Sven Buck</v>
      </c>
      <c r="I1057">
        <f>IFERROR(VLOOKUP(VLOOKUP(A1057,'Sales Order'!A:C,3,FALSE),Employee!A:J,10,FALSE),"Not Specified")</f>
        <v>0</v>
      </c>
      <c r="J1057" t="str">
        <f>VLOOKUP(B1057,Product!A:B,2,FALSE)</f>
        <v>Product OFBNT</v>
      </c>
      <c r="K1057" t="str">
        <f>VLOOKUP(VLOOKUP(B1057,Product!A:D,4,FALSE),Category!A:B,2,FALSE)</f>
        <v>Produce</v>
      </c>
      <c r="L1057" s="24">
        <f>IFERROR(VLOOKUP(A1057,'Sales Order'!A:D,4,FALSE),"")</f>
        <v>39322</v>
      </c>
      <c r="M1057" s="24">
        <f>IFERROR(VLOOKUP(A1057,'Sales Order'!A:F,6,FALSE),"")</f>
        <v>39323</v>
      </c>
      <c r="N1057" t="str">
        <f>IFERROR(VLOOKUP(VLOOKUP(A1057,'Sales Order'!A:G,7,FALSE),Shipper!A:B,2,FALSE),"Not Specified")</f>
        <v>Shipper ZHISN</v>
      </c>
      <c r="O1057" t="str">
        <f>IFERROR(VLOOKUP(A1057,'Sales Order'!A:I,9,FALSE),"Not Specified")</f>
        <v>Ship to 50-B</v>
      </c>
      <c r="P1057" t="str">
        <f>IFERROR(VLOOKUP(A1057,'Sales Order'!A:N,14,FALSE),"Not Specified")</f>
        <v>Belgium</v>
      </c>
      <c r="Q1057" t="str">
        <f>VLOOKUP(VLOOKUP(B1057,Product!A:C,3,FALSE),Supplier!A:B,2,FALSE)</f>
        <v>Supplier SVIYA</v>
      </c>
      <c r="R1057" t="str">
        <f>VLOOKUP(VLOOKUP(B1057,Product!A:C,3,FALSE),Supplier!A:I,9,FALSE)</f>
        <v>Germany</v>
      </c>
      <c r="S1057" t="str">
        <f>IFERROR(IF(VLOOKUP(A1057,'Sales Order'!A:H,8,FALSE)&gt;100,"High Freight","Low Freight"),"Not Specified")</f>
        <v>Low Freight</v>
      </c>
      <c r="T1057">
        <f t="shared" si="33"/>
        <v>912</v>
      </c>
    </row>
    <row r="1058" spans="1:20">
      <c r="A1058" s="9">
        <v>10649</v>
      </c>
      <c r="B1058" s="6">
        <v>72</v>
      </c>
      <c r="C1058" s="6">
        <v>34.799999999999997</v>
      </c>
      <c r="D1058" s="6">
        <v>15</v>
      </c>
      <c r="E1058" s="18">
        <v>0</v>
      </c>
      <c r="F1058" s="6" t="str">
        <f>IFERROR(VLOOKUP(VLOOKUP(A1058,'Sales Order'!A:B,2,FALSE),Customer!A:C,3,FALSE),"Not Specified")</f>
        <v>Mace, Donald</v>
      </c>
      <c r="G1058" s="6" t="str">
        <f t="shared" si="32"/>
        <v>Mace Donald</v>
      </c>
      <c r="H1058" s="22" t="str">
        <f>IFERROR(VLOOKUP(VLOOKUP(A1058,'Sales Order'!A:C,3,FALSE),Employee!A:E,5,FALSE)&amp;" "&amp;VLOOKUP(VLOOKUP(A1058,'Sales Order'!A:C,3,FALSE),Employee!A:C,3,FALSE)&amp;" "&amp;VLOOKUP(VLOOKUP(A1058,'Sales Order'!A:C,3,FALSE),Employee!A:B,2,FALSE),"Not Specified")</f>
        <v>Mr. Sven Buck</v>
      </c>
      <c r="I1058">
        <f>IFERROR(VLOOKUP(VLOOKUP(A1058,'Sales Order'!A:C,3,FALSE),Employee!A:J,10,FALSE),"Not Specified")</f>
        <v>0</v>
      </c>
      <c r="J1058" t="str">
        <f>VLOOKUP(B1058,Product!A:B,2,FALSE)</f>
        <v>Product GEEOO</v>
      </c>
      <c r="K1058" t="str">
        <f>VLOOKUP(VLOOKUP(B1058,Product!A:D,4,FALSE),Category!A:B,2,FALSE)</f>
        <v>Dairy Product</v>
      </c>
      <c r="L1058" s="24">
        <f>IFERROR(VLOOKUP(A1058,'Sales Order'!A:D,4,FALSE),"")</f>
        <v>39322</v>
      </c>
      <c r="M1058" s="24">
        <f>IFERROR(VLOOKUP(A1058,'Sales Order'!A:F,6,FALSE),"")</f>
        <v>39323</v>
      </c>
      <c r="N1058" t="str">
        <f>IFERROR(VLOOKUP(VLOOKUP(A1058,'Sales Order'!A:G,7,FALSE),Shipper!A:B,2,FALSE),"Not Specified")</f>
        <v>Shipper ZHISN</v>
      </c>
      <c r="O1058" t="str">
        <f>IFERROR(VLOOKUP(A1058,'Sales Order'!A:I,9,FALSE),"Not Specified")</f>
        <v>Ship to 50-B</v>
      </c>
      <c r="P1058" t="str">
        <f>IFERROR(VLOOKUP(A1058,'Sales Order'!A:N,14,FALSE),"Not Specified")</f>
        <v>Belgium</v>
      </c>
      <c r="Q1058" t="str">
        <f>VLOOKUP(VLOOKUP(B1058,Product!A:C,3,FALSE),Supplier!A:B,2,FALSE)</f>
        <v>Supplier KEREV</v>
      </c>
      <c r="R1058" t="str">
        <f>VLOOKUP(VLOOKUP(B1058,Product!A:C,3,FALSE),Supplier!A:I,9,FALSE)</f>
        <v>Italy</v>
      </c>
      <c r="S1058" t="str">
        <f>IFERROR(IF(VLOOKUP(A1058,'Sales Order'!A:H,8,FALSE)&gt;100,"High Freight","Low Freight"),"Not Specified")</f>
        <v>Low Freight</v>
      </c>
      <c r="T1058">
        <f t="shared" si="33"/>
        <v>522</v>
      </c>
    </row>
    <row r="1059" spans="1:20">
      <c r="A1059" s="9">
        <v>10650</v>
      </c>
      <c r="B1059" s="6">
        <v>30</v>
      </c>
      <c r="C1059" s="6">
        <v>25.89</v>
      </c>
      <c r="D1059" s="6">
        <v>30</v>
      </c>
      <c r="E1059" s="18">
        <v>0</v>
      </c>
      <c r="F1059" s="6" t="str">
        <f>IFERROR(VLOOKUP(VLOOKUP(A1059,'Sales Order'!A:B,2,FALSE),Customer!A:C,3,FALSE),"Not Specified")</f>
        <v>Russo, Giuseppe</v>
      </c>
      <c r="G1059" s="6" t="str">
        <f t="shared" si="32"/>
        <v>Russo Giuseppe</v>
      </c>
      <c r="H1059" s="22" t="str">
        <f>IFERROR(VLOOKUP(VLOOKUP(A1059,'Sales Order'!A:C,3,FALSE),Employee!A:E,5,FALSE)&amp;" "&amp;VLOOKUP(VLOOKUP(A1059,'Sales Order'!A:C,3,FALSE),Employee!A:C,3,FALSE)&amp;" "&amp;VLOOKUP(VLOOKUP(A1059,'Sales Order'!A:C,3,FALSE),Employee!A:B,2,FALSE),"Not Specified")</f>
        <v>Mr. Sven Buck</v>
      </c>
      <c r="I1059">
        <f>IFERROR(VLOOKUP(VLOOKUP(A1059,'Sales Order'!A:C,3,FALSE),Employee!A:J,10,FALSE),"Not Specified")</f>
        <v>0</v>
      </c>
      <c r="J1059" t="str">
        <f>VLOOKUP(B1059,Product!A:B,2,FALSE)</f>
        <v>Product LYERX</v>
      </c>
      <c r="K1059" t="str">
        <f>VLOOKUP(VLOOKUP(B1059,Product!A:D,4,FALSE),Category!A:B,2,FALSE)</f>
        <v>Seafood</v>
      </c>
      <c r="L1059" s="24">
        <f>IFERROR(VLOOKUP(A1059,'Sales Order'!A:D,4,FALSE),"")</f>
        <v>39323</v>
      </c>
      <c r="M1059" s="24">
        <f>IFERROR(VLOOKUP(A1059,'Sales Order'!A:F,6,FALSE),"")</f>
        <v>39328</v>
      </c>
      <c r="N1059" t="str">
        <f>IFERROR(VLOOKUP(VLOOKUP(A1059,'Sales Order'!A:G,7,FALSE),Shipper!A:B,2,FALSE),"Not Specified")</f>
        <v>Shipper ZHISN</v>
      </c>
      <c r="O1059" t="str">
        <f>IFERROR(VLOOKUP(A1059,'Sales Order'!A:I,9,FALSE),"Not Specified")</f>
        <v>Destination SSYXZ</v>
      </c>
      <c r="P1059" t="str">
        <f>IFERROR(VLOOKUP(A1059,'Sales Order'!A:N,14,FALSE),"Not Specified")</f>
        <v>Brazil</v>
      </c>
      <c r="Q1059" t="str">
        <f>VLOOKUP(VLOOKUP(B1059,Product!A:C,3,FALSE),Supplier!A:B,2,FALSE)</f>
        <v>Supplier TEGSC</v>
      </c>
      <c r="R1059" t="str">
        <f>VLOOKUP(VLOOKUP(B1059,Product!A:C,3,FALSE),Supplier!A:I,9,FALSE)</f>
        <v>Germany</v>
      </c>
      <c r="S1059" t="str">
        <f>IFERROR(IF(VLOOKUP(A1059,'Sales Order'!A:H,8,FALSE)&gt;100,"High Freight","Low Freight"),"Not Specified")</f>
        <v>High Freight</v>
      </c>
      <c r="T1059">
        <f t="shared" si="33"/>
        <v>776.7</v>
      </c>
    </row>
    <row r="1060" spans="1:20">
      <c r="A1060" s="9">
        <v>10650</v>
      </c>
      <c r="B1060" s="6">
        <v>53</v>
      </c>
      <c r="C1060" s="6">
        <v>32.799999999999997</v>
      </c>
      <c r="D1060" s="6">
        <v>25</v>
      </c>
      <c r="E1060" s="18">
        <v>0.05</v>
      </c>
      <c r="F1060" s="6" t="str">
        <f>IFERROR(VLOOKUP(VLOOKUP(A1060,'Sales Order'!A:B,2,FALSE),Customer!A:C,3,FALSE),"Not Specified")</f>
        <v>Russo, Giuseppe</v>
      </c>
      <c r="G1060" s="6" t="str">
        <f t="shared" si="32"/>
        <v>Russo Giuseppe</v>
      </c>
      <c r="H1060" s="22" t="str">
        <f>IFERROR(VLOOKUP(VLOOKUP(A1060,'Sales Order'!A:C,3,FALSE),Employee!A:E,5,FALSE)&amp;" "&amp;VLOOKUP(VLOOKUP(A1060,'Sales Order'!A:C,3,FALSE),Employee!A:C,3,FALSE)&amp;" "&amp;VLOOKUP(VLOOKUP(A1060,'Sales Order'!A:C,3,FALSE),Employee!A:B,2,FALSE),"Not Specified")</f>
        <v>Mr. Sven Buck</v>
      </c>
      <c r="I1060">
        <f>IFERROR(VLOOKUP(VLOOKUP(A1060,'Sales Order'!A:C,3,FALSE),Employee!A:J,10,FALSE),"Not Specified")</f>
        <v>0</v>
      </c>
      <c r="J1060" t="str">
        <f>VLOOKUP(B1060,Product!A:B,2,FALSE)</f>
        <v>Product BKGEA</v>
      </c>
      <c r="K1060" t="str">
        <f>VLOOKUP(VLOOKUP(B1060,Product!A:D,4,FALSE),Category!A:B,2,FALSE)</f>
        <v>Meat/Poultry</v>
      </c>
      <c r="L1060" s="24">
        <f>IFERROR(VLOOKUP(A1060,'Sales Order'!A:D,4,FALSE),"")</f>
        <v>39323</v>
      </c>
      <c r="M1060" s="24">
        <f>IFERROR(VLOOKUP(A1060,'Sales Order'!A:F,6,FALSE),"")</f>
        <v>39328</v>
      </c>
      <c r="N1060" t="str">
        <f>IFERROR(VLOOKUP(VLOOKUP(A1060,'Sales Order'!A:G,7,FALSE),Shipper!A:B,2,FALSE),"Not Specified")</f>
        <v>Shipper ZHISN</v>
      </c>
      <c r="O1060" t="str">
        <f>IFERROR(VLOOKUP(A1060,'Sales Order'!A:I,9,FALSE),"Not Specified")</f>
        <v>Destination SSYXZ</v>
      </c>
      <c r="P1060" t="str">
        <f>IFERROR(VLOOKUP(A1060,'Sales Order'!A:N,14,FALSE),"Not Specified")</f>
        <v>Brazil</v>
      </c>
      <c r="Q1060" t="str">
        <f>VLOOKUP(VLOOKUP(B1060,Product!A:C,3,FALSE),Supplier!A:B,2,FALSE)</f>
        <v>Supplier JNNES</v>
      </c>
      <c r="R1060" t="str">
        <f>VLOOKUP(VLOOKUP(B1060,Product!A:C,3,FALSE),Supplier!A:I,9,FALSE)</f>
        <v>Australia</v>
      </c>
      <c r="S1060" t="str">
        <f>IFERROR(IF(VLOOKUP(A1060,'Sales Order'!A:H,8,FALSE)&gt;100,"High Freight","Low Freight"),"Not Specified")</f>
        <v>High Freight</v>
      </c>
      <c r="T1060">
        <f t="shared" si="33"/>
        <v>778.99999999999989</v>
      </c>
    </row>
    <row r="1061" spans="1:20">
      <c r="A1061" s="9">
        <v>10650</v>
      </c>
      <c r="B1061" s="6">
        <v>54</v>
      </c>
      <c r="C1061" s="6">
        <v>7.45</v>
      </c>
      <c r="D1061" s="6">
        <v>30</v>
      </c>
      <c r="E1061" s="18">
        <v>0</v>
      </c>
      <c r="F1061" s="6" t="str">
        <f>IFERROR(VLOOKUP(VLOOKUP(A1061,'Sales Order'!A:B,2,FALSE),Customer!A:C,3,FALSE),"Not Specified")</f>
        <v>Russo, Giuseppe</v>
      </c>
      <c r="G1061" s="6" t="str">
        <f t="shared" si="32"/>
        <v>Russo Giuseppe</v>
      </c>
      <c r="H1061" s="22" t="str">
        <f>IFERROR(VLOOKUP(VLOOKUP(A1061,'Sales Order'!A:C,3,FALSE),Employee!A:E,5,FALSE)&amp;" "&amp;VLOOKUP(VLOOKUP(A1061,'Sales Order'!A:C,3,FALSE),Employee!A:C,3,FALSE)&amp;" "&amp;VLOOKUP(VLOOKUP(A1061,'Sales Order'!A:C,3,FALSE),Employee!A:B,2,FALSE),"Not Specified")</f>
        <v>Mr. Sven Buck</v>
      </c>
      <c r="I1061">
        <f>IFERROR(VLOOKUP(VLOOKUP(A1061,'Sales Order'!A:C,3,FALSE),Employee!A:J,10,FALSE),"Not Specified")</f>
        <v>0</v>
      </c>
      <c r="J1061" t="str">
        <f>VLOOKUP(B1061,Product!A:B,2,FALSE)</f>
        <v>Product QAQRL</v>
      </c>
      <c r="K1061" t="str">
        <f>VLOOKUP(VLOOKUP(B1061,Product!A:D,4,FALSE),Category!A:B,2,FALSE)</f>
        <v>Meat/Poultry</v>
      </c>
      <c r="L1061" s="24">
        <f>IFERROR(VLOOKUP(A1061,'Sales Order'!A:D,4,FALSE),"")</f>
        <v>39323</v>
      </c>
      <c r="M1061" s="24">
        <f>IFERROR(VLOOKUP(A1061,'Sales Order'!A:F,6,FALSE),"")</f>
        <v>39328</v>
      </c>
      <c r="N1061" t="str">
        <f>IFERROR(VLOOKUP(VLOOKUP(A1061,'Sales Order'!A:G,7,FALSE),Shipper!A:B,2,FALSE),"Not Specified")</f>
        <v>Shipper ZHISN</v>
      </c>
      <c r="O1061" t="str">
        <f>IFERROR(VLOOKUP(A1061,'Sales Order'!A:I,9,FALSE),"Not Specified")</f>
        <v>Destination SSYXZ</v>
      </c>
      <c r="P1061" t="str">
        <f>IFERROR(VLOOKUP(A1061,'Sales Order'!A:N,14,FALSE),"Not Specified")</f>
        <v>Brazil</v>
      </c>
      <c r="Q1061" t="str">
        <f>VLOOKUP(VLOOKUP(B1061,Product!A:C,3,FALSE),Supplier!A:B,2,FALSE)</f>
        <v>Supplier ERVYZ</v>
      </c>
      <c r="R1061" t="str">
        <f>VLOOKUP(VLOOKUP(B1061,Product!A:C,3,FALSE),Supplier!A:I,9,FALSE)</f>
        <v>Canada</v>
      </c>
      <c r="S1061" t="str">
        <f>IFERROR(IF(VLOOKUP(A1061,'Sales Order'!A:H,8,FALSE)&gt;100,"High Freight","Low Freight"),"Not Specified")</f>
        <v>High Freight</v>
      </c>
      <c r="T1061">
        <f t="shared" si="33"/>
        <v>223.5</v>
      </c>
    </row>
    <row r="1062" spans="1:20">
      <c r="A1062" s="9">
        <v>10651</v>
      </c>
      <c r="B1062" s="6">
        <v>19</v>
      </c>
      <c r="C1062" s="6">
        <v>9.1999999999999993</v>
      </c>
      <c r="D1062" s="6">
        <v>12</v>
      </c>
      <c r="E1062" s="18">
        <v>0.25</v>
      </c>
      <c r="F1062" s="6" t="str">
        <f>IFERROR(VLOOKUP(VLOOKUP(A1062,'Sales Order'!A:B,2,FALSE),Customer!A:C,3,FALSE),"Not Specified")</f>
        <v>Syamala, Manoj</v>
      </c>
      <c r="G1062" s="6" t="str">
        <f t="shared" si="32"/>
        <v>Syamala Manoj</v>
      </c>
      <c r="H1062" s="22" t="str">
        <f>IFERROR(VLOOKUP(VLOOKUP(A1062,'Sales Order'!A:C,3,FALSE),Employee!A:E,5,FALSE)&amp;" "&amp;VLOOKUP(VLOOKUP(A1062,'Sales Order'!A:C,3,FALSE),Employee!A:C,3,FALSE)&amp;" "&amp;VLOOKUP(VLOOKUP(A1062,'Sales Order'!A:C,3,FALSE),Employee!A:B,2,FALSE),"Not Specified")</f>
        <v>Ms. Maria Cameron</v>
      </c>
      <c r="I1062" t="str">
        <f>IFERROR(VLOOKUP(VLOOKUP(A1062,'Sales Order'!A:C,3,FALSE),Employee!A:J,10,FALSE),"Not Specified")</f>
        <v>WA</v>
      </c>
      <c r="J1062" t="str">
        <f>VLOOKUP(B1062,Product!A:B,2,FALSE)</f>
        <v>Product XKXDO</v>
      </c>
      <c r="K1062" t="str">
        <f>VLOOKUP(VLOOKUP(B1062,Product!A:D,4,FALSE),Category!A:B,2,FALSE)</f>
        <v>Confections</v>
      </c>
      <c r="L1062" s="24">
        <f>IFERROR(VLOOKUP(A1062,'Sales Order'!A:D,4,FALSE),"")</f>
        <v>39326</v>
      </c>
      <c r="M1062" s="24">
        <f>IFERROR(VLOOKUP(A1062,'Sales Order'!A:F,6,FALSE),"")</f>
        <v>39336</v>
      </c>
      <c r="N1062" t="str">
        <f>IFERROR(VLOOKUP(VLOOKUP(A1062,'Sales Order'!A:G,7,FALSE),Shipper!A:B,2,FALSE),"Not Specified")</f>
        <v>Shipper ETYNR</v>
      </c>
      <c r="O1062" t="str">
        <f>IFERROR(VLOOKUP(A1062,'Sales Order'!A:I,9,FALSE),"Not Specified")</f>
        <v>Ship to 86-A</v>
      </c>
      <c r="P1062" t="str">
        <f>IFERROR(VLOOKUP(A1062,'Sales Order'!A:N,14,FALSE),"Not Specified")</f>
        <v>Germany</v>
      </c>
      <c r="Q1062" t="str">
        <f>VLOOKUP(VLOOKUP(B1062,Product!A:C,3,FALSE),Supplier!A:B,2,FALSE)</f>
        <v>Supplier BWGYE</v>
      </c>
      <c r="R1062" t="str">
        <f>VLOOKUP(VLOOKUP(B1062,Product!A:C,3,FALSE),Supplier!A:I,9,FALSE)</f>
        <v>UK</v>
      </c>
      <c r="S1062" t="str">
        <f>IFERROR(IF(VLOOKUP(A1062,'Sales Order'!A:H,8,FALSE)&gt;100,"High Freight","Low Freight"),"Not Specified")</f>
        <v>Low Freight</v>
      </c>
      <c r="T1062">
        <f t="shared" si="33"/>
        <v>82.8</v>
      </c>
    </row>
    <row r="1063" spans="1:20">
      <c r="A1063" s="9">
        <v>10651</v>
      </c>
      <c r="B1063" s="6">
        <v>22</v>
      </c>
      <c r="C1063" s="6">
        <v>21</v>
      </c>
      <c r="D1063" s="6">
        <v>20</v>
      </c>
      <c r="E1063" s="18">
        <v>0.25</v>
      </c>
      <c r="F1063" s="6" t="str">
        <f>IFERROR(VLOOKUP(VLOOKUP(A1063,'Sales Order'!A:B,2,FALSE),Customer!A:C,3,FALSE),"Not Specified")</f>
        <v>Syamala, Manoj</v>
      </c>
      <c r="G1063" s="6" t="str">
        <f t="shared" si="32"/>
        <v>Syamala Manoj</v>
      </c>
      <c r="H1063" s="22" t="str">
        <f>IFERROR(VLOOKUP(VLOOKUP(A1063,'Sales Order'!A:C,3,FALSE),Employee!A:E,5,FALSE)&amp;" "&amp;VLOOKUP(VLOOKUP(A1063,'Sales Order'!A:C,3,FALSE),Employee!A:C,3,FALSE)&amp;" "&amp;VLOOKUP(VLOOKUP(A1063,'Sales Order'!A:C,3,FALSE),Employee!A:B,2,FALSE),"Not Specified")</f>
        <v>Ms. Maria Cameron</v>
      </c>
      <c r="I1063" t="str">
        <f>IFERROR(VLOOKUP(VLOOKUP(A1063,'Sales Order'!A:C,3,FALSE),Employee!A:J,10,FALSE),"Not Specified")</f>
        <v>WA</v>
      </c>
      <c r="J1063" t="str">
        <f>VLOOKUP(B1063,Product!A:B,2,FALSE)</f>
        <v>Product CPHFY</v>
      </c>
      <c r="K1063" t="str">
        <f>VLOOKUP(VLOOKUP(B1063,Product!A:D,4,FALSE),Category!A:B,2,FALSE)</f>
        <v>Grains/Cereals</v>
      </c>
      <c r="L1063" s="24">
        <f>IFERROR(VLOOKUP(A1063,'Sales Order'!A:D,4,FALSE),"")</f>
        <v>39326</v>
      </c>
      <c r="M1063" s="24">
        <f>IFERROR(VLOOKUP(A1063,'Sales Order'!A:F,6,FALSE),"")</f>
        <v>39336</v>
      </c>
      <c r="N1063" t="str">
        <f>IFERROR(VLOOKUP(VLOOKUP(A1063,'Sales Order'!A:G,7,FALSE),Shipper!A:B,2,FALSE),"Not Specified")</f>
        <v>Shipper ETYNR</v>
      </c>
      <c r="O1063" t="str">
        <f>IFERROR(VLOOKUP(A1063,'Sales Order'!A:I,9,FALSE),"Not Specified")</f>
        <v>Ship to 86-A</v>
      </c>
      <c r="P1063" t="str">
        <f>IFERROR(VLOOKUP(A1063,'Sales Order'!A:N,14,FALSE),"Not Specified")</f>
        <v>Germany</v>
      </c>
      <c r="Q1063" t="str">
        <f>VLOOKUP(VLOOKUP(B1063,Product!A:C,3,FALSE),Supplier!A:B,2,FALSE)</f>
        <v>Supplier QQYEU</v>
      </c>
      <c r="R1063" t="str">
        <f>VLOOKUP(VLOOKUP(B1063,Product!A:C,3,FALSE),Supplier!A:I,9,FALSE)</f>
        <v>Sweden</v>
      </c>
      <c r="S1063" t="str">
        <f>IFERROR(IF(VLOOKUP(A1063,'Sales Order'!A:H,8,FALSE)&gt;100,"High Freight","Low Freight"),"Not Specified")</f>
        <v>Low Freight</v>
      </c>
      <c r="T1063">
        <f t="shared" si="33"/>
        <v>315</v>
      </c>
    </row>
    <row r="1064" spans="1:20">
      <c r="A1064" s="9">
        <v>10652</v>
      </c>
      <c r="B1064" s="6">
        <v>30</v>
      </c>
      <c r="C1064" s="6">
        <v>25.89</v>
      </c>
      <c r="D1064" s="6">
        <v>2</v>
      </c>
      <c r="E1064" s="18">
        <v>0.25</v>
      </c>
      <c r="F1064" s="6" t="str">
        <f>IFERROR(VLOOKUP(VLOOKUP(A1064,'Sales Order'!A:B,2,FALSE),Customer!A:C,3,FALSE),"Not Specified")</f>
        <v>Cheng, Yao-Qiang</v>
      </c>
      <c r="G1064" s="6" t="str">
        <f t="shared" si="32"/>
        <v>Cheng Yao-Qiang</v>
      </c>
      <c r="H1064" s="22" t="str">
        <f>IFERROR(VLOOKUP(VLOOKUP(A1064,'Sales Order'!A:C,3,FALSE),Employee!A:E,5,FALSE)&amp;" "&amp;VLOOKUP(VLOOKUP(A1064,'Sales Order'!A:C,3,FALSE),Employee!A:C,3,FALSE)&amp;" "&amp;VLOOKUP(VLOOKUP(A1064,'Sales Order'!A:C,3,FALSE),Employee!A:B,2,FALSE),"Not Specified")</f>
        <v>Mrs. Yael Peled</v>
      </c>
      <c r="I1064" t="str">
        <f>IFERROR(VLOOKUP(VLOOKUP(A1064,'Sales Order'!A:C,3,FALSE),Employee!A:J,10,FALSE),"Not Specified")</f>
        <v>WA</v>
      </c>
      <c r="J1064" t="str">
        <f>VLOOKUP(B1064,Product!A:B,2,FALSE)</f>
        <v>Product LYERX</v>
      </c>
      <c r="K1064" t="str">
        <f>VLOOKUP(VLOOKUP(B1064,Product!A:D,4,FALSE),Category!A:B,2,FALSE)</f>
        <v>Seafood</v>
      </c>
      <c r="L1064" s="24">
        <f>IFERROR(VLOOKUP(A1064,'Sales Order'!A:D,4,FALSE),"")</f>
        <v>39326</v>
      </c>
      <c r="M1064" s="24">
        <f>IFERROR(VLOOKUP(A1064,'Sales Order'!A:F,6,FALSE),"")</f>
        <v>39333</v>
      </c>
      <c r="N1064" t="str">
        <f>IFERROR(VLOOKUP(VLOOKUP(A1064,'Sales Order'!A:G,7,FALSE),Shipper!A:B,2,FALSE),"Not Specified")</f>
        <v>Shipper ETYNR</v>
      </c>
      <c r="O1064" t="str">
        <f>IFERROR(VLOOKUP(A1064,'Sales Order'!A:I,9,FALSE),"Not Specified")</f>
        <v>Destination VNIAG</v>
      </c>
      <c r="P1064" t="str">
        <f>IFERROR(VLOOKUP(A1064,'Sales Order'!A:N,14,FALSE),"Not Specified")</f>
        <v>Brazil</v>
      </c>
      <c r="Q1064" t="str">
        <f>VLOOKUP(VLOOKUP(B1064,Product!A:C,3,FALSE),Supplier!A:B,2,FALSE)</f>
        <v>Supplier TEGSC</v>
      </c>
      <c r="R1064" t="str">
        <f>VLOOKUP(VLOOKUP(B1064,Product!A:C,3,FALSE),Supplier!A:I,9,FALSE)</f>
        <v>Germany</v>
      </c>
      <c r="S1064" t="str">
        <f>IFERROR(IF(VLOOKUP(A1064,'Sales Order'!A:H,8,FALSE)&gt;100,"High Freight","Low Freight"),"Not Specified")</f>
        <v>Low Freight</v>
      </c>
      <c r="T1064">
        <f t="shared" si="33"/>
        <v>38.835000000000001</v>
      </c>
    </row>
    <row r="1065" spans="1:20">
      <c r="A1065" s="9">
        <v>10652</v>
      </c>
      <c r="B1065" s="6">
        <v>42</v>
      </c>
      <c r="C1065" s="6">
        <v>14</v>
      </c>
      <c r="D1065" s="6">
        <v>20</v>
      </c>
      <c r="E1065" s="18">
        <v>0</v>
      </c>
      <c r="F1065" s="6" t="str">
        <f>IFERROR(VLOOKUP(VLOOKUP(A1065,'Sales Order'!A:B,2,FALSE),Customer!A:C,3,FALSE),"Not Specified")</f>
        <v>Cheng, Yao-Qiang</v>
      </c>
      <c r="G1065" s="6" t="str">
        <f t="shared" si="32"/>
        <v>Cheng Yao-Qiang</v>
      </c>
      <c r="H1065" s="22" t="str">
        <f>IFERROR(VLOOKUP(VLOOKUP(A1065,'Sales Order'!A:C,3,FALSE),Employee!A:E,5,FALSE)&amp;" "&amp;VLOOKUP(VLOOKUP(A1065,'Sales Order'!A:C,3,FALSE),Employee!A:C,3,FALSE)&amp;" "&amp;VLOOKUP(VLOOKUP(A1065,'Sales Order'!A:C,3,FALSE),Employee!A:B,2,FALSE),"Not Specified")</f>
        <v>Mrs. Yael Peled</v>
      </c>
      <c r="I1065" t="str">
        <f>IFERROR(VLOOKUP(VLOOKUP(A1065,'Sales Order'!A:C,3,FALSE),Employee!A:J,10,FALSE),"Not Specified")</f>
        <v>WA</v>
      </c>
      <c r="J1065" t="str">
        <f>VLOOKUP(B1065,Product!A:B,2,FALSE)</f>
        <v>Product RJVNM</v>
      </c>
      <c r="K1065" t="str">
        <f>VLOOKUP(VLOOKUP(B1065,Product!A:D,4,FALSE),Category!A:B,2,FALSE)</f>
        <v>Grains/Cereals</v>
      </c>
      <c r="L1065" s="24">
        <f>IFERROR(VLOOKUP(A1065,'Sales Order'!A:D,4,FALSE),"")</f>
        <v>39326</v>
      </c>
      <c r="M1065" s="24">
        <f>IFERROR(VLOOKUP(A1065,'Sales Order'!A:F,6,FALSE),"")</f>
        <v>39333</v>
      </c>
      <c r="N1065" t="str">
        <f>IFERROR(VLOOKUP(VLOOKUP(A1065,'Sales Order'!A:G,7,FALSE),Shipper!A:B,2,FALSE),"Not Specified")</f>
        <v>Shipper ETYNR</v>
      </c>
      <c r="O1065" t="str">
        <f>IFERROR(VLOOKUP(A1065,'Sales Order'!A:I,9,FALSE),"Not Specified")</f>
        <v>Destination VNIAG</v>
      </c>
      <c r="P1065" t="str">
        <f>IFERROR(VLOOKUP(A1065,'Sales Order'!A:N,14,FALSE),"Not Specified")</f>
        <v>Brazil</v>
      </c>
      <c r="Q1065" t="str">
        <f>VLOOKUP(VLOOKUP(B1065,Product!A:C,3,FALSE),Supplier!A:B,2,FALSE)</f>
        <v>Supplier CIYNM</v>
      </c>
      <c r="R1065" t="str">
        <f>VLOOKUP(VLOOKUP(B1065,Product!A:C,3,FALSE),Supplier!A:I,9,FALSE)</f>
        <v>Singapore</v>
      </c>
      <c r="S1065" t="str">
        <f>IFERROR(IF(VLOOKUP(A1065,'Sales Order'!A:H,8,FALSE)&gt;100,"High Freight","Low Freight"),"Not Specified")</f>
        <v>Low Freight</v>
      </c>
      <c r="T1065">
        <f t="shared" si="33"/>
        <v>280</v>
      </c>
    </row>
    <row r="1066" spans="1:20">
      <c r="A1066" s="9">
        <v>10653</v>
      </c>
      <c r="B1066" s="6">
        <v>16</v>
      </c>
      <c r="C1066" s="6">
        <v>17.45</v>
      </c>
      <c r="D1066" s="6">
        <v>30</v>
      </c>
      <c r="E1066" s="18">
        <v>0.1</v>
      </c>
      <c r="F1066" s="6" t="str">
        <f>IFERROR(VLOOKUP(VLOOKUP(A1066,'Sales Order'!A:B,2,FALSE),Customer!A:C,3,FALSE),"Not Specified")</f>
        <v>Carlson, Jason</v>
      </c>
      <c r="G1066" s="6" t="str">
        <f t="shared" si="32"/>
        <v>Carlson Jason</v>
      </c>
      <c r="H1066" s="22" t="str">
        <f>IFERROR(VLOOKUP(VLOOKUP(A1066,'Sales Order'!A:C,3,FALSE),Employee!A:E,5,FALSE)&amp;" "&amp;VLOOKUP(VLOOKUP(A1066,'Sales Order'!A:C,3,FALSE),Employee!A:C,3,FALSE)&amp;" "&amp;VLOOKUP(VLOOKUP(A1066,'Sales Order'!A:C,3,FALSE),Employee!A:B,2,FALSE),"Not Specified")</f>
        <v>Ms. Sara Davis</v>
      </c>
      <c r="I1066" t="str">
        <f>IFERROR(VLOOKUP(VLOOKUP(A1066,'Sales Order'!A:C,3,FALSE),Employee!A:J,10,FALSE),"Not Specified")</f>
        <v>WA</v>
      </c>
      <c r="J1066" t="str">
        <f>VLOOKUP(B1066,Product!A:B,2,FALSE)</f>
        <v>Product PAFRH</v>
      </c>
      <c r="K1066" t="str">
        <f>VLOOKUP(VLOOKUP(B1066,Product!A:D,4,FALSE),Category!A:B,2,FALSE)</f>
        <v>Confections</v>
      </c>
      <c r="L1066" s="24">
        <f>IFERROR(VLOOKUP(A1066,'Sales Order'!A:D,4,FALSE),"")</f>
        <v>39327</v>
      </c>
      <c r="M1066" s="24">
        <f>IFERROR(VLOOKUP(A1066,'Sales Order'!A:F,6,FALSE),"")</f>
        <v>39344</v>
      </c>
      <c r="N1066" t="str">
        <f>IFERROR(VLOOKUP(VLOOKUP(A1066,'Sales Order'!A:G,7,FALSE),Shipper!A:B,2,FALSE),"Not Specified")</f>
        <v>Shipper GVSUA</v>
      </c>
      <c r="O1066" t="str">
        <f>IFERROR(VLOOKUP(A1066,'Sales Order'!A:I,9,FALSE),"Not Specified")</f>
        <v>Destination QOCBL</v>
      </c>
      <c r="P1066" t="str">
        <f>IFERROR(VLOOKUP(A1066,'Sales Order'!A:N,14,FALSE),"Not Specified")</f>
        <v>Germany</v>
      </c>
      <c r="Q1066" t="str">
        <f>VLOOKUP(VLOOKUP(B1066,Product!A:C,3,FALSE),Supplier!A:B,2,FALSE)</f>
        <v>Supplier GQRCV</v>
      </c>
      <c r="R1066" t="str">
        <f>VLOOKUP(VLOOKUP(B1066,Product!A:C,3,FALSE),Supplier!A:I,9,FALSE)</f>
        <v>Australia</v>
      </c>
      <c r="S1066" t="str">
        <f>IFERROR(IF(VLOOKUP(A1066,'Sales Order'!A:H,8,FALSE)&gt;100,"High Freight","Low Freight"),"Not Specified")</f>
        <v>Low Freight</v>
      </c>
      <c r="T1066">
        <f t="shared" si="33"/>
        <v>471.15000000000003</v>
      </c>
    </row>
    <row r="1067" spans="1:20">
      <c r="A1067" s="9">
        <v>10653</v>
      </c>
      <c r="B1067" s="6">
        <v>60</v>
      </c>
      <c r="C1067" s="6">
        <v>34</v>
      </c>
      <c r="D1067" s="6">
        <v>20</v>
      </c>
      <c r="E1067" s="18">
        <v>0.1</v>
      </c>
      <c r="F1067" s="6" t="str">
        <f>IFERROR(VLOOKUP(VLOOKUP(A1067,'Sales Order'!A:B,2,FALSE),Customer!A:C,3,FALSE),"Not Specified")</f>
        <v>Carlson, Jason</v>
      </c>
      <c r="G1067" s="6" t="str">
        <f t="shared" si="32"/>
        <v>Carlson Jason</v>
      </c>
      <c r="H1067" s="22" t="str">
        <f>IFERROR(VLOOKUP(VLOOKUP(A1067,'Sales Order'!A:C,3,FALSE),Employee!A:E,5,FALSE)&amp;" "&amp;VLOOKUP(VLOOKUP(A1067,'Sales Order'!A:C,3,FALSE),Employee!A:C,3,FALSE)&amp;" "&amp;VLOOKUP(VLOOKUP(A1067,'Sales Order'!A:C,3,FALSE),Employee!A:B,2,FALSE),"Not Specified")</f>
        <v>Ms. Sara Davis</v>
      </c>
      <c r="I1067" t="str">
        <f>IFERROR(VLOOKUP(VLOOKUP(A1067,'Sales Order'!A:C,3,FALSE),Employee!A:J,10,FALSE),"Not Specified")</f>
        <v>WA</v>
      </c>
      <c r="J1067" t="str">
        <f>VLOOKUP(B1067,Product!A:B,2,FALSE)</f>
        <v>Product WHBYK</v>
      </c>
      <c r="K1067" t="str">
        <f>VLOOKUP(VLOOKUP(B1067,Product!A:D,4,FALSE),Category!A:B,2,FALSE)</f>
        <v>Dairy Product</v>
      </c>
      <c r="L1067" s="24">
        <f>IFERROR(VLOOKUP(A1067,'Sales Order'!A:D,4,FALSE),"")</f>
        <v>39327</v>
      </c>
      <c r="M1067" s="24">
        <f>IFERROR(VLOOKUP(A1067,'Sales Order'!A:F,6,FALSE),"")</f>
        <v>39344</v>
      </c>
      <c r="N1067" t="str">
        <f>IFERROR(VLOOKUP(VLOOKUP(A1067,'Sales Order'!A:G,7,FALSE),Shipper!A:B,2,FALSE),"Not Specified")</f>
        <v>Shipper GVSUA</v>
      </c>
      <c r="O1067" t="str">
        <f>IFERROR(VLOOKUP(A1067,'Sales Order'!A:I,9,FALSE),"Not Specified")</f>
        <v>Destination QOCBL</v>
      </c>
      <c r="P1067" t="str">
        <f>IFERROR(VLOOKUP(A1067,'Sales Order'!A:N,14,FALSE),"Not Specified")</f>
        <v>Germany</v>
      </c>
      <c r="Q1067" t="str">
        <f>VLOOKUP(VLOOKUP(B1067,Product!A:C,3,FALSE),Supplier!A:B,2,FALSE)</f>
        <v>Supplier OAVQT</v>
      </c>
      <c r="R1067" t="str">
        <f>VLOOKUP(VLOOKUP(B1067,Product!A:C,3,FALSE),Supplier!A:I,9,FALSE)</f>
        <v>France</v>
      </c>
      <c r="S1067" t="str">
        <f>IFERROR(IF(VLOOKUP(A1067,'Sales Order'!A:H,8,FALSE)&gt;100,"High Freight","Low Freight"),"Not Specified")</f>
        <v>Low Freight</v>
      </c>
      <c r="T1067">
        <f t="shared" si="33"/>
        <v>612</v>
      </c>
    </row>
    <row r="1068" spans="1:20">
      <c r="A1068" s="9">
        <v>10654</v>
      </c>
      <c r="B1068" s="6">
        <v>4</v>
      </c>
      <c r="C1068" s="6">
        <v>22</v>
      </c>
      <c r="D1068" s="6">
        <v>12</v>
      </c>
      <c r="E1068" s="18">
        <v>0.1</v>
      </c>
      <c r="F1068" s="6" t="str">
        <f>IFERROR(VLOOKUP(VLOOKUP(A1068,'Sales Order'!A:B,2,FALSE),Customer!A:C,3,FALSE),"Not Specified")</f>
        <v>Higginbotham, Tom</v>
      </c>
      <c r="G1068" s="6" t="str">
        <f t="shared" si="32"/>
        <v>Higginbotham Tom</v>
      </c>
      <c r="H1068" s="22" t="str">
        <f>IFERROR(VLOOKUP(VLOOKUP(A1068,'Sales Order'!A:C,3,FALSE),Employee!A:E,5,FALSE)&amp;" "&amp;VLOOKUP(VLOOKUP(A1068,'Sales Order'!A:C,3,FALSE),Employee!A:C,3,FALSE)&amp;" "&amp;VLOOKUP(VLOOKUP(A1068,'Sales Order'!A:C,3,FALSE),Employee!A:B,2,FALSE),"Not Specified")</f>
        <v>Mr. Sven Buck</v>
      </c>
      <c r="I1068">
        <f>IFERROR(VLOOKUP(VLOOKUP(A1068,'Sales Order'!A:C,3,FALSE),Employee!A:J,10,FALSE),"Not Specified")</f>
        <v>0</v>
      </c>
      <c r="J1068" t="str">
        <f>VLOOKUP(B1068,Product!A:B,2,FALSE)</f>
        <v>Product KSBRM</v>
      </c>
      <c r="K1068" t="str">
        <f>VLOOKUP(VLOOKUP(B1068,Product!A:D,4,FALSE),Category!A:B,2,FALSE)</f>
        <v>Condiments</v>
      </c>
      <c r="L1068" s="24">
        <f>IFERROR(VLOOKUP(A1068,'Sales Order'!A:D,4,FALSE),"")</f>
        <v>39327</v>
      </c>
      <c r="M1068" s="24">
        <f>IFERROR(VLOOKUP(A1068,'Sales Order'!A:F,6,FALSE),"")</f>
        <v>39336</v>
      </c>
      <c r="N1068" t="str">
        <f>IFERROR(VLOOKUP(VLOOKUP(A1068,'Sales Order'!A:G,7,FALSE),Shipper!A:B,2,FALSE),"Not Specified")</f>
        <v>Shipper GVSUA</v>
      </c>
      <c r="O1068" t="str">
        <f>IFERROR(VLOOKUP(A1068,'Sales Order'!A:I,9,FALSE),"Not Specified")</f>
        <v>Ship to 5-C</v>
      </c>
      <c r="P1068" t="str">
        <f>IFERROR(VLOOKUP(A1068,'Sales Order'!A:N,14,FALSE),"Not Specified")</f>
        <v>Sweden</v>
      </c>
      <c r="Q1068" t="str">
        <f>VLOOKUP(VLOOKUP(B1068,Product!A:C,3,FALSE),Supplier!A:B,2,FALSE)</f>
        <v>Supplier VHQZD</v>
      </c>
      <c r="R1068" t="str">
        <f>VLOOKUP(VLOOKUP(B1068,Product!A:C,3,FALSE),Supplier!A:I,9,FALSE)</f>
        <v>USA</v>
      </c>
      <c r="S1068" t="str">
        <f>IFERROR(IF(VLOOKUP(A1068,'Sales Order'!A:H,8,FALSE)&gt;100,"High Freight","Low Freight"),"Not Specified")</f>
        <v>Low Freight</v>
      </c>
      <c r="T1068">
        <f t="shared" si="33"/>
        <v>237.6</v>
      </c>
    </row>
    <row r="1069" spans="1:20">
      <c r="A1069" s="9">
        <v>10654</v>
      </c>
      <c r="B1069" s="6">
        <v>39</v>
      </c>
      <c r="C1069" s="6">
        <v>18</v>
      </c>
      <c r="D1069" s="6">
        <v>20</v>
      </c>
      <c r="E1069" s="18">
        <v>0.1</v>
      </c>
      <c r="F1069" s="6" t="str">
        <f>IFERROR(VLOOKUP(VLOOKUP(A1069,'Sales Order'!A:B,2,FALSE),Customer!A:C,3,FALSE),"Not Specified")</f>
        <v>Higginbotham, Tom</v>
      </c>
      <c r="G1069" s="6" t="str">
        <f t="shared" si="32"/>
        <v>Higginbotham Tom</v>
      </c>
      <c r="H1069" s="22" t="str">
        <f>IFERROR(VLOOKUP(VLOOKUP(A1069,'Sales Order'!A:C,3,FALSE),Employee!A:E,5,FALSE)&amp;" "&amp;VLOOKUP(VLOOKUP(A1069,'Sales Order'!A:C,3,FALSE),Employee!A:C,3,FALSE)&amp;" "&amp;VLOOKUP(VLOOKUP(A1069,'Sales Order'!A:C,3,FALSE),Employee!A:B,2,FALSE),"Not Specified")</f>
        <v>Mr. Sven Buck</v>
      </c>
      <c r="I1069">
        <f>IFERROR(VLOOKUP(VLOOKUP(A1069,'Sales Order'!A:C,3,FALSE),Employee!A:J,10,FALSE),"Not Specified")</f>
        <v>0</v>
      </c>
      <c r="J1069" t="str">
        <f>VLOOKUP(B1069,Product!A:B,2,FALSE)</f>
        <v>Product LSOFL</v>
      </c>
      <c r="K1069" t="str">
        <f>VLOOKUP(VLOOKUP(B1069,Product!A:D,4,FALSE),Category!A:B,2,FALSE)</f>
        <v>Beverages</v>
      </c>
      <c r="L1069" s="24">
        <f>IFERROR(VLOOKUP(A1069,'Sales Order'!A:D,4,FALSE),"")</f>
        <v>39327</v>
      </c>
      <c r="M1069" s="24">
        <f>IFERROR(VLOOKUP(A1069,'Sales Order'!A:F,6,FALSE),"")</f>
        <v>39336</v>
      </c>
      <c r="N1069" t="str">
        <f>IFERROR(VLOOKUP(VLOOKUP(A1069,'Sales Order'!A:G,7,FALSE),Shipper!A:B,2,FALSE),"Not Specified")</f>
        <v>Shipper GVSUA</v>
      </c>
      <c r="O1069" t="str">
        <f>IFERROR(VLOOKUP(A1069,'Sales Order'!A:I,9,FALSE),"Not Specified")</f>
        <v>Ship to 5-C</v>
      </c>
      <c r="P1069" t="str">
        <f>IFERROR(VLOOKUP(A1069,'Sales Order'!A:N,14,FALSE),"Not Specified")</f>
        <v>Sweden</v>
      </c>
      <c r="Q1069" t="str">
        <f>VLOOKUP(VLOOKUP(B1069,Product!A:C,3,FALSE),Supplier!A:B,2,FALSE)</f>
        <v>Supplier LVJUA</v>
      </c>
      <c r="R1069" t="str">
        <f>VLOOKUP(VLOOKUP(B1069,Product!A:C,3,FALSE),Supplier!A:I,9,FALSE)</f>
        <v>France</v>
      </c>
      <c r="S1069" t="str">
        <f>IFERROR(IF(VLOOKUP(A1069,'Sales Order'!A:H,8,FALSE)&gt;100,"High Freight","Low Freight"),"Not Specified")</f>
        <v>Low Freight</v>
      </c>
      <c r="T1069">
        <f t="shared" si="33"/>
        <v>324</v>
      </c>
    </row>
    <row r="1070" spans="1:20">
      <c r="A1070" s="9">
        <v>10654</v>
      </c>
      <c r="B1070" s="6">
        <v>54</v>
      </c>
      <c r="C1070" s="6">
        <v>7.45</v>
      </c>
      <c r="D1070" s="6">
        <v>6</v>
      </c>
      <c r="E1070" s="18">
        <v>0.1</v>
      </c>
      <c r="F1070" s="6" t="str">
        <f>IFERROR(VLOOKUP(VLOOKUP(A1070,'Sales Order'!A:B,2,FALSE),Customer!A:C,3,FALSE),"Not Specified")</f>
        <v>Higginbotham, Tom</v>
      </c>
      <c r="G1070" s="6" t="str">
        <f t="shared" si="32"/>
        <v>Higginbotham Tom</v>
      </c>
      <c r="H1070" s="22" t="str">
        <f>IFERROR(VLOOKUP(VLOOKUP(A1070,'Sales Order'!A:C,3,FALSE),Employee!A:E,5,FALSE)&amp;" "&amp;VLOOKUP(VLOOKUP(A1070,'Sales Order'!A:C,3,FALSE),Employee!A:C,3,FALSE)&amp;" "&amp;VLOOKUP(VLOOKUP(A1070,'Sales Order'!A:C,3,FALSE),Employee!A:B,2,FALSE),"Not Specified")</f>
        <v>Mr. Sven Buck</v>
      </c>
      <c r="I1070">
        <f>IFERROR(VLOOKUP(VLOOKUP(A1070,'Sales Order'!A:C,3,FALSE),Employee!A:J,10,FALSE),"Not Specified")</f>
        <v>0</v>
      </c>
      <c r="J1070" t="str">
        <f>VLOOKUP(B1070,Product!A:B,2,FALSE)</f>
        <v>Product QAQRL</v>
      </c>
      <c r="K1070" t="str">
        <f>VLOOKUP(VLOOKUP(B1070,Product!A:D,4,FALSE),Category!A:B,2,FALSE)</f>
        <v>Meat/Poultry</v>
      </c>
      <c r="L1070" s="24">
        <f>IFERROR(VLOOKUP(A1070,'Sales Order'!A:D,4,FALSE),"")</f>
        <v>39327</v>
      </c>
      <c r="M1070" s="24">
        <f>IFERROR(VLOOKUP(A1070,'Sales Order'!A:F,6,FALSE),"")</f>
        <v>39336</v>
      </c>
      <c r="N1070" t="str">
        <f>IFERROR(VLOOKUP(VLOOKUP(A1070,'Sales Order'!A:G,7,FALSE),Shipper!A:B,2,FALSE),"Not Specified")</f>
        <v>Shipper GVSUA</v>
      </c>
      <c r="O1070" t="str">
        <f>IFERROR(VLOOKUP(A1070,'Sales Order'!A:I,9,FALSE),"Not Specified")</f>
        <v>Ship to 5-C</v>
      </c>
      <c r="P1070" t="str">
        <f>IFERROR(VLOOKUP(A1070,'Sales Order'!A:N,14,FALSE),"Not Specified")</f>
        <v>Sweden</v>
      </c>
      <c r="Q1070" t="str">
        <f>VLOOKUP(VLOOKUP(B1070,Product!A:C,3,FALSE),Supplier!A:B,2,FALSE)</f>
        <v>Supplier ERVYZ</v>
      </c>
      <c r="R1070" t="str">
        <f>VLOOKUP(VLOOKUP(B1070,Product!A:C,3,FALSE),Supplier!A:I,9,FALSE)</f>
        <v>Canada</v>
      </c>
      <c r="S1070" t="str">
        <f>IFERROR(IF(VLOOKUP(A1070,'Sales Order'!A:H,8,FALSE)&gt;100,"High Freight","Low Freight"),"Not Specified")</f>
        <v>Low Freight</v>
      </c>
      <c r="T1070">
        <f t="shared" si="33"/>
        <v>40.230000000000004</v>
      </c>
    </row>
    <row r="1071" spans="1:20">
      <c r="A1071" s="9">
        <v>10655</v>
      </c>
      <c r="B1071" s="6">
        <v>41</v>
      </c>
      <c r="C1071" s="6">
        <v>9.65</v>
      </c>
      <c r="D1071" s="6">
        <v>20</v>
      </c>
      <c r="E1071" s="18">
        <v>0.2</v>
      </c>
      <c r="F1071" s="6" t="str">
        <f>IFERROR(VLOOKUP(VLOOKUP(A1071,'Sales Order'!A:B,2,FALSE),Customer!A:C,3,FALSE),"Not Specified")</f>
        <v>Voss, Florian</v>
      </c>
      <c r="G1071" s="6" t="str">
        <f t="shared" si="32"/>
        <v>Voss Florian</v>
      </c>
      <c r="H1071" s="22" t="str">
        <f>IFERROR(VLOOKUP(VLOOKUP(A1071,'Sales Order'!A:C,3,FALSE),Employee!A:E,5,FALSE)&amp;" "&amp;VLOOKUP(VLOOKUP(A1071,'Sales Order'!A:C,3,FALSE),Employee!A:C,3,FALSE)&amp;" "&amp;VLOOKUP(VLOOKUP(A1071,'Sales Order'!A:C,3,FALSE),Employee!A:B,2,FALSE),"Not Specified")</f>
        <v>Ms. Sara Davis</v>
      </c>
      <c r="I1071" t="str">
        <f>IFERROR(VLOOKUP(VLOOKUP(A1071,'Sales Order'!A:C,3,FALSE),Employee!A:J,10,FALSE),"Not Specified")</f>
        <v>WA</v>
      </c>
      <c r="J1071" t="str">
        <f>VLOOKUP(B1071,Product!A:B,2,FALSE)</f>
        <v>Product TTEEX</v>
      </c>
      <c r="K1071" t="str">
        <f>VLOOKUP(VLOOKUP(B1071,Product!A:D,4,FALSE),Category!A:B,2,FALSE)</f>
        <v>Seafood</v>
      </c>
      <c r="L1071" s="24">
        <f>IFERROR(VLOOKUP(A1071,'Sales Order'!A:D,4,FALSE),"")</f>
        <v>39328</v>
      </c>
      <c r="M1071" s="24">
        <f>IFERROR(VLOOKUP(A1071,'Sales Order'!A:F,6,FALSE),"")</f>
        <v>39336</v>
      </c>
      <c r="N1071" t="str">
        <f>IFERROR(VLOOKUP(VLOOKUP(A1071,'Sales Order'!A:G,7,FALSE),Shipper!A:B,2,FALSE),"Not Specified")</f>
        <v>Shipper ETYNR</v>
      </c>
      <c r="O1071" t="str">
        <f>IFERROR(VLOOKUP(A1071,'Sales Order'!A:I,9,FALSE),"Not Specified")</f>
        <v>Ship to 66-B</v>
      </c>
      <c r="P1071" t="str">
        <f>IFERROR(VLOOKUP(A1071,'Sales Order'!A:N,14,FALSE),"Not Specified")</f>
        <v>Italy</v>
      </c>
      <c r="Q1071" t="str">
        <f>VLOOKUP(VLOOKUP(B1071,Product!A:C,3,FALSE),Supplier!A:B,2,FALSE)</f>
        <v>Supplier JDNUG</v>
      </c>
      <c r="R1071" t="str">
        <f>VLOOKUP(VLOOKUP(B1071,Product!A:C,3,FALSE),Supplier!A:I,9,FALSE)</f>
        <v>USA</v>
      </c>
      <c r="S1071" t="str">
        <f>IFERROR(IF(VLOOKUP(A1071,'Sales Order'!A:H,8,FALSE)&gt;100,"High Freight","Low Freight"),"Not Specified")</f>
        <v>Low Freight</v>
      </c>
      <c r="T1071">
        <f t="shared" si="33"/>
        <v>154.4</v>
      </c>
    </row>
    <row r="1072" spans="1:20">
      <c r="A1072" s="9">
        <v>10656</v>
      </c>
      <c r="B1072" s="6">
        <v>14</v>
      </c>
      <c r="C1072" s="6">
        <v>23.25</v>
      </c>
      <c r="D1072" s="6">
        <v>3</v>
      </c>
      <c r="E1072" s="18">
        <v>0.1</v>
      </c>
      <c r="F1072" s="6" t="str">
        <f>IFERROR(VLOOKUP(VLOOKUP(A1072,'Sales Order'!A:B,2,FALSE),Customer!A:C,3,FALSE),"Not Specified")</f>
        <v>Krishnan, Venky</v>
      </c>
      <c r="G1072" s="6" t="str">
        <f t="shared" si="32"/>
        <v>Krishnan Venky</v>
      </c>
      <c r="H1072" s="22" t="str">
        <f>IFERROR(VLOOKUP(VLOOKUP(A1072,'Sales Order'!A:C,3,FALSE),Employee!A:E,5,FALSE)&amp;" "&amp;VLOOKUP(VLOOKUP(A1072,'Sales Order'!A:C,3,FALSE),Employee!A:C,3,FALSE)&amp;" "&amp;VLOOKUP(VLOOKUP(A1072,'Sales Order'!A:C,3,FALSE),Employee!A:B,2,FALSE),"Not Specified")</f>
        <v>Mr. Paul Suurs</v>
      </c>
      <c r="I1072">
        <f>IFERROR(VLOOKUP(VLOOKUP(A1072,'Sales Order'!A:C,3,FALSE),Employee!A:J,10,FALSE),"Not Specified")</f>
        <v>0</v>
      </c>
      <c r="J1072" t="str">
        <f>VLOOKUP(B1072,Product!A:B,2,FALSE)</f>
        <v>Product PWCJB</v>
      </c>
      <c r="K1072" t="str">
        <f>VLOOKUP(VLOOKUP(B1072,Product!A:D,4,FALSE),Category!A:B,2,FALSE)</f>
        <v>Produce</v>
      </c>
      <c r="L1072" s="24">
        <f>IFERROR(VLOOKUP(A1072,'Sales Order'!A:D,4,FALSE),"")</f>
        <v>39329</v>
      </c>
      <c r="M1072" s="24">
        <f>IFERROR(VLOOKUP(A1072,'Sales Order'!A:F,6,FALSE),"")</f>
        <v>39335</v>
      </c>
      <c r="N1072" t="str">
        <f>IFERROR(VLOOKUP(VLOOKUP(A1072,'Sales Order'!A:G,7,FALSE),Shipper!A:B,2,FALSE),"Not Specified")</f>
        <v>Shipper GVSUA</v>
      </c>
      <c r="O1072" t="str">
        <f>IFERROR(VLOOKUP(A1072,'Sales Order'!A:I,9,FALSE),"Not Specified")</f>
        <v>Destination AVQUS</v>
      </c>
      <c r="P1072" t="str">
        <f>IFERROR(VLOOKUP(A1072,'Sales Order'!A:N,14,FALSE),"Not Specified")</f>
        <v>USA</v>
      </c>
      <c r="Q1072" t="str">
        <f>VLOOKUP(VLOOKUP(B1072,Product!A:C,3,FALSE),Supplier!A:B,2,FALSE)</f>
        <v>Supplier QWUSF</v>
      </c>
      <c r="R1072" t="str">
        <f>VLOOKUP(VLOOKUP(B1072,Product!A:C,3,FALSE),Supplier!A:I,9,FALSE)</f>
        <v>Japan</v>
      </c>
      <c r="S1072" t="str">
        <f>IFERROR(IF(VLOOKUP(A1072,'Sales Order'!A:H,8,FALSE)&gt;100,"High Freight","Low Freight"),"Not Specified")</f>
        <v>Low Freight</v>
      </c>
      <c r="T1072">
        <f t="shared" si="33"/>
        <v>62.774999999999999</v>
      </c>
    </row>
    <row r="1073" spans="1:20">
      <c r="A1073" s="9">
        <v>10656</v>
      </c>
      <c r="B1073" s="6">
        <v>44</v>
      </c>
      <c r="C1073" s="6">
        <v>19.45</v>
      </c>
      <c r="D1073" s="6">
        <v>28</v>
      </c>
      <c r="E1073" s="18">
        <v>0.1</v>
      </c>
      <c r="F1073" s="6" t="str">
        <f>IFERROR(VLOOKUP(VLOOKUP(A1073,'Sales Order'!A:B,2,FALSE),Customer!A:C,3,FALSE),"Not Specified")</f>
        <v>Krishnan, Venky</v>
      </c>
      <c r="G1073" s="6" t="str">
        <f t="shared" si="32"/>
        <v>Krishnan Venky</v>
      </c>
      <c r="H1073" s="22" t="str">
        <f>IFERROR(VLOOKUP(VLOOKUP(A1073,'Sales Order'!A:C,3,FALSE),Employee!A:E,5,FALSE)&amp;" "&amp;VLOOKUP(VLOOKUP(A1073,'Sales Order'!A:C,3,FALSE),Employee!A:C,3,FALSE)&amp;" "&amp;VLOOKUP(VLOOKUP(A1073,'Sales Order'!A:C,3,FALSE),Employee!A:B,2,FALSE),"Not Specified")</f>
        <v>Mr. Paul Suurs</v>
      </c>
      <c r="I1073">
        <f>IFERROR(VLOOKUP(VLOOKUP(A1073,'Sales Order'!A:C,3,FALSE),Employee!A:J,10,FALSE),"Not Specified")</f>
        <v>0</v>
      </c>
      <c r="J1073" t="str">
        <f>VLOOKUP(B1073,Product!A:B,2,FALSE)</f>
        <v>Product VJIEO</v>
      </c>
      <c r="K1073" t="str">
        <f>VLOOKUP(VLOOKUP(B1073,Product!A:D,4,FALSE),Category!A:B,2,FALSE)</f>
        <v>Condiments</v>
      </c>
      <c r="L1073" s="24">
        <f>IFERROR(VLOOKUP(A1073,'Sales Order'!A:D,4,FALSE),"")</f>
        <v>39329</v>
      </c>
      <c r="M1073" s="24">
        <f>IFERROR(VLOOKUP(A1073,'Sales Order'!A:F,6,FALSE),"")</f>
        <v>39335</v>
      </c>
      <c r="N1073" t="str">
        <f>IFERROR(VLOOKUP(VLOOKUP(A1073,'Sales Order'!A:G,7,FALSE),Shipper!A:B,2,FALSE),"Not Specified")</f>
        <v>Shipper GVSUA</v>
      </c>
      <c r="O1073" t="str">
        <f>IFERROR(VLOOKUP(A1073,'Sales Order'!A:I,9,FALSE),"Not Specified")</f>
        <v>Destination AVQUS</v>
      </c>
      <c r="P1073" t="str">
        <f>IFERROR(VLOOKUP(A1073,'Sales Order'!A:N,14,FALSE),"Not Specified")</f>
        <v>USA</v>
      </c>
      <c r="Q1073" t="str">
        <f>VLOOKUP(VLOOKUP(B1073,Product!A:C,3,FALSE),Supplier!A:B,2,FALSE)</f>
        <v>Supplier CIYNM</v>
      </c>
      <c r="R1073" t="str">
        <f>VLOOKUP(VLOOKUP(B1073,Product!A:C,3,FALSE),Supplier!A:I,9,FALSE)</f>
        <v>Singapore</v>
      </c>
      <c r="S1073" t="str">
        <f>IFERROR(IF(VLOOKUP(A1073,'Sales Order'!A:H,8,FALSE)&gt;100,"High Freight","Low Freight"),"Not Specified")</f>
        <v>Low Freight</v>
      </c>
      <c r="T1073">
        <f t="shared" si="33"/>
        <v>490.14000000000004</v>
      </c>
    </row>
    <row r="1074" spans="1:20">
      <c r="A1074" s="9">
        <v>10656</v>
      </c>
      <c r="B1074" s="6">
        <v>47</v>
      </c>
      <c r="C1074" s="6">
        <v>9.5</v>
      </c>
      <c r="D1074" s="6">
        <v>6</v>
      </c>
      <c r="E1074" s="18">
        <v>0.1</v>
      </c>
      <c r="F1074" s="6" t="str">
        <f>IFERROR(VLOOKUP(VLOOKUP(A1074,'Sales Order'!A:B,2,FALSE),Customer!A:C,3,FALSE),"Not Specified")</f>
        <v>Krishnan, Venky</v>
      </c>
      <c r="G1074" s="6" t="str">
        <f t="shared" si="32"/>
        <v>Krishnan Venky</v>
      </c>
      <c r="H1074" s="22" t="str">
        <f>IFERROR(VLOOKUP(VLOOKUP(A1074,'Sales Order'!A:C,3,FALSE),Employee!A:E,5,FALSE)&amp;" "&amp;VLOOKUP(VLOOKUP(A1074,'Sales Order'!A:C,3,FALSE),Employee!A:C,3,FALSE)&amp;" "&amp;VLOOKUP(VLOOKUP(A1074,'Sales Order'!A:C,3,FALSE),Employee!A:B,2,FALSE),"Not Specified")</f>
        <v>Mr. Paul Suurs</v>
      </c>
      <c r="I1074">
        <f>IFERROR(VLOOKUP(VLOOKUP(A1074,'Sales Order'!A:C,3,FALSE),Employee!A:J,10,FALSE),"Not Specified")</f>
        <v>0</v>
      </c>
      <c r="J1074" t="str">
        <f>VLOOKUP(B1074,Product!A:B,2,FALSE)</f>
        <v>Product EZZPR</v>
      </c>
      <c r="K1074" t="str">
        <f>VLOOKUP(VLOOKUP(B1074,Product!A:D,4,FALSE),Category!A:B,2,FALSE)</f>
        <v>Confections</v>
      </c>
      <c r="L1074" s="24">
        <f>IFERROR(VLOOKUP(A1074,'Sales Order'!A:D,4,FALSE),"")</f>
        <v>39329</v>
      </c>
      <c r="M1074" s="24">
        <f>IFERROR(VLOOKUP(A1074,'Sales Order'!A:F,6,FALSE),"")</f>
        <v>39335</v>
      </c>
      <c r="N1074" t="str">
        <f>IFERROR(VLOOKUP(VLOOKUP(A1074,'Sales Order'!A:G,7,FALSE),Shipper!A:B,2,FALSE),"Not Specified")</f>
        <v>Shipper GVSUA</v>
      </c>
      <c r="O1074" t="str">
        <f>IFERROR(VLOOKUP(A1074,'Sales Order'!A:I,9,FALSE),"Not Specified")</f>
        <v>Destination AVQUS</v>
      </c>
      <c r="P1074" t="str">
        <f>IFERROR(VLOOKUP(A1074,'Sales Order'!A:N,14,FALSE),"Not Specified")</f>
        <v>USA</v>
      </c>
      <c r="Q1074" t="str">
        <f>VLOOKUP(VLOOKUP(B1074,Product!A:C,3,FALSE),Supplier!A:B,2,FALSE)</f>
        <v>Supplier FNUXM</v>
      </c>
      <c r="R1074" t="str">
        <f>VLOOKUP(VLOOKUP(B1074,Product!A:C,3,FALSE),Supplier!A:I,9,FALSE)</f>
        <v>Netherlands</v>
      </c>
      <c r="S1074" t="str">
        <f>IFERROR(IF(VLOOKUP(A1074,'Sales Order'!A:H,8,FALSE)&gt;100,"High Freight","Low Freight"),"Not Specified")</f>
        <v>Low Freight</v>
      </c>
      <c r="T1074">
        <f t="shared" si="33"/>
        <v>51.300000000000004</v>
      </c>
    </row>
    <row r="1075" spans="1:20">
      <c r="A1075" s="9">
        <v>10657</v>
      </c>
      <c r="B1075" s="6">
        <v>15</v>
      </c>
      <c r="C1075" s="6">
        <v>15.5</v>
      </c>
      <c r="D1075" s="6">
        <v>50</v>
      </c>
      <c r="E1075" s="18">
        <v>0</v>
      </c>
      <c r="F1075" s="6" t="str">
        <f>IFERROR(VLOOKUP(VLOOKUP(A1075,'Sales Order'!A:B,2,FALSE),Customer!A:C,3,FALSE),"Not Specified")</f>
        <v>Navarro, Tomás</v>
      </c>
      <c r="G1075" s="6" t="str">
        <f t="shared" si="32"/>
        <v>Navarro Tomás</v>
      </c>
      <c r="H1075" s="22" t="str">
        <f>IFERROR(VLOOKUP(VLOOKUP(A1075,'Sales Order'!A:C,3,FALSE),Employee!A:E,5,FALSE)&amp;" "&amp;VLOOKUP(VLOOKUP(A1075,'Sales Order'!A:C,3,FALSE),Employee!A:C,3,FALSE)&amp;" "&amp;VLOOKUP(VLOOKUP(A1075,'Sales Order'!A:C,3,FALSE),Employee!A:B,2,FALSE),"Not Specified")</f>
        <v>Dr. Don Funk</v>
      </c>
      <c r="I1075" t="str">
        <f>IFERROR(VLOOKUP(VLOOKUP(A1075,'Sales Order'!A:C,3,FALSE),Employee!A:J,10,FALSE),"Not Specified")</f>
        <v>WA</v>
      </c>
      <c r="J1075" t="str">
        <f>VLOOKUP(B1075,Product!A:B,2,FALSE)</f>
        <v>Product KSZOI</v>
      </c>
      <c r="K1075" t="str">
        <f>VLOOKUP(VLOOKUP(B1075,Product!A:D,4,FALSE),Category!A:B,2,FALSE)</f>
        <v>Condiments</v>
      </c>
      <c r="L1075" s="24">
        <f>IFERROR(VLOOKUP(A1075,'Sales Order'!A:D,4,FALSE),"")</f>
        <v>39329</v>
      </c>
      <c r="M1075" s="24">
        <f>IFERROR(VLOOKUP(A1075,'Sales Order'!A:F,6,FALSE),"")</f>
        <v>39340</v>
      </c>
      <c r="N1075" t="str">
        <f>IFERROR(VLOOKUP(VLOOKUP(A1075,'Sales Order'!A:G,7,FALSE),Shipper!A:B,2,FALSE),"Not Specified")</f>
        <v>Shipper ETYNR</v>
      </c>
      <c r="O1075" t="str">
        <f>IFERROR(VLOOKUP(A1075,'Sales Order'!A:I,9,FALSE),"Not Specified")</f>
        <v>Ship to 71-A</v>
      </c>
      <c r="P1075" t="str">
        <f>IFERROR(VLOOKUP(A1075,'Sales Order'!A:N,14,FALSE),"Not Specified")</f>
        <v>USA</v>
      </c>
      <c r="Q1075" t="str">
        <f>VLOOKUP(VLOOKUP(B1075,Product!A:C,3,FALSE),Supplier!A:B,2,FALSE)</f>
        <v>Supplier QWUSF</v>
      </c>
      <c r="R1075" t="str">
        <f>VLOOKUP(VLOOKUP(B1075,Product!A:C,3,FALSE),Supplier!A:I,9,FALSE)</f>
        <v>Japan</v>
      </c>
      <c r="S1075" t="str">
        <f>IFERROR(IF(VLOOKUP(A1075,'Sales Order'!A:H,8,FALSE)&gt;100,"High Freight","Low Freight"),"Not Specified")</f>
        <v>High Freight</v>
      </c>
      <c r="T1075">
        <f t="shared" si="33"/>
        <v>775</v>
      </c>
    </row>
    <row r="1076" spans="1:20">
      <c r="A1076" s="9">
        <v>10657</v>
      </c>
      <c r="B1076" s="6">
        <v>41</v>
      </c>
      <c r="C1076" s="6">
        <v>9.65</v>
      </c>
      <c r="D1076" s="6">
        <v>24</v>
      </c>
      <c r="E1076" s="18">
        <v>0</v>
      </c>
      <c r="F1076" s="6" t="str">
        <f>IFERROR(VLOOKUP(VLOOKUP(A1076,'Sales Order'!A:B,2,FALSE),Customer!A:C,3,FALSE),"Not Specified")</f>
        <v>Navarro, Tomás</v>
      </c>
      <c r="G1076" s="6" t="str">
        <f t="shared" si="32"/>
        <v>Navarro Tomás</v>
      </c>
      <c r="H1076" s="22" t="str">
        <f>IFERROR(VLOOKUP(VLOOKUP(A1076,'Sales Order'!A:C,3,FALSE),Employee!A:E,5,FALSE)&amp;" "&amp;VLOOKUP(VLOOKUP(A1076,'Sales Order'!A:C,3,FALSE),Employee!A:C,3,FALSE)&amp;" "&amp;VLOOKUP(VLOOKUP(A1076,'Sales Order'!A:C,3,FALSE),Employee!A:B,2,FALSE),"Not Specified")</f>
        <v>Dr. Don Funk</v>
      </c>
      <c r="I1076" t="str">
        <f>IFERROR(VLOOKUP(VLOOKUP(A1076,'Sales Order'!A:C,3,FALSE),Employee!A:J,10,FALSE),"Not Specified")</f>
        <v>WA</v>
      </c>
      <c r="J1076" t="str">
        <f>VLOOKUP(B1076,Product!A:B,2,FALSE)</f>
        <v>Product TTEEX</v>
      </c>
      <c r="K1076" t="str">
        <f>VLOOKUP(VLOOKUP(B1076,Product!A:D,4,FALSE),Category!A:B,2,FALSE)</f>
        <v>Seafood</v>
      </c>
      <c r="L1076" s="24">
        <f>IFERROR(VLOOKUP(A1076,'Sales Order'!A:D,4,FALSE),"")</f>
        <v>39329</v>
      </c>
      <c r="M1076" s="24">
        <f>IFERROR(VLOOKUP(A1076,'Sales Order'!A:F,6,FALSE),"")</f>
        <v>39340</v>
      </c>
      <c r="N1076" t="str">
        <f>IFERROR(VLOOKUP(VLOOKUP(A1076,'Sales Order'!A:G,7,FALSE),Shipper!A:B,2,FALSE),"Not Specified")</f>
        <v>Shipper ETYNR</v>
      </c>
      <c r="O1076" t="str">
        <f>IFERROR(VLOOKUP(A1076,'Sales Order'!A:I,9,FALSE),"Not Specified")</f>
        <v>Ship to 71-A</v>
      </c>
      <c r="P1076" t="str">
        <f>IFERROR(VLOOKUP(A1076,'Sales Order'!A:N,14,FALSE),"Not Specified")</f>
        <v>USA</v>
      </c>
      <c r="Q1076" t="str">
        <f>VLOOKUP(VLOOKUP(B1076,Product!A:C,3,FALSE),Supplier!A:B,2,FALSE)</f>
        <v>Supplier JDNUG</v>
      </c>
      <c r="R1076" t="str">
        <f>VLOOKUP(VLOOKUP(B1076,Product!A:C,3,FALSE),Supplier!A:I,9,FALSE)</f>
        <v>USA</v>
      </c>
      <c r="S1076" t="str">
        <f>IFERROR(IF(VLOOKUP(A1076,'Sales Order'!A:H,8,FALSE)&gt;100,"High Freight","Low Freight"),"Not Specified")</f>
        <v>High Freight</v>
      </c>
      <c r="T1076">
        <f t="shared" si="33"/>
        <v>231.60000000000002</v>
      </c>
    </row>
    <row r="1077" spans="1:20">
      <c r="A1077" s="9">
        <v>10657</v>
      </c>
      <c r="B1077" s="6">
        <v>46</v>
      </c>
      <c r="C1077" s="6">
        <v>12</v>
      </c>
      <c r="D1077" s="6">
        <v>45</v>
      </c>
      <c r="E1077" s="18">
        <v>0</v>
      </c>
      <c r="F1077" s="6" t="str">
        <f>IFERROR(VLOOKUP(VLOOKUP(A1077,'Sales Order'!A:B,2,FALSE),Customer!A:C,3,FALSE),"Not Specified")</f>
        <v>Navarro, Tomás</v>
      </c>
      <c r="G1077" s="6" t="str">
        <f t="shared" si="32"/>
        <v>Navarro Tomás</v>
      </c>
      <c r="H1077" s="22" t="str">
        <f>IFERROR(VLOOKUP(VLOOKUP(A1077,'Sales Order'!A:C,3,FALSE),Employee!A:E,5,FALSE)&amp;" "&amp;VLOOKUP(VLOOKUP(A1077,'Sales Order'!A:C,3,FALSE),Employee!A:C,3,FALSE)&amp;" "&amp;VLOOKUP(VLOOKUP(A1077,'Sales Order'!A:C,3,FALSE),Employee!A:B,2,FALSE),"Not Specified")</f>
        <v>Dr. Don Funk</v>
      </c>
      <c r="I1077" t="str">
        <f>IFERROR(VLOOKUP(VLOOKUP(A1077,'Sales Order'!A:C,3,FALSE),Employee!A:J,10,FALSE),"Not Specified")</f>
        <v>WA</v>
      </c>
      <c r="J1077" t="str">
        <f>VLOOKUP(B1077,Product!A:B,2,FALSE)</f>
        <v>Product CBRRL</v>
      </c>
      <c r="K1077" t="str">
        <f>VLOOKUP(VLOOKUP(B1077,Product!A:D,4,FALSE),Category!A:B,2,FALSE)</f>
        <v>Seafood</v>
      </c>
      <c r="L1077" s="24">
        <f>IFERROR(VLOOKUP(A1077,'Sales Order'!A:D,4,FALSE),"")</f>
        <v>39329</v>
      </c>
      <c r="M1077" s="24">
        <f>IFERROR(VLOOKUP(A1077,'Sales Order'!A:F,6,FALSE),"")</f>
        <v>39340</v>
      </c>
      <c r="N1077" t="str">
        <f>IFERROR(VLOOKUP(VLOOKUP(A1077,'Sales Order'!A:G,7,FALSE),Shipper!A:B,2,FALSE),"Not Specified")</f>
        <v>Shipper ETYNR</v>
      </c>
      <c r="O1077" t="str">
        <f>IFERROR(VLOOKUP(A1077,'Sales Order'!A:I,9,FALSE),"Not Specified")</f>
        <v>Ship to 71-A</v>
      </c>
      <c r="P1077" t="str">
        <f>IFERROR(VLOOKUP(A1077,'Sales Order'!A:N,14,FALSE),"Not Specified")</f>
        <v>USA</v>
      </c>
      <c r="Q1077" t="str">
        <f>VLOOKUP(VLOOKUP(B1077,Product!A:C,3,FALSE),Supplier!A:B,2,FALSE)</f>
        <v>Supplier XOXZA</v>
      </c>
      <c r="R1077" t="str">
        <f>VLOOKUP(VLOOKUP(B1077,Product!A:C,3,FALSE),Supplier!A:I,9,FALSE)</f>
        <v>Denmark</v>
      </c>
      <c r="S1077" t="str">
        <f>IFERROR(IF(VLOOKUP(A1077,'Sales Order'!A:H,8,FALSE)&gt;100,"High Freight","Low Freight"),"Not Specified")</f>
        <v>High Freight</v>
      </c>
      <c r="T1077">
        <f t="shared" si="33"/>
        <v>540</v>
      </c>
    </row>
    <row r="1078" spans="1:20">
      <c r="A1078" s="9">
        <v>10657</v>
      </c>
      <c r="B1078" s="6">
        <v>47</v>
      </c>
      <c r="C1078" s="6">
        <v>9.5</v>
      </c>
      <c r="D1078" s="6">
        <v>10</v>
      </c>
      <c r="E1078" s="18">
        <v>0</v>
      </c>
      <c r="F1078" s="6" t="str">
        <f>IFERROR(VLOOKUP(VLOOKUP(A1078,'Sales Order'!A:B,2,FALSE),Customer!A:C,3,FALSE),"Not Specified")</f>
        <v>Navarro, Tomás</v>
      </c>
      <c r="G1078" s="6" t="str">
        <f t="shared" si="32"/>
        <v>Navarro Tomás</v>
      </c>
      <c r="H1078" s="22" t="str">
        <f>IFERROR(VLOOKUP(VLOOKUP(A1078,'Sales Order'!A:C,3,FALSE),Employee!A:E,5,FALSE)&amp;" "&amp;VLOOKUP(VLOOKUP(A1078,'Sales Order'!A:C,3,FALSE),Employee!A:C,3,FALSE)&amp;" "&amp;VLOOKUP(VLOOKUP(A1078,'Sales Order'!A:C,3,FALSE),Employee!A:B,2,FALSE),"Not Specified")</f>
        <v>Dr. Don Funk</v>
      </c>
      <c r="I1078" t="str">
        <f>IFERROR(VLOOKUP(VLOOKUP(A1078,'Sales Order'!A:C,3,FALSE),Employee!A:J,10,FALSE),"Not Specified")</f>
        <v>WA</v>
      </c>
      <c r="J1078" t="str">
        <f>VLOOKUP(B1078,Product!A:B,2,FALSE)</f>
        <v>Product EZZPR</v>
      </c>
      <c r="K1078" t="str">
        <f>VLOOKUP(VLOOKUP(B1078,Product!A:D,4,FALSE),Category!A:B,2,FALSE)</f>
        <v>Confections</v>
      </c>
      <c r="L1078" s="24">
        <f>IFERROR(VLOOKUP(A1078,'Sales Order'!A:D,4,FALSE),"")</f>
        <v>39329</v>
      </c>
      <c r="M1078" s="24">
        <f>IFERROR(VLOOKUP(A1078,'Sales Order'!A:F,6,FALSE),"")</f>
        <v>39340</v>
      </c>
      <c r="N1078" t="str">
        <f>IFERROR(VLOOKUP(VLOOKUP(A1078,'Sales Order'!A:G,7,FALSE),Shipper!A:B,2,FALSE),"Not Specified")</f>
        <v>Shipper ETYNR</v>
      </c>
      <c r="O1078" t="str">
        <f>IFERROR(VLOOKUP(A1078,'Sales Order'!A:I,9,FALSE),"Not Specified")</f>
        <v>Ship to 71-A</v>
      </c>
      <c r="P1078" t="str">
        <f>IFERROR(VLOOKUP(A1078,'Sales Order'!A:N,14,FALSE),"Not Specified")</f>
        <v>USA</v>
      </c>
      <c r="Q1078" t="str">
        <f>VLOOKUP(VLOOKUP(B1078,Product!A:C,3,FALSE),Supplier!A:B,2,FALSE)</f>
        <v>Supplier FNUXM</v>
      </c>
      <c r="R1078" t="str">
        <f>VLOOKUP(VLOOKUP(B1078,Product!A:C,3,FALSE),Supplier!A:I,9,FALSE)</f>
        <v>Netherlands</v>
      </c>
      <c r="S1078" t="str">
        <f>IFERROR(IF(VLOOKUP(A1078,'Sales Order'!A:H,8,FALSE)&gt;100,"High Freight","Low Freight"),"Not Specified")</f>
        <v>High Freight</v>
      </c>
      <c r="T1078">
        <f t="shared" si="33"/>
        <v>95</v>
      </c>
    </row>
    <row r="1079" spans="1:20">
      <c r="A1079" s="9">
        <v>10657</v>
      </c>
      <c r="B1079" s="6">
        <v>56</v>
      </c>
      <c r="C1079" s="6">
        <v>38</v>
      </c>
      <c r="D1079" s="6">
        <v>45</v>
      </c>
      <c r="E1079" s="18">
        <v>0</v>
      </c>
      <c r="F1079" s="6" t="str">
        <f>IFERROR(VLOOKUP(VLOOKUP(A1079,'Sales Order'!A:B,2,FALSE),Customer!A:C,3,FALSE),"Not Specified")</f>
        <v>Navarro, Tomás</v>
      </c>
      <c r="G1079" s="6" t="str">
        <f t="shared" si="32"/>
        <v>Navarro Tomás</v>
      </c>
      <c r="H1079" s="22" t="str">
        <f>IFERROR(VLOOKUP(VLOOKUP(A1079,'Sales Order'!A:C,3,FALSE),Employee!A:E,5,FALSE)&amp;" "&amp;VLOOKUP(VLOOKUP(A1079,'Sales Order'!A:C,3,FALSE),Employee!A:C,3,FALSE)&amp;" "&amp;VLOOKUP(VLOOKUP(A1079,'Sales Order'!A:C,3,FALSE),Employee!A:B,2,FALSE),"Not Specified")</f>
        <v>Dr. Don Funk</v>
      </c>
      <c r="I1079" t="str">
        <f>IFERROR(VLOOKUP(VLOOKUP(A1079,'Sales Order'!A:C,3,FALSE),Employee!A:J,10,FALSE),"Not Specified")</f>
        <v>WA</v>
      </c>
      <c r="J1079" t="str">
        <f>VLOOKUP(B1079,Product!A:B,2,FALSE)</f>
        <v>Product VKCMF</v>
      </c>
      <c r="K1079" t="str">
        <f>VLOOKUP(VLOOKUP(B1079,Product!A:D,4,FALSE),Category!A:B,2,FALSE)</f>
        <v>Grains/Cereals</v>
      </c>
      <c r="L1079" s="24">
        <f>IFERROR(VLOOKUP(A1079,'Sales Order'!A:D,4,FALSE),"")</f>
        <v>39329</v>
      </c>
      <c r="M1079" s="24">
        <f>IFERROR(VLOOKUP(A1079,'Sales Order'!A:F,6,FALSE),"")</f>
        <v>39340</v>
      </c>
      <c r="N1079" t="str">
        <f>IFERROR(VLOOKUP(VLOOKUP(A1079,'Sales Order'!A:G,7,FALSE),Shipper!A:B,2,FALSE),"Not Specified")</f>
        <v>Shipper ETYNR</v>
      </c>
      <c r="O1079" t="str">
        <f>IFERROR(VLOOKUP(A1079,'Sales Order'!A:I,9,FALSE),"Not Specified")</f>
        <v>Ship to 71-A</v>
      </c>
      <c r="P1079" t="str">
        <f>IFERROR(VLOOKUP(A1079,'Sales Order'!A:N,14,FALSE),"Not Specified")</f>
        <v>USA</v>
      </c>
      <c r="Q1079" t="str">
        <f>VLOOKUP(VLOOKUP(B1079,Product!A:C,3,FALSE),Supplier!A:B,2,FALSE)</f>
        <v>Supplier ZWZDM</v>
      </c>
      <c r="R1079" t="str">
        <f>VLOOKUP(VLOOKUP(B1079,Product!A:C,3,FALSE),Supplier!A:I,9,FALSE)</f>
        <v>Italy</v>
      </c>
      <c r="S1079" t="str">
        <f>IFERROR(IF(VLOOKUP(A1079,'Sales Order'!A:H,8,FALSE)&gt;100,"High Freight","Low Freight"),"Not Specified")</f>
        <v>High Freight</v>
      </c>
      <c r="T1079">
        <f t="shared" si="33"/>
        <v>1710</v>
      </c>
    </row>
    <row r="1080" spans="1:20">
      <c r="A1080" s="9">
        <v>10657</v>
      </c>
      <c r="B1080" s="6">
        <v>60</v>
      </c>
      <c r="C1080" s="6">
        <v>34</v>
      </c>
      <c r="D1080" s="6">
        <v>30</v>
      </c>
      <c r="E1080" s="18">
        <v>0</v>
      </c>
      <c r="F1080" s="6" t="str">
        <f>IFERROR(VLOOKUP(VLOOKUP(A1080,'Sales Order'!A:B,2,FALSE),Customer!A:C,3,FALSE),"Not Specified")</f>
        <v>Navarro, Tomás</v>
      </c>
      <c r="G1080" s="6" t="str">
        <f t="shared" si="32"/>
        <v>Navarro Tomás</v>
      </c>
      <c r="H1080" s="22" t="str">
        <f>IFERROR(VLOOKUP(VLOOKUP(A1080,'Sales Order'!A:C,3,FALSE),Employee!A:E,5,FALSE)&amp;" "&amp;VLOOKUP(VLOOKUP(A1080,'Sales Order'!A:C,3,FALSE),Employee!A:C,3,FALSE)&amp;" "&amp;VLOOKUP(VLOOKUP(A1080,'Sales Order'!A:C,3,FALSE),Employee!A:B,2,FALSE),"Not Specified")</f>
        <v>Dr. Don Funk</v>
      </c>
      <c r="I1080" t="str">
        <f>IFERROR(VLOOKUP(VLOOKUP(A1080,'Sales Order'!A:C,3,FALSE),Employee!A:J,10,FALSE),"Not Specified")</f>
        <v>WA</v>
      </c>
      <c r="J1080" t="str">
        <f>VLOOKUP(B1080,Product!A:B,2,FALSE)</f>
        <v>Product WHBYK</v>
      </c>
      <c r="K1080" t="str">
        <f>VLOOKUP(VLOOKUP(B1080,Product!A:D,4,FALSE),Category!A:B,2,FALSE)</f>
        <v>Dairy Product</v>
      </c>
      <c r="L1080" s="24">
        <f>IFERROR(VLOOKUP(A1080,'Sales Order'!A:D,4,FALSE),"")</f>
        <v>39329</v>
      </c>
      <c r="M1080" s="24">
        <f>IFERROR(VLOOKUP(A1080,'Sales Order'!A:F,6,FALSE),"")</f>
        <v>39340</v>
      </c>
      <c r="N1080" t="str">
        <f>IFERROR(VLOOKUP(VLOOKUP(A1080,'Sales Order'!A:G,7,FALSE),Shipper!A:B,2,FALSE),"Not Specified")</f>
        <v>Shipper ETYNR</v>
      </c>
      <c r="O1080" t="str">
        <f>IFERROR(VLOOKUP(A1080,'Sales Order'!A:I,9,FALSE),"Not Specified")</f>
        <v>Ship to 71-A</v>
      </c>
      <c r="P1080" t="str">
        <f>IFERROR(VLOOKUP(A1080,'Sales Order'!A:N,14,FALSE),"Not Specified")</f>
        <v>USA</v>
      </c>
      <c r="Q1080" t="str">
        <f>VLOOKUP(VLOOKUP(B1080,Product!A:C,3,FALSE),Supplier!A:B,2,FALSE)</f>
        <v>Supplier OAVQT</v>
      </c>
      <c r="R1080" t="str">
        <f>VLOOKUP(VLOOKUP(B1080,Product!A:C,3,FALSE),Supplier!A:I,9,FALSE)</f>
        <v>France</v>
      </c>
      <c r="S1080" t="str">
        <f>IFERROR(IF(VLOOKUP(A1080,'Sales Order'!A:H,8,FALSE)&gt;100,"High Freight","Low Freight"),"Not Specified")</f>
        <v>High Freight</v>
      </c>
      <c r="T1080">
        <f t="shared" si="33"/>
        <v>1020</v>
      </c>
    </row>
    <row r="1081" spans="1:20">
      <c r="A1081" s="9">
        <v>10658</v>
      </c>
      <c r="B1081" s="6">
        <v>21</v>
      </c>
      <c r="C1081" s="6">
        <v>10</v>
      </c>
      <c r="D1081" s="6">
        <v>60</v>
      </c>
      <c r="E1081" s="18">
        <v>0</v>
      </c>
      <c r="F1081" s="6" t="str">
        <f>IFERROR(VLOOKUP(VLOOKUP(A1081,'Sales Order'!A:B,2,FALSE),Customer!A:C,3,FALSE),"Not Specified")</f>
        <v>Veronesi, Giorgio</v>
      </c>
      <c r="G1081" s="6" t="str">
        <f t="shared" si="32"/>
        <v>Veronesi Giorgio</v>
      </c>
      <c r="H1081" s="22" t="str">
        <f>IFERROR(VLOOKUP(VLOOKUP(A1081,'Sales Order'!A:C,3,FALSE),Employee!A:E,5,FALSE)&amp;" "&amp;VLOOKUP(VLOOKUP(A1081,'Sales Order'!A:C,3,FALSE),Employee!A:C,3,FALSE)&amp;" "&amp;VLOOKUP(VLOOKUP(A1081,'Sales Order'!A:C,3,FALSE),Employee!A:B,2,FALSE),"Not Specified")</f>
        <v>Mrs. Yael Peled</v>
      </c>
      <c r="I1081" t="str">
        <f>IFERROR(VLOOKUP(VLOOKUP(A1081,'Sales Order'!A:C,3,FALSE),Employee!A:J,10,FALSE),"Not Specified")</f>
        <v>WA</v>
      </c>
      <c r="J1081" t="str">
        <f>VLOOKUP(B1081,Product!A:B,2,FALSE)</f>
        <v>Product VJZZH</v>
      </c>
      <c r="K1081" t="str">
        <f>VLOOKUP(VLOOKUP(B1081,Product!A:D,4,FALSE),Category!A:B,2,FALSE)</f>
        <v>Confections</v>
      </c>
      <c r="L1081" s="24">
        <f>IFERROR(VLOOKUP(A1081,'Sales Order'!A:D,4,FALSE),"")</f>
        <v>39330</v>
      </c>
      <c r="M1081" s="24">
        <f>IFERROR(VLOOKUP(A1081,'Sales Order'!A:F,6,FALSE),"")</f>
        <v>39333</v>
      </c>
      <c r="N1081" t="str">
        <f>IFERROR(VLOOKUP(VLOOKUP(A1081,'Sales Order'!A:G,7,FALSE),Shipper!A:B,2,FALSE),"Not Specified")</f>
        <v>Shipper GVSUA</v>
      </c>
      <c r="O1081" t="str">
        <f>IFERROR(VLOOKUP(A1081,'Sales Order'!A:I,9,FALSE),"Not Specified")</f>
        <v>Ship to 63-C</v>
      </c>
      <c r="P1081" t="str">
        <f>IFERROR(VLOOKUP(A1081,'Sales Order'!A:N,14,FALSE),"Not Specified")</f>
        <v>Germany</v>
      </c>
      <c r="Q1081" t="str">
        <f>VLOOKUP(VLOOKUP(B1081,Product!A:C,3,FALSE),Supplier!A:B,2,FALSE)</f>
        <v>Supplier BWGYE</v>
      </c>
      <c r="R1081" t="str">
        <f>VLOOKUP(VLOOKUP(B1081,Product!A:C,3,FALSE),Supplier!A:I,9,FALSE)</f>
        <v>UK</v>
      </c>
      <c r="S1081" t="str">
        <f>IFERROR(IF(VLOOKUP(A1081,'Sales Order'!A:H,8,FALSE)&gt;100,"High Freight","Low Freight"),"Not Specified")</f>
        <v>High Freight</v>
      </c>
      <c r="T1081">
        <f t="shared" si="33"/>
        <v>600</v>
      </c>
    </row>
    <row r="1082" spans="1:20">
      <c r="A1082" s="9">
        <v>10658</v>
      </c>
      <c r="B1082" s="6">
        <v>40</v>
      </c>
      <c r="C1082" s="6">
        <v>18.399999999999999</v>
      </c>
      <c r="D1082" s="6">
        <v>70</v>
      </c>
      <c r="E1082" s="18">
        <v>0.05</v>
      </c>
      <c r="F1082" s="6" t="str">
        <f>IFERROR(VLOOKUP(VLOOKUP(A1082,'Sales Order'!A:B,2,FALSE),Customer!A:C,3,FALSE),"Not Specified")</f>
        <v>Veronesi, Giorgio</v>
      </c>
      <c r="G1082" s="6" t="str">
        <f t="shared" si="32"/>
        <v>Veronesi Giorgio</v>
      </c>
      <c r="H1082" s="22" t="str">
        <f>IFERROR(VLOOKUP(VLOOKUP(A1082,'Sales Order'!A:C,3,FALSE),Employee!A:E,5,FALSE)&amp;" "&amp;VLOOKUP(VLOOKUP(A1082,'Sales Order'!A:C,3,FALSE),Employee!A:C,3,FALSE)&amp;" "&amp;VLOOKUP(VLOOKUP(A1082,'Sales Order'!A:C,3,FALSE),Employee!A:B,2,FALSE),"Not Specified")</f>
        <v>Mrs. Yael Peled</v>
      </c>
      <c r="I1082" t="str">
        <f>IFERROR(VLOOKUP(VLOOKUP(A1082,'Sales Order'!A:C,3,FALSE),Employee!A:J,10,FALSE),"Not Specified")</f>
        <v>WA</v>
      </c>
      <c r="J1082" t="str">
        <f>VLOOKUP(B1082,Product!A:B,2,FALSE)</f>
        <v>Product YZIXQ</v>
      </c>
      <c r="K1082" t="str">
        <f>VLOOKUP(VLOOKUP(B1082,Product!A:D,4,FALSE),Category!A:B,2,FALSE)</f>
        <v>Seafood</v>
      </c>
      <c r="L1082" s="24">
        <f>IFERROR(VLOOKUP(A1082,'Sales Order'!A:D,4,FALSE),"")</f>
        <v>39330</v>
      </c>
      <c r="M1082" s="24">
        <f>IFERROR(VLOOKUP(A1082,'Sales Order'!A:F,6,FALSE),"")</f>
        <v>39333</v>
      </c>
      <c r="N1082" t="str">
        <f>IFERROR(VLOOKUP(VLOOKUP(A1082,'Sales Order'!A:G,7,FALSE),Shipper!A:B,2,FALSE),"Not Specified")</f>
        <v>Shipper GVSUA</v>
      </c>
      <c r="O1082" t="str">
        <f>IFERROR(VLOOKUP(A1082,'Sales Order'!A:I,9,FALSE),"Not Specified")</f>
        <v>Ship to 63-C</v>
      </c>
      <c r="P1082" t="str">
        <f>IFERROR(VLOOKUP(A1082,'Sales Order'!A:N,14,FALSE),"Not Specified")</f>
        <v>Germany</v>
      </c>
      <c r="Q1082" t="str">
        <f>VLOOKUP(VLOOKUP(B1082,Product!A:C,3,FALSE),Supplier!A:B,2,FALSE)</f>
        <v>Supplier JDNUG</v>
      </c>
      <c r="R1082" t="str">
        <f>VLOOKUP(VLOOKUP(B1082,Product!A:C,3,FALSE),Supplier!A:I,9,FALSE)</f>
        <v>USA</v>
      </c>
      <c r="S1082" t="str">
        <f>IFERROR(IF(VLOOKUP(A1082,'Sales Order'!A:H,8,FALSE)&gt;100,"High Freight","Low Freight"),"Not Specified")</f>
        <v>High Freight</v>
      </c>
      <c r="T1082">
        <f t="shared" si="33"/>
        <v>1223.5999999999999</v>
      </c>
    </row>
    <row r="1083" spans="1:20">
      <c r="A1083" s="9">
        <v>10658</v>
      </c>
      <c r="B1083" s="6">
        <v>60</v>
      </c>
      <c r="C1083" s="6">
        <v>34</v>
      </c>
      <c r="D1083" s="6">
        <v>55</v>
      </c>
      <c r="E1083" s="18">
        <v>0.05</v>
      </c>
      <c r="F1083" s="6" t="str">
        <f>IFERROR(VLOOKUP(VLOOKUP(A1083,'Sales Order'!A:B,2,FALSE),Customer!A:C,3,FALSE),"Not Specified")</f>
        <v>Veronesi, Giorgio</v>
      </c>
      <c r="G1083" s="6" t="str">
        <f t="shared" si="32"/>
        <v>Veronesi Giorgio</v>
      </c>
      <c r="H1083" s="22" t="str">
        <f>IFERROR(VLOOKUP(VLOOKUP(A1083,'Sales Order'!A:C,3,FALSE),Employee!A:E,5,FALSE)&amp;" "&amp;VLOOKUP(VLOOKUP(A1083,'Sales Order'!A:C,3,FALSE),Employee!A:C,3,FALSE)&amp;" "&amp;VLOOKUP(VLOOKUP(A1083,'Sales Order'!A:C,3,FALSE),Employee!A:B,2,FALSE),"Not Specified")</f>
        <v>Mrs. Yael Peled</v>
      </c>
      <c r="I1083" t="str">
        <f>IFERROR(VLOOKUP(VLOOKUP(A1083,'Sales Order'!A:C,3,FALSE),Employee!A:J,10,FALSE),"Not Specified")</f>
        <v>WA</v>
      </c>
      <c r="J1083" t="str">
        <f>VLOOKUP(B1083,Product!A:B,2,FALSE)</f>
        <v>Product WHBYK</v>
      </c>
      <c r="K1083" t="str">
        <f>VLOOKUP(VLOOKUP(B1083,Product!A:D,4,FALSE),Category!A:B,2,FALSE)</f>
        <v>Dairy Product</v>
      </c>
      <c r="L1083" s="24">
        <f>IFERROR(VLOOKUP(A1083,'Sales Order'!A:D,4,FALSE),"")</f>
        <v>39330</v>
      </c>
      <c r="M1083" s="24">
        <f>IFERROR(VLOOKUP(A1083,'Sales Order'!A:F,6,FALSE),"")</f>
        <v>39333</v>
      </c>
      <c r="N1083" t="str">
        <f>IFERROR(VLOOKUP(VLOOKUP(A1083,'Sales Order'!A:G,7,FALSE),Shipper!A:B,2,FALSE),"Not Specified")</f>
        <v>Shipper GVSUA</v>
      </c>
      <c r="O1083" t="str">
        <f>IFERROR(VLOOKUP(A1083,'Sales Order'!A:I,9,FALSE),"Not Specified")</f>
        <v>Ship to 63-C</v>
      </c>
      <c r="P1083" t="str">
        <f>IFERROR(VLOOKUP(A1083,'Sales Order'!A:N,14,FALSE),"Not Specified")</f>
        <v>Germany</v>
      </c>
      <c r="Q1083" t="str">
        <f>VLOOKUP(VLOOKUP(B1083,Product!A:C,3,FALSE),Supplier!A:B,2,FALSE)</f>
        <v>Supplier OAVQT</v>
      </c>
      <c r="R1083" t="str">
        <f>VLOOKUP(VLOOKUP(B1083,Product!A:C,3,FALSE),Supplier!A:I,9,FALSE)</f>
        <v>France</v>
      </c>
      <c r="S1083" t="str">
        <f>IFERROR(IF(VLOOKUP(A1083,'Sales Order'!A:H,8,FALSE)&gt;100,"High Freight","Low Freight"),"Not Specified")</f>
        <v>High Freight</v>
      </c>
      <c r="T1083">
        <f t="shared" si="33"/>
        <v>1776.5</v>
      </c>
    </row>
    <row r="1084" spans="1:20">
      <c r="A1084" s="9">
        <v>10658</v>
      </c>
      <c r="B1084" s="6">
        <v>77</v>
      </c>
      <c r="C1084" s="6">
        <v>13</v>
      </c>
      <c r="D1084" s="6">
        <v>70</v>
      </c>
      <c r="E1084" s="18">
        <v>0.05</v>
      </c>
      <c r="F1084" s="6" t="str">
        <f>IFERROR(VLOOKUP(VLOOKUP(A1084,'Sales Order'!A:B,2,FALSE),Customer!A:C,3,FALSE),"Not Specified")</f>
        <v>Veronesi, Giorgio</v>
      </c>
      <c r="G1084" s="6" t="str">
        <f t="shared" si="32"/>
        <v>Veronesi Giorgio</v>
      </c>
      <c r="H1084" s="22" t="str">
        <f>IFERROR(VLOOKUP(VLOOKUP(A1084,'Sales Order'!A:C,3,FALSE),Employee!A:E,5,FALSE)&amp;" "&amp;VLOOKUP(VLOOKUP(A1084,'Sales Order'!A:C,3,FALSE),Employee!A:C,3,FALSE)&amp;" "&amp;VLOOKUP(VLOOKUP(A1084,'Sales Order'!A:C,3,FALSE),Employee!A:B,2,FALSE),"Not Specified")</f>
        <v>Mrs. Yael Peled</v>
      </c>
      <c r="I1084" t="str">
        <f>IFERROR(VLOOKUP(VLOOKUP(A1084,'Sales Order'!A:C,3,FALSE),Employee!A:J,10,FALSE),"Not Specified")</f>
        <v>WA</v>
      </c>
      <c r="J1084" t="str">
        <f>VLOOKUP(B1084,Product!A:B,2,FALSE)</f>
        <v>Product LUNZZ</v>
      </c>
      <c r="K1084" t="str">
        <f>VLOOKUP(VLOOKUP(B1084,Product!A:D,4,FALSE),Category!A:B,2,FALSE)</f>
        <v>Condiments</v>
      </c>
      <c r="L1084" s="24">
        <f>IFERROR(VLOOKUP(A1084,'Sales Order'!A:D,4,FALSE),"")</f>
        <v>39330</v>
      </c>
      <c r="M1084" s="24">
        <f>IFERROR(VLOOKUP(A1084,'Sales Order'!A:F,6,FALSE),"")</f>
        <v>39333</v>
      </c>
      <c r="N1084" t="str">
        <f>IFERROR(VLOOKUP(VLOOKUP(A1084,'Sales Order'!A:G,7,FALSE),Shipper!A:B,2,FALSE),"Not Specified")</f>
        <v>Shipper GVSUA</v>
      </c>
      <c r="O1084" t="str">
        <f>IFERROR(VLOOKUP(A1084,'Sales Order'!A:I,9,FALSE),"Not Specified")</f>
        <v>Ship to 63-C</v>
      </c>
      <c r="P1084" t="str">
        <f>IFERROR(VLOOKUP(A1084,'Sales Order'!A:N,14,FALSE),"Not Specified")</f>
        <v>Germany</v>
      </c>
      <c r="Q1084" t="str">
        <f>VLOOKUP(VLOOKUP(B1084,Product!A:C,3,FALSE),Supplier!A:B,2,FALSE)</f>
        <v>Supplier SVIYA</v>
      </c>
      <c r="R1084" t="str">
        <f>VLOOKUP(VLOOKUP(B1084,Product!A:C,3,FALSE),Supplier!A:I,9,FALSE)</f>
        <v>Germany</v>
      </c>
      <c r="S1084" t="str">
        <f>IFERROR(IF(VLOOKUP(A1084,'Sales Order'!A:H,8,FALSE)&gt;100,"High Freight","Low Freight"),"Not Specified")</f>
        <v>High Freight</v>
      </c>
      <c r="T1084">
        <f t="shared" si="33"/>
        <v>864.5</v>
      </c>
    </row>
    <row r="1085" spans="1:20">
      <c r="A1085" s="9">
        <v>10659</v>
      </c>
      <c r="B1085" s="6">
        <v>31</v>
      </c>
      <c r="C1085" s="6">
        <v>12.5</v>
      </c>
      <c r="D1085" s="6">
        <v>20</v>
      </c>
      <c r="E1085" s="18">
        <v>0.05</v>
      </c>
      <c r="F1085" s="6" t="str">
        <f>IFERROR(VLOOKUP(VLOOKUP(A1085,'Sales Order'!A:B,2,FALSE),Customer!A:C,3,FALSE),"Not Specified")</f>
        <v>Misiec, Anna</v>
      </c>
      <c r="G1085" s="6" t="str">
        <f t="shared" si="32"/>
        <v>Misiec Anna</v>
      </c>
      <c r="H1085" s="22" t="str">
        <f>IFERROR(VLOOKUP(VLOOKUP(A1085,'Sales Order'!A:C,3,FALSE),Employee!A:E,5,FALSE)&amp;" "&amp;VLOOKUP(VLOOKUP(A1085,'Sales Order'!A:C,3,FALSE),Employee!A:C,3,FALSE)&amp;" "&amp;VLOOKUP(VLOOKUP(A1085,'Sales Order'!A:C,3,FALSE),Employee!A:B,2,FALSE),"Not Specified")</f>
        <v>Mr. Russell King</v>
      </c>
      <c r="I1085">
        <f>IFERROR(VLOOKUP(VLOOKUP(A1085,'Sales Order'!A:C,3,FALSE),Employee!A:J,10,FALSE),"Not Specified")</f>
        <v>0</v>
      </c>
      <c r="J1085" t="str">
        <f>VLOOKUP(B1085,Product!A:B,2,FALSE)</f>
        <v>Product XWOXC</v>
      </c>
      <c r="K1085" t="str">
        <f>VLOOKUP(VLOOKUP(B1085,Product!A:D,4,FALSE),Category!A:B,2,FALSE)</f>
        <v>Dairy Product</v>
      </c>
      <c r="L1085" s="24">
        <f>IFERROR(VLOOKUP(A1085,'Sales Order'!A:D,4,FALSE),"")</f>
        <v>39330</v>
      </c>
      <c r="M1085" s="24">
        <f>IFERROR(VLOOKUP(A1085,'Sales Order'!A:F,6,FALSE),"")</f>
        <v>39335</v>
      </c>
      <c r="N1085" t="str">
        <f>IFERROR(VLOOKUP(VLOOKUP(A1085,'Sales Order'!A:G,7,FALSE),Shipper!A:B,2,FALSE),"Not Specified")</f>
        <v>Shipper ETYNR</v>
      </c>
      <c r="O1085" t="str">
        <f>IFERROR(VLOOKUP(A1085,'Sales Order'!A:I,9,FALSE),"Not Specified")</f>
        <v>Ship to 62-B</v>
      </c>
      <c r="P1085" t="str">
        <f>IFERROR(VLOOKUP(A1085,'Sales Order'!A:N,14,FALSE),"Not Specified")</f>
        <v>Brazil</v>
      </c>
      <c r="Q1085" t="str">
        <f>VLOOKUP(VLOOKUP(B1085,Product!A:C,3,FALSE),Supplier!A:B,2,FALSE)</f>
        <v>Supplier KEREV</v>
      </c>
      <c r="R1085" t="str">
        <f>VLOOKUP(VLOOKUP(B1085,Product!A:C,3,FALSE),Supplier!A:I,9,FALSE)</f>
        <v>Italy</v>
      </c>
      <c r="S1085" t="str">
        <f>IFERROR(IF(VLOOKUP(A1085,'Sales Order'!A:H,8,FALSE)&gt;100,"High Freight","Low Freight"),"Not Specified")</f>
        <v>High Freight</v>
      </c>
      <c r="T1085">
        <f t="shared" si="33"/>
        <v>237.5</v>
      </c>
    </row>
    <row r="1086" spans="1:20">
      <c r="A1086" s="9">
        <v>10659</v>
      </c>
      <c r="B1086" s="6">
        <v>40</v>
      </c>
      <c r="C1086" s="6">
        <v>18.399999999999999</v>
      </c>
      <c r="D1086" s="6">
        <v>24</v>
      </c>
      <c r="E1086" s="18">
        <v>0.05</v>
      </c>
      <c r="F1086" s="6" t="str">
        <f>IFERROR(VLOOKUP(VLOOKUP(A1086,'Sales Order'!A:B,2,FALSE),Customer!A:C,3,FALSE),"Not Specified")</f>
        <v>Misiec, Anna</v>
      </c>
      <c r="G1086" s="6" t="str">
        <f t="shared" si="32"/>
        <v>Misiec Anna</v>
      </c>
      <c r="H1086" s="22" t="str">
        <f>IFERROR(VLOOKUP(VLOOKUP(A1086,'Sales Order'!A:C,3,FALSE),Employee!A:E,5,FALSE)&amp;" "&amp;VLOOKUP(VLOOKUP(A1086,'Sales Order'!A:C,3,FALSE),Employee!A:C,3,FALSE)&amp;" "&amp;VLOOKUP(VLOOKUP(A1086,'Sales Order'!A:C,3,FALSE),Employee!A:B,2,FALSE),"Not Specified")</f>
        <v>Mr. Russell King</v>
      </c>
      <c r="I1086">
        <f>IFERROR(VLOOKUP(VLOOKUP(A1086,'Sales Order'!A:C,3,FALSE),Employee!A:J,10,FALSE),"Not Specified")</f>
        <v>0</v>
      </c>
      <c r="J1086" t="str">
        <f>VLOOKUP(B1086,Product!A:B,2,FALSE)</f>
        <v>Product YZIXQ</v>
      </c>
      <c r="K1086" t="str">
        <f>VLOOKUP(VLOOKUP(B1086,Product!A:D,4,FALSE),Category!A:B,2,FALSE)</f>
        <v>Seafood</v>
      </c>
      <c r="L1086" s="24">
        <f>IFERROR(VLOOKUP(A1086,'Sales Order'!A:D,4,FALSE),"")</f>
        <v>39330</v>
      </c>
      <c r="M1086" s="24">
        <f>IFERROR(VLOOKUP(A1086,'Sales Order'!A:F,6,FALSE),"")</f>
        <v>39335</v>
      </c>
      <c r="N1086" t="str">
        <f>IFERROR(VLOOKUP(VLOOKUP(A1086,'Sales Order'!A:G,7,FALSE),Shipper!A:B,2,FALSE),"Not Specified")</f>
        <v>Shipper ETYNR</v>
      </c>
      <c r="O1086" t="str">
        <f>IFERROR(VLOOKUP(A1086,'Sales Order'!A:I,9,FALSE),"Not Specified")</f>
        <v>Ship to 62-B</v>
      </c>
      <c r="P1086" t="str">
        <f>IFERROR(VLOOKUP(A1086,'Sales Order'!A:N,14,FALSE),"Not Specified")</f>
        <v>Brazil</v>
      </c>
      <c r="Q1086" t="str">
        <f>VLOOKUP(VLOOKUP(B1086,Product!A:C,3,FALSE),Supplier!A:B,2,FALSE)</f>
        <v>Supplier JDNUG</v>
      </c>
      <c r="R1086" t="str">
        <f>VLOOKUP(VLOOKUP(B1086,Product!A:C,3,FALSE),Supplier!A:I,9,FALSE)</f>
        <v>USA</v>
      </c>
      <c r="S1086" t="str">
        <f>IFERROR(IF(VLOOKUP(A1086,'Sales Order'!A:H,8,FALSE)&gt;100,"High Freight","Low Freight"),"Not Specified")</f>
        <v>High Freight</v>
      </c>
      <c r="T1086">
        <f t="shared" si="33"/>
        <v>419.51999999999992</v>
      </c>
    </row>
    <row r="1087" spans="1:20">
      <c r="A1087" s="9">
        <v>10659</v>
      </c>
      <c r="B1087" s="6">
        <v>70</v>
      </c>
      <c r="C1087" s="6">
        <v>15</v>
      </c>
      <c r="D1087" s="6">
        <v>40</v>
      </c>
      <c r="E1087" s="18">
        <v>0.05</v>
      </c>
      <c r="F1087" s="6" t="str">
        <f>IFERROR(VLOOKUP(VLOOKUP(A1087,'Sales Order'!A:B,2,FALSE),Customer!A:C,3,FALSE),"Not Specified")</f>
        <v>Misiec, Anna</v>
      </c>
      <c r="G1087" s="6" t="str">
        <f t="shared" si="32"/>
        <v>Misiec Anna</v>
      </c>
      <c r="H1087" s="22" t="str">
        <f>IFERROR(VLOOKUP(VLOOKUP(A1087,'Sales Order'!A:C,3,FALSE),Employee!A:E,5,FALSE)&amp;" "&amp;VLOOKUP(VLOOKUP(A1087,'Sales Order'!A:C,3,FALSE),Employee!A:C,3,FALSE)&amp;" "&amp;VLOOKUP(VLOOKUP(A1087,'Sales Order'!A:C,3,FALSE),Employee!A:B,2,FALSE),"Not Specified")</f>
        <v>Mr. Russell King</v>
      </c>
      <c r="I1087">
        <f>IFERROR(VLOOKUP(VLOOKUP(A1087,'Sales Order'!A:C,3,FALSE),Employee!A:J,10,FALSE),"Not Specified")</f>
        <v>0</v>
      </c>
      <c r="J1087" t="str">
        <f>VLOOKUP(B1087,Product!A:B,2,FALSE)</f>
        <v>Product TOONT</v>
      </c>
      <c r="K1087" t="str">
        <f>VLOOKUP(VLOOKUP(B1087,Product!A:D,4,FALSE),Category!A:B,2,FALSE)</f>
        <v>Beverages</v>
      </c>
      <c r="L1087" s="24">
        <f>IFERROR(VLOOKUP(A1087,'Sales Order'!A:D,4,FALSE),"")</f>
        <v>39330</v>
      </c>
      <c r="M1087" s="24">
        <f>IFERROR(VLOOKUP(A1087,'Sales Order'!A:F,6,FALSE),"")</f>
        <v>39335</v>
      </c>
      <c r="N1087" t="str">
        <f>IFERROR(VLOOKUP(VLOOKUP(A1087,'Sales Order'!A:G,7,FALSE),Shipper!A:B,2,FALSE),"Not Specified")</f>
        <v>Shipper ETYNR</v>
      </c>
      <c r="O1087" t="str">
        <f>IFERROR(VLOOKUP(A1087,'Sales Order'!A:I,9,FALSE),"Not Specified")</f>
        <v>Ship to 62-B</v>
      </c>
      <c r="P1087" t="str">
        <f>IFERROR(VLOOKUP(A1087,'Sales Order'!A:N,14,FALSE),"Not Specified")</f>
        <v>Brazil</v>
      </c>
      <c r="Q1087" t="str">
        <f>VLOOKUP(VLOOKUP(B1087,Product!A:C,3,FALSE),Supplier!A:B,2,FALSE)</f>
        <v>Supplier GQRCV</v>
      </c>
      <c r="R1087" t="str">
        <f>VLOOKUP(VLOOKUP(B1087,Product!A:C,3,FALSE),Supplier!A:I,9,FALSE)</f>
        <v>Australia</v>
      </c>
      <c r="S1087" t="str">
        <f>IFERROR(IF(VLOOKUP(A1087,'Sales Order'!A:H,8,FALSE)&gt;100,"High Freight","Low Freight"),"Not Specified")</f>
        <v>High Freight</v>
      </c>
      <c r="T1087">
        <f t="shared" si="33"/>
        <v>570</v>
      </c>
    </row>
    <row r="1088" spans="1:20">
      <c r="A1088" s="9">
        <v>10660</v>
      </c>
      <c r="B1088" s="6">
        <v>20</v>
      </c>
      <c r="C1088" s="6">
        <v>81</v>
      </c>
      <c r="D1088" s="6">
        <v>21</v>
      </c>
      <c r="E1088" s="18">
        <v>0</v>
      </c>
      <c r="F1088" s="6" t="str">
        <f>IFERROR(VLOOKUP(VLOOKUP(A1088,'Sales Order'!A:B,2,FALSE),Customer!A:C,3,FALSE),"Not Specified")</f>
        <v>Smith, Denise</v>
      </c>
      <c r="G1088" s="6" t="str">
        <f t="shared" si="32"/>
        <v>Smith Denise</v>
      </c>
      <c r="H1088" s="22" t="str">
        <f>IFERROR(VLOOKUP(VLOOKUP(A1088,'Sales Order'!A:C,3,FALSE),Employee!A:E,5,FALSE)&amp;" "&amp;VLOOKUP(VLOOKUP(A1088,'Sales Order'!A:C,3,FALSE),Employee!A:C,3,FALSE)&amp;" "&amp;VLOOKUP(VLOOKUP(A1088,'Sales Order'!A:C,3,FALSE),Employee!A:B,2,FALSE),"Not Specified")</f>
        <v>Ms. Maria Cameron</v>
      </c>
      <c r="I1088" t="str">
        <f>IFERROR(VLOOKUP(VLOOKUP(A1088,'Sales Order'!A:C,3,FALSE),Employee!A:J,10,FALSE),"Not Specified")</f>
        <v>WA</v>
      </c>
      <c r="J1088" t="str">
        <f>VLOOKUP(B1088,Product!A:B,2,FALSE)</f>
        <v>Product QHFFP</v>
      </c>
      <c r="K1088" t="str">
        <f>VLOOKUP(VLOOKUP(B1088,Product!A:D,4,FALSE),Category!A:B,2,FALSE)</f>
        <v>Confections</v>
      </c>
      <c r="L1088" s="24">
        <f>IFERROR(VLOOKUP(A1088,'Sales Order'!A:D,4,FALSE),"")</f>
        <v>39333</v>
      </c>
      <c r="M1088" s="24">
        <f>IFERROR(VLOOKUP(A1088,'Sales Order'!A:F,6,FALSE),"")</f>
        <v>39370</v>
      </c>
      <c r="N1088" t="str">
        <f>IFERROR(VLOOKUP(VLOOKUP(A1088,'Sales Order'!A:G,7,FALSE),Shipper!A:B,2,FALSE),"Not Specified")</f>
        <v>Shipper GVSUA</v>
      </c>
      <c r="O1088" t="str">
        <f>IFERROR(VLOOKUP(A1088,'Sales Order'!A:I,9,FALSE),"Not Specified")</f>
        <v>Destination HOHCR</v>
      </c>
      <c r="P1088" t="str">
        <f>IFERROR(VLOOKUP(A1088,'Sales Order'!A:N,14,FALSE),"Not Specified")</f>
        <v>USA</v>
      </c>
      <c r="Q1088" t="str">
        <f>VLOOKUP(VLOOKUP(B1088,Product!A:C,3,FALSE),Supplier!A:B,2,FALSE)</f>
        <v>Supplier BWGYE</v>
      </c>
      <c r="R1088" t="str">
        <f>VLOOKUP(VLOOKUP(B1088,Product!A:C,3,FALSE),Supplier!A:I,9,FALSE)</f>
        <v>UK</v>
      </c>
      <c r="S1088" t="str">
        <f>IFERROR(IF(VLOOKUP(A1088,'Sales Order'!A:H,8,FALSE)&gt;100,"High Freight","Low Freight"),"Not Specified")</f>
        <v>High Freight</v>
      </c>
      <c r="T1088">
        <f t="shared" si="33"/>
        <v>1701</v>
      </c>
    </row>
    <row r="1089" spans="1:20">
      <c r="A1089" s="9">
        <v>10661</v>
      </c>
      <c r="B1089" s="6">
        <v>39</v>
      </c>
      <c r="C1089" s="6">
        <v>18</v>
      </c>
      <c r="D1089" s="6">
        <v>3</v>
      </c>
      <c r="E1089" s="18">
        <v>0.2</v>
      </c>
      <c r="F1089" s="6" t="str">
        <f>IFERROR(VLOOKUP(VLOOKUP(A1089,'Sales Order'!A:B,2,FALSE),Customer!A:C,3,FALSE),"Not Specified")</f>
        <v>Crăciun, Ovidiu V.</v>
      </c>
      <c r="G1089" s="6" t="str">
        <f t="shared" si="32"/>
        <v>Crăciun Ovidiu V.</v>
      </c>
      <c r="H1089" s="22" t="str">
        <f>IFERROR(VLOOKUP(VLOOKUP(A1089,'Sales Order'!A:C,3,FALSE),Employee!A:E,5,FALSE)&amp;" "&amp;VLOOKUP(VLOOKUP(A1089,'Sales Order'!A:C,3,FALSE),Employee!A:C,3,FALSE)&amp;" "&amp;VLOOKUP(VLOOKUP(A1089,'Sales Order'!A:C,3,FALSE),Employee!A:B,2,FALSE),"Not Specified")</f>
        <v>Mr. Russell King</v>
      </c>
      <c r="I1089">
        <f>IFERROR(VLOOKUP(VLOOKUP(A1089,'Sales Order'!A:C,3,FALSE),Employee!A:J,10,FALSE),"Not Specified")</f>
        <v>0</v>
      </c>
      <c r="J1089" t="str">
        <f>VLOOKUP(B1089,Product!A:B,2,FALSE)</f>
        <v>Product LSOFL</v>
      </c>
      <c r="K1089" t="str">
        <f>VLOOKUP(VLOOKUP(B1089,Product!A:D,4,FALSE),Category!A:B,2,FALSE)</f>
        <v>Beverages</v>
      </c>
      <c r="L1089" s="24">
        <f>IFERROR(VLOOKUP(A1089,'Sales Order'!A:D,4,FALSE),"")</f>
        <v>39334</v>
      </c>
      <c r="M1089" s="24">
        <f>IFERROR(VLOOKUP(A1089,'Sales Order'!A:F,6,FALSE),"")</f>
        <v>39340</v>
      </c>
      <c r="N1089" t="str">
        <f>IFERROR(VLOOKUP(VLOOKUP(A1089,'Sales Order'!A:G,7,FALSE),Shipper!A:B,2,FALSE),"Not Specified")</f>
        <v>Shipper ZHISN</v>
      </c>
      <c r="O1089" t="str">
        <f>IFERROR(VLOOKUP(A1089,'Sales Order'!A:I,9,FALSE),"Not Specified")</f>
        <v>Destination ATSOA</v>
      </c>
      <c r="P1089" t="str">
        <f>IFERROR(VLOOKUP(A1089,'Sales Order'!A:N,14,FALSE),"Not Specified")</f>
        <v>Ireland</v>
      </c>
      <c r="Q1089" t="str">
        <f>VLOOKUP(VLOOKUP(B1089,Product!A:C,3,FALSE),Supplier!A:B,2,FALSE)</f>
        <v>Supplier LVJUA</v>
      </c>
      <c r="R1089" t="str">
        <f>VLOOKUP(VLOOKUP(B1089,Product!A:C,3,FALSE),Supplier!A:I,9,FALSE)</f>
        <v>France</v>
      </c>
      <c r="S1089" t="str">
        <f>IFERROR(IF(VLOOKUP(A1089,'Sales Order'!A:H,8,FALSE)&gt;100,"High Freight","Low Freight"),"Not Specified")</f>
        <v>Low Freight</v>
      </c>
      <c r="T1089">
        <f t="shared" si="33"/>
        <v>43.2</v>
      </c>
    </row>
    <row r="1090" spans="1:20">
      <c r="A1090" s="9">
        <v>10661</v>
      </c>
      <c r="B1090" s="6">
        <v>58</v>
      </c>
      <c r="C1090" s="6">
        <v>13.25</v>
      </c>
      <c r="D1090" s="6">
        <v>49</v>
      </c>
      <c r="E1090" s="18">
        <v>0.2</v>
      </c>
      <c r="F1090" s="6" t="str">
        <f>IFERROR(VLOOKUP(VLOOKUP(A1090,'Sales Order'!A:B,2,FALSE),Customer!A:C,3,FALSE),"Not Specified")</f>
        <v>Crăciun, Ovidiu V.</v>
      </c>
      <c r="G1090" s="6" t="str">
        <f t="shared" si="32"/>
        <v>Crăciun Ovidiu V.</v>
      </c>
      <c r="H1090" s="22" t="str">
        <f>IFERROR(VLOOKUP(VLOOKUP(A1090,'Sales Order'!A:C,3,FALSE),Employee!A:E,5,FALSE)&amp;" "&amp;VLOOKUP(VLOOKUP(A1090,'Sales Order'!A:C,3,FALSE),Employee!A:C,3,FALSE)&amp;" "&amp;VLOOKUP(VLOOKUP(A1090,'Sales Order'!A:C,3,FALSE),Employee!A:B,2,FALSE),"Not Specified")</f>
        <v>Mr. Russell King</v>
      </c>
      <c r="I1090">
        <f>IFERROR(VLOOKUP(VLOOKUP(A1090,'Sales Order'!A:C,3,FALSE),Employee!A:J,10,FALSE),"Not Specified")</f>
        <v>0</v>
      </c>
      <c r="J1090" t="str">
        <f>VLOOKUP(B1090,Product!A:B,2,FALSE)</f>
        <v>Product ACRVI</v>
      </c>
      <c r="K1090" t="str">
        <f>VLOOKUP(VLOOKUP(B1090,Product!A:D,4,FALSE),Category!A:B,2,FALSE)</f>
        <v>Seafood</v>
      </c>
      <c r="L1090" s="24">
        <f>IFERROR(VLOOKUP(A1090,'Sales Order'!A:D,4,FALSE),"")</f>
        <v>39334</v>
      </c>
      <c r="M1090" s="24">
        <f>IFERROR(VLOOKUP(A1090,'Sales Order'!A:F,6,FALSE),"")</f>
        <v>39340</v>
      </c>
      <c r="N1090" t="str">
        <f>IFERROR(VLOOKUP(VLOOKUP(A1090,'Sales Order'!A:G,7,FALSE),Shipper!A:B,2,FALSE),"Not Specified")</f>
        <v>Shipper ZHISN</v>
      </c>
      <c r="O1090" t="str">
        <f>IFERROR(VLOOKUP(A1090,'Sales Order'!A:I,9,FALSE),"Not Specified")</f>
        <v>Destination ATSOA</v>
      </c>
      <c r="P1090" t="str">
        <f>IFERROR(VLOOKUP(A1090,'Sales Order'!A:N,14,FALSE),"Not Specified")</f>
        <v>Ireland</v>
      </c>
      <c r="Q1090" t="str">
        <f>VLOOKUP(VLOOKUP(B1090,Product!A:C,3,FALSE),Supplier!A:B,2,FALSE)</f>
        <v>Supplier ZRYDZ</v>
      </c>
      <c r="R1090" t="str">
        <f>VLOOKUP(VLOOKUP(B1090,Product!A:C,3,FALSE),Supplier!A:I,9,FALSE)</f>
        <v>France</v>
      </c>
      <c r="S1090" t="str">
        <f>IFERROR(IF(VLOOKUP(A1090,'Sales Order'!A:H,8,FALSE)&gt;100,"High Freight","Low Freight"),"Not Specified")</f>
        <v>Low Freight</v>
      </c>
      <c r="T1090">
        <f t="shared" si="33"/>
        <v>519.4</v>
      </c>
    </row>
    <row r="1091" spans="1:20">
      <c r="A1091" s="9">
        <v>10662</v>
      </c>
      <c r="B1091" s="6">
        <v>68</v>
      </c>
      <c r="C1091" s="6">
        <v>12.5</v>
      </c>
      <c r="D1091" s="6">
        <v>10</v>
      </c>
      <c r="E1091" s="18">
        <v>0</v>
      </c>
      <c r="F1091" s="6" t="str">
        <f>IFERROR(VLOOKUP(VLOOKUP(A1091,'Sales Order'!A:B,2,FALSE),Customer!A:C,3,FALSE),"Not Specified")</f>
        <v>Szymczak, Radosław</v>
      </c>
      <c r="G1091" s="6" t="str">
        <f t="shared" ref="G1091:G1154" si="34">SUBSTITUTE(F1091,",","",1)</f>
        <v>Szymczak Radosław</v>
      </c>
      <c r="H1091" s="22" t="str">
        <f>IFERROR(VLOOKUP(VLOOKUP(A1091,'Sales Order'!A:C,3,FALSE),Employee!A:E,5,FALSE)&amp;" "&amp;VLOOKUP(VLOOKUP(A1091,'Sales Order'!A:C,3,FALSE),Employee!A:C,3,FALSE)&amp;" "&amp;VLOOKUP(VLOOKUP(A1091,'Sales Order'!A:C,3,FALSE),Employee!A:B,2,FALSE),"Not Specified")</f>
        <v>Ms. Judy Lew</v>
      </c>
      <c r="I1091" t="str">
        <f>IFERROR(VLOOKUP(VLOOKUP(A1091,'Sales Order'!A:C,3,FALSE),Employee!A:J,10,FALSE),"Not Specified")</f>
        <v>WA</v>
      </c>
      <c r="J1091" t="str">
        <f>VLOOKUP(B1091,Product!A:B,2,FALSE)</f>
        <v>Product TBTBL</v>
      </c>
      <c r="K1091" t="str">
        <f>VLOOKUP(VLOOKUP(B1091,Product!A:D,4,FALSE),Category!A:B,2,FALSE)</f>
        <v>Confections</v>
      </c>
      <c r="L1091" s="24">
        <f>IFERROR(VLOOKUP(A1091,'Sales Order'!A:D,4,FALSE),"")</f>
        <v>39334</v>
      </c>
      <c r="M1091" s="24">
        <f>IFERROR(VLOOKUP(A1091,'Sales Order'!A:F,6,FALSE),"")</f>
        <v>39343</v>
      </c>
      <c r="N1091" t="str">
        <f>IFERROR(VLOOKUP(VLOOKUP(A1091,'Sales Order'!A:G,7,FALSE),Shipper!A:B,2,FALSE),"Not Specified")</f>
        <v>Shipper ETYNR</v>
      </c>
      <c r="O1091" t="str">
        <f>IFERROR(VLOOKUP(A1091,'Sales Order'!A:I,9,FALSE),"Not Specified")</f>
        <v>Ship to 48-C</v>
      </c>
      <c r="P1091" t="str">
        <f>IFERROR(VLOOKUP(A1091,'Sales Order'!A:N,14,FALSE),"Not Specified")</f>
        <v>USA</v>
      </c>
      <c r="Q1091" t="str">
        <f>VLOOKUP(VLOOKUP(B1091,Product!A:C,3,FALSE),Supplier!A:B,2,FALSE)</f>
        <v>Supplier BWGYE</v>
      </c>
      <c r="R1091" t="str">
        <f>VLOOKUP(VLOOKUP(B1091,Product!A:C,3,FALSE),Supplier!A:I,9,FALSE)</f>
        <v>UK</v>
      </c>
      <c r="S1091" t="str">
        <f>IFERROR(IF(VLOOKUP(A1091,'Sales Order'!A:H,8,FALSE)&gt;100,"High Freight","Low Freight"),"Not Specified")</f>
        <v>Low Freight</v>
      </c>
      <c r="T1091">
        <f t="shared" ref="T1091:T1154" si="35">C1091*D1091*(1-E1091)</f>
        <v>125</v>
      </c>
    </row>
    <row r="1092" spans="1:20">
      <c r="A1092" s="9">
        <v>10663</v>
      </c>
      <c r="B1092" s="6">
        <v>40</v>
      </c>
      <c r="C1092" s="6">
        <v>18.399999999999999</v>
      </c>
      <c r="D1092" s="6">
        <v>30</v>
      </c>
      <c r="E1092" s="18">
        <v>0.05</v>
      </c>
      <c r="F1092" s="6" t="str">
        <f>IFERROR(VLOOKUP(VLOOKUP(A1092,'Sales Order'!A:B,2,FALSE),Customer!A:C,3,FALSE),"Not Specified")</f>
        <v>Raghav, Amritansh</v>
      </c>
      <c r="G1092" s="6" t="str">
        <f t="shared" si="34"/>
        <v>Raghav Amritansh</v>
      </c>
      <c r="H1092" s="22" t="str">
        <f>IFERROR(VLOOKUP(VLOOKUP(A1092,'Sales Order'!A:C,3,FALSE),Employee!A:E,5,FALSE)&amp;" "&amp;VLOOKUP(VLOOKUP(A1092,'Sales Order'!A:C,3,FALSE),Employee!A:C,3,FALSE)&amp;" "&amp;VLOOKUP(VLOOKUP(A1092,'Sales Order'!A:C,3,FALSE),Employee!A:B,2,FALSE),"Not Specified")</f>
        <v>Dr. Don Funk</v>
      </c>
      <c r="I1092" t="str">
        <f>IFERROR(VLOOKUP(VLOOKUP(A1092,'Sales Order'!A:C,3,FALSE),Employee!A:J,10,FALSE),"Not Specified")</f>
        <v>WA</v>
      </c>
      <c r="J1092" t="str">
        <f>VLOOKUP(B1092,Product!A:B,2,FALSE)</f>
        <v>Product YZIXQ</v>
      </c>
      <c r="K1092" t="str">
        <f>VLOOKUP(VLOOKUP(B1092,Product!A:D,4,FALSE),Category!A:B,2,FALSE)</f>
        <v>Seafood</v>
      </c>
      <c r="L1092" s="24">
        <f>IFERROR(VLOOKUP(A1092,'Sales Order'!A:D,4,FALSE),"")</f>
        <v>39335</v>
      </c>
      <c r="M1092" s="24">
        <f>IFERROR(VLOOKUP(A1092,'Sales Order'!A:F,6,FALSE),"")</f>
        <v>39358</v>
      </c>
      <c r="N1092" t="str">
        <f>IFERROR(VLOOKUP(VLOOKUP(A1092,'Sales Order'!A:G,7,FALSE),Shipper!A:B,2,FALSE),"Not Specified")</f>
        <v>Shipper ETYNR</v>
      </c>
      <c r="O1092" t="str">
        <f>IFERROR(VLOOKUP(A1092,'Sales Order'!A:I,9,FALSE),"Not Specified")</f>
        <v>Ship to 9-B</v>
      </c>
      <c r="P1092" t="str">
        <f>IFERROR(VLOOKUP(A1092,'Sales Order'!A:N,14,FALSE),"Not Specified")</f>
        <v>France</v>
      </c>
      <c r="Q1092" t="str">
        <f>VLOOKUP(VLOOKUP(B1092,Product!A:C,3,FALSE),Supplier!A:B,2,FALSE)</f>
        <v>Supplier JDNUG</v>
      </c>
      <c r="R1092" t="str">
        <f>VLOOKUP(VLOOKUP(B1092,Product!A:C,3,FALSE),Supplier!A:I,9,FALSE)</f>
        <v>USA</v>
      </c>
      <c r="S1092" t="str">
        <f>IFERROR(IF(VLOOKUP(A1092,'Sales Order'!A:H,8,FALSE)&gt;100,"High Freight","Low Freight"),"Not Specified")</f>
        <v>High Freight</v>
      </c>
      <c r="T1092">
        <f t="shared" si="35"/>
        <v>524.4</v>
      </c>
    </row>
    <row r="1093" spans="1:20">
      <c r="A1093" s="9">
        <v>10663</v>
      </c>
      <c r="B1093" s="6">
        <v>42</v>
      </c>
      <c r="C1093" s="6">
        <v>14</v>
      </c>
      <c r="D1093" s="6">
        <v>30</v>
      </c>
      <c r="E1093" s="18">
        <v>0.05</v>
      </c>
      <c r="F1093" s="6" t="str">
        <f>IFERROR(VLOOKUP(VLOOKUP(A1093,'Sales Order'!A:B,2,FALSE),Customer!A:C,3,FALSE),"Not Specified")</f>
        <v>Raghav, Amritansh</v>
      </c>
      <c r="G1093" s="6" t="str">
        <f t="shared" si="34"/>
        <v>Raghav Amritansh</v>
      </c>
      <c r="H1093" s="22" t="str">
        <f>IFERROR(VLOOKUP(VLOOKUP(A1093,'Sales Order'!A:C,3,FALSE),Employee!A:E,5,FALSE)&amp;" "&amp;VLOOKUP(VLOOKUP(A1093,'Sales Order'!A:C,3,FALSE),Employee!A:C,3,FALSE)&amp;" "&amp;VLOOKUP(VLOOKUP(A1093,'Sales Order'!A:C,3,FALSE),Employee!A:B,2,FALSE),"Not Specified")</f>
        <v>Dr. Don Funk</v>
      </c>
      <c r="I1093" t="str">
        <f>IFERROR(VLOOKUP(VLOOKUP(A1093,'Sales Order'!A:C,3,FALSE),Employee!A:J,10,FALSE),"Not Specified")</f>
        <v>WA</v>
      </c>
      <c r="J1093" t="str">
        <f>VLOOKUP(B1093,Product!A:B,2,FALSE)</f>
        <v>Product RJVNM</v>
      </c>
      <c r="K1093" t="str">
        <f>VLOOKUP(VLOOKUP(B1093,Product!A:D,4,FALSE),Category!A:B,2,FALSE)</f>
        <v>Grains/Cereals</v>
      </c>
      <c r="L1093" s="24">
        <f>IFERROR(VLOOKUP(A1093,'Sales Order'!A:D,4,FALSE),"")</f>
        <v>39335</v>
      </c>
      <c r="M1093" s="24">
        <f>IFERROR(VLOOKUP(A1093,'Sales Order'!A:F,6,FALSE),"")</f>
        <v>39358</v>
      </c>
      <c r="N1093" t="str">
        <f>IFERROR(VLOOKUP(VLOOKUP(A1093,'Sales Order'!A:G,7,FALSE),Shipper!A:B,2,FALSE),"Not Specified")</f>
        <v>Shipper ETYNR</v>
      </c>
      <c r="O1093" t="str">
        <f>IFERROR(VLOOKUP(A1093,'Sales Order'!A:I,9,FALSE),"Not Specified")</f>
        <v>Ship to 9-B</v>
      </c>
      <c r="P1093" t="str">
        <f>IFERROR(VLOOKUP(A1093,'Sales Order'!A:N,14,FALSE),"Not Specified")</f>
        <v>France</v>
      </c>
      <c r="Q1093" t="str">
        <f>VLOOKUP(VLOOKUP(B1093,Product!A:C,3,FALSE),Supplier!A:B,2,FALSE)</f>
        <v>Supplier CIYNM</v>
      </c>
      <c r="R1093" t="str">
        <f>VLOOKUP(VLOOKUP(B1093,Product!A:C,3,FALSE),Supplier!A:I,9,FALSE)</f>
        <v>Singapore</v>
      </c>
      <c r="S1093" t="str">
        <f>IFERROR(IF(VLOOKUP(A1093,'Sales Order'!A:H,8,FALSE)&gt;100,"High Freight","Low Freight"),"Not Specified")</f>
        <v>High Freight</v>
      </c>
      <c r="T1093">
        <f t="shared" si="35"/>
        <v>399</v>
      </c>
    </row>
    <row r="1094" spans="1:20">
      <c r="A1094" s="9">
        <v>10663</v>
      </c>
      <c r="B1094" s="6">
        <v>51</v>
      </c>
      <c r="C1094" s="6">
        <v>53</v>
      </c>
      <c r="D1094" s="6">
        <v>20</v>
      </c>
      <c r="E1094" s="18">
        <v>0.05</v>
      </c>
      <c r="F1094" s="6" t="str">
        <f>IFERROR(VLOOKUP(VLOOKUP(A1094,'Sales Order'!A:B,2,FALSE),Customer!A:C,3,FALSE),"Not Specified")</f>
        <v>Raghav, Amritansh</v>
      </c>
      <c r="G1094" s="6" t="str">
        <f t="shared" si="34"/>
        <v>Raghav Amritansh</v>
      </c>
      <c r="H1094" s="22" t="str">
        <f>IFERROR(VLOOKUP(VLOOKUP(A1094,'Sales Order'!A:C,3,FALSE),Employee!A:E,5,FALSE)&amp;" "&amp;VLOOKUP(VLOOKUP(A1094,'Sales Order'!A:C,3,FALSE),Employee!A:C,3,FALSE)&amp;" "&amp;VLOOKUP(VLOOKUP(A1094,'Sales Order'!A:C,3,FALSE),Employee!A:B,2,FALSE),"Not Specified")</f>
        <v>Dr. Don Funk</v>
      </c>
      <c r="I1094" t="str">
        <f>IFERROR(VLOOKUP(VLOOKUP(A1094,'Sales Order'!A:C,3,FALSE),Employee!A:J,10,FALSE),"Not Specified")</f>
        <v>WA</v>
      </c>
      <c r="J1094" t="str">
        <f>VLOOKUP(B1094,Product!A:B,2,FALSE)</f>
        <v>Product APITJ</v>
      </c>
      <c r="K1094" t="str">
        <f>VLOOKUP(VLOOKUP(B1094,Product!A:D,4,FALSE),Category!A:B,2,FALSE)</f>
        <v>Produce</v>
      </c>
      <c r="L1094" s="24">
        <f>IFERROR(VLOOKUP(A1094,'Sales Order'!A:D,4,FALSE),"")</f>
        <v>39335</v>
      </c>
      <c r="M1094" s="24">
        <f>IFERROR(VLOOKUP(A1094,'Sales Order'!A:F,6,FALSE),"")</f>
        <v>39358</v>
      </c>
      <c r="N1094" t="str">
        <f>IFERROR(VLOOKUP(VLOOKUP(A1094,'Sales Order'!A:G,7,FALSE),Shipper!A:B,2,FALSE),"Not Specified")</f>
        <v>Shipper ETYNR</v>
      </c>
      <c r="O1094" t="str">
        <f>IFERROR(VLOOKUP(A1094,'Sales Order'!A:I,9,FALSE),"Not Specified")</f>
        <v>Ship to 9-B</v>
      </c>
      <c r="P1094" t="str">
        <f>IFERROR(VLOOKUP(A1094,'Sales Order'!A:N,14,FALSE),"Not Specified")</f>
        <v>France</v>
      </c>
      <c r="Q1094" t="str">
        <f>VLOOKUP(VLOOKUP(B1094,Product!A:C,3,FALSE),Supplier!A:B,2,FALSE)</f>
        <v>Supplier JNNES</v>
      </c>
      <c r="R1094" t="str">
        <f>VLOOKUP(VLOOKUP(B1094,Product!A:C,3,FALSE),Supplier!A:I,9,FALSE)</f>
        <v>Australia</v>
      </c>
      <c r="S1094" t="str">
        <f>IFERROR(IF(VLOOKUP(A1094,'Sales Order'!A:H,8,FALSE)&gt;100,"High Freight","Low Freight"),"Not Specified")</f>
        <v>High Freight</v>
      </c>
      <c r="T1094">
        <f t="shared" si="35"/>
        <v>1007</v>
      </c>
    </row>
    <row r="1095" spans="1:20">
      <c r="A1095" s="9">
        <v>10664</v>
      </c>
      <c r="B1095" s="6">
        <v>10</v>
      </c>
      <c r="C1095" s="6">
        <v>31</v>
      </c>
      <c r="D1095" s="6">
        <v>24</v>
      </c>
      <c r="E1095" s="18">
        <v>0.15</v>
      </c>
      <c r="F1095" s="6" t="str">
        <f>IFERROR(VLOOKUP(VLOOKUP(A1095,'Sales Order'!A:B,2,FALSE),Customer!A:C,3,FALSE),"Not Specified")</f>
        <v>Cavaglieri, Giorgio</v>
      </c>
      <c r="G1095" s="6" t="str">
        <f t="shared" si="34"/>
        <v>Cavaglieri Giorgio</v>
      </c>
      <c r="H1095" s="22" t="str">
        <f>IFERROR(VLOOKUP(VLOOKUP(A1095,'Sales Order'!A:C,3,FALSE),Employee!A:E,5,FALSE)&amp;" "&amp;VLOOKUP(VLOOKUP(A1095,'Sales Order'!A:C,3,FALSE),Employee!A:C,3,FALSE)&amp;" "&amp;VLOOKUP(VLOOKUP(A1095,'Sales Order'!A:C,3,FALSE),Employee!A:B,2,FALSE),"Not Specified")</f>
        <v>Ms. Sara Davis</v>
      </c>
      <c r="I1095" t="str">
        <f>IFERROR(VLOOKUP(VLOOKUP(A1095,'Sales Order'!A:C,3,FALSE),Employee!A:J,10,FALSE),"Not Specified")</f>
        <v>WA</v>
      </c>
      <c r="J1095" t="str">
        <f>VLOOKUP(B1095,Product!A:B,2,FALSE)</f>
        <v>Product YHXGE</v>
      </c>
      <c r="K1095" t="str">
        <f>VLOOKUP(VLOOKUP(B1095,Product!A:D,4,FALSE),Category!A:B,2,FALSE)</f>
        <v>Seafood</v>
      </c>
      <c r="L1095" s="24">
        <f>IFERROR(VLOOKUP(A1095,'Sales Order'!A:D,4,FALSE),"")</f>
        <v>39335</v>
      </c>
      <c r="M1095" s="24">
        <f>IFERROR(VLOOKUP(A1095,'Sales Order'!A:F,6,FALSE),"")</f>
        <v>39344</v>
      </c>
      <c r="N1095" t="str">
        <f>IFERROR(VLOOKUP(VLOOKUP(A1095,'Sales Order'!A:G,7,FALSE),Shipper!A:B,2,FALSE),"Not Specified")</f>
        <v>Shipper ZHISN</v>
      </c>
      <c r="O1095" t="str">
        <f>IFERROR(VLOOKUP(A1095,'Sales Order'!A:I,9,FALSE),"Not Specified")</f>
        <v>Destination OTSWR</v>
      </c>
      <c r="P1095" t="str">
        <f>IFERROR(VLOOKUP(A1095,'Sales Order'!A:N,14,FALSE),"Not Specified")</f>
        <v>Portugal</v>
      </c>
      <c r="Q1095" t="str">
        <f>VLOOKUP(VLOOKUP(B1095,Product!A:C,3,FALSE),Supplier!A:B,2,FALSE)</f>
        <v>Supplier QOVFD</v>
      </c>
      <c r="R1095" t="str">
        <f>VLOOKUP(VLOOKUP(B1095,Product!A:C,3,FALSE),Supplier!A:I,9,FALSE)</f>
        <v>Japan</v>
      </c>
      <c r="S1095" t="str">
        <f>IFERROR(IF(VLOOKUP(A1095,'Sales Order'!A:H,8,FALSE)&gt;100,"High Freight","Low Freight"),"Not Specified")</f>
        <v>Low Freight</v>
      </c>
      <c r="T1095">
        <f t="shared" si="35"/>
        <v>632.4</v>
      </c>
    </row>
    <row r="1096" spans="1:20">
      <c r="A1096" s="9">
        <v>10664</v>
      </c>
      <c r="B1096" s="6">
        <v>56</v>
      </c>
      <c r="C1096" s="6">
        <v>38</v>
      </c>
      <c r="D1096" s="6">
        <v>12</v>
      </c>
      <c r="E1096" s="18">
        <v>0.15</v>
      </c>
      <c r="F1096" s="6" t="str">
        <f>IFERROR(VLOOKUP(VLOOKUP(A1096,'Sales Order'!A:B,2,FALSE),Customer!A:C,3,FALSE),"Not Specified")</f>
        <v>Cavaglieri, Giorgio</v>
      </c>
      <c r="G1096" s="6" t="str">
        <f t="shared" si="34"/>
        <v>Cavaglieri Giorgio</v>
      </c>
      <c r="H1096" s="22" t="str">
        <f>IFERROR(VLOOKUP(VLOOKUP(A1096,'Sales Order'!A:C,3,FALSE),Employee!A:E,5,FALSE)&amp;" "&amp;VLOOKUP(VLOOKUP(A1096,'Sales Order'!A:C,3,FALSE),Employee!A:C,3,FALSE)&amp;" "&amp;VLOOKUP(VLOOKUP(A1096,'Sales Order'!A:C,3,FALSE),Employee!A:B,2,FALSE),"Not Specified")</f>
        <v>Ms. Sara Davis</v>
      </c>
      <c r="I1096" t="str">
        <f>IFERROR(VLOOKUP(VLOOKUP(A1096,'Sales Order'!A:C,3,FALSE),Employee!A:J,10,FALSE),"Not Specified")</f>
        <v>WA</v>
      </c>
      <c r="J1096" t="str">
        <f>VLOOKUP(B1096,Product!A:B,2,FALSE)</f>
        <v>Product VKCMF</v>
      </c>
      <c r="K1096" t="str">
        <f>VLOOKUP(VLOOKUP(B1096,Product!A:D,4,FALSE),Category!A:B,2,FALSE)</f>
        <v>Grains/Cereals</v>
      </c>
      <c r="L1096" s="24">
        <f>IFERROR(VLOOKUP(A1096,'Sales Order'!A:D,4,FALSE),"")</f>
        <v>39335</v>
      </c>
      <c r="M1096" s="24">
        <f>IFERROR(VLOOKUP(A1096,'Sales Order'!A:F,6,FALSE),"")</f>
        <v>39344</v>
      </c>
      <c r="N1096" t="str">
        <f>IFERROR(VLOOKUP(VLOOKUP(A1096,'Sales Order'!A:G,7,FALSE),Shipper!A:B,2,FALSE),"Not Specified")</f>
        <v>Shipper ZHISN</v>
      </c>
      <c r="O1096" t="str">
        <f>IFERROR(VLOOKUP(A1096,'Sales Order'!A:I,9,FALSE),"Not Specified")</f>
        <v>Destination OTSWR</v>
      </c>
      <c r="P1096" t="str">
        <f>IFERROR(VLOOKUP(A1096,'Sales Order'!A:N,14,FALSE),"Not Specified")</f>
        <v>Portugal</v>
      </c>
      <c r="Q1096" t="str">
        <f>VLOOKUP(VLOOKUP(B1096,Product!A:C,3,FALSE),Supplier!A:B,2,FALSE)</f>
        <v>Supplier ZWZDM</v>
      </c>
      <c r="R1096" t="str">
        <f>VLOOKUP(VLOOKUP(B1096,Product!A:C,3,FALSE),Supplier!A:I,9,FALSE)</f>
        <v>Italy</v>
      </c>
      <c r="S1096" t="str">
        <f>IFERROR(IF(VLOOKUP(A1096,'Sales Order'!A:H,8,FALSE)&gt;100,"High Freight","Low Freight"),"Not Specified")</f>
        <v>Low Freight</v>
      </c>
      <c r="T1096">
        <f t="shared" si="35"/>
        <v>387.59999999999997</v>
      </c>
    </row>
    <row r="1097" spans="1:20">
      <c r="A1097" s="9">
        <v>10664</v>
      </c>
      <c r="B1097" s="6">
        <v>65</v>
      </c>
      <c r="C1097" s="6">
        <v>21.05</v>
      </c>
      <c r="D1097" s="6">
        <v>15</v>
      </c>
      <c r="E1097" s="18">
        <v>0.15</v>
      </c>
      <c r="F1097" s="6" t="str">
        <f>IFERROR(VLOOKUP(VLOOKUP(A1097,'Sales Order'!A:B,2,FALSE),Customer!A:C,3,FALSE),"Not Specified")</f>
        <v>Cavaglieri, Giorgio</v>
      </c>
      <c r="G1097" s="6" t="str">
        <f t="shared" si="34"/>
        <v>Cavaglieri Giorgio</v>
      </c>
      <c r="H1097" s="22" t="str">
        <f>IFERROR(VLOOKUP(VLOOKUP(A1097,'Sales Order'!A:C,3,FALSE),Employee!A:E,5,FALSE)&amp;" "&amp;VLOOKUP(VLOOKUP(A1097,'Sales Order'!A:C,3,FALSE),Employee!A:C,3,FALSE)&amp;" "&amp;VLOOKUP(VLOOKUP(A1097,'Sales Order'!A:C,3,FALSE),Employee!A:B,2,FALSE),"Not Specified")</f>
        <v>Ms. Sara Davis</v>
      </c>
      <c r="I1097" t="str">
        <f>IFERROR(VLOOKUP(VLOOKUP(A1097,'Sales Order'!A:C,3,FALSE),Employee!A:J,10,FALSE),"Not Specified")</f>
        <v>WA</v>
      </c>
      <c r="J1097" t="str">
        <f>VLOOKUP(B1097,Product!A:B,2,FALSE)</f>
        <v>Product XYWBZ</v>
      </c>
      <c r="K1097" t="str">
        <f>VLOOKUP(VLOOKUP(B1097,Product!A:D,4,FALSE),Category!A:B,2,FALSE)</f>
        <v>Condiments</v>
      </c>
      <c r="L1097" s="24">
        <f>IFERROR(VLOOKUP(A1097,'Sales Order'!A:D,4,FALSE),"")</f>
        <v>39335</v>
      </c>
      <c r="M1097" s="24">
        <f>IFERROR(VLOOKUP(A1097,'Sales Order'!A:F,6,FALSE),"")</f>
        <v>39344</v>
      </c>
      <c r="N1097" t="str">
        <f>IFERROR(VLOOKUP(VLOOKUP(A1097,'Sales Order'!A:G,7,FALSE),Shipper!A:B,2,FALSE),"Not Specified")</f>
        <v>Shipper ZHISN</v>
      </c>
      <c r="O1097" t="str">
        <f>IFERROR(VLOOKUP(A1097,'Sales Order'!A:I,9,FALSE),"Not Specified")</f>
        <v>Destination OTSWR</v>
      </c>
      <c r="P1097" t="str">
        <f>IFERROR(VLOOKUP(A1097,'Sales Order'!A:N,14,FALSE),"Not Specified")</f>
        <v>Portugal</v>
      </c>
      <c r="Q1097" t="str">
        <f>VLOOKUP(VLOOKUP(B1097,Product!A:C,3,FALSE),Supplier!A:B,2,FALSE)</f>
        <v>Supplier VHQZD</v>
      </c>
      <c r="R1097" t="str">
        <f>VLOOKUP(VLOOKUP(B1097,Product!A:C,3,FALSE),Supplier!A:I,9,FALSE)</f>
        <v>USA</v>
      </c>
      <c r="S1097" t="str">
        <f>IFERROR(IF(VLOOKUP(A1097,'Sales Order'!A:H,8,FALSE)&gt;100,"High Freight","Low Freight"),"Not Specified")</f>
        <v>Low Freight</v>
      </c>
      <c r="T1097">
        <f t="shared" si="35"/>
        <v>268.38749999999999</v>
      </c>
    </row>
    <row r="1098" spans="1:20">
      <c r="A1098" s="9">
        <v>10665</v>
      </c>
      <c r="B1098" s="6">
        <v>51</v>
      </c>
      <c r="C1098" s="6">
        <v>53</v>
      </c>
      <c r="D1098" s="6">
        <v>20</v>
      </c>
      <c r="E1098" s="18">
        <v>0</v>
      </c>
      <c r="F1098" s="6" t="str">
        <f>IFERROR(VLOOKUP(VLOOKUP(A1098,'Sales Order'!A:B,2,FALSE),Customer!A:C,3,FALSE),"Not Specified")</f>
        <v>Szymczak, Radosław</v>
      </c>
      <c r="G1098" s="6" t="str">
        <f t="shared" si="34"/>
        <v>Szymczak Radosław</v>
      </c>
      <c r="H1098" s="22" t="str">
        <f>IFERROR(VLOOKUP(VLOOKUP(A1098,'Sales Order'!A:C,3,FALSE),Employee!A:E,5,FALSE)&amp;" "&amp;VLOOKUP(VLOOKUP(A1098,'Sales Order'!A:C,3,FALSE),Employee!A:C,3,FALSE)&amp;" "&amp;VLOOKUP(VLOOKUP(A1098,'Sales Order'!A:C,3,FALSE),Employee!A:B,2,FALSE),"Not Specified")</f>
        <v>Ms. Sara Davis</v>
      </c>
      <c r="I1098" t="str">
        <f>IFERROR(VLOOKUP(VLOOKUP(A1098,'Sales Order'!A:C,3,FALSE),Employee!A:J,10,FALSE),"Not Specified")</f>
        <v>WA</v>
      </c>
      <c r="J1098" t="str">
        <f>VLOOKUP(B1098,Product!A:B,2,FALSE)</f>
        <v>Product APITJ</v>
      </c>
      <c r="K1098" t="str">
        <f>VLOOKUP(VLOOKUP(B1098,Product!A:D,4,FALSE),Category!A:B,2,FALSE)</f>
        <v>Produce</v>
      </c>
      <c r="L1098" s="24">
        <f>IFERROR(VLOOKUP(A1098,'Sales Order'!A:D,4,FALSE),"")</f>
        <v>39336</v>
      </c>
      <c r="M1098" s="24">
        <f>IFERROR(VLOOKUP(A1098,'Sales Order'!A:F,6,FALSE),"")</f>
        <v>39342</v>
      </c>
      <c r="N1098" t="str">
        <f>IFERROR(VLOOKUP(VLOOKUP(A1098,'Sales Order'!A:G,7,FALSE),Shipper!A:B,2,FALSE),"Not Specified")</f>
        <v>Shipper ETYNR</v>
      </c>
      <c r="O1098" t="str">
        <f>IFERROR(VLOOKUP(A1098,'Sales Order'!A:I,9,FALSE),"Not Specified")</f>
        <v>Ship to 48-B</v>
      </c>
      <c r="P1098" t="str">
        <f>IFERROR(VLOOKUP(A1098,'Sales Order'!A:N,14,FALSE),"Not Specified")</f>
        <v>USA</v>
      </c>
      <c r="Q1098" t="str">
        <f>VLOOKUP(VLOOKUP(B1098,Product!A:C,3,FALSE),Supplier!A:B,2,FALSE)</f>
        <v>Supplier JNNES</v>
      </c>
      <c r="R1098" t="str">
        <f>VLOOKUP(VLOOKUP(B1098,Product!A:C,3,FALSE),Supplier!A:I,9,FALSE)</f>
        <v>Australia</v>
      </c>
      <c r="S1098" t="str">
        <f>IFERROR(IF(VLOOKUP(A1098,'Sales Order'!A:H,8,FALSE)&gt;100,"High Freight","Low Freight"),"Not Specified")</f>
        <v>Low Freight</v>
      </c>
      <c r="T1098">
        <f t="shared" si="35"/>
        <v>1060</v>
      </c>
    </row>
    <row r="1099" spans="1:20">
      <c r="A1099" s="9">
        <v>10665</v>
      </c>
      <c r="B1099" s="6">
        <v>59</v>
      </c>
      <c r="C1099" s="6">
        <v>55</v>
      </c>
      <c r="D1099" s="6">
        <v>1</v>
      </c>
      <c r="E1099" s="18">
        <v>0</v>
      </c>
      <c r="F1099" s="6" t="str">
        <f>IFERROR(VLOOKUP(VLOOKUP(A1099,'Sales Order'!A:B,2,FALSE),Customer!A:C,3,FALSE),"Not Specified")</f>
        <v>Szymczak, Radosław</v>
      </c>
      <c r="G1099" s="6" t="str">
        <f t="shared" si="34"/>
        <v>Szymczak Radosław</v>
      </c>
      <c r="H1099" s="22" t="str">
        <f>IFERROR(VLOOKUP(VLOOKUP(A1099,'Sales Order'!A:C,3,FALSE),Employee!A:E,5,FALSE)&amp;" "&amp;VLOOKUP(VLOOKUP(A1099,'Sales Order'!A:C,3,FALSE),Employee!A:C,3,FALSE)&amp;" "&amp;VLOOKUP(VLOOKUP(A1099,'Sales Order'!A:C,3,FALSE),Employee!A:B,2,FALSE),"Not Specified")</f>
        <v>Ms. Sara Davis</v>
      </c>
      <c r="I1099" t="str">
        <f>IFERROR(VLOOKUP(VLOOKUP(A1099,'Sales Order'!A:C,3,FALSE),Employee!A:J,10,FALSE),"Not Specified")</f>
        <v>WA</v>
      </c>
      <c r="J1099" t="str">
        <f>VLOOKUP(B1099,Product!A:B,2,FALSE)</f>
        <v>Product UKXRI</v>
      </c>
      <c r="K1099" t="str">
        <f>VLOOKUP(VLOOKUP(B1099,Product!A:D,4,FALSE),Category!A:B,2,FALSE)</f>
        <v>Dairy Product</v>
      </c>
      <c r="L1099" s="24">
        <f>IFERROR(VLOOKUP(A1099,'Sales Order'!A:D,4,FALSE),"")</f>
        <v>39336</v>
      </c>
      <c r="M1099" s="24">
        <f>IFERROR(VLOOKUP(A1099,'Sales Order'!A:F,6,FALSE),"")</f>
        <v>39342</v>
      </c>
      <c r="N1099" t="str">
        <f>IFERROR(VLOOKUP(VLOOKUP(A1099,'Sales Order'!A:G,7,FALSE),Shipper!A:B,2,FALSE),"Not Specified")</f>
        <v>Shipper ETYNR</v>
      </c>
      <c r="O1099" t="str">
        <f>IFERROR(VLOOKUP(A1099,'Sales Order'!A:I,9,FALSE),"Not Specified")</f>
        <v>Ship to 48-B</v>
      </c>
      <c r="P1099" t="str">
        <f>IFERROR(VLOOKUP(A1099,'Sales Order'!A:N,14,FALSE),"Not Specified")</f>
        <v>USA</v>
      </c>
      <c r="Q1099" t="str">
        <f>VLOOKUP(VLOOKUP(B1099,Product!A:C,3,FALSE),Supplier!A:B,2,FALSE)</f>
        <v>Supplier OAVQT</v>
      </c>
      <c r="R1099" t="str">
        <f>VLOOKUP(VLOOKUP(B1099,Product!A:C,3,FALSE),Supplier!A:I,9,FALSE)</f>
        <v>France</v>
      </c>
      <c r="S1099" t="str">
        <f>IFERROR(IF(VLOOKUP(A1099,'Sales Order'!A:H,8,FALSE)&gt;100,"High Freight","Low Freight"),"Not Specified")</f>
        <v>Low Freight</v>
      </c>
      <c r="T1099">
        <f t="shared" si="35"/>
        <v>55</v>
      </c>
    </row>
    <row r="1100" spans="1:20">
      <c r="A1100" s="9">
        <v>10665</v>
      </c>
      <c r="B1100" s="6">
        <v>76</v>
      </c>
      <c r="C1100" s="6">
        <v>18</v>
      </c>
      <c r="D1100" s="6">
        <v>10</v>
      </c>
      <c r="E1100" s="18">
        <v>0</v>
      </c>
      <c r="F1100" s="6" t="str">
        <f>IFERROR(VLOOKUP(VLOOKUP(A1100,'Sales Order'!A:B,2,FALSE),Customer!A:C,3,FALSE),"Not Specified")</f>
        <v>Szymczak, Radosław</v>
      </c>
      <c r="G1100" s="6" t="str">
        <f t="shared" si="34"/>
        <v>Szymczak Radosław</v>
      </c>
      <c r="H1100" s="22" t="str">
        <f>IFERROR(VLOOKUP(VLOOKUP(A1100,'Sales Order'!A:C,3,FALSE),Employee!A:E,5,FALSE)&amp;" "&amp;VLOOKUP(VLOOKUP(A1100,'Sales Order'!A:C,3,FALSE),Employee!A:C,3,FALSE)&amp;" "&amp;VLOOKUP(VLOOKUP(A1100,'Sales Order'!A:C,3,FALSE),Employee!A:B,2,FALSE),"Not Specified")</f>
        <v>Ms. Sara Davis</v>
      </c>
      <c r="I1100" t="str">
        <f>IFERROR(VLOOKUP(VLOOKUP(A1100,'Sales Order'!A:C,3,FALSE),Employee!A:J,10,FALSE),"Not Specified")</f>
        <v>WA</v>
      </c>
      <c r="J1100" t="str">
        <f>VLOOKUP(B1100,Product!A:B,2,FALSE)</f>
        <v>Product JYGFE</v>
      </c>
      <c r="K1100" t="str">
        <f>VLOOKUP(VLOOKUP(B1100,Product!A:D,4,FALSE),Category!A:B,2,FALSE)</f>
        <v>Beverages</v>
      </c>
      <c r="L1100" s="24">
        <f>IFERROR(VLOOKUP(A1100,'Sales Order'!A:D,4,FALSE),"")</f>
        <v>39336</v>
      </c>
      <c r="M1100" s="24">
        <f>IFERROR(VLOOKUP(A1100,'Sales Order'!A:F,6,FALSE),"")</f>
        <v>39342</v>
      </c>
      <c r="N1100" t="str">
        <f>IFERROR(VLOOKUP(VLOOKUP(A1100,'Sales Order'!A:G,7,FALSE),Shipper!A:B,2,FALSE),"Not Specified")</f>
        <v>Shipper ETYNR</v>
      </c>
      <c r="O1100" t="str">
        <f>IFERROR(VLOOKUP(A1100,'Sales Order'!A:I,9,FALSE),"Not Specified")</f>
        <v>Ship to 48-B</v>
      </c>
      <c r="P1100" t="str">
        <f>IFERROR(VLOOKUP(A1100,'Sales Order'!A:N,14,FALSE),"Not Specified")</f>
        <v>USA</v>
      </c>
      <c r="Q1100" t="str">
        <f>VLOOKUP(VLOOKUP(B1100,Product!A:C,3,FALSE),Supplier!A:B,2,FALSE)</f>
        <v>Supplier ELCRN</v>
      </c>
      <c r="R1100" t="str">
        <f>VLOOKUP(VLOOKUP(B1100,Product!A:C,3,FALSE),Supplier!A:I,9,FALSE)</f>
        <v>Finland</v>
      </c>
      <c r="S1100" t="str">
        <f>IFERROR(IF(VLOOKUP(A1100,'Sales Order'!A:H,8,FALSE)&gt;100,"High Freight","Low Freight"),"Not Specified")</f>
        <v>Low Freight</v>
      </c>
      <c r="T1100">
        <f t="shared" si="35"/>
        <v>180</v>
      </c>
    </row>
    <row r="1101" spans="1:20">
      <c r="A1101" s="9">
        <v>10666</v>
      </c>
      <c r="B1101" s="6">
        <v>29</v>
      </c>
      <c r="C1101" s="6">
        <v>123.79</v>
      </c>
      <c r="D1101" s="6">
        <v>36</v>
      </c>
      <c r="E1101" s="18">
        <v>0</v>
      </c>
      <c r="F1101" s="6" t="str">
        <f>IFERROR(VLOOKUP(VLOOKUP(A1101,'Sales Order'!A:B,2,FALSE),Customer!A:C,3,FALSE),"Not Specified")</f>
        <v>Myrcha, Jacek</v>
      </c>
      <c r="G1101" s="6" t="str">
        <f t="shared" si="34"/>
        <v>Myrcha Jacek</v>
      </c>
      <c r="H1101" s="22" t="str">
        <f>IFERROR(VLOOKUP(VLOOKUP(A1101,'Sales Order'!A:C,3,FALSE),Employee!A:E,5,FALSE)&amp;" "&amp;VLOOKUP(VLOOKUP(A1101,'Sales Order'!A:C,3,FALSE),Employee!A:C,3,FALSE)&amp;" "&amp;VLOOKUP(VLOOKUP(A1101,'Sales Order'!A:C,3,FALSE),Employee!A:B,2,FALSE),"Not Specified")</f>
        <v>Mr. Russell King</v>
      </c>
      <c r="I1101">
        <f>IFERROR(VLOOKUP(VLOOKUP(A1101,'Sales Order'!A:C,3,FALSE),Employee!A:J,10,FALSE),"Not Specified")</f>
        <v>0</v>
      </c>
      <c r="J1101" t="str">
        <f>VLOOKUP(B1101,Product!A:B,2,FALSE)</f>
        <v>Product VJXYN</v>
      </c>
      <c r="K1101" t="str">
        <f>VLOOKUP(VLOOKUP(B1101,Product!A:D,4,FALSE),Category!A:B,2,FALSE)</f>
        <v>Meat/Poultry</v>
      </c>
      <c r="L1101" s="24">
        <f>IFERROR(VLOOKUP(A1101,'Sales Order'!A:D,4,FALSE),"")</f>
        <v>39337</v>
      </c>
      <c r="M1101" s="24">
        <f>IFERROR(VLOOKUP(A1101,'Sales Order'!A:F,6,FALSE),"")</f>
        <v>39347</v>
      </c>
      <c r="N1101" t="str">
        <f>IFERROR(VLOOKUP(VLOOKUP(A1101,'Sales Order'!A:G,7,FALSE),Shipper!A:B,2,FALSE),"Not Specified")</f>
        <v>Shipper ETYNR</v>
      </c>
      <c r="O1101" t="str">
        <f>IFERROR(VLOOKUP(A1101,'Sales Order'!A:I,9,FALSE),"Not Specified")</f>
        <v>Ship to 68-A</v>
      </c>
      <c r="P1101" t="str">
        <f>IFERROR(VLOOKUP(A1101,'Sales Order'!A:N,14,FALSE),"Not Specified")</f>
        <v>Switzerland</v>
      </c>
      <c r="Q1101" t="str">
        <f>VLOOKUP(VLOOKUP(B1101,Product!A:C,3,FALSE),Supplier!A:B,2,FALSE)</f>
        <v>Supplier SVIYA</v>
      </c>
      <c r="R1101" t="str">
        <f>VLOOKUP(VLOOKUP(B1101,Product!A:C,3,FALSE),Supplier!A:I,9,FALSE)</f>
        <v>Germany</v>
      </c>
      <c r="S1101" t="str">
        <f>IFERROR(IF(VLOOKUP(A1101,'Sales Order'!A:H,8,FALSE)&gt;100,"High Freight","Low Freight"),"Not Specified")</f>
        <v>High Freight</v>
      </c>
      <c r="T1101">
        <f t="shared" si="35"/>
        <v>4456.4400000000005</v>
      </c>
    </row>
    <row r="1102" spans="1:20">
      <c r="A1102" s="9">
        <v>10666</v>
      </c>
      <c r="B1102" s="6">
        <v>65</v>
      </c>
      <c r="C1102" s="6">
        <v>21.05</v>
      </c>
      <c r="D1102" s="6">
        <v>10</v>
      </c>
      <c r="E1102" s="18">
        <v>0</v>
      </c>
      <c r="F1102" s="6" t="str">
        <f>IFERROR(VLOOKUP(VLOOKUP(A1102,'Sales Order'!A:B,2,FALSE),Customer!A:C,3,FALSE),"Not Specified")</f>
        <v>Myrcha, Jacek</v>
      </c>
      <c r="G1102" s="6" t="str">
        <f t="shared" si="34"/>
        <v>Myrcha Jacek</v>
      </c>
      <c r="H1102" s="22" t="str">
        <f>IFERROR(VLOOKUP(VLOOKUP(A1102,'Sales Order'!A:C,3,FALSE),Employee!A:E,5,FALSE)&amp;" "&amp;VLOOKUP(VLOOKUP(A1102,'Sales Order'!A:C,3,FALSE),Employee!A:C,3,FALSE)&amp;" "&amp;VLOOKUP(VLOOKUP(A1102,'Sales Order'!A:C,3,FALSE),Employee!A:B,2,FALSE),"Not Specified")</f>
        <v>Mr. Russell King</v>
      </c>
      <c r="I1102">
        <f>IFERROR(VLOOKUP(VLOOKUP(A1102,'Sales Order'!A:C,3,FALSE),Employee!A:J,10,FALSE),"Not Specified")</f>
        <v>0</v>
      </c>
      <c r="J1102" t="str">
        <f>VLOOKUP(B1102,Product!A:B,2,FALSE)</f>
        <v>Product XYWBZ</v>
      </c>
      <c r="K1102" t="str">
        <f>VLOOKUP(VLOOKUP(B1102,Product!A:D,4,FALSE),Category!A:B,2,FALSE)</f>
        <v>Condiments</v>
      </c>
      <c r="L1102" s="24">
        <f>IFERROR(VLOOKUP(A1102,'Sales Order'!A:D,4,FALSE),"")</f>
        <v>39337</v>
      </c>
      <c r="M1102" s="24">
        <f>IFERROR(VLOOKUP(A1102,'Sales Order'!A:F,6,FALSE),"")</f>
        <v>39347</v>
      </c>
      <c r="N1102" t="str">
        <f>IFERROR(VLOOKUP(VLOOKUP(A1102,'Sales Order'!A:G,7,FALSE),Shipper!A:B,2,FALSE),"Not Specified")</f>
        <v>Shipper ETYNR</v>
      </c>
      <c r="O1102" t="str">
        <f>IFERROR(VLOOKUP(A1102,'Sales Order'!A:I,9,FALSE),"Not Specified")</f>
        <v>Ship to 68-A</v>
      </c>
      <c r="P1102" t="str">
        <f>IFERROR(VLOOKUP(A1102,'Sales Order'!A:N,14,FALSE),"Not Specified")</f>
        <v>Switzerland</v>
      </c>
      <c r="Q1102" t="str">
        <f>VLOOKUP(VLOOKUP(B1102,Product!A:C,3,FALSE),Supplier!A:B,2,FALSE)</f>
        <v>Supplier VHQZD</v>
      </c>
      <c r="R1102" t="str">
        <f>VLOOKUP(VLOOKUP(B1102,Product!A:C,3,FALSE),Supplier!A:I,9,FALSE)</f>
        <v>USA</v>
      </c>
      <c r="S1102" t="str">
        <f>IFERROR(IF(VLOOKUP(A1102,'Sales Order'!A:H,8,FALSE)&gt;100,"High Freight","Low Freight"),"Not Specified")</f>
        <v>High Freight</v>
      </c>
      <c r="T1102">
        <f t="shared" si="35"/>
        <v>210.5</v>
      </c>
    </row>
    <row r="1103" spans="1:20">
      <c r="A1103" s="9">
        <v>10667</v>
      </c>
      <c r="B1103" s="6">
        <v>69</v>
      </c>
      <c r="C1103" s="6">
        <v>36</v>
      </c>
      <c r="D1103" s="6">
        <v>45</v>
      </c>
      <c r="E1103" s="18">
        <v>0.2</v>
      </c>
      <c r="F1103" s="6" t="str">
        <f>IFERROR(VLOOKUP(VLOOKUP(A1103,'Sales Order'!A:B,2,FALSE),Customer!A:C,3,FALSE),"Not Specified")</f>
        <v>Kane, John</v>
      </c>
      <c r="G1103" s="6" t="str">
        <f t="shared" si="34"/>
        <v>Kane John</v>
      </c>
      <c r="H1103" s="22" t="str">
        <f>IFERROR(VLOOKUP(VLOOKUP(A1103,'Sales Order'!A:C,3,FALSE),Employee!A:E,5,FALSE)&amp;" "&amp;VLOOKUP(VLOOKUP(A1103,'Sales Order'!A:C,3,FALSE),Employee!A:C,3,FALSE)&amp;" "&amp;VLOOKUP(VLOOKUP(A1103,'Sales Order'!A:C,3,FALSE),Employee!A:B,2,FALSE),"Not Specified")</f>
        <v>Mr. Russell King</v>
      </c>
      <c r="I1103">
        <f>IFERROR(VLOOKUP(VLOOKUP(A1103,'Sales Order'!A:C,3,FALSE),Employee!A:J,10,FALSE),"Not Specified")</f>
        <v>0</v>
      </c>
      <c r="J1103" t="str">
        <f>VLOOKUP(B1103,Product!A:B,2,FALSE)</f>
        <v>Product COAXA</v>
      </c>
      <c r="K1103" t="str">
        <f>VLOOKUP(VLOOKUP(B1103,Product!A:D,4,FALSE),Category!A:B,2,FALSE)</f>
        <v>Dairy Product</v>
      </c>
      <c r="L1103" s="24">
        <f>IFERROR(VLOOKUP(A1103,'Sales Order'!A:D,4,FALSE),"")</f>
        <v>39337</v>
      </c>
      <c r="M1103" s="24">
        <f>IFERROR(VLOOKUP(A1103,'Sales Order'!A:F,6,FALSE),"")</f>
        <v>39344</v>
      </c>
      <c r="N1103" t="str">
        <f>IFERROR(VLOOKUP(VLOOKUP(A1103,'Sales Order'!A:G,7,FALSE),Shipper!A:B,2,FALSE),"Not Specified")</f>
        <v>Shipper GVSUA</v>
      </c>
      <c r="O1103" t="str">
        <f>IFERROR(VLOOKUP(A1103,'Sales Order'!A:I,9,FALSE),"Not Specified")</f>
        <v>Destination CUVPF</v>
      </c>
      <c r="P1103" t="str">
        <f>IFERROR(VLOOKUP(A1103,'Sales Order'!A:N,14,FALSE),"Not Specified")</f>
        <v>Austria</v>
      </c>
      <c r="Q1103" t="str">
        <f>VLOOKUP(VLOOKUP(B1103,Product!A:C,3,FALSE),Supplier!A:B,2,FALSE)</f>
        <v>Supplier NZLIF</v>
      </c>
      <c r="R1103" t="str">
        <f>VLOOKUP(VLOOKUP(B1103,Product!A:C,3,FALSE),Supplier!A:I,9,FALSE)</f>
        <v>Norway</v>
      </c>
      <c r="S1103" t="str">
        <f>IFERROR(IF(VLOOKUP(A1103,'Sales Order'!A:H,8,FALSE)&gt;100,"High Freight","Low Freight"),"Not Specified")</f>
        <v>Low Freight</v>
      </c>
      <c r="T1103">
        <f t="shared" si="35"/>
        <v>1296</v>
      </c>
    </row>
    <row r="1104" spans="1:20">
      <c r="A1104" s="9">
        <v>10667</v>
      </c>
      <c r="B1104" s="6">
        <v>71</v>
      </c>
      <c r="C1104" s="6">
        <v>21.5</v>
      </c>
      <c r="D1104" s="6">
        <v>14</v>
      </c>
      <c r="E1104" s="18">
        <v>0.2</v>
      </c>
      <c r="F1104" s="6" t="str">
        <f>IFERROR(VLOOKUP(VLOOKUP(A1104,'Sales Order'!A:B,2,FALSE),Customer!A:C,3,FALSE),"Not Specified")</f>
        <v>Kane, John</v>
      </c>
      <c r="G1104" s="6" t="str">
        <f t="shared" si="34"/>
        <v>Kane John</v>
      </c>
      <c r="H1104" s="22" t="str">
        <f>IFERROR(VLOOKUP(VLOOKUP(A1104,'Sales Order'!A:C,3,FALSE),Employee!A:E,5,FALSE)&amp;" "&amp;VLOOKUP(VLOOKUP(A1104,'Sales Order'!A:C,3,FALSE),Employee!A:C,3,FALSE)&amp;" "&amp;VLOOKUP(VLOOKUP(A1104,'Sales Order'!A:C,3,FALSE),Employee!A:B,2,FALSE),"Not Specified")</f>
        <v>Mr. Russell King</v>
      </c>
      <c r="I1104">
        <f>IFERROR(VLOOKUP(VLOOKUP(A1104,'Sales Order'!A:C,3,FALSE),Employee!A:J,10,FALSE),"Not Specified")</f>
        <v>0</v>
      </c>
      <c r="J1104" t="str">
        <f>VLOOKUP(B1104,Product!A:B,2,FALSE)</f>
        <v>Product MYMOI</v>
      </c>
      <c r="K1104" t="str">
        <f>VLOOKUP(VLOOKUP(B1104,Product!A:D,4,FALSE),Category!A:B,2,FALSE)</f>
        <v>Dairy Product</v>
      </c>
      <c r="L1104" s="24">
        <f>IFERROR(VLOOKUP(A1104,'Sales Order'!A:D,4,FALSE),"")</f>
        <v>39337</v>
      </c>
      <c r="M1104" s="24">
        <f>IFERROR(VLOOKUP(A1104,'Sales Order'!A:F,6,FALSE),"")</f>
        <v>39344</v>
      </c>
      <c r="N1104" t="str">
        <f>IFERROR(VLOOKUP(VLOOKUP(A1104,'Sales Order'!A:G,7,FALSE),Shipper!A:B,2,FALSE),"Not Specified")</f>
        <v>Shipper GVSUA</v>
      </c>
      <c r="O1104" t="str">
        <f>IFERROR(VLOOKUP(A1104,'Sales Order'!A:I,9,FALSE),"Not Specified")</f>
        <v>Destination CUVPF</v>
      </c>
      <c r="P1104" t="str">
        <f>IFERROR(VLOOKUP(A1104,'Sales Order'!A:N,14,FALSE),"Not Specified")</f>
        <v>Austria</v>
      </c>
      <c r="Q1104" t="str">
        <f>VLOOKUP(VLOOKUP(B1104,Product!A:C,3,FALSE),Supplier!A:B,2,FALSE)</f>
        <v>Supplier NZLIF</v>
      </c>
      <c r="R1104" t="str">
        <f>VLOOKUP(VLOOKUP(B1104,Product!A:C,3,FALSE),Supplier!A:I,9,FALSE)</f>
        <v>Norway</v>
      </c>
      <c r="S1104" t="str">
        <f>IFERROR(IF(VLOOKUP(A1104,'Sales Order'!A:H,8,FALSE)&gt;100,"High Freight","Low Freight"),"Not Specified")</f>
        <v>Low Freight</v>
      </c>
      <c r="T1104">
        <f t="shared" si="35"/>
        <v>240.8</v>
      </c>
    </row>
    <row r="1105" spans="1:20">
      <c r="A1105" s="9">
        <v>10668</v>
      </c>
      <c r="B1105" s="6">
        <v>31</v>
      </c>
      <c r="C1105" s="6">
        <v>12.5</v>
      </c>
      <c r="D1105" s="6">
        <v>8</v>
      </c>
      <c r="E1105" s="18">
        <v>0.1</v>
      </c>
      <c r="F1105" s="6" t="str">
        <f>IFERROR(VLOOKUP(VLOOKUP(A1105,'Sales Order'!A:B,2,FALSE),Customer!A:C,3,FALSE),"Not Specified")</f>
        <v>Syamala, Manoj</v>
      </c>
      <c r="G1105" s="6" t="str">
        <f t="shared" si="34"/>
        <v>Syamala Manoj</v>
      </c>
      <c r="H1105" s="22" t="str">
        <f>IFERROR(VLOOKUP(VLOOKUP(A1105,'Sales Order'!A:C,3,FALSE),Employee!A:E,5,FALSE)&amp;" "&amp;VLOOKUP(VLOOKUP(A1105,'Sales Order'!A:C,3,FALSE),Employee!A:C,3,FALSE)&amp;" "&amp;VLOOKUP(VLOOKUP(A1105,'Sales Order'!A:C,3,FALSE),Employee!A:B,2,FALSE),"Not Specified")</f>
        <v>Ms. Sara Davis</v>
      </c>
      <c r="I1105" t="str">
        <f>IFERROR(VLOOKUP(VLOOKUP(A1105,'Sales Order'!A:C,3,FALSE),Employee!A:J,10,FALSE),"Not Specified")</f>
        <v>WA</v>
      </c>
      <c r="J1105" t="str">
        <f>VLOOKUP(B1105,Product!A:B,2,FALSE)</f>
        <v>Product XWOXC</v>
      </c>
      <c r="K1105" t="str">
        <f>VLOOKUP(VLOOKUP(B1105,Product!A:D,4,FALSE),Category!A:B,2,FALSE)</f>
        <v>Dairy Product</v>
      </c>
      <c r="L1105" s="24">
        <f>IFERROR(VLOOKUP(A1105,'Sales Order'!A:D,4,FALSE),"")</f>
        <v>39340</v>
      </c>
      <c r="M1105" s="24">
        <f>IFERROR(VLOOKUP(A1105,'Sales Order'!A:F,6,FALSE),"")</f>
        <v>39348</v>
      </c>
      <c r="N1105" t="str">
        <f>IFERROR(VLOOKUP(VLOOKUP(A1105,'Sales Order'!A:G,7,FALSE),Shipper!A:B,2,FALSE),"Not Specified")</f>
        <v>Shipper ETYNR</v>
      </c>
      <c r="O1105" t="str">
        <f>IFERROR(VLOOKUP(A1105,'Sales Order'!A:I,9,FALSE),"Not Specified")</f>
        <v>Ship to 86-C</v>
      </c>
      <c r="P1105" t="str">
        <f>IFERROR(VLOOKUP(A1105,'Sales Order'!A:N,14,FALSE),"Not Specified")</f>
        <v>Germany</v>
      </c>
      <c r="Q1105" t="str">
        <f>VLOOKUP(VLOOKUP(B1105,Product!A:C,3,FALSE),Supplier!A:B,2,FALSE)</f>
        <v>Supplier KEREV</v>
      </c>
      <c r="R1105" t="str">
        <f>VLOOKUP(VLOOKUP(B1105,Product!A:C,3,FALSE),Supplier!A:I,9,FALSE)</f>
        <v>Italy</v>
      </c>
      <c r="S1105" t="str">
        <f>IFERROR(IF(VLOOKUP(A1105,'Sales Order'!A:H,8,FALSE)&gt;100,"High Freight","Low Freight"),"Not Specified")</f>
        <v>Low Freight</v>
      </c>
      <c r="T1105">
        <f t="shared" si="35"/>
        <v>90</v>
      </c>
    </row>
    <row r="1106" spans="1:20">
      <c r="A1106" s="9">
        <v>10668</v>
      </c>
      <c r="B1106" s="6">
        <v>55</v>
      </c>
      <c r="C1106" s="6">
        <v>24</v>
      </c>
      <c r="D1106" s="6">
        <v>4</v>
      </c>
      <c r="E1106" s="18">
        <v>0.1</v>
      </c>
      <c r="F1106" s="6" t="str">
        <f>IFERROR(VLOOKUP(VLOOKUP(A1106,'Sales Order'!A:B,2,FALSE),Customer!A:C,3,FALSE),"Not Specified")</f>
        <v>Syamala, Manoj</v>
      </c>
      <c r="G1106" s="6" t="str">
        <f t="shared" si="34"/>
        <v>Syamala Manoj</v>
      </c>
      <c r="H1106" s="22" t="str">
        <f>IFERROR(VLOOKUP(VLOOKUP(A1106,'Sales Order'!A:C,3,FALSE),Employee!A:E,5,FALSE)&amp;" "&amp;VLOOKUP(VLOOKUP(A1106,'Sales Order'!A:C,3,FALSE),Employee!A:C,3,FALSE)&amp;" "&amp;VLOOKUP(VLOOKUP(A1106,'Sales Order'!A:C,3,FALSE),Employee!A:B,2,FALSE),"Not Specified")</f>
        <v>Ms. Sara Davis</v>
      </c>
      <c r="I1106" t="str">
        <f>IFERROR(VLOOKUP(VLOOKUP(A1106,'Sales Order'!A:C,3,FALSE),Employee!A:J,10,FALSE),"Not Specified")</f>
        <v>WA</v>
      </c>
      <c r="J1106" t="str">
        <f>VLOOKUP(B1106,Product!A:B,2,FALSE)</f>
        <v>Product YYWRT</v>
      </c>
      <c r="K1106" t="str">
        <f>VLOOKUP(VLOOKUP(B1106,Product!A:D,4,FALSE),Category!A:B,2,FALSE)</f>
        <v>Meat/Poultry</v>
      </c>
      <c r="L1106" s="24">
        <f>IFERROR(VLOOKUP(A1106,'Sales Order'!A:D,4,FALSE),"")</f>
        <v>39340</v>
      </c>
      <c r="M1106" s="24">
        <f>IFERROR(VLOOKUP(A1106,'Sales Order'!A:F,6,FALSE),"")</f>
        <v>39348</v>
      </c>
      <c r="N1106" t="str">
        <f>IFERROR(VLOOKUP(VLOOKUP(A1106,'Sales Order'!A:G,7,FALSE),Shipper!A:B,2,FALSE),"Not Specified")</f>
        <v>Shipper ETYNR</v>
      </c>
      <c r="O1106" t="str">
        <f>IFERROR(VLOOKUP(A1106,'Sales Order'!A:I,9,FALSE),"Not Specified")</f>
        <v>Ship to 86-C</v>
      </c>
      <c r="P1106" t="str">
        <f>IFERROR(VLOOKUP(A1106,'Sales Order'!A:N,14,FALSE),"Not Specified")</f>
        <v>Germany</v>
      </c>
      <c r="Q1106" t="str">
        <f>VLOOKUP(VLOOKUP(B1106,Product!A:C,3,FALSE),Supplier!A:B,2,FALSE)</f>
        <v>Supplier ERVYZ</v>
      </c>
      <c r="R1106" t="str">
        <f>VLOOKUP(VLOOKUP(B1106,Product!A:C,3,FALSE),Supplier!A:I,9,FALSE)</f>
        <v>Canada</v>
      </c>
      <c r="S1106" t="str">
        <f>IFERROR(IF(VLOOKUP(A1106,'Sales Order'!A:H,8,FALSE)&gt;100,"High Freight","Low Freight"),"Not Specified")</f>
        <v>Low Freight</v>
      </c>
      <c r="T1106">
        <f t="shared" si="35"/>
        <v>86.4</v>
      </c>
    </row>
    <row r="1107" spans="1:20">
      <c r="A1107" s="9">
        <v>10668</v>
      </c>
      <c r="B1107" s="6">
        <v>64</v>
      </c>
      <c r="C1107" s="6">
        <v>33.25</v>
      </c>
      <c r="D1107" s="6">
        <v>15</v>
      </c>
      <c r="E1107" s="18">
        <v>0.1</v>
      </c>
      <c r="F1107" s="6" t="str">
        <f>IFERROR(VLOOKUP(VLOOKUP(A1107,'Sales Order'!A:B,2,FALSE),Customer!A:C,3,FALSE),"Not Specified")</f>
        <v>Syamala, Manoj</v>
      </c>
      <c r="G1107" s="6" t="str">
        <f t="shared" si="34"/>
        <v>Syamala Manoj</v>
      </c>
      <c r="H1107" s="22" t="str">
        <f>IFERROR(VLOOKUP(VLOOKUP(A1107,'Sales Order'!A:C,3,FALSE),Employee!A:E,5,FALSE)&amp;" "&amp;VLOOKUP(VLOOKUP(A1107,'Sales Order'!A:C,3,FALSE),Employee!A:C,3,FALSE)&amp;" "&amp;VLOOKUP(VLOOKUP(A1107,'Sales Order'!A:C,3,FALSE),Employee!A:B,2,FALSE),"Not Specified")</f>
        <v>Ms. Sara Davis</v>
      </c>
      <c r="I1107" t="str">
        <f>IFERROR(VLOOKUP(VLOOKUP(A1107,'Sales Order'!A:C,3,FALSE),Employee!A:J,10,FALSE),"Not Specified")</f>
        <v>WA</v>
      </c>
      <c r="J1107" t="str">
        <f>VLOOKUP(B1107,Product!A:B,2,FALSE)</f>
        <v>Product HCQDE</v>
      </c>
      <c r="K1107" t="str">
        <f>VLOOKUP(VLOOKUP(B1107,Product!A:D,4,FALSE),Category!A:B,2,FALSE)</f>
        <v>Grains/Cereals</v>
      </c>
      <c r="L1107" s="24">
        <f>IFERROR(VLOOKUP(A1107,'Sales Order'!A:D,4,FALSE),"")</f>
        <v>39340</v>
      </c>
      <c r="M1107" s="24">
        <f>IFERROR(VLOOKUP(A1107,'Sales Order'!A:F,6,FALSE),"")</f>
        <v>39348</v>
      </c>
      <c r="N1107" t="str">
        <f>IFERROR(VLOOKUP(VLOOKUP(A1107,'Sales Order'!A:G,7,FALSE),Shipper!A:B,2,FALSE),"Not Specified")</f>
        <v>Shipper ETYNR</v>
      </c>
      <c r="O1107" t="str">
        <f>IFERROR(VLOOKUP(A1107,'Sales Order'!A:I,9,FALSE),"Not Specified")</f>
        <v>Ship to 86-C</v>
      </c>
      <c r="P1107" t="str">
        <f>IFERROR(VLOOKUP(A1107,'Sales Order'!A:N,14,FALSE),"Not Specified")</f>
        <v>Germany</v>
      </c>
      <c r="Q1107" t="str">
        <f>VLOOKUP(VLOOKUP(B1107,Product!A:C,3,FALSE),Supplier!A:B,2,FALSE)</f>
        <v>Supplier SVIYA</v>
      </c>
      <c r="R1107" t="str">
        <f>VLOOKUP(VLOOKUP(B1107,Product!A:C,3,FALSE),Supplier!A:I,9,FALSE)</f>
        <v>Germany</v>
      </c>
      <c r="S1107" t="str">
        <f>IFERROR(IF(VLOOKUP(A1107,'Sales Order'!A:H,8,FALSE)&gt;100,"High Freight","Low Freight"),"Not Specified")</f>
        <v>Low Freight</v>
      </c>
      <c r="T1107">
        <f t="shared" si="35"/>
        <v>448.875</v>
      </c>
    </row>
    <row r="1108" spans="1:20">
      <c r="A1108" s="9">
        <v>10669</v>
      </c>
      <c r="B1108" s="6">
        <v>36</v>
      </c>
      <c r="C1108" s="6">
        <v>19</v>
      </c>
      <c r="D1108" s="6">
        <v>30</v>
      </c>
      <c r="E1108" s="18">
        <v>0</v>
      </c>
      <c r="F1108" s="6" t="str">
        <f>IFERROR(VLOOKUP(VLOOKUP(A1108,'Sales Order'!A:B,2,FALSE),Customer!A:C,3,FALSE),"Not Specified")</f>
        <v>Gonzalez, Nuria</v>
      </c>
      <c r="G1108" s="6" t="str">
        <f t="shared" si="34"/>
        <v>Gonzalez Nuria</v>
      </c>
      <c r="H1108" s="22" t="str">
        <f>IFERROR(VLOOKUP(VLOOKUP(A1108,'Sales Order'!A:C,3,FALSE),Employee!A:E,5,FALSE)&amp;" "&amp;VLOOKUP(VLOOKUP(A1108,'Sales Order'!A:C,3,FALSE),Employee!A:C,3,FALSE)&amp;" "&amp;VLOOKUP(VLOOKUP(A1108,'Sales Order'!A:C,3,FALSE),Employee!A:B,2,FALSE),"Not Specified")</f>
        <v>Dr. Don Funk</v>
      </c>
      <c r="I1108" t="str">
        <f>IFERROR(VLOOKUP(VLOOKUP(A1108,'Sales Order'!A:C,3,FALSE),Employee!A:J,10,FALSE),"Not Specified")</f>
        <v>WA</v>
      </c>
      <c r="J1108" t="str">
        <f>VLOOKUP(B1108,Product!A:B,2,FALSE)</f>
        <v>Product GMKIJ</v>
      </c>
      <c r="K1108" t="str">
        <f>VLOOKUP(VLOOKUP(B1108,Product!A:D,4,FALSE),Category!A:B,2,FALSE)</f>
        <v>Seafood</v>
      </c>
      <c r="L1108" s="24">
        <f>IFERROR(VLOOKUP(A1108,'Sales Order'!A:D,4,FALSE),"")</f>
        <v>39340</v>
      </c>
      <c r="M1108" s="24">
        <f>IFERROR(VLOOKUP(A1108,'Sales Order'!A:F,6,FALSE),"")</f>
        <v>39347</v>
      </c>
      <c r="N1108" t="str">
        <f>IFERROR(VLOOKUP(VLOOKUP(A1108,'Sales Order'!A:G,7,FALSE),Shipper!A:B,2,FALSE),"Not Specified")</f>
        <v>Shipper GVSUA</v>
      </c>
      <c r="O1108" t="str">
        <f>IFERROR(VLOOKUP(A1108,'Sales Order'!A:I,9,FALSE),"Not Specified")</f>
        <v>Ship to 73-A</v>
      </c>
      <c r="P1108" t="str">
        <f>IFERROR(VLOOKUP(A1108,'Sales Order'!A:N,14,FALSE),"Not Specified")</f>
        <v>Denmark</v>
      </c>
      <c r="Q1108" t="str">
        <f>VLOOKUP(VLOOKUP(B1108,Product!A:C,3,FALSE),Supplier!A:B,2,FALSE)</f>
        <v>Supplier QZGUF</v>
      </c>
      <c r="R1108" t="str">
        <f>VLOOKUP(VLOOKUP(B1108,Product!A:C,3,FALSE),Supplier!A:I,9,FALSE)</f>
        <v>Sweden</v>
      </c>
      <c r="S1108" t="str">
        <f>IFERROR(IF(VLOOKUP(A1108,'Sales Order'!A:H,8,FALSE)&gt;100,"High Freight","Low Freight"),"Not Specified")</f>
        <v>Low Freight</v>
      </c>
      <c r="T1108">
        <f t="shared" si="35"/>
        <v>570</v>
      </c>
    </row>
    <row r="1109" spans="1:20">
      <c r="A1109" s="9">
        <v>10670</v>
      </c>
      <c r="B1109" s="6">
        <v>23</v>
      </c>
      <c r="C1109" s="6">
        <v>9</v>
      </c>
      <c r="D1109" s="6">
        <v>32</v>
      </c>
      <c r="E1109" s="18">
        <v>0</v>
      </c>
      <c r="F1109" s="6" t="str">
        <f>IFERROR(VLOOKUP(VLOOKUP(A1109,'Sales Order'!A:B,2,FALSE),Customer!A:C,3,FALSE),"Not Specified")</f>
        <v>Carlson, Jason</v>
      </c>
      <c r="G1109" s="6" t="str">
        <f t="shared" si="34"/>
        <v>Carlson Jason</v>
      </c>
      <c r="H1109" s="22" t="str">
        <f>IFERROR(VLOOKUP(VLOOKUP(A1109,'Sales Order'!A:C,3,FALSE),Employee!A:E,5,FALSE)&amp;" "&amp;VLOOKUP(VLOOKUP(A1109,'Sales Order'!A:C,3,FALSE),Employee!A:C,3,FALSE)&amp;" "&amp;VLOOKUP(VLOOKUP(A1109,'Sales Order'!A:C,3,FALSE),Employee!A:B,2,FALSE),"Not Specified")</f>
        <v>Mrs. Yael Peled</v>
      </c>
      <c r="I1109" t="str">
        <f>IFERROR(VLOOKUP(VLOOKUP(A1109,'Sales Order'!A:C,3,FALSE),Employee!A:J,10,FALSE),"Not Specified")</f>
        <v>WA</v>
      </c>
      <c r="J1109" t="str">
        <f>VLOOKUP(B1109,Product!A:B,2,FALSE)</f>
        <v>Product JLUDZ</v>
      </c>
      <c r="K1109" t="str">
        <f>VLOOKUP(VLOOKUP(B1109,Product!A:D,4,FALSE),Category!A:B,2,FALSE)</f>
        <v>Grains/Cereals</v>
      </c>
      <c r="L1109" s="24">
        <f>IFERROR(VLOOKUP(A1109,'Sales Order'!A:D,4,FALSE),"")</f>
        <v>39341</v>
      </c>
      <c r="M1109" s="24">
        <f>IFERROR(VLOOKUP(A1109,'Sales Order'!A:F,6,FALSE),"")</f>
        <v>39343</v>
      </c>
      <c r="N1109" t="str">
        <f>IFERROR(VLOOKUP(VLOOKUP(A1109,'Sales Order'!A:G,7,FALSE),Shipper!A:B,2,FALSE),"Not Specified")</f>
        <v>Shipper GVSUA</v>
      </c>
      <c r="O1109" t="str">
        <f>IFERROR(VLOOKUP(A1109,'Sales Order'!A:I,9,FALSE),"Not Specified")</f>
        <v>Destination QOCBL</v>
      </c>
      <c r="P1109" t="str">
        <f>IFERROR(VLOOKUP(A1109,'Sales Order'!A:N,14,FALSE),"Not Specified")</f>
        <v>Germany</v>
      </c>
      <c r="Q1109" t="str">
        <f>VLOOKUP(VLOOKUP(B1109,Product!A:C,3,FALSE),Supplier!A:B,2,FALSE)</f>
        <v>Supplier QQYEU</v>
      </c>
      <c r="R1109" t="str">
        <f>VLOOKUP(VLOOKUP(B1109,Product!A:C,3,FALSE),Supplier!A:I,9,FALSE)</f>
        <v>Sweden</v>
      </c>
      <c r="S1109" t="str">
        <f>IFERROR(IF(VLOOKUP(A1109,'Sales Order'!A:H,8,FALSE)&gt;100,"High Freight","Low Freight"),"Not Specified")</f>
        <v>High Freight</v>
      </c>
      <c r="T1109">
        <f t="shared" si="35"/>
        <v>288</v>
      </c>
    </row>
    <row r="1110" spans="1:20">
      <c r="A1110" s="9">
        <v>10670</v>
      </c>
      <c r="B1110" s="6">
        <v>46</v>
      </c>
      <c r="C1110" s="6">
        <v>12</v>
      </c>
      <c r="D1110" s="6">
        <v>60</v>
      </c>
      <c r="E1110" s="18">
        <v>0</v>
      </c>
      <c r="F1110" s="6" t="str">
        <f>IFERROR(VLOOKUP(VLOOKUP(A1110,'Sales Order'!A:B,2,FALSE),Customer!A:C,3,FALSE),"Not Specified")</f>
        <v>Carlson, Jason</v>
      </c>
      <c r="G1110" s="6" t="str">
        <f t="shared" si="34"/>
        <v>Carlson Jason</v>
      </c>
      <c r="H1110" s="22" t="str">
        <f>IFERROR(VLOOKUP(VLOOKUP(A1110,'Sales Order'!A:C,3,FALSE),Employee!A:E,5,FALSE)&amp;" "&amp;VLOOKUP(VLOOKUP(A1110,'Sales Order'!A:C,3,FALSE),Employee!A:C,3,FALSE)&amp;" "&amp;VLOOKUP(VLOOKUP(A1110,'Sales Order'!A:C,3,FALSE),Employee!A:B,2,FALSE),"Not Specified")</f>
        <v>Mrs. Yael Peled</v>
      </c>
      <c r="I1110" t="str">
        <f>IFERROR(VLOOKUP(VLOOKUP(A1110,'Sales Order'!A:C,3,FALSE),Employee!A:J,10,FALSE),"Not Specified")</f>
        <v>WA</v>
      </c>
      <c r="J1110" t="str">
        <f>VLOOKUP(B1110,Product!A:B,2,FALSE)</f>
        <v>Product CBRRL</v>
      </c>
      <c r="K1110" t="str">
        <f>VLOOKUP(VLOOKUP(B1110,Product!A:D,4,FALSE),Category!A:B,2,FALSE)</f>
        <v>Seafood</v>
      </c>
      <c r="L1110" s="24">
        <f>IFERROR(VLOOKUP(A1110,'Sales Order'!A:D,4,FALSE),"")</f>
        <v>39341</v>
      </c>
      <c r="M1110" s="24">
        <f>IFERROR(VLOOKUP(A1110,'Sales Order'!A:F,6,FALSE),"")</f>
        <v>39343</v>
      </c>
      <c r="N1110" t="str">
        <f>IFERROR(VLOOKUP(VLOOKUP(A1110,'Sales Order'!A:G,7,FALSE),Shipper!A:B,2,FALSE),"Not Specified")</f>
        <v>Shipper GVSUA</v>
      </c>
      <c r="O1110" t="str">
        <f>IFERROR(VLOOKUP(A1110,'Sales Order'!A:I,9,FALSE),"Not Specified")</f>
        <v>Destination QOCBL</v>
      </c>
      <c r="P1110" t="str">
        <f>IFERROR(VLOOKUP(A1110,'Sales Order'!A:N,14,FALSE),"Not Specified")</f>
        <v>Germany</v>
      </c>
      <c r="Q1110" t="str">
        <f>VLOOKUP(VLOOKUP(B1110,Product!A:C,3,FALSE),Supplier!A:B,2,FALSE)</f>
        <v>Supplier XOXZA</v>
      </c>
      <c r="R1110" t="str">
        <f>VLOOKUP(VLOOKUP(B1110,Product!A:C,3,FALSE),Supplier!A:I,9,FALSE)</f>
        <v>Denmark</v>
      </c>
      <c r="S1110" t="str">
        <f>IFERROR(IF(VLOOKUP(A1110,'Sales Order'!A:H,8,FALSE)&gt;100,"High Freight","Low Freight"),"Not Specified")</f>
        <v>High Freight</v>
      </c>
      <c r="T1110">
        <f t="shared" si="35"/>
        <v>720</v>
      </c>
    </row>
    <row r="1111" spans="1:20">
      <c r="A1111" s="9">
        <v>10670</v>
      </c>
      <c r="B1111" s="6">
        <v>67</v>
      </c>
      <c r="C1111" s="6">
        <v>14</v>
      </c>
      <c r="D1111" s="6">
        <v>25</v>
      </c>
      <c r="E1111" s="18">
        <v>0</v>
      </c>
      <c r="F1111" s="6" t="str">
        <f>IFERROR(VLOOKUP(VLOOKUP(A1111,'Sales Order'!A:B,2,FALSE),Customer!A:C,3,FALSE),"Not Specified")</f>
        <v>Carlson, Jason</v>
      </c>
      <c r="G1111" s="6" t="str">
        <f t="shared" si="34"/>
        <v>Carlson Jason</v>
      </c>
      <c r="H1111" s="22" t="str">
        <f>IFERROR(VLOOKUP(VLOOKUP(A1111,'Sales Order'!A:C,3,FALSE),Employee!A:E,5,FALSE)&amp;" "&amp;VLOOKUP(VLOOKUP(A1111,'Sales Order'!A:C,3,FALSE),Employee!A:C,3,FALSE)&amp;" "&amp;VLOOKUP(VLOOKUP(A1111,'Sales Order'!A:C,3,FALSE),Employee!A:B,2,FALSE),"Not Specified")</f>
        <v>Mrs. Yael Peled</v>
      </c>
      <c r="I1111" t="str">
        <f>IFERROR(VLOOKUP(VLOOKUP(A1111,'Sales Order'!A:C,3,FALSE),Employee!A:J,10,FALSE),"Not Specified")</f>
        <v>WA</v>
      </c>
      <c r="J1111" t="str">
        <f>VLOOKUP(B1111,Product!A:B,2,FALSE)</f>
        <v>Product XLXQF</v>
      </c>
      <c r="K1111" t="str">
        <f>VLOOKUP(VLOOKUP(B1111,Product!A:D,4,FALSE),Category!A:B,2,FALSE)</f>
        <v>Beverages</v>
      </c>
      <c r="L1111" s="24">
        <f>IFERROR(VLOOKUP(A1111,'Sales Order'!A:D,4,FALSE),"")</f>
        <v>39341</v>
      </c>
      <c r="M1111" s="24">
        <f>IFERROR(VLOOKUP(A1111,'Sales Order'!A:F,6,FALSE),"")</f>
        <v>39343</v>
      </c>
      <c r="N1111" t="str">
        <f>IFERROR(VLOOKUP(VLOOKUP(A1111,'Sales Order'!A:G,7,FALSE),Shipper!A:B,2,FALSE),"Not Specified")</f>
        <v>Shipper GVSUA</v>
      </c>
      <c r="O1111" t="str">
        <f>IFERROR(VLOOKUP(A1111,'Sales Order'!A:I,9,FALSE),"Not Specified")</f>
        <v>Destination QOCBL</v>
      </c>
      <c r="P1111" t="str">
        <f>IFERROR(VLOOKUP(A1111,'Sales Order'!A:N,14,FALSE),"Not Specified")</f>
        <v>Germany</v>
      </c>
      <c r="Q1111" t="str">
        <f>VLOOKUP(VLOOKUP(B1111,Product!A:C,3,FALSE),Supplier!A:B,2,FALSE)</f>
        <v>Supplier UHZRG</v>
      </c>
      <c r="R1111" t="str">
        <f>VLOOKUP(VLOOKUP(B1111,Product!A:C,3,FALSE),Supplier!A:I,9,FALSE)</f>
        <v>USA</v>
      </c>
      <c r="S1111" t="str">
        <f>IFERROR(IF(VLOOKUP(A1111,'Sales Order'!A:H,8,FALSE)&gt;100,"High Freight","Low Freight"),"Not Specified")</f>
        <v>High Freight</v>
      </c>
      <c r="T1111">
        <f t="shared" si="35"/>
        <v>350</v>
      </c>
    </row>
    <row r="1112" spans="1:20">
      <c r="A1112" s="9">
        <v>10670</v>
      </c>
      <c r="B1112" s="6">
        <v>73</v>
      </c>
      <c r="C1112" s="6">
        <v>15</v>
      </c>
      <c r="D1112" s="6">
        <v>50</v>
      </c>
      <c r="E1112" s="18">
        <v>0</v>
      </c>
      <c r="F1112" s="6" t="str">
        <f>IFERROR(VLOOKUP(VLOOKUP(A1112,'Sales Order'!A:B,2,FALSE),Customer!A:C,3,FALSE),"Not Specified")</f>
        <v>Carlson, Jason</v>
      </c>
      <c r="G1112" s="6" t="str">
        <f t="shared" si="34"/>
        <v>Carlson Jason</v>
      </c>
      <c r="H1112" s="22" t="str">
        <f>IFERROR(VLOOKUP(VLOOKUP(A1112,'Sales Order'!A:C,3,FALSE),Employee!A:E,5,FALSE)&amp;" "&amp;VLOOKUP(VLOOKUP(A1112,'Sales Order'!A:C,3,FALSE),Employee!A:C,3,FALSE)&amp;" "&amp;VLOOKUP(VLOOKUP(A1112,'Sales Order'!A:C,3,FALSE),Employee!A:B,2,FALSE),"Not Specified")</f>
        <v>Mrs. Yael Peled</v>
      </c>
      <c r="I1112" t="str">
        <f>IFERROR(VLOOKUP(VLOOKUP(A1112,'Sales Order'!A:C,3,FALSE),Employee!A:J,10,FALSE),"Not Specified")</f>
        <v>WA</v>
      </c>
      <c r="J1112" t="str">
        <f>VLOOKUP(B1112,Product!A:B,2,FALSE)</f>
        <v>Product WEUJZ</v>
      </c>
      <c r="K1112" t="str">
        <f>VLOOKUP(VLOOKUP(B1112,Product!A:D,4,FALSE),Category!A:B,2,FALSE)</f>
        <v>Seafood</v>
      </c>
      <c r="L1112" s="24">
        <f>IFERROR(VLOOKUP(A1112,'Sales Order'!A:D,4,FALSE),"")</f>
        <v>39341</v>
      </c>
      <c r="M1112" s="24">
        <f>IFERROR(VLOOKUP(A1112,'Sales Order'!A:F,6,FALSE),"")</f>
        <v>39343</v>
      </c>
      <c r="N1112" t="str">
        <f>IFERROR(VLOOKUP(VLOOKUP(A1112,'Sales Order'!A:G,7,FALSE),Shipper!A:B,2,FALSE),"Not Specified")</f>
        <v>Shipper GVSUA</v>
      </c>
      <c r="O1112" t="str">
        <f>IFERROR(VLOOKUP(A1112,'Sales Order'!A:I,9,FALSE),"Not Specified")</f>
        <v>Destination QOCBL</v>
      </c>
      <c r="P1112" t="str">
        <f>IFERROR(VLOOKUP(A1112,'Sales Order'!A:N,14,FALSE),"Not Specified")</f>
        <v>Germany</v>
      </c>
      <c r="Q1112" t="str">
        <f>VLOOKUP(VLOOKUP(B1112,Product!A:C,3,FALSE),Supplier!A:B,2,FALSE)</f>
        <v>Supplier QZGUF</v>
      </c>
      <c r="R1112" t="str">
        <f>VLOOKUP(VLOOKUP(B1112,Product!A:C,3,FALSE),Supplier!A:I,9,FALSE)</f>
        <v>Sweden</v>
      </c>
      <c r="S1112" t="str">
        <f>IFERROR(IF(VLOOKUP(A1112,'Sales Order'!A:H,8,FALSE)&gt;100,"High Freight","Low Freight"),"Not Specified")</f>
        <v>High Freight</v>
      </c>
      <c r="T1112">
        <f t="shared" si="35"/>
        <v>750</v>
      </c>
    </row>
    <row r="1113" spans="1:20">
      <c r="A1113" s="9">
        <v>10670</v>
      </c>
      <c r="B1113" s="6">
        <v>75</v>
      </c>
      <c r="C1113" s="6">
        <v>7.75</v>
      </c>
      <c r="D1113" s="6">
        <v>25</v>
      </c>
      <c r="E1113" s="18">
        <v>0</v>
      </c>
      <c r="F1113" s="6" t="str">
        <f>IFERROR(VLOOKUP(VLOOKUP(A1113,'Sales Order'!A:B,2,FALSE),Customer!A:C,3,FALSE),"Not Specified")</f>
        <v>Carlson, Jason</v>
      </c>
      <c r="G1113" s="6" t="str">
        <f t="shared" si="34"/>
        <v>Carlson Jason</v>
      </c>
      <c r="H1113" s="22" t="str">
        <f>IFERROR(VLOOKUP(VLOOKUP(A1113,'Sales Order'!A:C,3,FALSE),Employee!A:E,5,FALSE)&amp;" "&amp;VLOOKUP(VLOOKUP(A1113,'Sales Order'!A:C,3,FALSE),Employee!A:C,3,FALSE)&amp;" "&amp;VLOOKUP(VLOOKUP(A1113,'Sales Order'!A:C,3,FALSE),Employee!A:B,2,FALSE),"Not Specified")</f>
        <v>Mrs. Yael Peled</v>
      </c>
      <c r="I1113" t="str">
        <f>IFERROR(VLOOKUP(VLOOKUP(A1113,'Sales Order'!A:C,3,FALSE),Employee!A:J,10,FALSE),"Not Specified")</f>
        <v>WA</v>
      </c>
      <c r="J1113" t="str">
        <f>VLOOKUP(B1113,Product!A:B,2,FALSE)</f>
        <v>Product BWRLG</v>
      </c>
      <c r="K1113" t="str">
        <f>VLOOKUP(VLOOKUP(B1113,Product!A:D,4,FALSE),Category!A:B,2,FALSE)</f>
        <v>Beverages</v>
      </c>
      <c r="L1113" s="24">
        <f>IFERROR(VLOOKUP(A1113,'Sales Order'!A:D,4,FALSE),"")</f>
        <v>39341</v>
      </c>
      <c r="M1113" s="24">
        <f>IFERROR(VLOOKUP(A1113,'Sales Order'!A:F,6,FALSE),"")</f>
        <v>39343</v>
      </c>
      <c r="N1113" t="str">
        <f>IFERROR(VLOOKUP(VLOOKUP(A1113,'Sales Order'!A:G,7,FALSE),Shipper!A:B,2,FALSE),"Not Specified")</f>
        <v>Shipper GVSUA</v>
      </c>
      <c r="O1113" t="str">
        <f>IFERROR(VLOOKUP(A1113,'Sales Order'!A:I,9,FALSE),"Not Specified")</f>
        <v>Destination QOCBL</v>
      </c>
      <c r="P1113" t="str">
        <f>IFERROR(VLOOKUP(A1113,'Sales Order'!A:N,14,FALSE),"Not Specified")</f>
        <v>Germany</v>
      </c>
      <c r="Q1113" t="str">
        <f>VLOOKUP(VLOOKUP(B1113,Product!A:C,3,FALSE),Supplier!A:B,2,FALSE)</f>
        <v>Supplier SVIYA</v>
      </c>
      <c r="R1113" t="str">
        <f>VLOOKUP(VLOOKUP(B1113,Product!A:C,3,FALSE),Supplier!A:I,9,FALSE)</f>
        <v>Germany</v>
      </c>
      <c r="S1113" t="str">
        <f>IFERROR(IF(VLOOKUP(A1113,'Sales Order'!A:H,8,FALSE)&gt;100,"High Freight","Low Freight"),"Not Specified")</f>
        <v>High Freight</v>
      </c>
      <c r="T1113">
        <f t="shared" si="35"/>
        <v>193.75</v>
      </c>
    </row>
    <row r="1114" spans="1:20">
      <c r="A1114" s="9">
        <v>10671</v>
      </c>
      <c r="B1114" s="6">
        <v>16</v>
      </c>
      <c r="C1114" s="6">
        <v>17.45</v>
      </c>
      <c r="D1114" s="6">
        <v>10</v>
      </c>
      <c r="E1114" s="18">
        <v>0</v>
      </c>
      <c r="F1114" s="6" t="str">
        <f>IFERROR(VLOOKUP(VLOOKUP(A1114,'Sales Order'!A:B,2,FALSE),Customer!A:C,3,FALSE),"Not Specified")</f>
        <v>Koch, Paul</v>
      </c>
      <c r="G1114" s="6" t="str">
        <f t="shared" si="34"/>
        <v>Koch Paul</v>
      </c>
      <c r="H1114" s="22" t="str">
        <f>IFERROR(VLOOKUP(VLOOKUP(A1114,'Sales Order'!A:C,3,FALSE),Employee!A:E,5,FALSE)&amp;" "&amp;VLOOKUP(VLOOKUP(A1114,'Sales Order'!A:C,3,FALSE),Employee!A:C,3,FALSE)&amp;" "&amp;VLOOKUP(VLOOKUP(A1114,'Sales Order'!A:C,3,FALSE),Employee!A:B,2,FALSE),"Not Specified")</f>
        <v>Ms. Sara Davis</v>
      </c>
      <c r="I1114" t="str">
        <f>IFERROR(VLOOKUP(VLOOKUP(A1114,'Sales Order'!A:C,3,FALSE),Employee!A:J,10,FALSE),"Not Specified")</f>
        <v>WA</v>
      </c>
      <c r="J1114" t="str">
        <f>VLOOKUP(B1114,Product!A:B,2,FALSE)</f>
        <v>Product PAFRH</v>
      </c>
      <c r="K1114" t="str">
        <f>VLOOKUP(VLOOKUP(B1114,Product!A:D,4,FALSE),Category!A:B,2,FALSE)</f>
        <v>Confections</v>
      </c>
      <c r="L1114" s="24">
        <f>IFERROR(VLOOKUP(A1114,'Sales Order'!A:D,4,FALSE),"")</f>
        <v>39342</v>
      </c>
      <c r="M1114" s="24">
        <f>IFERROR(VLOOKUP(A1114,'Sales Order'!A:F,6,FALSE),"")</f>
        <v>39349</v>
      </c>
      <c r="N1114" t="str">
        <f>IFERROR(VLOOKUP(VLOOKUP(A1114,'Sales Order'!A:G,7,FALSE),Shipper!A:B,2,FALSE),"Not Specified")</f>
        <v>Shipper GVSUA</v>
      </c>
      <c r="O1114" t="str">
        <f>IFERROR(VLOOKUP(A1114,'Sales Order'!A:I,9,FALSE),"Not Specified")</f>
        <v>Destination OPXJT</v>
      </c>
      <c r="P1114" t="str">
        <f>IFERROR(VLOOKUP(A1114,'Sales Order'!A:N,14,FALSE),"Not Specified")</f>
        <v>France</v>
      </c>
      <c r="Q1114" t="str">
        <f>VLOOKUP(VLOOKUP(B1114,Product!A:C,3,FALSE),Supplier!A:B,2,FALSE)</f>
        <v>Supplier GQRCV</v>
      </c>
      <c r="R1114" t="str">
        <f>VLOOKUP(VLOOKUP(B1114,Product!A:C,3,FALSE),Supplier!A:I,9,FALSE)</f>
        <v>Australia</v>
      </c>
      <c r="S1114" t="str">
        <f>IFERROR(IF(VLOOKUP(A1114,'Sales Order'!A:H,8,FALSE)&gt;100,"High Freight","Low Freight"),"Not Specified")</f>
        <v>Low Freight</v>
      </c>
      <c r="T1114">
        <f t="shared" si="35"/>
        <v>174.5</v>
      </c>
    </row>
    <row r="1115" spans="1:20">
      <c r="A1115" s="9">
        <v>10671</v>
      </c>
      <c r="B1115" s="6">
        <v>62</v>
      </c>
      <c r="C1115" s="6">
        <v>49.3</v>
      </c>
      <c r="D1115" s="6">
        <v>10</v>
      </c>
      <c r="E1115" s="18">
        <v>0</v>
      </c>
      <c r="F1115" s="6" t="str">
        <f>IFERROR(VLOOKUP(VLOOKUP(A1115,'Sales Order'!A:B,2,FALSE),Customer!A:C,3,FALSE),"Not Specified")</f>
        <v>Koch, Paul</v>
      </c>
      <c r="G1115" s="6" t="str">
        <f t="shared" si="34"/>
        <v>Koch Paul</v>
      </c>
      <c r="H1115" s="22" t="str">
        <f>IFERROR(VLOOKUP(VLOOKUP(A1115,'Sales Order'!A:C,3,FALSE),Employee!A:E,5,FALSE)&amp;" "&amp;VLOOKUP(VLOOKUP(A1115,'Sales Order'!A:C,3,FALSE),Employee!A:C,3,FALSE)&amp;" "&amp;VLOOKUP(VLOOKUP(A1115,'Sales Order'!A:C,3,FALSE),Employee!A:B,2,FALSE),"Not Specified")</f>
        <v>Ms. Sara Davis</v>
      </c>
      <c r="I1115" t="str">
        <f>IFERROR(VLOOKUP(VLOOKUP(A1115,'Sales Order'!A:C,3,FALSE),Employee!A:J,10,FALSE),"Not Specified")</f>
        <v>WA</v>
      </c>
      <c r="J1115" t="str">
        <f>VLOOKUP(B1115,Product!A:B,2,FALSE)</f>
        <v>Product WUXYK</v>
      </c>
      <c r="K1115" t="str">
        <f>VLOOKUP(VLOOKUP(B1115,Product!A:D,4,FALSE),Category!A:B,2,FALSE)</f>
        <v>Confections</v>
      </c>
      <c r="L1115" s="24">
        <f>IFERROR(VLOOKUP(A1115,'Sales Order'!A:D,4,FALSE),"")</f>
        <v>39342</v>
      </c>
      <c r="M1115" s="24">
        <f>IFERROR(VLOOKUP(A1115,'Sales Order'!A:F,6,FALSE),"")</f>
        <v>39349</v>
      </c>
      <c r="N1115" t="str">
        <f>IFERROR(VLOOKUP(VLOOKUP(A1115,'Sales Order'!A:G,7,FALSE),Shipper!A:B,2,FALSE),"Not Specified")</f>
        <v>Shipper GVSUA</v>
      </c>
      <c r="O1115" t="str">
        <f>IFERROR(VLOOKUP(A1115,'Sales Order'!A:I,9,FALSE),"Not Specified")</f>
        <v>Destination OPXJT</v>
      </c>
      <c r="P1115" t="str">
        <f>IFERROR(VLOOKUP(A1115,'Sales Order'!A:N,14,FALSE),"Not Specified")</f>
        <v>France</v>
      </c>
      <c r="Q1115" t="str">
        <f>VLOOKUP(VLOOKUP(B1115,Product!A:C,3,FALSE),Supplier!A:B,2,FALSE)</f>
        <v>Supplier OGLRK</v>
      </c>
      <c r="R1115" t="str">
        <f>VLOOKUP(VLOOKUP(B1115,Product!A:C,3,FALSE),Supplier!A:I,9,FALSE)</f>
        <v>Canada</v>
      </c>
      <c r="S1115" t="str">
        <f>IFERROR(IF(VLOOKUP(A1115,'Sales Order'!A:H,8,FALSE)&gt;100,"High Freight","Low Freight"),"Not Specified")</f>
        <v>Low Freight</v>
      </c>
      <c r="T1115">
        <f t="shared" si="35"/>
        <v>493</v>
      </c>
    </row>
    <row r="1116" spans="1:20">
      <c r="A1116" s="9">
        <v>10671</v>
      </c>
      <c r="B1116" s="6">
        <v>65</v>
      </c>
      <c r="C1116" s="6">
        <v>21.05</v>
      </c>
      <c r="D1116" s="6">
        <v>12</v>
      </c>
      <c r="E1116" s="18">
        <v>0</v>
      </c>
      <c r="F1116" s="6" t="str">
        <f>IFERROR(VLOOKUP(VLOOKUP(A1116,'Sales Order'!A:B,2,FALSE),Customer!A:C,3,FALSE),"Not Specified")</f>
        <v>Koch, Paul</v>
      </c>
      <c r="G1116" s="6" t="str">
        <f t="shared" si="34"/>
        <v>Koch Paul</v>
      </c>
      <c r="H1116" s="22" t="str">
        <f>IFERROR(VLOOKUP(VLOOKUP(A1116,'Sales Order'!A:C,3,FALSE),Employee!A:E,5,FALSE)&amp;" "&amp;VLOOKUP(VLOOKUP(A1116,'Sales Order'!A:C,3,FALSE),Employee!A:C,3,FALSE)&amp;" "&amp;VLOOKUP(VLOOKUP(A1116,'Sales Order'!A:C,3,FALSE),Employee!A:B,2,FALSE),"Not Specified")</f>
        <v>Ms. Sara Davis</v>
      </c>
      <c r="I1116" t="str">
        <f>IFERROR(VLOOKUP(VLOOKUP(A1116,'Sales Order'!A:C,3,FALSE),Employee!A:J,10,FALSE),"Not Specified")</f>
        <v>WA</v>
      </c>
      <c r="J1116" t="str">
        <f>VLOOKUP(B1116,Product!A:B,2,FALSE)</f>
        <v>Product XYWBZ</v>
      </c>
      <c r="K1116" t="str">
        <f>VLOOKUP(VLOOKUP(B1116,Product!A:D,4,FALSE),Category!A:B,2,FALSE)</f>
        <v>Condiments</v>
      </c>
      <c r="L1116" s="24">
        <f>IFERROR(VLOOKUP(A1116,'Sales Order'!A:D,4,FALSE),"")</f>
        <v>39342</v>
      </c>
      <c r="M1116" s="24">
        <f>IFERROR(VLOOKUP(A1116,'Sales Order'!A:F,6,FALSE),"")</f>
        <v>39349</v>
      </c>
      <c r="N1116" t="str">
        <f>IFERROR(VLOOKUP(VLOOKUP(A1116,'Sales Order'!A:G,7,FALSE),Shipper!A:B,2,FALSE),"Not Specified")</f>
        <v>Shipper GVSUA</v>
      </c>
      <c r="O1116" t="str">
        <f>IFERROR(VLOOKUP(A1116,'Sales Order'!A:I,9,FALSE),"Not Specified")</f>
        <v>Destination OPXJT</v>
      </c>
      <c r="P1116" t="str">
        <f>IFERROR(VLOOKUP(A1116,'Sales Order'!A:N,14,FALSE),"Not Specified")</f>
        <v>France</v>
      </c>
      <c r="Q1116" t="str">
        <f>VLOOKUP(VLOOKUP(B1116,Product!A:C,3,FALSE),Supplier!A:B,2,FALSE)</f>
        <v>Supplier VHQZD</v>
      </c>
      <c r="R1116" t="str">
        <f>VLOOKUP(VLOOKUP(B1116,Product!A:C,3,FALSE),Supplier!A:I,9,FALSE)</f>
        <v>USA</v>
      </c>
      <c r="S1116" t="str">
        <f>IFERROR(IF(VLOOKUP(A1116,'Sales Order'!A:H,8,FALSE)&gt;100,"High Freight","Low Freight"),"Not Specified")</f>
        <v>Low Freight</v>
      </c>
      <c r="T1116">
        <f t="shared" si="35"/>
        <v>252.60000000000002</v>
      </c>
    </row>
    <row r="1117" spans="1:20">
      <c r="A1117" s="9">
        <v>10672</v>
      </c>
      <c r="B1117" s="6">
        <v>38</v>
      </c>
      <c r="C1117" s="6">
        <v>263.5</v>
      </c>
      <c r="D1117" s="6">
        <v>15</v>
      </c>
      <c r="E1117" s="18">
        <v>0.1</v>
      </c>
      <c r="F1117" s="6" t="str">
        <f>IFERROR(VLOOKUP(VLOOKUP(A1117,'Sales Order'!A:B,2,FALSE),Customer!A:C,3,FALSE),"Not Specified")</f>
        <v>Higginbotham, Tom</v>
      </c>
      <c r="G1117" s="6" t="str">
        <f t="shared" si="34"/>
        <v>Higginbotham Tom</v>
      </c>
      <c r="H1117" s="22" t="str">
        <f>IFERROR(VLOOKUP(VLOOKUP(A1117,'Sales Order'!A:C,3,FALSE),Employee!A:E,5,FALSE)&amp;" "&amp;VLOOKUP(VLOOKUP(A1117,'Sales Order'!A:C,3,FALSE),Employee!A:C,3,FALSE)&amp;" "&amp;VLOOKUP(VLOOKUP(A1117,'Sales Order'!A:C,3,FALSE),Employee!A:B,2,FALSE),"Not Specified")</f>
        <v>Ms. Zoya Dolgopyatova</v>
      </c>
      <c r="I1117">
        <f>IFERROR(VLOOKUP(VLOOKUP(A1117,'Sales Order'!A:C,3,FALSE),Employee!A:J,10,FALSE),"Not Specified")</f>
        <v>0</v>
      </c>
      <c r="J1117" t="str">
        <f>VLOOKUP(B1117,Product!A:B,2,FALSE)</f>
        <v>Product QDOMO</v>
      </c>
      <c r="K1117" t="str">
        <f>VLOOKUP(VLOOKUP(B1117,Product!A:D,4,FALSE),Category!A:B,2,FALSE)</f>
        <v>Beverages</v>
      </c>
      <c r="L1117" s="24">
        <f>IFERROR(VLOOKUP(A1117,'Sales Order'!A:D,4,FALSE),"")</f>
        <v>39342</v>
      </c>
      <c r="M1117" s="24">
        <f>IFERROR(VLOOKUP(A1117,'Sales Order'!A:F,6,FALSE),"")</f>
        <v>39351</v>
      </c>
      <c r="N1117" t="str">
        <f>IFERROR(VLOOKUP(VLOOKUP(A1117,'Sales Order'!A:G,7,FALSE),Shipper!A:B,2,FALSE),"Not Specified")</f>
        <v>Shipper ETYNR</v>
      </c>
      <c r="O1117" t="str">
        <f>IFERROR(VLOOKUP(A1117,'Sales Order'!A:I,9,FALSE),"Not Specified")</f>
        <v>Ship to 5-C</v>
      </c>
      <c r="P1117" t="str">
        <f>IFERROR(VLOOKUP(A1117,'Sales Order'!A:N,14,FALSE),"Not Specified")</f>
        <v>Sweden</v>
      </c>
      <c r="Q1117" t="str">
        <f>VLOOKUP(VLOOKUP(B1117,Product!A:C,3,FALSE),Supplier!A:B,2,FALSE)</f>
        <v>Supplier LVJUA</v>
      </c>
      <c r="R1117" t="str">
        <f>VLOOKUP(VLOOKUP(B1117,Product!A:C,3,FALSE),Supplier!A:I,9,FALSE)</f>
        <v>France</v>
      </c>
      <c r="S1117" t="str">
        <f>IFERROR(IF(VLOOKUP(A1117,'Sales Order'!A:H,8,FALSE)&gt;100,"High Freight","Low Freight"),"Not Specified")</f>
        <v>Low Freight</v>
      </c>
      <c r="T1117">
        <f t="shared" si="35"/>
        <v>3557.25</v>
      </c>
    </row>
    <row r="1118" spans="1:20">
      <c r="A1118" s="9">
        <v>10672</v>
      </c>
      <c r="B1118" s="6">
        <v>71</v>
      </c>
      <c r="C1118" s="6">
        <v>21.5</v>
      </c>
      <c r="D1118" s="6">
        <v>12</v>
      </c>
      <c r="E1118" s="18">
        <v>0</v>
      </c>
      <c r="F1118" s="6" t="str">
        <f>IFERROR(VLOOKUP(VLOOKUP(A1118,'Sales Order'!A:B,2,FALSE),Customer!A:C,3,FALSE),"Not Specified")</f>
        <v>Higginbotham, Tom</v>
      </c>
      <c r="G1118" s="6" t="str">
        <f t="shared" si="34"/>
        <v>Higginbotham Tom</v>
      </c>
      <c r="H1118" s="22" t="str">
        <f>IFERROR(VLOOKUP(VLOOKUP(A1118,'Sales Order'!A:C,3,FALSE),Employee!A:E,5,FALSE)&amp;" "&amp;VLOOKUP(VLOOKUP(A1118,'Sales Order'!A:C,3,FALSE),Employee!A:C,3,FALSE)&amp;" "&amp;VLOOKUP(VLOOKUP(A1118,'Sales Order'!A:C,3,FALSE),Employee!A:B,2,FALSE),"Not Specified")</f>
        <v>Ms. Zoya Dolgopyatova</v>
      </c>
      <c r="I1118">
        <f>IFERROR(VLOOKUP(VLOOKUP(A1118,'Sales Order'!A:C,3,FALSE),Employee!A:J,10,FALSE),"Not Specified")</f>
        <v>0</v>
      </c>
      <c r="J1118" t="str">
        <f>VLOOKUP(B1118,Product!A:B,2,FALSE)</f>
        <v>Product MYMOI</v>
      </c>
      <c r="K1118" t="str">
        <f>VLOOKUP(VLOOKUP(B1118,Product!A:D,4,FALSE),Category!A:B,2,FALSE)</f>
        <v>Dairy Product</v>
      </c>
      <c r="L1118" s="24">
        <f>IFERROR(VLOOKUP(A1118,'Sales Order'!A:D,4,FALSE),"")</f>
        <v>39342</v>
      </c>
      <c r="M1118" s="24">
        <f>IFERROR(VLOOKUP(A1118,'Sales Order'!A:F,6,FALSE),"")</f>
        <v>39351</v>
      </c>
      <c r="N1118" t="str">
        <f>IFERROR(VLOOKUP(VLOOKUP(A1118,'Sales Order'!A:G,7,FALSE),Shipper!A:B,2,FALSE),"Not Specified")</f>
        <v>Shipper ETYNR</v>
      </c>
      <c r="O1118" t="str">
        <f>IFERROR(VLOOKUP(A1118,'Sales Order'!A:I,9,FALSE),"Not Specified")</f>
        <v>Ship to 5-C</v>
      </c>
      <c r="P1118" t="str">
        <f>IFERROR(VLOOKUP(A1118,'Sales Order'!A:N,14,FALSE),"Not Specified")</f>
        <v>Sweden</v>
      </c>
      <c r="Q1118" t="str">
        <f>VLOOKUP(VLOOKUP(B1118,Product!A:C,3,FALSE),Supplier!A:B,2,FALSE)</f>
        <v>Supplier NZLIF</v>
      </c>
      <c r="R1118" t="str">
        <f>VLOOKUP(VLOOKUP(B1118,Product!A:C,3,FALSE),Supplier!A:I,9,FALSE)</f>
        <v>Norway</v>
      </c>
      <c r="S1118" t="str">
        <f>IFERROR(IF(VLOOKUP(A1118,'Sales Order'!A:H,8,FALSE)&gt;100,"High Freight","Low Freight"),"Not Specified")</f>
        <v>Low Freight</v>
      </c>
      <c r="T1118">
        <f t="shared" si="35"/>
        <v>258</v>
      </c>
    </row>
    <row r="1119" spans="1:20">
      <c r="A1119" s="9">
        <v>10673</v>
      </c>
      <c r="B1119" s="6">
        <v>16</v>
      </c>
      <c r="C1119" s="6">
        <v>17.45</v>
      </c>
      <c r="D1119" s="6">
        <v>3</v>
      </c>
      <c r="E1119" s="18">
        <v>0</v>
      </c>
      <c r="F1119" s="6" t="str">
        <f>IFERROR(VLOOKUP(VLOOKUP(A1119,'Sales Order'!A:B,2,FALSE),Customer!A:C,3,FALSE),"Not Specified")</f>
        <v>Larsson, Katarina</v>
      </c>
      <c r="G1119" s="6" t="str">
        <f t="shared" si="34"/>
        <v>Larsson Katarina</v>
      </c>
      <c r="H1119" s="22" t="str">
        <f>IFERROR(VLOOKUP(VLOOKUP(A1119,'Sales Order'!A:C,3,FALSE),Employee!A:E,5,FALSE)&amp;" "&amp;VLOOKUP(VLOOKUP(A1119,'Sales Order'!A:C,3,FALSE),Employee!A:C,3,FALSE)&amp;" "&amp;VLOOKUP(VLOOKUP(A1119,'Sales Order'!A:C,3,FALSE),Employee!A:B,2,FALSE),"Not Specified")</f>
        <v>Dr. Don Funk</v>
      </c>
      <c r="I1119" t="str">
        <f>IFERROR(VLOOKUP(VLOOKUP(A1119,'Sales Order'!A:C,3,FALSE),Employee!A:J,10,FALSE),"Not Specified")</f>
        <v>WA</v>
      </c>
      <c r="J1119" t="str">
        <f>VLOOKUP(B1119,Product!A:B,2,FALSE)</f>
        <v>Product PAFRH</v>
      </c>
      <c r="K1119" t="str">
        <f>VLOOKUP(VLOOKUP(B1119,Product!A:D,4,FALSE),Category!A:B,2,FALSE)</f>
        <v>Confections</v>
      </c>
      <c r="L1119" s="24">
        <f>IFERROR(VLOOKUP(A1119,'Sales Order'!A:D,4,FALSE),"")</f>
        <v>39343</v>
      </c>
      <c r="M1119" s="24">
        <f>IFERROR(VLOOKUP(A1119,'Sales Order'!A:F,6,FALSE),"")</f>
        <v>39344</v>
      </c>
      <c r="N1119" t="str">
        <f>IFERROR(VLOOKUP(VLOOKUP(A1119,'Sales Order'!A:G,7,FALSE),Shipper!A:B,2,FALSE),"Not Specified")</f>
        <v>Shipper GVSUA</v>
      </c>
      <c r="O1119" t="str">
        <f>IFERROR(VLOOKUP(A1119,'Sales Order'!A:I,9,FALSE),"Not Specified")</f>
        <v>Ship to 90-B</v>
      </c>
      <c r="P1119" t="str">
        <f>IFERROR(VLOOKUP(A1119,'Sales Order'!A:N,14,FALSE),"Not Specified")</f>
        <v>Finland</v>
      </c>
      <c r="Q1119" t="str">
        <f>VLOOKUP(VLOOKUP(B1119,Product!A:C,3,FALSE),Supplier!A:B,2,FALSE)</f>
        <v>Supplier GQRCV</v>
      </c>
      <c r="R1119" t="str">
        <f>VLOOKUP(VLOOKUP(B1119,Product!A:C,3,FALSE),Supplier!A:I,9,FALSE)</f>
        <v>Australia</v>
      </c>
      <c r="S1119" t="str">
        <f>IFERROR(IF(VLOOKUP(A1119,'Sales Order'!A:H,8,FALSE)&gt;100,"High Freight","Low Freight"),"Not Specified")</f>
        <v>Low Freight</v>
      </c>
      <c r="T1119">
        <f t="shared" si="35"/>
        <v>52.349999999999994</v>
      </c>
    </row>
    <row r="1120" spans="1:20">
      <c r="A1120" s="9">
        <v>10673</v>
      </c>
      <c r="B1120" s="6">
        <v>42</v>
      </c>
      <c r="C1120" s="6">
        <v>14</v>
      </c>
      <c r="D1120" s="6">
        <v>6</v>
      </c>
      <c r="E1120" s="18">
        <v>0</v>
      </c>
      <c r="F1120" s="6" t="str">
        <f>IFERROR(VLOOKUP(VLOOKUP(A1120,'Sales Order'!A:B,2,FALSE),Customer!A:C,3,FALSE),"Not Specified")</f>
        <v>Larsson, Katarina</v>
      </c>
      <c r="G1120" s="6" t="str">
        <f t="shared" si="34"/>
        <v>Larsson Katarina</v>
      </c>
      <c r="H1120" s="22" t="str">
        <f>IFERROR(VLOOKUP(VLOOKUP(A1120,'Sales Order'!A:C,3,FALSE),Employee!A:E,5,FALSE)&amp;" "&amp;VLOOKUP(VLOOKUP(A1120,'Sales Order'!A:C,3,FALSE),Employee!A:C,3,FALSE)&amp;" "&amp;VLOOKUP(VLOOKUP(A1120,'Sales Order'!A:C,3,FALSE),Employee!A:B,2,FALSE),"Not Specified")</f>
        <v>Dr. Don Funk</v>
      </c>
      <c r="I1120" t="str">
        <f>IFERROR(VLOOKUP(VLOOKUP(A1120,'Sales Order'!A:C,3,FALSE),Employee!A:J,10,FALSE),"Not Specified")</f>
        <v>WA</v>
      </c>
      <c r="J1120" t="str">
        <f>VLOOKUP(B1120,Product!A:B,2,FALSE)</f>
        <v>Product RJVNM</v>
      </c>
      <c r="K1120" t="str">
        <f>VLOOKUP(VLOOKUP(B1120,Product!A:D,4,FALSE),Category!A:B,2,FALSE)</f>
        <v>Grains/Cereals</v>
      </c>
      <c r="L1120" s="24">
        <f>IFERROR(VLOOKUP(A1120,'Sales Order'!A:D,4,FALSE),"")</f>
        <v>39343</v>
      </c>
      <c r="M1120" s="24">
        <f>IFERROR(VLOOKUP(A1120,'Sales Order'!A:F,6,FALSE),"")</f>
        <v>39344</v>
      </c>
      <c r="N1120" t="str">
        <f>IFERROR(VLOOKUP(VLOOKUP(A1120,'Sales Order'!A:G,7,FALSE),Shipper!A:B,2,FALSE),"Not Specified")</f>
        <v>Shipper GVSUA</v>
      </c>
      <c r="O1120" t="str">
        <f>IFERROR(VLOOKUP(A1120,'Sales Order'!A:I,9,FALSE),"Not Specified")</f>
        <v>Ship to 90-B</v>
      </c>
      <c r="P1120" t="str">
        <f>IFERROR(VLOOKUP(A1120,'Sales Order'!A:N,14,FALSE),"Not Specified")</f>
        <v>Finland</v>
      </c>
      <c r="Q1120" t="str">
        <f>VLOOKUP(VLOOKUP(B1120,Product!A:C,3,FALSE),Supplier!A:B,2,FALSE)</f>
        <v>Supplier CIYNM</v>
      </c>
      <c r="R1120" t="str">
        <f>VLOOKUP(VLOOKUP(B1120,Product!A:C,3,FALSE),Supplier!A:I,9,FALSE)</f>
        <v>Singapore</v>
      </c>
      <c r="S1120" t="str">
        <f>IFERROR(IF(VLOOKUP(A1120,'Sales Order'!A:H,8,FALSE)&gt;100,"High Freight","Low Freight"),"Not Specified")</f>
        <v>Low Freight</v>
      </c>
      <c r="T1120">
        <f t="shared" si="35"/>
        <v>84</v>
      </c>
    </row>
    <row r="1121" spans="1:20">
      <c r="A1121" s="9">
        <v>10673</v>
      </c>
      <c r="B1121" s="6">
        <v>43</v>
      </c>
      <c r="C1121" s="6">
        <v>46</v>
      </c>
      <c r="D1121" s="6">
        <v>6</v>
      </c>
      <c r="E1121" s="18">
        <v>0</v>
      </c>
      <c r="F1121" s="6" t="str">
        <f>IFERROR(VLOOKUP(VLOOKUP(A1121,'Sales Order'!A:B,2,FALSE),Customer!A:C,3,FALSE),"Not Specified")</f>
        <v>Larsson, Katarina</v>
      </c>
      <c r="G1121" s="6" t="str">
        <f t="shared" si="34"/>
        <v>Larsson Katarina</v>
      </c>
      <c r="H1121" s="22" t="str">
        <f>IFERROR(VLOOKUP(VLOOKUP(A1121,'Sales Order'!A:C,3,FALSE),Employee!A:E,5,FALSE)&amp;" "&amp;VLOOKUP(VLOOKUP(A1121,'Sales Order'!A:C,3,FALSE),Employee!A:C,3,FALSE)&amp;" "&amp;VLOOKUP(VLOOKUP(A1121,'Sales Order'!A:C,3,FALSE),Employee!A:B,2,FALSE),"Not Specified")</f>
        <v>Dr. Don Funk</v>
      </c>
      <c r="I1121" t="str">
        <f>IFERROR(VLOOKUP(VLOOKUP(A1121,'Sales Order'!A:C,3,FALSE),Employee!A:J,10,FALSE),"Not Specified")</f>
        <v>WA</v>
      </c>
      <c r="J1121" t="str">
        <f>VLOOKUP(B1121,Product!A:B,2,FALSE)</f>
        <v>Product ZZZHR</v>
      </c>
      <c r="K1121" t="str">
        <f>VLOOKUP(VLOOKUP(B1121,Product!A:D,4,FALSE),Category!A:B,2,FALSE)</f>
        <v>Beverages</v>
      </c>
      <c r="L1121" s="24">
        <f>IFERROR(VLOOKUP(A1121,'Sales Order'!A:D,4,FALSE),"")</f>
        <v>39343</v>
      </c>
      <c r="M1121" s="24">
        <f>IFERROR(VLOOKUP(A1121,'Sales Order'!A:F,6,FALSE),"")</f>
        <v>39344</v>
      </c>
      <c r="N1121" t="str">
        <f>IFERROR(VLOOKUP(VLOOKUP(A1121,'Sales Order'!A:G,7,FALSE),Shipper!A:B,2,FALSE),"Not Specified")</f>
        <v>Shipper GVSUA</v>
      </c>
      <c r="O1121" t="str">
        <f>IFERROR(VLOOKUP(A1121,'Sales Order'!A:I,9,FALSE),"Not Specified")</f>
        <v>Ship to 90-B</v>
      </c>
      <c r="P1121" t="str">
        <f>IFERROR(VLOOKUP(A1121,'Sales Order'!A:N,14,FALSE),"Not Specified")</f>
        <v>Finland</v>
      </c>
      <c r="Q1121" t="str">
        <f>VLOOKUP(VLOOKUP(B1121,Product!A:C,3,FALSE),Supplier!A:B,2,FALSE)</f>
        <v>Supplier CIYNM</v>
      </c>
      <c r="R1121" t="str">
        <f>VLOOKUP(VLOOKUP(B1121,Product!A:C,3,FALSE),Supplier!A:I,9,FALSE)</f>
        <v>Singapore</v>
      </c>
      <c r="S1121" t="str">
        <f>IFERROR(IF(VLOOKUP(A1121,'Sales Order'!A:H,8,FALSE)&gt;100,"High Freight","Low Freight"),"Not Specified")</f>
        <v>Low Freight</v>
      </c>
      <c r="T1121">
        <f t="shared" si="35"/>
        <v>276</v>
      </c>
    </row>
    <row r="1122" spans="1:20">
      <c r="A1122" s="9">
        <v>10674</v>
      </c>
      <c r="B1122" s="6">
        <v>23</v>
      </c>
      <c r="C1122" s="6">
        <v>9</v>
      </c>
      <c r="D1122" s="6">
        <v>5</v>
      </c>
      <c r="E1122" s="18">
        <v>0</v>
      </c>
      <c r="F1122" s="6" t="str">
        <f>IFERROR(VLOOKUP(VLOOKUP(A1122,'Sales Order'!A:B,2,FALSE),Customer!A:C,3,FALSE),"Not Specified")</f>
        <v>Lee, Frank</v>
      </c>
      <c r="G1122" s="6" t="str">
        <f t="shared" si="34"/>
        <v>Lee Frank</v>
      </c>
      <c r="H1122" s="22" t="str">
        <f>IFERROR(VLOOKUP(VLOOKUP(A1122,'Sales Order'!A:C,3,FALSE),Employee!A:E,5,FALSE)&amp;" "&amp;VLOOKUP(VLOOKUP(A1122,'Sales Order'!A:C,3,FALSE),Employee!A:C,3,FALSE)&amp;" "&amp;VLOOKUP(VLOOKUP(A1122,'Sales Order'!A:C,3,FALSE),Employee!A:B,2,FALSE),"Not Specified")</f>
        <v>Mrs. Yael Peled</v>
      </c>
      <c r="I1122" t="str">
        <f>IFERROR(VLOOKUP(VLOOKUP(A1122,'Sales Order'!A:C,3,FALSE),Employee!A:J,10,FALSE),"Not Specified")</f>
        <v>WA</v>
      </c>
      <c r="J1122" t="str">
        <f>VLOOKUP(B1122,Product!A:B,2,FALSE)</f>
        <v>Product JLUDZ</v>
      </c>
      <c r="K1122" t="str">
        <f>VLOOKUP(VLOOKUP(B1122,Product!A:D,4,FALSE),Category!A:B,2,FALSE)</f>
        <v>Grains/Cereals</v>
      </c>
      <c r="L1122" s="24">
        <f>IFERROR(VLOOKUP(A1122,'Sales Order'!A:D,4,FALSE),"")</f>
        <v>39343</v>
      </c>
      <c r="M1122" s="24">
        <f>IFERROR(VLOOKUP(A1122,'Sales Order'!A:F,6,FALSE),"")</f>
        <v>39355</v>
      </c>
      <c r="N1122" t="str">
        <f>IFERROR(VLOOKUP(VLOOKUP(A1122,'Sales Order'!A:G,7,FALSE),Shipper!A:B,2,FALSE),"Not Specified")</f>
        <v>Shipper ETYNR</v>
      </c>
      <c r="O1122" t="str">
        <f>IFERROR(VLOOKUP(A1122,'Sales Order'!A:I,9,FALSE),"Not Specified")</f>
        <v>Destination QVTLW</v>
      </c>
      <c r="P1122" t="str">
        <f>IFERROR(VLOOKUP(A1122,'Sales Order'!A:N,14,FALSE),"Not Specified")</f>
        <v>UK</v>
      </c>
      <c r="Q1122" t="str">
        <f>VLOOKUP(VLOOKUP(B1122,Product!A:C,3,FALSE),Supplier!A:B,2,FALSE)</f>
        <v>Supplier QQYEU</v>
      </c>
      <c r="R1122" t="str">
        <f>VLOOKUP(VLOOKUP(B1122,Product!A:C,3,FALSE),Supplier!A:I,9,FALSE)</f>
        <v>Sweden</v>
      </c>
      <c r="S1122" t="str">
        <f>IFERROR(IF(VLOOKUP(A1122,'Sales Order'!A:H,8,FALSE)&gt;100,"High Freight","Low Freight"),"Not Specified")</f>
        <v>Low Freight</v>
      </c>
      <c r="T1122">
        <f t="shared" si="35"/>
        <v>45</v>
      </c>
    </row>
    <row r="1123" spans="1:20">
      <c r="A1123" s="9">
        <v>10675</v>
      </c>
      <c r="B1123" s="6">
        <v>14</v>
      </c>
      <c r="C1123" s="6">
        <v>23.25</v>
      </c>
      <c r="D1123" s="6">
        <v>30</v>
      </c>
      <c r="E1123" s="18">
        <v>0</v>
      </c>
      <c r="F1123" s="6" t="str">
        <f>IFERROR(VLOOKUP(VLOOKUP(A1123,'Sales Order'!A:B,2,FALSE),Customer!A:C,3,FALSE),"Not Specified")</f>
        <v>Carlson, Jason</v>
      </c>
      <c r="G1123" s="6" t="str">
        <f t="shared" si="34"/>
        <v>Carlson Jason</v>
      </c>
      <c r="H1123" s="22" t="str">
        <f>IFERROR(VLOOKUP(VLOOKUP(A1123,'Sales Order'!A:C,3,FALSE),Employee!A:E,5,FALSE)&amp;" "&amp;VLOOKUP(VLOOKUP(A1123,'Sales Order'!A:C,3,FALSE),Employee!A:C,3,FALSE)&amp;" "&amp;VLOOKUP(VLOOKUP(A1123,'Sales Order'!A:C,3,FALSE),Employee!A:B,2,FALSE),"Not Specified")</f>
        <v>Mr. Sven Buck</v>
      </c>
      <c r="I1123">
        <f>IFERROR(VLOOKUP(VLOOKUP(A1123,'Sales Order'!A:C,3,FALSE),Employee!A:J,10,FALSE),"Not Specified")</f>
        <v>0</v>
      </c>
      <c r="J1123" t="str">
        <f>VLOOKUP(B1123,Product!A:B,2,FALSE)</f>
        <v>Product PWCJB</v>
      </c>
      <c r="K1123" t="str">
        <f>VLOOKUP(VLOOKUP(B1123,Product!A:D,4,FALSE),Category!A:B,2,FALSE)</f>
        <v>Produce</v>
      </c>
      <c r="L1123" s="24">
        <f>IFERROR(VLOOKUP(A1123,'Sales Order'!A:D,4,FALSE),"")</f>
        <v>39344</v>
      </c>
      <c r="M1123" s="24">
        <f>IFERROR(VLOOKUP(A1123,'Sales Order'!A:F,6,FALSE),"")</f>
        <v>39348</v>
      </c>
      <c r="N1123" t="str">
        <f>IFERROR(VLOOKUP(VLOOKUP(A1123,'Sales Order'!A:G,7,FALSE),Shipper!A:B,2,FALSE),"Not Specified")</f>
        <v>Shipper ETYNR</v>
      </c>
      <c r="O1123" t="str">
        <f>IFERROR(VLOOKUP(A1123,'Sales Order'!A:I,9,FALSE),"Not Specified")</f>
        <v>Destination WEGWI</v>
      </c>
      <c r="P1123" t="str">
        <f>IFERROR(VLOOKUP(A1123,'Sales Order'!A:N,14,FALSE),"Not Specified")</f>
        <v>Germany</v>
      </c>
      <c r="Q1123" t="str">
        <f>VLOOKUP(VLOOKUP(B1123,Product!A:C,3,FALSE),Supplier!A:B,2,FALSE)</f>
        <v>Supplier QWUSF</v>
      </c>
      <c r="R1123" t="str">
        <f>VLOOKUP(VLOOKUP(B1123,Product!A:C,3,FALSE),Supplier!A:I,9,FALSE)</f>
        <v>Japan</v>
      </c>
      <c r="S1123" t="str">
        <f>IFERROR(IF(VLOOKUP(A1123,'Sales Order'!A:H,8,FALSE)&gt;100,"High Freight","Low Freight"),"Not Specified")</f>
        <v>Low Freight</v>
      </c>
      <c r="T1123">
        <f t="shared" si="35"/>
        <v>697.5</v>
      </c>
    </row>
    <row r="1124" spans="1:20">
      <c r="A1124" s="9">
        <v>10675</v>
      </c>
      <c r="B1124" s="6">
        <v>53</v>
      </c>
      <c r="C1124" s="6">
        <v>32.799999999999997</v>
      </c>
      <c r="D1124" s="6">
        <v>10</v>
      </c>
      <c r="E1124" s="18">
        <v>0</v>
      </c>
      <c r="F1124" s="6" t="str">
        <f>IFERROR(VLOOKUP(VLOOKUP(A1124,'Sales Order'!A:B,2,FALSE),Customer!A:C,3,FALSE),"Not Specified")</f>
        <v>Carlson, Jason</v>
      </c>
      <c r="G1124" s="6" t="str">
        <f t="shared" si="34"/>
        <v>Carlson Jason</v>
      </c>
      <c r="H1124" s="22" t="str">
        <f>IFERROR(VLOOKUP(VLOOKUP(A1124,'Sales Order'!A:C,3,FALSE),Employee!A:E,5,FALSE)&amp;" "&amp;VLOOKUP(VLOOKUP(A1124,'Sales Order'!A:C,3,FALSE),Employee!A:C,3,FALSE)&amp;" "&amp;VLOOKUP(VLOOKUP(A1124,'Sales Order'!A:C,3,FALSE),Employee!A:B,2,FALSE),"Not Specified")</f>
        <v>Mr. Sven Buck</v>
      </c>
      <c r="I1124">
        <f>IFERROR(VLOOKUP(VLOOKUP(A1124,'Sales Order'!A:C,3,FALSE),Employee!A:J,10,FALSE),"Not Specified")</f>
        <v>0</v>
      </c>
      <c r="J1124" t="str">
        <f>VLOOKUP(B1124,Product!A:B,2,FALSE)</f>
        <v>Product BKGEA</v>
      </c>
      <c r="K1124" t="str">
        <f>VLOOKUP(VLOOKUP(B1124,Product!A:D,4,FALSE),Category!A:B,2,FALSE)</f>
        <v>Meat/Poultry</v>
      </c>
      <c r="L1124" s="24">
        <f>IFERROR(VLOOKUP(A1124,'Sales Order'!A:D,4,FALSE),"")</f>
        <v>39344</v>
      </c>
      <c r="M1124" s="24">
        <f>IFERROR(VLOOKUP(A1124,'Sales Order'!A:F,6,FALSE),"")</f>
        <v>39348</v>
      </c>
      <c r="N1124" t="str">
        <f>IFERROR(VLOOKUP(VLOOKUP(A1124,'Sales Order'!A:G,7,FALSE),Shipper!A:B,2,FALSE),"Not Specified")</f>
        <v>Shipper ETYNR</v>
      </c>
      <c r="O1124" t="str">
        <f>IFERROR(VLOOKUP(A1124,'Sales Order'!A:I,9,FALSE),"Not Specified")</f>
        <v>Destination WEGWI</v>
      </c>
      <c r="P1124" t="str">
        <f>IFERROR(VLOOKUP(A1124,'Sales Order'!A:N,14,FALSE),"Not Specified")</f>
        <v>Germany</v>
      </c>
      <c r="Q1124" t="str">
        <f>VLOOKUP(VLOOKUP(B1124,Product!A:C,3,FALSE),Supplier!A:B,2,FALSE)</f>
        <v>Supplier JNNES</v>
      </c>
      <c r="R1124" t="str">
        <f>VLOOKUP(VLOOKUP(B1124,Product!A:C,3,FALSE),Supplier!A:I,9,FALSE)</f>
        <v>Australia</v>
      </c>
      <c r="S1124" t="str">
        <f>IFERROR(IF(VLOOKUP(A1124,'Sales Order'!A:H,8,FALSE)&gt;100,"High Freight","Low Freight"),"Not Specified")</f>
        <v>Low Freight</v>
      </c>
      <c r="T1124">
        <f t="shared" si="35"/>
        <v>328</v>
      </c>
    </row>
    <row r="1125" spans="1:20">
      <c r="A1125" s="9">
        <v>10675</v>
      </c>
      <c r="B1125" s="6">
        <v>58</v>
      </c>
      <c r="C1125" s="6">
        <v>13.25</v>
      </c>
      <c r="D1125" s="6">
        <v>30</v>
      </c>
      <c r="E1125" s="18">
        <v>0</v>
      </c>
      <c r="F1125" s="6" t="str">
        <f>IFERROR(VLOOKUP(VLOOKUP(A1125,'Sales Order'!A:B,2,FALSE),Customer!A:C,3,FALSE),"Not Specified")</f>
        <v>Carlson, Jason</v>
      </c>
      <c r="G1125" s="6" t="str">
        <f t="shared" si="34"/>
        <v>Carlson Jason</v>
      </c>
      <c r="H1125" s="22" t="str">
        <f>IFERROR(VLOOKUP(VLOOKUP(A1125,'Sales Order'!A:C,3,FALSE),Employee!A:E,5,FALSE)&amp;" "&amp;VLOOKUP(VLOOKUP(A1125,'Sales Order'!A:C,3,FALSE),Employee!A:C,3,FALSE)&amp;" "&amp;VLOOKUP(VLOOKUP(A1125,'Sales Order'!A:C,3,FALSE),Employee!A:B,2,FALSE),"Not Specified")</f>
        <v>Mr. Sven Buck</v>
      </c>
      <c r="I1125">
        <f>IFERROR(VLOOKUP(VLOOKUP(A1125,'Sales Order'!A:C,3,FALSE),Employee!A:J,10,FALSE),"Not Specified")</f>
        <v>0</v>
      </c>
      <c r="J1125" t="str">
        <f>VLOOKUP(B1125,Product!A:B,2,FALSE)</f>
        <v>Product ACRVI</v>
      </c>
      <c r="K1125" t="str">
        <f>VLOOKUP(VLOOKUP(B1125,Product!A:D,4,FALSE),Category!A:B,2,FALSE)</f>
        <v>Seafood</v>
      </c>
      <c r="L1125" s="24">
        <f>IFERROR(VLOOKUP(A1125,'Sales Order'!A:D,4,FALSE),"")</f>
        <v>39344</v>
      </c>
      <c r="M1125" s="24">
        <f>IFERROR(VLOOKUP(A1125,'Sales Order'!A:F,6,FALSE),"")</f>
        <v>39348</v>
      </c>
      <c r="N1125" t="str">
        <f>IFERROR(VLOOKUP(VLOOKUP(A1125,'Sales Order'!A:G,7,FALSE),Shipper!A:B,2,FALSE),"Not Specified")</f>
        <v>Shipper ETYNR</v>
      </c>
      <c r="O1125" t="str">
        <f>IFERROR(VLOOKUP(A1125,'Sales Order'!A:I,9,FALSE),"Not Specified")</f>
        <v>Destination WEGWI</v>
      </c>
      <c r="P1125" t="str">
        <f>IFERROR(VLOOKUP(A1125,'Sales Order'!A:N,14,FALSE),"Not Specified")</f>
        <v>Germany</v>
      </c>
      <c r="Q1125" t="str">
        <f>VLOOKUP(VLOOKUP(B1125,Product!A:C,3,FALSE),Supplier!A:B,2,FALSE)</f>
        <v>Supplier ZRYDZ</v>
      </c>
      <c r="R1125" t="str">
        <f>VLOOKUP(VLOOKUP(B1125,Product!A:C,3,FALSE),Supplier!A:I,9,FALSE)</f>
        <v>France</v>
      </c>
      <c r="S1125" t="str">
        <f>IFERROR(IF(VLOOKUP(A1125,'Sales Order'!A:H,8,FALSE)&gt;100,"High Freight","Low Freight"),"Not Specified")</f>
        <v>Low Freight</v>
      </c>
      <c r="T1125">
        <f t="shared" si="35"/>
        <v>397.5</v>
      </c>
    </row>
    <row r="1126" spans="1:20">
      <c r="A1126" s="9">
        <v>10676</v>
      </c>
      <c r="B1126" s="6">
        <v>10</v>
      </c>
      <c r="C1126" s="6">
        <v>31</v>
      </c>
      <c r="D1126" s="6">
        <v>2</v>
      </c>
      <c r="E1126" s="18">
        <v>0</v>
      </c>
      <c r="F1126" s="6" t="str">
        <f>IFERROR(VLOOKUP(VLOOKUP(A1126,'Sales Order'!A:B,2,FALSE),Customer!A:C,3,FALSE),"Not Specified")</f>
        <v>Geschwandtner, Jens</v>
      </c>
      <c r="G1126" s="6" t="str">
        <f t="shared" si="34"/>
        <v>Geschwandtner Jens</v>
      </c>
      <c r="H1126" s="22" t="str">
        <f>IFERROR(VLOOKUP(VLOOKUP(A1126,'Sales Order'!A:C,3,FALSE),Employee!A:E,5,FALSE)&amp;" "&amp;VLOOKUP(VLOOKUP(A1126,'Sales Order'!A:C,3,FALSE),Employee!A:C,3,FALSE)&amp;" "&amp;VLOOKUP(VLOOKUP(A1126,'Sales Order'!A:C,3,FALSE),Employee!A:B,2,FALSE),"Not Specified")</f>
        <v>Dr. Don Funk</v>
      </c>
      <c r="I1126" t="str">
        <f>IFERROR(VLOOKUP(VLOOKUP(A1126,'Sales Order'!A:C,3,FALSE),Employee!A:J,10,FALSE),"Not Specified")</f>
        <v>WA</v>
      </c>
      <c r="J1126" t="str">
        <f>VLOOKUP(B1126,Product!A:B,2,FALSE)</f>
        <v>Product YHXGE</v>
      </c>
      <c r="K1126" t="str">
        <f>VLOOKUP(VLOOKUP(B1126,Product!A:D,4,FALSE),Category!A:B,2,FALSE)</f>
        <v>Seafood</v>
      </c>
      <c r="L1126" s="24">
        <f>IFERROR(VLOOKUP(A1126,'Sales Order'!A:D,4,FALSE),"")</f>
        <v>39347</v>
      </c>
      <c r="M1126" s="24">
        <f>IFERROR(VLOOKUP(A1126,'Sales Order'!A:F,6,FALSE),"")</f>
        <v>39354</v>
      </c>
      <c r="N1126" t="str">
        <f>IFERROR(VLOOKUP(VLOOKUP(A1126,'Sales Order'!A:G,7,FALSE),Shipper!A:B,2,FALSE),"Not Specified")</f>
        <v>Shipper ETYNR</v>
      </c>
      <c r="O1126" t="str">
        <f>IFERROR(VLOOKUP(A1126,'Sales Order'!A:I,9,FALSE),"Not Specified")</f>
        <v>Ship to 80-C</v>
      </c>
      <c r="P1126" t="str">
        <f>IFERROR(VLOOKUP(A1126,'Sales Order'!A:N,14,FALSE),"Not Specified")</f>
        <v>Mexico</v>
      </c>
      <c r="Q1126" t="str">
        <f>VLOOKUP(VLOOKUP(B1126,Product!A:C,3,FALSE),Supplier!A:B,2,FALSE)</f>
        <v>Supplier QOVFD</v>
      </c>
      <c r="R1126" t="str">
        <f>VLOOKUP(VLOOKUP(B1126,Product!A:C,3,FALSE),Supplier!A:I,9,FALSE)</f>
        <v>Japan</v>
      </c>
      <c r="S1126" t="str">
        <f>IFERROR(IF(VLOOKUP(A1126,'Sales Order'!A:H,8,FALSE)&gt;100,"High Freight","Low Freight"),"Not Specified")</f>
        <v>Low Freight</v>
      </c>
      <c r="T1126">
        <f t="shared" si="35"/>
        <v>62</v>
      </c>
    </row>
    <row r="1127" spans="1:20">
      <c r="A1127" s="9">
        <v>10676</v>
      </c>
      <c r="B1127" s="6">
        <v>19</v>
      </c>
      <c r="C1127" s="6">
        <v>9.1999999999999993</v>
      </c>
      <c r="D1127" s="6">
        <v>7</v>
      </c>
      <c r="E1127" s="18">
        <v>0</v>
      </c>
      <c r="F1127" s="6" t="str">
        <f>IFERROR(VLOOKUP(VLOOKUP(A1127,'Sales Order'!A:B,2,FALSE),Customer!A:C,3,FALSE),"Not Specified")</f>
        <v>Geschwandtner, Jens</v>
      </c>
      <c r="G1127" s="6" t="str">
        <f t="shared" si="34"/>
        <v>Geschwandtner Jens</v>
      </c>
      <c r="H1127" s="22" t="str">
        <f>IFERROR(VLOOKUP(VLOOKUP(A1127,'Sales Order'!A:C,3,FALSE),Employee!A:E,5,FALSE)&amp;" "&amp;VLOOKUP(VLOOKUP(A1127,'Sales Order'!A:C,3,FALSE),Employee!A:C,3,FALSE)&amp;" "&amp;VLOOKUP(VLOOKUP(A1127,'Sales Order'!A:C,3,FALSE),Employee!A:B,2,FALSE),"Not Specified")</f>
        <v>Dr. Don Funk</v>
      </c>
      <c r="I1127" t="str">
        <f>IFERROR(VLOOKUP(VLOOKUP(A1127,'Sales Order'!A:C,3,FALSE),Employee!A:J,10,FALSE),"Not Specified")</f>
        <v>WA</v>
      </c>
      <c r="J1127" t="str">
        <f>VLOOKUP(B1127,Product!A:B,2,FALSE)</f>
        <v>Product XKXDO</v>
      </c>
      <c r="K1127" t="str">
        <f>VLOOKUP(VLOOKUP(B1127,Product!A:D,4,FALSE),Category!A:B,2,FALSE)</f>
        <v>Confections</v>
      </c>
      <c r="L1127" s="24">
        <f>IFERROR(VLOOKUP(A1127,'Sales Order'!A:D,4,FALSE),"")</f>
        <v>39347</v>
      </c>
      <c r="M1127" s="24">
        <f>IFERROR(VLOOKUP(A1127,'Sales Order'!A:F,6,FALSE),"")</f>
        <v>39354</v>
      </c>
      <c r="N1127" t="str">
        <f>IFERROR(VLOOKUP(VLOOKUP(A1127,'Sales Order'!A:G,7,FALSE),Shipper!A:B,2,FALSE),"Not Specified")</f>
        <v>Shipper ETYNR</v>
      </c>
      <c r="O1127" t="str">
        <f>IFERROR(VLOOKUP(A1127,'Sales Order'!A:I,9,FALSE),"Not Specified")</f>
        <v>Ship to 80-C</v>
      </c>
      <c r="P1127" t="str">
        <f>IFERROR(VLOOKUP(A1127,'Sales Order'!A:N,14,FALSE),"Not Specified")</f>
        <v>Mexico</v>
      </c>
      <c r="Q1127" t="str">
        <f>VLOOKUP(VLOOKUP(B1127,Product!A:C,3,FALSE),Supplier!A:B,2,FALSE)</f>
        <v>Supplier BWGYE</v>
      </c>
      <c r="R1127" t="str">
        <f>VLOOKUP(VLOOKUP(B1127,Product!A:C,3,FALSE),Supplier!A:I,9,FALSE)</f>
        <v>UK</v>
      </c>
      <c r="S1127" t="str">
        <f>IFERROR(IF(VLOOKUP(A1127,'Sales Order'!A:H,8,FALSE)&gt;100,"High Freight","Low Freight"),"Not Specified")</f>
        <v>Low Freight</v>
      </c>
      <c r="T1127">
        <f t="shared" si="35"/>
        <v>64.399999999999991</v>
      </c>
    </row>
    <row r="1128" spans="1:20">
      <c r="A1128" s="9">
        <v>10676</v>
      </c>
      <c r="B1128" s="6">
        <v>44</v>
      </c>
      <c r="C1128" s="6">
        <v>19.45</v>
      </c>
      <c r="D1128" s="6">
        <v>21</v>
      </c>
      <c r="E1128" s="18">
        <v>0</v>
      </c>
      <c r="F1128" s="6" t="str">
        <f>IFERROR(VLOOKUP(VLOOKUP(A1128,'Sales Order'!A:B,2,FALSE),Customer!A:C,3,FALSE),"Not Specified")</f>
        <v>Geschwandtner, Jens</v>
      </c>
      <c r="G1128" s="6" t="str">
        <f t="shared" si="34"/>
        <v>Geschwandtner Jens</v>
      </c>
      <c r="H1128" s="22" t="str">
        <f>IFERROR(VLOOKUP(VLOOKUP(A1128,'Sales Order'!A:C,3,FALSE),Employee!A:E,5,FALSE)&amp;" "&amp;VLOOKUP(VLOOKUP(A1128,'Sales Order'!A:C,3,FALSE),Employee!A:C,3,FALSE)&amp;" "&amp;VLOOKUP(VLOOKUP(A1128,'Sales Order'!A:C,3,FALSE),Employee!A:B,2,FALSE),"Not Specified")</f>
        <v>Dr. Don Funk</v>
      </c>
      <c r="I1128" t="str">
        <f>IFERROR(VLOOKUP(VLOOKUP(A1128,'Sales Order'!A:C,3,FALSE),Employee!A:J,10,FALSE),"Not Specified")</f>
        <v>WA</v>
      </c>
      <c r="J1128" t="str">
        <f>VLOOKUP(B1128,Product!A:B,2,FALSE)</f>
        <v>Product VJIEO</v>
      </c>
      <c r="K1128" t="str">
        <f>VLOOKUP(VLOOKUP(B1128,Product!A:D,4,FALSE),Category!A:B,2,FALSE)</f>
        <v>Condiments</v>
      </c>
      <c r="L1128" s="24">
        <f>IFERROR(VLOOKUP(A1128,'Sales Order'!A:D,4,FALSE),"")</f>
        <v>39347</v>
      </c>
      <c r="M1128" s="24">
        <f>IFERROR(VLOOKUP(A1128,'Sales Order'!A:F,6,FALSE),"")</f>
        <v>39354</v>
      </c>
      <c r="N1128" t="str">
        <f>IFERROR(VLOOKUP(VLOOKUP(A1128,'Sales Order'!A:G,7,FALSE),Shipper!A:B,2,FALSE),"Not Specified")</f>
        <v>Shipper ETYNR</v>
      </c>
      <c r="O1128" t="str">
        <f>IFERROR(VLOOKUP(A1128,'Sales Order'!A:I,9,FALSE),"Not Specified")</f>
        <v>Ship to 80-C</v>
      </c>
      <c r="P1128" t="str">
        <f>IFERROR(VLOOKUP(A1128,'Sales Order'!A:N,14,FALSE),"Not Specified")</f>
        <v>Mexico</v>
      </c>
      <c r="Q1128" t="str">
        <f>VLOOKUP(VLOOKUP(B1128,Product!A:C,3,FALSE),Supplier!A:B,2,FALSE)</f>
        <v>Supplier CIYNM</v>
      </c>
      <c r="R1128" t="str">
        <f>VLOOKUP(VLOOKUP(B1128,Product!A:C,3,FALSE),Supplier!A:I,9,FALSE)</f>
        <v>Singapore</v>
      </c>
      <c r="S1128" t="str">
        <f>IFERROR(IF(VLOOKUP(A1128,'Sales Order'!A:H,8,FALSE)&gt;100,"High Freight","Low Freight"),"Not Specified")</f>
        <v>Low Freight</v>
      </c>
      <c r="T1128">
        <f t="shared" si="35"/>
        <v>408.45</v>
      </c>
    </row>
    <row r="1129" spans="1:20">
      <c r="A1129" s="9">
        <v>10677</v>
      </c>
      <c r="B1129" s="6">
        <v>26</v>
      </c>
      <c r="C1129" s="6">
        <v>31.23</v>
      </c>
      <c r="D1129" s="6">
        <v>30</v>
      </c>
      <c r="E1129" s="18">
        <v>0.15</v>
      </c>
      <c r="F1129" s="6" t="str">
        <f>IFERROR(VLOOKUP(VLOOKUP(A1129,'Sales Order'!A:B,2,FALSE),Customer!A:C,3,FALSE),"Not Specified")</f>
        <v>Peoples, John</v>
      </c>
      <c r="G1129" s="6" t="str">
        <f t="shared" si="34"/>
        <v>Peoples John</v>
      </c>
      <c r="H1129" s="22" t="str">
        <f>IFERROR(VLOOKUP(VLOOKUP(A1129,'Sales Order'!A:C,3,FALSE),Employee!A:E,5,FALSE)&amp;" "&amp;VLOOKUP(VLOOKUP(A1129,'Sales Order'!A:C,3,FALSE),Employee!A:C,3,FALSE)&amp;" "&amp;VLOOKUP(VLOOKUP(A1129,'Sales Order'!A:C,3,FALSE),Employee!A:B,2,FALSE),"Not Specified")</f>
        <v>Ms. Sara Davis</v>
      </c>
      <c r="I1129" t="str">
        <f>IFERROR(VLOOKUP(VLOOKUP(A1129,'Sales Order'!A:C,3,FALSE),Employee!A:J,10,FALSE),"Not Specified")</f>
        <v>WA</v>
      </c>
      <c r="J1129" t="str">
        <f>VLOOKUP(B1129,Product!A:B,2,FALSE)</f>
        <v>Product HLGZA</v>
      </c>
      <c r="K1129" t="str">
        <f>VLOOKUP(VLOOKUP(B1129,Product!A:D,4,FALSE),Category!A:B,2,FALSE)</f>
        <v>Confections</v>
      </c>
      <c r="L1129" s="24">
        <f>IFERROR(VLOOKUP(A1129,'Sales Order'!A:D,4,FALSE),"")</f>
        <v>39347</v>
      </c>
      <c r="M1129" s="24">
        <f>IFERROR(VLOOKUP(A1129,'Sales Order'!A:F,6,FALSE),"")</f>
        <v>39351</v>
      </c>
      <c r="N1129" t="str">
        <f>IFERROR(VLOOKUP(VLOOKUP(A1129,'Sales Order'!A:G,7,FALSE),Shipper!A:B,2,FALSE),"Not Specified")</f>
        <v>Shipper ZHISN</v>
      </c>
      <c r="O1129" t="str">
        <f>IFERROR(VLOOKUP(A1129,'Sales Order'!A:I,9,FALSE),"Not Specified")</f>
        <v>Destination LANNN</v>
      </c>
      <c r="P1129" t="str">
        <f>IFERROR(VLOOKUP(A1129,'Sales Order'!A:N,14,FALSE),"Not Specified")</f>
        <v>Mexico</v>
      </c>
      <c r="Q1129" t="str">
        <f>VLOOKUP(VLOOKUP(B1129,Product!A:C,3,FALSE),Supplier!A:B,2,FALSE)</f>
        <v>Supplier ZPYVS</v>
      </c>
      <c r="R1129" t="str">
        <f>VLOOKUP(VLOOKUP(B1129,Product!A:C,3,FALSE),Supplier!A:I,9,FALSE)</f>
        <v>Germany</v>
      </c>
      <c r="S1129" t="str">
        <f>IFERROR(IF(VLOOKUP(A1129,'Sales Order'!A:H,8,FALSE)&gt;100,"High Freight","Low Freight"),"Not Specified")</f>
        <v>Low Freight</v>
      </c>
      <c r="T1129">
        <f t="shared" si="35"/>
        <v>796.36500000000001</v>
      </c>
    </row>
    <row r="1130" spans="1:20">
      <c r="A1130" s="9">
        <v>10677</v>
      </c>
      <c r="B1130" s="6">
        <v>33</v>
      </c>
      <c r="C1130" s="6">
        <v>2.5</v>
      </c>
      <c r="D1130" s="6">
        <v>8</v>
      </c>
      <c r="E1130" s="18">
        <v>0.15</v>
      </c>
      <c r="F1130" s="6" t="str">
        <f>IFERROR(VLOOKUP(VLOOKUP(A1130,'Sales Order'!A:B,2,FALSE),Customer!A:C,3,FALSE),"Not Specified")</f>
        <v>Peoples, John</v>
      </c>
      <c r="G1130" s="6" t="str">
        <f t="shared" si="34"/>
        <v>Peoples John</v>
      </c>
      <c r="H1130" s="22" t="str">
        <f>IFERROR(VLOOKUP(VLOOKUP(A1130,'Sales Order'!A:C,3,FALSE),Employee!A:E,5,FALSE)&amp;" "&amp;VLOOKUP(VLOOKUP(A1130,'Sales Order'!A:C,3,FALSE),Employee!A:C,3,FALSE)&amp;" "&amp;VLOOKUP(VLOOKUP(A1130,'Sales Order'!A:C,3,FALSE),Employee!A:B,2,FALSE),"Not Specified")</f>
        <v>Ms. Sara Davis</v>
      </c>
      <c r="I1130" t="str">
        <f>IFERROR(VLOOKUP(VLOOKUP(A1130,'Sales Order'!A:C,3,FALSE),Employee!A:J,10,FALSE),"Not Specified")</f>
        <v>WA</v>
      </c>
      <c r="J1130" t="str">
        <f>VLOOKUP(B1130,Product!A:B,2,FALSE)</f>
        <v>Product ASTMN</v>
      </c>
      <c r="K1130" t="str">
        <f>VLOOKUP(VLOOKUP(B1130,Product!A:D,4,FALSE),Category!A:B,2,FALSE)</f>
        <v>Dairy Product</v>
      </c>
      <c r="L1130" s="24">
        <f>IFERROR(VLOOKUP(A1130,'Sales Order'!A:D,4,FALSE),"")</f>
        <v>39347</v>
      </c>
      <c r="M1130" s="24">
        <f>IFERROR(VLOOKUP(A1130,'Sales Order'!A:F,6,FALSE),"")</f>
        <v>39351</v>
      </c>
      <c r="N1130" t="str">
        <f>IFERROR(VLOOKUP(VLOOKUP(A1130,'Sales Order'!A:G,7,FALSE),Shipper!A:B,2,FALSE),"Not Specified")</f>
        <v>Shipper ZHISN</v>
      </c>
      <c r="O1130" t="str">
        <f>IFERROR(VLOOKUP(A1130,'Sales Order'!A:I,9,FALSE),"Not Specified")</f>
        <v>Destination LANNN</v>
      </c>
      <c r="P1130" t="str">
        <f>IFERROR(VLOOKUP(A1130,'Sales Order'!A:N,14,FALSE),"Not Specified")</f>
        <v>Mexico</v>
      </c>
      <c r="Q1130" t="str">
        <f>VLOOKUP(VLOOKUP(B1130,Product!A:C,3,FALSE),Supplier!A:B,2,FALSE)</f>
        <v>Supplier NZLIF</v>
      </c>
      <c r="R1130" t="str">
        <f>VLOOKUP(VLOOKUP(B1130,Product!A:C,3,FALSE),Supplier!A:I,9,FALSE)</f>
        <v>Norway</v>
      </c>
      <c r="S1130" t="str">
        <f>IFERROR(IF(VLOOKUP(A1130,'Sales Order'!A:H,8,FALSE)&gt;100,"High Freight","Low Freight"),"Not Specified")</f>
        <v>Low Freight</v>
      </c>
      <c r="T1130">
        <f t="shared" si="35"/>
        <v>17</v>
      </c>
    </row>
    <row r="1131" spans="1:20">
      <c r="A1131" s="9">
        <v>10678</v>
      </c>
      <c r="B1131" s="6">
        <v>12</v>
      </c>
      <c r="C1131" s="6">
        <v>38</v>
      </c>
      <c r="D1131" s="6">
        <v>100</v>
      </c>
      <c r="E1131" s="18">
        <v>0</v>
      </c>
      <c r="F1131" s="6" t="str">
        <f>IFERROR(VLOOKUP(VLOOKUP(A1131,'Sales Order'!A:B,2,FALSE),Customer!A:C,3,FALSE),"Not Specified")</f>
        <v>Navarro, Tomás</v>
      </c>
      <c r="G1131" s="6" t="str">
        <f t="shared" si="34"/>
        <v>Navarro Tomás</v>
      </c>
      <c r="H1131" s="22" t="str">
        <f>IFERROR(VLOOKUP(VLOOKUP(A1131,'Sales Order'!A:C,3,FALSE),Employee!A:E,5,FALSE)&amp;" "&amp;VLOOKUP(VLOOKUP(A1131,'Sales Order'!A:C,3,FALSE),Employee!A:C,3,FALSE)&amp;" "&amp;VLOOKUP(VLOOKUP(A1131,'Sales Order'!A:C,3,FALSE),Employee!A:B,2,FALSE),"Not Specified")</f>
        <v>Mr. Russell King</v>
      </c>
      <c r="I1131">
        <f>IFERROR(VLOOKUP(VLOOKUP(A1131,'Sales Order'!A:C,3,FALSE),Employee!A:J,10,FALSE),"Not Specified")</f>
        <v>0</v>
      </c>
      <c r="J1131" t="str">
        <f>VLOOKUP(B1131,Product!A:B,2,FALSE)</f>
        <v>Product OSFNS</v>
      </c>
      <c r="K1131" t="str">
        <f>VLOOKUP(VLOOKUP(B1131,Product!A:D,4,FALSE),Category!A:B,2,FALSE)</f>
        <v>Dairy Product</v>
      </c>
      <c r="L1131" s="24">
        <f>IFERROR(VLOOKUP(A1131,'Sales Order'!A:D,4,FALSE),"")</f>
        <v>39348</v>
      </c>
      <c r="M1131" s="24">
        <f>IFERROR(VLOOKUP(A1131,'Sales Order'!A:F,6,FALSE),"")</f>
        <v>39371</v>
      </c>
      <c r="N1131" t="str">
        <f>IFERROR(VLOOKUP(VLOOKUP(A1131,'Sales Order'!A:G,7,FALSE),Shipper!A:B,2,FALSE),"Not Specified")</f>
        <v>Shipper ZHISN</v>
      </c>
      <c r="O1131" t="str">
        <f>IFERROR(VLOOKUP(A1131,'Sales Order'!A:I,9,FALSE),"Not Specified")</f>
        <v>Ship to 71-A</v>
      </c>
      <c r="P1131" t="str">
        <f>IFERROR(VLOOKUP(A1131,'Sales Order'!A:N,14,FALSE),"Not Specified")</f>
        <v>USA</v>
      </c>
      <c r="Q1131" t="str">
        <f>VLOOKUP(VLOOKUP(B1131,Product!A:C,3,FALSE),Supplier!A:B,2,FALSE)</f>
        <v>Supplier EQPNC</v>
      </c>
      <c r="R1131" t="str">
        <f>VLOOKUP(VLOOKUP(B1131,Product!A:C,3,FALSE),Supplier!A:I,9,FALSE)</f>
        <v>Spain</v>
      </c>
      <c r="S1131" t="str">
        <f>IFERROR(IF(VLOOKUP(A1131,'Sales Order'!A:H,8,FALSE)&gt;100,"High Freight","Low Freight"),"Not Specified")</f>
        <v>High Freight</v>
      </c>
      <c r="T1131">
        <f t="shared" si="35"/>
        <v>3800</v>
      </c>
    </row>
    <row r="1132" spans="1:20">
      <c r="A1132" s="9">
        <v>10678</v>
      </c>
      <c r="B1132" s="6">
        <v>33</v>
      </c>
      <c r="C1132" s="6">
        <v>2.5</v>
      </c>
      <c r="D1132" s="6">
        <v>30</v>
      </c>
      <c r="E1132" s="18">
        <v>0</v>
      </c>
      <c r="F1132" s="6" t="str">
        <f>IFERROR(VLOOKUP(VLOOKUP(A1132,'Sales Order'!A:B,2,FALSE),Customer!A:C,3,FALSE),"Not Specified")</f>
        <v>Navarro, Tomás</v>
      </c>
      <c r="G1132" s="6" t="str">
        <f t="shared" si="34"/>
        <v>Navarro Tomás</v>
      </c>
      <c r="H1132" s="22" t="str">
        <f>IFERROR(VLOOKUP(VLOOKUP(A1132,'Sales Order'!A:C,3,FALSE),Employee!A:E,5,FALSE)&amp;" "&amp;VLOOKUP(VLOOKUP(A1132,'Sales Order'!A:C,3,FALSE),Employee!A:C,3,FALSE)&amp;" "&amp;VLOOKUP(VLOOKUP(A1132,'Sales Order'!A:C,3,FALSE),Employee!A:B,2,FALSE),"Not Specified")</f>
        <v>Mr. Russell King</v>
      </c>
      <c r="I1132">
        <f>IFERROR(VLOOKUP(VLOOKUP(A1132,'Sales Order'!A:C,3,FALSE),Employee!A:J,10,FALSE),"Not Specified")</f>
        <v>0</v>
      </c>
      <c r="J1132" t="str">
        <f>VLOOKUP(B1132,Product!A:B,2,FALSE)</f>
        <v>Product ASTMN</v>
      </c>
      <c r="K1132" t="str">
        <f>VLOOKUP(VLOOKUP(B1132,Product!A:D,4,FALSE),Category!A:B,2,FALSE)</f>
        <v>Dairy Product</v>
      </c>
      <c r="L1132" s="24">
        <f>IFERROR(VLOOKUP(A1132,'Sales Order'!A:D,4,FALSE),"")</f>
        <v>39348</v>
      </c>
      <c r="M1132" s="24">
        <f>IFERROR(VLOOKUP(A1132,'Sales Order'!A:F,6,FALSE),"")</f>
        <v>39371</v>
      </c>
      <c r="N1132" t="str">
        <f>IFERROR(VLOOKUP(VLOOKUP(A1132,'Sales Order'!A:G,7,FALSE),Shipper!A:B,2,FALSE),"Not Specified")</f>
        <v>Shipper ZHISN</v>
      </c>
      <c r="O1132" t="str">
        <f>IFERROR(VLOOKUP(A1132,'Sales Order'!A:I,9,FALSE),"Not Specified")</f>
        <v>Ship to 71-A</v>
      </c>
      <c r="P1132" t="str">
        <f>IFERROR(VLOOKUP(A1132,'Sales Order'!A:N,14,FALSE),"Not Specified")</f>
        <v>USA</v>
      </c>
      <c r="Q1132" t="str">
        <f>VLOOKUP(VLOOKUP(B1132,Product!A:C,3,FALSE),Supplier!A:B,2,FALSE)</f>
        <v>Supplier NZLIF</v>
      </c>
      <c r="R1132" t="str">
        <f>VLOOKUP(VLOOKUP(B1132,Product!A:C,3,FALSE),Supplier!A:I,9,FALSE)</f>
        <v>Norway</v>
      </c>
      <c r="S1132" t="str">
        <f>IFERROR(IF(VLOOKUP(A1132,'Sales Order'!A:H,8,FALSE)&gt;100,"High Freight","Low Freight"),"Not Specified")</f>
        <v>High Freight</v>
      </c>
      <c r="T1132">
        <f t="shared" si="35"/>
        <v>75</v>
      </c>
    </row>
    <row r="1133" spans="1:20">
      <c r="A1133" s="9">
        <v>10678</v>
      </c>
      <c r="B1133" s="6">
        <v>41</v>
      </c>
      <c r="C1133" s="6">
        <v>9.65</v>
      </c>
      <c r="D1133" s="6">
        <v>120</v>
      </c>
      <c r="E1133" s="18">
        <v>0</v>
      </c>
      <c r="F1133" s="6" t="str">
        <f>IFERROR(VLOOKUP(VLOOKUP(A1133,'Sales Order'!A:B,2,FALSE),Customer!A:C,3,FALSE),"Not Specified")</f>
        <v>Navarro, Tomás</v>
      </c>
      <c r="G1133" s="6" t="str">
        <f t="shared" si="34"/>
        <v>Navarro Tomás</v>
      </c>
      <c r="H1133" s="22" t="str">
        <f>IFERROR(VLOOKUP(VLOOKUP(A1133,'Sales Order'!A:C,3,FALSE),Employee!A:E,5,FALSE)&amp;" "&amp;VLOOKUP(VLOOKUP(A1133,'Sales Order'!A:C,3,FALSE),Employee!A:C,3,FALSE)&amp;" "&amp;VLOOKUP(VLOOKUP(A1133,'Sales Order'!A:C,3,FALSE),Employee!A:B,2,FALSE),"Not Specified")</f>
        <v>Mr. Russell King</v>
      </c>
      <c r="I1133">
        <f>IFERROR(VLOOKUP(VLOOKUP(A1133,'Sales Order'!A:C,3,FALSE),Employee!A:J,10,FALSE),"Not Specified")</f>
        <v>0</v>
      </c>
      <c r="J1133" t="str">
        <f>VLOOKUP(B1133,Product!A:B,2,FALSE)</f>
        <v>Product TTEEX</v>
      </c>
      <c r="K1133" t="str">
        <f>VLOOKUP(VLOOKUP(B1133,Product!A:D,4,FALSE),Category!A:B,2,FALSE)</f>
        <v>Seafood</v>
      </c>
      <c r="L1133" s="24">
        <f>IFERROR(VLOOKUP(A1133,'Sales Order'!A:D,4,FALSE),"")</f>
        <v>39348</v>
      </c>
      <c r="M1133" s="24">
        <f>IFERROR(VLOOKUP(A1133,'Sales Order'!A:F,6,FALSE),"")</f>
        <v>39371</v>
      </c>
      <c r="N1133" t="str">
        <f>IFERROR(VLOOKUP(VLOOKUP(A1133,'Sales Order'!A:G,7,FALSE),Shipper!A:B,2,FALSE),"Not Specified")</f>
        <v>Shipper ZHISN</v>
      </c>
      <c r="O1133" t="str">
        <f>IFERROR(VLOOKUP(A1133,'Sales Order'!A:I,9,FALSE),"Not Specified")</f>
        <v>Ship to 71-A</v>
      </c>
      <c r="P1133" t="str">
        <f>IFERROR(VLOOKUP(A1133,'Sales Order'!A:N,14,FALSE),"Not Specified")</f>
        <v>USA</v>
      </c>
      <c r="Q1133" t="str">
        <f>VLOOKUP(VLOOKUP(B1133,Product!A:C,3,FALSE),Supplier!A:B,2,FALSE)</f>
        <v>Supplier JDNUG</v>
      </c>
      <c r="R1133" t="str">
        <f>VLOOKUP(VLOOKUP(B1133,Product!A:C,3,FALSE),Supplier!A:I,9,FALSE)</f>
        <v>USA</v>
      </c>
      <c r="S1133" t="str">
        <f>IFERROR(IF(VLOOKUP(A1133,'Sales Order'!A:H,8,FALSE)&gt;100,"High Freight","Low Freight"),"Not Specified")</f>
        <v>High Freight</v>
      </c>
      <c r="T1133">
        <f t="shared" si="35"/>
        <v>1158</v>
      </c>
    </row>
    <row r="1134" spans="1:20">
      <c r="A1134" s="9">
        <v>10678</v>
      </c>
      <c r="B1134" s="6">
        <v>54</v>
      </c>
      <c r="C1134" s="6">
        <v>7.45</v>
      </c>
      <c r="D1134" s="6">
        <v>30</v>
      </c>
      <c r="E1134" s="18">
        <v>0</v>
      </c>
      <c r="F1134" s="6" t="str">
        <f>IFERROR(VLOOKUP(VLOOKUP(A1134,'Sales Order'!A:B,2,FALSE),Customer!A:C,3,FALSE),"Not Specified")</f>
        <v>Navarro, Tomás</v>
      </c>
      <c r="G1134" s="6" t="str">
        <f t="shared" si="34"/>
        <v>Navarro Tomás</v>
      </c>
      <c r="H1134" s="22" t="str">
        <f>IFERROR(VLOOKUP(VLOOKUP(A1134,'Sales Order'!A:C,3,FALSE),Employee!A:E,5,FALSE)&amp;" "&amp;VLOOKUP(VLOOKUP(A1134,'Sales Order'!A:C,3,FALSE),Employee!A:C,3,FALSE)&amp;" "&amp;VLOOKUP(VLOOKUP(A1134,'Sales Order'!A:C,3,FALSE),Employee!A:B,2,FALSE),"Not Specified")</f>
        <v>Mr. Russell King</v>
      </c>
      <c r="I1134">
        <f>IFERROR(VLOOKUP(VLOOKUP(A1134,'Sales Order'!A:C,3,FALSE),Employee!A:J,10,FALSE),"Not Specified")</f>
        <v>0</v>
      </c>
      <c r="J1134" t="str">
        <f>VLOOKUP(B1134,Product!A:B,2,FALSE)</f>
        <v>Product QAQRL</v>
      </c>
      <c r="K1134" t="str">
        <f>VLOOKUP(VLOOKUP(B1134,Product!A:D,4,FALSE),Category!A:B,2,FALSE)</f>
        <v>Meat/Poultry</v>
      </c>
      <c r="L1134" s="24">
        <f>IFERROR(VLOOKUP(A1134,'Sales Order'!A:D,4,FALSE),"")</f>
        <v>39348</v>
      </c>
      <c r="M1134" s="24">
        <f>IFERROR(VLOOKUP(A1134,'Sales Order'!A:F,6,FALSE),"")</f>
        <v>39371</v>
      </c>
      <c r="N1134" t="str">
        <f>IFERROR(VLOOKUP(VLOOKUP(A1134,'Sales Order'!A:G,7,FALSE),Shipper!A:B,2,FALSE),"Not Specified")</f>
        <v>Shipper ZHISN</v>
      </c>
      <c r="O1134" t="str">
        <f>IFERROR(VLOOKUP(A1134,'Sales Order'!A:I,9,FALSE),"Not Specified")</f>
        <v>Ship to 71-A</v>
      </c>
      <c r="P1134" t="str">
        <f>IFERROR(VLOOKUP(A1134,'Sales Order'!A:N,14,FALSE),"Not Specified")</f>
        <v>USA</v>
      </c>
      <c r="Q1134" t="str">
        <f>VLOOKUP(VLOOKUP(B1134,Product!A:C,3,FALSE),Supplier!A:B,2,FALSE)</f>
        <v>Supplier ERVYZ</v>
      </c>
      <c r="R1134" t="str">
        <f>VLOOKUP(VLOOKUP(B1134,Product!A:C,3,FALSE),Supplier!A:I,9,FALSE)</f>
        <v>Canada</v>
      </c>
      <c r="S1134" t="str">
        <f>IFERROR(IF(VLOOKUP(A1134,'Sales Order'!A:H,8,FALSE)&gt;100,"High Freight","Low Freight"),"Not Specified")</f>
        <v>High Freight</v>
      </c>
      <c r="T1134">
        <f t="shared" si="35"/>
        <v>223.5</v>
      </c>
    </row>
    <row r="1135" spans="1:20">
      <c r="A1135" s="9">
        <v>10679</v>
      </c>
      <c r="B1135" s="6">
        <v>59</v>
      </c>
      <c r="C1135" s="6">
        <v>55</v>
      </c>
      <c r="D1135" s="6">
        <v>12</v>
      </c>
      <c r="E1135" s="18">
        <v>0</v>
      </c>
      <c r="F1135" s="6" t="str">
        <f>IFERROR(VLOOKUP(VLOOKUP(A1135,'Sales Order'!A:B,2,FALSE),Customer!A:C,3,FALSE),"Not Specified")</f>
        <v>Bansal, Dushyant</v>
      </c>
      <c r="G1135" s="6" t="str">
        <f t="shared" si="34"/>
        <v>Bansal Dushyant</v>
      </c>
      <c r="H1135" s="22" t="str">
        <f>IFERROR(VLOOKUP(VLOOKUP(A1135,'Sales Order'!A:C,3,FALSE),Employee!A:E,5,FALSE)&amp;" "&amp;VLOOKUP(VLOOKUP(A1135,'Sales Order'!A:C,3,FALSE),Employee!A:C,3,FALSE)&amp;" "&amp;VLOOKUP(VLOOKUP(A1135,'Sales Order'!A:C,3,FALSE),Employee!A:B,2,FALSE),"Not Specified")</f>
        <v>Ms. Maria Cameron</v>
      </c>
      <c r="I1135" t="str">
        <f>IFERROR(VLOOKUP(VLOOKUP(A1135,'Sales Order'!A:C,3,FALSE),Employee!A:J,10,FALSE),"Not Specified")</f>
        <v>WA</v>
      </c>
      <c r="J1135" t="str">
        <f>VLOOKUP(B1135,Product!A:B,2,FALSE)</f>
        <v>Product UKXRI</v>
      </c>
      <c r="K1135" t="str">
        <f>VLOOKUP(VLOOKUP(B1135,Product!A:D,4,FALSE),Category!A:B,2,FALSE)</f>
        <v>Dairy Product</v>
      </c>
      <c r="L1135" s="24">
        <f>IFERROR(VLOOKUP(A1135,'Sales Order'!A:D,4,FALSE),"")</f>
        <v>39348</v>
      </c>
      <c r="M1135" s="24">
        <f>IFERROR(VLOOKUP(A1135,'Sales Order'!A:F,6,FALSE),"")</f>
        <v>39355</v>
      </c>
      <c r="N1135" t="str">
        <f>IFERROR(VLOOKUP(VLOOKUP(A1135,'Sales Order'!A:G,7,FALSE),Shipper!A:B,2,FALSE),"Not Specified")</f>
        <v>Shipper ZHISN</v>
      </c>
      <c r="O1135" t="str">
        <f>IFERROR(VLOOKUP(A1135,'Sales Order'!A:I,9,FALSE),"Not Specified")</f>
        <v>Ship to 7-A</v>
      </c>
      <c r="P1135" t="str">
        <f>IFERROR(VLOOKUP(A1135,'Sales Order'!A:N,14,FALSE),"Not Specified")</f>
        <v>France</v>
      </c>
      <c r="Q1135" t="str">
        <f>VLOOKUP(VLOOKUP(B1135,Product!A:C,3,FALSE),Supplier!A:B,2,FALSE)</f>
        <v>Supplier OAVQT</v>
      </c>
      <c r="R1135" t="str">
        <f>VLOOKUP(VLOOKUP(B1135,Product!A:C,3,FALSE),Supplier!A:I,9,FALSE)</f>
        <v>France</v>
      </c>
      <c r="S1135" t="str">
        <f>IFERROR(IF(VLOOKUP(A1135,'Sales Order'!A:H,8,FALSE)&gt;100,"High Freight","Low Freight"),"Not Specified")</f>
        <v>Low Freight</v>
      </c>
      <c r="T1135">
        <f t="shared" si="35"/>
        <v>660</v>
      </c>
    </row>
    <row r="1136" spans="1:20">
      <c r="A1136" s="9">
        <v>10680</v>
      </c>
      <c r="B1136" s="6">
        <v>16</v>
      </c>
      <c r="C1136" s="6">
        <v>17.45</v>
      </c>
      <c r="D1136" s="6">
        <v>50</v>
      </c>
      <c r="E1136" s="18">
        <v>0.25</v>
      </c>
      <c r="F1136" s="6" t="str">
        <f>IFERROR(VLOOKUP(VLOOKUP(A1136,'Sales Order'!A:B,2,FALSE),Customer!A:C,3,FALSE),"Not Specified")</f>
        <v>Egelund-Muller, Anja</v>
      </c>
      <c r="G1136" s="6" t="str">
        <f t="shared" si="34"/>
        <v>Egelund-Muller Anja</v>
      </c>
      <c r="H1136" s="22" t="str">
        <f>IFERROR(VLOOKUP(VLOOKUP(A1136,'Sales Order'!A:C,3,FALSE),Employee!A:E,5,FALSE)&amp;" "&amp;VLOOKUP(VLOOKUP(A1136,'Sales Order'!A:C,3,FALSE),Employee!A:C,3,FALSE)&amp;" "&amp;VLOOKUP(VLOOKUP(A1136,'Sales Order'!A:C,3,FALSE),Employee!A:B,2,FALSE),"Not Specified")</f>
        <v>Ms. Sara Davis</v>
      </c>
      <c r="I1136" t="str">
        <f>IFERROR(VLOOKUP(VLOOKUP(A1136,'Sales Order'!A:C,3,FALSE),Employee!A:J,10,FALSE),"Not Specified")</f>
        <v>WA</v>
      </c>
      <c r="J1136" t="str">
        <f>VLOOKUP(B1136,Product!A:B,2,FALSE)</f>
        <v>Product PAFRH</v>
      </c>
      <c r="K1136" t="str">
        <f>VLOOKUP(VLOOKUP(B1136,Product!A:D,4,FALSE),Category!A:B,2,FALSE)</f>
        <v>Confections</v>
      </c>
      <c r="L1136" s="24">
        <f>IFERROR(VLOOKUP(A1136,'Sales Order'!A:D,4,FALSE),"")</f>
        <v>39349</v>
      </c>
      <c r="M1136" s="24">
        <f>IFERROR(VLOOKUP(A1136,'Sales Order'!A:F,6,FALSE),"")</f>
        <v>39351</v>
      </c>
      <c r="N1136" t="str">
        <f>IFERROR(VLOOKUP(VLOOKUP(A1136,'Sales Order'!A:G,7,FALSE),Shipper!A:B,2,FALSE),"Not Specified")</f>
        <v>Shipper GVSUA</v>
      </c>
      <c r="O1136" t="str">
        <f>IFERROR(VLOOKUP(A1136,'Sales Order'!A:I,9,FALSE),"Not Specified")</f>
        <v>Ship to 55-B</v>
      </c>
      <c r="P1136" t="str">
        <f>IFERROR(VLOOKUP(A1136,'Sales Order'!A:N,14,FALSE),"Not Specified")</f>
        <v>USA</v>
      </c>
      <c r="Q1136" t="str">
        <f>VLOOKUP(VLOOKUP(B1136,Product!A:C,3,FALSE),Supplier!A:B,2,FALSE)</f>
        <v>Supplier GQRCV</v>
      </c>
      <c r="R1136" t="str">
        <f>VLOOKUP(VLOOKUP(B1136,Product!A:C,3,FALSE),Supplier!A:I,9,FALSE)</f>
        <v>Australia</v>
      </c>
      <c r="S1136" t="str">
        <f>IFERROR(IF(VLOOKUP(A1136,'Sales Order'!A:H,8,FALSE)&gt;100,"High Freight","Low Freight"),"Not Specified")</f>
        <v>Low Freight</v>
      </c>
      <c r="T1136">
        <f t="shared" si="35"/>
        <v>654.375</v>
      </c>
    </row>
    <row r="1137" spans="1:20">
      <c r="A1137" s="9">
        <v>10680</v>
      </c>
      <c r="B1137" s="6">
        <v>31</v>
      </c>
      <c r="C1137" s="6">
        <v>12.5</v>
      </c>
      <c r="D1137" s="6">
        <v>20</v>
      </c>
      <c r="E1137" s="18">
        <v>0.25</v>
      </c>
      <c r="F1137" s="6" t="str">
        <f>IFERROR(VLOOKUP(VLOOKUP(A1137,'Sales Order'!A:B,2,FALSE),Customer!A:C,3,FALSE),"Not Specified")</f>
        <v>Egelund-Muller, Anja</v>
      </c>
      <c r="G1137" s="6" t="str">
        <f t="shared" si="34"/>
        <v>Egelund-Muller Anja</v>
      </c>
      <c r="H1137" s="22" t="str">
        <f>IFERROR(VLOOKUP(VLOOKUP(A1137,'Sales Order'!A:C,3,FALSE),Employee!A:E,5,FALSE)&amp;" "&amp;VLOOKUP(VLOOKUP(A1137,'Sales Order'!A:C,3,FALSE),Employee!A:C,3,FALSE)&amp;" "&amp;VLOOKUP(VLOOKUP(A1137,'Sales Order'!A:C,3,FALSE),Employee!A:B,2,FALSE),"Not Specified")</f>
        <v>Ms. Sara Davis</v>
      </c>
      <c r="I1137" t="str">
        <f>IFERROR(VLOOKUP(VLOOKUP(A1137,'Sales Order'!A:C,3,FALSE),Employee!A:J,10,FALSE),"Not Specified")</f>
        <v>WA</v>
      </c>
      <c r="J1137" t="str">
        <f>VLOOKUP(B1137,Product!A:B,2,FALSE)</f>
        <v>Product XWOXC</v>
      </c>
      <c r="K1137" t="str">
        <f>VLOOKUP(VLOOKUP(B1137,Product!A:D,4,FALSE),Category!A:B,2,FALSE)</f>
        <v>Dairy Product</v>
      </c>
      <c r="L1137" s="24">
        <f>IFERROR(VLOOKUP(A1137,'Sales Order'!A:D,4,FALSE),"")</f>
        <v>39349</v>
      </c>
      <c r="M1137" s="24">
        <f>IFERROR(VLOOKUP(A1137,'Sales Order'!A:F,6,FALSE),"")</f>
        <v>39351</v>
      </c>
      <c r="N1137" t="str">
        <f>IFERROR(VLOOKUP(VLOOKUP(A1137,'Sales Order'!A:G,7,FALSE),Shipper!A:B,2,FALSE),"Not Specified")</f>
        <v>Shipper GVSUA</v>
      </c>
      <c r="O1137" t="str">
        <f>IFERROR(VLOOKUP(A1137,'Sales Order'!A:I,9,FALSE),"Not Specified")</f>
        <v>Ship to 55-B</v>
      </c>
      <c r="P1137" t="str">
        <f>IFERROR(VLOOKUP(A1137,'Sales Order'!A:N,14,FALSE),"Not Specified")</f>
        <v>USA</v>
      </c>
      <c r="Q1137" t="str">
        <f>VLOOKUP(VLOOKUP(B1137,Product!A:C,3,FALSE),Supplier!A:B,2,FALSE)</f>
        <v>Supplier KEREV</v>
      </c>
      <c r="R1137" t="str">
        <f>VLOOKUP(VLOOKUP(B1137,Product!A:C,3,FALSE),Supplier!A:I,9,FALSE)</f>
        <v>Italy</v>
      </c>
      <c r="S1137" t="str">
        <f>IFERROR(IF(VLOOKUP(A1137,'Sales Order'!A:H,8,FALSE)&gt;100,"High Freight","Low Freight"),"Not Specified")</f>
        <v>Low Freight</v>
      </c>
      <c r="T1137">
        <f t="shared" si="35"/>
        <v>187.5</v>
      </c>
    </row>
    <row r="1138" spans="1:20">
      <c r="A1138" s="9">
        <v>10680</v>
      </c>
      <c r="B1138" s="6">
        <v>42</v>
      </c>
      <c r="C1138" s="6">
        <v>14</v>
      </c>
      <c r="D1138" s="6">
        <v>40</v>
      </c>
      <c r="E1138" s="18">
        <v>0.25</v>
      </c>
      <c r="F1138" s="6" t="str">
        <f>IFERROR(VLOOKUP(VLOOKUP(A1138,'Sales Order'!A:B,2,FALSE),Customer!A:C,3,FALSE),"Not Specified")</f>
        <v>Egelund-Muller, Anja</v>
      </c>
      <c r="G1138" s="6" t="str">
        <f t="shared" si="34"/>
        <v>Egelund-Muller Anja</v>
      </c>
      <c r="H1138" s="22" t="str">
        <f>IFERROR(VLOOKUP(VLOOKUP(A1138,'Sales Order'!A:C,3,FALSE),Employee!A:E,5,FALSE)&amp;" "&amp;VLOOKUP(VLOOKUP(A1138,'Sales Order'!A:C,3,FALSE),Employee!A:C,3,FALSE)&amp;" "&amp;VLOOKUP(VLOOKUP(A1138,'Sales Order'!A:C,3,FALSE),Employee!A:B,2,FALSE),"Not Specified")</f>
        <v>Ms. Sara Davis</v>
      </c>
      <c r="I1138" t="str">
        <f>IFERROR(VLOOKUP(VLOOKUP(A1138,'Sales Order'!A:C,3,FALSE),Employee!A:J,10,FALSE),"Not Specified")</f>
        <v>WA</v>
      </c>
      <c r="J1138" t="str">
        <f>VLOOKUP(B1138,Product!A:B,2,FALSE)</f>
        <v>Product RJVNM</v>
      </c>
      <c r="K1138" t="str">
        <f>VLOOKUP(VLOOKUP(B1138,Product!A:D,4,FALSE),Category!A:B,2,FALSE)</f>
        <v>Grains/Cereals</v>
      </c>
      <c r="L1138" s="24">
        <f>IFERROR(VLOOKUP(A1138,'Sales Order'!A:D,4,FALSE),"")</f>
        <v>39349</v>
      </c>
      <c r="M1138" s="24">
        <f>IFERROR(VLOOKUP(A1138,'Sales Order'!A:F,6,FALSE),"")</f>
        <v>39351</v>
      </c>
      <c r="N1138" t="str">
        <f>IFERROR(VLOOKUP(VLOOKUP(A1138,'Sales Order'!A:G,7,FALSE),Shipper!A:B,2,FALSE),"Not Specified")</f>
        <v>Shipper GVSUA</v>
      </c>
      <c r="O1138" t="str">
        <f>IFERROR(VLOOKUP(A1138,'Sales Order'!A:I,9,FALSE),"Not Specified")</f>
        <v>Ship to 55-B</v>
      </c>
      <c r="P1138" t="str">
        <f>IFERROR(VLOOKUP(A1138,'Sales Order'!A:N,14,FALSE),"Not Specified")</f>
        <v>USA</v>
      </c>
      <c r="Q1138" t="str">
        <f>VLOOKUP(VLOOKUP(B1138,Product!A:C,3,FALSE),Supplier!A:B,2,FALSE)</f>
        <v>Supplier CIYNM</v>
      </c>
      <c r="R1138" t="str">
        <f>VLOOKUP(VLOOKUP(B1138,Product!A:C,3,FALSE),Supplier!A:I,9,FALSE)</f>
        <v>Singapore</v>
      </c>
      <c r="S1138" t="str">
        <f>IFERROR(IF(VLOOKUP(A1138,'Sales Order'!A:H,8,FALSE)&gt;100,"High Freight","Low Freight"),"Not Specified")</f>
        <v>Low Freight</v>
      </c>
      <c r="T1138">
        <f t="shared" si="35"/>
        <v>420</v>
      </c>
    </row>
    <row r="1139" spans="1:20">
      <c r="A1139" s="9">
        <v>10681</v>
      </c>
      <c r="B1139" s="6">
        <v>19</v>
      </c>
      <c r="C1139" s="6">
        <v>9.1999999999999993</v>
      </c>
      <c r="D1139" s="6">
        <v>30</v>
      </c>
      <c r="E1139" s="18">
        <v>0.1</v>
      </c>
      <c r="F1139" s="6" t="str">
        <f>IFERROR(VLOOKUP(VLOOKUP(A1139,'Sales Order'!A:B,2,FALSE),Customer!A:C,3,FALSE),"Not Specified")</f>
        <v>Krishnan, Venky</v>
      </c>
      <c r="G1139" s="6" t="str">
        <f t="shared" si="34"/>
        <v>Krishnan Venky</v>
      </c>
      <c r="H1139" s="22" t="str">
        <f>IFERROR(VLOOKUP(VLOOKUP(A1139,'Sales Order'!A:C,3,FALSE),Employee!A:E,5,FALSE)&amp;" "&amp;VLOOKUP(VLOOKUP(A1139,'Sales Order'!A:C,3,FALSE),Employee!A:C,3,FALSE)&amp;" "&amp;VLOOKUP(VLOOKUP(A1139,'Sales Order'!A:C,3,FALSE),Employee!A:B,2,FALSE),"Not Specified")</f>
        <v>Ms. Judy Lew</v>
      </c>
      <c r="I1139" t="str">
        <f>IFERROR(VLOOKUP(VLOOKUP(A1139,'Sales Order'!A:C,3,FALSE),Employee!A:J,10,FALSE),"Not Specified")</f>
        <v>WA</v>
      </c>
      <c r="J1139" t="str">
        <f>VLOOKUP(B1139,Product!A:B,2,FALSE)</f>
        <v>Product XKXDO</v>
      </c>
      <c r="K1139" t="str">
        <f>VLOOKUP(VLOOKUP(B1139,Product!A:D,4,FALSE),Category!A:B,2,FALSE)</f>
        <v>Confections</v>
      </c>
      <c r="L1139" s="24">
        <f>IFERROR(VLOOKUP(A1139,'Sales Order'!A:D,4,FALSE),"")</f>
        <v>39350</v>
      </c>
      <c r="M1139" s="24">
        <f>IFERROR(VLOOKUP(A1139,'Sales Order'!A:F,6,FALSE),"")</f>
        <v>39355</v>
      </c>
      <c r="N1139" t="str">
        <f>IFERROR(VLOOKUP(VLOOKUP(A1139,'Sales Order'!A:G,7,FALSE),Shipper!A:B,2,FALSE),"Not Specified")</f>
        <v>Shipper ZHISN</v>
      </c>
      <c r="O1139" t="str">
        <f>IFERROR(VLOOKUP(A1139,'Sales Order'!A:I,9,FALSE),"Not Specified")</f>
        <v>Destination AVQUS</v>
      </c>
      <c r="P1139" t="str">
        <f>IFERROR(VLOOKUP(A1139,'Sales Order'!A:N,14,FALSE),"Not Specified")</f>
        <v>USA</v>
      </c>
      <c r="Q1139" t="str">
        <f>VLOOKUP(VLOOKUP(B1139,Product!A:C,3,FALSE),Supplier!A:B,2,FALSE)</f>
        <v>Supplier BWGYE</v>
      </c>
      <c r="R1139" t="str">
        <f>VLOOKUP(VLOOKUP(B1139,Product!A:C,3,FALSE),Supplier!A:I,9,FALSE)</f>
        <v>UK</v>
      </c>
      <c r="S1139" t="str">
        <f>IFERROR(IF(VLOOKUP(A1139,'Sales Order'!A:H,8,FALSE)&gt;100,"High Freight","Low Freight"),"Not Specified")</f>
        <v>Low Freight</v>
      </c>
      <c r="T1139">
        <f t="shared" si="35"/>
        <v>248.4</v>
      </c>
    </row>
    <row r="1140" spans="1:20">
      <c r="A1140" s="9">
        <v>10681</v>
      </c>
      <c r="B1140" s="6">
        <v>21</v>
      </c>
      <c r="C1140" s="6">
        <v>10</v>
      </c>
      <c r="D1140" s="6">
        <v>12</v>
      </c>
      <c r="E1140" s="18">
        <v>0.1</v>
      </c>
      <c r="F1140" s="6" t="str">
        <f>IFERROR(VLOOKUP(VLOOKUP(A1140,'Sales Order'!A:B,2,FALSE),Customer!A:C,3,FALSE),"Not Specified")</f>
        <v>Krishnan, Venky</v>
      </c>
      <c r="G1140" s="6" t="str">
        <f t="shared" si="34"/>
        <v>Krishnan Venky</v>
      </c>
      <c r="H1140" s="22" t="str">
        <f>IFERROR(VLOOKUP(VLOOKUP(A1140,'Sales Order'!A:C,3,FALSE),Employee!A:E,5,FALSE)&amp;" "&amp;VLOOKUP(VLOOKUP(A1140,'Sales Order'!A:C,3,FALSE),Employee!A:C,3,FALSE)&amp;" "&amp;VLOOKUP(VLOOKUP(A1140,'Sales Order'!A:C,3,FALSE),Employee!A:B,2,FALSE),"Not Specified")</f>
        <v>Ms. Judy Lew</v>
      </c>
      <c r="I1140" t="str">
        <f>IFERROR(VLOOKUP(VLOOKUP(A1140,'Sales Order'!A:C,3,FALSE),Employee!A:J,10,FALSE),"Not Specified")</f>
        <v>WA</v>
      </c>
      <c r="J1140" t="str">
        <f>VLOOKUP(B1140,Product!A:B,2,FALSE)</f>
        <v>Product VJZZH</v>
      </c>
      <c r="K1140" t="str">
        <f>VLOOKUP(VLOOKUP(B1140,Product!A:D,4,FALSE),Category!A:B,2,FALSE)</f>
        <v>Confections</v>
      </c>
      <c r="L1140" s="24">
        <f>IFERROR(VLOOKUP(A1140,'Sales Order'!A:D,4,FALSE),"")</f>
        <v>39350</v>
      </c>
      <c r="M1140" s="24">
        <f>IFERROR(VLOOKUP(A1140,'Sales Order'!A:F,6,FALSE),"")</f>
        <v>39355</v>
      </c>
      <c r="N1140" t="str">
        <f>IFERROR(VLOOKUP(VLOOKUP(A1140,'Sales Order'!A:G,7,FALSE),Shipper!A:B,2,FALSE),"Not Specified")</f>
        <v>Shipper ZHISN</v>
      </c>
      <c r="O1140" t="str">
        <f>IFERROR(VLOOKUP(A1140,'Sales Order'!A:I,9,FALSE),"Not Specified")</f>
        <v>Destination AVQUS</v>
      </c>
      <c r="P1140" t="str">
        <f>IFERROR(VLOOKUP(A1140,'Sales Order'!A:N,14,FALSE),"Not Specified")</f>
        <v>USA</v>
      </c>
      <c r="Q1140" t="str">
        <f>VLOOKUP(VLOOKUP(B1140,Product!A:C,3,FALSE),Supplier!A:B,2,FALSE)</f>
        <v>Supplier BWGYE</v>
      </c>
      <c r="R1140" t="str">
        <f>VLOOKUP(VLOOKUP(B1140,Product!A:C,3,FALSE),Supplier!A:I,9,FALSE)</f>
        <v>UK</v>
      </c>
      <c r="S1140" t="str">
        <f>IFERROR(IF(VLOOKUP(A1140,'Sales Order'!A:H,8,FALSE)&gt;100,"High Freight","Low Freight"),"Not Specified")</f>
        <v>Low Freight</v>
      </c>
      <c r="T1140">
        <f t="shared" si="35"/>
        <v>108</v>
      </c>
    </row>
    <row r="1141" spans="1:20">
      <c r="A1141" s="9">
        <v>10681</v>
      </c>
      <c r="B1141" s="6">
        <v>64</v>
      </c>
      <c r="C1141" s="6">
        <v>33.25</v>
      </c>
      <c r="D1141" s="6">
        <v>28</v>
      </c>
      <c r="E1141" s="18">
        <v>0</v>
      </c>
      <c r="F1141" s="6" t="str">
        <f>IFERROR(VLOOKUP(VLOOKUP(A1141,'Sales Order'!A:B,2,FALSE),Customer!A:C,3,FALSE),"Not Specified")</f>
        <v>Krishnan, Venky</v>
      </c>
      <c r="G1141" s="6" t="str">
        <f t="shared" si="34"/>
        <v>Krishnan Venky</v>
      </c>
      <c r="H1141" s="22" t="str">
        <f>IFERROR(VLOOKUP(VLOOKUP(A1141,'Sales Order'!A:C,3,FALSE),Employee!A:E,5,FALSE)&amp;" "&amp;VLOOKUP(VLOOKUP(A1141,'Sales Order'!A:C,3,FALSE),Employee!A:C,3,FALSE)&amp;" "&amp;VLOOKUP(VLOOKUP(A1141,'Sales Order'!A:C,3,FALSE),Employee!A:B,2,FALSE),"Not Specified")</f>
        <v>Ms. Judy Lew</v>
      </c>
      <c r="I1141" t="str">
        <f>IFERROR(VLOOKUP(VLOOKUP(A1141,'Sales Order'!A:C,3,FALSE),Employee!A:J,10,FALSE),"Not Specified")</f>
        <v>WA</v>
      </c>
      <c r="J1141" t="str">
        <f>VLOOKUP(B1141,Product!A:B,2,FALSE)</f>
        <v>Product HCQDE</v>
      </c>
      <c r="K1141" t="str">
        <f>VLOOKUP(VLOOKUP(B1141,Product!A:D,4,FALSE),Category!A:B,2,FALSE)</f>
        <v>Grains/Cereals</v>
      </c>
      <c r="L1141" s="24">
        <f>IFERROR(VLOOKUP(A1141,'Sales Order'!A:D,4,FALSE),"")</f>
        <v>39350</v>
      </c>
      <c r="M1141" s="24">
        <f>IFERROR(VLOOKUP(A1141,'Sales Order'!A:F,6,FALSE),"")</f>
        <v>39355</v>
      </c>
      <c r="N1141" t="str">
        <f>IFERROR(VLOOKUP(VLOOKUP(A1141,'Sales Order'!A:G,7,FALSE),Shipper!A:B,2,FALSE),"Not Specified")</f>
        <v>Shipper ZHISN</v>
      </c>
      <c r="O1141" t="str">
        <f>IFERROR(VLOOKUP(A1141,'Sales Order'!A:I,9,FALSE),"Not Specified")</f>
        <v>Destination AVQUS</v>
      </c>
      <c r="P1141" t="str">
        <f>IFERROR(VLOOKUP(A1141,'Sales Order'!A:N,14,FALSE),"Not Specified")</f>
        <v>USA</v>
      </c>
      <c r="Q1141" t="str">
        <f>VLOOKUP(VLOOKUP(B1141,Product!A:C,3,FALSE),Supplier!A:B,2,FALSE)</f>
        <v>Supplier SVIYA</v>
      </c>
      <c r="R1141" t="str">
        <f>VLOOKUP(VLOOKUP(B1141,Product!A:C,3,FALSE),Supplier!A:I,9,FALSE)</f>
        <v>Germany</v>
      </c>
      <c r="S1141" t="str">
        <f>IFERROR(IF(VLOOKUP(A1141,'Sales Order'!A:H,8,FALSE)&gt;100,"High Freight","Low Freight"),"Not Specified")</f>
        <v>Low Freight</v>
      </c>
      <c r="T1141">
        <f t="shared" si="35"/>
        <v>931</v>
      </c>
    </row>
    <row r="1142" spans="1:20">
      <c r="A1142" s="9">
        <v>10682</v>
      </c>
      <c r="B1142" s="6">
        <v>33</v>
      </c>
      <c r="C1142" s="6">
        <v>2.5</v>
      </c>
      <c r="D1142" s="6">
        <v>30</v>
      </c>
      <c r="E1142" s="18">
        <v>0</v>
      </c>
      <c r="F1142" s="6" t="str">
        <f>IFERROR(VLOOKUP(VLOOKUP(A1142,'Sales Order'!A:B,2,FALSE),Customer!A:C,3,FALSE),"Not Specified")</f>
        <v>Peoples, John</v>
      </c>
      <c r="G1142" s="6" t="str">
        <f t="shared" si="34"/>
        <v>Peoples John</v>
      </c>
      <c r="H1142" s="22" t="str">
        <f>IFERROR(VLOOKUP(VLOOKUP(A1142,'Sales Order'!A:C,3,FALSE),Employee!A:E,5,FALSE)&amp;" "&amp;VLOOKUP(VLOOKUP(A1142,'Sales Order'!A:C,3,FALSE),Employee!A:C,3,FALSE)&amp;" "&amp;VLOOKUP(VLOOKUP(A1142,'Sales Order'!A:C,3,FALSE),Employee!A:B,2,FALSE),"Not Specified")</f>
        <v>Ms. Judy Lew</v>
      </c>
      <c r="I1142" t="str">
        <f>IFERROR(VLOOKUP(VLOOKUP(A1142,'Sales Order'!A:C,3,FALSE),Employee!A:J,10,FALSE),"Not Specified")</f>
        <v>WA</v>
      </c>
      <c r="J1142" t="str">
        <f>VLOOKUP(B1142,Product!A:B,2,FALSE)</f>
        <v>Product ASTMN</v>
      </c>
      <c r="K1142" t="str">
        <f>VLOOKUP(VLOOKUP(B1142,Product!A:D,4,FALSE),Category!A:B,2,FALSE)</f>
        <v>Dairy Product</v>
      </c>
      <c r="L1142" s="24">
        <f>IFERROR(VLOOKUP(A1142,'Sales Order'!A:D,4,FALSE),"")</f>
        <v>39350</v>
      </c>
      <c r="M1142" s="24">
        <f>IFERROR(VLOOKUP(A1142,'Sales Order'!A:F,6,FALSE),"")</f>
        <v>39356</v>
      </c>
      <c r="N1142" t="str">
        <f>IFERROR(VLOOKUP(VLOOKUP(A1142,'Sales Order'!A:G,7,FALSE),Shipper!A:B,2,FALSE),"Not Specified")</f>
        <v>Shipper ETYNR</v>
      </c>
      <c r="O1142" t="str">
        <f>IFERROR(VLOOKUP(A1142,'Sales Order'!A:I,9,FALSE),"Not Specified")</f>
        <v>Destination RTGIS</v>
      </c>
      <c r="P1142" t="str">
        <f>IFERROR(VLOOKUP(A1142,'Sales Order'!A:N,14,FALSE),"Not Specified")</f>
        <v>Mexico</v>
      </c>
      <c r="Q1142" t="str">
        <f>VLOOKUP(VLOOKUP(B1142,Product!A:C,3,FALSE),Supplier!A:B,2,FALSE)</f>
        <v>Supplier NZLIF</v>
      </c>
      <c r="R1142" t="str">
        <f>VLOOKUP(VLOOKUP(B1142,Product!A:C,3,FALSE),Supplier!A:I,9,FALSE)</f>
        <v>Norway</v>
      </c>
      <c r="S1142" t="str">
        <f>IFERROR(IF(VLOOKUP(A1142,'Sales Order'!A:H,8,FALSE)&gt;100,"High Freight","Low Freight"),"Not Specified")</f>
        <v>Low Freight</v>
      </c>
      <c r="T1142">
        <f t="shared" si="35"/>
        <v>75</v>
      </c>
    </row>
    <row r="1143" spans="1:20">
      <c r="A1143" s="9">
        <v>10682</v>
      </c>
      <c r="B1143" s="6">
        <v>66</v>
      </c>
      <c r="C1143" s="6">
        <v>17</v>
      </c>
      <c r="D1143" s="6">
        <v>4</v>
      </c>
      <c r="E1143" s="18">
        <v>0</v>
      </c>
      <c r="F1143" s="6" t="str">
        <f>IFERROR(VLOOKUP(VLOOKUP(A1143,'Sales Order'!A:B,2,FALSE),Customer!A:C,3,FALSE),"Not Specified")</f>
        <v>Peoples, John</v>
      </c>
      <c r="G1143" s="6" t="str">
        <f t="shared" si="34"/>
        <v>Peoples John</v>
      </c>
      <c r="H1143" s="22" t="str">
        <f>IFERROR(VLOOKUP(VLOOKUP(A1143,'Sales Order'!A:C,3,FALSE),Employee!A:E,5,FALSE)&amp;" "&amp;VLOOKUP(VLOOKUP(A1143,'Sales Order'!A:C,3,FALSE),Employee!A:C,3,FALSE)&amp;" "&amp;VLOOKUP(VLOOKUP(A1143,'Sales Order'!A:C,3,FALSE),Employee!A:B,2,FALSE),"Not Specified")</f>
        <v>Ms. Judy Lew</v>
      </c>
      <c r="I1143" t="str">
        <f>IFERROR(VLOOKUP(VLOOKUP(A1143,'Sales Order'!A:C,3,FALSE),Employee!A:J,10,FALSE),"Not Specified")</f>
        <v>WA</v>
      </c>
      <c r="J1143" t="str">
        <f>VLOOKUP(B1143,Product!A:B,2,FALSE)</f>
        <v>Product LQMGN</v>
      </c>
      <c r="K1143" t="str">
        <f>VLOOKUP(VLOOKUP(B1143,Product!A:D,4,FALSE),Category!A:B,2,FALSE)</f>
        <v>Condiments</v>
      </c>
      <c r="L1143" s="24">
        <f>IFERROR(VLOOKUP(A1143,'Sales Order'!A:D,4,FALSE),"")</f>
        <v>39350</v>
      </c>
      <c r="M1143" s="24">
        <f>IFERROR(VLOOKUP(A1143,'Sales Order'!A:F,6,FALSE),"")</f>
        <v>39356</v>
      </c>
      <c r="N1143" t="str">
        <f>IFERROR(VLOOKUP(VLOOKUP(A1143,'Sales Order'!A:G,7,FALSE),Shipper!A:B,2,FALSE),"Not Specified")</f>
        <v>Shipper ETYNR</v>
      </c>
      <c r="O1143" t="str">
        <f>IFERROR(VLOOKUP(A1143,'Sales Order'!A:I,9,FALSE),"Not Specified")</f>
        <v>Destination RTGIS</v>
      </c>
      <c r="P1143" t="str">
        <f>IFERROR(VLOOKUP(A1143,'Sales Order'!A:N,14,FALSE),"Not Specified")</f>
        <v>Mexico</v>
      </c>
      <c r="Q1143" t="str">
        <f>VLOOKUP(VLOOKUP(B1143,Product!A:C,3,FALSE),Supplier!A:B,2,FALSE)</f>
        <v>Supplier VHQZD</v>
      </c>
      <c r="R1143" t="str">
        <f>VLOOKUP(VLOOKUP(B1143,Product!A:C,3,FALSE),Supplier!A:I,9,FALSE)</f>
        <v>USA</v>
      </c>
      <c r="S1143" t="str">
        <f>IFERROR(IF(VLOOKUP(A1143,'Sales Order'!A:H,8,FALSE)&gt;100,"High Freight","Low Freight"),"Not Specified")</f>
        <v>Low Freight</v>
      </c>
      <c r="T1143">
        <f t="shared" si="35"/>
        <v>68</v>
      </c>
    </row>
    <row r="1144" spans="1:20">
      <c r="A1144" s="9">
        <v>10682</v>
      </c>
      <c r="B1144" s="6">
        <v>75</v>
      </c>
      <c r="C1144" s="6">
        <v>7.75</v>
      </c>
      <c r="D1144" s="6">
        <v>30</v>
      </c>
      <c r="E1144" s="18">
        <v>0</v>
      </c>
      <c r="F1144" s="6" t="str">
        <f>IFERROR(VLOOKUP(VLOOKUP(A1144,'Sales Order'!A:B,2,FALSE),Customer!A:C,3,FALSE),"Not Specified")</f>
        <v>Peoples, John</v>
      </c>
      <c r="G1144" s="6" t="str">
        <f t="shared" si="34"/>
        <v>Peoples John</v>
      </c>
      <c r="H1144" s="22" t="str">
        <f>IFERROR(VLOOKUP(VLOOKUP(A1144,'Sales Order'!A:C,3,FALSE),Employee!A:E,5,FALSE)&amp;" "&amp;VLOOKUP(VLOOKUP(A1144,'Sales Order'!A:C,3,FALSE),Employee!A:C,3,FALSE)&amp;" "&amp;VLOOKUP(VLOOKUP(A1144,'Sales Order'!A:C,3,FALSE),Employee!A:B,2,FALSE),"Not Specified")</f>
        <v>Ms. Judy Lew</v>
      </c>
      <c r="I1144" t="str">
        <f>IFERROR(VLOOKUP(VLOOKUP(A1144,'Sales Order'!A:C,3,FALSE),Employee!A:J,10,FALSE),"Not Specified")</f>
        <v>WA</v>
      </c>
      <c r="J1144" t="str">
        <f>VLOOKUP(B1144,Product!A:B,2,FALSE)</f>
        <v>Product BWRLG</v>
      </c>
      <c r="K1144" t="str">
        <f>VLOOKUP(VLOOKUP(B1144,Product!A:D,4,FALSE),Category!A:B,2,FALSE)</f>
        <v>Beverages</v>
      </c>
      <c r="L1144" s="24">
        <f>IFERROR(VLOOKUP(A1144,'Sales Order'!A:D,4,FALSE),"")</f>
        <v>39350</v>
      </c>
      <c r="M1144" s="24">
        <f>IFERROR(VLOOKUP(A1144,'Sales Order'!A:F,6,FALSE),"")</f>
        <v>39356</v>
      </c>
      <c r="N1144" t="str">
        <f>IFERROR(VLOOKUP(VLOOKUP(A1144,'Sales Order'!A:G,7,FALSE),Shipper!A:B,2,FALSE),"Not Specified")</f>
        <v>Shipper ETYNR</v>
      </c>
      <c r="O1144" t="str">
        <f>IFERROR(VLOOKUP(A1144,'Sales Order'!A:I,9,FALSE),"Not Specified")</f>
        <v>Destination RTGIS</v>
      </c>
      <c r="P1144" t="str">
        <f>IFERROR(VLOOKUP(A1144,'Sales Order'!A:N,14,FALSE),"Not Specified")</f>
        <v>Mexico</v>
      </c>
      <c r="Q1144" t="str">
        <f>VLOOKUP(VLOOKUP(B1144,Product!A:C,3,FALSE),Supplier!A:B,2,FALSE)</f>
        <v>Supplier SVIYA</v>
      </c>
      <c r="R1144" t="str">
        <f>VLOOKUP(VLOOKUP(B1144,Product!A:C,3,FALSE),Supplier!A:I,9,FALSE)</f>
        <v>Germany</v>
      </c>
      <c r="S1144" t="str">
        <f>IFERROR(IF(VLOOKUP(A1144,'Sales Order'!A:H,8,FALSE)&gt;100,"High Freight","Low Freight"),"Not Specified")</f>
        <v>Low Freight</v>
      </c>
      <c r="T1144">
        <f t="shared" si="35"/>
        <v>232.5</v>
      </c>
    </row>
    <row r="1145" spans="1:20">
      <c r="A1145" s="9">
        <v>10683</v>
      </c>
      <c r="B1145" s="6">
        <v>52</v>
      </c>
      <c r="C1145" s="6">
        <v>7</v>
      </c>
      <c r="D1145" s="6">
        <v>9</v>
      </c>
      <c r="E1145" s="18">
        <v>0</v>
      </c>
      <c r="F1145" s="6" t="str">
        <f>IFERROR(VLOOKUP(VLOOKUP(A1145,'Sales Order'!A:B,2,FALSE),Customer!A:C,3,FALSE),"Not Specified")</f>
        <v>Rizaldy, Arif</v>
      </c>
      <c r="G1145" s="6" t="str">
        <f t="shared" si="34"/>
        <v>Rizaldy Arif</v>
      </c>
      <c r="H1145" s="22" t="str">
        <f>IFERROR(VLOOKUP(VLOOKUP(A1145,'Sales Order'!A:C,3,FALSE),Employee!A:E,5,FALSE)&amp;" "&amp;VLOOKUP(VLOOKUP(A1145,'Sales Order'!A:C,3,FALSE),Employee!A:C,3,FALSE)&amp;" "&amp;VLOOKUP(VLOOKUP(A1145,'Sales Order'!A:C,3,FALSE),Employee!A:B,2,FALSE),"Not Specified")</f>
        <v>Dr. Don Funk</v>
      </c>
      <c r="I1145" t="str">
        <f>IFERROR(VLOOKUP(VLOOKUP(A1145,'Sales Order'!A:C,3,FALSE),Employee!A:J,10,FALSE),"Not Specified")</f>
        <v>WA</v>
      </c>
      <c r="J1145" t="str">
        <f>VLOOKUP(B1145,Product!A:B,2,FALSE)</f>
        <v>Product QSRXF</v>
      </c>
      <c r="K1145" t="str">
        <f>VLOOKUP(VLOOKUP(B1145,Product!A:D,4,FALSE),Category!A:B,2,FALSE)</f>
        <v>Grains/Cereals</v>
      </c>
      <c r="L1145" s="24">
        <f>IFERROR(VLOOKUP(A1145,'Sales Order'!A:D,4,FALSE),"")</f>
        <v>39351</v>
      </c>
      <c r="M1145" s="24">
        <f>IFERROR(VLOOKUP(A1145,'Sales Order'!A:F,6,FALSE),"")</f>
        <v>39356</v>
      </c>
      <c r="N1145" t="str">
        <f>IFERROR(VLOOKUP(VLOOKUP(A1145,'Sales Order'!A:G,7,FALSE),Shipper!A:B,2,FALSE),"Not Specified")</f>
        <v>Shipper GVSUA</v>
      </c>
      <c r="O1145" t="str">
        <f>IFERROR(VLOOKUP(A1145,'Sales Order'!A:I,9,FALSE),"Not Specified")</f>
        <v>Destination FVRGC</v>
      </c>
      <c r="P1145" t="str">
        <f>IFERROR(VLOOKUP(A1145,'Sales Order'!A:N,14,FALSE),"Not Specified")</f>
        <v>France</v>
      </c>
      <c r="Q1145" t="str">
        <f>VLOOKUP(VLOOKUP(B1145,Product!A:C,3,FALSE),Supplier!A:B,2,FALSE)</f>
        <v>Supplier JNNES</v>
      </c>
      <c r="R1145" t="str">
        <f>VLOOKUP(VLOOKUP(B1145,Product!A:C,3,FALSE),Supplier!A:I,9,FALSE)</f>
        <v>Australia</v>
      </c>
      <c r="S1145" t="str">
        <f>IFERROR(IF(VLOOKUP(A1145,'Sales Order'!A:H,8,FALSE)&gt;100,"High Freight","Low Freight"),"Not Specified")</f>
        <v>Low Freight</v>
      </c>
      <c r="T1145">
        <f t="shared" si="35"/>
        <v>63</v>
      </c>
    </row>
    <row r="1146" spans="1:20">
      <c r="A1146" s="9">
        <v>10684</v>
      </c>
      <c r="B1146" s="6">
        <v>40</v>
      </c>
      <c r="C1146" s="6">
        <v>18.399999999999999</v>
      </c>
      <c r="D1146" s="6">
        <v>20</v>
      </c>
      <c r="E1146" s="18">
        <v>0</v>
      </c>
      <c r="F1146" s="6" t="str">
        <f>IFERROR(VLOOKUP(VLOOKUP(A1146,'Sales Order'!A:B,2,FALSE),Customer!A:C,3,FALSE),"Not Specified")</f>
        <v>Marinova, Nadejda</v>
      </c>
      <c r="G1146" s="6" t="str">
        <f t="shared" si="34"/>
        <v>Marinova Nadejda</v>
      </c>
      <c r="H1146" s="22" t="str">
        <f>IFERROR(VLOOKUP(VLOOKUP(A1146,'Sales Order'!A:C,3,FALSE),Employee!A:E,5,FALSE)&amp;" "&amp;VLOOKUP(VLOOKUP(A1146,'Sales Order'!A:C,3,FALSE),Employee!A:C,3,FALSE)&amp;" "&amp;VLOOKUP(VLOOKUP(A1146,'Sales Order'!A:C,3,FALSE),Employee!A:B,2,FALSE),"Not Specified")</f>
        <v>Ms. Judy Lew</v>
      </c>
      <c r="I1146" t="str">
        <f>IFERROR(VLOOKUP(VLOOKUP(A1146,'Sales Order'!A:C,3,FALSE),Employee!A:J,10,FALSE),"Not Specified")</f>
        <v>WA</v>
      </c>
      <c r="J1146" t="str">
        <f>VLOOKUP(B1146,Product!A:B,2,FALSE)</f>
        <v>Product YZIXQ</v>
      </c>
      <c r="K1146" t="str">
        <f>VLOOKUP(VLOOKUP(B1146,Product!A:D,4,FALSE),Category!A:B,2,FALSE)</f>
        <v>Seafood</v>
      </c>
      <c r="L1146" s="24">
        <f>IFERROR(VLOOKUP(A1146,'Sales Order'!A:D,4,FALSE),"")</f>
        <v>39351</v>
      </c>
      <c r="M1146" s="24">
        <f>IFERROR(VLOOKUP(A1146,'Sales Order'!A:F,6,FALSE),"")</f>
        <v>39355</v>
      </c>
      <c r="N1146" t="str">
        <f>IFERROR(VLOOKUP(VLOOKUP(A1146,'Sales Order'!A:G,7,FALSE),Shipper!A:B,2,FALSE),"Not Specified")</f>
        <v>Shipper GVSUA</v>
      </c>
      <c r="O1146" t="str">
        <f>IFERROR(VLOOKUP(A1146,'Sales Order'!A:I,9,FALSE),"Not Specified")</f>
        <v>Ship to 56-B</v>
      </c>
      <c r="P1146" t="str">
        <f>IFERROR(VLOOKUP(A1146,'Sales Order'!A:N,14,FALSE),"Not Specified")</f>
        <v>Germany</v>
      </c>
      <c r="Q1146" t="str">
        <f>VLOOKUP(VLOOKUP(B1146,Product!A:C,3,FALSE),Supplier!A:B,2,FALSE)</f>
        <v>Supplier JDNUG</v>
      </c>
      <c r="R1146" t="str">
        <f>VLOOKUP(VLOOKUP(B1146,Product!A:C,3,FALSE),Supplier!A:I,9,FALSE)</f>
        <v>USA</v>
      </c>
      <c r="S1146" t="str">
        <f>IFERROR(IF(VLOOKUP(A1146,'Sales Order'!A:H,8,FALSE)&gt;100,"High Freight","Low Freight"),"Not Specified")</f>
        <v>High Freight</v>
      </c>
      <c r="T1146">
        <f t="shared" si="35"/>
        <v>368</v>
      </c>
    </row>
    <row r="1147" spans="1:20">
      <c r="A1147" s="9">
        <v>10684</v>
      </c>
      <c r="B1147" s="6">
        <v>47</v>
      </c>
      <c r="C1147" s="6">
        <v>9.5</v>
      </c>
      <c r="D1147" s="6">
        <v>40</v>
      </c>
      <c r="E1147" s="18">
        <v>0</v>
      </c>
      <c r="F1147" s="6" t="str">
        <f>IFERROR(VLOOKUP(VLOOKUP(A1147,'Sales Order'!A:B,2,FALSE),Customer!A:C,3,FALSE),"Not Specified")</f>
        <v>Marinova, Nadejda</v>
      </c>
      <c r="G1147" s="6" t="str">
        <f t="shared" si="34"/>
        <v>Marinova Nadejda</v>
      </c>
      <c r="H1147" s="22" t="str">
        <f>IFERROR(VLOOKUP(VLOOKUP(A1147,'Sales Order'!A:C,3,FALSE),Employee!A:E,5,FALSE)&amp;" "&amp;VLOOKUP(VLOOKUP(A1147,'Sales Order'!A:C,3,FALSE),Employee!A:C,3,FALSE)&amp;" "&amp;VLOOKUP(VLOOKUP(A1147,'Sales Order'!A:C,3,FALSE),Employee!A:B,2,FALSE),"Not Specified")</f>
        <v>Ms. Judy Lew</v>
      </c>
      <c r="I1147" t="str">
        <f>IFERROR(VLOOKUP(VLOOKUP(A1147,'Sales Order'!A:C,3,FALSE),Employee!A:J,10,FALSE),"Not Specified")</f>
        <v>WA</v>
      </c>
      <c r="J1147" t="str">
        <f>VLOOKUP(B1147,Product!A:B,2,FALSE)</f>
        <v>Product EZZPR</v>
      </c>
      <c r="K1147" t="str">
        <f>VLOOKUP(VLOOKUP(B1147,Product!A:D,4,FALSE),Category!A:B,2,FALSE)</f>
        <v>Confections</v>
      </c>
      <c r="L1147" s="24">
        <f>IFERROR(VLOOKUP(A1147,'Sales Order'!A:D,4,FALSE),"")</f>
        <v>39351</v>
      </c>
      <c r="M1147" s="24">
        <f>IFERROR(VLOOKUP(A1147,'Sales Order'!A:F,6,FALSE),"")</f>
        <v>39355</v>
      </c>
      <c r="N1147" t="str">
        <f>IFERROR(VLOOKUP(VLOOKUP(A1147,'Sales Order'!A:G,7,FALSE),Shipper!A:B,2,FALSE),"Not Specified")</f>
        <v>Shipper GVSUA</v>
      </c>
      <c r="O1147" t="str">
        <f>IFERROR(VLOOKUP(A1147,'Sales Order'!A:I,9,FALSE),"Not Specified")</f>
        <v>Ship to 56-B</v>
      </c>
      <c r="P1147" t="str">
        <f>IFERROR(VLOOKUP(A1147,'Sales Order'!A:N,14,FALSE),"Not Specified")</f>
        <v>Germany</v>
      </c>
      <c r="Q1147" t="str">
        <f>VLOOKUP(VLOOKUP(B1147,Product!A:C,3,FALSE),Supplier!A:B,2,FALSE)</f>
        <v>Supplier FNUXM</v>
      </c>
      <c r="R1147" t="str">
        <f>VLOOKUP(VLOOKUP(B1147,Product!A:C,3,FALSE),Supplier!A:I,9,FALSE)</f>
        <v>Netherlands</v>
      </c>
      <c r="S1147" t="str">
        <f>IFERROR(IF(VLOOKUP(A1147,'Sales Order'!A:H,8,FALSE)&gt;100,"High Freight","Low Freight"),"Not Specified")</f>
        <v>High Freight</v>
      </c>
      <c r="T1147">
        <f t="shared" si="35"/>
        <v>380</v>
      </c>
    </row>
    <row r="1148" spans="1:20">
      <c r="A1148" s="9">
        <v>10684</v>
      </c>
      <c r="B1148" s="6">
        <v>60</v>
      </c>
      <c r="C1148" s="6">
        <v>34</v>
      </c>
      <c r="D1148" s="6">
        <v>30</v>
      </c>
      <c r="E1148" s="18">
        <v>0</v>
      </c>
      <c r="F1148" s="6" t="str">
        <f>IFERROR(VLOOKUP(VLOOKUP(A1148,'Sales Order'!A:B,2,FALSE),Customer!A:C,3,FALSE),"Not Specified")</f>
        <v>Marinova, Nadejda</v>
      </c>
      <c r="G1148" s="6" t="str">
        <f t="shared" si="34"/>
        <v>Marinova Nadejda</v>
      </c>
      <c r="H1148" s="22" t="str">
        <f>IFERROR(VLOOKUP(VLOOKUP(A1148,'Sales Order'!A:C,3,FALSE),Employee!A:E,5,FALSE)&amp;" "&amp;VLOOKUP(VLOOKUP(A1148,'Sales Order'!A:C,3,FALSE),Employee!A:C,3,FALSE)&amp;" "&amp;VLOOKUP(VLOOKUP(A1148,'Sales Order'!A:C,3,FALSE),Employee!A:B,2,FALSE),"Not Specified")</f>
        <v>Ms. Judy Lew</v>
      </c>
      <c r="I1148" t="str">
        <f>IFERROR(VLOOKUP(VLOOKUP(A1148,'Sales Order'!A:C,3,FALSE),Employee!A:J,10,FALSE),"Not Specified")</f>
        <v>WA</v>
      </c>
      <c r="J1148" t="str">
        <f>VLOOKUP(B1148,Product!A:B,2,FALSE)</f>
        <v>Product WHBYK</v>
      </c>
      <c r="K1148" t="str">
        <f>VLOOKUP(VLOOKUP(B1148,Product!A:D,4,FALSE),Category!A:B,2,FALSE)</f>
        <v>Dairy Product</v>
      </c>
      <c r="L1148" s="24">
        <f>IFERROR(VLOOKUP(A1148,'Sales Order'!A:D,4,FALSE),"")</f>
        <v>39351</v>
      </c>
      <c r="M1148" s="24">
        <f>IFERROR(VLOOKUP(A1148,'Sales Order'!A:F,6,FALSE),"")</f>
        <v>39355</v>
      </c>
      <c r="N1148" t="str">
        <f>IFERROR(VLOOKUP(VLOOKUP(A1148,'Sales Order'!A:G,7,FALSE),Shipper!A:B,2,FALSE),"Not Specified")</f>
        <v>Shipper GVSUA</v>
      </c>
      <c r="O1148" t="str">
        <f>IFERROR(VLOOKUP(A1148,'Sales Order'!A:I,9,FALSE),"Not Specified")</f>
        <v>Ship to 56-B</v>
      </c>
      <c r="P1148" t="str">
        <f>IFERROR(VLOOKUP(A1148,'Sales Order'!A:N,14,FALSE),"Not Specified")</f>
        <v>Germany</v>
      </c>
      <c r="Q1148" t="str">
        <f>VLOOKUP(VLOOKUP(B1148,Product!A:C,3,FALSE),Supplier!A:B,2,FALSE)</f>
        <v>Supplier OAVQT</v>
      </c>
      <c r="R1148" t="str">
        <f>VLOOKUP(VLOOKUP(B1148,Product!A:C,3,FALSE),Supplier!A:I,9,FALSE)</f>
        <v>France</v>
      </c>
      <c r="S1148" t="str">
        <f>IFERROR(IF(VLOOKUP(A1148,'Sales Order'!A:H,8,FALSE)&gt;100,"High Freight","Low Freight"),"Not Specified")</f>
        <v>High Freight</v>
      </c>
      <c r="T1148">
        <f t="shared" si="35"/>
        <v>1020</v>
      </c>
    </row>
    <row r="1149" spans="1:20">
      <c r="A1149" s="9">
        <v>10685</v>
      </c>
      <c r="B1149" s="6">
        <v>10</v>
      </c>
      <c r="C1149" s="6">
        <v>31</v>
      </c>
      <c r="D1149" s="6">
        <v>20</v>
      </c>
      <c r="E1149" s="18">
        <v>0</v>
      </c>
      <c r="F1149" s="6" t="str">
        <f>IFERROR(VLOOKUP(VLOOKUP(A1149,'Sales Order'!A:B,2,FALSE),Customer!A:C,3,FALSE),"Not Specified")</f>
        <v>Cheng, Yao-Qiang</v>
      </c>
      <c r="G1149" s="6" t="str">
        <f t="shared" si="34"/>
        <v>Cheng Yao-Qiang</v>
      </c>
      <c r="H1149" s="22" t="str">
        <f>IFERROR(VLOOKUP(VLOOKUP(A1149,'Sales Order'!A:C,3,FALSE),Employee!A:E,5,FALSE)&amp;" "&amp;VLOOKUP(VLOOKUP(A1149,'Sales Order'!A:C,3,FALSE),Employee!A:C,3,FALSE)&amp;" "&amp;VLOOKUP(VLOOKUP(A1149,'Sales Order'!A:C,3,FALSE),Employee!A:B,2,FALSE),"Not Specified")</f>
        <v>Mrs. Yael Peled</v>
      </c>
      <c r="I1149" t="str">
        <f>IFERROR(VLOOKUP(VLOOKUP(A1149,'Sales Order'!A:C,3,FALSE),Employee!A:J,10,FALSE),"Not Specified")</f>
        <v>WA</v>
      </c>
      <c r="J1149" t="str">
        <f>VLOOKUP(B1149,Product!A:B,2,FALSE)</f>
        <v>Product YHXGE</v>
      </c>
      <c r="K1149" t="str">
        <f>VLOOKUP(VLOOKUP(B1149,Product!A:D,4,FALSE),Category!A:B,2,FALSE)</f>
        <v>Seafood</v>
      </c>
      <c r="L1149" s="24">
        <f>IFERROR(VLOOKUP(A1149,'Sales Order'!A:D,4,FALSE),"")</f>
        <v>39354</v>
      </c>
      <c r="M1149" s="24">
        <f>IFERROR(VLOOKUP(A1149,'Sales Order'!A:F,6,FALSE),"")</f>
        <v>39358</v>
      </c>
      <c r="N1149" t="str">
        <f>IFERROR(VLOOKUP(VLOOKUP(A1149,'Sales Order'!A:G,7,FALSE),Shipper!A:B,2,FALSE),"Not Specified")</f>
        <v>Shipper ETYNR</v>
      </c>
      <c r="O1149" t="str">
        <f>IFERROR(VLOOKUP(A1149,'Sales Order'!A:I,9,FALSE),"Not Specified")</f>
        <v>Destination VNIAG</v>
      </c>
      <c r="P1149" t="str">
        <f>IFERROR(VLOOKUP(A1149,'Sales Order'!A:N,14,FALSE),"Not Specified")</f>
        <v>Brazil</v>
      </c>
      <c r="Q1149" t="str">
        <f>VLOOKUP(VLOOKUP(B1149,Product!A:C,3,FALSE),Supplier!A:B,2,FALSE)</f>
        <v>Supplier QOVFD</v>
      </c>
      <c r="R1149" t="str">
        <f>VLOOKUP(VLOOKUP(B1149,Product!A:C,3,FALSE),Supplier!A:I,9,FALSE)</f>
        <v>Japan</v>
      </c>
      <c r="S1149" t="str">
        <f>IFERROR(IF(VLOOKUP(A1149,'Sales Order'!A:H,8,FALSE)&gt;100,"High Freight","Low Freight"),"Not Specified")</f>
        <v>Low Freight</v>
      </c>
      <c r="T1149">
        <f t="shared" si="35"/>
        <v>620</v>
      </c>
    </row>
    <row r="1150" spans="1:20">
      <c r="A1150" s="9">
        <v>10685</v>
      </c>
      <c r="B1150" s="6">
        <v>41</v>
      </c>
      <c r="C1150" s="6">
        <v>9.65</v>
      </c>
      <c r="D1150" s="6">
        <v>4</v>
      </c>
      <c r="E1150" s="18">
        <v>0</v>
      </c>
      <c r="F1150" s="6" t="str">
        <f>IFERROR(VLOOKUP(VLOOKUP(A1150,'Sales Order'!A:B,2,FALSE),Customer!A:C,3,FALSE),"Not Specified")</f>
        <v>Cheng, Yao-Qiang</v>
      </c>
      <c r="G1150" s="6" t="str">
        <f t="shared" si="34"/>
        <v>Cheng Yao-Qiang</v>
      </c>
      <c r="H1150" s="22" t="str">
        <f>IFERROR(VLOOKUP(VLOOKUP(A1150,'Sales Order'!A:C,3,FALSE),Employee!A:E,5,FALSE)&amp;" "&amp;VLOOKUP(VLOOKUP(A1150,'Sales Order'!A:C,3,FALSE),Employee!A:C,3,FALSE)&amp;" "&amp;VLOOKUP(VLOOKUP(A1150,'Sales Order'!A:C,3,FALSE),Employee!A:B,2,FALSE),"Not Specified")</f>
        <v>Mrs. Yael Peled</v>
      </c>
      <c r="I1150" t="str">
        <f>IFERROR(VLOOKUP(VLOOKUP(A1150,'Sales Order'!A:C,3,FALSE),Employee!A:J,10,FALSE),"Not Specified")</f>
        <v>WA</v>
      </c>
      <c r="J1150" t="str">
        <f>VLOOKUP(B1150,Product!A:B,2,FALSE)</f>
        <v>Product TTEEX</v>
      </c>
      <c r="K1150" t="str">
        <f>VLOOKUP(VLOOKUP(B1150,Product!A:D,4,FALSE),Category!A:B,2,FALSE)</f>
        <v>Seafood</v>
      </c>
      <c r="L1150" s="24">
        <f>IFERROR(VLOOKUP(A1150,'Sales Order'!A:D,4,FALSE),"")</f>
        <v>39354</v>
      </c>
      <c r="M1150" s="24">
        <f>IFERROR(VLOOKUP(A1150,'Sales Order'!A:F,6,FALSE),"")</f>
        <v>39358</v>
      </c>
      <c r="N1150" t="str">
        <f>IFERROR(VLOOKUP(VLOOKUP(A1150,'Sales Order'!A:G,7,FALSE),Shipper!A:B,2,FALSE),"Not Specified")</f>
        <v>Shipper ETYNR</v>
      </c>
      <c r="O1150" t="str">
        <f>IFERROR(VLOOKUP(A1150,'Sales Order'!A:I,9,FALSE),"Not Specified")</f>
        <v>Destination VNIAG</v>
      </c>
      <c r="P1150" t="str">
        <f>IFERROR(VLOOKUP(A1150,'Sales Order'!A:N,14,FALSE),"Not Specified")</f>
        <v>Brazil</v>
      </c>
      <c r="Q1150" t="str">
        <f>VLOOKUP(VLOOKUP(B1150,Product!A:C,3,FALSE),Supplier!A:B,2,FALSE)</f>
        <v>Supplier JDNUG</v>
      </c>
      <c r="R1150" t="str">
        <f>VLOOKUP(VLOOKUP(B1150,Product!A:C,3,FALSE),Supplier!A:I,9,FALSE)</f>
        <v>USA</v>
      </c>
      <c r="S1150" t="str">
        <f>IFERROR(IF(VLOOKUP(A1150,'Sales Order'!A:H,8,FALSE)&gt;100,"High Freight","Low Freight"),"Not Specified")</f>
        <v>Low Freight</v>
      </c>
      <c r="T1150">
        <f t="shared" si="35"/>
        <v>38.6</v>
      </c>
    </row>
    <row r="1151" spans="1:20">
      <c r="A1151" s="9">
        <v>10685</v>
      </c>
      <c r="B1151" s="6">
        <v>47</v>
      </c>
      <c r="C1151" s="6">
        <v>9.5</v>
      </c>
      <c r="D1151" s="6">
        <v>15</v>
      </c>
      <c r="E1151" s="18">
        <v>0</v>
      </c>
      <c r="F1151" s="6" t="str">
        <f>IFERROR(VLOOKUP(VLOOKUP(A1151,'Sales Order'!A:B,2,FALSE),Customer!A:C,3,FALSE),"Not Specified")</f>
        <v>Cheng, Yao-Qiang</v>
      </c>
      <c r="G1151" s="6" t="str">
        <f t="shared" si="34"/>
        <v>Cheng Yao-Qiang</v>
      </c>
      <c r="H1151" s="22" t="str">
        <f>IFERROR(VLOOKUP(VLOOKUP(A1151,'Sales Order'!A:C,3,FALSE),Employee!A:E,5,FALSE)&amp;" "&amp;VLOOKUP(VLOOKUP(A1151,'Sales Order'!A:C,3,FALSE),Employee!A:C,3,FALSE)&amp;" "&amp;VLOOKUP(VLOOKUP(A1151,'Sales Order'!A:C,3,FALSE),Employee!A:B,2,FALSE),"Not Specified")</f>
        <v>Mrs. Yael Peled</v>
      </c>
      <c r="I1151" t="str">
        <f>IFERROR(VLOOKUP(VLOOKUP(A1151,'Sales Order'!A:C,3,FALSE),Employee!A:J,10,FALSE),"Not Specified")</f>
        <v>WA</v>
      </c>
      <c r="J1151" t="str">
        <f>VLOOKUP(B1151,Product!A:B,2,FALSE)</f>
        <v>Product EZZPR</v>
      </c>
      <c r="K1151" t="str">
        <f>VLOOKUP(VLOOKUP(B1151,Product!A:D,4,FALSE),Category!A:B,2,FALSE)</f>
        <v>Confections</v>
      </c>
      <c r="L1151" s="24">
        <f>IFERROR(VLOOKUP(A1151,'Sales Order'!A:D,4,FALSE),"")</f>
        <v>39354</v>
      </c>
      <c r="M1151" s="24">
        <f>IFERROR(VLOOKUP(A1151,'Sales Order'!A:F,6,FALSE),"")</f>
        <v>39358</v>
      </c>
      <c r="N1151" t="str">
        <f>IFERROR(VLOOKUP(VLOOKUP(A1151,'Sales Order'!A:G,7,FALSE),Shipper!A:B,2,FALSE),"Not Specified")</f>
        <v>Shipper ETYNR</v>
      </c>
      <c r="O1151" t="str">
        <f>IFERROR(VLOOKUP(A1151,'Sales Order'!A:I,9,FALSE),"Not Specified")</f>
        <v>Destination VNIAG</v>
      </c>
      <c r="P1151" t="str">
        <f>IFERROR(VLOOKUP(A1151,'Sales Order'!A:N,14,FALSE),"Not Specified")</f>
        <v>Brazil</v>
      </c>
      <c r="Q1151" t="str">
        <f>VLOOKUP(VLOOKUP(B1151,Product!A:C,3,FALSE),Supplier!A:B,2,FALSE)</f>
        <v>Supplier FNUXM</v>
      </c>
      <c r="R1151" t="str">
        <f>VLOOKUP(VLOOKUP(B1151,Product!A:C,3,FALSE),Supplier!A:I,9,FALSE)</f>
        <v>Netherlands</v>
      </c>
      <c r="S1151" t="str">
        <f>IFERROR(IF(VLOOKUP(A1151,'Sales Order'!A:H,8,FALSE)&gt;100,"High Freight","Low Freight"),"Not Specified")</f>
        <v>Low Freight</v>
      </c>
      <c r="T1151">
        <f t="shared" si="35"/>
        <v>142.5</v>
      </c>
    </row>
    <row r="1152" spans="1:20">
      <c r="A1152" s="9">
        <v>10686</v>
      </c>
      <c r="B1152" s="6">
        <v>17</v>
      </c>
      <c r="C1152" s="6">
        <v>39</v>
      </c>
      <c r="D1152" s="6">
        <v>30</v>
      </c>
      <c r="E1152" s="18">
        <v>0.2</v>
      </c>
      <c r="F1152" s="6" t="str">
        <f>IFERROR(VLOOKUP(VLOOKUP(A1152,'Sales Order'!A:B,2,FALSE),Customer!A:C,3,FALSE),"Not Specified")</f>
        <v>Meston, Tosh</v>
      </c>
      <c r="G1152" s="6" t="str">
        <f t="shared" si="34"/>
        <v>Meston Tosh</v>
      </c>
      <c r="H1152" s="22" t="str">
        <f>IFERROR(VLOOKUP(VLOOKUP(A1152,'Sales Order'!A:C,3,FALSE),Employee!A:E,5,FALSE)&amp;" "&amp;VLOOKUP(VLOOKUP(A1152,'Sales Order'!A:C,3,FALSE),Employee!A:C,3,FALSE)&amp;" "&amp;VLOOKUP(VLOOKUP(A1152,'Sales Order'!A:C,3,FALSE),Employee!A:B,2,FALSE),"Not Specified")</f>
        <v>Dr. Don Funk</v>
      </c>
      <c r="I1152" t="str">
        <f>IFERROR(VLOOKUP(VLOOKUP(A1152,'Sales Order'!A:C,3,FALSE),Employee!A:J,10,FALSE),"Not Specified")</f>
        <v>WA</v>
      </c>
      <c r="J1152" t="str">
        <f>VLOOKUP(B1152,Product!A:B,2,FALSE)</f>
        <v>Product BLCAX</v>
      </c>
      <c r="K1152" t="str">
        <f>VLOOKUP(VLOOKUP(B1152,Product!A:D,4,FALSE),Category!A:B,2,FALSE)</f>
        <v>Meat/Poultry</v>
      </c>
      <c r="L1152" s="24">
        <f>IFERROR(VLOOKUP(A1152,'Sales Order'!A:D,4,FALSE),"")</f>
        <v>39355</v>
      </c>
      <c r="M1152" s="24">
        <f>IFERROR(VLOOKUP(A1152,'Sales Order'!A:F,6,FALSE),"")</f>
        <v>39363</v>
      </c>
      <c r="N1152" t="str">
        <f>IFERROR(VLOOKUP(VLOOKUP(A1152,'Sales Order'!A:G,7,FALSE),Shipper!A:B,2,FALSE),"Not Specified")</f>
        <v>Shipper GVSUA</v>
      </c>
      <c r="O1152" t="str">
        <f>IFERROR(VLOOKUP(A1152,'Sales Order'!A:I,9,FALSE),"Not Specified")</f>
        <v>Ship to 59-B</v>
      </c>
      <c r="P1152" t="str">
        <f>IFERROR(VLOOKUP(A1152,'Sales Order'!A:N,14,FALSE),"Not Specified")</f>
        <v>Austria</v>
      </c>
      <c r="Q1152" t="str">
        <f>VLOOKUP(VLOOKUP(B1152,Product!A:C,3,FALSE),Supplier!A:B,2,FALSE)</f>
        <v>Supplier GQRCV</v>
      </c>
      <c r="R1152" t="str">
        <f>VLOOKUP(VLOOKUP(B1152,Product!A:C,3,FALSE),Supplier!A:I,9,FALSE)</f>
        <v>Australia</v>
      </c>
      <c r="S1152" t="str">
        <f>IFERROR(IF(VLOOKUP(A1152,'Sales Order'!A:H,8,FALSE)&gt;100,"High Freight","Low Freight"),"Not Specified")</f>
        <v>Low Freight</v>
      </c>
      <c r="T1152">
        <f t="shared" si="35"/>
        <v>936</v>
      </c>
    </row>
    <row r="1153" spans="1:20">
      <c r="A1153" s="9">
        <v>10686</v>
      </c>
      <c r="B1153" s="6">
        <v>26</v>
      </c>
      <c r="C1153" s="6">
        <v>31.23</v>
      </c>
      <c r="D1153" s="6">
        <v>15</v>
      </c>
      <c r="E1153" s="18">
        <v>0</v>
      </c>
      <c r="F1153" s="6" t="str">
        <f>IFERROR(VLOOKUP(VLOOKUP(A1153,'Sales Order'!A:B,2,FALSE),Customer!A:C,3,FALSE),"Not Specified")</f>
        <v>Meston, Tosh</v>
      </c>
      <c r="G1153" s="6" t="str">
        <f t="shared" si="34"/>
        <v>Meston Tosh</v>
      </c>
      <c r="H1153" s="22" t="str">
        <f>IFERROR(VLOOKUP(VLOOKUP(A1153,'Sales Order'!A:C,3,FALSE),Employee!A:E,5,FALSE)&amp;" "&amp;VLOOKUP(VLOOKUP(A1153,'Sales Order'!A:C,3,FALSE),Employee!A:C,3,FALSE)&amp;" "&amp;VLOOKUP(VLOOKUP(A1153,'Sales Order'!A:C,3,FALSE),Employee!A:B,2,FALSE),"Not Specified")</f>
        <v>Dr. Don Funk</v>
      </c>
      <c r="I1153" t="str">
        <f>IFERROR(VLOOKUP(VLOOKUP(A1153,'Sales Order'!A:C,3,FALSE),Employee!A:J,10,FALSE),"Not Specified")</f>
        <v>WA</v>
      </c>
      <c r="J1153" t="str">
        <f>VLOOKUP(B1153,Product!A:B,2,FALSE)</f>
        <v>Product HLGZA</v>
      </c>
      <c r="K1153" t="str">
        <f>VLOOKUP(VLOOKUP(B1153,Product!A:D,4,FALSE),Category!A:B,2,FALSE)</f>
        <v>Confections</v>
      </c>
      <c r="L1153" s="24">
        <f>IFERROR(VLOOKUP(A1153,'Sales Order'!A:D,4,FALSE),"")</f>
        <v>39355</v>
      </c>
      <c r="M1153" s="24">
        <f>IFERROR(VLOOKUP(A1153,'Sales Order'!A:F,6,FALSE),"")</f>
        <v>39363</v>
      </c>
      <c r="N1153" t="str">
        <f>IFERROR(VLOOKUP(VLOOKUP(A1153,'Sales Order'!A:G,7,FALSE),Shipper!A:B,2,FALSE),"Not Specified")</f>
        <v>Shipper GVSUA</v>
      </c>
      <c r="O1153" t="str">
        <f>IFERROR(VLOOKUP(A1153,'Sales Order'!A:I,9,FALSE),"Not Specified")</f>
        <v>Ship to 59-B</v>
      </c>
      <c r="P1153" t="str">
        <f>IFERROR(VLOOKUP(A1153,'Sales Order'!A:N,14,FALSE),"Not Specified")</f>
        <v>Austria</v>
      </c>
      <c r="Q1153" t="str">
        <f>VLOOKUP(VLOOKUP(B1153,Product!A:C,3,FALSE),Supplier!A:B,2,FALSE)</f>
        <v>Supplier ZPYVS</v>
      </c>
      <c r="R1153" t="str">
        <f>VLOOKUP(VLOOKUP(B1153,Product!A:C,3,FALSE),Supplier!A:I,9,FALSE)</f>
        <v>Germany</v>
      </c>
      <c r="S1153" t="str">
        <f>IFERROR(IF(VLOOKUP(A1153,'Sales Order'!A:H,8,FALSE)&gt;100,"High Freight","Low Freight"),"Not Specified")</f>
        <v>Low Freight</v>
      </c>
      <c r="T1153">
        <f t="shared" si="35"/>
        <v>468.45</v>
      </c>
    </row>
    <row r="1154" spans="1:20">
      <c r="A1154" s="9">
        <v>10687</v>
      </c>
      <c r="B1154" s="6">
        <v>9</v>
      </c>
      <c r="C1154" s="6">
        <v>97</v>
      </c>
      <c r="D1154" s="6">
        <v>50</v>
      </c>
      <c r="E1154" s="18">
        <v>0.25</v>
      </c>
      <c r="F1154" s="6" t="str">
        <f>IFERROR(VLOOKUP(VLOOKUP(A1154,'Sales Order'!A:B,2,FALSE),Customer!A:C,3,FALSE),"Not Specified")</f>
        <v>Crăciun, Ovidiu V.</v>
      </c>
      <c r="G1154" s="6" t="str">
        <f t="shared" si="34"/>
        <v>Crăciun Ovidiu V.</v>
      </c>
      <c r="H1154" s="22" t="str">
        <f>IFERROR(VLOOKUP(VLOOKUP(A1154,'Sales Order'!A:C,3,FALSE),Employee!A:E,5,FALSE)&amp;" "&amp;VLOOKUP(VLOOKUP(A1154,'Sales Order'!A:C,3,FALSE),Employee!A:C,3,FALSE)&amp;" "&amp;VLOOKUP(VLOOKUP(A1154,'Sales Order'!A:C,3,FALSE),Employee!A:B,2,FALSE),"Not Specified")</f>
        <v>Ms. Zoya Dolgopyatova</v>
      </c>
      <c r="I1154">
        <f>IFERROR(VLOOKUP(VLOOKUP(A1154,'Sales Order'!A:C,3,FALSE),Employee!A:J,10,FALSE),"Not Specified")</f>
        <v>0</v>
      </c>
      <c r="J1154" t="str">
        <f>VLOOKUP(B1154,Product!A:B,2,FALSE)</f>
        <v>Product AOZBW</v>
      </c>
      <c r="K1154" t="str">
        <f>VLOOKUP(VLOOKUP(B1154,Product!A:D,4,FALSE),Category!A:B,2,FALSE)</f>
        <v>Meat/Poultry</v>
      </c>
      <c r="L1154" s="24">
        <f>IFERROR(VLOOKUP(A1154,'Sales Order'!A:D,4,FALSE),"")</f>
        <v>39355</v>
      </c>
      <c r="M1154" s="24">
        <f>IFERROR(VLOOKUP(A1154,'Sales Order'!A:F,6,FALSE),"")</f>
        <v>39385</v>
      </c>
      <c r="N1154" t="str">
        <f>IFERROR(VLOOKUP(VLOOKUP(A1154,'Sales Order'!A:G,7,FALSE),Shipper!A:B,2,FALSE),"Not Specified")</f>
        <v>Shipper ETYNR</v>
      </c>
      <c r="O1154" t="str">
        <f>IFERROR(VLOOKUP(A1154,'Sales Order'!A:I,9,FALSE),"Not Specified")</f>
        <v>Destination KPVYJ</v>
      </c>
      <c r="P1154" t="str">
        <f>IFERROR(VLOOKUP(A1154,'Sales Order'!A:N,14,FALSE),"Not Specified")</f>
        <v>Ireland</v>
      </c>
      <c r="Q1154" t="str">
        <f>VLOOKUP(VLOOKUP(B1154,Product!A:C,3,FALSE),Supplier!A:B,2,FALSE)</f>
        <v>Supplier QOVFD</v>
      </c>
      <c r="R1154" t="str">
        <f>VLOOKUP(VLOOKUP(B1154,Product!A:C,3,FALSE),Supplier!A:I,9,FALSE)</f>
        <v>Japan</v>
      </c>
      <c r="S1154" t="str">
        <f>IFERROR(IF(VLOOKUP(A1154,'Sales Order'!A:H,8,FALSE)&gt;100,"High Freight","Low Freight"),"Not Specified")</f>
        <v>High Freight</v>
      </c>
      <c r="T1154">
        <f t="shared" si="35"/>
        <v>3637.5</v>
      </c>
    </row>
    <row r="1155" spans="1:20">
      <c r="A1155" s="9">
        <v>10687</v>
      </c>
      <c r="B1155" s="6">
        <v>29</v>
      </c>
      <c r="C1155" s="6">
        <v>123.79</v>
      </c>
      <c r="D1155" s="6">
        <v>10</v>
      </c>
      <c r="E1155" s="18">
        <v>0</v>
      </c>
      <c r="F1155" s="6" t="str">
        <f>IFERROR(VLOOKUP(VLOOKUP(A1155,'Sales Order'!A:B,2,FALSE),Customer!A:C,3,FALSE),"Not Specified")</f>
        <v>Crăciun, Ovidiu V.</v>
      </c>
      <c r="G1155" s="6" t="str">
        <f t="shared" ref="G1155:G1218" si="36">SUBSTITUTE(F1155,",","",1)</f>
        <v>Crăciun Ovidiu V.</v>
      </c>
      <c r="H1155" s="22" t="str">
        <f>IFERROR(VLOOKUP(VLOOKUP(A1155,'Sales Order'!A:C,3,FALSE),Employee!A:E,5,FALSE)&amp;" "&amp;VLOOKUP(VLOOKUP(A1155,'Sales Order'!A:C,3,FALSE),Employee!A:C,3,FALSE)&amp;" "&amp;VLOOKUP(VLOOKUP(A1155,'Sales Order'!A:C,3,FALSE),Employee!A:B,2,FALSE),"Not Specified")</f>
        <v>Ms. Zoya Dolgopyatova</v>
      </c>
      <c r="I1155">
        <f>IFERROR(VLOOKUP(VLOOKUP(A1155,'Sales Order'!A:C,3,FALSE),Employee!A:J,10,FALSE),"Not Specified")</f>
        <v>0</v>
      </c>
      <c r="J1155" t="str">
        <f>VLOOKUP(B1155,Product!A:B,2,FALSE)</f>
        <v>Product VJXYN</v>
      </c>
      <c r="K1155" t="str">
        <f>VLOOKUP(VLOOKUP(B1155,Product!A:D,4,FALSE),Category!A:B,2,FALSE)</f>
        <v>Meat/Poultry</v>
      </c>
      <c r="L1155" s="24">
        <f>IFERROR(VLOOKUP(A1155,'Sales Order'!A:D,4,FALSE),"")</f>
        <v>39355</v>
      </c>
      <c r="M1155" s="24">
        <f>IFERROR(VLOOKUP(A1155,'Sales Order'!A:F,6,FALSE),"")</f>
        <v>39385</v>
      </c>
      <c r="N1155" t="str">
        <f>IFERROR(VLOOKUP(VLOOKUP(A1155,'Sales Order'!A:G,7,FALSE),Shipper!A:B,2,FALSE),"Not Specified")</f>
        <v>Shipper ETYNR</v>
      </c>
      <c r="O1155" t="str">
        <f>IFERROR(VLOOKUP(A1155,'Sales Order'!A:I,9,FALSE),"Not Specified")</f>
        <v>Destination KPVYJ</v>
      </c>
      <c r="P1155" t="str">
        <f>IFERROR(VLOOKUP(A1155,'Sales Order'!A:N,14,FALSE),"Not Specified")</f>
        <v>Ireland</v>
      </c>
      <c r="Q1155" t="str">
        <f>VLOOKUP(VLOOKUP(B1155,Product!A:C,3,FALSE),Supplier!A:B,2,FALSE)</f>
        <v>Supplier SVIYA</v>
      </c>
      <c r="R1155" t="str">
        <f>VLOOKUP(VLOOKUP(B1155,Product!A:C,3,FALSE),Supplier!A:I,9,FALSE)</f>
        <v>Germany</v>
      </c>
      <c r="S1155" t="str">
        <f>IFERROR(IF(VLOOKUP(A1155,'Sales Order'!A:H,8,FALSE)&gt;100,"High Freight","Low Freight"),"Not Specified")</f>
        <v>High Freight</v>
      </c>
      <c r="T1155">
        <f t="shared" ref="T1155:T1218" si="37">C1155*D1155*(1-E1155)</f>
        <v>1237.9000000000001</v>
      </c>
    </row>
    <row r="1156" spans="1:20">
      <c r="A1156" s="9">
        <v>10687</v>
      </c>
      <c r="B1156" s="6">
        <v>36</v>
      </c>
      <c r="C1156" s="6">
        <v>19</v>
      </c>
      <c r="D1156" s="6">
        <v>6</v>
      </c>
      <c r="E1156" s="18">
        <v>0.25</v>
      </c>
      <c r="F1156" s="6" t="str">
        <f>IFERROR(VLOOKUP(VLOOKUP(A1156,'Sales Order'!A:B,2,FALSE),Customer!A:C,3,FALSE),"Not Specified")</f>
        <v>Crăciun, Ovidiu V.</v>
      </c>
      <c r="G1156" s="6" t="str">
        <f t="shared" si="36"/>
        <v>Crăciun Ovidiu V.</v>
      </c>
      <c r="H1156" s="22" t="str">
        <f>IFERROR(VLOOKUP(VLOOKUP(A1156,'Sales Order'!A:C,3,FALSE),Employee!A:E,5,FALSE)&amp;" "&amp;VLOOKUP(VLOOKUP(A1156,'Sales Order'!A:C,3,FALSE),Employee!A:C,3,FALSE)&amp;" "&amp;VLOOKUP(VLOOKUP(A1156,'Sales Order'!A:C,3,FALSE),Employee!A:B,2,FALSE),"Not Specified")</f>
        <v>Ms. Zoya Dolgopyatova</v>
      </c>
      <c r="I1156">
        <f>IFERROR(VLOOKUP(VLOOKUP(A1156,'Sales Order'!A:C,3,FALSE),Employee!A:J,10,FALSE),"Not Specified")</f>
        <v>0</v>
      </c>
      <c r="J1156" t="str">
        <f>VLOOKUP(B1156,Product!A:B,2,FALSE)</f>
        <v>Product GMKIJ</v>
      </c>
      <c r="K1156" t="str">
        <f>VLOOKUP(VLOOKUP(B1156,Product!A:D,4,FALSE),Category!A:B,2,FALSE)</f>
        <v>Seafood</v>
      </c>
      <c r="L1156" s="24">
        <f>IFERROR(VLOOKUP(A1156,'Sales Order'!A:D,4,FALSE),"")</f>
        <v>39355</v>
      </c>
      <c r="M1156" s="24">
        <f>IFERROR(VLOOKUP(A1156,'Sales Order'!A:F,6,FALSE),"")</f>
        <v>39385</v>
      </c>
      <c r="N1156" t="str">
        <f>IFERROR(VLOOKUP(VLOOKUP(A1156,'Sales Order'!A:G,7,FALSE),Shipper!A:B,2,FALSE),"Not Specified")</f>
        <v>Shipper ETYNR</v>
      </c>
      <c r="O1156" t="str">
        <f>IFERROR(VLOOKUP(A1156,'Sales Order'!A:I,9,FALSE),"Not Specified")</f>
        <v>Destination KPVYJ</v>
      </c>
      <c r="P1156" t="str">
        <f>IFERROR(VLOOKUP(A1156,'Sales Order'!A:N,14,FALSE),"Not Specified")</f>
        <v>Ireland</v>
      </c>
      <c r="Q1156" t="str">
        <f>VLOOKUP(VLOOKUP(B1156,Product!A:C,3,FALSE),Supplier!A:B,2,FALSE)</f>
        <v>Supplier QZGUF</v>
      </c>
      <c r="R1156" t="str">
        <f>VLOOKUP(VLOOKUP(B1156,Product!A:C,3,FALSE),Supplier!A:I,9,FALSE)</f>
        <v>Sweden</v>
      </c>
      <c r="S1156" t="str">
        <f>IFERROR(IF(VLOOKUP(A1156,'Sales Order'!A:H,8,FALSE)&gt;100,"High Freight","Low Freight"),"Not Specified")</f>
        <v>High Freight</v>
      </c>
      <c r="T1156">
        <f t="shared" si="37"/>
        <v>85.5</v>
      </c>
    </row>
    <row r="1157" spans="1:20">
      <c r="A1157" s="9">
        <v>10688</v>
      </c>
      <c r="B1157" s="6">
        <v>10</v>
      </c>
      <c r="C1157" s="6">
        <v>31</v>
      </c>
      <c r="D1157" s="6">
        <v>18</v>
      </c>
      <c r="E1157" s="18">
        <v>0.1</v>
      </c>
      <c r="F1157" s="6" t="str">
        <f>IFERROR(VLOOKUP(VLOOKUP(A1157,'Sales Order'!A:B,2,FALSE),Customer!A:C,3,FALSE),"Not Specified")</f>
        <v>Fonteneau, Karl</v>
      </c>
      <c r="G1157" s="6" t="str">
        <f t="shared" si="36"/>
        <v>Fonteneau Karl</v>
      </c>
      <c r="H1157" s="22" t="str">
        <f>IFERROR(VLOOKUP(VLOOKUP(A1157,'Sales Order'!A:C,3,FALSE),Employee!A:E,5,FALSE)&amp;" "&amp;VLOOKUP(VLOOKUP(A1157,'Sales Order'!A:C,3,FALSE),Employee!A:C,3,FALSE)&amp;" "&amp;VLOOKUP(VLOOKUP(A1157,'Sales Order'!A:C,3,FALSE),Employee!A:B,2,FALSE),"Not Specified")</f>
        <v>Mrs. Yael Peled</v>
      </c>
      <c r="I1157" t="str">
        <f>IFERROR(VLOOKUP(VLOOKUP(A1157,'Sales Order'!A:C,3,FALSE),Employee!A:J,10,FALSE),"Not Specified")</f>
        <v>WA</v>
      </c>
      <c r="J1157" t="str">
        <f>VLOOKUP(B1157,Product!A:B,2,FALSE)</f>
        <v>Product YHXGE</v>
      </c>
      <c r="K1157" t="str">
        <f>VLOOKUP(VLOOKUP(B1157,Product!A:D,4,FALSE),Category!A:B,2,FALSE)</f>
        <v>Seafood</v>
      </c>
      <c r="L1157" s="24">
        <f>IFERROR(VLOOKUP(A1157,'Sales Order'!A:D,4,FALSE),"")</f>
        <v>39356</v>
      </c>
      <c r="M1157" s="24">
        <f>IFERROR(VLOOKUP(A1157,'Sales Order'!A:F,6,FALSE),"")</f>
        <v>39362</v>
      </c>
      <c r="N1157" t="str">
        <f>IFERROR(VLOOKUP(VLOOKUP(A1157,'Sales Order'!A:G,7,FALSE),Shipper!A:B,2,FALSE),"Not Specified")</f>
        <v>Shipper ETYNR</v>
      </c>
      <c r="O1157" t="str">
        <f>IFERROR(VLOOKUP(A1157,'Sales Order'!A:I,9,FALSE),"Not Specified")</f>
        <v>Ship to 83-A</v>
      </c>
      <c r="P1157" t="str">
        <f>IFERROR(VLOOKUP(A1157,'Sales Order'!A:N,14,FALSE),"Not Specified")</f>
        <v>Denmark</v>
      </c>
      <c r="Q1157" t="str">
        <f>VLOOKUP(VLOOKUP(B1157,Product!A:C,3,FALSE),Supplier!A:B,2,FALSE)</f>
        <v>Supplier QOVFD</v>
      </c>
      <c r="R1157" t="str">
        <f>VLOOKUP(VLOOKUP(B1157,Product!A:C,3,FALSE),Supplier!A:I,9,FALSE)</f>
        <v>Japan</v>
      </c>
      <c r="S1157" t="str">
        <f>IFERROR(IF(VLOOKUP(A1157,'Sales Order'!A:H,8,FALSE)&gt;100,"High Freight","Low Freight"),"Not Specified")</f>
        <v>High Freight</v>
      </c>
      <c r="T1157">
        <f t="shared" si="37"/>
        <v>502.2</v>
      </c>
    </row>
    <row r="1158" spans="1:20">
      <c r="A1158" s="9">
        <v>10688</v>
      </c>
      <c r="B1158" s="6">
        <v>28</v>
      </c>
      <c r="C1158" s="6">
        <v>45.6</v>
      </c>
      <c r="D1158" s="6">
        <v>60</v>
      </c>
      <c r="E1158" s="18">
        <v>0.1</v>
      </c>
      <c r="F1158" s="6" t="str">
        <f>IFERROR(VLOOKUP(VLOOKUP(A1158,'Sales Order'!A:B,2,FALSE),Customer!A:C,3,FALSE),"Not Specified")</f>
        <v>Fonteneau, Karl</v>
      </c>
      <c r="G1158" s="6" t="str">
        <f t="shared" si="36"/>
        <v>Fonteneau Karl</v>
      </c>
      <c r="H1158" s="22" t="str">
        <f>IFERROR(VLOOKUP(VLOOKUP(A1158,'Sales Order'!A:C,3,FALSE),Employee!A:E,5,FALSE)&amp;" "&amp;VLOOKUP(VLOOKUP(A1158,'Sales Order'!A:C,3,FALSE),Employee!A:C,3,FALSE)&amp;" "&amp;VLOOKUP(VLOOKUP(A1158,'Sales Order'!A:C,3,FALSE),Employee!A:B,2,FALSE),"Not Specified")</f>
        <v>Mrs. Yael Peled</v>
      </c>
      <c r="I1158" t="str">
        <f>IFERROR(VLOOKUP(VLOOKUP(A1158,'Sales Order'!A:C,3,FALSE),Employee!A:J,10,FALSE),"Not Specified")</f>
        <v>WA</v>
      </c>
      <c r="J1158" t="str">
        <f>VLOOKUP(B1158,Product!A:B,2,FALSE)</f>
        <v>Product OFBNT</v>
      </c>
      <c r="K1158" t="str">
        <f>VLOOKUP(VLOOKUP(B1158,Product!A:D,4,FALSE),Category!A:B,2,FALSE)</f>
        <v>Produce</v>
      </c>
      <c r="L1158" s="24">
        <f>IFERROR(VLOOKUP(A1158,'Sales Order'!A:D,4,FALSE),"")</f>
        <v>39356</v>
      </c>
      <c r="M1158" s="24">
        <f>IFERROR(VLOOKUP(A1158,'Sales Order'!A:F,6,FALSE),"")</f>
        <v>39362</v>
      </c>
      <c r="N1158" t="str">
        <f>IFERROR(VLOOKUP(VLOOKUP(A1158,'Sales Order'!A:G,7,FALSE),Shipper!A:B,2,FALSE),"Not Specified")</f>
        <v>Shipper ETYNR</v>
      </c>
      <c r="O1158" t="str">
        <f>IFERROR(VLOOKUP(A1158,'Sales Order'!A:I,9,FALSE),"Not Specified")</f>
        <v>Ship to 83-A</v>
      </c>
      <c r="P1158" t="str">
        <f>IFERROR(VLOOKUP(A1158,'Sales Order'!A:N,14,FALSE),"Not Specified")</f>
        <v>Denmark</v>
      </c>
      <c r="Q1158" t="str">
        <f>VLOOKUP(VLOOKUP(B1158,Product!A:C,3,FALSE),Supplier!A:B,2,FALSE)</f>
        <v>Supplier SVIYA</v>
      </c>
      <c r="R1158" t="str">
        <f>VLOOKUP(VLOOKUP(B1158,Product!A:C,3,FALSE),Supplier!A:I,9,FALSE)</f>
        <v>Germany</v>
      </c>
      <c r="S1158" t="str">
        <f>IFERROR(IF(VLOOKUP(A1158,'Sales Order'!A:H,8,FALSE)&gt;100,"High Freight","Low Freight"),"Not Specified")</f>
        <v>High Freight</v>
      </c>
      <c r="T1158">
        <f t="shared" si="37"/>
        <v>2462.4</v>
      </c>
    </row>
    <row r="1159" spans="1:20">
      <c r="A1159" s="9">
        <v>10688</v>
      </c>
      <c r="B1159" s="6">
        <v>34</v>
      </c>
      <c r="C1159" s="6">
        <v>14</v>
      </c>
      <c r="D1159" s="6">
        <v>14</v>
      </c>
      <c r="E1159" s="18">
        <v>0</v>
      </c>
      <c r="F1159" s="6" t="str">
        <f>IFERROR(VLOOKUP(VLOOKUP(A1159,'Sales Order'!A:B,2,FALSE),Customer!A:C,3,FALSE),"Not Specified")</f>
        <v>Fonteneau, Karl</v>
      </c>
      <c r="G1159" s="6" t="str">
        <f t="shared" si="36"/>
        <v>Fonteneau Karl</v>
      </c>
      <c r="H1159" s="22" t="str">
        <f>IFERROR(VLOOKUP(VLOOKUP(A1159,'Sales Order'!A:C,3,FALSE),Employee!A:E,5,FALSE)&amp;" "&amp;VLOOKUP(VLOOKUP(A1159,'Sales Order'!A:C,3,FALSE),Employee!A:C,3,FALSE)&amp;" "&amp;VLOOKUP(VLOOKUP(A1159,'Sales Order'!A:C,3,FALSE),Employee!A:B,2,FALSE),"Not Specified")</f>
        <v>Mrs. Yael Peled</v>
      </c>
      <c r="I1159" t="str">
        <f>IFERROR(VLOOKUP(VLOOKUP(A1159,'Sales Order'!A:C,3,FALSE),Employee!A:J,10,FALSE),"Not Specified")</f>
        <v>WA</v>
      </c>
      <c r="J1159" t="str">
        <f>VLOOKUP(B1159,Product!A:B,2,FALSE)</f>
        <v>Product SWNJY</v>
      </c>
      <c r="K1159" t="str">
        <f>VLOOKUP(VLOOKUP(B1159,Product!A:D,4,FALSE),Category!A:B,2,FALSE)</f>
        <v>Beverages</v>
      </c>
      <c r="L1159" s="24">
        <f>IFERROR(VLOOKUP(A1159,'Sales Order'!A:D,4,FALSE),"")</f>
        <v>39356</v>
      </c>
      <c r="M1159" s="24">
        <f>IFERROR(VLOOKUP(A1159,'Sales Order'!A:F,6,FALSE),"")</f>
        <v>39362</v>
      </c>
      <c r="N1159" t="str">
        <f>IFERROR(VLOOKUP(VLOOKUP(A1159,'Sales Order'!A:G,7,FALSE),Shipper!A:B,2,FALSE),"Not Specified")</f>
        <v>Shipper ETYNR</v>
      </c>
      <c r="O1159" t="str">
        <f>IFERROR(VLOOKUP(A1159,'Sales Order'!A:I,9,FALSE),"Not Specified")</f>
        <v>Ship to 83-A</v>
      </c>
      <c r="P1159" t="str">
        <f>IFERROR(VLOOKUP(A1159,'Sales Order'!A:N,14,FALSE),"Not Specified")</f>
        <v>Denmark</v>
      </c>
      <c r="Q1159" t="str">
        <f>VLOOKUP(VLOOKUP(B1159,Product!A:C,3,FALSE),Supplier!A:B,2,FALSE)</f>
        <v>Supplier UHZRG</v>
      </c>
      <c r="R1159" t="str">
        <f>VLOOKUP(VLOOKUP(B1159,Product!A:C,3,FALSE),Supplier!A:I,9,FALSE)</f>
        <v>USA</v>
      </c>
      <c r="S1159" t="str">
        <f>IFERROR(IF(VLOOKUP(A1159,'Sales Order'!A:H,8,FALSE)&gt;100,"High Freight","Low Freight"),"Not Specified")</f>
        <v>High Freight</v>
      </c>
      <c r="T1159">
        <f t="shared" si="37"/>
        <v>196</v>
      </c>
    </row>
    <row r="1160" spans="1:20">
      <c r="A1160" s="9">
        <v>10689</v>
      </c>
      <c r="B1160" s="6">
        <v>1</v>
      </c>
      <c r="C1160" s="6">
        <v>18</v>
      </c>
      <c r="D1160" s="6">
        <v>35</v>
      </c>
      <c r="E1160" s="18">
        <v>0.25</v>
      </c>
      <c r="F1160" s="6" t="str">
        <f>IFERROR(VLOOKUP(VLOOKUP(A1160,'Sales Order'!A:B,2,FALSE),Customer!A:C,3,FALSE),"Not Specified")</f>
        <v>Higginbotham, Tom</v>
      </c>
      <c r="G1160" s="6" t="str">
        <f t="shared" si="36"/>
        <v>Higginbotham Tom</v>
      </c>
      <c r="H1160" s="22" t="str">
        <f>IFERROR(VLOOKUP(VLOOKUP(A1160,'Sales Order'!A:C,3,FALSE),Employee!A:E,5,FALSE)&amp;" "&amp;VLOOKUP(VLOOKUP(A1160,'Sales Order'!A:C,3,FALSE),Employee!A:C,3,FALSE)&amp;" "&amp;VLOOKUP(VLOOKUP(A1160,'Sales Order'!A:C,3,FALSE),Employee!A:B,2,FALSE),"Not Specified")</f>
        <v>Ms. Sara Davis</v>
      </c>
      <c r="I1160" t="str">
        <f>IFERROR(VLOOKUP(VLOOKUP(A1160,'Sales Order'!A:C,3,FALSE),Employee!A:J,10,FALSE),"Not Specified")</f>
        <v>WA</v>
      </c>
      <c r="J1160" t="str">
        <f>VLOOKUP(B1160,Product!A:B,2,FALSE)</f>
        <v>Product HHYDP</v>
      </c>
      <c r="K1160" t="str">
        <f>VLOOKUP(VLOOKUP(B1160,Product!A:D,4,FALSE),Category!A:B,2,FALSE)</f>
        <v>Beverages</v>
      </c>
      <c r="L1160" s="24">
        <f>IFERROR(VLOOKUP(A1160,'Sales Order'!A:D,4,FALSE),"")</f>
        <v>39356</v>
      </c>
      <c r="M1160" s="24">
        <f>IFERROR(VLOOKUP(A1160,'Sales Order'!A:F,6,FALSE),"")</f>
        <v>39362</v>
      </c>
      <c r="N1160" t="str">
        <f>IFERROR(VLOOKUP(VLOOKUP(A1160,'Sales Order'!A:G,7,FALSE),Shipper!A:B,2,FALSE),"Not Specified")</f>
        <v>Shipper ETYNR</v>
      </c>
      <c r="O1160" t="str">
        <f>IFERROR(VLOOKUP(A1160,'Sales Order'!A:I,9,FALSE),"Not Specified")</f>
        <v>Ship to 5-B</v>
      </c>
      <c r="P1160" t="str">
        <f>IFERROR(VLOOKUP(A1160,'Sales Order'!A:N,14,FALSE),"Not Specified")</f>
        <v>Sweden</v>
      </c>
      <c r="Q1160" t="str">
        <f>VLOOKUP(VLOOKUP(B1160,Product!A:C,3,FALSE),Supplier!A:B,2,FALSE)</f>
        <v>Supplier SWRXU</v>
      </c>
      <c r="R1160" t="str">
        <f>VLOOKUP(VLOOKUP(B1160,Product!A:C,3,FALSE),Supplier!A:I,9,FALSE)</f>
        <v>UK</v>
      </c>
      <c r="S1160" t="str">
        <f>IFERROR(IF(VLOOKUP(A1160,'Sales Order'!A:H,8,FALSE)&gt;100,"High Freight","Low Freight"),"Not Specified")</f>
        <v>Low Freight</v>
      </c>
      <c r="T1160">
        <f t="shared" si="37"/>
        <v>472.5</v>
      </c>
    </row>
    <row r="1161" spans="1:20">
      <c r="A1161" s="9">
        <v>10690</v>
      </c>
      <c r="B1161" s="6">
        <v>56</v>
      </c>
      <c r="C1161" s="6">
        <v>38</v>
      </c>
      <c r="D1161" s="6">
        <v>20</v>
      </c>
      <c r="E1161" s="18">
        <v>0.25</v>
      </c>
      <c r="F1161" s="6" t="str">
        <f>IFERROR(VLOOKUP(VLOOKUP(A1161,'Sales Order'!A:B,2,FALSE),Customer!A:C,3,FALSE),"Not Specified")</f>
        <v>Cohen, Shy</v>
      </c>
      <c r="G1161" s="6" t="str">
        <f t="shared" si="36"/>
        <v>Cohen Shy</v>
      </c>
      <c r="H1161" s="22" t="str">
        <f>IFERROR(VLOOKUP(VLOOKUP(A1161,'Sales Order'!A:C,3,FALSE),Employee!A:E,5,FALSE)&amp;" "&amp;VLOOKUP(VLOOKUP(A1161,'Sales Order'!A:C,3,FALSE),Employee!A:C,3,FALSE)&amp;" "&amp;VLOOKUP(VLOOKUP(A1161,'Sales Order'!A:C,3,FALSE),Employee!A:B,2,FALSE),"Not Specified")</f>
        <v>Ms. Sara Davis</v>
      </c>
      <c r="I1161" t="str">
        <f>IFERROR(VLOOKUP(VLOOKUP(A1161,'Sales Order'!A:C,3,FALSE),Employee!A:J,10,FALSE),"Not Specified")</f>
        <v>WA</v>
      </c>
      <c r="J1161" t="str">
        <f>VLOOKUP(B1161,Product!A:B,2,FALSE)</f>
        <v>Product VKCMF</v>
      </c>
      <c r="K1161" t="str">
        <f>VLOOKUP(VLOOKUP(B1161,Product!A:D,4,FALSE),Category!A:B,2,FALSE)</f>
        <v>Grains/Cereals</v>
      </c>
      <c r="L1161" s="24">
        <f>IFERROR(VLOOKUP(A1161,'Sales Order'!A:D,4,FALSE),"")</f>
        <v>39357</v>
      </c>
      <c r="M1161" s="24">
        <f>IFERROR(VLOOKUP(A1161,'Sales Order'!A:F,6,FALSE),"")</f>
        <v>39358</v>
      </c>
      <c r="N1161" t="str">
        <f>IFERROR(VLOOKUP(VLOOKUP(A1161,'Sales Order'!A:G,7,FALSE),Shipper!A:B,2,FALSE),"Not Specified")</f>
        <v>Shipper GVSUA</v>
      </c>
      <c r="O1161" t="str">
        <f>IFERROR(VLOOKUP(A1161,'Sales Order'!A:I,9,FALSE),"Not Specified")</f>
        <v>Destination JPAIY</v>
      </c>
      <c r="P1161" t="str">
        <f>IFERROR(VLOOKUP(A1161,'Sales Order'!A:N,14,FALSE),"Not Specified")</f>
        <v>Brazil</v>
      </c>
      <c r="Q1161" t="str">
        <f>VLOOKUP(VLOOKUP(B1161,Product!A:C,3,FALSE),Supplier!A:B,2,FALSE)</f>
        <v>Supplier ZWZDM</v>
      </c>
      <c r="R1161" t="str">
        <f>VLOOKUP(VLOOKUP(B1161,Product!A:C,3,FALSE),Supplier!A:I,9,FALSE)</f>
        <v>Italy</v>
      </c>
      <c r="S1161" t="str">
        <f>IFERROR(IF(VLOOKUP(A1161,'Sales Order'!A:H,8,FALSE)&gt;100,"High Freight","Low Freight"),"Not Specified")</f>
        <v>Low Freight</v>
      </c>
      <c r="T1161">
        <f t="shared" si="37"/>
        <v>570</v>
      </c>
    </row>
    <row r="1162" spans="1:20">
      <c r="A1162" s="9">
        <v>10690</v>
      </c>
      <c r="B1162" s="6">
        <v>77</v>
      </c>
      <c r="C1162" s="6">
        <v>13</v>
      </c>
      <c r="D1162" s="6">
        <v>30</v>
      </c>
      <c r="E1162" s="18">
        <v>0.25</v>
      </c>
      <c r="F1162" s="6" t="str">
        <f>IFERROR(VLOOKUP(VLOOKUP(A1162,'Sales Order'!A:B,2,FALSE),Customer!A:C,3,FALSE),"Not Specified")</f>
        <v>Cohen, Shy</v>
      </c>
      <c r="G1162" s="6" t="str">
        <f t="shared" si="36"/>
        <v>Cohen Shy</v>
      </c>
      <c r="H1162" s="22" t="str">
        <f>IFERROR(VLOOKUP(VLOOKUP(A1162,'Sales Order'!A:C,3,FALSE),Employee!A:E,5,FALSE)&amp;" "&amp;VLOOKUP(VLOOKUP(A1162,'Sales Order'!A:C,3,FALSE),Employee!A:C,3,FALSE)&amp;" "&amp;VLOOKUP(VLOOKUP(A1162,'Sales Order'!A:C,3,FALSE),Employee!A:B,2,FALSE),"Not Specified")</f>
        <v>Ms. Sara Davis</v>
      </c>
      <c r="I1162" t="str">
        <f>IFERROR(VLOOKUP(VLOOKUP(A1162,'Sales Order'!A:C,3,FALSE),Employee!A:J,10,FALSE),"Not Specified")</f>
        <v>WA</v>
      </c>
      <c r="J1162" t="str">
        <f>VLOOKUP(B1162,Product!A:B,2,FALSE)</f>
        <v>Product LUNZZ</v>
      </c>
      <c r="K1162" t="str">
        <f>VLOOKUP(VLOOKUP(B1162,Product!A:D,4,FALSE),Category!A:B,2,FALSE)</f>
        <v>Condiments</v>
      </c>
      <c r="L1162" s="24">
        <f>IFERROR(VLOOKUP(A1162,'Sales Order'!A:D,4,FALSE),"")</f>
        <v>39357</v>
      </c>
      <c r="M1162" s="24">
        <f>IFERROR(VLOOKUP(A1162,'Sales Order'!A:F,6,FALSE),"")</f>
        <v>39358</v>
      </c>
      <c r="N1162" t="str">
        <f>IFERROR(VLOOKUP(VLOOKUP(A1162,'Sales Order'!A:G,7,FALSE),Shipper!A:B,2,FALSE),"Not Specified")</f>
        <v>Shipper GVSUA</v>
      </c>
      <c r="O1162" t="str">
        <f>IFERROR(VLOOKUP(A1162,'Sales Order'!A:I,9,FALSE),"Not Specified")</f>
        <v>Destination JPAIY</v>
      </c>
      <c r="P1162" t="str">
        <f>IFERROR(VLOOKUP(A1162,'Sales Order'!A:N,14,FALSE),"Not Specified")</f>
        <v>Brazil</v>
      </c>
      <c r="Q1162" t="str">
        <f>VLOOKUP(VLOOKUP(B1162,Product!A:C,3,FALSE),Supplier!A:B,2,FALSE)</f>
        <v>Supplier SVIYA</v>
      </c>
      <c r="R1162" t="str">
        <f>VLOOKUP(VLOOKUP(B1162,Product!A:C,3,FALSE),Supplier!A:I,9,FALSE)</f>
        <v>Germany</v>
      </c>
      <c r="S1162" t="str">
        <f>IFERROR(IF(VLOOKUP(A1162,'Sales Order'!A:H,8,FALSE)&gt;100,"High Freight","Low Freight"),"Not Specified")</f>
        <v>Low Freight</v>
      </c>
      <c r="T1162">
        <f t="shared" si="37"/>
        <v>292.5</v>
      </c>
    </row>
    <row r="1163" spans="1:20">
      <c r="A1163" s="9">
        <v>10691</v>
      </c>
      <c r="B1163" s="6">
        <v>1</v>
      </c>
      <c r="C1163" s="6">
        <v>18</v>
      </c>
      <c r="D1163" s="6">
        <v>30</v>
      </c>
      <c r="E1163" s="18">
        <v>0</v>
      </c>
      <c r="F1163" s="6" t="str">
        <f>IFERROR(VLOOKUP(VLOOKUP(A1163,'Sales Order'!A:B,2,FALSE),Customer!A:C,3,FALSE),"Not Specified")</f>
        <v>Veronesi, Giorgio</v>
      </c>
      <c r="G1163" s="6" t="str">
        <f t="shared" si="36"/>
        <v>Veronesi Giorgio</v>
      </c>
      <c r="H1163" s="22" t="str">
        <f>IFERROR(VLOOKUP(VLOOKUP(A1163,'Sales Order'!A:C,3,FALSE),Employee!A:E,5,FALSE)&amp;" "&amp;VLOOKUP(VLOOKUP(A1163,'Sales Order'!A:C,3,FALSE),Employee!A:C,3,FALSE)&amp;" "&amp;VLOOKUP(VLOOKUP(A1163,'Sales Order'!A:C,3,FALSE),Employee!A:B,2,FALSE),"Not Specified")</f>
        <v>Dr. Don Funk</v>
      </c>
      <c r="I1163" t="str">
        <f>IFERROR(VLOOKUP(VLOOKUP(A1163,'Sales Order'!A:C,3,FALSE),Employee!A:J,10,FALSE),"Not Specified")</f>
        <v>WA</v>
      </c>
      <c r="J1163" t="str">
        <f>VLOOKUP(B1163,Product!A:B,2,FALSE)</f>
        <v>Product HHYDP</v>
      </c>
      <c r="K1163" t="str">
        <f>VLOOKUP(VLOOKUP(B1163,Product!A:D,4,FALSE),Category!A:B,2,FALSE)</f>
        <v>Beverages</v>
      </c>
      <c r="L1163" s="24">
        <f>IFERROR(VLOOKUP(A1163,'Sales Order'!A:D,4,FALSE),"")</f>
        <v>39358</v>
      </c>
      <c r="M1163" s="24">
        <f>IFERROR(VLOOKUP(A1163,'Sales Order'!A:F,6,FALSE),"")</f>
        <v>39377</v>
      </c>
      <c r="N1163" t="str">
        <f>IFERROR(VLOOKUP(VLOOKUP(A1163,'Sales Order'!A:G,7,FALSE),Shipper!A:B,2,FALSE),"Not Specified")</f>
        <v>Shipper ETYNR</v>
      </c>
      <c r="O1163" t="str">
        <f>IFERROR(VLOOKUP(A1163,'Sales Order'!A:I,9,FALSE),"Not Specified")</f>
        <v>Ship to 63-B</v>
      </c>
      <c r="P1163" t="str">
        <f>IFERROR(VLOOKUP(A1163,'Sales Order'!A:N,14,FALSE),"Not Specified")</f>
        <v>Germany</v>
      </c>
      <c r="Q1163" t="str">
        <f>VLOOKUP(VLOOKUP(B1163,Product!A:C,3,FALSE),Supplier!A:B,2,FALSE)</f>
        <v>Supplier SWRXU</v>
      </c>
      <c r="R1163" t="str">
        <f>VLOOKUP(VLOOKUP(B1163,Product!A:C,3,FALSE),Supplier!A:I,9,FALSE)</f>
        <v>UK</v>
      </c>
      <c r="S1163" t="str">
        <f>IFERROR(IF(VLOOKUP(A1163,'Sales Order'!A:H,8,FALSE)&gt;100,"High Freight","Low Freight"),"Not Specified")</f>
        <v>High Freight</v>
      </c>
      <c r="T1163">
        <f t="shared" si="37"/>
        <v>540</v>
      </c>
    </row>
    <row r="1164" spans="1:20">
      <c r="A1164" s="9">
        <v>10691</v>
      </c>
      <c r="B1164" s="6">
        <v>29</v>
      </c>
      <c r="C1164" s="6">
        <v>123.79</v>
      </c>
      <c r="D1164" s="6">
        <v>40</v>
      </c>
      <c r="E1164" s="18">
        <v>0</v>
      </c>
      <c r="F1164" s="6" t="str">
        <f>IFERROR(VLOOKUP(VLOOKUP(A1164,'Sales Order'!A:B,2,FALSE),Customer!A:C,3,FALSE),"Not Specified")</f>
        <v>Veronesi, Giorgio</v>
      </c>
      <c r="G1164" s="6" t="str">
        <f t="shared" si="36"/>
        <v>Veronesi Giorgio</v>
      </c>
      <c r="H1164" s="22" t="str">
        <f>IFERROR(VLOOKUP(VLOOKUP(A1164,'Sales Order'!A:C,3,FALSE),Employee!A:E,5,FALSE)&amp;" "&amp;VLOOKUP(VLOOKUP(A1164,'Sales Order'!A:C,3,FALSE),Employee!A:C,3,FALSE)&amp;" "&amp;VLOOKUP(VLOOKUP(A1164,'Sales Order'!A:C,3,FALSE),Employee!A:B,2,FALSE),"Not Specified")</f>
        <v>Dr. Don Funk</v>
      </c>
      <c r="I1164" t="str">
        <f>IFERROR(VLOOKUP(VLOOKUP(A1164,'Sales Order'!A:C,3,FALSE),Employee!A:J,10,FALSE),"Not Specified")</f>
        <v>WA</v>
      </c>
      <c r="J1164" t="str">
        <f>VLOOKUP(B1164,Product!A:B,2,FALSE)</f>
        <v>Product VJXYN</v>
      </c>
      <c r="K1164" t="str">
        <f>VLOOKUP(VLOOKUP(B1164,Product!A:D,4,FALSE),Category!A:B,2,FALSE)</f>
        <v>Meat/Poultry</v>
      </c>
      <c r="L1164" s="24">
        <f>IFERROR(VLOOKUP(A1164,'Sales Order'!A:D,4,FALSE),"")</f>
        <v>39358</v>
      </c>
      <c r="M1164" s="24">
        <f>IFERROR(VLOOKUP(A1164,'Sales Order'!A:F,6,FALSE),"")</f>
        <v>39377</v>
      </c>
      <c r="N1164" t="str">
        <f>IFERROR(VLOOKUP(VLOOKUP(A1164,'Sales Order'!A:G,7,FALSE),Shipper!A:B,2,FALSE),"Not Specified")</f>
        <v>Shipper ETYNR</v>
      </c>
      <c r="O1164" t="str">
        <f>IFERROR(VLOOKUP(A1164,'Sales Order'!A:I,9,FALSE),"Not Specified")</f>
        <v>Ship to 63-B</v>
      </c>
      <c r="P1164" t="str">
        <f>IFERROR(VLOOKUP(A1164,'Sales Order'!A:N,14,FALSE),"Not Specified")</f>
        <v>Germany</v>
      </c>
      <c r="Q1164" t="str">
        <f>VLOOKUP(VLOOKUP(B1164,Product!A:C,3,FALSE),Supplier!A:B,2,FALSE)</f>
        <v>Supplier SVIYA</v>
      </c>
      <c r="R1164" t="str">
        <f>VLOOKUP(VLOOKUP(B1164,Product!A:C,3,FALSE),Supplier!A:I,9,FALSE)</f>
        <v>Germany</v>
      </c>
      <c r="S1164" t="str">
        <f>IFERROR(IF(VLOOKUP(A1164,'Sales Order'!A:H,8,FALSE)&gt;100,"High Freight","Low Freight"),"Not Specified")</f>
        <v>High Freight</v>
      </c>
      <c r="T1164">
        <f t="shared" si="37"/>
        <v>4951.6000000000004</v>
      </c>
    </row>
    <row r="1165" spans="1:20">
      <c r="A1165" s="9">
        <v>10691</v>
      </c>
      <c r="B1165" s="6">
        <v>43</v>
      </c>
      <c r="C1165" s="6">
        <v>46</v>
      </c>
      <c r="D1165" s="6">
        <v>40</v>
      </c>
      <c r="E1165" s="18">
        <v>0</v>
      </c>
      <c r="F1165" s="6" t="str">
        <f>IFERROR(VLOOKUP(VLOOKUP(A1165,'Sales Order'!A:B,2,FALSE),Customer!A:C,3,FALSE),"Not Specified")</f>
        <v>Veronesi, Giorgio</v>
      </c>
      <c r="G1165" s="6" t="str">
        <f t="shared" si="36"/>
        <v>Veronesi Giorgio</v>
      </c>
      <c r="H1165" s="22" t="str">
        <f>IFERROR(VLOOKUP(VLOOKUP(A1165,'Sales Order'!A:C,3,FALSE),Employee!A:E,5,FALSE)&amp;" "&amp;VLOOKUP(VLOOKUP(A1165,'Sales Order'!A:C,3,FALSE),Employee!A:C,3,FALSE)&amp;" "&amp;VLOOKUP(VLOOKUP(A1165,'Sales Order'!A:C,3,FALSE),Employee!A:B,2,FALSE),"Not Specified")</f>
        <v>Dr. Don Funk</v>
      </c>
      <c r="I1165" t="str">
        <f>IFERROR(VLOOKUP(VLOOKUP(A1165,'Sales Order'!A:C,3,FALSE),Employee!A:J,10,FALSE),"Not Specified")</f>
        <v>WA</v>
      </c>
      <c r="J1165" t="str">
        <f>VLOOKUP(B1165,Product!A:B,2,FALSE)</f>
        <v>Product ZZZHR</v>
      </c>
      <c r="K1165" t="str">
        <f>VLOOKUP(VLOOKUP(B1165,Product!A:D,4,FALSE),Category!A:B,2,FALSE)</f>
        <v>Beverages</v>
      </c>
      <c r="L1165" s="24">
        <f>IFERROR(VLOOKUP(A1165,'Sales Order'!A:D,4,FALSE),"")</f>
        <v>39358</v>
      </c>
      <c r="M1165" s="24">
        <f>IFERROR(VLOOKUP(A1165,'Sales Order'!A:F,6,FALSE),"")</f>
        <v>39377</v>
      </c>
      <c r="N1165" t="str">
        <f>IFERROR(VLOOKUP(VLOOKUP(A1165,'Sales Order'!A:G,7,FALSE),Shipper!A:B,2,FALSE),"Not Specified")</f>
        <v>Shipper ETYNR</v>
      </c>
      <c r="O1165" t="str">
        <f>IFERROR(VLOOKUP(A1165,'Sales Order'!A:I,9,FALSE),"Not Specified")</f>
        <v>Ship to 63-B</v>
      </c>
      <c r="P1165" t="str">
        <f>IFERROR(VLOOKUP(A1165,'Sales Order'!A:N,14,FALSE),"Not Specified")</f>
        <v>Germany</v>
      </c>
      <c r="Q1165" t="str">
        <f>VLOOKUP(VLOOKUP(B1165,Product!A:C,3,FALSE),Supplier!A:B,2,FALSE)</f>
        <v>Supplier CIYNM</v>
      </c>
      <c r="R1165" t="str">
        <f>VLOOKUP(VLOOKUP(B1165,Product!A:C,3,FALSE),Supplier!A:I,9,FALSE)</f>
        <v>Singapore</v>
      </c>
      <c r="S1165" t="str">
        <f>IFERROR(IF(VLOOKUP(A1165,'Sales Order'!A:H,8,FALSE)&gt;100,"High Freight","Low Freight"),"Not Specified")</f>
        <v>High Freight</v>
      </c>
      <c r="T1165">
        <f t="shared" si="37"/>
        <v>1840</v>
      </c>
    </row>
    <row r="1166" spans="1:20">
      <c r="A1166" s="9">
        <v>10691</v>
      </c>
      <c r="B1166" s="6">
        <v>44</v>
      </c>
      <c r="C1166" s="6">
        <v>19.45</v>
      </c>
      <c r="D1166" s="6">
        <v>24</v>
      </c>
      <c r="E1166" s="18">
        <v>0</v>
      </c>
      <c r="F1166" s="6" t="str">
        <f>IFERROR(VLOOKUP(VLOOKUP(A1166,'Sales Order'!A:B,2,FALSE),Customer!A:C,3,FALSE),"Not Specified")</f>
        <v>Veronesi, Giorgio</v>
      </c>
      <c r="G1166" s="6" t="str">
        <f t="shared" si="36"/>
        <v>Veronesi Giorgio</v>
      </c>
      <c r="H1166" s="22" t="str">
        <f>IFERROR(VLOOKUP(VLOOKUP(A1166,'Sales Order'!A:C,3,FALSE),Employee!A:E,5,FALSE)&amp;" "&amp;VLOOKUP(VLOOKUP(A1166,'Sales Order'!A:C,3,FALSE),Employee!A:C,3,FALSE)&amp;" "&amp;VLOOKUP(VLOOKUP(A1166,'Sales Order'!A:C,3,FALSE),Employee!A:B,2,FALSE),"Not Specified")</f>
        <v>Dr. Don Funk</v>
      </c>
      <c r="I1166" t="str">
        <f>IFERROR(VLOOKUP(VLOOKUP(A1166,'Sales Order'!A:C,3,FALSE),Employee!A:J,10,FALSE),"Not Specified")</f>
        <v>WA</v>
      </c>
      <c r="J1166" t="str">
        <f>VLOOKUP(B1166,Product!A:B,2,FALSE)</f>
        <v>Product VJIEO</v>
      </c>
      <c r="K1166" t="str">
        <f>VLOOKUP(VLOOKUP(B1166,Product!A:D,4,FALSE),Category!A:B,2,FALSE)</f>
        <v>Condiments</v>
      </c>
      <c r="L1166" s="24">
        <f>IFERROR(VLOOKUP(A1166,'Sales Order'!A:D,4,FALSE),"")</f>
        <v>39358</v>
      </c>
      <c r="M1166" s="24">
        <f>IFERROR(VLOOKUP(A1166,'Sales Order'!A:F,6,FALSE),"")</f>
        <v>39377</v>
      </c>
      <c r="N1166" t="str">
        <f>IFERROR(VLOOKUP(VLOOKUP(A1166,'Sales Order'!A:G,7,FALSE),Shipper!A:B,2,FALSE),"Not Specified")</f>
        <v>Shipper ETYNR</v>
      </c>
      <c r="O1166" t="str">
        <f>IFERROR(VLOOKUP(A1166,'Sales Order'!A:I,9,FALSE),"Not Specified")</f>
        <v>Ship to 63-B</v>
      </c>
      <c r="P1166" t="str">
        <f>IFERROR(VLOOKUP(A1166,'Sales Order'!A:N,14,FALSE),"Not Specified")</f>
        <v>Germany</v>
      </c>
      <c r="Q1166" t="str">
        <f>VLOOKUP(VLOOKUP(B1166,Product!A:C,3,FALSE),Supplier!A:B,2,FALSE)</f>
        <v>Supplier CIYNM</v>
      </c>
      <c r="R1166" t="str">
        <f>VLOOKUP(VLOOKUP(B1166,Product!A:C,3,FALSE),Supplier!A:I,9,FALSE)</f>
        <v>Singapore</v>
      </c>
      <c r="S1166" t="str">
        <f>IFERROR(IF(VLOOKUP(A1166,'Sales Order'!A:H,8,FALSE)&gt;100,"High Freight","Low Freight"),"Not Specified")</f>
        <v>High Freight</v>
      </c>
      <c r="T1166">
        <f t="shared" si="37"/>
        <v>466.79999999999995</v>
      </c>
    </row>
    <row r="1167" spans="1:20">
      <c r="A1167" s="9">
        <v>10691</v>
      </c>
      <c r="B1167" s="6">
        <v>62</v>
      </c>
      <c r="C1167" s="6">
        <v>49.3</v>
      </c>
      <c r="D1167" s="6">
        <v>48</v>
      </c>
      <c r="E1167" s="18">
        <v>0</v>
      </c>
      <c r="F1167" s="6" t="str">
        <f>IFERROR(VLOOKUP(VLOOKUP(A1167,'Sales Order'!A:B,2,FALSE),Customer!A:C,3,FALSE),"Not Specified")</f>
        <v>Veronesi, Giorgio</v>
      </c>
      <c r="G1167" s="6" t="str">
        <f t="shared" si="36"/>
        <v>Veronesi Giorgio</v>
      </c>
      <c r="H1167" s="22" t="str">
        <f>IFERROR(VLOOKUP(VLOOKUP(A1167,'Sales Order'!A:C,3,FALSE),Employee!A:E,5,FALSE)&amp;" "&amp;VLOOKUP(VLOOKUP(A1167,'Sales Order'!A:C,3,FALSE),Employee!A:C,3,FALSE)&amp;" "&amp;VLOOKUP(VLOOKUP(A1167,'Sales Order'!A:C,3,FALSE),Employee!A:B,2,FALSE),"Not Specified")</f>
        <v>Dr. Don Funk</v>
      </c>
      <c r="I1167" t="str">
        <f>IFERROR(VLOOKUP(VLOOKUP(A1167,'Sales Order'!A:C,3,FALSE),Employee!A:J,10,FALSE),"Not Specified")</f>
        <v>WA</v>
      </c>
      <c r="J1167" t="str">
        <f>VLOOKUP(B1167,Product!A:B,2,FALSE)</f>
        <v>Product WUXYK</v>
      </c>
      <c r="K1167" t="str">
        <f>VLOOKUP(VLOOKUP(B1167,Product!A:D,4,FALSE),Category!A:B,2,FALSE)</f>
        <v>Confections</v>
      </c>
      <c r="L1167" s="24">
        <f>IFERROR(VLOOKUP(A1167,'Sales Order'!A:D,4,FALSE),"")</f>
        <v>39358</v>
      </c>
      <c r="M1167" s="24">
        <f>IFERROR(VLOOKUP(A1167,'Sales Order'!A:F,6,FALSE),"")</f>
        <v>39377</v>
      </c>
      <c r="N1167" t="str">
        <f>IFERROR(VLOOKUP(VLOOKUP(A1167,'Sales Order'!A:G,7,FALSE),Shipper!A:B,2,FALSE),"Not Specified")</f>
        <v>Shipper ETYNR</v>
      </c>
      <c r="O1167" t="str">
        <f>IFERROR(VLOOKUP(A1167,'Sales Order'!A:I,9,FALSE),"Not Specified")</f>
        <v>Ship to 63-B</v>
      </c>
      <c r="P1167" t="str">
        <f>IFERROR(VLOOKUP(A1167,'Sales Order'!A:N,14,FALSE),"Not Specified")</f>
        <v>Germany</v>
      </c>
      <c r="Q1167" t="str">
        <f>VLOOKUP(VLOOKUP(B1167,Product!A:C,3,FALSE),Supplier!A:B,2,FALSE)</f>
        <v>Supplier OGLRK</v>
      </c>
      <c r="R1167" t="str">
        <f>VLOOKUP(VLOOKUP(B1167,Product!A:C,3,FALSE),Supplier!A:I,9,FALSE)</f>
        <v>Canada</v>
      </c>
      <c r="S1167" t="str">
        <f>IFERROR(IF(VLOOKUP(A1167,'Sales Order'!A:H,8,FALSE)&gt;100,"High Freight","Low Freight"),"Not Specified")</f>
        <v>High Freight</v>
      </c>
      <c r="T1167">
        <f t="shared" si="37"/>
        <v>2366.3999999999996</v>
      </c>
    </row>
    <row r="1168" spans="1:20">
      <c r="A1168" s="9">
        <v>10692</v>
      </c>
      <c r="B1168" s="6">
        <v>63</v>
      </c>
      <c r="C1168" s="6">
        <v>43.9</v>
      </c>
      <c r="D1168" s="6">
        <v>20</v>
      </c>
      <c r="E1168" s="18">
        <v>0</v>
      </c>
      <c r="F1168" s="6" t="str">
        <f>IFERROR(VLOOKUP(VLOOKUP(A1168,'Sales Order'!A:B,2,FALSE),Customer!A:C,3,FALSE),"Not Specified")</f>
        <v>Allen, Michael</v>
      </c>
      <c r="G1168" s="6" t="str">
        <f t="shared" si="36"/>
        <v>Allen Michael</v>
      </c>
      <c r="H1168" s="22" t="str">
        <f>IFERROR(VLOOKUP(VLOOKUP(A1168,'Sales Order'!A:C,3,FALSE),Employee!A:E,5,FALSE)&amp;" "&amp;VLOOKUP(VLOOKUP(A1168,'Sales Order'!A:C,3,FALSE),Employee!A:C,3,FALSE)&amp;" "&amp;VLOOKUP(VLOOKUP(A1168,'Sales Order'!A:C,3,FALSE),Employee!A:B,2,FALSE),"Not Specified")</f>
        <v>Mrs. Yael Peled</v>
      </c>
      <c r="I1168" t="str">
        <f>IFERROR(VLOOKUP(VLOOKUP(A1168,'Sales Order'!A:C,3,FALSE),Employee!A:J,10,FALSE),"Not Specified")</f>
        <v>WA</v>
      </c>
      <c r="J1168" t="str">
        <f>VLOOKUP(B1168,Product!A:B,2,FALSE)</f>
        <v>Product ICKNK</v>
      </c>
      <c r="K1168" t="str">
        <f>VLOOKUP(VLOOKUP(B1168,Product!A:D,4,FALSE),Category!A:B,2,FALSE)</f>
        <v>Condiments</v>
      </c>
      <c r="L1168" s="24">
        <f>IFERROR(VLOOKUP(A1168,'Sales Order'!A:D,4,FALSE),"")</f>
        <v>39358</v>
      </c>
      <c r="M1168" s="24">
        <f>IFERROR(VLOOKUP(A1168,'Sales Order'!A:F,6,FALSE),"")</f>
        <v>39368</v>
      </c>
      <c r="N1168" t="str">
        <f>IFERROR(VLOOKUP(VLOOKUP(A1168,'Sales Order'!A:G,7,FALSE),Shipper!A:B,2,FALSE),"Not Specified")</f>
        <v>Shipper ETYNR</v>
      </c>
      <c r="O1168" t="str">
        <f>IFERROR(VLOOKUP(A1168,'Sales Order'!A:I,9,FALSE),"Not Specified")</f>
        <v>Destination RSVRP</v>
      </c>
      <c r="P1168" t="str">
        <f>IFERROR(VLOOKUP(A1168,'Sales Order'!A:N,14,FALSE),"Not Specified")</f>
        <v>Germany</v>
      </c>
      <c r="Q1168" t="str">
        <f>VLOOKUP(VLOOKUP(B1168,Product!A:C,3,FALSE),Supplier!A:B,2,FALSE)</f>
        <v>Supplier GQRCV</v>
      </c>
      <c r="R1168" t="str">
        <f>VLOOKUP(VLOOKUP(B1168,Product!A:C,3,FALSE),Supplier!A:I,9,FALSE)</f>
        <v>Australia</v>
      </c>
      <c r="S1168" t="str">
        <f>IFERROR(IF(VLOOKUP(A1168,'Sales Order'!A:H,8,FALSE)&gt;100,"High Freight","Low Freight"),"Not Specified")</f>
        <v>Low Freight</v>
      </c>
      <c r="T1168">
        <f t="shared" si="37"/>
        <v>878</v>
      </c>
    </row>
    <row r="1169" spans="1:20">
      <c r="A1169" s="9">
        <v>10693</v>
      </c>
      <c r="B1169" s="6">
        <v>9</v>
      </c>
      <c r="C1169" s="6">
        <v>97</v>
      </c>
      <c r="D1169" s="6">
        <v>6</v>
      </c>
      <c r="E1169" s="18">
        <v>0</v>
      </c>
      <c r="F1169" s="6" t="str">
        <f>IFERROR(VLOOKUP(VLOOKUP(A1169,'Sales Order'!A:B,2,FALSE),Customer!A:C,3,FALSE),"Not Specified")</f>
        <v>Smith Jr., Ronaldo</v>
      </c>
      <c r="G1169" s="6" t="str">
        <f t="shared" si="36"/>
        <v>Smith Jr. Ronaldo</v>
      </c>
      <c r="H1169" s="22" t="str">
        <f>IFERROR(VLOOKUP(VLOOKUP(A1169,'Sales Order'!A:C,3,FALSE),Employee!A:E,5,FALSE)&amp;" "&amp;VLOOKUP(VLOOKUP(A1169,'Sales Order'!A:C,3,FALSE),Employee!A:C,3,FALSE)&amp;" "&amp;VLOOKUP(VLOOKUP(A1169,'Sales Order'!A:C,3,FALSE),Employee!A:B,2,FALSE),"Not Specified")</f>
        <v>Ms. Judy Lew</v>
      </c>
      <c r="I1169" t="str">
        <f>IFERROR(VLOOKUP(VLOOKUP(A1169,'Sales Order'!A:C,3,FALSE),Employee!A:J,10,FALSE),"Not Specified")</f>
        <v>WA</v>
      </c>
      <c r="J1169" t="str">
        <f>VLOOKUP(B1169,Product!A:B,2,FALSE)</f>
        <v>Product AOZBW</v>
      </c>
      <c r="K1169" t="str">
        <f>VLOOKUP(VLOOKUP(B1169,Product!A:D,4,FALSE),Category!A:B,2,FALSE)</f>
        <v>Meat/Poultry</v>
      </c>
      <c r="L1169" s="24">
        <f>IFERROR(VLOOKUP(A1169,'Sales Order'!A:D,4,FALSE),"")</f>
        <v>39361</v>
      </c>
      <c r="M1169" s="24">
        <f>IFERROR(VLOOKUP(A1169,'Sales Order'!A:F,6,FALSE),"")</f>
        <v>39365</v>
      </c>
      <c r="N1169" t="str">
        <f>IFERROR(VLOOKUP(VLOOKUP(A1169,'Sales Order'!A:G,7,FALSE),Shipper!A:B,2,FALSE),"Not Specified")</f>
        <v>Shipper ZHISN</v>
      </c>
      <c r="O1169" t="str">
        <f>IFERROR(VLOOKUP(A1169,'Sales Order'!A:I,9,FALSE),"Not Specified")</f>
        <v>Ship to 89-C</v>
      </c>
      <c r="P1169" t="str">
        <f>IFERROR(VLOOKUP(A1169,'Sales Order'!A:N,14,FALSE),"Not Specified")</f>
        <v>USA</v>
      </c>
      <c r="Q1169" t="str">
        <f>VLOOKUP(VLOOKUP(B1169,Product!A:C,3,FALSE),Supplier!A:B,2,FALSE)</f>
        <v>Supplier QOVFD</v>
      </c>
      <c r="R1169" t="str">
        <f>VLOOKUP(VLOOKUP(B1169,Product!A:C,3,FALSE),Supplier!A:I,9,FALSE)</f>
        <v>Japan</v>
      </c>
      <c r="S1169" t="str">
        <f>IFERROR(IF(VLOOKUP(A1169,'Sales Order'!A:H,8,FALSE)&gt;100,"High Freight","Low Freight"),"Not Specified")</f>
        <v>High Freight</v>
      </c>
      <c r="T1169">
        <f t="shared" si="37"/>
        <v>582</v>
      </c>
    </row>
    <row r="1170" spans="1:20">
      <c r="A1170" s="9">
        <v>10693</v>
      </c>
      <c r="B1170" s="6">
        <v>54</v>
      </c>
      <c r="C1170" s="6">
        <v>7.45</v>
      </c>
      <c r="D1170" s="6">
        <v>60</v>
      </c>
      <c r="E1170" s="18">
        <v>0.15</v>
      </c>
      <c r="F1170" s="6" t="str">
        <f>IFERROR(VLOOKUP(VLOOKUP(A1170,'Sales Order'!A:B,2,FALSE),Customer!A:C,3,FALSE),"Not Specified")</f>
        <v>Smith Jr., Ronaldo</v>
      </c>
      <c r="G1170" s="6" t="str">
        <f t="shared" si="36"/>
        <v>Smith Jr. Ronaldo</v>
      </c>
      <c r="H1170" s="22" t="str">
        <f>IFERROR(VLOOKUP(VLOOKUP(A1170,'Sales Order'!A:C,3,FALSE),Employee!A:E,5,FALSE)&amp;" "&amp;VLOOKUP(VLOOKUP(A1170,'Sales Order'!A:C,3,FALSE),Employee!A:C,3,FALSE)&amp;" "&amp;VLOOKUP(VLOOKUP(A1170,'Sales Order'!A:C,3,FALSE),Employee!A:B,2,FALSE),"Not Specified")</f>
        <v>Ms. Judy Lew</v>
      </c>
      <c r="I1170" t="str">
        <f>IFERROR(VLOOKUP(VLOOKUP(A1170,'Sales Order'!A:C,3,FALSE),Employee!A:J,10,FALSE),"Not Specified")</f>
        <v>WA</v>
      </c>
      <c r="J1170" t="str">
        <f>VLOOKUP(B1170,Product!A:B,2,FALSE)</f>
        <v>Product QAQRL</v>
      </c>
      <c r="K1170" t="str">
        <f>VLOOKUP(VLOOKUP(B1170,Product!A:D,4,FALSE),Category!A:B,2,FALSE)</f>
        <v>Meat/Poultry</v>
      </c>
      <c r="L1170" s="24">
        <f>IFERROR(VLOOKUP(A1170,'Sales Order'!A:D,4,FALSE),"")</f>
        <v>39361</v>
      </c>
      <c r="M1170" s="24">
        <f>IFERROR(VLOOKUP(A1170,'Sales Order'!A:F,6,FALSE),"")</f>
        <v>39365</v>
      </c>
      <c r="N1170" t="str">
        <f>IFERROR(VLOOKUP(VLOOKUP(A1170,'Sales Order'!A:G,7,FALSE),Shipper!A:B,2,FALSE),"Not Specified")</f>
        <v>Shipper ZHISN</v>
      </c>
      <c r="O1170" t="str">
        <f>IFERROR(VLOOKUP(A1170,'Sales Order'!A:I,9,FALSE),"Not Specified")</f>
        <v>Ship to 89-C</v>
      </c>
      <c r="P1170" t="str">
        <f>IFERROR(VLOOKUP(A1170,'Sales Order'!A:N,14,FALSE),"Not Specified")</f>
        <v>USA</v>
      </c>
      <c r="Q1170" t="str">
        <f>VLOOKUP(VLOOKUP(B1170,Product!A:C,3,FALSE),Supplier!A:B,2,FALSE)</f>
        <v>Supplier ERVYZ</v>
      </c>
      <c r="R1170" t="str">
        <f>VLOOKUP(VLOOKUP(B1170,Product!A:C,3,FALSE),Supplier!A:I,9,FALSE)</f>
        <v>Canada</v>
      </c>
      <c r="S1170" t="str">
        <f>IFERROR(IF(VLOOKUP(A1170,'Sales Order'!A:H,8,FALSE)&gt;100,"High Freight","Low Freight"),"Not Specified")</f>
        <v>High Freight</v>
      </c>
      <c r="T1170">
        <f t="shared" si="37"/>
        <v>379.95</v>
      </c>
    </row>
    <row r="1171" spans="1:20">
      <c r="A1171" s="9">
        <v>10693</v>
      </c>
      <c r="B1171" s="6">
        <v>69</v>
      </c>
      <c r="C1171" s="6">
        <v>36</v>
      </c>
      <c r="D1171" s="6">
        <v>30</v>
      </c>
      <c r="E1171" s="18">
        <v>0.15</v>
      </c>
      <c r="F1171" s="6" t="str">
        <f>IFERROR(VLOOKUP(VLOOKUP(A1171,'Sales Order'!A:B,2,FALSE),Customer!A:C,3,FALSE),"Not Specified")</f>
        <v>Smith Jr., Ronaldo</v>
      </c>
      <c r="G1171" s="6" t="str">
        <f t="shared" si="36"/>
        <v>Smith Jr. Ronaldo</v>
      </c>
      <c r="H1171" s="22" t="str">
        <f>IFERROR(VLOOKUP(VLOOKUP(A1171,'Sales Order'!A:C,3,FALSE),Employee!A:E,5,FALSE)&amp;" "&amp;VLOOKUP(VLOOKUP(A1171,'Sales Order'!A:C,3,FALSE),Employee!A:C,3,FALSE)&amp;" "&amp;VLOOKUP(VLOOKUP(A1171,'Sales Order'!A:C,3,FALSE),Employee!A:B,2,FALSE),"Not Specified")</f>
        <v>Ms. Judy Lew</v>
      </c>
      <c r="I1171" t="str">
        <f>IFERROR(VLOOKUP(VLOOKUP(A1171,'Sales Order'!A:C,3,FALSE),Employee!A:J,10,FALSE),"Not Specified")</f>
        <v>WA</v>
      </c>
      <c r="J1171" t="str">
        <f>VLOOKUP(B1171,Product!A:B,2,FALSE)</f>
        <v>Product COAXA</v>
      </c>
      <c r="K1171" t="str">
        <f>VLOOKUP(VLOOKUP(B1171,Product!A:D,4,FALSE),Category!A:B,2,FALSE)</f>
        <v>Dairy Product</v>
      </c>
      <c r="L1171" s="24">
        <f>IFERROR(VLOOKUP(A1171,'Sales Order'!A:D,4,FALSE),"")</f>
        <v>39361</v>
      </c>
      <c r="M1171" s="24">
        <f>IFERROR(VLOOKUP(A1171,'Sales Order'!A:F,6,FALSE),"")</f>
        <v>39365</v>
      </c>
      <c r="N1171" t="str">
        <f>IFERROR(VLOOKUP(VLOOKUP(A1171,'Sales Order'!A:G,7,FALSE),Shipper!A:B,2,FALSE),"Not Specified")</f>
        <v>Shipper ZHISN</v>
      </c>
      <c r="O1171" t="str">
        <f>IFERROR(VLOOKUP(A1171,'Sales Order'!A:I,9,FALSE),"Not Specified")</f>
        <v>Ship to 89-C</v>
      </c>
      <c r="P1171" t="str">
        <f>IFERROR(VLOOKUP(A1171,'Sales Order'!A:N,14,FALSE),"Not Specified")</f>
        <v>USA</v>
      </c>
      <c r="Q1171" t="str">
        <f>VLOOKUP(VLOOKUP(B1171,Product!A:C,3,FALSE),Supplier!A:B,2,FALSE)</f>
        <v>Supplier NZLIF</v>
      </c>
      <c r="R1171" t="str">
        <f>VLOOKUP(VLOOKUP(B1171,Product!A:C,3,FALSE),Supplier!A:I,9,FALSE)</f>
        <v>Norway</v>
      </c>
      <c r="S1171" t="str">
        <f>IFERROR(IF(VLOOKUP(A1171,'Sales Order'!A:H,8,FALSE)&gt;100,"High Freight","Low Freight"),"Not Specified")</f>
        <v>High Freight</v>
      </c>
      <c r="T1171">
        <f t="shared" si="37"/>
        <v>918</v>
      </c>
    </row>
    <row r="1172" spans="1:20">
      <c r="A1172" s="9">
        <v>10693</v>
      </c>
      <c r="B1172" s="6">
        <v>73</v>
      </c>
      <c r="C1172" s="6">
        <v>15</v>
      </c>
      <c r="D1172" s="6">
        <v>15</v>
      </c>
      <c r="E1172" s="18">
        <v>0.15</v>
      </c>
      <c r="F1172" s="6" t="str">
        <f>IFERROR(VLOOKUP(VLOOKUP(A1172,'Sales Order'!A:B,2,FALSE),Customer!A:C,3,FALSE),"Not Specified")</f>
        <v>Smith Jr., Ronaldo</v>
      </c>
      <c r="G1172" s="6" t="str">
        <f t="shared" si="36"/>
        <v>Smith Jr. Ronaldo</v>
      </c>
      <c r="H1172" s="22" t="str">
        <f>IFERROR(VLOOKUP(VLOOKUP(A1172,'Sales Order'!A:C,3,FALSE),Employee!A:E,5,FALSE)&amp;" "&amp;VLOOKUP(VLOOKUP(A1172,'Sales Order'!A:C,3,FALSE),Employee!A:C,3,FALSE)&amp;" "&amp;VLOOKUP(VLOOKUP(A1172,'Sales Order'!A:C,3,FALSE),Employee!A:B,2,FALSE),"Not Specified")</f>
        <v>Ms. Judy Lew</v>
      </c>
      <c r="I1172" t="str">
        <f>IFERROR(VLOOKUP(VLOOKUP(A1172,'Sales Order'!A:C,3,FALSE),Employee!A:J,10,FALSE),"Not Specified")</f>
        <v>WA</v>
      </c>
      <c r="J1172" t="str">
        <f>VLOOKUP(B1172,Product!A:B,2,FALSE)</f>
        <v>Product WEUJZ</v>
      </c>
      <c r="K1172" t="str">
        <f>VLOOKUP(VLOOKUP(B1172,Product!A:D,4,FALSE),Category!A:B,2,FALSE)</f>
        <v>Seafood</v>
      </c>
      <c r="L1172" s="24">
        <f>IFERROR(VLOOKUP(A1172,'Sales Order'!A:D,4,FALSE),"")</f>
        <v>39361</v>
      </c>
      <c r="M1172" s="24">
        <f>IFERROR(VLOOKUP(A1172,'Sales Order'!A:F,6,FALSE),"")</f>
        <v>39365</v>
      </c>
      <c r="N1172" t="str">
        <f>IFERROR(VLOOKUP(VLOOKUP(A1172,'Sales Order'!A:G,7,FALSE),Shipper!A:B,2,FALSE),"Not Specified")</f>
        <v>Shipper ZHISN</v>
      </c>
      <c r="O1172" t="str">
        <f>IFERROR(VLOOKUP(A1172,'Sales Order'!A:I,9,FALSE),"Not Specified")</f>
        <v>Ship to 89-C</v>
      </c>
      <c r="P1172" t="str">
        <f>IFERROR(VLOOKUP(A1172,'Sales Order'!A:N,14,FALSE),"Not Specified")</f>
        <v>USA</v>
      </c>
      <c r="Q1172" t="str">
        <f>VLOOKUP(VLOOKUP(B1172,Product!A:C,3,FALSE),Supplier!A:B,2,FALSE)</f>
        <v>Supplier QZGUF</v>
      </c>
      <c r="R1172" t="str">
        <f>VLOOKUP(VLOOKUP(B1172,Product!A:C,3,FALSE),Supplier!A:I,9,FALSE)</f>
        <v>Sweden</v>
      </c>
      <c r="S1172" t="str">
        <f>IFERROR(IF(VLOOKUP(A1172,'Sales Order'!A:H,8,FALSE)&gt;100,"High Freight","Low Freight"),"Not Specified")</f>
        <v>High Freight</v>
      </c>
      <c r="T1172">
        <f t="shared" si="37"/>
        <v>191.25</v>
      </c>
    </row>
    <row r="1173" spans="1:20">
      <c r="A1173" s="9">
        <v>10694</v>
      </c>
      <c r="B1173" s="6">
        <v>7</v>
      </c>
      <c r="C1173" s="6">
        <v>30</v>
      </c>
      <c r="D1173" s="6">
        <v>90</v>
      </c>
      <c r="E1173" s="18">
        <v>0</v>
      </c>
      <c r="F1173" s="6" t="str">
        <f>IFERROR(VLOOKUP(VLOOKUP(A1173,'Sales Order'!A:B,2,FALSE),Customer!A:C,3,FALSE),"Not Specified")</f>
        <v>Veronesi, Giorgio</v>
      </c>
      <c r="G1173" s="6" t="str">
        <f t="shared" si="36"/>
        <v>Veronesi Giorgio</v>
      </c>
      <c r="H1173" s="22" t="str">
        <f>IFERROR(VLOOKUP(VLOOKUP(A1173,'Sales Order'!A:C,3,FALSE),Employee!A:E,5,FALSE)&amp;" "&amp;VLOOKUP(VLOOKUP(A1173,'Sales Order'!A:C,3,FALSE),Employee!A:C,3,FALSE)&amp;" "&amp;VLOOKUP(VLOOKUP(A1173,'Sales Order'!A:C,3,FALSE),Employee!A:B,2,FALSE),"Not Specified")</f>
        <v>Ms. Maria Cameron</v>
      </c>
      <c r="I1173" t="str">
        <f>IFERROR(VLOOKUP(VLOOKUP(A1173,'Sales Order'!A:C,3,FALSE),Employee!A:J,10,FALSE),"Not Specified")</f>
        <v>WA</v>
      </c>
      <c r="J1173" t="str">
        <f>VLOOKUP(B1173,Product!A:B,2,FALSE)</f>
        <v>Product HMLNI</v>
      </c>
      <c r="K1173" t="str">
        <f>VLOOKUP(VLOOKUP(B1173,Product!A:D,4,FALSE),Category!A:B,2,FALSE)</f>
        <v>Produce</v>
      </c>
      <c r="L1173" s="24">
        <f>IFERROR(VLOOKUP(A1173,'Sales Order'!A:D,4,FALSE),"")</f>
        <v>39361</v>
      </c>
      <c r="M1173" s="24">
        <f>IFERROR(VLOOKUP(A1173,'Sales Order'!A:F,6,FALSE),"")</f>
        <v>39364</v>
      </c>
      <c r="N1173" t="str">
        <f>IFERROR(VLOOKUP(VLOOKUP(A1173,'Sales Order'!A:G,7,FALSE),Shipper!A:B,2,FALSE),"Not Specified")</f>
        <v>Shipper ZHISN</v>
      </c>
      <c r="O1173" t="str">
        <f>IFERROR(VLOOKUP(A1173,'Sales Order'!A:I,9,FALSE),"Not Specified")</f>
        <v>Ship to 63-A</v>
      </c>
      <c r="P1173" t="str">
        <f>IFERROR(VLOOKUP(A1173,'Sales Order'!A:N,14,FALSE),"Not Specified")</f>
        <v>Germany</v>
      </c>
      <c r="Q1173" t="str">
        <f>VLOOKUP(VLOOKUP(B1173,Product!A:C,3,FALSE),Supplier!A:B,2,FALSE)</f>
        <v>Supplier STUAZ</v>
      </c>
      <c r="R1173" t="str">
        <f>VLOOKUP(VLOOKUP(B1173,Product!A:C,3,FALSE),Supplier!A:I,9,FALSE)</f>
        <v>USA</v>
      </c>
      <c r="S1173" t="str">
        <f>IFERROR(IF(VLOOKUP(A1173,'Sales Order'!A:H,8,FALSE)&gt;100,"High Freight","Low Freight"),"Not Specified")</f>
        <v>High Freight</v>
      </c>
      <c r="T1173">
        <f t="shared" si="37"/>
        <v>2700</v>
      </c>
    </row>
    <row r="1174" spans="1:20">
      <c r="A1174" s="9">
        <v>10694</v>
      </c>
      <c r="B1174" s="6">
        <v>59</v>
      </c>
      <c r="C1174" s="6">
        <v>55</v>
      </c>
      <c r="D1174" s="6">
        <v>25</v>
      </c>
      <c r="E1174" s="18">
        <v>0</v>
      </c>
      <c r="F1174" s="6" t="str">
        <f>IFERROR(VLOOKUP(VLOOKUP(A1174,'Sales Order'!A:B,2,FALSE),Customer!A:C,3,FALSE),"Not Specified")</f>
        <v>Veronesi, Giorgio</v>
      </c>
      <c r="G1174" s="6" t="str">
        <f t="shared" si="36"/>
        <v>Veronesi Giorgio</v>
      </c>
      <c r="H1174" s="22" t="str">
        <f>IFERROR(VLOOKUP(VLOOKUP(A1174,'Sales Order'!A:C,3,FALSE),Employee!A:E,5,FALSE)&amp;" "&amp;VLOOKUP(VLOOKUP(A1174,'Sales Order'!A:C,3,FALSE),Employee!A:C,3,FALSE)&amp;" "&amp;VLOOKUP(VLOOKUP(A1174,'Sales Order'!A:C,3,FALSE),Employee!A:B,2,FALSE),"Not Specified")</f>
        <v>Ms. Maria Cameron</v>
      </c>
      <c r="I1174" t="str">
        <f>IFERROR(VLOOKUP(VLOOKUP(A1174,'Sales Order'!A:C,3,FALSE),Employee!A:J,10,FALSE),"Not Specified")</f>
        <v>WA</v>
      </c>
      <c r="J1174" t="str">
        <f>VLOOKUP(B1174,Product!A:B,2,FALSE)</f>
        <v>Product UKXRI</v>
      </c>
      <c r="K1174" t="str">
        <f>VLOOKUP(VLOOKUP(B1174,Product!A:D,4,FALSE),Category!A:B,2,FALSE)</f>
        <v>Dairy Product</v>
      </c>
      <c r="L1174" s="24">
        <f>IFERROR(VLOOKUP(A1174,'Sales Order'!A:D,4,FALSE),"")</f>
        <v>39361</v>
      </c>
      <c r="M1174" s="24">
        <f>IFERROR(VLOOKUP(A1174,'Sales Order'!A:F,6,FALSE),"")</f>
        <v>39364</v>
      </c>
      <c r="N1174" t="str">
        <f>IFERROR(VLOOKUP(VLOOKUP(A1174,'Sales Order'!A:G,7,FALSE),Shipper!A:B,2,FALSE),"Not Specified")</f>
        <v>Shipper ZHISN</v>
      </c>
      <c r="O1174" t="str">
        <f>IFERROR(VLOOKUP(A1174,'Sales Order'!A:I,9,FALSE),"Not Specified")</f>
        <v>Ship to 63-A</v>
      </c>
      <c r="P1174" t="str">
        <f>IFERROR(VLOOKUP(A1174,'Sales Order'!A:N,14,FALSE),"Not Specified")</f>
        <v>Germany</v>
      </c>
      <c r="Q1174" t="str">
        <f>VLOOKUP(VLOOKUP(B1174,Product!A:C,3,FALSE),Supplier!A:B,2,FALSE)</f>
        <v>Supplier OAVQT</v>
      </c>
      <c r="R1174" t="str">
        <f>VLOOKUP(VLOOKUP(B1174,Product!A:C,3,FALSE),Supplier!A:I,9,FALSE)</f>
        <v>France</v>
      </c>
      <c r="S1174" t="str">
        <f>IFERROR(IF(VLOOKUP(A1174,'Sales Order'!A:H,8,FALSE)&gt;100,"High Freight","Low Freight"),"Not Specified")</f>
        <v>High Freight</v>
      </c>
      <c r="T1174">
        <f t="shared" si="37"/>
        <v>1375</v>
      </c>
    </row>
    <row r="1175" spans="1:20">
      <c r="A1175" s="9">
        <v>10694</v>
      </c>
      <c r="B1175" s="6">
        <v>70</v>
      </c>
      <c r="C1175" s="6">
        <v>15</v>
      </c>
      <c r="D1175" s="6">
        <v>50</v>
      </c>
      <c r="E1175" s="18">
        <v>0</v>
      </c>
      <c r="F1175" s="6" t="str">
        <f>IFERROR(VLOOKUP(VLOOKUP(A1175,'Sales Order'!A:B,2,FALSE),Customer!A:C,3,FALSE),"Not Specified")</f>
        <v>Veronesi, Giorgio</v>
      </c>
      <c r="G1175" s="6" t="str">
        <f t="shared" si="36"/>
        <v>Veronesi Giorgio</v>
      </c>
      <c r="H1175" s="22" t="str">
        <f>IFERROR(VLOOKUP(VLOOKUP(A1175,'Sales Order'!A:C,3,FALSE),Employee!A:E,5,FALSE)&amp;" "&amp;VLOOKUP(VLOOKUP(A1175,'Sales Order'!A:C,3,FALSE),Employee!A:C,3,FALSE)&amp;" "&amp;VLOOKUP(VLOOKUP(A1175,'Sales Order'!A:C,3,FALSE),Employee!A:B,2,FALSE),"Not Specified")</f>
        <v>Ms. Maria Cameron</v>
      </c>
      <c r="I1175" t="str">
        <f>IFERROR(VLOOKUP(VLOOKUP(A1175,'Sales Order'!A:C,3,FALSE),Employee!A:J,10,FALSE),"Not Specified")</f>
        <v>WA</v>
      </c>
      <c r="J1175" t="str">
        <f>VLOOKUP(B1175,Product!A:B,2,FALSE)</f>
        <v>Product TOONT</v>
      </c>
      <c r="K1175" t="str">
        <f>VLOOKUP(VLOOKUP(B1175,Product!A:D,4,FALSE),Category!A:B,2,FALSE)</f>
        <v>Beverages</v>
      </c>
      <c r="L1175" s="24">
        <f>IFERROR(VLOOKUP(A1175,'Sales Order'!A:D,4,FALSE),"")</f>
        <v>39361</v>
      </c>
      <c r="M1175" s="24">
        <f>IFERROR(VLOOKUP(A1175,'Sales Order'!A:F,6,FALSE),"")</f>
        <v>39364</v>
      </c>
      <c r="N1175" t="str">
        <f>IFERROR(VLOOKUP(VLOOKUP(A1175,'Sales Order'!A:G,7,FALSE),Shipper!A:B,2,FALSE),"Not Specified")</f>
        <v>Shipper ZHISN</v>
      </c>
      <c r="O1175" t="str">
        <f>IFERROR(VLOOKUP(A1175,'Sales Order'!A:I,9,FALSE),"Not Specified")</f>
        <v>Ship to 63-A</v>
      </c>
      <c r="P1175" t="str">
        <f>IFERROR(VLOOKUP(A1175,'Sales Order'!A:N,14,FALSE),"Not Specified")</f>
        <v>Germany</v>
      </c>
      <c r="Q1175" t="str">
        <f>VLOOKUP(VLOOKUP(B1175,Product!A:C,3,FALSE),Supplier!A:B,2,FALSE)</f>
        <v>Supplier GQRCV</v>
      </c>
      <c r="R1175" t="str">
        <f>VLOOKUP(VLOOKUP(B1175,Product!A:C,3,FALSE),Supplier!A:I,9,FALSE)</f>
        <v>Australia</v>
      </c>
      <c r="S1175" t="str">
        <f>IFERROR(IF(VLOOKUP(A1175,'Sales Order'!A:H,8,FALSE)&gt;100,"High Freight","Low Freight"),"Not Specified")</f>
        <v>High Freight</v>
      </c>
      <c r="T1175">
        <f t="shared" si="37"/>
        <v>750</v>
      </c>
    </row>
    <row r="1176" spans="1:20">
      <c r="A1176" s="9">
        <v>10695</v>
      </c>
      <c r="B1176" s="6">
        <v>8</v>
      </c>
      <c r="C1176" s="6">
        <v>40</v>
      </c>
      <c r="D1176" s="6">
        <v>10</v>
      </c>
      <c r="E1176" s="18">
        <v>0</v>
      </c>
      <c r="F1176" s="6" t="str">
        <f>IFERROR(VLOOKUP(VLOOKUP(A1176,'Sales Order'!A:B,2,FALSE),Customer!A:C,3,FALSE),"Not Specified")</f>
        <v>Larsson, Katarina</v>
      </c>
      <c r="G1176" s="6" t="str">
        <f t="shared" si="36"/>
        <v>Larsson Katarina</v>
      </c>
      <c r="H1176" s="22" t="str">
        <f>IFERROR(VLOOKUP(VLOOKUP(A1176,'Sales Order'!A:C,3,FALSE),Employee!A:E,5,FALSE)&amp;" "&amp;VLOOKUP(VLOOKUP(A1176,'Sales Order'!A:C,3,FALSE),Employee!A:C,3,FALSE)&amp;" "&amp;VLOOKUP(VLOOKUP(A1176,'Sales Order'!A:C,3,FALSE),Employee!A:B,2,FALSE),"Not Specified")</f>
        <v>Mr. Russell King</v>
      </c>
      <c r="I1176">
        <f>IFERROR(VLOOKUP(VLOOKUP(A1176,'Sales Order'!A:C,3,FALSE),Employee!A:J,10,FALSE),"Not Specified")</f>
        <v>0</v>
      </c>
      <c r="J1176" t="str">
        <f>VLOOKUP(B1176,Product!A:B,2,FALSE)</f>
        <v>Product WVJFP</v>
      </c>
      <c r="K1176" t="str">
        <f>VLOOKUP(VLOOKUP(B1176,Product!A:D,4,FALSE),Category!A:B,2,FALSE)</f>
        <v>Condiments</v>
      </c>
      <c r="L1176" s="24">
        <f>IFERROR(VLOOKUP(A1176,'Sales Order'!A:D,4,FALSE),"")</f>
        <v>39362</v>
      </c>
      <c r="M1176" s="24">
        <f>IFERROR(VLOOKUP(A1176,'Sales Order'!A:F,6,FALSE),"")</f>
        <v>39369</v>
      </c>
      <c r="N1176" t="str">
        <f>IFERROR(VLOOKUP(VLOOKUP(A1176,'Sales Order'!A:G,7,FALSE),Shipper!A:B,2,FALSE),"Not Specified")</f>
        <v>Shipper GVSUA</v>
      </c>
      <c r="O1176" t="str">
        <f>IFERROR(VLOOKUP(A1176,'Sales Order'!A:I,9,FALSE),"Not Specified")</f>
        <v>Ship to 90-C</v>
      </c>
      <c r="P1176" t="str">
        <f>IFERROR(VLOOKUP(A1176,'Sales Order'!A:N,14,FALSE),"Not Specified")</f>
        <v>Finland</v>
      </c>
      <c r="Q1176" t="str">
        <f>VLOOKUP(VLOOKUP(B1176,Product!A:C,3,FALSE),Supplier!A:B,2,FALSE)</f>
        <v>Supplier STUAZ</v>
      </c>
      <c r="R1176" t="str">
        <f>VLOOKUP(VLOOKUP(B1176,Product!A:C,3,FALSE),Supplier!A:I,9,FALSE)</f>
        <v>USA</v>
      </c>
      <c r="S1176" t="str">
        <f>IFERROR(IF(VLOOKUP(A1176,'Sales Order'!A:H,8,FALSE)&gt;100,"High Freight","Low Freight"),"Not Specified")</f>
        <v>Low Freight</v>
      </c>
      <c r="T1176">
        <f t="shared" si="37"/>
        <v>400</v>
      </c>
    </row>
    <row r="1177" spans="1:20">
      <c r="A1177" s="9">
        <v>10695</v>
      </c>
      <c r="B1177" s="6">
        <v>12</v>
      </c>
      <c r="C1177" s="6">
        <v>38</v>
      </c>
      <c r="D1177" s="6">
        <v>4</v>
      </c>
      <c r="E1177" s="18">
        <v>0</v>
      </c>
      <c r="F1177" s="6" t="str">
        <f>IFERROR(VLOOKUP(VLOOKUP(A1177,'Sales Order'!A:B,2,FALSE),Customer!A:C,3,FALSE),"Not Specified")</f>
        <v>Larsson, Katarina</v>
      </c>
      <c r="G1177" s="6" t="str">
        <f t="shared" si="36"/>
        <v>Larsson Katarina</v>
      </c>
      <c r="H1177" s="22" t="str">
        <f>IFERROR(VLOOKUP(VLOOKUP(A1177,'Sales Order'!A:C,3,FALSE),Employee!A:E,5,FALSE)&amp;" "&amp;VLOOKUP(VLOOKUP(A1177,'Sales Order'!A:C,3,FALSE),Employee!A:C,3,FALSE)&amp;" "&amp;VLOOKUP(VLOOKUP(A1177,'Sales Order'!A:C,3,FALSE),Employee!A:B,2,FALSE),"Not Specified")</f>
        <v>Mr. Russell King</v>
      </c>
      <c r="I1177">
        <f>IFERROR(VLOOKUP(VLOOKUP(A1177,'Sales Order'!A:C,3,FALSE),Employee!A:J,10,FALSE),"Not Specified")</f>
        <v>0</v>
      </c>
      <c r="J1177" t="str">
        <f>VLOOKUP(B1177,Product!A:B,2,FALSE)</f>
        <v>Product OSFNS</v>
      </c>
      <c r="K1177" t="str">
        <f>VLOOKUP(VLOOKUP(B1177,Product!A:D,4,FALSE),Category!A:B,2,FALSE)</f>
        <v>Dairy Product</v>
      </c>
      <c r="L1177" s="24">
        <f>IFERROR(VLOOKUP(A1177,'Sales Order'!A:D,4,FALSE),"")</f>
        <v>39362</v>
      </c>
      <c r="M1177" s="24">
        <f>IFERROR(VLOOKUP(A1177,'Sales Order'!A:F,6,FALSE),"")</f>
        <v>39369</v>
      </c>
      <c r="N1177" t="str">
        <f>IFERROR(VLOOKUP(VLOOKUP(A1177,'Sales Order'!A:G,7,FALSE),Shipper!A:B,2,FALSE),"Not Specified")</f>
        <v>Shipper GVSUA</v>
      </c>
      <c r="O1177" t="str">
        <f>IFERROR(VLOOKUP(A1177,'Sales Order'!A:I,9,FALSE),"Not Specified")</f>
        <v>Ship to 90-C</v>
      </c>
      <c r="P1177" t="str">
        <f>IFERROR(VLOOKUP(A1177,'Sales Order'!A:N,14,FALSE),"Not Specified")</f>
        <v>Finland</v>
      </c>
      <c r="Q1177" t="str">
        <f>VLOOKUP(VLOOKUP(B1177,Product!A:C,3,FALSE),Supplier!A:B,2,FALSE)</f>
        <v>Supplier EQPNC</v>
      </c>
      <c r="R1177" t="str">
        <f>VLOOKUP(VLOOKUP(B1177,Product!A:C,3,FALSE),Supplier!A:I,9,FALSE)</f>
        <v>Spain</v>
      </c>
      <c r="S1177" t="str">
        <f>IFERROR(IF(VLOOKUP(A1177,'Sales Order'!A:H,8,FALSE)&gt;100,"High Freight","Low Freight"),"Not Specified")</f>
        <v>Low Freight</v>
      </c>
      <c r="T1177">
        <f t="shared" si="37"/>
        <v>152</v>
      </c>
    </row>
    <row r="1178" spans="1:20">
      <c r="A1178" s="9">
        <v>10695</v>
      </c>
      <c r="B1178" s="6">
        <v>24</v>
      </c>
      <c r="C1178" s="6">
        <v>4.5</v>
      </c>
      <c r="D1178" s="6">
        <v>20</v>
      </c>
      <c r="E1178" s="18">
        <v>0</v>
      </c>
      <c r="F1178" s="6" t="str">
        <f>IFERROR(VLOOKUP(VLOOKUP(A1178,'Sales Order'!A:B,2,FALSE),Customer!A:C,3,FALSE),"Not Specified")</f>
        <v>Larsson, Katarina</v>
      </c>
      <c r="G1178" s="6" t="str">
        <f t="shared" si="36"/>
        <v>Larsson Katarina</v>
      </c>
      <c r="H1178" s="22" t="str">
        <f>IFERROR(VLOOKUP(VLOOKUP(A1178,'Sales Order'!A:C,3,FALSE),Employee!A:E,5,FALSE)&amp;" "&amp;VLOOKUP(VLOOKUP(A1178,'Sales Order'!A:C,3,FALSE),Employee!A:C,3,FALSE)&amp;" "&amp;VLOOKUP(VLOOKUP(A1178,'Sales Order'!A:C,3,FALSE),Employee!A:B,2,FALSE),"Not Specified")</f>
        <v>Mr. Russell King</v>
      </c>
      <c r="I1178">
        <f>IFERROR(VLOOKUP(VLOOKUP(A1178,'Sales Order'!A:C,3,FALSE),Employee!A:J,10,FALSE),"Not Specified")</f>
        <v>0</v>
      </c>
      <c r="J1178" t="str">
        <f>VLOOKUP(B1178,Product!A:B,2,FALSE)</f>
        <v>Product QOGNU</v>
      </c>
      <c r="K1178" t="str">
        <f>VLOOKUP(VLOOKUP(B1178,Product!A:D,4,FALSE),Category!A:B,2,FALSE)</f>
        <v>Beverages</v>
      </c>
      <c r="L1178" s="24">
        <f>IFERROR(VLOOKUP(A1178,'Sales Order'!A:D,4,FALSE),"")</f>
        <v>39362</v>
      </c>
      <c r="M1178" s="24">
        <f>IFERROR(VLOOKUP(A1178,'Sales Order'!A:F,6,FALSE),"")</f>
        <v>39369</v>
      </c>
      <c r="N1178" t="str">
        <f>IFERROR(VLOOKUP(VLOOKUP(A1178,'Sales Order'!A:G,7,FALSE),Shipper!A:B,2,FALSE),"Not Specified")</f>
        <v>Shipper GVSUA</v>
      </c>
      <c r="O1178" t="str">
        <f>IFERROR(VLOOKUP(A1178,'Sales Order'!A:I,9,FALSE),"Not Specified")</f>
        <v>Ship to 90-C</v>
      </c>
      <c r="P1178" t="str">
        <f>IFERROR(VLOOKUP(A1178,'Sales Order'!A:N,14,FALSE),"Not Specified")</f>
        <v>Finland</v>
      </c>
      <c r="Q1178" t="str">
        <f>VLOOKUP(VLOOKUP(B1178,Product!A:C,3,FALSE),Supplier!A:B,2,FALSE)</f>
        <v>Supplier UNAHG</v>
      </c>
      <c r="R1178" t="str">
        <f>VLOOKUP(VLOOKUP(B1178,Product!A:C,3,FALSE),Supplier!A:I,9,FALSE)</f>
        <v>Brazil</v>
      </c>
      <c r="S1178" t="str">
        <f>IFERROR(IF(VLOOKUP(A1178,'Sales Order'!A:H,8,FALSE)&gt;100,"High Freight","Low Freight"),"Not Specified")</f>
        <v>Low Freight</v>
      </c>
      <c r="T1178">
        <f t="shared" si="37"/>
        <v>90</v>
      </c>
    </row>
    <row r="1179" spans="1:20">
      <c r="A1179" s="9">
        <v>10696</v>
      </c>
      <c r="B1179" s="6">
        <v>17</v>
      </c>
      <c r="C1179" s="6">
        <v>39</v>
      </c>
      <c r="D1179" s="6">
        <v>20</v>
      </c>
      <c r="E1179" s="18">
        <v>0</v>
      </c>
      <c r="F1179" s="6" t="str">
        <f>IFERROR(VLOOKUP(VLOOKUP(A1179,'Sales Order'!A:B,2,FALSE),Customer!A:C,3,FALSE),"Not Specified")</f>
        <v>Smith Jr., Ronaldo</v>
      </c>
      <c r="G1179" s="6" t="str">
        <f t="shared" si="36"/>
        <v>Smith Jr. Ronaldo</v>
      </c>
      <c r="H1179" s="22" t="str">
        <f>IFERROR(VLOOKUP(VLOOKUP(A1179,'Sales Order'!A:C,3,FALSE),Employee!A:E,5,FALSE)&amp;" "&amp;VLOOKUP(VLOOKUP(A1179,'Sales Order'!A:C,3,FALSE),Employee!A:C,3,FALSE)&amp;" "&amp;VLOOKUP(VLOOKUP(A1179,'Sales Order'!A:C,3,FALSE),Employee!A:B,2,FALSE),"Not Specified")</f>
        <v>Ms. Maria Cameron</v>
      </c>
      <c r="I1179" t="str">
        <f>IFERROR(VLOOKUP(VLOOKUP(A1179,'Sales Order'!A:C,3,FALSE),Employee!A:J,10,FALSE),"Not Specified")</f>
        <v>WA</v>
      </c>
      <c r="J1179" t="str">
        <f>VLOOKUP(B1179,Product!A:B,2,FALSE)</f>
        <v>Product BLCAX</v>
      </c>
      <c r="K1179" t="str">
        <f>VLOOKUP(VLOOKUP(B1179,Product!A:D,4,FALSE),Category!A:B,2,FALSE)</f>
        <v>Meat/Poultry</v>
      </c>
      <c r="L1179" s="24">
        <f>IFERROR(VLOOKUP(A1179,'Sales Order'!A:D,4,FALSE),"")</f>
        <v>39363</v>
      </c>
      <c r="M1179" s="24">
        <f>IFERROR(VLOOKUP(A1179,'Sales Order'!A:F,6,FALSE),"")</f>
        <v>39369</v>
      </c>
      <c r="N1179" t="str">
        <f>IFERROR(VLOOKUP(VLOOKUP(A1179,'Sales Order'!A:G,7,FALSE),Shipper!A:B,2,FALSE),"Not Specified")</f>
        <v>Shipper ZHISN</v>
      </c>
      <c r="O1179" t="str">
        <f>IFERROR(VLOOKUP(A1179,'Sales Order'!A:I,9,FALSE),"Not Specified")</f>
        <v>Ship to 89-A</v>
      </c>
      <c r="P1179" t="str">
        <f>IFERROR(VLOOKUP(A1179,'Sales Order'!A:N,14,FALSE),"Not Specified")</f>
        <v>USA</v>
      </c>
      <c r="Q1179" t="str">
        <f>VLOOKUP(VLOOKUP(B1179,Product!A:C,3,FALSE),Supplier!A:B,2,FALSE)</f>
        <v>Supplier GQRCV</v>
      </c>
      <c r="R1179" t="str">
        <f>VLOOKUP(VLOOKUP(B1179,Product!A:C,3,FALSE),Supplier!A:I,9,FALSE)</f>
        <v>Australia</v>
      </c>
      <c r="S1179" t="str">
        <f>IFERROR(IF(VLOOKUP(A1179,'Sales Order'!A:H,8,FALSE)&gt;100,"High Freight","Low Freight"),"Not Specified")</f>
        <v>High Freight</v>
      </c>
      <c r="T1179">
        <f t="shared" si="37"/>
        <v>780</v>
      </c>
    </row>
    <row r="1180" spans="1:20">
      <c r="A1180" s="9">
        <v>10696</v>
      </c>
      <c r="B1180" s="6">
        <v>46</v>
      </c>
      <c r="C1180" s="6">
        <v>12</v>
      </c>
      <c r="D1180" s="6">
        <v>18</v>
      </c>
      <c r="E1180" s="18">
        <v>0</v>
      </c>
      <c r="F1180" s="6" t="str">
        <f>IFERROR(VLOOKUP(VLOOKUP(A1180,'Sales Order'!A:B,2,FALSE),Customer!A:C,3,FALSE),"Not Specified")</f>
        <v>Smith Jr., Ronaldo</v>
      </c>
      <c r="G1180" s="6" t="str">
        <f t="shared" si="36"/>
        <v>Smith Jr. Ronaldo</v>
      </c>
      <c r="H1180" s="22" t="str">
        <f>IFERROR(VLOOKUP(VLOOKUP(A1180,'Sales Order'!A:C,3,FALSE),Employee!A:E,5,FALSE)&amp;" "&amp;VLOOKUP(VLOOKUP(A1180,'Sales Order'!A:C,3,FALSE),Employee!A:C,3,FALSE)&amp;" "&amp;VLOOKUP(VLOOKUP(A1180,'Sales Order'!A:C,3,FALSE),Employee!A:B,2,FALSE),"Not Specified")</f>
        <v>Ms. Maria Cameron</v>
      </c>
      <c r="I1180" t="str">
        <f>IFERROR(VLOOKUP(VLOOKUP(A1180,'Sales Order'!A:C,3,FALSE),Employee!A:J,10,FALSE),"Not Specified")</f>
        <v>WA</v>
      </c>
      <c r="J1180" t="str">
        <f>VLOOKUP(B1180,Product!A:B,2,FALSE)</f>
        <v>Product CBRRL</v>
      </c>
      <c r="K1180" t="str">
        <f>VLOOKUP(VLOOKUP(B1180,Product!A:D,4,FALSE),Category!A:B,2,FALSE)</f>
        <v>Seafood</v>
      </c>
      <c r="L1180" s="24">
        <f>IFERROR(VLOOKUP(A1180,'Sales Order'!A:D,4,FALSE),"")</f>
        <v>39363</v>
      </c>
      <c r="M1180" s="24">
        <f>IFERROR(VLOOKUP(A1180,'Sales Order'!A:F,6,FALSE),"")</f>
        <v>39369</v>
      </c>
      <c r="N1180" t="str">
        <f>IFERROR(VLOOKUP(VLOOKUP(A1180,'Sales Order'!A:G,7,FALSE),Shipper!A:B,2,FALSE),"Not Specified")</f>
        <v>Shipper ZHISN</v>
      </c>
      <c r="O1180" t="str">
        <f>IFERROR(VLOOKUP(A1180,'Sales Order'!A:I,9,FALSE),"Not Specified")</f>
        <v>Ship to 89-A</v>
      </c>
      <c r="P1180" t="str">
        <f>IFERROR(VLOOKUP(A1180,'Sales Order'!A:N,14,FALSE),"Not Specified")</f>
        <v>USA</v>
      </c>
      <c r="Q1180" t="str">
        <f>VLOOKUP(VLOOKUP(B1180,Product!A:C,3,FALSE),Supplier!A:B,2,FALSE)</f>
        <v>Supplier XOXZA</v>
      </c>
      <c r="R1180" t="str">
        <f>VLOOKUP(VLOOKUP(B1180,Product!A:C,3,FALSE),Supplier!A:I,9,FALSE)</f>
        <v>Denmark</v>
      </c>
      <c r="S1180" t="str">
        <f>IFERROR(IF(VLOOKUP(A1180,'Sales Order'!A:H,8,FALSE)&gt;100,"High Freight","Low Freight"),"Not Specified")</f>
        <v>High Freight</v>
      </c>
      <c r="T1180">
        <f t="shared" si="37"/>
        <v>216</v>
      </c>
    </row>
    <row r="1181" spans="1:20">
      <c r="A1181" s="9">
        <v>10697</v>
      </c>
      <c r="B1181" s="6">
        <v>19</v>
      </c>
      <c r="C1181" s="6">
        <v>9.1999999999999993</v>
      </c>
      <c r="D1181" s="6">
        <v>7</v>
      </c>
      <c r="E1181" s="18">
        <v>0.25</v>
      </c>
      <c r="F1181" s="6" t="str">
        <f>IFERROR(VLOOKUP(VLOOKUP(A1181,'Sales Order'!A:B,2,FALSE),Customer!A:C,3,FALSE),"Not Specified")</f>
        <v>Lupu, Cornel</v>
      </c>
      <c r="G1181" s="6" t="str">
        <f t="shared" si="36"/>
        <v>Lupu Cornel</v>
      </c>
      <c r="H1181" s="22" t="str">
        <f>IFERROR(VLOOKUP(VLOOKUP(A1181,'Sales Order'!A:C,3,FALSE),Employee!A:E,5,FALSE)&amp;" "&amp;VLOOKUP(VLOOKUP(A1181,'Sales Order'!A:C,3,FALSE),Employee!A:C,3,FALSE)&amp;" "&amp;VLOOKUP(VLOOKUP(A1181,'Sales Order'!A:C,3,FALSE),Employee!A:B,2,FALSE),"Not Specified")</f>
        <v>Ms. Judy Lew</v>
      </c>
      <c r="I1181" t="str">
        <f>IFERROR(VLOOKUP(VLOOKUP(A1181,'Sales Order'!A:C,3,FALSE),Employee!A:J,10,FALSE),"Not Specified")</f>
        <v>WA</v>
      </c>
      <c r="J1181" t="str">
        <f>VLOOKUP(B1181,Product!A:B,2,FALSE)</f>
        <v>Product XKXDO</v>
      </c>
      <c r="K1181" t="str">
        <f>VLOOKUP(VLOOKUP(B1181,Product!A:D,4,FALSE),Category!A:B,2,FALSE)</f>
        <v>Confections</v>
      </c>
      <c r="L1181" s="24">
        <f>IFERROR(VLOOKUP(A1181,'Sales Order'!A:D,4,FALSE),"")</f>
        <v>39363</v>
      </c>
      <c r="M1181" s="24">
        <f>IFERROR(VLOOKUP(A1181,'Sales Order'!A:F,6,FALSE),"")</f>
        <v>39369</v>
      </c>
      <c r="N1181" t="str">
        <f>IFERROR(VLOOKUP(VLOOKUP(A1181,'Sales Order'!A:G,7,FALSE),Shipper!A:B,2,FALSE),"Not Specified")</f>
        <v>Shipper GVSUA</v>
      </c>
      <c r="O1181" t="str">
        <f>IFERROR(VLOOKUP(A1181,'Sales Order'!A:I,9,FALSE),"Not Specified")</f>
        <v>Ship to 47-B</v>
      </c>
      <c r="P1181" t="str">
        <f>IFERROR(VLOOKUP(A1181,'Sales Order'!A:N,14,FALSE),"Not Specified")</f>
        <v>Venezuela</v>
      </c>
      <c r="Q1181" t="str">
        <f>VLOOKUP(VLOOKUP(B1181,Product!A:C,3,FALSE),Supplier!A:B,2,FALSE)</f>
        <v>Supplier BWGYE</v>
      </c>
      <c r="R1181" t="str">
        <f>VLOOKUP(VLOOKUP(B1181,Product!A:C,3,FALSE),Supplier!A:I,9,FALSE)</f>
        <v>UK</v>
      </c>
      <c r="S1181" t="str">
        <f>IFERROR(IF(VLOOKUP(A1181,'Sales Order'!A:H,8,FALSE)&gt;100,"High Freight","Low Freight"),"Not Specified")</f>
        <v>Low Freight</v>
      </c>
      <c r="T1181">
        <f t="shared" si="37"/>
        <v>48.3</v>
      </c>
    </row>
    <row r="1182" spans="1:20">
      <c r="A1182" s="9">
        <v>10697</v>
      </c>
      <c r="B1182" s="6">
        <v>35</v>
      </c>
      <c r="C1182" s="6">
        <v>18</v>
      </c>
      <c r="D1182" s="6">
        <v>9</v>
      </c>
      <c r="E1182" s="18">
        <v>0.25</v>
      </c>
      <c r="F1182" s="6" t="str">
        <f>IFERROR(VLOOKUP(VLOOKUP(A1182,'Sales Order'!A:B,2,FALSE),Customer!A:C,3,FALSE),"Not Specified")</f>
        <v>Lupu, Cornel</v>
      </c>
      <c r="G1182" s="6" t="str">
        <f t="shared" si="36"/>
        <v>Lupu Cornel</v>
      </c>
      <c r="H1182" s="22" t="str">
        <f>IFERROR(VLOOKUP(VLOOKUP(A1182,'Sales Order'!A:C,3,FALSE),Employee!A:E,5,FALSE)&amp;" "&amp;VLOOKUP(VLOOKUP(A1182,'Sales Order'!A:C,3,FALSE),Employee!A:C,3,FALSE)&amp;" "&amp;VLOOKUP(VLOOKUP(A1182,'Sales Order'!A:C,3,FALSE),Employee!A:B,2,FALSE),"Not Specified")</f>
        <v>Ms. Judy Lew</v>
      </c>
      <c r="I1182" t="str">
        <f>IFERROR(VLOOKUP(VLOOKUP(A1182,'Sales Order'!A:C,3,FALSE),Employee!A:J,10,FALSE),"Not Specified")</f>
        <v>WA</v>
      </c>
      <c r="J1182" t="str">
        <f>VLOOKUP(B1182,Product!A:B,2,FALSE)</f>
        <v>Product NEVTJ</v>
      </c>
      <c r="K1182" t="str">
        <f>VLOOKUP(VLOOKUP(B1182,Product!A:D,4,FALSE),Category!A:B,2,FALSE)</f>
        <v>Beverages</v>
      </c>
      <c r="L1182" s="24">
        <f>IFERROR(VLOOKUP(A1182,'Sales Order'!A:D,4,FALSE),"")</f>
        <v>39363</v>
      </c>
      <c r="M1182" s="24">
        <f>IFERROR(VLOOKUP(A1182,'Sales Order'!A:F,6,FALSE),"")</f>
        <v>39369</v>
      </c>
      <c r="N1182" t="str">
        <f>IFERROR(VLOOKUP(VLOOKUP(A1182,'Sales Order'!A:G,7,FALSE),Shipper!A:B,2,FALSE),"Not Specified")</f>
        <v>Shipper GVSUA</v>
      </c>
      <c r="O1182" t="str">
        <f>IFERROR(VLOOKUP(A1182,'Sales Order'!A:I,9,FALSE),"Not Specified")</f>
        <v>Ship to 47-B</v>
      </c>
      <c r="P1182" t="str">
        <f>IFERROR(VLOOKUP(A1182,'Sales Order'!A:N,14,FALSE),"Not Specified")</f>
        <v>Venezuela</v>
      </c>
      <c r="Q1182" t="str">
        <f>VLOOKUP(VLOOKUP(B1182,Product!A:C,3,FALSE),Supplier!A:B,2,FALSE)</f>
        <v>Supplier UHZRG</v>
      </c>
      <c r="R1182" t="str">
        <f>VLOOKUP(VLOOKUP(B1182,Product!A:C,3,FALSE),Supplier!A:I,9,FALSE)</f>
        <v>USA</v>
      </c>
      <c r="S1182" t="str">
        <f>IFERROR(IF(VLOOKUP(A1182,'Sales Order'!A:H,8,FALSE)&gt;100,"High Freight","Low Freight"),"Not Specified")</f>
        <v>Low Freight</v>
      </c>
      <c r="T1182">
        <f t="shared" si="37"/>
        <v>121.5</v>
      </c>
    </row>
    <row r="1183" spans="1:20">
      <c r="A1183" s="9">
        <v>10697</v>
      </c>
      <c r="B1183" s="6">
        <v>58</v>
      </c>
      <c r="C1183" s="6">
        <v>13.25</v>
      </c>
      <c r="D1183" s="6">
        <v>30</v>
      </c>
      <c r="E1183" s="18">
        <v>0.25</v>
      </c>
      <c r="F1183" s="6" t="str">
        <f>IFERROR(VLOOKUP(VLOOKUP(A1183,'Sales Order'!A:B,2,FALSE),Customer!A:C,3,FALSE),"Not Specified")</f>
        <v>Lupu, Cornel</v>
      </c>
      <c r="G1183" s="6" t="str">
        <f t="shared" si="36"/>
        <v>Lupu Cornel</v>
      </c>
      <c r="H1183" s="22" t="str">
        <f>IFERROR(VLOOKUP(VLOOKUP(A1183,'Sales Order'!A:C,3,FALSE),Employee!A:E,5,FALSE)&amp;" "&amp;VLOOKUP(VLOOKUP(A1183,'Sales Order'!A:C,3,FALSE),Employee!A:C,3,FALSE)&amp;" "&amp;VLOOKUP(VLOOKUP(A1183,'Sales Order'!A:C,3,FALSE),Employee!A:B,2,FALSE),"Not Specified")</f>
        <v>Ms. Judy Lew</v>
      </c>
      <c r="I1183" t="str">
        <f>IFERROR(VLOOKUP(VLOOKUP(A1183,'Sales Order'!A:C,3,FALSE),Employee!A:J,10,FALSE),"Not Specified")</f>
        <v>WA</v>
      </c>
      <c r="J1183" t="str">
        <f>VLOOKUP(B1183,Product!A:B,2,FALSE)</f>
        <v>Product ACRVI</v>
      </c>
      <c r="K1183" t="str">
        <f>VLOOKUP(VLOOKUP(B1183,Product!A:D,4,FALSE),Category!A:B,2,FALSE)</f>
        <v>Seafood</v>
      </c>
      <c r="L1183" s="24">
        <f>IFERROR(VLOOKUP(A1183,'Sales Order'!A:D,4,FALSE),"")</f>
        <v>39363</v>
      </c>
      <c r="M1183" s="24">
        <f>IFERROR(VLOOKUP(A1183,'Sales Order'!A:F,6,FALSE),"")</f>
        <v>39369</v>
      </c>
      <c r="N1183" t="str">
        <f>IFERROR(VLOOKUP(VLOOKUP(A1183,'Sales Order'!A:G,7,FALSE),Shipper!A:B,2,FALSE),"Not Specified")</f>
        <v>Shipper GVSUA</v>
      </c>
      <c r="O1183" t="str">
        <f>IFERROR(VLOOKUP(A1183,'Sales Order'!A:I,9,FALSE),"Not Specified")</f>
        <v>Ship to 47-B</v>
      </c>
      <c r="P1183" t="str">
        <f>IFERROR(VLOOKUP(A1183,'Sales Order'!A:N,14,FALSE),"Not Specified")</f>
        <v>Venezuela</v>
      </c>
      <c r="Q1183" t="str">
        <f>VLOOKUP(VLOOKUP(B1183,Product!A:C,3,FALSE),Supplier!A:B,2,FALSE)</f>
        <v>Supplier ZRYDZ</v>
      </c>
      <c r="R1183" t="str">
        <f>VLOOKUP(VLOOKUP(B1183,Product!A:C,3,FALSE),Supplier!A:I,9,FALSE)</f>
        <v>France</v>
      </c>
      <c r="S1183" t="str">
        <f>IFERROR(IF(VLOOKUP(A1183,'Sales Order'!A:H,8,FALSE)&gt;100,"High Freight","Low Freight"),"Not Specified")</f>
        <v>Low Freight</v>
      </c>
      <c r="T1183">
        <f t="shared" si="37"/>
        <v>298.125</v>
      </c>
    </row>
    <row r="1184" spans="1:20">
      <c r="A1184" s="9">
        <v>10697</v>
      </c>
      <c r="B1184" s="6">
        <v>70</v>
      </c>
      <c r="C1184" s="6">
        <v>15</v>
      </c>
      <c r="D1184" s="6">
        <v>30</v>
      </c>
      <c r="E1184" s="18">
        <v>0.25</v>
      </c>
      <c r="F1184" s="6" t="str">
        <f>IFERROR(VLOOKUP(VLOOKUP(A1184,'Sales Order'!A:B,2,FALSE),Customer!A:C,3,FALSE),"Not Specified")</f>
        <v>Lupu, Cornel</v>
      </c>
      <c r="G1184" s="6" t="str">
        <f t="shared" si="36"/>
        <v>Lupu Cornel</v>
      </c>
      <c r="H1184" s="22" t="str">
        <f>IFERROR(VLOOKUP(VLOOKUP(A1184,'Sales Order'!A:C,3,FALSE),Employee!A:E,5,FALSE)&amp;" "&amp;VLOOKUP(VLOOKUP(A1184,'Sales Order'!A:C,3,FALSE),Employee!A:C,3,FALSE)&amp;" "&amp;VLOOKUP(VLOOKUP(A1184,'Sales Order'!A:C,3,FALSE),Employee!A:B,2,FALSE),"Not Specified")</f>
        <v>Ms. Judy Lew</v>
      </c>
      <c r="I1184" t="str">
        <f>IFERROR(VLOOKUP(VLOOKUP(A1184,'Sales Order'!A:C,3,FALSE),Employee!A:J,10,FALSE),"Not Specified")</f>
        <v>WA</v>
      </c>
      <c r="J1184" t="str">
        <f>VLOOKUP(B1184,Product!A:B,2,FALSE)</f>
        <v>Product TOONT</v>
      </c>
      <c r="K1184" t="str">
        <f>VLOOKUP(VLOOKUP(B1184,Product!A:D,4,FALSE),Category!A:B,2,FALSE)</f>
        <v>Beverages</v>
      </c>
      <c r="L1184" s="24">
        <f>IFERROR(VLOOKUP(A1184,'Sales Order'!A:D,4,FALSE),"")</f>
        <v>39363</v>
      </c>
      <c r="M1184" s="24">
        <f>IFERROR(VLOOKUP(A1184,'Sales Order'!A:F,6,FALSE),"")</f>
        <v>39369</v>
      </c>
      <c r="N1184" t="str">
        <f>IFERROR(VLOOKUP(VLOOKUP(A1184,'Sales Order'!A:G,7,FALSE),Shipper!A:B,2,FALSE),"Not Specified")</f>
        <v>Shipper GVSUA</v>
      </c>
      <c r="O1184" t="str">
        <f>IFERROR(VLOOKUP(A1184,'Sales Order'!A:I,9,FALSE),"Not Specified")</f>
        <v>Ship to 47-B</v>
      </c>
      <c r="P1184" t="str">
        <f>IFERROR(VLOOKUP(A1184,'Sales Order'!A:N,14,FALSE),"Not Specified")</f>
        <v>Venezuela</v>
      </c>
      <c r="Q1184" t="str">
        <f>VLOOKUP(VLOOKUP(B1184,Product!A:C,3,FALSE),Supplier!A:B,2,FALSE)</f>
        <v>Supplier GQRCV</v>
      </c>
      <c r="R1184" t="str">
        <f>VLOOKUP(VLOOKUP(B1184,Product!A:C,3,FALSE),Supplier!A:I,9,FALSE)</f>
        <v>Australia</v>
      </c>
      <c r="S1184" t="str">
        <f>IFERROR(IF(VLOOKUP(A1184,'Sales Order'!A:H,8,FALSE)&gt;100,"High Freight","Low Freight"),"Not Specified")</f>
        <v>Low Freight</v>
      </c>
      <c r="T1184">
        <f t="shared" si="37"/>
        <v>337.5</v>
      </c>
    </row>
    <row r="1185" spans="1:20">
      <c r="A1185" s="9">
        <v>10698</v>
      </c>
      <c r="B1185" s="6">
        <v>11</v>
      </c>
      <c r="C1185" s="6">
        <v>21</v>
      </c>
      <c r="D1185" s="6">
        <v>15</v>
      </c>
      <c r="E1185" s="18">
        <v>0</v>
      </c>
      <c r="F1185" s="6" t="str">
        <f>IFERROR(VLOOKUP(VLOOKUP(A1185,'Sales Order'!A:B,2,FALSE),Customer!A:C,3,FALSE),"Not Specified")</f>
        <v>Kane, John</v>
      </c>
      <c r="G1185" s="6" t="str">
        <f t="shared" si="36"/>
        <v>Kane John</v>
      </c>
      <c r="H1185" s="22" t="str">
        <f>IFERROR(VLOOKUP(VLOOKUP(A1185,'Sales Order'!A:C,3,FALSE),Employee!A:E,5,FALSE)&amp;" "&amp;VLOOKUP(VLOOKUP(A1185,'Sales Order'!A:C,3,FALSE),Employee!A:C,3,FALSE)&amp;" "&amp;VLOOKUP(VLOOKUP(A1185,'Sales Order'!A:C,3,FALSE),Employee!A:B,2,FALSE),"Not Specified")</f>
        <v>Mrs. Yael Peled</v>
      </c>
      <c r="I1185" t="str">
        <f>IFERROR(VLOOKUP(VLOOKUP(A1185,'Sales Order'!A:C,3,FALSE),Employee!A:J,10,FALSE),"Not Specified")</f>
        <v>WA</v>
      </c>
      <c r="J1185" t="str">
        <f>VLOOKUP(B1185,Product!A:B,2,FALSE)</f>
        <v>Product QMVUN</v>
      </c>
      <c r="K1185" t="str">
        <f>VLOOKUP(VLOOKUP(B1185,Product!A:D,4,FALSE),Category!A:B,2,FALSE)</f>
        <v>Dairy Product</v>
      </c>
      <c r="L1185" s="24">
        <f>IFERROR(VLOOKUP(A1185,'Sales Order'!A:D,4,FALSE),"")</f>
        <v>39364</v>
      </c>
      <c r="M1185" s="24">
        <f>IFERROR(VLOOKUP(A1185,'Sales Order'!A:F,6,FALSE),"")</f>
        <v>39372</v>
      </c>
      <c r="N1185" t="str">
        <f>IFERROR(VLOOKUP(VLOOKUP(A1185,'Sales Order'!A:G,7,FALSE),Shipper!A:B,2,FALSE),"Not Specified")</f>
        <v>Shipper GVSUA</v>
      </c>
      <c r="O1185" t="str">
        <f>IFERROR(VLOOKUP(A1185,'Sales Order'!A:I,9,FALSE),"Not Specified")</f>
        <v>Destination RVDMF</v>
      </c>
      <c r="P1185" t="str">
        <f>IFERROR(VLOOKUP(A1185,'Sales Order'!A:N,14,FALSE),"Not Specified")</f>
        <v>Austria</v>
      </c>
      <c r="Q1185" t="str">
        <f>VLOOKUP(VLOOKUP(B1185,Product!A:C,3,FALSE),Supplier!A:B,2,FALSE)</f>
        <v>Supplier EQPNC</v>
      </c>
      <c r="R1185" t="str">
        <f>VLOOKUP(VLOOKUP(B1185,Product!A:C,3,FALSE),Supplier!A:I,9,FALSE)</f>
        <v>Spain</v>
      </c>
      <c r="S1185" t="str">
        <f>IFERROR(IF(VLOOKUP(A1185,'Sales Order'!A:H,8,FALSE)&gt;100,"High Freight","Low Freight"),"Not Specified")</f>
        <v>High Freight</v>
      </c>
      <c r="T1185">
        <f t="shared" si="37"/>
        <v>315</v>
      </c>
    </row>
    <row r="1186" spans="1:20">
      <c r="A1186" s="9">
        <v>10698</v>
      </c>
      <c r="B1186" s="6">
        <v>17</v>
      </c>
      <c r="C1186" s="6">
        <v>39</v>
      </c>
      <c r="D1186" s="6">
        <v>8</v>
      </c>
      <c r="E1186" s="18">
        <v>0.05</v>
      </c>
      <c r="F1186" s="6" t="str">
        <f>IFERROR(VLOOKUP(VLOOKUP(A1186,'Sales Order'!A:B,2,FALSE),Customer!A:C,3,FALSE),"Not Specified")</f>
        <v>Kane, John</v>
      </c>
      <c r="G1186" s="6" t="str">
        <f t="shared" si="36"/>
        <v>Kane John</v>
      </c>
      <c r="H1186" s="22" t="str">
        <f>IFERROR(VLOOKUP(VLOOKUP(A1186,'Sales Order'!A:C,3,FALSE),Employee!A:E,5,FALSE)&amp;" "&amp;VLOOKUP(VLOOKUP(A1186,'Sales Order'!A:C,3,FALSE),Employee!A:C,3,FALSE)&amp;" "&amp;VLOOKUP(VLOOKUP(A1186,'Sales Order'!A:C,3,FALSE),Employee!A:B,2,FALSE),"Not Specified")</f>
        <v>Mrs. Yael Peled</v>
      </c>
      <c r="I1186" t="str">
        <f>IFERROR(VLOOKUP(VLOOKUP(A1186,'Sales Order'!A:C,3,FALSE),Employee!A:J,10,FALSE),"Not Specified")</f>
        <v>WA</v>
      </c>
      <c r="J1186" t="str">
        <f>VLOOKUP(B1186,Product!A:B,2,FALSE)</f>
        <v>Product BLCAX</v>
      </c>
      <c r="K1186" t="str">
        <f>VLOOKUP(VLOOKUP(B1186,Product!A:D,4,FALSE),Category!A:B,2,FALSE)</f>
        <v>Meat/Poultry</v>
      </c>
      <c r="L1186" s="24">
        <f>IFERROR(VLOOKUP(A1186,'Sales Order'!A:D,4,FALSE),"")</f>
        <v>39364</v>
      </c>
      <c r="M1186" s="24">
        <f>IFERROR(VLOOKUP(A1186,'Sales Order'!A:F,6,FALSE),"")</f>
        <v>39372</v>
      </c>
      <c r="N1186" t="str">
        <f>IFERROR(VLOOKUP(VLOOKUP(A1186,'Sales Order'!A:G,7,FALSE),Shipper!A:B,2,FALSE),"Not Specified")</f>
        <v>Shipper GVSUA</v>
      </c>
      <c r="O1186" t="str">
        <f>IFERROR(VLOOKUP(A1186,'Sales Order'!A:I,9,FALSE),"Not Specified")</f>
        <v>Destination RVDMF</v>
      </c>
      <c r="P1186" t="str">
        <f>IFERROR(VLOOKUP(A1186,'Sales Order'!A:N,14,FALSE),"Not Specified")</f>
        <v>Austria</v>
      </c>
      <c r="Q1186" t="str">
        <f>VLOOKUP(VLOOKUP(B1186,Product!A:C,3,FALSE),Supplier!A:B,2,FALSE)</f>
        <v>Supplier GQRCV</v>
      </c>
      <c r="R1186" t="str">
        <f>VLOOKUP(VLOOKUP(B1186,Product!A:C,3,FALSE),Supplier!A:I,9,FALSE)</f>
        <v>Australia</v>
      </c>
      <c r="S1186" t="str">
        <f>IFERROR(IF(VLOOKUP(A1186,'Sales Order'!A:H,8,FALSE)&gt;100,"High Freight","Low Freight"),"Not Specified")</f>
        <v>High Freight</v>
      </c>
      <c r="T1186">
        <f t="shared" si="37"/>
        <v>296.39999999999998</v>
      </c>
    </row>
    <row r="1187" spans="1:20">
      <c r="A1187" s="9">
        <v>10698</v>
      </c>
      <c r="B1187" s="6">
        <v>29</v>
      </c>
      <c r="C1187" s="6">
        <v>123.79</v>
      </c>
      <c r="D1187" s="6">
        <v>12</v>
      </c>
      <c r="E1187" s="18">
        <v>0.05</v>
      </c>
      <c r="F1187" s="6" t="str">
        <f>IFERROR(VLOOKUP(VLOOKUP(A1187,'Sales Order'!A:B,2,FALSE),Customer!A:C,3,FALSE),"Not Specified")</f>
        <v>Kane, John</v>
      </c>
      <c r="G1187" s="6" t="str">
        <f t="shared" si="36"/>
        <v>Kane John</v>
      </c>
      <c r="H1187" s="22" t="str">
        <f>IFERROR(VLOOKUP(VLOOKUP(A1187,'Sales Order'!A:C,3,FALSE),Employee!A:E,5,FALSE)&amp;" "&amp;VLOOKUP(VLOOKUP(A1187,'Sales Order'!A:C,3,FALSE),Employee!A:C,3,FALSE)&amp;" "&amp;VLOOKUP(VLOOKUP(A1187,'Sales Order'!A:C,3,FALSE),Employee!A:B,2,FALSE),"Not Specified")</f>
        <v>Mrs. Yael Peled</v>
      </c>
      <c r="I1187" t="str">
        <f>IFERROR(VLOOKUP(VLOOKUP(A1187,'Sales Order'!A:C,3,FALSE),Employee!A:J,10,FALSE),"Not Specified")</f>
        <v>WA</v>
      </c>
      <c r="J1187" t="str">
        <f>VLOOKUP(B1187,Product!A:B,2,FALSE)</f>
        <v>Product VJXYN</v>
      </c>
      <c r="K1187" t="str">
        <f>VLOOKUP(VLOOKUP(B1187,Product!A:D,4,FALSE),Category!A:B,2,FALSE)</f>
        <v>Meat/Poultry</v>
      </c>
      <c r="L1187" s="24">
        <f>IFERROR(VLOOKUP(A1187,'Sales Order'!A:D,4,FALSE),"")</f>
        <v>39364</v>
      </c>
      <c r="M1187" s="24">
        <f>IFERROR(VLOOKUP(A1187,'Sales Order'!A:F,6,FALSE),"")</f>
        <v>39372</v>
      </c>
      <c r="N1187" t="str">
        <f>IFERROR(VLOOKUP(VLOOKUP(A1187,'Sales Order'!A:G,7,FALSE),Shipper!A:B,2,FALSE),"Not Specified")</f>
        <v>Shipper GVSUA</v>
      </c>
      <c r="O1187" t="str">
        <f>IFERROR(VLOOKUP(A1187,'Sales Order'!A:I,9,FALSE),"Not Specified")</f>
        <v>Destination RVDMF</v>
      </c>
      <c r="P1187" t="str">
        <f>IFERROR(VLOOKUP(A1187,'Sales Order'!A:N,14,FALSE),"Not Specified")</f>
        <v>Austria</v>
      </c>
      <c r="Q1187" t="str">
        <f>VLOOKUP(VLOOKUP(B1187,Product!A:C,3,FALSE),Supplier!A:B,2,FALSE)</f>
        <v>Supplier SVIYA</v>
      </c>
      <c r="R1187" t="str">
        <f>VLOOKUP(VLOOKUP(B1187,Product!A:C,3,FALSE),Supplier!A:I,9,FALSE)</f>
        <v>Germany</v>
      </c>
      <c r="S1187" t="str">
        <f>IFERROR(IF(VLOOKUP(A1187,'Sales Order'!A:H,8,FALSE)&gt;100,"High Freight","Low Freight"),"Not Specified")</f>
        <v>High Freight</v>
      </c>
      <c r="T1187">
        <f t="shared" si="37"/>
        <v>1411.2059999999999</v>
      </c>
    </row>
    <row r="1188" spans="1:20">
      <c r="A1188" s="9">
        <v>10698</v>
      </c>
      <c r="B1188" s="6">
        <v>65</v>
      </c>
      <c r="C1188" s="6">
        <v>21.05</v>
      </c>
      <c r="D1188" s="6">
        <v>65</v>
      </c>
      <c r="E1188" s="18">
        <v>0.05</v>
      </c>
      <c r="F1188" s="6" t="str">
        <f>IFERROR(VLOOKUP(VLOOKUP(A1188,'Sales Order'!A:B,2,FALSE),Customer!A:C,3,FALSE),"Not Specified")</f>
        <v>Kane, John</v>
      </c>
      <c r="G1188" s="6" t="str">
        <f t="shared" si="36"/>
        <v>Kane John</v>
      </c>
      <c r="H1188" s="22" t="str">
        <f>IFERROR(VLOOKUP(VLOOKUP(A1188,'Sales Order'!A:C,3,FALSE),Employee!A:E,5,FALSE)&amp;" "&amp;VLOOKUP(VLOOKUP(A1188,'Sales Order'!A:C,3,FALSE),Employee!A:C,3,FALSE)&amp;" "&amp;VLOOKUP(VLOOKUP(A1188,'Sales Order'!A:C,3,FALSE),Employee!A:B,2,FALSE),"Not Specified")</f>
        <v>Mrs. Yael Peled</v>
      </c>
      <c r="I1188" t="str">
        <f>IFERROR(VLOOKUP(VLOOKUP(A1188,'Sales Order'!A:C,3,FALSE),Employee!A:J,10,FALSE),"Not Specified")</f>
        <v>WA</v>
      </c>
      <c r="J1188" t="str">
        <f>VLOOKUP(B1188,Product!A:B,2,FALSE)</f>
        <v>Product XYWBZ</v>
      </c>
      <c r="K1188" t="str">
        <f>VLOOKUP(VLOOKUP(B1188,Product!A:D,4,FALSE),Category!A:B,2,FALSE)</f>
        <v>Condiments</v>
      </c>
      <c r="L1188" s="24">
        <f>IFERROR(VLOOKUP(A1188,'Sales Order'!A:D,4,FALSE),"")</f>
        <v>39364</v>
      </c>
      <c r="M1188" s="24">
        <f>IFERROR(VLOOKUP(A1188,'Sales Order'!A:F,6,FALSE),"")</f>
        <v>39372</v>
      </c>
      <c r="N1188" t="str">
        <f>IFERROR(VLOOKUP(VLOOKUP(A1188,'Sales Order'!A:G,7,FALSE),Shipper!A:B,2,FALSE),"Not Specified")</f>
        <v>Shipper GVSUA</v>
      </c>
      <c r="O1188" t="str">
        <f>IFERROR(VLOOKUP(A1188,'Sales Order'!A:I,9,FALSE),"Not Specified")</f>
        <v>Destination RVDMF</v>
      </c>
      <c r="P1188" t="str">
        <f>IFERROR(VLOOKUP(A1188,'Sales Order'!A:N,14,FALSE),"Not Specified")</f>
        <v>Austria</v>
      </c>
      <c r="Q1188" t="str">
        <f>VLOOKUP(VLOOKUP(B1188,Product!A:C,3,FALSE),Supplier!A:B,2,FALSE)</f>
        <v>Supplier VHQZD</v>
      </c>
      <c r="R1188" t="str">
        <f>VLOOKUP(VLOOKUP(B1188,Product!A:C,3,FALSE),Supplier!A:I,9,FALSE)</f>
        <v>USA</v>
      </c>
      <c r="S1188" t="str">
        <f>IFERROR(IF(VLOOKUP(A1188,'Sales Order'!A:H,8,FALSE)&gt;100,"High Freight","Low Freight"),"Not Specified")</f>
        <v>High Freight</v>
      </c>
      <c r="T1188">
        <f t="shared" si="37"/>
        <v>1299.8374999999999</v>
      </c>
    </row>
    <row r="1189" spans="1:20">
      <c r="A1189" s="9">
        <v>10698</v>
      </c>
      <c r="B1189" s="6">
        <v>70</v>
      </c>
      <c r="C1189" s="6">
        <v>15</v>
      </c>
      <c r="D1189" s="6">
        <v>8</v>
      </c>
      <c r="E1189" s="18">
        <v>0.05</v>
      </c>
      <c r="F1189" s="6" t="str">
        <f>IFERROR(VLOOKUP(VLOOKUP(A1189,'Sales Order'!A:B,2,FALSE),Customer!A:C,3,FALSE),"Not Specified")</f>
        <v>Kane, John</v>
      </c>
      <c r="G1189" s="6" t="str">
        <f t="shared" si="36"/>
        <v>Kane John</v>
      </c>
      <c r="H1189" s="22" t="str">
        <f>IFERROR(VLOOKUP(VLOOKUP(A1189,'Sales Order'!A:C,3,FALSE),Employee!A:E,5,FALSE)&amp;" "&amp;VLOOKUP(VLOOKUP(A1189,'Sales Order'!A:C,3,FALSE),Employee!A:C,3,FALSE)&amp;" "&amp;VLOOKUP(VLOOKUP(A1189,'Sales Order'!A:C,3,FALSE),Employee!A:B,2,FALSE),"Not Specified")</f>
        <v>Mrs. Yael Peled</v>
      </c>
      <c r="I1189" t="str">
        <f>IFERROR(VLOOKUP(VLOOKUP(A1189,'Sales Order'!A:C,3,FALSE),Employee!A:J,10,FALSE),"Not Specified")</f>
        <v>WA</v>
      </c>
      <c r="J1189" t="str">
        <f>VLOOKUP(B1189,Product!A:B,2,FALSE)</f>
        <v>Product TOONT</v>
      </c>
      <c r="K1189" t="str">
        <f>VLOOKUP(VLOOKUP(B1189,Product!A:D,4,FALSE),Category!A:B,2,FALSE)</f>
        <v>Beverages</v>
      </c>
      <c r="L1189" s="24">
        <f>IFERROR(VLOOKUP(A1189,'Sales Order'!A:D,4,FALSE),"")</f>
        <v>39364</v>
      </c>
      <c r="M1189" s="24">
        <f>IFERROR(VLOOKUP(A1189,'Sales Order'!A:F,6,FALSE),"")</f>
        <v>39372</v>
      </c>
      <c r="N1189" t="str">
        <f>IFERROR(VLOOKUP(VLOOKUP(A1189,'Sales Order'!A:G,7,FALSE),Shipper!A:B,2,FALSE),"Not Specified")</f>
        <v>Shipper GVSUA</v>
      </c>
      <c r="O1189" t="str">
        <f>IFERROR(VLOOKUP(A1189,'Sales Order'!A:I,9,FALSE),"Not Specified")</f>
        <v>Destination RVDMF</v>
      </c>
      <c r="P1189" t="str">
        <f>IFERROR(VLOOKUP(A1189,'Sales Order'!A:N,14,FALSE),"Not Specified")</f>
        <v>Austria</v>
      </c>
      <c r="Q1189" t="str">
        <f>VLOOKUP(VLOOKUP(B1189,Product!A:C,3,FALSE),Supplier!A:B,2,FALSE)</f>
        <v>Supplier GQRCV</v>
      </c>
      <c r="R1189" t="str">
        <f>VLOOKUP(VLOOKUP(B1189,Product!A:C,3,FALSE),Supplier!A:I,9,FALSE)</f>
        <v>Australia</v>
      </c>
      <c r="S1189" t="str">
        <f>IFERROR(IF(VLOOKUP(A1189,'Sales Order'!A:H,8,FALSE)&gt;100,"High Freight","Low Freight"),"Not Specified")</f>
        <v>High Freight</v>
      </c>
      <c r="T1189">
        <f t="shared" si="37"/>
        <v>114</v>
      </c>
    </row>
    <row r="1190" spans="1:20">
      <c r="A1190" s="9">
        <v>10699</v>
      </c>
      <c r="B1190" s="6">
        <v>47</v>
      </c>
      <c r="C1190" s="6">
        <v>9.5</v>
      </c>
      <c r="D1190" s="6">
        <v>12</v>
      </c>
      <c r="E1190" s="18">
        <v>0</v>
      </c>
      <c r="F1190" s="6" t="str">
        <f>IFERROR(VLOOKUP(VLOOKUP(A1190,'Sales Order'!A:B,2,FALSE),Customer!A:C,3,FALSE),"Not Specified")</f>
        <v>Dupont-Roc, Patrice</v>
      </c>
      <c r="G1190" s="6" t="str">
        <f t="shared" si="36"/>
        <v>Dupont-Roc Patrice</v>
      </c>
      <c r="H1190" s="22" t="str">
        <f>IFERROR(VLOOKUP(VLOOKUP(A1190,'Sales Order'!A:C,3,FALSE),Employee!A:E,5,FALSE)&amp;" "&amp;VLOOKUP(VLOOKUP(A1190,'Sales Order'!A:C,3,FALSE),Employee!A:C,3,FALSE)&amp;" "&amp;VLOOKUP(VLOOKUP(A1190,'Sales Order'!A:C,3,FALSE),Employee!A:B,2,FALSE),"Not Specified")</f>
        <v>Ms. Judy Lew</v>
      </c>
      <c r="I1190" t="str">
        <f>IFERROR(VLOOKUP(VLOOKUP(A1190,'Sales Order'!A:C,3,FALSE),Employee!A:J,10,FALSE),"Not Specified")</f>
        <v>WA</v>
      </c>
      <c r="J1190" t="str">
        <f>VLOOKUP(B1190,Product!A:B,2,FALSE)</f>
        <v>Product EZZPR</v>
      </c>
      <c r="K1190" t="str">
        <f>VLOOKUP(VLOOKUP(B1190,Product!A:D,4,FALSE),Category!A:B,2,FALSE)</f>
        <v>Confections</v>
      </c>
      <c r="L1190" s="24">
        <f>IFERROR(VLOOKUP(A1190,'Sales Order'!A:D,4,FALSE),"")</f>
        <v>39364</v>
      </c>
      <c r="M1190" s="24">
        <f>IFERROR(VLOOKUP(A1190,'Sales Order'!A:F,6,FALSE),"")</f>
        <v>39368</v>
      </c>
      <c r="N1190" t="str">
        <f>IFERROR(VLOOKUP(VLOOKUP(A1190,'Sales Order'!A:G,7,FALSE),Shipper!A:B,2,FALSE),"Not Specified")</f>
        <v>Shipper ZHISN</v>
      </c>
      <c r="O1190" t="str">
        <f>IFERROR(VLOOKUP(A1190,'Sales Order'!A:I,9,FALSE),"Not Specified")</f>
        <v>Ship to 52-B</v>
      </c>
      <c r="P1190" t="str">
        <f>IFERROR(VLOOKUP(A1190,'Sales Order'!A:N,14,FALSE),"Not Specified")</f>
        <v>Germany</v>
      </c>
      <c r="Q1190" t="str">
        <f>VLOOKUP(VLOOKUP(B1190,Product!A:C,3,FALSE),Supplier!A:B,2,FALSE)</f>
        <v>Supplier FNUXM</v>
      </c>
      <c r="R1190" t="str">
        <f>VLOOKUP(VLOOKUP(B1190,Product!A:C,3,FALSE),Supplier!A:I,9,FALSE)</f>
        <v>Netherlands</v>
      </c>
      <c r="S1190" t="str">
        <f>IFERROR(IF(VLOOKUP(A1190,'Sales Order'!A:H,8,FALSE)&gt;100,"High Freight","Low Freight"),"Not Specified")</f>
        <v>Low Freight</v>
      </c>
      <c r="T1190">
        <f t="shared" si="37"/>
        <v>114</v>
      </c>
    </row>
    <row r="1191" spans="1:20">
      <c r="A1191" s="9">
        <v>10700</v>
      </c>
      <c r="B1191" s="6">
        <v>1</v>
      </c>
      <c r="C1191" s="6">
        <v>18</v>
      </c>
      <c r="D1191" s="6">
        <v>5</v>
      </c>
      <c r="E1191" s="18">
        <v>0.2</v>
      </c>
      <c r="F1191" s="6" t="str">
        <f>IFERROR(VLOOKUP(VLOOKUP(A1191,'Sales Order'!A:B,2,FALSE),Customer!A:C,3,FALSE),"Not Specified")</f>
        <v>Navarro, Tomás</v>
      </c>
      <c r="G1191" s="6" t="str">
        <f t="shared" si="36"/>
        <v>Navarro Tomás</v>
      </c>
      <c r="H1191" s="22" t="str">
        <f>IFERROR(VLOOKUP(VLOOKUP(A1191,'Sales Order'!A:C,3,FALSE),Employee!A:E,5,FALSE)&amp;" "&amp;VLOOKUP(VLOOKUP(A1191,'Sales Order'!A:C,3,FALSE),Employee!A:C,3,FALSE)&amp;" "&amp;VLOOKUP(VLOOKUP(A1191,'Sales Order'!A:C,3,FALSE),Employee!A:B,2,FALSE),"Not Specified")</f>
        <v>Ms. Judy Lew</v>
      </c>
      <c r="I1191" t="str">
        <f>IFERROR(VLOOKUP(VLOOKUP(A1191,'Sales Order'!A:C,3,FALSE),Employee!A:J,10,FALSE),"Not Specified")</f>
        <v>WA</v>
      </c>
      <c r="J1191" t="str">
        <f>VLOOKUP(B1191,Product!A:B,2,FALSE)</f>
        <v>Product HHYDP</v>
      </c>
      <c r="K1191" t="str">
        <f>VLOOKUP(VLOOKUP(B1191,Product!A:D,4,FALSE),Category!A:B,2,FALSE)</f>
        <v>Beverages</v>
      </c>
      <c r="L1191" s="24">
        <f>IFERROR(VLOOKUP(A1191,'Sales Order'!A:D,4,FALSE),"")</f>
        <v>39365</v>
      </c>
      <c r="M1191" s="24">
        <f>IFERROR(VLOOKUP(A1191,'Sales Order'!A:F,6,FALSE),"")</f>
        <v>39371</v>
      </c>
      <c r="N1191" t="str">
        <f>IFERROR(VLOOKUP(VLOOKUP(A1191,'Sales Order'!A:G,7,FALSE),Shipper!A:B,2,FALSE),"Not Specified")</f>
        <v>Shipper GVSUA</v>
      </c>
      <c r="O1191" t="str">
        <f>IFERROR(VLOOKUP(A1191,'Sales Order'!A:I,9,FALSE),"Not Specified")</f>
        <v>Ship to 71-C</v>
      </c>
      <c r="P1191" t="str">
        <f>IFERROR(VLOOKUP(A1191,'Sales Order'!A:N,14,FALSE),"Not Specified")</f>
        <v>USA</v>
      </c>
      <c r="Q1191" t="str">
        <f>VLOOKUP(VLOOKUP(B1191,Product!A:C,3,FALSE),Supplier!A:B,2,FALSE)</f>
        <v>Supplier SWRXU</v>
      </c>
      <c r="R1191" t="str">
        <f>VLOOKUP(VLOOKUP(B1191,Product!A:C,3,FALSE),Supplier!A:I,9,FALSE)</f>
        <v>UK</v>
      </c>
      <c r="S1191" t="str">
        <f>IFERROR(IF(VLOOKUP(A1191,'Sales Order'!A:H,8,FALSE)&gt;100,"High Freight","Low Freight"),"Not Specified")</f>
        <v>Low Freight</v>
      </c>
      <c r="T1191">
        <f t="shared" si="37"/>
        <v>72</v>
      </c>
    </row>
    <row r="1192" spans="1:20">
      <c r="A1192" s="9">
        <v>10700</v>
      </c>
      <c r="B1192" s="6">
        <v>34</v>
      </c>
      <c r="C1192" s="6">
        <v>14</v>
      </c>
      <c r="D1192" s="6">
        <v>12</v>
      </c>
      <c r="E1192" s="18">
        <v>0.2</v>
      </c>
      <c r="F1192" s="6" t="str">
        <f>IFERROR(VLOOKUP(VLOOKUP(A1192,'Sales Order'!A:B,2,FALSE),Customer!A:C,3,FALSE),"Not Specified")</f>
        <v>Navarro, Tomás</v>
      </c>
      <c r="G1192" s="6" t="str">
        <f t="shared" si="36"/>
        <v>Navarro Tomás</v>
      </c>
      <c r="H1192" s="22" t="str">
        <f>IFERROR(VLOOKUP(VLOOKUP(A1192,'Sales Order'!A:C,3,FALSE),Employee!A:E,5,FALSE)&amp;" "&amp;VLOOKUP(VLOOKUP(A1192,'Sales Order'!A:C,3,FALSE),Employee!A:C,3,FALSE)&amp;" "&amp;VLOOKUP(VLOOKUP(A1192,'Sales Order'!A:C,3,FALSE),Employee!A:B,2,FALSE),"Not Specified")</f>
        <v>Ms. Judy Lew</v>
      </c>
      <c r="I1192" t="str">
        <f>IFERROR(VLOOKUP(VLOOKUP(A1192,'Sales Order'!A:C,3,FALSE),Employee!A:J,10,FALSE),"Not Specified")</f>
        <v>WA</v>
      </c>
      <c r="J1192" t="str">
        <f>VLOOKUP(B1192,Product!A:B,2,FALSE)</f>
        <v>Product SWNJY</v>
      </c>
      <c r="K1192" t="str">
        <f>VLOOKUP(VLOOKUP(B1192,Product!A:D,4,FALSE),Category!A:B,2,FALSE)</f>
        <v>Beverages</v>
      </c>
      <c r="L1192" s="24">
        <f>IFERROR(VLOOKUP(A1192,'Sales Order'!A:D,4,FALSE),"")</f>
        <v>39365</v>
      </c>
      <c r="M1192" s="24">
        <f>IFERROR(VLOOKUP(A1192,'Sales Order'!A:F,6,FALSE),"")</f>
        <v>39371</v>
      </c>
      <c r="N1192" t="str">
        <f>IFERROR(VLOOKUP(VLOOKUP(A1192,'Sales Order'!A:G,7,FALSE),Shipper!A:B,2,FALSE),"Not Specified")</f>
        <v>Shipper GVSUA</v>
      </c>
      <c r="O1192" t="str">
        <f>IFERROR(VLOOKUP(A1192,'Sales Order'!A:I,9,FALSE),"Not Specified")</f>
        <v>Ship to 71-C</v>
      </c>
      <c r="P1192" t="str">
        <f>IFERROR(VLOOKUP(A1192,'Sales Order'!A:N,14,FALSE),"Not Specified")</f>
        <v>USA</v>
      </c>
      <c r="Q1192" t="str">
        <f>VLOOKUP(VLOOKUP(B1192,Product!A:C,3,FALSE),Supplier!A:B,2,FALSE)</f>
        <v>Supplier UHZRG</v>
      </c>
      <c r="R1192" t="str">
        <f>VLOOKUP(VLOOKUP(B1192,Product!A:C,3,FALSE),Supplier!A:I,9,FALSE)</f>
        <v>USA</v>
      </c>
      <c r="S1192" t="str">
        <f>IFERROR(IF(VLOOKUP(A1192,'Sales Order'!A:H,8,FALSE)&gt;100,"High Freight","Low Freight"),"Not Specified")</f>
        <v>Low Freight</v>
      </c>
      <c r="T1192">
        <f t="shared" si="37"/>
        <v>134.4</v>
      </c>
    </row>
    <row r="1193" spans="1:20">
      <c r="A1193" s="9">
        <v>10700</v>
      </c>
      <c r="B1193" s="6">
        <v>68</v>
      </c>
      <c r="C1193" s="6">
        <v>12.5</v>
      </c>
      <c r="D1193" s="6">
        <v>40</v>
      </c>
      <c r="E1193" s="18">
        <v>0.2</v>
      </c>
      <c r="F1193" s="6" t="str">
        <f>IFERROR(VLOOKUP(VLOOKUP(A1193,'Sales Order'!A:B,2,FALSE),Customer!A:C,3,FALSE),"Not Specified")</f>
        <v>Navarro, Tomás</v>
      </c>
      <c r="G1193" s="6" t="str">
        <f t="shared" si="36"/>
        <v>Navarro Tomás</v>
      </c>
      <c r="H1193" s="22" t="str">
        <f>IFERROR(VLOOKUP(VLOOKUP(A1193,'Sales Order'!A:C,3,FALSE),Employee!A:E,5,FALSE)&amp;" "&amp;VLOOKUP(VLOOKUP(A1193,'Sales Order'!A:C,3,FALSE),Employee!A:C,3,FALSE)&amp;" "&amp;VLOOKUP(VLOOKUP(A1193,'Sales Order'!A:C,3,FALSE),Employee!A:B,2,FALSE),"Not Specified")</f>
        <v>Ms. Judy Lew</v>
      </c>
      <c r="I1193" t="str">
        <f>IFERROR(VLOOKUP(VLOOKUP(A1193,'Sales Order'!A:C,3,FALSE),Employee!A:J,10,FALSE),"Not Specified")</f>
        <v>WA</v>
      </c>
      <c r="J1193" t="str">
        <f>VLOOKUP(B1193,Product!A:B,2,FALSE)</f>
        <v>Product TBTBL</v>
      </c>
      <c r="K1193" t="str">
        <f>VLOOKUP(VLOOKUP(B1193,Product!A:D,4,FALSE),Category!A:B,2,FALSE)</f>
        <v>Confections</v>
      </c>
      <c r="L1193" s="24">
        <f>IFERROR(VLOOKUP(A1193,'Sales Order'!A:D,4,FALSE),"")</f>
        <v>39365</v>
      </c>
      <c r="M1193" s="24">
        <f>IFERROR(VLOOKUP(A1193,'Sales Order'!A:F,6,FALSE),"")</f>
        <v>39371</v>
      </c>
      <c r="N1193" t="str">
        <f>IFERROR(VLOOKUP(VLOOKUP(A1193,'Sales Order'!A:G,7,FALSE),Shipper!A:B,2,FALSE),"Not Specified")</f>
        <v>Shipper GVSUA</v>
      </c>
      <c r="O1193" t="str">
        <f>IFERROR(VLOOKUP(A1193,'Sales Order'!A:I,9,FALSE),"Not Specified")</f>
        <v>Ship to 71-C</v>
      </c>
      <c r="P1193" t="str">
        <f>IFERROR(VLOOKUP(A1193,'Sales Order'!A:N,14,FALSE),"Not Specified")</f>
        <v>USA</v>
      </c>
      <c r="Q1193" t="str">
        <f>VLOOKUP(VLOOKUP(B1193,Product!A:C,3,FALSE),Supplier!A:B,2,FALSE)</f>
        <v>Supplier BWGYE</v>
      </c>
      <c r="R1193" t="str">
        <f>VLOOKUP(VLOOKUP(B1193,Product!A:C,3,FALSE),Supplier!A:I,9,FALSE)</f>
        <v>UK</v>
      </c>
      <c r="S1193" t="str">
        <f>IFERROR(IF(VLOOKUP(A1193,'Sales Order'!A:H,8,FALSE)&gt;100,"High Freight","Low Freight"),"Not Specified")</f>
        <v>Low Freight</v>
      </c>
      <c r="T1193">
        <f t="shared" si="37"/>
        <v>400</v>
      </c>
    </row>
    <row r="1194" spans="1:20">
      <c r="A1194" s="9">
        <v>10700</v>
      </c>
      <c r="B1194" s="6">
        <v>71</v>
      </c>
      <c r="C1194" s="6">
        <v>21.5</v>
      </c>
      <c r="D1194" s="6">
        <v>60</v>
      </c>
      <c r="E1194" s="18">
        <v>0.2</v>
      </c>
      <c r="F1194" s="6" t="str">
        <f>IFERROR(VLOOKUP(VLOOKUP(A1194,'Sales Order'!A:B,2,FALSE),Customer!A:C,3,FALSE),"Not Specified")</f>
        <v>Navarro, Tomás</v>
      </c>
      <c r="G1194" s="6" t="str">
        <f t="shared" si="36"/>
        <v>Navarro Tomás</v>
      </c>
      <c r="H1194" s="22" t="str">
        <f>IFERROR(VLOOKUP(VLOOKUP(A1194,'Sales Order'!A:C,3,FALSE),Employee!A:E,5,FALSE)&amp;" "&amp;VLOOKUP(VLOOKUP(A1194,'Sales Order'!A:C,3,FALSE),Employee!A:C,3,FALSE)&amp;" "&amp;VLOOKUP(VLOOKUP(A1194,'Sales Order'!A:C,3,FALSE),Employee!A:B,2,FALSE),"Not Specified")</f>
        <v>Ms. Judy Lew</v>
      </c>
      <c r="I1194" t="str">
        <f>IFERROR(VLOOKUP(VLOOKUP(A1194,'Sales Order'!A:C,3,FALSE),Employee!A:J,10,FALSE),"Not Specified")</f>
        <v>WA</v>
      </c>
      <c r="J1194" t="str">
        <f>VLOOKUP(B1194,Product!A:B,2,FALSE)</f>
        <v>Product MYMOI</v>
      </c>
      <c r="K1194" t="str">
        <f>VLOOKUP(VLOOKUP(B1194,Product!A:D,4,FALSE),Category!A:B,2,FALSE)</f>
        <v>Dairy Product</v>
      </c>
      <c r="L1194" s="24">
        <f>IFERROR(VLOOKUP(A1194,'Sales Order'!A:D,4,FALSE),"")</f>
        <v>39365</v>
      </c>
      <c r="M1194" s="24">
        <f>IFERROR(VLOOKUP(A1194,'Sales Order'!A:F,6,FALSE),"")</f>
        <v>39371</v>
      </c>
      <c r="N1194" t="str">
        <f>IFERROR(VLOOKUP(VLOOKUP(A1194,'Sales Order'!A:G,7,FALSE),Shipper!A:B,2,FALSE),"Not Specified")</f>
        <v>Shipper GVSUA</v>
      </c>
      <c r="O1194" t="str">
        <f>IFERROR(VLOOKUP(A1194,'Sales Order'!A:I,9,FALSE),"Not Specified")</f>
        <v>Ship to 71-C</v>
      </c>
      <c r="P1194" t="str">
        <f>IFERROR(VLOOKUP(A1194,'Sales Order'!A:N,14,FALSE),"Not Specified")</f>
        <v>USA</v>
      </c>
      <c r="Q1194" t="str">
        <f>VLOOKUP(VLOOKUP(B1194,Product!A:C,3,FALSE),Supplier!A:B,2,FALSE)</f>
        <v>Supplier NZLIF</v>
      </c>
      <c r="R1194" t="str">
        <f>VLOOKUP(VLOOKUP(B1194,Product!A:C,3,FALSE),Supplier!A:I,9,FALSE)</f>
        <v>Norway</v>
      </c>
      <c r="S1194" t="str">
        <f>IFERROR(IF(VLOOKUP(A1194,'Sales Order'!A:H,8,FALSE)&gt;100,"High Freight","Low Freight"),"Not Specified")</f>
        <v>Low Freight</v>
      </c>
      <c r="T1194">
        <f t="shared" si="37"/>
        <v>1032</v>
      </c>
    </row>
    <row r="1195" spans="1:20">
      <c r="A1195" s="9">
        <v>10701</v>
      </c>
      <c r="B1195" s="6">
        <v>59</v>
      </c>
      <c r="C1195" s="6">
        <v>55</v>
      </c>
      <c r="D1195" s="6">
        <v>42</v>
      </c>
      <c r="E1195" s="18">
        <v>0.15</v>
      </c>
      <c r="F1195" s="6" t="str">
        <f>IFERROR(VLOOKUP(VLOOKUP(A1195,'Sales Order'!A:B,2,FALSE),Customer!A:C,3,FALSE),"Not Specified")</f>
        <v>Crăciun, Ovidiu V.</v>
      </c>
      <c r="G1195" s="6" t="str">
        <f t="shared" si="36"/>
        <v>Crăciun Ovidiu V.</v>
      </c>
      <c r="H1195" s="22" t="str">
        <f>IFERROR(VLOOKUP(VLOOKUP(A1195,'Sales Order'!A:C,3,FALSE),Employee!A:E,5,FALSE)&amp;" "&amp;VLOOKUP(VLOOKUP(A1195,'Sales Order'!A:C,3,FALSE),Employee!A:C,3,FALSE)&amp;" "&amp;VLOOKUP(VLOOKUP(A1195,'Sales Order'!A:C,3,FALSE),Employee!A:B,2,FALSE),"Not Specified")</f>
        <v>Mr. Paul Suurs</v>
      </c>
      <c r="I1195">
        <f>IFERROR(VLOOKUP(VLOOKUP(A1195,'Sales Order'!A:C,3,FALSE),Employee!A:J,10,FALSE),"Not Specified")</f>
        <v>0</v>
      </c>
      <c r="J1195" t="str">
        <f>VLOOKUP(B1195,Product!A:B,2,FALSE)</f>
        <v>Product UKXRI</v>
      </c>
      <c r="K1195" t="str">
        <f>VLOOKUP(VLOOKUP(B1195,Product!A:D,4,FALSE),Category!A:B,2,FALSE)</f>
        <v>Dairy Product</v>
      </c>
      <c r="L1195" s="24">
        <f>IFERROR(VLOOKUP(A1195,'Sales Order'!A:D,4,FALSE),"")</f>
        <v>39368</v>
      </c>
      <c r="M1195" s="24">
        <f>IFERROR(VLOOKUP(A1195,'Sales Order'!A:F,6,FALSE),"")</f>
        <v>39370</v>
      </c>
      <c r="N1195" t="str">
        <f>IFERROR(VLOOKUP(VLOOKUP(A1195,'Sales Order'!A:G,7,FALSE),Shipper!A:B,2,FALSE),"Not Specified")</f>
        <v>Shipper ZHISN</v>
      </c>
      <c r="O1195" t="str">
        <f>IFERROR(VLOOKUP(A1195,'Sales Order'!A:I,9,FALSE),"Not Specified")</f>
        <v>Destination KPVYJ</v>
      </c>
      <c r="P1195" t="str">
        <f>IFERROR(VLOOKUP(A1195,'Sales Order'!A:N,14,FALSE),"Not Specified")</f>
        <v>Ireland</v>
      </c>
      <c r="Q1195" t="str">
        <f>VLOOKUP(VLOOKUP(B1195,Product!A:C,3,FALSE),Supplier!A:B,2,FALSE)</f>
        <v>Supplier OAVQT</v>
      </c>
      <c r="R1195" t="str">
        <f>VLOOKUP(VLOOKUP(B1195,Product!A:C,3,FALSE),Supplier!A:I,9,FALSE)</f>
        <v>France</v>
      </c>
      <c r="S1195" t="str">
        <f>IFERROR(IF(VLOOKUP(A1195,'Sales Order'!A:H,8,FALSE)&gt;100,"High Freight","Low Freight"),"Not Specified")</f>
        <v>High Freight</v>
      </c>
      <c r="T1195">
        <f t="shared" si="37"/>
        <v>1963.5</v>
      </c>
    </row>
    <row r="1196" spans="1:20">
      <c r="A1196" s="9">
        <v>10701</v>
      </c>
      <c r="B1196" s="6">
        <v>71</v>
      </c>
      <c r="C1196" s="6">
        <v>21.5</v>
      </c>
      <c r="D1196" s="6">
        <v>20</v>
      </c>
      <c r="E1196" s="18">
        <v>0.15</v>
      </c>
      <c r="F1196" s="6" t="str">
        <f>IFERROR(VLOOKUP(VLOOKUP(A1196,'Sales Order'!A:B,2,FALSE),Customer!A:C,3,FALSE),"Not Specified")</f>
        <v>Crăciun, Ovidiu V.</v>
      </c>
      <c r="G1196" s="6" t="str">
        <f t="shared" si="36"/>
        <v>Crăciun Ovidiu V.</v>
      </c>
      <c r="H1196" s="22" t="str">
        <f>IFERROR(VLOOKUP(VLOOKUP(A1196,'Sales Order'!A:C,3,FALSE),Employee!A:E,5,FALSE)&amp;" "&amp;VLOOKUP(VLOOKUP(A1196,'Sales Order'!A:C,3,FALSE),Employee!A:C,3,FALSE)&amp;" "&amp;VLOOKUP(VLOOKUP(A1196,'Sales Order'!A:C,3,FALSE),Employee!A:B,2,FALSE),"Not Specified")</f>
        <v>Mr. Paul Suurs</v>
      </c>
      <c r="I1196">
        <f>IFERROR(VLOOKUP(VLOOKUP(A1196,'Sales Order'!A:C,3,FALSE),Employee!A:J,10,FALSE),"Not Specified")</f>
        <v>0</v>
      </c>
      <c r="J1196" t="str">
        <f>VLOOKUP(B1196,Product!A:B,2,FALSE)</f>
        <v>Product MYMOI</v>
      </c>
      <c r="K1196" t="str">
        <f>VLOOKUP(VLOOKUP(B1196,Product!A:D,4,FALSE),Category!A:B,2,FALSE)</f>
        <v>Dairy Product</v>
      </c>
      <c r="L1196" s="24">
        <f>IFERROR(VLOOKUP(A1196,'Sales Order'!A:D,4,FALSE),"")</f>
        <v>39368</v>
      </c>
      <c r="M1196" s="24">
        <f>IFERROR(VLOOKUP(A1196,'Sales Order'!A:F,6,FALSE),"")</f>
        <v>39370</v>
      </c>
      <c r="N1196" t="str">
        <f>IFERROR(VLOOKUP(VLOOKUP(A1196,'Sales Order'!A:G,7,FALSE),Shipper!A:B,2,FALSE),"Not Specified")</f>
        <v>Shipper ZHISN</v>
      </c>
      <c r="O1196" t="str">
        <f>IFERROR(VLOOKUP(A1196,'Sales Order'!A:I,9,FALSE),"Not Specified")</f>
        <v>Destination KPVYJ</v>
      </c>
      <c r="P1196" t="str">
        <f>IFERROR(VLOOKUP(A1196,'Sales Order'!A:N,14,FALSE),"Not Specified")</f>
        <v>Ireland</v>
      </c>
      <c r="Q1196" t="str">
        <f>VLOOKUP(VLOOKUP(B1196,Product!A:C,3,FALSE),Supplier!A:B,2,FALSE)</f>
        <v>Supplier NZLIF</v>
      </c>
      <c r="R1196" t="str">
        <f>VLOOKUP(VLOOKUP(B1196,Product!A:C,3,FALSE),Supplier!A:I,9,FALSE)</f>
        <v>Norway</v>
      </c>
      <c r="S1196" t="str">
        <f>IFERROR(IF(VLOOKUP(A1196,'Sales Order'!A:H,8,FALSE)&gt;100,"High Freight","Low Freight"),"Not Specified")</f>
        <v>High Freight</v>
      </c>
      <c r="T1196">
        <f t="shared" si="37"/>
        <v>365.5</v>
      </c>
    </row>
    <row r="1197" spans="1:20">
      <c r="A1197" s="9">
        <v>10701</v>
      </c>
      <c r="B1197" s="6">
        <v>76</v>
      </c>
      <c r="C1197" s="6">
        <v>18</v>
      </c>
      <c r="D1197" s="6">
        <v>35</v>
      </c>
      <c r="E1197" s="18">
        <v>0.15</v>
      </c>
      <c r="F1197" s="6" t="str">
        <f>IFERROR(VLOOKUP(VLOOKUP(A1197,'Sales Order'!A:B,2,FALSE),Customer!A:C,3,FALSE),"Not Specified")</f>
        <v>Crăciun, Ovidiu V.</v>
      </c>
      <c r="G1197" s="6" t="str">
        <f t="shared" si="36"/>
        <v>Crăciun Ovidiu V.</v>
      </c>
      <c r="H1197" s="22" t="str">
        <f>IFERROR(VLOOKUP(VLOOKUP(A1197,'Sales Order'!A:C,3,FALSE),Employee!A:E,5,FALSE)&amp;" "&amp;VLOOKUP(VLOOKUP(A1197,'Sales Order'!A:C,3,FALSE),Employee!A:C,3,FALSE)&amp;" "&amp;VLOOKUP(VLOOKUP(A1197,'Sales Order'!A:C,3,FALSE),Employee!A:B,2,FALSE),"Not Specified")</f>
        <v>Mr. Paul Suurs</v>
      </c>
      <c r="I1197">
        <f>IFERROR(VLOOKUP(VLOOKUP(A1197,'Sales Order'!A:C,3,FALSE),Employee!A:J,10,FALSE),"Not Specified")</f>
        <v>0</v>
      </c>
      <c r="J1197" t="str">
        <f>VLOOKUP(B1197,Product!A:B,2,FALSE)</f>
        <v>Product JYGFE</v>
      </c>
      <c r="K1197" t="str">
        <f>VLOOKUP(VLOOKUP(B1197,Product!A:D,4,FALSE),Category!A:B,2,FALSE)</f>
        <v>Beverages</v>
      </c>
      <c r="L1197" s="24">
        <f>IFERROR(VLOOKUP(A1197,'Sales Order'!A:D,4,FALSE),"")</f>
        <v>39368</v>
      </c>
      <c r="M1197" s="24">
        <f>IFERROR(VLOOKUP(A1197,'Sales Order'!A:F,6,FALSE),"")</f>
        <v>39370</v>
      </c>
      <c r="N1197" t="str">
        <f>IFERROR(VLOOKUP(VLOOKUP(A1197,'Sales Order'!A:G,7,FALSE),Shipper!A:B,2,FALSE),"Not Specified")</f>
        <v>Shipper ZHISN</v>
      </c>
      <c r="O1197" t="str">
        <f>IFERROR(VLOOKUP(A1197,'Sales Order'!A:I,9,FALSE),"Not Specified")</f>
        <v>Destination KPVYJ</v>
      </c>
      <c r="P1197" t="str">
        <f>IFERROR(VLOOKUP(A1197,'Sales Order'!A:N,14,FALSE),"Not Specified")</f>
        <v>Ireland</v>
      </c>
      <c r="Q1197" t="str">
        <f>VLOOKUP(VLOOKUP(B1197,Product!A:C,3,FALSE),Supplier!A:B,2,FALSE)</f>
        <v>Supplier ELCRN</v>
      </c>
      <c r="R1197" t="str">
        <f>VLOOKUP(VLOOKUP(B1197,Product!A:C,3,FALSE),Supplier!A:I,9,FALSE)</f>
        <v>Finland</v>
      </c>
      <c r="S1197" t="str">
        <f>IFERROR(IF(VLOOKUP(A1197,'Sales Order'!A:H,8,FALSE)&gt;100,"High Freight","Low Freight"),"Not Specified")</f>
        <v>High Freight</v>
      </c>
      <c r="T1197">
        <f t="shared" si="37"/>
        <v>535.5</v>
      </c>
    </row>
    <row r="1198" spans="1:20">
      <c r="A1198" s="9">
        <v>10702</v>
      </c>
      <c r="B1198" s="6">
        <v>3</v>
      </c>
      <c r="C1198" s="6">
        <v>10</v>
      </c>
      <c r="D1198" s="6">
        <v>6</v>
      </c>
      <c r="E1198" s="18">
        <v>0</v>
      </c>
      <c r="F1198" s="6" t="str">
        <f>IFERROR(VLOOKUP(VLOOKUP(A1198,'Sales Order'!A:B,2,FALSE),Customer!A:C,3,FALSE),"Not Specified")</f>
        <v>Allen, Michael</v>
      </c>
      <c r="G1198" s="6" t="str">
        <f t="shared" si="36"/>
        <v>Allen Michael</v>
      </c>
      <c r="H1198" s="22" t="str">
        <f>IFERROR(VLOOKUP(VLOOKUP(A1198,'Sales Order'!A:C,3,FALSE),Employee!A:E,5,FALSE)&amp;" "&amp;VLOOKUP(VLOOKUP(A1198,'Sales Order'!A:C,3,FALSE),Employee!A:C,3,FALSE)&amp;" "&amp;VLOOKUP(VLOOKUP(A1198,'Sales Order'!A:C,3,FALSE),Employee!A:B,2,FALSE),"Not Specified")</f>
        <v>Mrs. Yael Peled</v>
      </c>
      <c r="I1198" t="str">
        <f>IFERROR(VLOOKUP(VLOOKUP(A1198,'Sales Order'!A:C,3,FALSE),Employee!A:J,10,FALSE),"Not Specified")</f>
        <v>WA</v>
      </c>
      <c r="J1198" t="str">
        <f>VLOOKUP(B1198,Product!A:B,2,FALSE)</f>
        <v>Product IMEHJ</v>
      </c>
      <c r="K1198" t="str">
        <f>VLOOKUP(VLOOKUP(B1198,Product!A:D,4,FALSE),Category!A:B,2,FALSE)</f>
        <v>Condiments</v>
      </c>
      <c r="L1198" s="24">
        <f>IFERROR(VLOOKUP(A1198,'Sales Order'!A:D,4,FALSE),"")</f>
        <v>39368</v>
      </c>
      <c r="M1198" s="24">
        <f>IFERROR(VLOOKUP(A1198,'Sales Order'!A:F,6,FALSE),"")</f>
        <v>39376</v>
      </c>
      <c r="N1198" t="str">
        <f>IFERROR(VLOOKUP(VLOOKUP(A1198,'Sales Order'!A:G,7,FALSE),Shipper!A:B,2,FALSE),"Not Specified")</f>
        <v>Shipper GVSUA</v>
      </c>
      <c r="O1198" t="str">
        <f>IFERROR(VLOOKUP(A1198,'Sales Order'!A:I,9,FALSE),"Not Specified")</f>
        <v>Destination ZELZJ</v>
      </c>
      <c r="P1198" t="str">
        <f>IFERROR(VLOOKUP(A1198,'Sales Order'!A:N,14,FALSE),"Not Specified")</f>
        <v>Germany</v>
      </c>
      <c r="Q1198" t="str">
        <f>VLOOKUP(VLOOKUP(B1198,Product!A:C,3,FALSE),Supplier!A:B,2,FALSE)</f>
        <v>Supplier SWRXU</v>
      </c>
      <c r="R1198" t="str">
        <f>VLOOKUP(VLOOKUP(B1198,Product!A:C,3,FALSE),Supplier!A:I,9,FALSE)</f>
        <v>UK</v>
      </c>
      <c r="S1198" t="str">
        <f>IFERROR(IF(VLOOKUP(A1198,'Sales Order'!A:H,8,FALSE)&gt;100,"High Freight","Low Freight"),"Not Specified")</f>
        <v>Low Freight</v>
      </c>
      <c r="T1198">
        <f t="shared" si="37"/>
        <v>60</v>
      </c>
    </row>
    <row r="1199" spans="1:20">
      <c r="A1199" s="9">
        <v>10702</v>
      </c>
      <c r="B1199" s="6">
        <v>76</v>
      </c>
      <c r="C1199" s="6">
        <v>18</v>
      </c>
      <c r="D1199" s="6">
        <v>15</v>
      </c>
      <c r="E1199" s="18">
        <v>0</v>
      </c>
      <c r="F1199" s="6" t="str">
        <f>IFERROR(VLOOKUP(VLOOKUP(A1199,'Sales Order'!A:B,2,FALSE),Customer!A:C,3,FALSE),"Not Specified")</f>
        <v>Allen, Michael</v>
      </c>
      <c r="G1199" s="6" t="str">
        <f t="shared" si="36"/>
        <v>Allen Michael</v>
      </c>
      <c r="H1199" s="22" t="str">
        <f>IFERROR(VLOOKUP(VLOOKUP(A1199,'Sales Order'!A:C,3,FALSE),Employee!A:E,5,FALSE)&amp;" "&amp;VLOOKUP(VLOOKUP(A1199,'Sales Order'!A:C,3,FALSE),Employee!A:C,3,FALSE)&amp;" "&amp;VLOOKUP(VLOOKUP(A1199,'Sales Order'!A:C,3,FALSE),Employee!A:B,2,FALSE),"Not Specified")</f>
        <v>Mrs. Yael Peled</v>
      </c>
      <c r="I1199" t="str">
        <f>IFERROR(VLOOKUP(VLOOKUP(A1199,'Sales Order'!A:C,3,FALSE),Employee!A:J,10,FALSE),"Not Specified")</f>
        <v>WA</v>
      </c>
      <c r="J1199" t="str">
        <f>VLOOKUP(B1199,Product!A:B,2,FALSE)</f>
        <v>Product JYGFE</v>
      </c>
      <c r="K1199" t="str">
        <f>VLOOKUP(VLOOKUP(B1199,Product!A:D,4,FALSE),Category!A:B,2,FALSE)</f>
        <v>Beverages</v>
      </c>
      <c r="L1199" s="24">
        <f>IFERROR(VLOOKUP(A1199,'Sales Order'!A:D,4,FALSE),"")</f>
        <v>39368</v>
      </c>
      <c r="M1199" s="24">
        <f>IFERROR(VLOOKUP(A1199,'Sales Order'!A:F,6,FALSE),"")</f>
        <v>39376</v>
      </c>
      <c r="N1199" t="str">
        <f>IFERROR(VLOOKUP(VLOOKUP(A1199,'Sales Order'!A:G,7,FALSE),Shipper!A:B,2,FALSE),"Not Specified")</f>
        <v>Shipper GVSUA</v>
      </c>
      <c r="O1199" t="str">
        <f>IFERROR(VLOOKUP(A1199,'Sales Order'!A:I,9,FALSE),"Not Specified")</f>
        <v>Destination ZELZJ</v>
      </c>
      <c r="P1199" t="str">
        <f>IFERROR(VLOOKUP(A1199,'Sales Order'!A:N,14,FALSE),"Not Specified")</f>
        <v>Germany</v>
      </c>
      <c r="Q1199" t="str">
        <f>VLOOKUP(VLOOKUP(B1199,Product!A:C,3,FALSE),Supplier!A:B,2,FALSE)</f>
        <v>Supplier ELCRN</v>
      </c>
      <c r="R1199" t="str">
        <f>VLOOKUP(VLOOKUP(B1199,Product!A:C,3,FALSE),Supplier!A:I,9,FALSE)</f>
        <v>Finland</v>
      </c>
      <c r="S1199" t="str">
        <f>IFERROR(IF(VLOOKUP(A1199,'Sales Order'!A:H,8,FALSE)&gt;100,"High Freight","Low Freight"),"Not Specified")</f>
        <v>Low Freight</v>
      </c>
      <c r="T1199">
        <f t="shared" si="37"/>
        <v>270</v>
      </c>
    </row>
    <row r="1200" spans="1:20">
      <c r="A1200" s="9">
        <v>10703</v>
      </c>
      <c r="B1200" s="6">
        <v>2</v>
      </c>
      <c r="C1200" s="6">
        <v>19</v>
      </c>
      <c r="D1200" s="6">
        <v>5</v>
      </c>
      <c r="E1200" s="18">
        <v>0</v>
      </c>
      <c r="F1200" s="6" t="str">
        <f>IFERROR(VLOOKUP(VLOOKUP(A1200,'Sales Order'!A:B,2,FALSE),Customer!A:C,3,FALSE),"Not Specified")</f>
        <v>San Juan, Patricia</v>
      </c>
      <c r="G1200" s="6" t="str">
        <f t="shared" si="36"/>
        <v>San Juan Patricia</v>
      </c>
      <c r="H1200" s="22" t="str">
        <f>IFERROR(VLOOKUP(VLOOKUP(A1200,'Sales Order'!A:C,3,FALSE),Employee!A:E,5,FALSE)&amp;" "&amp;VLOOKUP(VLOOKUP(A1200,'Sales Order'!A:C,3,FALSE),Employee!A:C,3,FALSE)&amp;" "&amp;VLOOKUP(VLOOKUP(A1200,'Sales Order'!A:C,3,FALSE),Employee!A:B,2,FALSE),"Not Specified")</f>
        <v>Mr. Paul Suurs</v>
      </c>
      <c r="I1200">
        <f>IFERROR(VLOOKUP(VLOOKUP(A1200,'Sales Order'!A:C,3,FALSE),Employee!A:J,10,FALSE),"Not Specified")</f>
        <v>0</v>
      </c>
      <c r="J1200" t="str">
        <f>VLOOKUP(B1200,Product!A:B,2,FALSE)</f>
        <v>Product RECZE</v>
      </c>
      <c r="K1200" t="str">
        <f>VLOOKUP(VLOOKUP(B1200,Product!A:D,4,FALSE),Category!A:B,2,FALSE)</f>
        <v>Beverages</v>
      </c>
      <c r="L1200" s="24">
        <f>IFERROR(VLOOKUP(A1200,'Sales Order'!A:D,4,FALSE),"")</f>
        <v>39369</v>
      </c>
      <c r="M1200" s="24">
        <f>IFERROR(VLOOKUP(A1200,'Sales Order'!A:F,6,FALSE),"")</f>
        <v>39375</v>
      </c>
      <c r="N1200" t="str">
        <f>IFERROR(VLOOKUP(VLOOKUP(A1200,'Sales Order'!A:G,7,FALSE),Shipper!A:B,2,FALSE),"Not Specified")</f>
        <v>Shipper ETYNR</v>
      </c>
      <c r="O1200" t="str">
        <f>IFERROR(VLOOKUP(A1200,'Sales Order'!A:I,9,FALSE),"Not Specified")</f>
        <v>Destination KBSBN</v>
      </c>
      <c r="P1200" t="str">
        <f>IFERROR(VLOOKUP(A1200,'Sales Order'!A:N,14,FALSE),"Not Specified")</f>
        <v>Sweden</v>
      </c>
      <c r="Q1200" t="str">
        <f>VLOOKUP(VLOOKUP(B1200,Product!A:C,3,FALSE),Supplier!A:B,2,FALSE)</f>
        <v>Supplier SWRXU</v>
      </c>
      <c r="R1200" t="str">
        <f>VLOOKUP(VLOOKUP(B1200,Product!A:C,3,FALSE),Supplier!A:I,9,FALSE)</f>
        <v>UK</v>
      </c>
      <c r="S1200" t="str">
        <f>IFERROR(IF(VLOOKUP(A1200,'Sales Order'!A:H,8,FALSE)&gt;100,"High Freight","Low Freight"),"Not Specified")</f>
        <v>High Freight</v>
      </c>
      <c r="T1200">
        <f t="shared" si="37"/>
        <v>95</v>
      </c>
    </row>
    <row r="1201" spans="1:20">
      <c r="A1201" s="9">
        <v>10703</v>
      </c>
      <c r="B1201" s="6">
        <v>59</v>
      </c>
      <c r="C1201" s="6">
        <v>55</v>
      </c>
      <c r="D1201" s="6">
        <v>35</v>
      </c>
      <c r="E1201" s="18">
        <v>0</v>
      </c>
      <c r="F1201" s="6" t="str">
        <f>IFERROR(VLOOKUP(VLOOKUP(A1201,'Sales Order'!A:B,2,FALSE),Customer!A:C,3,FALSE),"Not Specified")</f>
        <v>San Juan, Patricia</v>
      </c>
      <c r="G1201" s="6" t="str">
        <f t="shared" si="36"/>
        <v>San Juan Patricia</v>
      </c>
      <c r="H1201" s="22" t="str">
        <f>IFERROR(VLOOKUP(VLOOKUP(A1201,'Sales Order'!A:C,3,FALSE),Employee!A:E,5,FALSE)&amp;" "&amp;VLOOKUP(VLOOKUP(A1201,'Sales Order'!A:C,3,FALSE),Employee!A:C,3,FALSE)&amp;" "&amp;VLOOKUP(VLOOKUP(A1201,'Sales Order'!A:C,3,FALSE),Employee!A:B,2,FALSE),"Not Specified")</f>
        <v>Mr. Paul Suurs</v>
      </c>
      <c r="I1201">
        <f>IFERROR(VLOOKUP(VLOOKUP(A1201,'Sales Order'!A:C,3,FALSE),Employee!A:J,10,FALSE),"Not Specified")</f>
        <v>0</v>
      </c>
      <c r="J1201" t="str">
        <f>VLOOKUP(B1201,Product!A:B,2,FALSE)</f>
        <v>Product UKXRI</v>
      </c>
      <c r="K1201" t="str">
        <f>VLOOKUP(VLOOKUP(B1201,Product!A:D,4,FALSE),Category!A:B,2,FALSE)</f>
        <v>Dairy Product</v>
      </c>
      <c r="L1201" s="24">
        <f>IFERROR(VLOOKUP(A1201,'Sales Order'!A:D,4,FALSE),"")</f>
        <v>39369</v>
      </c>
      <c r="M1201" s="24">
        <f>IFERROR(VLOOKUP(A1201,'Sales Order'!A:F,6,FALSE),"")</f>
        <v>39375</v>
      </c>
      <c r="N1201" t="str">
        <f>IFERROR(VLOOKUP(VLOOKUP(A1201,'Sales Order'!A:G,7,FALSE),Shipper!A:B,2,FALSE),"Not Specified")</f>
        <v>Shipper ETYNR</v>
      </c>
      <c r="O1201" t="str">
        <f>IFERROR(VLOOKUP(A1201,'Sales Order'!A:I,9,FALSE),"Not Specified")</f>
        <v>Destination KBSBN</v>
      </c>
      <c r="P1201" t="str">
        <f>IFERROR(VLOOKUP(A1201,'Sales Order'!A:N,14,FALSE),"Not Specified")</f>
        <v>Sweden</v>
      </c>
      <c r="Q1201" t="str">
        <f>VLOOKUP(VLOOKUP(B1201,Product!A:C,3,FALSE),Supplier!A:B,2,FALSE)</f>
        <v>Supplier OAVQT</v>
      </c>
      <c r="R1201" t="str">
        <f>VLOOKUP(VLOOKUP(B1201,Product!A:C,3,FALSE),Supplier!A:I,9,FALSE)</f>
        <v>France</v>
      </c>
      <c r="S1201" t="str">
        <f>IFERROR(IF(VLOOKUP(A1201,'Sales Order'!A:H,8,FALSE)&gt;100,"High Freight","Low Freight"),"Not Specified")</f>
        <v>High Freight</v>
      </c>
      <c r="T1201">
        <f t="shared" si="37"/>
        <v>1925</v>
      </c>
    </row>
    <row r="1202" spans="1:20">
      <c r="A1202" s="9">
        <v>10703</v>
      </c>
      <c r="B1202" s="6">
        <v>73</v>
      </c>
      <c r="C1202" s="6">
        <v>15</v>
      </c>
      <c r="D1202" s="6">
        <v>35</v>
      </c>
      <c r="E1202" s="18">
        <v>0</v>
      </c>
      <c r="F1202" s="6" t="str">
        <f>IFERROR(VLOOKUP(VLOOKUP(A1202,'Sales Order'!A:B,2,FALSE),Customer!A:C,3,FALSE),"Not Specified")</f>
        <v>San Juan, Patricia</v>
      </c>
      <c r="G1202" s="6" t="str">
        <f t="shared" si="36"/>
        <v>San Juan Patricia</v>
      </c>
      <c r="H1202" s="22" t="str">
        <f>IFERROR(VLOOKUP(VLOOKUP(A1202,'Sales Order'!A:C,3,FALSE),Employee!A:E,5,FALSE)&amp;" "&amp;VLOOKUP(VLOOKUP(A1202,'Sales Order'!A:C,3,FALSE),Employee!A:C,3,FALSE)&amp;" "&amp;VLOOKUP(VLOOKUP(A1202,'Sales Order'!A:C,3,FALSE),Employee!A:B,2,FALSE),"Not Specified")</f>
        <v>Mr. Paul Suurs</v>
      </c>
      <c r="I1202">
        <f>IFERROR(VLOOKUP(VLOOKUP(A1202,'Sales Order'!A:C,3,FALSE),Employee!A:J,10,FALSE),"Not Specified")</f>
        <v>0</v>
      </c>
      <c r="J1202" t="str">
        <f>VLOOKUP(B1202,Product!A:B,2,FALSE)</f>
        <v>Product WEUJZ</v>
      </c>
      <c r="K1202" t="str">
        <f>VLOOKUP(VLOOKUP(B1202,Product!A:D,4,FALSE),Category!A:B,2,FALSE)</f>
        <v>Seafood</v>
      </c>
      <c r="L1202" s="24">
        <f>IFERROR(VLOOKUP(A1202,'Sales Order'!A:D,4,FALSE),"")</f>
        <v>39369</v>
      </c>
      <c r="M1202" s="24">
        <f>IFERROR(VLOOKUP(A1202,'Sales Order'!A:F,6,FALSE),"")</f>
        <v>39375</v>
      </c>
      <c r="N1202" t="str">
        <f>IFERROR(VLOOKUP(VLOOKUP(A1202,'Sales Order'!A:G,7,FALSE),Shipper!A:B,2,FALSE),"Not Specified")</f>
        <v>Shipper ETYNR</v>
      </c>
      <c r="O1202" t="str">
        <f>IFERROR(VLOOKUP(A1202,'Sales Order'!A:I,9,FALSE),"Not Specified")</f>
        <v>Destination KBSBN</v>
      </c>
      <c r="P1202" t="str">
        <f>IFERROR(VLOOKUP(A1202,'Sales Order'!A:N,14,FALSE),"Not Specified")</f>
        <v>Sweden</v>
      </c>
      <c r="Q1202" t="str">
        <f>VLOOKUP(VLOOKUP(B1202,Product!A:C,3,FALSE),Supplier!A:B,2,FALSE)</f>
        <v>Supplier QZGUF</v>
      </c>
      <c r="R1202" t="str">
        <f>VLOOKUP(VLOOKUP(B1202,Product!A:C,3,FALSE),Supplier!A:I,9,FALSE)</f>
        <v>Sweden</v>
      </c>
      <c r="S1202" t="str">
        <f>IFERROR(IF(VLOOKUP(A1202,'Sales Order'!A:H,8,FALSE)&gt;100,"High Freight","Low Freight"),"Not Specified")</f>
        <v>High Freight</v>
      </c>
      <c r="T1202">
        <f t="shared" si="37"/>
        <v>525</v>
      </c>
    </row>
    <row r="1203" spans="1:20">
      <c r="A1203" s="9">
        <v>10704</v>
      </c>
      <c r="B1203" s="6">
        <v>4</v>
      </c>
      <c r="C1203" s="6">
        <v>22</v>
      </c>
      <c r="D1203" s="6">
        <v>6</v>
      </c>
      <c r="E1203" s="18">
        <v>0</v>
      </c>
      <c r="F1203" s="6" t="str">
        <f>IFERROR(VLOOKUP(VLOOKUP(A1203,'Sales Order'!A:B,2,FALSE),Customer!A:C,3,FALSE),"Not Specified")</f>
        <v>Misiec, Anna</v>
      </c>
      <c r="G1203" s="6" t="str">
        <f t="shared" si="36"/>
        <v>Misiec Anna</v>
      </c>
      <c r="H1203" s="22" t="str">
        <f>IFERROR(VLOOKUP(VLOOKUP(A1203,'Sales Order'!A:C,3,FALSE),Employee!A:E,5,FALSE)&amp;" "&amp;VLOOKUP(VLOOKUP(A1203,'Sales Order'!A:C,3,FALSE),Employee!A:C,3,FALSE)&amp;" "&amp;VLOOKUP(VLOOKUP(A1203,'Sales Order'!A:C,3,FALSE),Employee!A:B,2,FALSE),"Not Specified")</f>
        <v>Mr. Paul Suurs</v>
      </c>
      <c r="I1203">
        <f>IFERROR(VLOOKUP(VLOOKUP(A1203,'Sales Order'!A:C,3,FALSE),Employee!A:J,10,FALSE),"Not Specified")</f>
        <v>0</v>
      </c>
      <c r="J1203" t="str">
        <f>VLOOKUP(B1203,Product!A:B,2,FALSE)</f>
        <v>Product KSBRM</v>
      </c>
      <c r="K1203" t="str">
        <f>VLOOKUP(VLOOKUP(B1203,Product!A:D,4,FALSE),Category!A:B,2,FALSE)</f>
        <v>Condiments</v>
      </c>
      <c r="L1203" s="24">
        <f>IFERROR(VLOOKUP(A1203,'Sales Order'!A:D,4,FALSE),"")</f>
        <v>39369</v>
      </c>
      <c r="M1203" s="24">
        <f>IFERROR(VLOOKUP(A1203,'Sales Order'!A:F,6,FALSE),"")</f>
        <v>39393</v>
      </c>
      <c r="N1203" t="str">
        <f>IFERROR(VLOOKUP(VLOOKUP(A1203,'Sales Order'!A:G,7,FALSE),Shipper!A:B,2,FALSE),"Not Specified")</f>
        <v>Shipper GVSUA</v>
      </c>
      <c r="O1203" t="str">
        <f>IFERROR(VLOOKUP(A1203,'Sales Order'!A:I,9,FALSE),"Not Specified")</f>
        <v>Ship to 62-C</v>
      </c>
      <c r="P1203" t="str">
        <f>IFERROR(VLOOKUP(A1203,'Sales Order'!A:N,14,FALSE),"Not Specified")</f>
        <v>Brazil</v>
      </c>
      <c r="Q1203" t="str">
        <f>VLOOKUP(VLOOKUP(B1203,Product!A:C,3,FALSE),Supplier!A:B,2,FALSE)</f>
        <v>Supplier VHQZD</v>
      </c>
      <c r="R1203" t="str">
        <f>VLOOKUP(VLOOKUP(B1203,Product!A:C,3,FALSE),Supplier!A:I,9,FALSE)</f>
        <v>USA</v>
      </c>
      <c r="S1203" t="str">
        <f>IFERROR(IF(VLOOKUP(A1203,'Sales Order'!A:H,8,FALSE)&gt;100,"High Freight","Low Freight"),"Not Specified")</f>
        <v>Low Freight</v>
      </c>
      <c r="T1203">
        <f t="shared" si="37"/>
        <v>132</v>
      </c>
    </row>
    <row r="1204" spans="1:20">
      <c r="A1204" s="9">
        <v>10704</v>
      </c>
      <c r="B1204" s="6">
        <v>24</v>
      </c>
      <c r="C1204" s="6">
        <v>4.5</v>
      </c>
      <c r="D1204" s="6">
        <v>35</v>
      </c>
      <c r="E1204" s="18">
        <v>0</v>
      </c>
      <c r="F1204" s="6" t="str">
        <f>IFERROR(VLOOKUP(VLOOKUP(A1204,'Sales Order'!A:B,2,FALSE),Customer!A:C,3,FALSE),"Not Specified")</f>
        <v>Misiec, Anna</v>
      </c>
      <c r="G1204" s="6" t="str">
        <f t="shared" si="36"/>
        <v>Misiec Anna</v>
      </c>
      <c r="H1204" s="22" t="str">
        <f>IFERROR(VLOOKUP(VLOOKUP(A1204,'Sales Order'!A:C,3,FALSE),Employee!A:E,5,FALSE)&amp;" "&amp;VLOOKUP(VLOOKUP(A1204,'Sales Order'!A:C,3,FALSE),Employee!A:C,3,FALSE)&amp;" "&amp;VLOOKUP(VLOOKUP(A1204,'Sales Order'!A:C,3,FALSE),Employee!A:B,2,FALSE),"Not Specified")</f>
        <v>Mr. Paul Suurs</v>
      </c>
      <c r="I1204">
        <f>IFERROR(VLOOKUP(VLOOKUP(A1204,'Sales Order'!A:C,3,FALSE),Employee!A:J,10,FALSE),"Not Specified")</f>
        <v>0</v>
      </c>
      <c r="J1204" t="str">
        <f>VLOOKUP(B1204,Product!A:B,2,FALSE)</f>
        <v>Product QOGNU</v>
      </c>
      <c r="K1204" t="str">
        <f>VLOOKUP(VLOOKUP(B1204,Product!A:D,4,FALSE),Category!A:B,2,FALSE)</f>
        <v>Beverages</v>
      </c>
      <c r="L1204" s="24">
        <f>IFERROR(VLOOKUP(A1204,'Sales Order'!A:D,4,FALSE),"")</f>
        <v>39369</v>
      </c>
      <c r="M1204" s="24">
        <f>IFERROR(VLOOKUP(A1204,'Sales Order'!A:F,6,FALSE),"")</f>
        <v>39393</v>
      </c>
      <c r="N1204" t="str">
        <f>IFERROR(VLOOKUP(VLOOKUP(A1204,'Sales Order'!A:G,7,FALSE),Shipper!A:B,2,FALSE),"Not Specified")</f>
        <v>Shipper GVSUA</v>
      </c>
      <c r="O1204" t="str">
        <f>IFERROR(VLOOKUP(A1204,'Sales Order'!A:I,9,FALSE),"Not Specified")</f>
        <v>Ship to 62-C</v>
      </c>
      <c r="P1204" t="str">
        <f>IFERROR(VLOOKUP(A1204,'Sales Order'!A:N,14,FALSE),"Not Specified")</f>
        <v>Brazil</v>
      </c>
      <c r="Q1204" t="str">
        <f>VLOOKUP(VLOOKUP(B1204,Product!A:C,3,FALSE),Supplier!A:B,2,FALSE)</f>
        <v>Supplier UNAHG</v>
      </c>
      <c r="R1204" t="str">
        <f>VLOOKUP(VLOOKUP(B1204,Product!A:C,3,FALSE),Supplier!A:I,9,FALSE)</f>
        <v>Brazil</v>
      </c>
      <c r="S1204" t="str">
        <f>IFERROR(IF(VLOOKUP(A1204,'Sales Order'!A:H,8,FALSE)&gt;100,"High Freight","Low Freight"),"Not Specified")</f>
        <v>Low Freight</v>
      </c>
      <c r="T1204">
        <f t="shared" si="37"/>
        <v>157.5</v>
      </c>
    </row>
    <row r="1205" spans="1:20">
      <c r="A1205" s="9">
        <v>10704</v>
      </c>
      <c r="B1205" s="6">
        <v>48</v>
      </c>
      <c r="C1205" s="6">
        <v>12.75</v>
      </c>
      <c r="D1205" s="6">
        <v>24</v>
      </c>
      <c r="E1205" s="18">
        <v>0</v>
      </c>
      <c r="F1205" s="6" t="str">
        <f>IFERROR(VLOOKUP(VLOOKUP(A1205,'Sales Order'!A:B,2,FALSE),Customer!A:C,3,FALSE),"Not Specified")</f>
        <v>Misiec, Anna</v>
      </c>
      <c r="G1205" s="6" t="str">
        <f t="shared" si="36"/>
        <v>Misiec Anna</v>
      </c>
      <c r="H1205" s="22" t="str">
        <f>IFERROR(VLOOKUP(VLOOKUP(A1205,'Sales Order'!A:C,3,FALSE),Employee!A:E,5,FALSE)&amp;" "&amp;VLOOKUP(VLOOKUP(A1205,'Sales Order'!A:C,3,FALSE),Employee!A:C,3,FALSE)&amp;" "&amp;VLOOKUP(VLOOKUP(A1205,'Sales Order'!A:C,3,FALSE),Employee!A:B,2,FALSE),"Not Specified")</f>
        <v>Mr. Paul Suurs</v>
      </c>
      <c r="I1205">
        <f>IFERROR(VLOOKUP(VLOOKUP(A1205,'Sales Order'!A:C,3,FALSE),Employee!A:J,10,FALSE),"Not Specified")</f>
        <v>0</v>
      </c>
      <c r="J1205" t="str">
        <f>VLOOKUP(B1205,Product!A:B,2,FALSE)</f>
        <v>Product MYNXN</v>
      </c>
      <c r="K1205" t="str">
        <f>VLOOKUP(VLOOKUP(B1205,Product!A:D,4,FALSE),Category!A:B,2,FALSE)</f>
        <v>Confections</v>
      </c>
      <c r="L1205" s="24">
        <f>IFERROR(VLOOKUP(A1205,'Sales Order'!A:D,4,FALSE),"")</f>
        <v>39369</v>
      </c>
      <c r="M1205" s="24">
        <f>IFERROR(VLOOKUP(A1205,'Sales Order'!A:F,6,FALSE),"")</f>
        <v>39393</v>
      </c>
      <c r="N1205" t="str">
        <f>IFERROR(VLOOKUP(VLOOKUP(A1205,'Sales Order'!A:G,7,FALSE),Shipper!A:B,2,FALSE),"Not Specified")</f>
        <v>Shipper GVSUA</v>
      </c>
      <c r="O1205" t="str">
        <f>IFERROR(VLOOKUP(A1205,'Sales Order'!A:I,9,FALSE),"Not Specified")</f>
        <v>Ship to 62-C</v>
      </c>
      <c r="P1205" t="str">
        <f>IFERROR(VLOOKUP(A1205,'Sales Order'!A:N,14,FALSE),"Not Specified")</f>
        <v>Brazil</v>
      </c>
      <c r="Q1205" t="str">
        <f>VLOOKUP(VLOOKUP(B1205,Product!A:C,3,FALSE),Supplier!A:B,2,FALSE)</f>
        <v>Supplier FNUXM</v>
      </c>
      <c r="R1205" t="str">
        <f>VLOOKUP(VLOOKUP(B1205,Product!A:C,3,FALSE),Supplier!A:I,9,FALSE)</f>
        <v>Netherlands</v>
      </c>
      <c r="S1205" t="str">
        <f>IFERROR(IF(VLOOKUP(A1205,'Sales Order'!A:H,8,FALSE)&gt;100,"High Freight","Low Freight"),"Not Specified")</f>
        <v>Low Freight</v>
      </c>
      <c r="T1205">
        <f t="shared" si="37"/>
        <v>306</v>
      </c>
    </row>
    <row r="1206" spans="1:20">
      <c r="A1206" s="9">
        <v>10705</v>
      </c>
      <c r="B1206" s="6">
        <v>31</v>
      </c>
      <c r="C1206" s="6">
        <v>12.5</v>
      </c>
      <c r="D1206" s="6">
        <v>20</v>
      </c>
      <c r="E1206" s="18">
        <v>0</v>
      </c>
      <c r="F1206" s="6" t="str">
        <f>IFERROR(VLOOKUP(VLOOKUP(A1206,'Sales Order'!A:B,2,FALSE),Customer!A:C,3,FALSE),"Not Specified")</f>
        <v>Langohr, Kris</v>
      </c>
      <c r="G1206" s="6" t="str">
        <f t="shared" si="36"/>
        <v>Langohr Kris</v>
      </c>
      <c r="H1206" s="22" t="str">
        <f>IFERROR(VLOOKUP(VLOOKUP(A1206,'Sales Order'!A:C,3,FALSE),Employee!A:E,5,FALSE)&amp;" "&amp;VLOOKUP(VLOOKUP(A1206,'Sales Order'!A:C,3,FALSE),Employee!A:C,3,FALSE)&amp;" "&amp;VLOOKUP(VLOOKUP(A1206,'Sales Order'!A:C,3,FALSE),Employee!A:B,2,FALSE),"Not Specified")</f>
        <v>Ms. Zoya Dolgopyatova</v>
      </c>
      <c r="I1206">
        <f>IFERROR(VLOOKUP(VLOOKUP(A1206,'Sales Order'!A:C,3,FALSE),Employee!A:J,10,FALSE),"Not Specified")</f>
        <v>0</v>
      </c>
      <c r="J1206" t="str">
        <f>VLOOKUP(B1206,Product!A:B,2,FALSE)</f>
        <v>Product XWOXC</v>
      </c>
      <c r="K1206" t="str">
        <f>VLOOKUP(VLOOKUP(B1206,Product!A:D,4,FALSE),Category!A:B,2,FALSE)</f>
        <v>Dairy Product</v>
      </c>
      <c r="L1206" s="24">
        <f>IFERROR(VLOOKUP(A1206,'Sales Order'!A:D,4,FALSE),"")</f>
        <v>39370</v>
      </c>
      <c r="M1206" s="24">
        <f>IFERROR(VLOOKUP(A1206,'Sales Order'!A:F,6,FALSE),"")</f>
        <v>39404</v>
      </c>
      <c r="N1206" t="str">
        <f>IFERROR(VLOOKUP(VLOOKUP(A1206,'Sales Order'!A:G,7,FALSE),Shipper!A:B,2,FALSE),"Not Specified")</f>
        <v>Shipper ETYNR</v>
      </c>
      <c r="O1206" t="str">
        <f>IFERROR(VLOOKUP(A1206,'Sales Order'!A:I,9,FALSE),"Not Specified")</f>
        <v>Destination JYDLM</v>
      </c>
      <c r="P1206" t="str">
        <f>IFERROR(VLOOKUP(A1206,'Sales Order'!A:N,14,FALSE),"Not Specified")</f>
        <v>Venezuela</v>
      </c>
      <c r="Q1206" t="str">
        <f>VLOOKUP(VLOOKUP(B1206,Product!A:C,3,FALSE),Supplier!A:B,2,FALSE)</f>
        <v>Supplier KEREV</v>
      </c>
      <c r="R1206" t="str">
        <f>VLOOKUP(VLOOKUP(B1206,Product!A:C,3,FALSE),Supplier!A:I,9,FALSE)</f>
        <v>Italy</v>
      </c>
      <c r="S1206" t="str">
        <f>IFERROR(IF(VLOOKUP(A1206,'Sales Order'!A:H,8,FALSE)&gt;100,"High Freight","Low Freight"),"Not Specified")</f>
        <v>Low Freight</v>
      </c>
      <c r="T1206">
        <f t="shared" si="37"/>
        <v>250</v>
      </c>
    </row>
    <row r="1207" spans="1:20">
      <c r="A1207" s="9">
        <v>10705</v>
      </c>
      <c r="B1207" s="6">
        <v>32</v>
      </c>
      <c r="C1207" s="6">
        <v>32</v>
      </c>
      <c r="D1207" s="6">
        <v>4</v>
      </c>
      <c r="E1207" s="18">
        <v>0</v>
      </c>
      <c r="F1207" s="6" t="str">
        <f>IFERROR(VLOOKUP(VLOOKUP(A1207,'Sales Order'!A:B,2,FALSE),Customer!A:C,3,FALSE),"Not Specified")</f>
        <v>Langohr, Kris</v>
      </c>
      <c r="G1207" s="6" t="str">
        <f t="shared" si="36"/>
        <v>Langohr Kris</v>
      </c>
      <c r="H1207" s="22" t="str">
        <f>IFERROR(VLOOKUP(VLOOKUP(A1207,'Sales Order'!A:C,3,FALSE),Employee!A:E,5,FALSE)&amp;" "&amp;VLOOKUP(VLOOKUP(A1207,'Sales Order'!A:C,3,FALSE),Employee!A:C,3,FALSE)&amp;" "&amp;VLOOKUP(VLOOKUP(A1207,'Sales Order'!A:C,3,FALSE),Employee!A:B,2,FALSE),"Not Specified")</f>
        <v>Ms. Zoya Dolgopyatova</v>
      </c>
      <c r="I1207">
        <f>IFERROR(VLOOKUP(VLOOKUP(A1207,'Sales Order'!A:C,3,FALSE),Employee!A:J,10,FALSE),"Not Specified")</f>
        <v>0</v>
      </c>
      <c r="J1207" t="str">
        <f>VLOOKUP(B1207,Product!A:B,2,FALSE)</f>
        <v>Product NUNAW</v>
      </c>
      <c r="K1207" t="str">
        <f>VLOOKUP(VLOOKUP(B1207,Product!A:D,4,FALSE),Category!A:B,2,FALSE)</f>
        <v>Dairy Product</v>
      </c>
      <c r="L1207" s="24">
        <f>IFERROR(VLOOKUP(A1207,'Sales Order'!A:D,4,FALSE),"")</f>
        <v>39370</v>
      </c>
      <c r="M1207" s="24">
        <f>IFERROR(VLOOKUP(A1207,'Sales Order'!A:F,6,FALSE),"")</f>
        <v>39404</v>
      </c>
      <c r="N1207" t="str">
        <f>IFERROR(VLOOKUP(VLOOKUP(A1207,'Sales Order'!A:G,7,FALSE),Shipper!A:B,2,FALSE),"Not Specified")</f>
        <v>Shipper ETYNR</v>
      </c>
      <c r="O1207" t="str">
        <f>IFERROR(VLOOKUP(A1207,'Sales Order'!A:I,9,FALSE),"Not Specified")</f>
        <v>Destination JYDLM</v>
      </c>
      <c r="P1207" t="str">
        <f>IFERROR(VLOOKUP(A1207,'Sales Order'!A:N,14,FALSE),"Not Specified")</f>
        <v>Venezuela</v>
      </c>
      <c r="Q1207" t="str">
        <f>VLOOKUP(VLOOKUP(B1207,Product!A:C,3,FALSE),Supplier!A:B,2,FALSE)</f>
        <v>Supplier KEREV</v>
      </c>
      <c r="R1207" t="str">
        <f>VLOOKUP(VLOOKUP(B1207,Product!A:C,3,FALSE),Supplier!A:I,9,FALSE)</f>
        <v>Italy</v>
      </c>
      <c r="S1207" t="str">
        <f>IFERROR(IF(VLOOKUP(A1207,'Sales Order'!A:H,8,FALSE)&gt;100,"High Freight","Low Freight"),"Not Specified")</f>
        <v>Low Freight</v>
      </c>
      <c r="T1207">
        <f t="shared" si="37"/>
        <v>128</v>
      </c>
    </row>
    <row r="1208" spans="1:20">
      <c r="A1208" s="9">
        <v>10706</v>
      </c>
      <c r="B1208" s="6">
        <v>16</v>
      </c>
      <c r="C1208" s="6">
        <v>17.45</v>
      </c>
      <c r="D1208" s="6">
        <v>20</v>
      </c>
      <c r="E1208" s="18">
        <v>0</v>
      </c>
      <c r="F1208" s="6" t="str">
        <f>IFERROR(VLOOKUP(VLOOKUP(A1208,'Sales Order'!A:B,2,FALSE),Customer!A:C,3,FALSE),"Not Specified")</f>
        <v>Egelund-Muller, Anja</v>
      </c>
      <c r="G1208" s="6" t="str">
        <f t="shared" si="36"/>
        <v>Egelund-Muller Anja</v>
      </c>
      <c r="H1208" s="22" t="str">
        <f>IFERROR(VLOOKUP(VLOOKUP(A1208,'Sales Order'!A:C,3,FALSE),Employee!A:E,5,FALSE)&amp;" "&amp;VLOOKUP(VLOOKUP(A1208,'Sales Order'!A:C,3,FALSE),Employee!A:C,3,FALSE)&amp;" "&amp;VLOOKUP(VLOOKUP(A1208,'Sales Order'!A:C,3,FALSE),Employee!A:B,2,FALSE),"Not Specified")</f>
        <v>Ms. Maria Cameron</v>
      </c>
      <c r="I1208" t="str">
        <f>IFERROR(VLOOKUP(VLOOKUP(A1208,'Sales Order'!A:C,3,FALSE),Employee!A:J,10,FALSE),"Not Specified")</f>
        <v>WA</v>
      </c>
      <c r="J1208" t="str">
        <f>VLOOKUP(B1208,Product!A:B,2,FALSE)</f>
        <v>Product PAFRH</v>
      </c>
      <c r="K1208" t="str">
        <f>VLOOKUP(VLOOKUP(B1208,Product!A:D,4,FALSE),Category!A:B,2,FALSE)</f>
        <v>Confections</v>
      </c>
      <c r="L1208" s="24">
        <f>IFERROR(VLOOKUP(A1208,'Sales Order'!A:D,4,FALSE),"")</f>
        <v>39371</v>
      </c>
      <c r="M1208" s="24">
        <f>IFERROR(VLOOKUP(A1208,'Sales Order'!A:F,6,FALSE),"")</f>
        <v>39376</v>
      </c>
      <c r="N1208" t="str">
        <f>IFERROR(VLOOKUP(VLOOKUP(A1208,'Sales Order'!A:G,7,FALSE),Shipper!A:B,2,FALSE),"Not Specified")</f>
        <v>Shipper ZHISN</v>
      </c>
      <c r="O1208" t="str">
        <f>IFERROR(VLOOKUP(A1208,'Sales Order'!A:I,9,FALSE),"Not Specified")</f>
        <v>Ship to 55-C</v>
      </c>
      <c r="P1208" t="str">
        <f>IFERROR(VLOOKUP(A1208,'Sales Order'!A:N,14,FALSE),"Not Specified")</f>
        <v>USA</v>
      </c>
      <c r="Q1208" t="str">
        <f>VLOOKUP(VLOOKUP(B1208,Product!A:C,3,FALSE),Supplier!A:B,2,FALSE)</f>
        <v>Supplier GQRCV</v>
      </c>
      <c r="R1208" t="str">
        <f>VLOOKUP(VLOOKUP(B1208,Product!A:C,3,FALSE),Supplier!A:I,9,FALSE)</f>
        <v>Australia</v>
      </c>
      <c r="S1208" t="str">
        <f>IFERROR(IF(VLOOKUP(A1208,'Sales Order'!A:H,8,FALSE)&gt;100,"High Freight","Low Freight"),"Not Specified")</f>
        <v>High Freight</v>
      </c>
      <c r="T1208">
        <f t="shared" si="37"/>
        <v>349</v>
      </c>
    </row>
    <row r="1209" spans="1:20">
      <c r="A1209" s="9">
        <v>10706</v>
      </c>
      <c r="B1209" s="6">
        <v>43</v>
      </c>
      <c r="C1209" s="6">
        <v>46</v>
      </c>
      <c r="D1209" s="6">
        <v>24</v>
      </c>
      <c r="E1209" s="18">
        <v>0</v>
      </c>
      <c r="F1209" s="6" t="str">
        <f>IFERROR(VLOOKUP(VLOOKUP(A1209,'Sales Order'!A:B,2,FALSE),Customer!A:C,3,FALSE),"Not Specified")</f>
        <v>Egelund-Muller, Anja</v>
      </c>
      <c r="G1209" s="6" t="str">
        <f t="shared" si="36"/>
        <v>Egelund-Muller Anja</v>
      </c>
      <c r="H1209" s="22" t="str">
        <f>IFERROR(VLOOKUP(VLOOKUP(A1209,'Sales Order'!A:C,3,FALSE),Employee!A:E,5,FALSE)&amp;" "&amp;VLOOKUP(VLOOKUP(A1209,'Sales Order'!A:C,3,FALSE),Employee!A:C,3,FALSE)&amp;" "&amp;VLOOKUP(VLOOKUP(A1209,'Sales Order'!A:C,3,FALSE),Employee!A:B,2,FALSE),"Not Specified")</f>
        <v>Ms. Maria Cameron</v>
      </c>
      <c r="I1209" t="str">
        <f>IFERROR(VLOOKUP(VLOOKUP(A1209,'Sales Order'!A:C,3,FALSE),Employee!A:J,10,FALSE),"Not Specified")</f>
        <v>WA</v>
      </c>
      <c r="J1209" t="str">
        <f>VLOOKUP(B1209,Product!A:B,2,FALSE)</f>
        <v>Product ZZZHR</v>
      </c>
      <c r="K1209" t="str">
        <f>VLOOKUP(VLOOKUP(B1209,Product!A:D,4,FALSE),Category!A:B,2,FALSE)</f>
        <v>Beverages</v>
      </c>
      <c r="L1209" s="24">
        <f>IFERROR(VLOOKUP(A1209,'Sales Order'!A:D,4,FALSE),"")</f>
        <v>39371</v>
      </c>
      <c r="M1209" s="24">
        <f>IFERROR(VLOOKUP(A1209,'Sales Order'!A:F,6,FALSE),"")</f>
        <v>39376</v>
      </c>
      <c r="N1209" t="str">
        <f>IFERROR(VLOOKUP(VLOOKUP(A1209,'Sales Order'!A:G,7,FALSE),Shipper!A:B,2,FALSE),"Not Specified")</f>
        <v>Shipper ZHISN</v>
      </c>
      <c r="O1209" t="str">
        <f>IFERROR(VLOOKUP(A1209,'Sales Order'!A:I,9,FALSE),"Not Specified")</f>
        <v>Ship to 55-C</v>
      </c>
      <c r="P1209" t="str">
        <f>IFERROR(VLOOKUP(A1209,'Sales Order'!A:N,14,FALSE),"Not Specified")</f>
        <v>USA</v>
      </c>
      <c r="Q1209" t="str">
        <f>VLOOKUP(VLOOKUP(B1209,Product!A:C,3,FALSE),Supplier!A:B,2,FALSE)</f>
        <v>Supplier CIYNM</v>
      </c>
      <c r="R1209" t="str">
        <f>VLOOKUP(VLOOKUP(B1209,Product!A:C,3,FALSE),Supplier!A:I,9,FALSE)</f>
        <v>Singapore</v>
      </c>
      <c r="S1209" t="str">
        <f>IFERROR(IF(VLOOKUP(A1209,'Sales Order'!A:H,8,FALSE)&gt;100,"High Freight","Low Freight"),"Not Specified")</f>
        <v>High Freight</v>
      </c>
      <c r="T1209">
        <f t="shared" si="37"/>
        <v>1104</v>
      </c>
    </row>
    <row r="1210" spans="1:20">
      <c r="A1210" s="9">
        <v>10706</v>
      </c>
      <c r="B1210" s="6">
        <v>59</v>
      </c>
      <c r="C1210" s="6">
        <v>55</v>
      </c>
      <c r="D1210" s="6">
        <v>8</v>
      </c>
      <c r="E1210" s="18">
        <v>0</v>
      </c>
      <c r="F1210" s="6" t="str">
        <f>IFERROR(VLOOKUP(VLOOKUP(A1210,'Sales Order'!A:B,2,FALSE),Customer!A:C,3,FALSE),"Not Specified")</f>
        <v>Egelund-Muller, Anja</v>
      </c>
      <c r="G1210" s="6" t="str">
        <f t="shared" si="36"/>
        <v>Egelund-Muller Anja</v>
      </c>
      <c r="H1210" s="22" t="str">
        <f>IFERROR(VLOOKUP(VLOOKUP(A1210,'Sales Order'!A:C,3,FALSE),Employee!A:E,5,FALSE)&amp;" "&amp;VLOOKUP(VLOOKUP(A1210,'Sales Order'!A:C,3,FALSE),Employee!A:C,3,FALSE)&amp;" "&amp;VLOOKUP(VLOOKUP(A1210,'Sales Order'!A:C,3,FALSE),Employee!A:B,2,FALSE),"Not Specified")</f>
        <v>Ms. Maria Cameron</v>
      </c>
      <c r="I1210" t="str">
        <f>IFERROR(VLOOKUP(VLOOKUP(A1210,'Sales Order'!A:C,3,FALSE),Employee!A:J,10,FALSE),"Not Specified")</f>
        <v>WA</v>
      </c>
      <c r="J1210" t="str">
        <f>VLOOKUP(B1210,Product!A:B,2,FALSE)</f>
        <v>Product UKXRI</v>
      </c>
      <c r="K1210" t="str">
        <f>VLOOKUP(VLOOKUP(B1210,Product!A:D,4,FALSE),Category!A:B,2,FALSE)</f>
        <v>Dairy Product</v>
      </c>
      <c r="L1210" s="24">
        <f>IFERROR(VLOOKUP(A1210,'Sales Order'!A:D,4,FALSE),"")</f>
        <v>39371</v>
      </c>
      <c r="M1210" s="24">
        <f>IFERROR(VLOOKUP(A1210,'Sales Order'!A:F,6,FALSE),"")</f>
        <v>39376</v>
      </c>
      <c r="N1210" t="str">
        <f>IFERROR(VLOOKUP(VLOOKUP(A1210,'Sales Order'!A:G,7,FALSE),Shipper!A:B,2,FALSE),"Not Specified")</f>
        <v>Shipper ZHISN</v>
      </c>
      <c r="O1210" t="str">
        <f>IFERROR(VLOOKUP(A1210,'Sales Order'!A:I,9,FALSE),"Not Specified")</f>
        <v>Ship to 55-C</v>
      </c>
      <c r="P1210" t="str">
        <f>IFERROR(VLOOKUP(A1210,'Sales Order'!A:N,14,FALSE),"Not Specified")</f>
        <v>USA</v>
      </c>
      <c r="Q1210" t="str">
        <f>VLOOKUP(VLOOKUP(B1210,Product!A:C,3,FALSE),Supplier!A:B,2,FALSE)</f>
        <v>Supplier OAVQT</v>
      </c>
      <c r="R1210" t="str">
        <f>VLOOKUP(VLOOKUP(B1210,Product!A:C,3,FALSE),Supplier!A:I,9,FALSE)</f>
        <v>France</v>
      </c>
      <c r="S1210" t="str">
        <f>IFERROR(IF(VLOOKUP(A1210,'Sales Order'!A:H,8,FALSE)&gt;100,"High Freight","Low Freight"),"Not Specified")</f>
        <v>High Freight</v>
      </c>
      <c r="T1210">
        <f t="shared" si="37"/>
        <v>440</v>
      </c>
    </row>
    <row r="1211" spans="1:20">
      <c r="A1211" s="9">
        <v>10707</v>
      </c>
      <c r="B1211" s="6">
        <v>55</v>
      </c>
      <c r="C1211" s="6">
        <v>24</v>
      </c>
      <c r="D1211" s="6">
        <v>21</v>
      </c>
      <c r="E1211" s="18">
        <v>0</v>
      </c>
      <c r="F1211" s="6" t="str">
        <f>IFERROR(VLOOKUP(VLOOKUP(A1211,'Sales Order'!A:B,2,FALSE),Customer!A:C,3,FALSE),"Not Specified")</f>
        <v>Arndt, Torsten</v>
      </c>
      <c r="G1211" s="6" t="str">
        <f t="shared" si="36"/>
        <v>Arndt Torsten</v>
      </c>
      <c r="H1211" s="22" t="str">
        <f>IFERROR(VLOOKUP(VLOOKUP(A1211,'Sales Order'!A:C,3,FALSE),Employee!A:E,5,FALSE)&amp;" "&amp;VLOOKUP(VLOOKUP(A1211,'Sales Order'!A:C,3,FALSE),Employee!A:C,3,FALSE)&amp;" "&amp;VLOOKUP(VLOOKUP(A1211,'Sales Order'!A:C,3,FALSE),Employee!A:B,2,FALSE),"Not Specified")</f>
        <v>Mrs. Yael Peled</v>
      </c>
      <c r="I1211" t="str">
        <f>IFERROR(VLOOKUP(VLOOKUP(A1211,'Sales Order'!A:C,3,FALSE),Employee!A:J,10,FALSE),"Not Specified")</f>
        <v>WA</v>
      </c>
      <c r="J1211" t="str">
        <f>VLOOKUP(B1211,Product!A:B,2,FALSE)</f>
        <v>Product YYWRT</v>
      </c>
      <c r="K1211" t="str">
        <f>VLOOKUP(VLOOKUP(B1211,Product!A:D,4,FALSE),Category!A:B,2,FALSE)</f>
        <v>Meat/Poultry</v>
      </c>
      <c r="L1211" s="24">
        <f>IFERROR(VLOOKUP(A1211,'Sales Order'!A:D,4,FALSE),"")</f>
        <v>39371</v>
      </c>
      <c r="M1211" s="24">
        <f>IFERROR(VLOOKUP(A1211,'Sales Order'!A:F,6,FALSE),"")</f>
        <v>39378</v>
      </c>
      <c r="N1211" t="str">
        <f>IFERROR(VLOOKUP(VLOOKUP(A1211,'Sales Order'!A:G,7,FALSE),Shipper!A:B,2,FALSE),"Not Specified")</f>
        <v>Shipper ZHISN</v>
      </c>
      <c r="O1211" t="str">
        <f>IFERROR(VLOOKUP(A1211,'Sales Order'!A:I,9,FALSE),"Not Specified")</f>
        <v>Ship to 4-A</v>
      </c>
      <c r="P1211" t="str">
        <f>IFERROR(VLOOKUP(A1211,'Sales Order'!A:N,14,FALSE),"Not Specified")</f>
        <v>UK</v>
      </c>
      <c r="Q1211" t="str">
        <f>VLOOKUP(VLOOKUP(B1211,Product!A:C,3,FALSE),Supplier!A:B,2,FALSE)</f>
        <v>Supplier ERVYZ</v>
      </c>
      <c r="R1211" t="str">
        <f>VLOOKUP(VLOOKUP(B1211,Product!A:C,3,FALSE),Supplier!A:I,9,FALSE)</f>
        <v>Canada</v>
      </c>
      <c r="S1211" t="str">
        <f>IFERROR(IF(VLOOKUP(A1211,'Sales Order'!A:H,8,FALSE)&gt;100,"High Freight","Low Freight"),"Not Specified")</f>
        <v>Low Freight</v>
      </c>
      <c r="T1211">
        <f t="shared" si="37"/>
        <v>504</v>
      </c>
    </row>
    <row r="1212" spans="1:20">
      <c r="A1212" s="9">
        <v>10707</v>
      </c>
      <c r="B1212" s="6">
        <v>57</v>
      </c>
      <c r="C1212" s="6">
        <v>19.5</v>
      </c>
      <c r="D1212" s="6">
        <v>40</v>
      </c>
      <c r="E1212" s="18">
        <v>0</v>
      </c>
      <c r="F1212" s="6" t="str">
        <f>IFERROR(VLOOKUP(VLOOKUP(A1212,'Sales Order'!A:B,2,FALSE),Customer!A:C,3,FALSE),"Not Specified")</f>
        <v>Arndt, Torsten</v>
      </c>
      <c r="G1212" s="6" t="str">
        <f t="shared" si="36"/>
        <v>Arndt Torsten</v>
      </c>
      <c r="H1212" s="22" t="str">
        <f>IFERROR(VLOOKUP(VLOOKUP(A1212,'Sales Order'!A:C,3,FALSE),Employee!A:E,5,FALSE)&amp;" "&amp;VLOOKUP(VLOOKUP(A1212,'Sales Order'!A:C,3,FALSE),Employee!A:C,3,FALSE)&amp;" "&amp;VLOOKUP(VLOOKUP(A1212,'Sales Order'!A:C,3,FALSE),Employee!A:B,2,FALSE),"Not Specified")</f>
        <v>Mrs. Yael Peled</v>
      </c>
      <c r="I1212" t="str">
        <f>IFERROR(VLOOKUP(VLOOKUP(A1212,'Sales Order'!A:C,3,FALSE),Employee!A:J,10,FALSE),"Not Specified")</f>
        <v>WA</v>
      </c>
      <c r="J1212" t="str">
        <f>VLOOKUP(B1212,Product!A:B,2,FALSE)</f>
        <v>Product OVLQI</v>
      </c>
      <c r="K1212" t="str">
        <f>VLOOKUP(VLOOKUP(B1212,Product!A:D,4,FALSE),Category!A:B,2,FALSE)</f>
        <v>Grains/Cereals</v>
      </c>
      <c r="L1212" s="24">
        <f>IFERROR(VLOOKUP(A1212,'Sales Order'!A:D,4,FALSE),"")</f>
        <v>39371</v>
      </c>
      <c r="M1212" s="24">
        <f>IFERROR(VLOOKUP(A1212,'Sales Order'!A:F,6,FALSE),"")</f>
        <v>39378</v>
      </c>
      <c r="N1212" t="str">
        <f>IFERROR(VLOOKUP(VLOOKUP(A1212,'Sales Order'!A:G,7,FALSE),Shipper!A:B,2,FALSE),"Not Specified")</f>
        <v>Shipper ZHISN</v>
      </c>
      <c r="O1212" t="str">
        <f>IFERROR(VLOOKUP(A1212,'Sales Order'!A:I,9,FALSE),"Not Specified")</f>
        <v>Ship to 4-A</v>
      </c>
      <c r="P1212" t="str">
        <f>IFERROR(VLOOKUP(A1212,'Sales Order'!A:N,14,FALSE),"Not Specified")</f>
        <v>UK</v>
      </c>
      <c r="Q1212" t="str">
        <f>VLOOKUP(VLOOKUP(B1212,Product!A:C,3,FALSE),Supplier!A:B,2,FALSE)</f>
        <v>Supplier ZWZDM</v>
      </c>
      <c r="R1212" t="str">
        <f>VLOOKUP(VLOOKUP(B1212,Product!A:C,3,FALSE),Supplier!A:I,9,FALSE)</f>
        <v>Italy</v>
      </c>
      <c r="S1212" t="str">
        <f>IFERROR(IF(VLOOKUP(A1212,'Sales Order'!A:H,8,FALSE)&gt;100,"High Freight","Low Freight"),"Not Specified")</f>
        <v>Low Freight</v>
      </c>
      <c r="T1212">
        <f t="shared" si="37"/>
        <v>780</v>
      </c>
    </row>
    <row r="1213" spans="1:20">
      <c r="A1213" s="9">
        <v>10707</v>
      </c>
      <c r="B1213" s="6">
        <v>70</v>
      </c>
      <c r="C1213" s="6">
        <v>15</v>
      </c>
      <c r="D1213" s="6">
        <v>28</v>
      </c>
      <c r="E1213" s="18">
        <v>0.15</v>
      </c>
      <c r="F1213" s="6" t="str">
        <f>IFERROR(VLOOKUP(VLOOKUP(A1213,'Sales Order'!A:B,2,FALSE),Customer!A:C,3,FALSE),"Not Specified")</f>
        <v>Arndt, Torsten</v>
      </c>
      <c r="G1213" s="6" t="str">
        <f t="shared" si="36"/>
        <v>Arndt Torsten</v>
      </c>
      <c r="H1213" s="22" t="str">
        <f>IFERROR(VLOOKUP(VLOOKUP(A1213,'Sales Order'!A:C,3,FALSE),Employee!A:E,5,FALSE)&amp;" "&amp;VLOOKUP(VLOOKUP(A1213,'Sales Order'!A:C,3,FALSE),Employee!A:C,3,FALSE)&amp;" "&amp;VLOOKUP(VLOOKUP(A1213,'Sales Order'!A:C,3,FALSE),Employee!A:B,2,FALSE),"Not Specified")</f>
        <v>Mrs. Yael Peled</v>
      </c>
      <c r="I1213" t="str">
        <f>IFERROR(VLOOKUP(VLOOKUP(A1213,'Sales Order'!A:C,3,FALSE),Employee!A:J,10,FALSE),"Not Specified")</f>
        <v>WA</v>
      </c>
      <c r="J1213" t="str">
        <f>VLOOKUP(B1213,Product!A:B,2,FALSE)</f>
        <v>Product TOONT</v>
      </c>
      <c r="K1213" t="str">
        <f>VLOOKUP(VLOOKUP(B1213,Product!A:D,4,FALSE),Category!A:B,2,FALSE)</f>
        <v>Beverages</v>
      </c>
      <c r="L1213" s="24">
        <f>IFERROR(VLOOKUP(A1213,'Sales Order'!A:D,4,FALSE),"")</f>
        <v>39371</v>
      </c>
      <c r="M1213" s="24">
        <f>IFERROR(VLOOKUP(A1213,'Sales Order'!A:F,6,FALSE),"")</f>
        <v>39378</v>
      </c>
      <c r="N1213" t="str">
        <f>IFERROR(VLOOKUP(VLOOKUP(A1213,'Sales Order'!A:G,7,FALSE),Shipper!A:B,2,FALSE),"Not Specified")</f>
        <v>Shipper ZHISN</v>
      </c>
      <c r="O1213" t="str">
        <f>IFERROR(VLOOKUP(A1213,'Sales Order'!A:I,9,FALSE),"Not Specified")</f>
        <v>Ship to 4-A</v>
      </c>
      <c r="P1213" t="str">
        <f>IFERROR(VLOOKUP(A1213,'Sales Order'!A:N,14,FALSE),"Not Specified")</f>
        <v>UK</v>
      </c>
      <c r="Q1213" t="str">
        <f>VLOOKUP(VLOOKUP(B1213,Product!A:C,3,FALSE),Supplier!A:B,2,FALSE)</f>
        <v>Supplier GQRCV</v>
      </c>
      <c r="R1213" t="str">
        <f>VLOOKUP(VLOOKUP(B1213,Product!A:C,3,FALSE),Supplier!A:I,9,FALSE)</f>
        <v>Australia</v>
      </c>
      <c r="S1213" t="str">
        <f>IFERROR(IF(VLOOKUP(A1213,'Sales Order'!A:H,8,FALSE)&gt;100,"High Freight","Low Freight"),"Not Specified")</f>
        <v>Low Freight</v>
      </c>
      <c r="T1213">
        <f t="shared" si="37"/>
        <v>357</v>
      </c>
    </row>
    <row r="1214" spans="1:20">
      <c r="A1214" s="9">
        <v>10708</v>
      </c>
      <c r="B1214" s="6">
        <v>5</v>
      </c>
      <c r="C1214" s="6">
        <v>21.35</v>
      </c>
      <c r="D1214" s="6">
        <v>4</v>
      </c>
      <c r="E1214" s="18">
        <v>0</v>
      </c>
      <c r="F1214" s="6" t="str">
        <f>IFERROR(VLOOKUP(VLOOKUP(A1214,'Sales Order'!A:B,2,FALSE),Customer!A:C,3,FALSE),"Not Specified")</f>
        <v>Osorio, Cristian</v>
      </c>
      <c r="G1214" s="6" t="str">
        <f t="shared" si="36"/>
        <v>Osorio Cristian</v>
      </c>
      <c r="H1214" s="22" t="str">
        <f>IFERROR(VLOOKUP(VLOOKUP(A1214,'Sales Order'!A:C,3,FALSE),Employee!A:E,5,FALSE)&amp;" "&amp;VLOOKUP(VLOOKUP(A1214,'Sales Order'!A:C,3,FALSE),Employee!A:C,3,FALSE)&amp;" "&amp;VLOOKUP(VLOOKUP(A1214,'Sales Order'!A:C,3,FALSE),Employee!A:B,2,FALSE),"Not Specified")</f>
        <v>Mr. Paul Suurs</v>
      </c>
      <c r="I1214">
        <f>IFERROR(VLOOKUP(VLOOKUP(A1214,'Sales Order'!A:C,3,FALSE),Employee!A:J,10,FALSE),"Not Specified")</f>
        <v>0</v>
      </c>
      <c r="J1214" t="str">
        <f>VLOOKUP(B1214,Product!A:B,2,FALSE)</f>
        <v>Product EPEIM</v>
      </c>
      <c r="K1214" t="str">
        <f>VLOOKUP(VLOOKUP(B1214,Product!A:D,4,FALSE),Category!A:B,2,FALSE)</f>
        <v>Condiments</v>
      </c>
      <c r="L1214" s="24">
        <f>IFERROR(VLOOKUP(A1214,'Sales Order'!A:D,4,FALSE),"")</f>
        <v>39372</v>
      </c>
      <c r="M1214" s="24">
        <f>IFERROR(VLOOKUP(A1214,'Sales Order'!A:F,6,FALSE),"")</f>
        <v>39391</v>
      </c>
      <c r="N1214" t="str">
        <f>IFERROR(VLOOKUP(VLOOKUP(A1214,'Sales Order'!A:G,7,FALSE),Shipper!A:B,2,FALSE),"Not Specified")</f>
        <v>Shipper ETYNR</v>
      </c>
      <c r="O1214" t="str">
        <f>IFERROR(VLOOKUP(A1214,'Sales Order'!A:I,9,FALSE),"Not Specified")</f>
        <v>Ship to 77-C</v>
      </c>
      <c r="P1214" t="str">
        <f>IFERROR(VLOOKUP(A1214,'Sales Order'!A:N,14,FALSE),"Not Specified")</f>
        <v>USA</v>
      </c>
      <c r="Q1214" t="str">
        <f>VLOOKUP(VLOOKUP(B1214,Product!A:C,3,FALSE),Supplier!A:B,2,FALSE)</f>
        <v>Supplier VHQZD</v>
      </c>
      <c r="R1214" t="str">
        <f>VLOOKUP(VLOOKUP(B1214,Product!A:C,3,FALSE),Supplier!A:I,9,FALSE)</f>
        <v>USA</v>
      </c>
      <c r="S1214" t="str">
        <f>IFERROR(IF(VLOOKUP(A1214,'Sales Order'!A:H,8,FALSE)&gt;100,"High Freight","Low Freight"),"Not Specified")</f>
        <v>Low Freight</v>
      </c>
      <c r="T1214">
        <f t="shared" si="37"/>
        <v>85.4</v>
      </c>
    </row>
    <row r="1215" spans="1:20">
      <c r="A1215" s="9">
        <v>10708</v>
      </c>
      <c r="B1215" s="6">
        <v>36</v>
      </c>
      <c r="C1215" s="6">
        <v>19</v>
      </c>
      <c r="D1215" s="6">
        <v>5</v>
      </c>
      <c r="E1215" s="18">
        <v>0</v>
      </c>
      <c r="F1215" s="6" t="str">
        <f>IFERROR(VLOOKUP(VLOOKUP(A1215,'Sales Order'!A:B,2,FALSE),Customer!A:C,3,FALSE),"Not Specified")</f>
        <v>Osorio, Cristian</v>
      </c>
      <c r="G1215" s="6" t="str">
        <f t="shared" si="36"/>
        <v>Osorio Cristian</v>
      </c>
      <c r="H1215" s="22" t="str">
        <f>IFERROR(VLOOKUP(VLOOKUP(A1215,'Sales Order'!A:C,3,FALSE),Employee!A:E,5,FALSE)&amp;" "&amp;VLOOKUP(VLOOKUP(A1215,'Sales Order'!A:C,3,FALSE),Employee!A:C,3,FALSE)&amp;" "&amp;VLOOKUP(VLOOKUP(A1215,'Sales Order'!A:C,3,FALSE),Employee!A:B,2,FALSE),"Not Specified")</f>
        <v>Mr. Paul Suurs</v>
      </c>
      <c r="I1215">
        <f>IFERROR(VLOOKUP(VLOOKUP(A1215,'Sales Order'!A:C,3,FALSE),Employee!A:J,10,FALSE),"Not Specified")</f>
        <v>0</v>
      </c>
      <c r="J1215" t="str">
        <f>VLOOKUP(B1215,Product!A:B,2,FALSE)</f>
        <v>Product GMKIJ</v>
      </c>
      <c r="K1215" t="str">
        <f>VLOOKUP(VLOOKUP(B1215,Product!A:D,4,FALSE),Category!A:B,2,FALSE)</f>
        <v>Seafood</v>
      </c>
      <c r="L1215" s="24">
        <f>IFERROR(VLOOKUP(A1215,'Sales Order'!A:D,4,FALSE),"")</f>
        <v>39372</v>
      </c>
      <c r="M1215" s="24">
        <f>IFERROR(VLOOKUP(A1215,'Sales Order'!A:F,6,FALSE),"")</f>
        <v>39391</v>
      </c>
      <c r="N1215" t="str">
        <f>IFERROR(VLOOKUP(VLOOKUP(A1215,'Sales Order'!A:G,7,FALSE),Shipper!A:B,2,FALSE),"Not Specified")</f>
        <v>Shipper ETYNR</v>
      </c>
      <c r="O1215" t="str">
        <f>IFERROR(VLOOKUP(A1215,'Sales Order'!A:I,9,FALSE),"Not Specified")</f>
        <v>Ship to 77-C</v>
      </c>
      <c r="P1215" t="str">
        <f>IFERROR(VLOOKUP(A1215,'Sales Order'!A:N,14,FALSE),"Not Specified")</f>
        <v>USA</v>
      </c>
      <c r="Q1215" t="str">
        <f>VLOOKUP(VLOOKUP(B1215,Product!A:C,3,FALSE),Supplier!A:B,2,FALSE)</f>
        <v>Supplier QZGUF</v>
      </c>
      <c r="R1215" t="str">
        <f>VLOOKUP(VLOOKUP(B1215,Product!A:C,3,FALSE),Supplier!A:I,9,FALSE)</f>
        <v>Sweden</v>
      </c>
      <c r="S1215" t="str">
        <f>IFERROR(IF(VLOOKUP(A1215,'Sales Order'!A:H,8,FALSE)&gt;100,"High Freight","Low Freight"),"Not Specified")</f>
        <v>Low Freight</v>
      </c>
      <c r="T1215">
        <f t="shared" si="37"/>
        <v>95</v>
      </c>
    </row>
    <row r="1216" spans="1:20">
      <c r="A1216" s="9">
        <v>10709</v>
      </c>
      <c r="B1216" s="6">
        <v>8</v>
      </c>
      <c r="C1216" s="6">
        <v>40</v>
      </c>
      <c r="D1216" s="6">
        <v>40</v>
      </c>
      <c r="E1216" s="18">
        <v>0</v>
      </c>
      <c r="F1216" s="6" t="str">
        <f>IFERROR(VLOOKUP(VLOOKUP(A1216,'Sales Order'!A:B,2,FALSE),Customer!A:C,3,FALSE),"Not Specified")</f>
        <v>Cheng, Yao-Qiang</v>
      </c>
      <c r="G1216" s="6" t="str">
        <f t="shared" si="36"/>
        <v>Cheng Yao-Qiang</v>
      </c>
      <c r="H1216" s="22" t="str">
        <f>IFERROR(VLOOKUP(VLOOKUP(A1216,'Sales Order'!A:C,3,FALSE),Employee!A:E,5,FALSE)&amp;" "&amp;VLOOKUP(VLOOKUP(A1216,'Sales Order'!A:C,3,FALSE),Employee!A:C,3,FALSE)&amp;" "&amp;VLOOKUP(VLOOKUP(A1216,'Sales Order'!A:C,3,FALSE),Employee!A:B,2,FALSE),"Not Specified")</f>
        <v>Ms. Sara Davis</v>
      </c>
      <c r="I1216" t="str">
        <f>IFERROR(VLOOKUP(VLOOKUP(A1216,'Sales Order'!A:C,3,FALSE),Employee!A:J,10,FALSE),"Not Specified")</f>
        <v>WA</v>
      </c>
      <c r="J1216" t="str">
        <f>VLOOKUP(B1216,Product!A:B,2,FALSE)</f>
        <v>Product WVJFP</v>
      </c>
      <c r="K1216" t="str">
        <f>VLOOKUP(VLOOKUP(B1216,Product!A:D,4,FALSE),Category!A:B,2,FALSE)</f>
        <v>Condiments</v>
      </c>
      <c r="L1216" s="24">
        <f>IFERROR(VLOOKUP(A1216,'Sales Order'!A:D,4,FALSE),"")</f>
        <v>39372</v>
      </c>
      <c r="M1216" s="24">
        <f>IFERROR(VLOOKUP(A1216,'Sales Order'!A:F,6,FALSE),"")</f>
        <v>39406</v>
      </c>
      <c r="N1216" t="str">
        <f>IFERROR(VLOOKUP(VLOOKUP(A1216,'Sales Order'!A:G,7,FALSE),Shipper!A:B,2,FALSE),"Not Specified")</f>
        <v>Shipper ZHISN</v>
      </c>
      <c r="O1216" t="str">
        <f>IFERROR(VLOOKUP(A1216,'Sales Order'!A:I,9,FALSE),"Not Specified")</f>
        <v>Destination GWPFK</v>
      </c>
      <c r="P1216" t="str">
        <f>IFERROR(VLOOKUP(A1216,'Sales Order'!A:N,14,FALSE),"Not Specified")</f>
        <v>Brazil</v>
      </c>
      <c r="Q1216" t="str">
        <f>VLOOKUP(VLOOKUP(B1216,Product!A:C,3,FALSE),Supplier!A:B,2,FALSE)</f>
        <v>Supplier STUAZ</v>
      </c>
      <c r="R1216" t="str">
        <f>VLOOKUP(VLOOKUP(B1216,Product!A:C,3,FALSE),Supplier!A:I,9,FALSE)</f>
        <v>USA</v>
      </c>
      <c r="S1216" t="str">
        <f>IFERROR(IF(VLOOKUP(A1216,'Sales Order'!A:H,8,FALSE)&gt;100,"High Freight","Low Freight"),"Not Specified")</f>
        <v>High Freight</v>
      </c>
      <c r="T1216">
        <f t="shared" si="37"/>
        <v>1600</v>
      </c>
    </row>
    <row r="1217" spans="1:20">
      <c r="A1217" s="9">
        <v>10709</v>
      </c>
      <c r="B1217" s="6">
        <v>51</v>
      </c>
      <c r="C1217" s="6">
        <v>53</v>
      </c>
      <c r="D1217" s="6">
        <v>28</v>
      </c>
      <c r="E1217" s="18">
        <v>0</v>
      </c>
      <c r="F1217" s="6" t="str">
        <f>IFERROR(VLOOKUP(VLOOKUP(A1217,'Sales Order'!A:B,2,FALSE),Customer!A:C,3,FALSE),"Not Specified")</f>
        <v>Cheng, Yao-Qiang</v>
      </c>
      <c r="G1217" s="6" t="str">
        <f t="shared" si="36"/>
        <v>Cheng Yao-Qiang</v>
      </c>
      <c r="H1217" s="22" t="str">
        <f>IFERROR(VLOOKUP(VLOOKUP(A1217,'Sales Order'!A:C,3,FALSE),Employee!A:E,5,FALSE)&amp;" "&amp;VLOOKUP(VLOOKUP(A1217,'Sales Order'!A:C,3,FALSE),Employee!A:C,3,FALSE)&amp;" "&amp;VLOOKUP(VLOOKUP(A1217,'Sales Order'!A:C,3,FALSE),Employee!A:B,2,FALSE),"Not Specified")</f>
        <v>Ms. Sara Davis</v>
      </c>
      <c r="I1217" t="str">
        <f>IFERROR(VLOOKUP(VLOOKUP(A1217,'Sales Order'!A:C,3,FALSE),Employee!A:J,10,FALSE),"Not Specified")</f>
        <v>WA</v>
      </c>
      <c r="J1217" t="str">
        <f>VLOOKUP(B1217,Product!A:B,2,FALSE)</f>
        <v>Product APITJ</v>
      </c>
      <c r="K1217" t="str">
        <f>VLOOKUP(VLOOKUP(B1217,Product!A:D,4,FALSE),Category!A:B,2,FALSE)</f>
        <v>Produce</v>
      </c>
      <c r="L1217" s="24">
        <f>IFERROR(VLOOKUP(A1217,'Sales Order'!A:D,4,FALSE),"")</f>
        <v>39372</v>
      </c>
      <c r="M1217" s="24">
        <f>IFERROR(VLOOKUP(A1217,'Sales Order'!A:F,6,FALSE),"")</f>
        <v>39406</v>
      </c>
      <c r="N1217" t="str">
        <f>IFERROR(VLOOKUP(VLOOKUP(A1217,'Sales Order'!A:G,7,FALSE),Shipper!A:B,2,FALSE),"Not Specified")</f>
        <v>Shipper ZHISN</v>
      </c>
      <c r="O1217" t="str">
        <f>IFERROR(VLOOKUP(A1217,'Sales Order'!A:I,9,FALSE),"Not Specified")</f>
        <v>Destination GWPFK</v>
      </c>
      <c r="P1217" t="str">
        <f>IFERROR(VLOOKUP(A1217,'Sales Order'!A:N,14,FALSE),"Not Specified")</f>
        <v>Brazil</v>
      </c>
      <c r="Q1217" t="str">
        <f>VLOOKUP(VLOOKUP(B1217,Product!A:C,3,FALSE),Supplier!A:B,2,FALSE)</f>
        <v>Supplier JNNES</v>
      </c>
      <c r="R1217" t="str">
        <f>VLOOKUP(VLOOKUP(B1217,Product!A:C,3,FALSE),Supplier!A:I,9,FALSE)</f>
        <v>Australia</v>
      </c>
      <c r="S1217" t="str">
        <f>IFERROR(IF(VLOOKUP(A1217,'Sales Order'!A:H,8,FALSE)&gt;100,"High Freight","Low Freight"),"Not Specified")</f>
        <v>High Freight</v>
      </c>
      <c r="T1217">
        <f t="shared" si="37"/>
        <v>1484</v>
      </c>
    </row>
    <row r="1218" spans="1:20">
      <c r="A1218" s="9">
        <v>10709</v>
      </c>
      <c r="B1218" s="6">
        <v>60</v>
      </c>
      <c r="C1218" s="6">
        <v>34</v>
      </c>
      <c r="D1218" s="6">
        <v>10</v>
      </c>
      <c r="E1218" s="18">
        <v>0</v>
      </c>
      <c r="F1218" s="6" t="str">
        <f>IFERROR(VLOOKUP(VLOOKUP(A1218,'Sales Order'!A:B,2,FALSE),Customer!A:C,3,FALSE),"Not Specified")</f>
        <v>Cheng, Yao-Qiang</v>
      </c>
      <c r="G1218" s="6" t="str">
        <f t="shared" si="36"/>
        <v>Cheng Yao-Qiang</v>
      </c>
      <c r="H1218" s="22" t="str">
        <f>IFERROR(VLOOKUP(VLOOKUP(A1218,'Sales Order'!A:C,3,FALSE),Employee!A:E,5,FALSE)&amp;" "&amp;VLOOKUP(VLOOKUP(A1218,'Sales Order'!A:C,3,FALSE),Employee!A:C,3,FALSE)&amp;" "&amp;VLOOKUP(VLOOKUP(A1218,'Sales Order'!A:C,3,FALSE),Employee!A:B,2,FALSE),"Not Specified")</f>
        <v>Ms. Sara Davis</v>
      </c>
      <c r="I1218" t="str">
        <f>IFERROR(VLOOKUP(VLOOKUP(A1218,'Sales Order'!A:C,3,FALSE),Employee!A:J,10,FALSE),"Not Specified")</f>
        <v>WA</v>
      </c>
      <c r="J1218" t="str">
        <f>VLOOKUP(B1218,Product!A:B,2,FALSE)</f>
        <v>Product WHBYK</v>
      </c>
      <c r="K1218" t="str">
        <f>VLOOKUP(VLOOKUP(B1218,Product!A:D,4,FALSE),Category!A:B,2,FALSE)</f>
        <v>Dairy Product</v>
      </c>
      <c r="L1218" s="24">
        <f>IFERROR(VLOOKUP(A1218,'Sales Order'!A:D,4,FALSE),"")</f>
        <v>39372</v>
      </c>
      <c r="M1218" s="24">
        <f>IFERROR(VLOOKUP(A1218,'Sales Order'!A:F,6,FALSE),"")</f>
        <v>39406</v>
      </c>
      <c r="N1218" t="str">
        <f>IFERROR(VLOOKUP(VLOOKUP(A1218,'Sales Order'!A:G,7,FALSE),Shipper!A:B,2,FALSE),"Not Specified")</f>
        <v>Shipper ZHISN</v>
      </c>
      <c r="O1218" t="str">
        <f>IFERROR(VLOOKUP(A1218,'Sales Order'!A:I,9,FALSE),"Not Specified")</f>
        <v>Destination GWPFK</v>
      </c>
      <c r="P1218" t="str">
        <f>IFERROR(VLOOKUP(A1218,'Sales Order'!A:N,14,FALSE),"Not Specified")</f>
        <v>Brazil</v>
      </c>
      <c r="Q1218" t="str">
        <f>VLOOKUP(VLOOKUP(B1218,Product!A:C,3,FALSE),Supplier!A:B,2,FALSE)</f>
        <v>Supplier OAVQT</v>
      </c>
      <c r="R1218" t="str">
        <f>VLOOKUP(VLOOKUP(B1218,Product!A:C,3,FALSE),Supplier!A:I,9,FALSE)</f>
        <v>France</v>
      </c>
      <c r="S1218" t="str">
        <f>IFERROR(IF(VLOOKUP(A1218,'Sales Order'!A:H,8,FALSE)&gt;100,"High Freight","Low Freight"),"Not Specified")</f>
        <v>High Freight</v>
      </c>
      <c r="T1218">
        <f t="shared" si="37"/>
        <v>340</v>
      </c>
    </row>
    <row r="1219" spans="1:20">
      <c r="A1219" s="9">
        <v>10710</v>
      </c>
      <c r="B1219" s="6">
        <v>19</v>
      </c>
      <c r="C1219" s="6">
        <v>9.1999999999999993</v>
      </c>
      <c r="D1219" s="6">
        <v>5</v>
      </c>
      <c r="E1219" s="18">
        <v>0</v>
      </c>
      <c r="F1219" s="6" t="str">
        <f>IFERROR(VLOOKUP(VLOOKUP(A1219,'Sales Order'!A:B,2,FALSE),Customer!A:C,3,FALSE),"Not Specified")</f>
        <v>Schmöllerl, Martin</v>
      </c>
      <c r="G1219" s="6" t="str">
        <f t="shared" ref="G1219:G1282" si="38">SUBSTITUTE(F1219,",","",1)</f>
        <v>Schmöllerl Martin</v>
      </c>
      <c r="H1219" s="22" t="str">
        <f>IFERROR(VLOOKUP(VLOOKUP(A1219,'Sales Order'!A:C,3,FALSE),Employee!A:E,5,FALSE)&amp;" "&amp;VLOOKUP(VLOOKUP(A1219,'Sales Order'!A:C,3,FALSE),Employee!A:C,3,FALSE)&amp;" "&amp;VLOOKUP(VLOOKUP(A1219,'Sales Order'!A:C,3,FALSE),Employee!A:B,2,FALSE),"Not Specified")</f>
        <v>Ms. Sara Davis</v>
      </c>
      <c r="I1219" t="str">
        <f>IFERROR(VLOOKUP(VLOOKUP(A1219,'Sales Order'!A:C,3,FALSE),Employee!A:J,10,FALSE),"Not Specified")</f>
        <v>WA</v>
      </c>
      <c r="J1219" t="str">
        <f>VLOOKUP(B1219,Product!A:B,2,FALSE)</f>
        <v>Product XKXDO</v>
      </c>
      <c r="K1219" t="str">
        <f>VLOOKUP(VLOOKUP(B1219,Product!A:D,4,FALSE),Category!A:B,2,FALSE)</f>
        <v>Confections</v>
      </c>
      <c r="L1219" s="24">
        <f>IFERROR(VLOOKUP(A1219,'Sales Order'!A:D,4,FALSE),"")</f>
        <v>39375</v>
      </c>
      <c r="M1219" s="24">
        <f>IFERROR(VLOOKUP(A1219,'Sales Order'!A:F,6,FALSE),"")</f>
        <v>39378</v>
      </c>
      <c r="N1219" t="str">
        <f>IFERROR(VLOOKUP(VLOOKUP(A1219,'Sales Order'!A:G,7,FALSE),Shipper!A:B,2,FALSE),"Not Specified")</f>
        <v>Shipper GVSUA</v>
      </c>
      <c r="O1219" t="str">
        <f>IFERROR(VLOOKUP(A1219,'Sales Order'!A:I,9,FALSE),"Not Specified")</f>
        <v>Destination FFLQT</v>
      </c>
      <c r="P1219" t="str">
        <f>IFERROR(VLOOKUP(A1219,'Sales Order'!A:N,14,FALSE),"Not Specified")</f>
        <v>Italy</v>
      </c>
      <c r="Q1219" t="str">
        <f>VLOOKUP(VLOOKUP(B1219,Product!A:C,3,FALSE),Supplier!A:B,2,FALSE)</f>
        <v>Supplier BWGYE</v>
      </c>
      <c r="R1219" t="str">
        <f>VLOOKUP(VLOOKUP(B1219,Product!A:C,3,FALSE),Supplier!A:I,9,FALSE)</f>
        <v>UK</v>
      </c>
      <c r="S1219" t="str">
        <f>IFERROR(IF(VLOOKUP(A1219,'Sales Order'!A:H,8,FALSE)&gt;100,"High Freight","Low Freight"),"Not Specified")</f>
        <v>Low Freight</v>
      </c>
      <c r="T1219">
        <f t="shared" ref="T1219:T1282" si="39">C1219*D1219*(1-E1219)</f>
        <v>46</v>
      </c>
    </row>
    <row r="1220" spans="1:20">
      <c r="A1220" s="9">
        <v>10710</v>
      </c>
      <c r="B1220" s="6">
        <v>47</v>
      </c>
      <c r="C1220" s="6">
        <v>9.5</v>
      </c>
      <c r="D1220" s="6">
        <v>5</v>
      </c>
      <c r="E1220" s="18">
        <v>0</v>
      </c>
      <c r="F1220" s="6" t="str">
        <f>IFERROR(VLOOKUP(VLOOKUP(A1220,'Sales Order'!A:B,2,FALSE),Customer!A:C,3,FALSE),"Not Specified")</f>
        <v>Schmöllerl, Martin</v>
      </c>
      <c r="G1220" s="6" t="str">
        <f t="shared" si="38"/>
        <v>Schmöllerl Martin</v>
      </c>
      <c r="H1220" s="22" t="str">
        <f>IFERROR(VLOOKUP(VLOOKUP(A1220,'Sales Order'!A:C,3,FALSE),Employee!A:E,5,FALSE)&amp;" "&amp;VLOOKUP(VLOOKUP(A1220,'Sales Order'!A:C,3,FALSE),Employee!A:C,3,FALSE)&amp;" "&amp;VLOOKUP(VLOOKUP(A1220,'Sales Order'!A:C,3,FALSE),Employee!A:B,2,FALSE),"Not Specified")</f>
        <v>Ms. Sara Davis</v>
      </c>
      <c r="I1220" t="str">
        <f>IFERROR(VLOOKUP(VLOOKUP(A1220,'Sales Order'!A:C,3,FALSE),Employee!A:J,10,FALSE),"Not Specified")</f>
        <v>WA</v>
      </c>
      <c r="J1220" t="str">
        <f>VLOOKUP(B1220,Product!A:B,2,FALSE)</f>
        <v>Product EZZPR</v>
      </c>
      <c r="K1220" t="str">
        <f>VLOOKUP(VLOOKUP(B1220,Product!A:D,4,FALSE),Category!A:B,2,FALSE)</f>
        <v>Confections</v>
      </c>
      <c r="L1220" s="24">
        <f>IFERROR(VLOOKUP(A1220,'Sales Order'!A:D,4,FALSE),"")</f>
        <v>39375</v>
      </c>
      <c r="M1220" s="24">
        <f>IFERROR(VLOOKUP(A1220,'Sales Order'!A:F,6,FALSE),"")</f>
        <v>39378</v>
      </c>
      <c r="N1220" t="str">
        <f>IFERROR(VLOOKUP(VLOOKUP(A1220,'Sales Order'!A:G,7,FALSE),Shipper!A:B,2,FALSE),"Not Specified")</f>
        <v>Shipper GVSUA</v>
      </c>
      <c r="O1220" t="str">
        <f>IFERROR(VLOOKUP(A1220,'Sales Order'!A:I,9,FALSE),"Not Specified")</f>
        <v>Destination FFLQT</v>
      </c>
      <c r="P1220" t="str">
        <f>IFERROR(VLOOKUP(A1220,'Sales Order'!A:N,14,FALSE),"Not Specified")</f>
        <v>Italy</v>
      </c>
      <c r="Q1220" t="str">
        <f>VLOOKUP(VLOOKUP(B1220,Product!A:C,3,FALSE),Supplier!A:B,2,FALSE)</f>
        <v>Supplier FNUXM</v>
      </c>
      <c r="R1220" t="str">
        <f>VLOOKUP(VLOOKUP(B1220,Product!A:C,3,FALSE),Supplier!A:I,9,FALSE)</f>
        <v>Netherlands</v>
      </c>
      <c r="S1220" t="str">
        <f>IFERROR(IF(VLOOKUP(A1220,'Sales Order'!A:H,8,FALSE)&gt;100,"High Freight","Low Freight"),"Not Specified")</f>
        <v>Low Freight</v>
      </c>
      <c r="T1220">
        <f t="shared" si="39"/>
        <v>47.5</v>
      </c>
    </row>
    <row r="1221" spans="1:20">
      <c r="A1221" s="9">
        <v>10711</v>
      </c>
      <c r="B1221" s="6">
        <v>19</v>
      </c>
      <c r="C1221" s="6">
        <v>9.1999999999999993</v>
      </c>
      <c r="D1221" s="6">
        <v>12</v>
      </c>
      <c r="E1221" s="18">
        <v>0</v>
      </c>
      <c r="F1221" s="6" t="str">
        <f>IFERROR(VLOOKUP(VLOOKUP(A1221,'Sales Order'!A:B,2,FALSE),Customer!A:C,3,FALSE),"Not Specified")</f>
        <v>Navarro, Tomás</v>
      </c>
      <c r="G1221" s="6" t="str">
        <f t="shared" si="38"/>
        <v>Navarro Tomás</v>
      </c>
      <c r="H1221" s="22" t="str">
        <f>IFERROR(VLOOKUP(VLOOKUP(A1221,'Sales Order'!A:C,3,FALSE),Employee!A:E,5,FALSE)&amp;" "&amp;VLOOKUP(VLOOKUP(A1221,'Sales Order'!A:C,3,FALSE),Employee!A:C,3,FALSE)&amp;" "&amp;VLOOKUP(VLOOKUP(A1221,'Sales Order'!A:C,3,FALSE),Employee!A:B,2,FALSE),"Not Specified")</f>
        <v>Mr. Sven Buck</v>
      </c>
      <c r="I1221">
        <f>IFERROR(VLOOKUP(VLOOKUP(A1221,'Sales Order'!A:C,3,FALSE),Employee!A:J,10,FALSE),"Not Specified")</f>
        <v>0</v>
      </c>
      <c r="J1221" t="str">
        <f>VLOOKUP(B1221,Product!A:B,2,FALSE)</f>
        <v>Product XKXDO</v>
      </c>
      <c r="K1221" t="str">
        <f>VLOOKUP(VLOOKUP(B1221,Product!A:D,4,FALSE),Category!A:B,2,FALSE)</f>
        <v>Confections</v>
      </c>
      <c r="L1221" s="24">
        <f>IFERROR(VLOOKUP(A1221,'Sales Order'!A:D,4,FALSE),"")</f>
        <v>39376</v>
      </c>
      <c r="M1221" s="24">
        <f>IFERROR(VLOOKUP(A1221,'Sales Order'!A:F,6,FALSE),"")</f>
        <v>39384</v>
      </c>
      <c r="N1221" t="str">
        <f>IFERROR(VLOOKUP(VLOOKUP(A1221,'Sales Order'!A:G,7,FALSE),Shipper!A:B,2,FALSE),"Not Specified")</f>
        <v>Shipper ETYNR</v>
      </c>
      <c r="O1221" t="str">
        <f>IFERROR(VLOOKUP(A1221,'Sales Order'!A:I,9,FALSE),"Not Specified")</f>
        <v>Ship to 71-A</v>
      </c>
      <c r="P1221" t="str">
        <f>IFERROR(VLOOKUP(A1221,'Sales Order'!A:N,14,FALSE),"Not Specified")</f>
        <v>USA</v>
      </c>
      <c r="Q1221" t="str">
        <f>VLOOKUP(VLOOKUP(B1221,Product!A:C,3,FALSE),Supplier!A:B,2,FALSE)</f>
        <v>Supplier BWGYE</v>
      </c>
      <c r="R1221" t="str">
        <f>VLOOKUP(VLOOKUP(B1221,Product!A:C,3,FALSE),Supplier!A:I,9,FALSE)</f>
        <v>UK</v>
      </c>
      <c r="S1221" t="str">
        <f>IFERROR(IF(VLOOKUP(A1221,'Sales Order'!A:H,8,FALSE)&gt;100,"High Freight","Low Freight"),"Not Specified")</f>
        <v>Low Freight</v>
      </c>
      <c r="T1221">
        <f t="shared" si="39"/>
        <v>110.39999999999999</v>
      </c>
    </row>
    <row r="1222" spans="1:20">
      <c r="A1222" s="9">
        <v>10711</v>
      </c>
      <c r="B1222" s="6">
        <v>41</v>
      </c>
      <c r="C1222" s="6">
        <v>9.65</v>
      </c>
      <c r="D1222" s="6">
        <v>42</v>
      </c>
      <c r="E1222" s="18">
        <v>0</v>
      </c>
      <c r="F1222" s="6" t="str">
        <f>IFERROR(VLOOKUP(VLOOKUP(A1222,'Sales Order'!A:B,2,FALSE),Customer!A:C,3,FALSE),"Not Specified")</f>
        <v>Navarro, Tomás</v>
      </c>
      <c r="G1222" s="6" t="str">
        <f t="shared" si="38"/>
        <v>Navarro Tomás</v>
      </c>
      <c r="H1222" s="22" t="str">
        <f>IFERROR(VLOOKUP(VLOOKUP(A1222,'Sales Order'!A:C,3,FALSE),Employee!A:E,5,FALSE)&amp;" "&amp;VLOOKUP(VLOOKUP(A1222,'Sales Order'!A:C,3,FALSE),Employee!A:C,3,FALSE)&amp;" "&amp;VLOOKUP(VLOOKUP(A1222,'Sales Order'!A:C,3,FALSE),Employee!A:B,2,FALSE),"Not Specified")</f>
        <v>Mr. Sven Buck</v>
      </c>
      <c r="I1222">
        <f>IFERROR(VLOOKUP(VLOOKUP(A1222,'Sales Order'!A:C,3,FALSE),Employee!A:J,10,FALSE),"Not Specified")</f>
        <v>0</v>
      </c>
      <c r="J1222" t="str">
        <f>VLOOKUP(B1222,Product!A:B,2,FALSE)</f>
        <v>Product TTEEX</v>
      </c>
      <c r="K1222" t="str">
        <f>VLOOKUP(VLOOKUP(B1222,Product!A:D,4,FALSE),Category!A:B,2,FALSE)</f>
        <v>Seafood</v>
      </c>
      <c r="L1222" s="24">
        <f>IFERROR(VLOOKUP(A1222,'Sales Order'!A:D,4,FALSE),"")</f>
        <v>39376</v>
      </c>
      <c r="M1222" s="24">
        <f>IFERROR(VLOOKUP(A1222,'Sales Order'!A:F,6,FALSE),"")</f>
        <v>39384</v>
      </c>
      <c r="N1222" t="str">
        <f>IFERROR(VLOOKUP(VLOOKUP(A1222,'Sales Order'!A:G,7,FALSE),Shipper!A:B,2,FALSE),"Not Specified")</f>
        <v>Shipper ETYNR</v>
      </c>
      <c r="O1222" t="str">
        <f>IFERROR(VLOOKUP(A1222,'Sales Order'!A:I,9,FALSE),"Not Specified")</f>
        <v>Ship to 71-A</v>
      </c>
      <c r="P1222" t="str">
        <f>IFERROR(VLOOKUP(A1222,'Sales Order'!A:N,14,FALSE),"Not Specified")</f>
        <v>USA</v>
      </c>
      <c r="Q1222" t="str">
        <f>VLOOKUP(VLOOKUP(B1222,Product!A:C,3,FALSE),Supplier!A:B,2,FALSE)</f>
        <v>Supplier JDNUG</v>
      </c>
      <c r="R1222" t="str">
        <f>VLOOKUP(VLOOKUP(B1222,Product!A:C,3,FALSE),Supplier!A:I,9,FALSE)</f>
        <v>USA</v>
      </c>
      <c r="S1222" t="str">
        <f>IFERROR(IF(VLOOKUP(A1222,'Sales Order'!A:H,8,FALSE)&gt;100,"High Freight","Low Freight"),"Not Specified")</f>
        <v>Low Freight</v>
      </c>
      <c r="T1222">
        <f t="shared" si="39"/>
        <v>405.3</v>
      </c>
    </row>
    <row r="1223" spans="1:20">
      <c r="A1223" s="9">
        <v>10711</v>
      </c>
      <c r="B1223" s="6">
        <v>53</v>
      </c>
      <c r="C1223" s="6">
        <v>32.799999999999997</v>
      </c>
      <c r="D1223" s="6">
        <v>120</v>
      </c>
      <c r="E1223" s="18">
        <v>0</v>
      </c>
      <c r="F1223" s="6" t="str">
        <f>IFERROR(VLOOKUP(VLOOKUP(A1223,'Sales Order'!A:B,2,FALSE),Customer!A:C,3,FALSE),"Not Specified")</f>
        <v>Navarro, Tomás</v>
      </c>
      <c r="G1223" s="6" t="str">
        <f t="shared" si="38"/>
        <v>Navarro Tomás</v>
      </c>
      <c r="H1223" s="22" t="str">
        <f>IFERROR(VLOOKUP(VLOOKUP(A1223,'Sales Order'!A:C,3,FALSE),Employee!A:E,5,FALSE)&amp;" "&amp;VLOOKUP(VLOOKUP(A1223,'Sales Order'!A:C,3,FALSE),Employee!A:C,3,FALSE)&amp;" "&amp;VLOOKUP(VLOOKUP(A1223,'Sales Order'!A:C,3,FALSE),Employee!A:B,2,FALSE),"Not Specified")</f>
        <v>Mr. Sven Buck</v>
      </c>
      <c r="I1223">
        <f>IFERROR(VLOOKUP(VLOOKUP(A1223,'Sales Order'!A:C,3,FALSE),Employee!A:J,10,FALSE),"Not Specified")</f>
        <v>0</v>
      </c>
      <c r="J1223" t="str">
        <f>VLOOKUP(B1223,Product!A:B,2,FALSE)</f>
        <v>Product BKGEA</v>
      </c>
      <c r="K1223" t="str">
        <f>VLOOKUP(VLOOKUP(B1223,Product!A:D,4,FALSE),Category!A:B,2,FALSE)</f>
        <v>Meat/Poultry</v>
      </c>
      <c r="L1223" s="24">
        <f>IFERROR(VLOOKUP(A1223,'Sales Order'!A:D,4,FALSE),"")</f>
        <v>39376</v>
      </c>
      <c r="M1223" s="24">
        <f>IFERROR(VLOOKUP(A1223,'Sales Order'!A:F,6,FALSE),"")</f>
        <v>39384</v>
      </c>
      <c r="N1223" t="str">
        <f>IFERROR(VLOOKUP(VLOOKUP(A1223,'Sales Order'!A:G,7,FALSE),Shipper!A:B,2,FALSE),"Not Specified")</f>
        <v>Shipper ETYNR</v>
      </c>
      <c r="O1223" t="str">
        <f>IFERROR(VLOOKUP(A1223,'Sales Order'!A:I,9,FALSE),"Not Specified")</f>
        <v>Ship to 71-A</v>
      </c>
      <c r="P1223" t="str">
        <f>IFERROR(VLOOKUP(A1223,'Sales Order'!A:N,14,FALSE),"Not Specified")</f>
        <v>USA</v>
      </c>
      <c r="Q1223" t="str">
        <f>VLOOKUP(VLOOKUP(B1223,Product!A:C,3,FALSE),Supplier!A:B,2,FALSE)</f>
        <v>Supplier JNNES</v>
      </c>
      <c r="R1223" t="str">
        <f>VLOOKUP(VLOOKUP(B1223,Product!A:C,3,FALSE),Supplier!A:I,9,FALSE)</f>
        <v>Australia</v>
      </c>
      <c r="S1223" t="str">
        <f>IFERROR(IF(VLOOKUP(A1223,'Sales Order'!A:H,8,FALSE)&gt;100,"High Freight","Low Freight"),"Not Specified")</f>
        <v>Low Freight</v>
      </c>
      <c r="T1223">
        <f t="shared" si="39"/>
        <v>3935.9999999999995</v>
      </c>
    </row>
    <row r="1224" spans="1:20">
      <c r="A1224" s="9">
        <v>10712</v>
      </c>
      <c r="B1224" s="6">
        <v>53</v>
      </c>
      <c r="C1224" s="6">
        <v>32.799999999999997</v>
      </c>
      <c r="D1224" s="6">
        <v>3</v>
      </c>
      <c r="E1224" s="18">
        <v>0.05</v>
      </c>
      <c r="F1224" s="6" t="str">
        <f>IFERROR(VLOOKUP(VLOOKUP(A1224,'Sales Order'!A:B,2,FALSE),Customer!A:C,3,FALSE),"Not Specified")</f>
        <v>Crăciun, Ovidiu V.</v>
      </c>
      <c r="G1224" s="6" t="str">
        <f t="shared" si="38"/>
        <v>Crăciun Ovidiu V.</v>
      </c>
      <c r="H1224" s="22" t="str">
        <f>IFERROR(VLOOKUP(VLOOKUP(A1224,'Sales Order'!A:C,3,FALSE),Employee!A:E,5,FALSE)&amp;" "&amp;VLOOKUP(VLOOKUP(A1224,'Sales Order'!A:C,3,FALSE),Employee!A:C,3,FALSE)&amp;" "&amp;VLOOKUP(VLOOKUP(A1224,'Sales Order'!A:C,3,FALSE),Employee!A:B,2,FALSE),"Not Specified")</f>
        <v>Ms. Judy Lew</v>
      </c>
      <c r="I1224" t="str">
        <f>IFERROR(VLOOKUP(VLOOKUP(A1224,'Sales Order'!A:C,3,FALSE),Employee!A:J,10,FALSE),"Not Specified")</f>
        <v>WA</v>
      </c>
      <c r="J1224" t="str">
        <f>VLOOKUP(B1224,Product!A:B,2,FALSE)</f>
        <v>Product BKGEA</v>
      </c>
      <c r="K1224" t="str">
        <f>VLOOKUP(VLOOKUP(B1224,Product!A:D,4,FALSE),Category!A:B,2,FALSE)</f>
        <v>Meat/Poultry</v>
      </c>
      <c r="L1224" s="24">
        <f>IFERROR(VLOOKUP(A1224,'Sales Order'!A:D,4,FALSE),"")</f>
        <v>39376</v>
      </c>
      <c r="M1224" s="24">
        <f>IFERROR(VLOOKUP(A1224,'Sales Order'!A:F,6,FALSE),"")</f>
        <v>39386</v>
      </c>
      <c r="N1224" t="str">
        <f>IFERROR(VLOOKUP(VLOOKUP(A1224,'Sales Order'!A:G,7,FALSE),Shipper!A:B,2,FALSE),"Not Specified")</f>
        <v>Shipper GVSUA</v>
      </c>
      <c r="O1224" t="str">
        <f>IFERROR(VLOOKUP(A1224,'Sales Order'!A:I,9,FALSE),"Not Specified")</f>
        <v>Destination KPVYJ</v>
      </c>
      <c r="P1224" t="str">
        <f>IFERROR(VLOOKUP(A1224,'Sales Order'!A:N,14,FALSE),"Not Specified")</f>
        <v>Ireland</v>
      </c>
      <c r="Q1224" t="str">
        <f>VLOOKUP(VLOOKUP(B1224,Product!A:C,3,FALSE),Supplier!A:B,2,FALSE)</f>
        <v>Supplier JNNES</v>
      </c>
      <c r="R1224" t="str">
        <f>VLOOKUP(VLOOKUP(B1224,Product!A:C,3,FALSE),Supplier!A:I,9,FALSE)</f>
        <v>Australia</v>
      </c>
      <c r="S1224" t="str">
        <f>IFERROR(IF(VLOOKUP(A1224,'Sales Order'!A:H,8,FALSE)&gt;100,"High Freight","Low Freight"),"Not Specified")</f>
        <v>Low Freight</v>
      </c>
      <c r="T1224">
        <f t="shared" si="39"/>
        <v>93.47999999999999</v>
      </c>
    </row>
    <row r="1225" spans="1:20">
      <c r="A1225" s="9">
        <v>10712</v>
      </c>
      <c r="B1225" s="6">
        <v>56</v>
      </c>
      <c r="C1225" s="6">
        <v>38</v>
      </c>
      <c r="D1225" s="6">
        <v>30</v>
      </c>
      <c r="E1225" s="18">
        <v>0</v>
      </c>
      <c r="F1225" s="6" t="str">
        <f>IFERROR(VLOOKUP(VLOOKUP(A1225,'Sales Order'!A:B,2,FALSE),Customer!A:C,3,FALSE),"Not Specified")</f>
        <v>Crăciun, Ovidiu V.</v>
      </c>
      <c r="G1225" s="6" t="str">
        <f t="shared" si="38"/>
        <v>Crăciun Ovidiu V.</v>
      </c>
      <c r="H1225" s="22" t="str">
        <f>IFERROR(VLOOKUP(VLOOKUP(A1225,'Sales Order'!A:C,3,FALSE),Employee!A:E,5,FALSE)&amp;" "&amp;VLOOKUP(VLOOKUP(A1225,'Sales Order'!A:C,3,FALSE),Employee!A:C,3,FALSE)&amp;" "&amp;VLOOKUP(VLOOKUP(A1225,'Sales Order'!A:C,3,FALSE),Employee!A:B,2,FALSE),"Not Specified")</f>
        <v>Ms. Judy Lew</v>
      </c>
      <c r="I1225" t="str">
        <f>IFERROR(VLOOKUP(VLOOKUP(A1225,'Sales Order'!A:C,3,FALSE),Employee!A:J,10,FALSE),"Not Specified")</f>
        <v>WA</v>
      </c>
      <c r="J1225" t="str">
        <f>VLOOKUP(B1225,Product!A:B,2,FALSE)</f>
        <v>Product VKCMF</v>
      </c>
      <c r="K1225" t="str">
        <f>VLOOKUP(VLOOKUP(B1225,Product!A:D,4,FALSE),Category!A:B,2,FALSE)</f>
        <v>Grains/Cereals</v>
      </c>
      <c r="L1225" s="24">
        <f>IFERROR(VLOOKUP(A1225,'Sales Order'!A:D,4,FALSE),"")</f>
        <v>39376</v>
      </c>
      <c r="M1225" s="24">
        <f>IFERROR(VLOOKUP(A1225,'Sales Order'!A:F,6,FALSE),"")</f>
        <v>39386</v>
      </c>
      <c r="N1225" t="str">
        <f>IFERROR(VLOOKUP(VLOOKUP(A1225,'Sales Order'!A:G,7,FALSE),Shipper!A:B,2,FALSE),"Not Specified")</f>
        <v>Shipper GVSUA</v>
      </c>
      <c r="O1225" t="str">
        <f>IFERROR(VLOOKUP(A1225,'Sales Order'!A:I,9,FALSE),"Not Specified")</f>
        <v>Destination KPVYJ</v>
      </c>
      <c r="P1225" t="str">
        <f>IFERROR(VLOOKUP(A1225,'Sales Order'!A:N,14,FALSE),"Not Specified")</f>
        <v>Ireland</v>
      </c>
      <c r="Q1225" t="str">
        <f>VLOOKUP(VLOOKUP(B1225,Product!A:C,3,FALSE),Supplier!A:B,2,FALSE)</f>
        <v>Supplier ZWZDM</v>
      </c>
      <c r="R1225" t="str">
        <f>VLOOKUP(VLOOKUP(B1225,Product!A:C,3,FALSE),Supplier!A:I,9,FALSE)</f>
        <v>Italy</v>
      </c>
      <c r="S1225" t="str">
        <f>IFERROR(IF(VLOOKUP(A1225,'Sales Order'!A:H,8,FALSE)&gt;100,"High Freight","Low Freight"),"Not Specified")</f>
        <v>Low Freight</v>
      </c>
      <c r="T1225">
        <f t="shared" si="39"/>
        <v>1140</v>
      </c>
    </row>
    <row r="1226" spans="1:20">
      <c r="A1226" s="9">
        <v>10713</v>
      </c>
      <c r="B1226" s="6">
        <v>10</v>
      </c>
      <c r="C1226" s="6">
        <v>31</v>
      </c>
      <c r="D1226" s="6">
        <v>18</v>
      </c>
      <c r="E1226" s="18">
        <v>0</v>
      </c>
      <c r="F1226" s="6" t="str">
        <f>IFERROR(VLOOKUP(VLOOKUP(A1226,'Sales Order'!A:B,2,FALSE),Customer!A:C,3,FALSE),"Not Specified")</f>
        <v>Navarro, Tomás</v>
      </c>
      <c r="G1226" s="6" t="str">
        <f t="shared" si="38"/>
        <v>Navarro Tomás</v>
      </c>
      <c r="H1226" s="22" t="str">
        <f>IFERROR(VLOOKUP(VLOOKUP(A1226,'Sales Order'!A:C,3,FALSE),Employee!A:E,5,FALSE)&amp;" "&amp;VLOOKUP(VLOOKUP(A1226,'Sales Order'!A:C,3,FALSE),Employee!A:C,3,FALSE)&amp;" "&amp;VLOOKUP(VLOOKUP(A1226,'Sales Order'!A:C,3,FALSE),Employee!A:B,2,FALSE),"Not Specified")</f>
        <v>Ms. Sara Davis</v>
      </c>
      <c r="I1226" t="str">
        <f>IFERROR(VLOOKUP(VLOOKUP(A1226,'Sales Order'!A:C,3,FALSE),Employee!A:J,10,FALSE),"Not Specified")</f>
        <v>WA</v>
      </c>
      <c r="J1226" t="str">
        <f>VLOOKUP(B1226,Product!A:B,2,FALSE)</f>
        <v>Product YHXGE</v>
      </c>
      <c r="K1226" t="str">
        <f>VLOOKUP(VLOOKUP(B1226,Product!A:D,4,FALSE),Category!A:B,2,FALSE)</f>
        <v>Seafood</v>
      </c>
      <c r="L1226" s="24">
        <f>IFERROR(VLOOKUP(A1226,'Sales Order'!A:D,4,FALSE),"")</f>
        <v>39377</v>
      </c>
      <c r="M1226" s="24">
        <f>IFERROR(VLOOKUP(A1226,'Sales Order'!A:F,6,FALSE),"")</f>
        <v>39379</v>
      </c>
      <c r="N1226" t="str">
        <f>IFERROR(VLOOKUP(VLOOKUP(A1226,'Sales Order'!A:G,7,FALSE),Shipper!A:B,2,FALSE),"Not Specified")</f>
        <v>Shipper GVSUA</v>
      </c>
      <c r="O1226" t="str">
        <f>IFERROR(VLOOKUP(A1226,'Sales Order'!A:I,9,FALSE),"Not Specified")</f>
        <v>Ship to 71-C</v>
      </c>
      <c r="P1226" t="str">
        <f>IFERROR(VLOOKUP(A1226,'Sales Order'!A:N,14,FALSE),"Not Specified")</f>
        <v>USA</v>
      </c>
      <c r="Q1226" t="str">
        <f>VLOOKUP(VLOOKUP(B1226,Product!A:C,3,FALSE),Supplier!A:B,2,FALSE)</f>
        <v>Supplier QOVFD</v>
      </c>
      <c r="R1226" t="str">
        <f>VLOOKUP(VLOOKUP(B1226,Product!A:C,3,FALSE),Supplier!A:I,9,FALSE)</f>
        <v>Japan</v>
      </c>
      <c r="S1226" t="str">
        <f>IFERROR(IF(VLOOKUP(A1226,'Sales Order'!A:H,8,FALSE)&gt;100,"High Freight","Low Freight"),"Not Specified")</f>
        <v>High Freight</v>
      </c>
      <c r="T1226">
        <f t="shared" si="39"/>
        <v>558</v>
      </c>
    </row>
    <row r="1227" spans="1:20">
      <c r="A1227" s="9">
        <v>10713</v>
      </c>
      <c r="B1227" s="6">
        <v>26</v>
      </c>
      <c r="C1227" s="6">
        <v>31.23</v>
      </c>
      <c r="D1227" s="6">
        <v>30</v>
      </c>
      <c r="E1227" s="18">
        <v>0</v>
      </c>
      <c r="F1227" s="6" t="str">
        <f>IFERROR(VLOOKUP(VLOOKUP(A1227,'Sales Order'!A:B,2,FALSE),Customer!A:C,3,FALSE),"Not Specified")</f>
        <v>Navarro, Tomás</v>
      </c>
      <c r="G1227" s="6" t="str">
        <f t="shared" si="38"/>
        <v>Navarro Tomás</v>
      </c>
      <c r="H1227" s="22" t="str">
        <f>IFERROR(VLOOKUP(VLOOKUP(A1227,'Sales Order'!A:C,3,FALSE),Employee!A:E,5,FALSE)&amp;" "&amp;VLOOKUP(VLOOKUP(A1227,'Sales Order'!A:C,3,FALSE),Employee!A:C,3,FALSE)&amp;" "&amp;VLOOKUP(VLOOKUP(A1227,'Sales Order'!A:C,3,FALSE),Employee!A:B,2,FALSE),"Not Specified")</f>
        <v>Ms. Sara Davis</v>
      </c>
      <c r="I1227" t="str">
        <f>IFERROR(VLOOKUP(VLOOKUP(A1227,'Sales Order'!A:C,3,FALSE),Employee!A:J,10,FALSE),"Not Specified")</f>
        <v>WA</v>
      </c>
      <c r="J1227" t="str">
        <f>VLOOKUP(B1227,Product!A:B,2,FALSE)</f>
        <v>Product HLGZA</v>
      </c>
      <c r="K1227" t="str">
        <f>VLOOKUP(VLOOKUP(B1227,Product!A:D,4,FALSE),Category!A:B,2,FALSE)</f>
        <v>Confections</v>
      </c>
      <c r="L1227" s="24">
        <f>IFERROR(VLOOKUP(A1227,'Sales Order'!A:D,4,FALSE),"")</f>
        <v>39377</v>
      </c>
      <c r="M1227" s="24">
        <f>IFERROR(VLOOKUP(A1227,'Sales Order'!A:F,6,FALSE),"")</f>
        <v>39379</v>
      </c>
      <c r="N1227" t="str">
        <f>IFERROR(VLOOKUP(VLOOKUP(A1227,'Sales Order'!A:G,7,FALSE),Shipper!A:B,2,FALSE),"Not Specified")</f>
        <v>Shipper GVSUA</v>
      </c>
      <c r="O1227" t="str">
        <f>IFERROR(VLOOKUP(A1227,'Sales Order'!A:I,9,FALSE),"Not Specified")</f>
        <v>Ship to 71-C</v>
      </c>
      <c r="P1227" t="str">
        <f>IFERROR(VLOOKUP(A1227,'Sales Order'!A:N,14,FALSE),"Not Specified")</f>
        <v>USA</v>
      </c>
      <c r="Q1227" t="str">
        <f>VLOOKUP(VLOOKUP(B1227,Product!A:C,3,FALSE),Supplier!A:B,2,FALSE)</f>
        <v>Supplier ZPYVS</v>
      </c>
      <c r="R1227" t="str">
        <f>VLOOKUP(VLOOKUP(B1227,Product!A:C,3,FALSE),Supplier!A:I,9,FALSE)</f>
        <v>Germany</v>
      </c>
      <c r="S1227" t="str">
        <f>IFERROR(IF(VLOOKUP(A1227,'Sales Order'!A:H,8,FALSE)&gt;100,"High Freight","Low Freight"),"Not Specified")</f>
        <v>High Freight</v>
      </c>
      <c r="T1227">
        <f t="shared" si="39"/>
        <v>936.9</v>
      </c>
    </row>
    <row r="1228" spans="1:20">
      <c r="A1228" s="9">
        <v>10713</v>
      </c>
      <c r="B1228" s="6">
        <v>45</v>
      </c>
      <c r="C1228" s="6">
        <v>9.5</v>
      </c>
      <c r="D1228" s="6">
        <v>110</v>
      </c>
      <c r="E1228" s="18">
        <v>0</v>
      </c>
      <c r="F1228" s="6" t="str">
        <f>IFERROR(VLOOKUP(VLOOKUP(A1228,'Sales Order'!A:B,2,FALSE),Customer!A:C,3,FALSE),"Not Specified")</f>
        <v>Navarro, Tomás</v>
      </c>
      <c r="G1228" s="6" t="str">
        <f t="shared" si="38"/>
        <v>Navarro Tomás</v>
      </c>
      <c r="H1228" s="22" t="str">
        <f>IFERROR(VLOOKUP(VLOOKUP(A1228,'Sales Order'!A:C,3,FALSE),Employee!A:E,5,FALSE)&amp;" "&amp;VLOOKUP(VLOOKUP(A1228,'Sales Order'!A:C,3,FALSE),Employee!A:C,3,FALSE)&amp;" "&amp;VLOOKUP(VLOOKUP(A1228,'Sales Order'!A:C,3,FALSE),Employee!A:B,2,FALSE),"Not Specified")</f>
        <v>Ms. Sara Davis</v>
      </c>
      <c r="I1228" t="str">
        <f>IFERROR(VLOOKUP(VLOOKUP(A1228,'Sales Order'!A:C,3,FALSE),Employee!A:J,10,FALSE),"Not Specified")</f>
        <v>WA</v>
      </c>
      <c r="J1228" t="str">
        <f>VLOOKUP(B1228,Product!A:B,2,FALSE)</f>
        <v>Product AQOKR</v>
      </c>
      <c r="K1228" t="str">
        <f>VLOOKUP(VLOOKUP(B1228,Product!A:D,4,FALSE),Category!A:B,2,FALSE)</f>
        <v>Seafood</v>
      </c>
      <c r="L1228" s="24">
        <f>IFERROR(VLOOKUP(A1228,'Sales Order'!A:D,4,FALSE),"")</f>
        <v>39377</v>
      </c>
      <c r="M1228" s="24">
        <f>IFERROR(VLOOKUP(A1228,'Sales Order'!A:F,6,FALSE),"")</f>
        <v>39379</v>
      </c>
      <c r="N1228" t="str">
        <f>IFERROR(VLOOKUP(VLOOKUP(A1228,'Sales Order'!A:G,7,FALSE),Shipper!A:B,2,FALSE),"Not Specified")</f>
        <v>Shipper GVSUA</v>
      </c>
      <c r="O1228" t="str">
        <f>IFERROR(VLOOKUP(A1228,'Sales Order'!A:I,9,FALSE),"Not Specified")</f>
        <v>Ship to 71-C</v>
      </c>
      <c r="P1228" t="str">
        <f>IFERROR(VLOOKUP(A1228,'Sales Order'!A:N,14,FALSE),"Not Specified")</f>
        <v>USA</v>
      </c>
      <c r="Q1228" t="str">
        <f>VLOOKUP(VLOOKUP(B1228,Product!A:C,3,FALSE),Supplier!A:B,2,FALSE)</f>
        <v>Supplier XOXZA</v>
      </c>
      <c r="R1228" t="str">
        <f>VLOOKUP(VLOOKUP(B1228,Product!A:C,3,FALSE),Supplier!A:I,9,FALSE)</f>
        <v>Denmark</v>
      </c>
      <c r="S1228" t="str">
        <f>IFERROR(IF(VLOOKUP(A1228,'Sales Order'!A:H,8,FALSE)&gt;100,"High Freight","Low Freight"),"Not Specified")</f>
        <v>High Freight</v>
      </c>
      <c r="T1228">
        <f t="shared" si="39"/>
        <v>1045</v>
      </c>
    </row>
    <row r="1229" spans="1:20">
      <c r="A1229" s="9">
        <v>10713</v>
      </c>
      <c r="B1229" s="6">
        <v>46</v>
      </c>
      <c r="C1229" s="6">
        <v>12</v>
      </c>
      <c r="D1229" s="6">
        <v>24</v>
      </c>
      <c r="E1229" s="18">
        <v>0</v>
      </c>
      <c r="F1229" s="6" t="str">
        <f>IFERROR(VLOOKUP(VLOOKUP(A1229,'Sales Order'!A:B,2,FALSE),Customer!A:C,3,FALSE),"Not Specified")</f>
        <v>Navarro, Tomás</v>
      </c>
      <c r="G1229" s="6" t="str">
        <f t="shared" si="38"/>
        <v>Navarro Tomás</v>
      </c>
      <c r="H1229" s="22" t="str">
        <f>IFERROR(VLOOKUP(VLOOKUP(A1229,'Sales Order'!A:C,3,FALSE),Employee!A:E,5,FALSE)&amp;" "&amp;VLOOKUP(VLOOKUP(A1229,'Sales Order'!A:C,3,FALSE),Employee!A:C,3,FALSE)&amp;" "&amp;VLOOKUP(VLOOKUP(A1229,'Sales Order'!A:C,3,FALSE),Employee!A:B,2,FALSE),"Not Specified")</f>
        <v>Ms. Sara Davis</v>
      </c>
      <c r="I1229" t="str">
        <f>IFERROR(VLOOKUP(VLOOKUP(A1229,'Sales Order'!A:C,3,FALSE),Employee!A:J,10,FALSE),"Not Specified")</f>
        <v>WA</v>
      </c>
      <c r="J1229" t="str">
        <f>VLOOKUP(B1229,Product!A:B,2,FALSE)</f>
        <v>Product CBRRL</v>
      </c>
      <c r="K1229" t="str">
        <f>VLOOKUP(VLOOKUP(B1229,Product!A:D,4,FALSE),Category!A:B,2,FALSE)</f>
        <v>Seafood</v>
      </c>
      <c r="L1229" s="24">
        <f>IFERROR(VLOOKUP(A1229,'Sales Order'!A:D,4,FALSE),"")</f>
        <v>39377</v>
      </c>
      <c r="M1229" s="24">
        <f>IFERROR(VLOOKUP(A1229,'Sales Order'!A:F,6,FALSE),"")</f>
        <v>39379</v>
      </c>
      <c r="N1229" t="str">
        <f>IFERROR(VLOOKUP(VLOOKUP(A1229,'Sales Order'!A:G,7,FALSE),Shipper!A:B,2,FALSE),"Not Specified")</f>
        <v>Shipper GVSUA</v>
      </c>
      <c r="O1229" t="str">
        <f>IFERROR(VLOOKUP(A1229,'Sales Order'!A:I,9,FALSE),"Not Specified")</f>
        <v>Ship to 71-C</v>
      </c>
      <c r="P1229" t="str">
        <f>IFERROR(VLOOKUP(A1229,'Sales Order'!A:N,14,FALSE),"Not Specified")</f>
        <v>USA</v>
      </c>
      <c r="Q1229" t="str">
        <f>VLOOKUP(VLOOKUP(B1229,Product!A:C,3,FALSE),Supplier!A:B,2,FALSE)</f>
        <v>Supplier XOXZA</v>
      </c>
      <c r="R1229" t="str">
        <f>VLOOKUP(VLOOKUP(B1229,Product!A:C,3,FALSE),Supplier!A:I,9,FALSE)</f>
        <v>Denmark</v>
      </c>
      <c r="S1229" t="str">
        <f>IFERROR(IF(VLOOKUP(A1229,'Sales Order'!A:H,8,FALSE)&gt;100,"High Freight","Low Freight"),"Not Specified")</f>
        <v>High Freight</v>
      </c>
      <c r="T1229">
        <f t="shared" si="39"/>
        <v>288</v>
      </c>
    </row>
    <row r="1230" spans="1:20">
      <c r="A1230" s="9">
        <v>10714</v>
      </c>
      <c r="B1230" s="6">
        <v>2</v>
      </c>
      <c r="C1230" s="6">
        <v>19</v>
      </c>
      <c r="D1230" s="6">
        <v>30</v>
      </c>
      <c r="E1230" s="18">
        <v>0.25</v>
      </c>
      <c r="F1230" s="6" t="str">
        <f>IFERROR(VLOOKUP(VLOOKUP(A1230,'Sales Order'!A:B,2,FALSE),Customer!A:C,3,FALSE),"Not Specified")</f>
        <v>Navarro, Tomás</v>
      </c>
      <c r="G1230" s="6" t="str">
        <f t="shared" si="38"/>
        <v>Navarro Tomás</v>
      </c>
      <c r="H1230" s="22" t="str">
        <f>IFERROR(VLOOKUP(VLOOKUP(A1230,'Sales Order'!A:C,3,FALSE),Employee!A:E,5,FALSE)&amp;" "&amp;VLOOKUP(VLOOKUP(A1230,'Sales Order'!A:C,3,FALSE),Employee!A:C,3,FALSE)&amp;" "&amp;VLOOKUP(VLOOKUP(A1230,'Sales Order'!A:C,3,FALSE),Employee!A:B,2,FALSE),"Not Specified")</f>
        <v>Mr. Sven Buck</v>
      </c>
      <c r="I1230">
        <f>IFERROR(VLOOKUP(VLOOKUP(A1230,'Sales Order'!A:C,3,FALSE),Employee!A:J,10,FALSE),"Not Specified")</f>
        <v>0</v>
      </c>
      <c r="J1230" t="str">
        <f>VLOOKUP(B1230,Product!A:B,2,FALSE)</f>
        <v>Product RECZE</v>
      </c>
      <c r="K1230" t="str">
        <f>VLOOKUP(VLOOKUP(B1230,Product!A:D,4,FALSE),Category!A:B,2,FALSE)</f>
        <v>Beverages</v>
      </c>
      <c r="L1230" s="24">
        <f>IFERROR(VLOOKUP(A1230,'Sales Order'!A:D,4,FALSE),"")</f>
        <v>39377</v>
      </c>
      <c r="M1230" s="24">
        <f>IFERROR(VLOOKUP(A1230,'Sales Order'!A:F,6,FALSE),"")</f>
        <v>39382</v>
      </c>
      <c r="N1230" t="str">
        <f>IFERROR(VLOOKUP(VLOOKUP(A1230,'Sales Order'!A:G,7,FALSE),Shipper!A:B,2,FALSE),"Not Specified")</f>
        <v>Shipper ZHISN</v>
      </c>
      <c r="O1230" t="str">
        <f>IFERROR(VLOOKUP(A1230,'Sales Order'!A:I,9,FALSE),"Not Specified")</f>
        <v>Ship to 71-A</v>
      </c>
      <c r="P1230" t="str">
        <f>IFERROR(VLOOKUP(A1230,'Sales Order'!A:N,14,FALSE),"Not Specified")</f>
        <v>USA</v>
      </c>
      <c r="Q1230" t="str">
        <f>VLOOKUP(VLOOKUP(B1230,Product!A:C,3,FALSE),Supplier!A:B,2,FALSE)</f>
        <v>Supplier SWRXU</v>
      </c>
      <c r="R1230" t="str">
        <f>VLOOKUP(VLOOKUP(B1230,Product!A:C,3,FALSE),Supplier!A:I,9,FALSE)</f>
        <v>UK</v>
      </c>
      <c r="S1230" t="str">
        <f>IFERROR(IF(VLOOKUP(A1230,'Sales Order'!A:H,8,FALSE)&gt;100,"High Freight","Low Freight"),"Not Specified")</f>
        <v>Low Freight</v>
      </c>
      <c r="T1230">
        <f t="shared" si="39"/>
        <v>427.5</v>
      </c>
    </row>
    <row r="1231" spans="1:20">
      <c r="A1231" s="9">
        <v>10714</v>
      </c>
      <c r="B1231" s="6">
        <v>17</v>
      </c>
      <c r="C1231" s="6">
        <v>39</v>
      </c>
      <c r="D1231" s="6">
        <v>27</v>
      </c>
      <c r="E1231" s="18">
        <v>0.25</v>
      </c>
      <c r="F1231" s="6" t="str">
        <f>IFERROR(VLOOKUP(VLOOKUP(A1231,'Sales Order'!A:B,2,FALSE),Customer!A:C,3,FALSE),"Not Specified")</f>
        <v>Navarro, Tomás</v>
      </c>
      <c r="G1231" s="6" t="str">
        <f t="shared" si="38"/>
        <v>Navarro Tomás</v>
      </c>
      <c r="H1231" s="22" t="str">
        <f>IFERROR(VLOOKUP(VLOOKUP(A1231,'Sales Order'!A:C,3,FALSE),Employee!A:E,5,FALSE)&amp;" "&amp;VLOOKUP(VLOOKUP(A1231,'Sales Order'!A:C,3,FALSE),Employee!A:C,3,FALSE)&amp;" "&amp;VLOOKUP(VLOOKUP(A1231,'Sales Order'!A:C,3,FALSE),Employee!A:B,2,FALSE),"Not Specified")</f>
        <v>Mr. Sven Buck</v>
      </c>
      <c r="I1231">
        <f>IFERROR(VLOOKUP(VLOOKUP(A1231,'Sales Order'!A:C,3,FALSE),Employee!A:J,10,FALSE),"Not Specified")</f>
        <v>0</v>
      </c>
      <c r="J1231" t="str">
        <f>VLOOKUP(B1231,Product!A:B,2,FALSE)</f>
        <v>Product BLCAX</v>
      </c>
      <c r="K1231" t="str">
        <f>VLOOKUP(VLOOKUP(B1231,Product!A:D,4,FALSE),Category!A:B,2,FALSE)</f>
        <v>Meat/Poultry</v>
      </c>
      <c r="L1231" s="24">
        <f>IFERROR(VLOOKUP(A1231,'Sales Order'!A:D,4,FALSE),"")</f>
        <v>39377</v>
      </c>
      <c r="M1231" s="24">
        <f>IFERROR(VLOOKUP(A1231,'Sales Order'!A:F,6,FALSE),"")</f>
        <v>39382</v>
      </c>
      <c r="N1231" t="str">
        <f>IFERROR(VLOOKUP(VLOOKUP(A1231,'Sales Order'!A:G,7,FALSE),Shipper!A:B,2,FALSE),"Not Specified")</f>
        <v>Shipper ZHISN</v>
      </c>
      <c r="O1231" t="str">
        <f>IFERROR(VLOOKUP(A1231,'Sales Order'!A:I,9,FALSE),"Not Specified")</f>
        <v>Ship to 71-A</v>
      </c>
      <c r="P1231" t="str">
        <f>IFERROR(VLOOKUP(A1231,'Sales Order'!A:N,14,FALSE),"Not Specified")</f>
        <v>USA</v>
      </c>
      <c r="Q1231" t="str">
        <f>VLOOKUP(VLOOKUP(B1231,Product!A:C,3,FALSE),Supplier!A:B,2,FALSE)</f>
        <v>Supplier GQRCV</v>
      </c>
      <c r="R1231" t="str">
        <f>VLOOKUP(VLOOKUP(B1231,Product!A:C,3,FALSE),Supplier!A:I,9,FALSE)</f>
        <v>Australia</v>
      </c>
      <c r="S1231" t="str">
        <f>IFERROR(IF(VLOOKUP(A1231,'Sales Order'!A:H,8,FALSE)&gt;100,"High Freight","Low Freight"),"Not Specified")</f>
        <v>Low Freight</v>
      </c>
      <c r="T1231">
        <f t="shared" si="39"/>
        <v>789.75</v>
      </c>
    </row>
    <row r="1232" spans="1:20">
      <c r="A1232" s="9">
        <v>10714</v>
      </c>
      <c r="B1232" s="6">
        <v>47</v>
      </c>
      <c r="C1232" s="6">
        <v>9.5</v>
      </c>
      <c r="D1232" s="6">
        <v>50</v>
      </c>
      <c r="E1232" s="18">
        <v>0.25</v>
      </c>
      <c r="F1232" s="6" t="str">
        <f>IFERROR(VLOOKUP(VLOOKUP(A1232,'Sales Order'!A:B,2,FALSE),Customer!A:C,3,FALSE),"Not Specified")</f>
        <v>Navarro, Tomás</v>
      </c>
      <c r="G1232" s="6" t="str">
        <f t="shared" si="38"/>
        <v>Navarro Tomás</v>
      </c>
      <c r="H1232" s="22" t="str">
        <f>IFERROR(VLOOKUP(VLOOKUP(A1232,'Sales Order'!A:C,3,FALSE),Employee!A:E,5,FALSE)&amp;" "&amp;VLOOKUP(VLOOKUP(A1232,'Sales Order'!A:C,3,FALSE),Employee!A:C,3,FALSE)&amp;" "&amp;VLOOKUP(VLOOKUP(A1232,'Sales Order'!A:C,3,FALSE),Employee!A:B,2,FALSE),"Not Specified")</f>
        <v>Mr. Sven Buck</v>
      </c>
      <c r="I1232">
        <f>IFERROR(VLOOKUP(VLOOKUP(A1232,'Sales Order'!A:C,3,FALSE),Employee!A:J,10,FALSE),"Not Specified")</f>
        <v>0</v>
      </c>
      <c r="J1232" t="str">
        <f>VLOOKUP(B1232,Product!A:B,2,FALSE)</f>
        <v>Product EZZPR</v>
      </c>
      <c r="K1232" t="str">
        <f>VLOOKUP(VLOOKUP(B1232,Product!A:D,4,FALSE),Category!A:B,2,FALSE)</f>
        <v>Confections</v>
      </c>
      <c r="L1232" s="24">
        <f>IFERROR(VLOOKUP(A1232,'Sales Order'!A:D,4,FALSE),"")</f>
        <v>39377</v>
      </c>
      <c r="M1232" s="24">
        <f>IFERROR(VLOOKUP(A1232,'Sales Order'!A:F,6,FALSE),"")</f>
        <v>39382</v>
      </c>
      <c r="N1232" t="str">
        <f>IFERROR(VLOOKUP(VLOOKUP(A1232,'Sales Order'!A:G,7,FALSE),Shipper!A:B,2,FALSE),"Not Specified")</f>
        <v>Shipper ZHISN</v>
      </c>
      <c r="O1232" t="str">
        <f>IFERROR(VLOOKUP(A1232,'Sales Order'!A:I,9,FALSE),"Not Specified")</f>
        <v>Ship to 71-A</v>
      </c>
      <c r="P1232" t="str">
        <f>IFERROR(VLOOKUP(A1232,'Sales Order'!A:N,14,FALSE),"Not Specified")</f>
        <v>USA</v>
      </c>
      <c r="Q1232" t="str">
        <f>VLOOKUP(VLOOKUP(B1232,Product!A:C,3,FALSE),Supplier!A:B,2,FALSE)</f>
        <v>Supplier FNUXM</v>
      </c>
      <c r="R1232" t="str">
        <f>VLOOKUP(VLOOKUP(B1232,Product!A:C,3,FALSE),Supplier!A:I,9,FALSE)</f>
        <v>Netherlands</v>
      </c>
      <c r="S1232" t="str">
        <f>IFERROR(IF(VLOOKUP(A1232,'Sales Order'!A:H,8,FALSE)&gt;100,"High Freight","Low Freight"),"Not Specified")</f>
        <v>Low Freight</v>
      </c>
      <c r="T1232">
        <f t="shared" si="39"/>
        <v>356.25</v>
      </c>
    </row>
    <row r="1233" spans="1:20">
      <c r="A1233" s="9">
        <v>10714</v>
      </c>
      <c r="B1233" s="6">
        <v>56</v>
      </c>
      <c r="C1233" s="6">
        <v>38</v>
      </c>
      <c r="D1233" s="6">
        <v>18</v>
      </c>
      <c r="E1233" s="18">
        <v>0.25</v>
      </c>
      <c r="F1233" s="6" t="str">
        <f>IFERROR(VLOOKUP(VLOOKUP(A1233,'Sales Order'!A:B,2,FALSE),Customer!A:C,3,FALSE),"Not Specified")</f>
        <v>Navarro, Tomás</v>
      </c>
      <c r="G1233" s="6" t="str">
        <f t="shared" si="38"/>
        <v>Navarro Tomás</v>
      </c>
      <c r="H1233" s="22" t="str">
        <f>IFERROR(VLOOKUP(VLOOKUP(A1233,'Sales Order'!A:C,3,FALSE),Employee!A:E,5,FALSE)&amp;" "&amp;VLOOKUP(VLOOKUP(A1233,'Sales Order'!A:C,3,FALSE),Employee!A:C,3,FALSE)&amp;" "&amp;VLOOKUP(VLOOKUP(A1233,'Sales Order'!A:C,3,FALSE),Employee!A:B,2,FALSE),"Not Specified")</f>
        <v>Mr. Sven Buck</v>
      </c>
      <c r="I1233">
        <f>IFERROR(VLOOKUP(VLOOKUP(A1233,'Sales Order'!A:C,3,FALSE),Employee!A:J,10,FALSE),"Not Specified")</f>
        <v>0</v>
      </c>
      <c r="J1233" t="str">
        <f>VLOOKUP(B1233,Product!A:B,2,FALSE)</f>
        <v>Product VKCMF</v>
      </c>
      <c r="K1233" t="str">
        <f>VLOOKUP(VLOOKUP(B1233,Product!A:D,4,FALSE),Category!A:B,2,FALSE)</f>
        <v>Grains/Cereals</v>
      </c>
      <c r="L1233" s="24">
        <f>IFERROR(VLOOKUP(A1233,'Sales Order'!A:D,4,FALSE),"")</f>
        <v>39377</v>
      </c>
      <c r="M1233" s="24">
        <f>IFERROR(VLOOKUP(A1233,'Sales Order'!A:F,6,FALSE),"")</f>
        <v>39382</v>
      </c>
      <c r="N1233" t="str">
        <f>IFERROR(VLOOKUP(VLOOKUP(A1233,'Sales Order'!A:G,7,FALSE),Shipper!A:B,2,FALSE),"Not Specified")</f>
        <v>Shipper ZHISN</v>
      </c>
      <c r="O1233" t="str">
        <f>IFERROR(VLOOKUP(A1233,'Sales Order'!A:I,9,FALSE),"Not Specified")</f>
        <v>Ship to 71-A</v>
      </c>
      <c r="P1233" t="str">
        <f>IFERROR(VLOOKUP(A1233,'Sales Order'!A:N,14,FALSE),"Not Specified")</f>
        <v>USA</v>
      </c>
      <c r="Q1233" t="str">
        <f>VLOOKUP(VLOOKUP(B1233,Product!A:C,3,FALSE),Supplier!A:B,2,FALSE)</f>
        <v>Supplier ZWZDM</v>
      </c>
      <c r="R1233" t="str">
        <f>VLOOKUP(VLOOKUP(B1233,Product!A:C,3,FALSE),Supplier!A:I,9,FALSE)</f>
        <v>Italy</v>
      </c>
      <c r="S1233" t="str">
        <f>IFERROR(IF(VLOOKUP(A1233,'Sales Order'!A:H,8,FALSE)&gt;100,"High Freight","Low Freight"),"Not Specified")</f>
        <v>Low Freight</v>
      </c>
      <c r="T1233">
        <f t="shared" si="39"/>
        <v>513</v>
      </c>
    </row>
    <row r="1234" spans="1:20">
      <c r="A1234" s="9">
        <v>10714</v>
      </c>
      <c r="B1234" s="6">
        <v>58</v>
      </c>
      <c r="C1234" s="6">
        <v>13.25</v>
      </c>
      <c r="D1234" s="6">
        <v>12</v>
      </c>
      <c r="E1234" s="18">
        <v>0.25</v>
      </c>
      <c r="F1234" s="6" t="str">
        <f>IFERROR(VLOOKUP(VLOOKUP(A1234,'Sales Order'!A:B,2,FALSE),Customer!A:C,3,FALSE),"Not Specified")</f>
        <v>Navarro, Tomás</v>
      </c>
      <c r="G1234" s="6" t="str">
        <f t="shared" si="38"/>
        <v>Navarro Tomás</v>
      </c>
      <c r="H1234" s="22" t="str">
        <f>IFERROR(VLOOKUP(VLOOKUP(A1234,'Sales Order'!A:C,3,FALSE),Employee!A:E,5,FALSE)&amp;" "&amp;VLOOKUP(VLOOKUP(A1234,'Sales Order'!A:C,3,FALSE),Employee!A:C,3,FALSE)&amp;" "&amp;VLOOKUP(VLOOKUP(A1234,'Sales Order'!A:C,3,FALSE),Employee!A:B,2,FALSE),"Not Specified")</f>
        <v>Mr. Sven Buck</v>
      </c>
      <c r="I1234">
        <f>IFERROR(VLOOKUP(VLOOKUP(A1234,'Sales Order'!A:C,3,FALSE),Employee!A:J,10,FALSE),"Not Specified")</f>
        <v>0</v>
      </c>
      <c r="J1234" t="str">
        <f>VLOOKUP(B1234,Product!A:B,2,FALSE)</f>
        <v>Product ACRVI</v>
      </c>
      <c r="K1234" t="str">
        <f>VLOOKUP(VLOOKUP(B1234,Product!A:D,4,FALSE),Category!A:B,2,FALSE)</f>
        <v>Seafood</v>
      </c>
      <c r="L1234" s="24">
        <f>IFERROR(VLOOKUP(A1234,'Sales Order'!A:D,4,FALSE),"")</f>
        <v>39377</v>
      </c>
      <c r="M1234" s="24">
        <f>IFERROR(VLOOKUP(A1234,'Sales Order'!A:F,6,FALSE),"")</f>
        <v>39382</v>
      </c>
      <c r="N1234" t="str">
        <f>IFERROR(VLOOKUP(VLOOKUP(A1234,'Sales Order'!A:G,7,FALSE),Shipper!A:B,2,FALSE),"Not Specified")</f>
        <v>Shipper ZHISN</v>
      </c>
      <c r="O1234" t="str">
        <f>IFERROR(VLOOKUP(A1234,'Sales Order'!A:I,9,FALSE),"Not Specified")</f>
        <v>Ship to 71-A</v>
      </c>
      <c r="P1234" t="str">
        <f>IFERROR(VLOOKUP(A1234,'Sales Order'!A:N,14,FALSE),"Not Specified")</f>
        <v>USA</v>
      </c>
      <c r="Q1234" t="str">
        <f>VLOOKUP(VLOOKUP(B1234,Product!A:C,3,FALSE),Supplier!A:B,2,FALSE)</f>
        <v>Supplier ZRYDZ</v>
      </c>
      <c r="R1234" t="str">
        <f>VLOOKUP(VLOOKUP(B1234,Product!A:C,3,FALSE),Supplier!A:I,9,FALSE)</f>
        <v>France</v>
      </c>
      <c r="S1234" t="str">
        <f>IFERROR(IF(VLOOKUP(A1234,'Sales Order'!A:H,8,FALSE)&gt;100,"High Freight","Low Freight"),"Not Specified")</f>
        <v>Low Freight</v>
      </c>
      <c r="T1234">
        <f t="shared" si="39"/>
        <v>119.25</v>
      </c>
    </row>
    <row r="1235" spans="1:20">
      <c r="A1235" s="9">
        <v>10715</v>
      </c>
      <c r="B1235" s="6">
        <v>10</v>
      </c>
      <c r="C1235" s="6">
        <v>31</v>
      </c>
      <c r="D1235" s="6">
        <v>21</v>
      </c>
      <c r="E1235" s="18">
        <v>0</v>
      </c>
      <c r="F1235" s="6" t="str">
        <f>IFERROR(VLOOKUP(VLOOKUP(A1235,'Sales Order'!A:B,2,FALSE),Customer!A:C,3,FALSE),"Not Specified")</f>
        <v>Raghav, Amritansh</v>
      </c>
      <c r="G1235" s="6" t="str">
        <f t="shared" si="38"/>
        <v>Raghav Amritansh</v>
      </c>
      <c r="H1235" s="22" t="str">
        <f>IFERROR(VLOOKUP(VLOOKUP(A1235,'Sales Order'!A:C,3,FALSE),Employee!A:E,5,FALSE)&amp;" "&amp;VLOOKUP(VLOOKUP(A1235,'Sales Order'!A:C,3,FALSE),Employee!A:C,3,FALSE)&amp;" "&amp;VLOOKUP(VLOOKUP(A1235,'Sales Order'!A:C,3,FALSE),Employee!A:B,2,FALSE),"Not Specified")</f>
        <v>Ms. Judy Lew</v>
      </c>
      <c r="I1235" t="str">
        <f>IFERROR(VLOOKUP(VLOOKUP(A1235,'Sales Order'!A:C,3,FALSE),Employee!A:J,10,FALSE),"Not Specified")</f>
        <v>WA</v>
      </c>
      <c r="J1235" t="str">
        <f>VLOOKUP(B1235,Product!A:B,2,FALSE)</f>
        <v>Product YHXGE</v>
      </c>
      <c r="K1235" t="str">
        <f>VLOOKUP(VLOOKUP(B1235,Product!A:D,4,FALSE),Category!A:B,2,FALSE)</f>
        <v>Seafood</v>
      </c>
      <c r="L1235" s="24">
        <f>IFERROR(VLOOKUP(A1235,'Sales Order'!A:D,4,FALSE),"")</f>
        <v>39378</v>
      </c>
      <c r="M1235" s="24">
        <f>IFERROR(VLOOKUP(A1235,'Sales Order'!A:F,6,FALSE),"")</f>
        <v>39384</v>
      </c>
      <c r="N1235" t="str">
        <f>IFERROR(VLOOKUP(VLOOKUP(A1235,'Sales Order'!A:G,7,FALSE),Shipper!A:B,2,FALSE),"Not Specified")</f>
        <v>Shipper GVSUA</v>
      </c>
      <c r="O1235" t="str">
        <f>IFERROR(VLOOKUP(A1235,'Sales Order'!A:I,9,FALSE),"Not Specified")</f>
        <v>Ship to 9-B</v>
      </c>
      <c r="P1235" t="str">
        <f>IFERROR(VLOOKUP(A1235,'Sales Order'!A:N,14,FALSE),"Not Specified")</f>
        <v>France</v>
      </c>
      <c r="Q1235" t="str">
        <f>VLOOKUP(VLOOKUP(B1235,Product!A:C,3,FALSE),Supplier!A:B,2,FALSE)</f>
        <v>Supplier QOVFD</v>
      </c>
      <c r="R1235" t="str">
        <f>VLOOKUP(VLOOKUP(B1235,Product!A:C,3,FALSE),Supplier!A:I,9,FALSE)</f>
        <v>Japan</v>
      </c>
      <c r="S1235" t="str">
        <f>IFERROR(IF(VLOOKUP(A1235,'Sales Order'!A:H,8,FALSE)&gt;100,"High Freight","Low Freight"),"Not Specified")</f>
        <v>Low Freight</v>
      </c>
      <c r="T1235">
        <f t="shared" si="39"/>
        <v>651</v>
      </c>
    </row>
    <row r="1236" spans="1:20">
      <c r="A1236" s="9">
        <v>10715</v>
      </c>
      <c r="B1236" s="6">
        <v>71</v>
      </c>
      <c r="C1236" s="6">
        <v>21.5</v>
      </c>
      <c r="D1236" s="6">
        <v>30</v>
      </c>
      <c r="E1236" s="18">
        <v>0</v>
      </c>
      <c r="F1236" s="6" t="str">
        <f>IFERROR(VLOOKUP(VLOOKUP(A1236,'Sales Order'!A:B,2,FALSE),Customer!A:C,3,FALSE),"Not Specified")</f>
        <v>Raghav, Amritansh</v>
      </c>
      <c r="G1236" s="6" t="str">
        <f t="shared" si="38"/>
        <v>Raghav Amritansh</v>
      </c>
      <c r="H1236" s="22" t="str">
        <f>IFERROR(VLOOKUP(VLOOKUP(A1236,'Sales Order'!A:C,3,FALSE),Employee!A:E,5,FALSE)&amp;" "&amp;VLOOKUP(VLOOKUP(A1236,'Sales Order'!A:C,3,FALSE),Employee!A:C,3,FALSE)&amp;" "&amp;VLOOKUP(VLOOKUP(A1236,'Sales Order'!A:C,3,FALSE),Employee!A:B,2,FALSE),"Not Specified")</f>
        <v>Ms. Judy Lew</v>
      </c>
      <c r="I1236" t="str">
        <f>IFERROR(VLOOKUP(VLOOKUP(A1236,'Sales Order'!A:C,3,FALSE),Employee!A:J,10,FALSE),"Not Specified")</f>
        <v>WA</v>
      </c>
      <c r="J1236" t="str">
        <f>VLOOKUP(B1236,Product!A:B,2,FALSE)</f>
        <v>Product MYMOI</v>
      </c>
      <c r="K1236" t="str">
        <f>VLOOKUP(VLOOKUP(B1236,Product!A:D,4,FALSE),Category!A:B,2,FALSE)</f>
        <v>Dairy Product</v>
      </c>
      <c r="L1236" s="24">
        <f>IFERROR(VLOOKUP(A1236,'Sales Order'!A:D,4,FALSE),"")</f>
        <v>39378</v>
      </c>
      <c r="M1236" s="24">
        <f>IFERROR(VLOOKUP(A1236,'Sales Order'!A:F,6,FALSE),"")</f>
        <v>39384</v>
      </c>
      <c r="N1236" t="str">
        <f>IFERROR(VLOOKUP(VLOOKUP(A1236,'Sales Order'!A:G,7,FALSE),Shipper!A:B,2,FALSE),"Not Specified")</f>
        <v>Shipper GVSUA</v>
      </c>
      <c r="O1236" t="str">
        <f>IFERROR(VLOOKUP(A1236,'Sales Order'!A:I,9,FALSE),"Not Specified")</f>
        <v>Ship to 9-B</v>
      </c>
      <c r="P1236" t="str">
        <f>IFERROR(VLOOKUP(A1236,'Sales Order'!A:N,14,FALSE),"Not Specified")</f>
        <v>France</v>
      </c>
      <c r="Q1236" t="str">
        <f>VLOOKUP(VLOOKUP(B1236,Product!A:C,3,FALSE),Supplier!A:B,2,FALSE)</f>
        <v>Supplier NZLIF</v>
      </c>
      <c r="R1236" t="str">
        <f>VLOOKUP(VLOOKUP(B1236,Product!A:C,3,FALSE),Supplier!A:I,9,FALSE)</f>
        <v>Norway</v>
      </c>
      <c r="S1236" t="str">
        <f>IFERROR(IF(VLOOKUP(A1236,'Sales Order'!A:H,8,FALSE)&gt;100,"High Freight","Low Freight"),"Not Specified")</f>
        <v>Low Freight</v>
      </c>
      <c r="T1236">
        <f t="shared" si="39"/>
        <v>645</v>
      </c>
    </row>
    <row r="1237" spans="1:20">
      <c r="A1237" s="9">
        <v>10716</v>
      </c>
      <c r="B1237" s="6">
        <v>21</v>
      </c>
      <c r="C1237" s="6">
        <v>10</v>
      </c>
      <c r="D1237" s="6">
        <v>5</v>
      </c>
      <c r="E1237" s="18">
        <v>0</v>
      </c>
      <c r="F1237" s="6" t="str">
        <f>IFERROR(VLOOKUP(VLOOKUP(A1237,'Sales Order'!A:B,2,FALSE),Customer!A:C,3,FALSE),"Not Specified")</f>
        <v>Gaffney, Lawrie</v>
      </c>
      <c r="G1237" s="6" t="str">
        <f t="shared" si="38"/>
        <v>Gaffney Lawrie</v>
      </c>
      <c r="H1237" s="22" t="str">
        <f>IFERROR(VLOOKUP(VLOOKUP(A1237,'Sales Order'!A:C,3,FALSE),Employee!A:E,5,FALSE)&amp;" "&amp;VLOOKUP(VLOOKUP(A1237,'Sales Order'!A:C,3,FALSE),Employee!A:C,3,FALSE)&amp;" "&amp;VLOOKUP(VLOOKUP(A1237,'Sales Order'!A:C,3,FALSE),Employee!A:B,2,FALSE),"Not Specified")</f>
        <v>Mrs. Yael Peled</v>
      </c>
      <c r="I1237" t="str">
        <f>IFERROR(VLOOKUP(VLOOKUP(A1237,'Sales Order'!A:C,3,FALSE),Employee!A:J,10,FALSE),"Not Specified")</f>
        <v>WA</v>
      </c>
      <c r="J1237" t="str">
        <f>VLOOKUP(B1237,Product!A:B,2,FALSE)</f>
        <v>Product VJZZH</v>
      </c>
      <c r="K1237" t="str">
        <f>VLOOKUP(VLOOKUP(B1237,Product!A:D,4,FALSE),Category!A:B,2,FALSE)</f>
        <v>Confections</v>
      </c>
      <c r="L1237" s="24">
        <f>IFERROR(VLOOKUP(A1237,'Sales Order'!A:D,4,FALSE),"")</f>
        <v>39379</v>
      </c>
      <c r="M1237" s="24">
        <f>IFERROR(VLOOKUP(A1237,'Sales Order'!A:F,6,FALSE),"")</f>
        <v>39382</v>
      </c>
      <c r="N1237" t="str">
        <f>IFERROR(VLOOKUP(VLOOKUP(A1237,'Sales Order'!A:G,7,FALSE),Shipper!A:B,2,FALSE),"Not Specified")</f>
        <v>Shipper ETYNR</v>
      </c>
      <c r="O1237" t="str">
        <f>IFERROR(VLOOKUP(A1237,'Sales Order'!A:I,9,FALSE),"Not Specified")</f>
        <v>Ship to 64-B</v>
      </c>
      <c r="P1237" t="str">
        <f>IFERROR(VLOOKUP(A1237,'Sales Order'!A:N,14,FALSE),"Not Specified")</f>
        <v>Argentina</v>
      </c>
      <c r="Q1237" t="str">
        <f>VLOOKUP(VLOOKUP(B1237,Product!A:C,3,FALSE),Supplier!A:B,2,FALSE)</f>
        <v>Supplier BWGYE</v>
      </c>
      <c r="R1237" t="str">
        <f>VLOOKUP(VLOOKUP(B1237,Product!A:C,3,FALSE),Supplier!A:I,9,FALSE)</f>
        <v>UK</v>
      </c>
      <c r="S1237" t="str">
        <f>IFERROR(IF(VLOOKUP(A1237,'Sales Order'!A:H,8,FALSE)&gt;100,"High Freight","Low Freight"),"Not Specified")</f>
        <v>Low Freight</v>
      </c>
      <c r="T1237">
        <f t="shared" si="39"/>
        <v>50</v>
      </c>
    </row>
    <row r="1238" spans="1:20">
      <c r="A1238" s="9">
        <v>10716</v>
      </c>
      <c r="B1238" s="6">
        <v>51</v>
      </c>
      <c r="C1238" s="6">
        <v>53</v>
      </c>
      <c r="D1238" s="6">
        <v>7</v>
      </c>
      <c r="E1238" s="18">
        <v>0</v>
      </c>
      <c r="F1238" s="6" t="str">
        <f>IFERROR(VLOOKUP(VLOOKUP(A1238,'Sales Order'!A:B,2,FALSE),Customer!A:C,3,FALSE),"Not Specified")</f>
        <v>Gaffney, Lawrie</v>
      </c>
      <c r="G1238" s="6" t="str">
        <f t="shared" si="38"/>
        <v>Gaffney Lawrie</v>
      </c>
      <c r="H1238" s="22" t="str">
        <f>IFERROR(VLOOKUP(VLOOKUP(A1238,'Sales Order'!A:C,3,FALSE),Employee!A:E,5,FALSE)&amp;" "&amp;VLOOKUP(VLOOKUP(A1238,'Sales Order'!A:C,3,FALSE),Employee!A:C,3,FALSE)&amp;" "&amp;VLOOKUP(VLOOKUP(A1238,'Sales Order'!A:C,3,FALSE),Employee!A:B,2,FALSE),"Not Specified")</f>
        <v>Mrs. Yael Peled</v>
      </c>
      <c r="I1238" t="str">
        <f>IFERROR(VLOOKUP(VLOOKUP(A1238,'Sales Order'!A:C,3,FALSE),Employee!A:J,10,FALSE),"Not Specified")</f>
        <v>WA</v>
      </c>
      <c r="J1238" t="str">
        <f>VLOOKUP(B1238,Product!A:B,2,FALSE)</f>
        <v>Product APITJ</v>
      </c>
      <c r="K1238" t="str">
        <f>VLOOKUP(VLOOKUP(B1238,Product!A:D,4,FALSE),Category!A:B,2,FALSE)</f>
        <v>Produce</v>
      </c>
      <c r="L1238" s="24">
        <f>IFERROR(VLOOKUP(A1238,'Sales Order'!A:D,4,FALSE),"")</f>
        <v>39379</v>
      </c>
      <c r="M1238" s="24">
        <f>IFERROR(VLOOKUP(A1238,'Sales Order'!A:F,6,FALSE),"")</f>
        <v>39382</v>
      </c>
      <c r="N1238" t="str">
        <f>IFERROR(VLOOKUP(VLOOKUP(A1238,'Sales Order'!A:G,7,FALSE),Shipper!A:B,2,FALSE),"Not Specified")</f>
        <v>Shipper ETYNR</v>
      </c>
      <c r="O1238" t="str">
        <f>IFERROR(VLOOKUP(A1238,'Sales Order'!A:I,9,FALSE),"Not Specified")</f>
        <v>Ship to 64-B</v>
      </c>
      <c r="P1238" t="str">
        <f>IFERROR(VLOOKUP(A1238,'Sales Order'!A:N,14,FALSE),"Not Specified")</f>
        <v>Argentina</v>
      </c>
      <c r="Q1238" t="str">
        <f>VLOOKUP(VLOOKUP(B1238,Product!A:C,3,FALSE),Supplier!A:B,2,FALSE)</f>
        <v>Supplier JNNES</v>
      </c>
      <c r="R1238" t="str">
        <f>VLOOKUP(VLOOKUP(B1238,Product!A:C,3,FALSE),Supplier!A:I,9,FALSE)</f>
        <v>Australia</v>
      </c>
      <c r="S1238" t="str">
        <f>IFERROR(IF(VLOOKUP(A1238,'Sales Order'!A:H,8,FALSE)&gt;100,"High Freight","Low Freight"),"Not Specified")</f>
        <v>Low Freight</v>
      </c>
      <c r="T1238">
        <f t="shared" si="39"/>
        <v>371</v>
      </c>
    </row>
    <row r="1239" spans="1:20">
      <c r="A1239" s="9">
        <v>10716</v>
      </c>
      <c r="B1239" s="6">
        <v>61</v>
      </c>
      <c r="C1239" s="6">
        <v>28.5</v>
      </c>
      <c r="D1239" s="6">
        <v>10</v>
      </c>
      <c r="E1239" s="18">
        <v>0</v>
      </c>
      <c r="F1239" s="6" t="str">
        <f>IFERROR(VLOOKUP(VLOOKUP(A1239,'Sales Order'!A:B,2,FALSE),Customer!A:C,3,FALSE),"Not Specified")</f>
        <v>Gaffney, Lawrie</v>
      </c>
      <c r="G1239" s="6" t="str">
        <f t="shared" si="38"/>
        <v>Gaffney Lawrie</v>
      </c>
      <c r="H1239" s="22" t="str">
        <f>IFERROR(VLOOKUP(VLOOKUP(A1239,'Sales Order'!A:C,3,FALSE),Employee!A:E,5,FALSE)&amp;" "&amp;VLOOKUP(VLOOKUP(A1239,'Sales Order'!A:C,3,FALSE),Employee!A:C,3,FALSE)&amp;" "&amp;VLOOKUP(VLOOKUP(A1239,'Sales Order'!A:C,3,FALSE),Employee!A:B,2,FALSE),"Not Specified")</f>
        <v>Mrs. Yael Peled</v>
      </c>
      <c r="I1239" t="str">
        <f>IFERROR(VLOOKUP(VLOOKUP(A1239,'Sales Order'!A:C,3,FALSE),Employee!A:J,10,FALSE),"Not Specified")</f>
        <v>WA</v>
      </c>
      <c r="J1239" t="str">
        <f>VLOOKUP(B1239,Product!A:B,2,FALSE)</f>
        <v>Product XYZPE</v>
      </c>
      <c r="K1239" t="str">
        <f>VLOOKUP(VLOOKUP(B1239,Product!A:D,4,FALSE),Category!A:B,2,FALSE)</f>
        <v>Condiments</v>
      </c>
      <c r="L1239" s="24">
        <f>IFERROR(VLOOKUP(A1239,'Sales Order'!A:D,4,FALSE),"")</f>
        <v>39379</v>
      </c>
      <c r="M1239" s="24">
        <f>IFERROR(VLOOKUP(A1239,'Sales Order'!A:F,6,FALSE),"")</f>
        <v>39382</v>
      </c>
      <c r="N1239" t="str">
        <f>IFERROR(VLOOKUP(VLOOKUP(A1239,'Sales Order'!A:G,7,FALSE),Shipper!A:B,2,FALSE),"Not Specified")</f>
        <v>Shipper ETYNR</v>
      </c>
      <c r="O1239" t="str">
        <f>IFERROR(VLOOKUP(A1239,'Sales Order'!A:I,9,FALSE),"Not Specified")</f>
        <v>Ship to 64-B</v>
      </c>
      <c r="P1239" t="str">
        <f>IFERROR(VLOOKUP(A1239,'Sales Order'!A:N,14,FALSE),"Not Specified")</f>
        <v>Argentina</v>
      </c>
      <c r="Q1239" t="str">
        <f>VLOOKUP(VLOOKUP(B1239,Product!A:C,3,FALSE),Supplier!A:B,2,FALSE)</f>
        <v>Supplier OGLRK</v>
      </c>
      <c r="R1239" t="str">
        <f>VLOOKUP(VLOOKUP(B1239,Product!A:C,3,FALSE),Supplier!A:I,9,FALSE)</f>
        <v>Canada</v>
      </c>
      <c r="S1239" t="str">
        <f>IFERROR(IF(VLOOKUP(A1239,'Sales Order'!A:H,8,FALSE)&gt;100,"High Freight","Low Freight"),"Not Specified")</f>
        <v>Low Freight</v>
      </c>
      <c r="T1239">
        <f t="shared" si="39"/>
        <v>285</v>
      </c>
    </row>
    <row r="1240" spans="1:20">
      <c r="A1240" s="9">
        <v>10717</v>
      </c>
      <c r="B1240" s="6">
        <v>21</v>
      </c>
      <c r="C1240" s="6">
        <v>10</v>
      </c>
      <c r="D1240" s="6">
        <v>32</v>
      </c>
      <c r="E1240" s="18">
        <v>0.05</v>
      </c>
      <c r="F1240" s="6" t="str">
        <f>IFERROR(VLOOKUP(VLOOKUP(A1240,'Sales Order'!A:B,2,FALSE),Customer!A:C,3,FALSE),"Not Specified")</f>
        <v>Carlson, Jason</v>
      </c>
      <c r="G1240" s="6" t="str">
        <f t="shared" si="38"/>
        <v>Carlson Jason</v>
      </c>
      <c r="H1240" s="22" t="str">
        <f>IFERROR(VLOOKUP(VLOOKUP(A1240,'Sales Order'!A:C,3,FALSE),Employee!A:E,5,FALSE)&amp;" "&amp;VLOOKUP(VLOOKUP(A1240,'Sales Order'!A:C,3,FALSE),Employee!A:C,3,FALSE)&amp;" "&amp;VLOOKUP(VLOOKUP(A1240,'Sales Order'!A:C,3,FALSE),Employee!A:B,2,FALSE),"Not Specified")</f>
        <v>Ms. Sara Davis</v>
      </c>
      <c r="I1240" t="str">
        <f>IFERROR(VLOOKUP(VLOOKUP(A1240,'Sales Order'!A:C,3,FALSE),Employee!A:J,10,FALSE),"Not Specified")</f>
        <v>WA</v>
      </c>
      <c r="J1240" t="str">
        <f>VLOOKUP(B1240,Product!A:B,2,FALSE)</f>
        <v>Product VJZZH</v>
      </c>
      <c r="K1240" t="str">
        <f>VLOOKUP(VLOOKUP(B1240,Product!A:D,4,FALSE),Category!A:B,2,FALSE)</f>
        <v>Confections</v>
      </c>
      <c r="L1240" s="24">
        <f>IFERROR(VLOOKUP(A1240,'Sales Order'!A:D,4,FALSE),"")</f>
        <v>39379</v>
      </c>
      <c r="M1240" s="24">
        <f>IFERROR(VLOOKUP(A1240,'Sales Order'!A:F,6,FALSE),"")</f>
        <v>39384</v>
      </c>
      <c r="N1240" t="str">
        <f>IFERROR(VLOOKUP(VLOOKUP(A1240,'Sales Order'!A:G,7,FALSE),Shipper!A:B,2,FALSE),"Not Specified")</f>
        <v>Shipper ETYNR</v>
      </c>
      <c r="O1240" t="str">
        <f>IFERROR(VLOOKUP(A1240,'Sales Order'!A:I,9,FALSE),"Not Specified")</f>
        <v>Destination QOCBL</v>
      </c>
      <c r="P1240" t="str">
        <f>IFERROR(VLOOKUP(A1240,'Sales Order'!A:N,14,FALSE),"Not Specified")</f>
        <v>Germany</v>
      </c>
      <c r="Q1240" t="str">
        <f>VLOOKUP(VLOOKUP(B1240,Product!A:C,3,FALSE),Supplier!A:B,2,FALSE)</f>
        <v>Supplier BWGYE</v>
      </c>
      <c r="R1240" t="str">
        <f>VLOOKUP(VLOOKUP(B1240,Product!A:C,3,FALSE),Supplier!A:I,9,FALSE)</f>
        <v>UK</v>
      </c>
      <c r="S1240" t="str">
        <f>IFERROR(IF(VLOOKUP(A1240,'Sales Order'!A:H,8,FALSE)&gt;100,"High Freight","Low Freight"),"Not Specified")</f>
        <v>Low Freight</v>
      </c>
      <c r="T1240">
        <f t="shared" si="39"/>
        <v>304</v>
      </c>
    </row>
    <row r="1241" spans="1:20">
      <c r="A1241" s="9">
        <v>10717</v>
      </c>
      <c r="B1241" s="6">
        <v>54</v>
      </c>
      <c r="C1241" s="6">
        <v>7.45</v>
      </c>
      <c r="D1241" s="6">
        <v>15</v>
      </c>
      <c r="E1241" s="18">
        <v>0</v>
      </c>
      <c r="F1241" s="6" t="str">
        <f>IFERROR(VLOOKUP(VLOOKUP(A1241,'Sales Order'!A:B,2,FALSE),Customer!A:C,3,FALSE),"Not Specified")</f>
        <v>Carlson, Jason</v>
      </c>
      <c r="G1241" s="6" t="str">
        <f t="shared" si="38"/>
        <v>Carlson Jason</v>
      </c>
      <c r="H1241" s="22" t="str">
        <f>IFERROR(VLOOKUP(VLOOKUP(A1241,'Sales Order'!A:C,3,FALSE),Employee!A:E,5,FALSE)&amp;" "&amp;VLOOKUP(VLOOKUP(A1241,'Sales Order'!A:C,3,FALSE),Employee!A:C,3,FALSE)&amp;" "&amp;VLOOKUP(VLOOKUP(A1241,'Sales Order'!A:C,3,FALSE),Employee!A:B,2,FALSE),"Not Specified")</f>
        <v>Ms. Sara Davis</v>
      </c>
      <c r="I1241" t="str">
        <f>IFERROR(VLOOKUP(VLOOKUP(A1241,'Sales Order'!A:C,3,FALSE),Employee!A:J,10,FALSE),"Not Specified")</f>
        <v>WA</v>
      </c>
      <c r="J1241" t="str">
        <f>VLOOKUP(B1241,Product!A:B,2,FALSE)</f>
        <v>Product QAQRL</v>
      </c>
      <c r="K1241" t="str">
        <f>VLOOKUP(VLOOKUP(B1241,Product!A:D,4,FALSE),Category!A:B,2,FALSE)</f>
        <v>Meat/Poultry</v>
      </c>
      <c r="L1241" s="24">
        <f>IFERROR(VLOOKUP(A1241,'Sales Order'!A:D,4,FALSE),"")</f>
        <v>39379</v>
      </c>
      <c r="M1241" s="24">
        <f>IFERROR(VLOOKUP(A1241,'Sales Order'!A:F,6,FALSE),"")</f>
        <v>39384</v>
      </c>
      <c r="N1241" t="str">
        <f>IFERROR(VLOOKUP(VLOOKUP(A1241,'Sales Order'!A:G,7,FALSE),Shipper!A:B,2,FALSE),"Not Specified")</f>
        <v>Shipper ETYNR</v>
      </c>
      <c r="O1241" t="str">
        <f>IFERROR(VLOOKUP(A1241,'Sales Order'!A:I,9,FALSE),"Not Specified")</f>
        <v>Destination QOCBL</v>
      </c>
      <c r="P1241" t="str">
        <f>IFERROR(VLOOKUP(A1241,'Sales Order'!A:N,14,FALSE),"Not Specified")</f>
        <v>Germany</v>
      </c>
      <c r="Q1241" t="str">
        <f>VLOOKUP(VLOOKUP(B1241,Product!A:C,3,FALSE),Supplier!A:B,2,FALSE)</f>
        <v>Supplier ERVYZ</v>
      </c>
      <c r="R1241" t="str">
        <f>VLOOKUP(VLOOKUP(B1241,Product!A:C,3,FALSE),Supplier!A:I,9,FALSE)</f>
        <v>Canada</v>
      </c>
      <c r="S1241" t="str">
        <f>IFERROR(IF(VLOOKUP(A1241,'Sales Order'!A:H,8,FALSE)&gt;100,"High Freight","Low Freight"),"Not Specified")</f>
        <v>Low Freight</v>
      </c>
      <c r="T1241">
        <f t="shared" si="39"/>
        <v>111.75</v>
      </c>
    </row>
    <row r="1242" spans="1:20">
      <c r="A1242" s="9">
        <v>10717</v>
      </c>
      <c r="B1242" s="6">
        <v>69</v>
      </c>
      <c r="C1242" s="6">
        <v>36</v>
      </c>
      <c r="D1242" s="6">
        <v>25</v>
      </c>
      <c r="E1242" s="18">
        <v>0.05</v>
      </c>
      <c r="F1242" s="6" t="str">
        <f>IFERROR(VLOOKUP(VLOOKUP(A1242,'Sales Order'!A:B,2,FALSE),Customer!A:C,3,FALSE),"Not Specified")</f>
        <v>Carlson, Jason</v>
      </c>
      <c r="G1242" s="6" t="str">
        <f t="shared" si="38"/>
        <v>Carlson Jason</v>
      </c>
      <c r="H1242" s="22" t="str">
        <f>IFERROR(VLOOKUP(VLOOKUP(A1242,'Sales Order'!A:C,3,FALSE),Employee!A:E,5,FALSE)&amp;" "&amp;VLOOKUP(VLOOKUP(A1242,'Sales Order'!A:C,3,FALSE),Employee!A:C,3,FALSE)&amp;" "&amp;VLOOKUP(VLOOKUP(A1242,'Sales Order'!A:C,3,FALSE),Employee!A:B,2,FALSE),"Not Specified")</f>
        <v>Ms. Sara Davis</v>
      </c>
      <c r="I1242" t="str">
        <f>IFERROR(VLOOKUP(VLOOKUP(A1242,'Sales Order'!A:C,3,FALSE),Employee!A:J,10,FALSE),"Not Specified")</f>
        <v>WA</v>
      </c>
      <c r="J1242" t="str">
        <f>VLOOKUP(B1242,Product!A:B,2,FALSE)</f>
        <v>Product COAXA</v>
      </c>
      <c r="K1242" t="str">
        <f>VLOOKUP(VLOOKUP(B1242,Product!A:D,4,FALSE),Category!A:B,2,FALSE)</f>
        <v>Dairy Product</v>
      </c>
      <c r="L1242" s="24">
        <f>IFERROR(VLOOKUP(A1242,'Sales Order'!A:D,4,FALSE),"")</f>
        <v>39379</v>
      </c>
      <c r="M1242" s="24">
        <f>IFERROR(VLOOKUP(A1242,'Sales Order'!A:F,6,FALSE),"")</f>
        <v>39384</v>
      </c>
      <c r="N1242" t="str">
        <f>IFERROR(VLOOKUP(VLOOKUP(A1242,'Sales Order'!A:G,7,FALSE),Shipper!A:B,2,FALSE),"Not Specified")</f>
        <v>Shipper ETYNR</v>
      </c>
      <c r="O1242" t="str">
        <f>IFERROR(VLOOKUP(A1242,'Sales Order'!A:I,9,FALSE),"Not Specified")</f>
        <v>Destination QOCBL</v>
      </c>
      <c r="P1242" t="str">
        <f>IFERROR(VLOOKUP(A1242,'Sales Order'!A:N,14,FALSE),"Not Specified")</f>
        <v>Germany</v>
      </c>
      <c r="Q1242" t="str">
        <f>VLOOKUP(VLOOKUP(B1242,Product!A:C,3,FALSE),Supplier!A:B,2,FALSE)</f>
        <v>Supplier NZLIF</v>
      </c>
      <c r="R1242" t="str">
        <f>VLOOKUP(VLOOKUP(B1242,Product!A:C,3,FALSE),Supplier!A:I,9,FALSE)</f>
        <v>Norway</v>
      </c>
      <c r="S1242" t="str">
        <f>IFERROR(IF(VLOOKUP(A1242,'Sales Order'!A:H,8,FALSE)&gt;100,"High Freight","Low Freight"),"Not Specified")</f>
        <v>Low Freight</v>
      </c>
      <c r="T1242">
        <f t="shared" si="39"/>
        <v>855</v>
      </c>
    </row>
    <row r="1243" spans="1:20">
      <c r="A1243" s="9">
        <v>10718</v>
      </c>
      <c r="B1243" s="6">
        <v>12</v>
      </c>
      <c r="C1243" s="6">
        <v>38</v>
      </c>
      <c r="D1243" s="6">
        <v>36</v>
      </c>
      <c r="E1243" s="18">
        <v>0</v>
      </c>
      <c r="F1243" s="6" t="str">
        <f>IFERROR(VLOOKUP(VLOOKUP(A1243,'Sales Order'!A:B,2,FALSE),Customer!A:C,3,FALSE),"Not Specified")</f>
        <v>Song, Lolan</v>
      </c>
      <c r="G1243" s="6" t="str">
        <f t="shared" si="38"/>
        <v>Song Lolan</v>
      </c>
      <c r="H1243" s="22" t="str">
        <f>IFERROR(VLOOKUP(VLOOKUP(A1243,'Sales Order'!A:C,3,FALSE),Employee!A:E,5,FALSE)&amp;" "&amp;VLOOKUP(VLOOKUP(A1243,'Sales Order'!A:C,3,FALSE),Employee!A:C,3,FALSE)&amp;" "&amp;VLOOKUP(VLOOKUP(A1243,'Sales Order'!A:C,3,FALSE),Employee!A:B,2,FALSE),"Not Specified")</f>
        <v>Ms. Sara Davis</v>
      </c>
      <c r="I1243" t="str">
        <f>IFERROR(VLOOKUP(VLOOKUP(A1243,'Sales Order'!A:C,3,FALSE),Employee!A:J,10,FALSE),"Not Specified")</f>
        <v>WA</v>
      </c>
      <c r="J1243" t="str">
        <f>VLOOKUP(B1243,Product!A:B,2,FALSE)</f>
        <v>Product OSFNS</v>
      </c>
      <c r="K1243" t="str">
        <f>VLOOKUP(VLOOKUP(B1243,Product!A:D,4,FALSE),Category!A:B,2,FALSE)</f>
        <v>Dairy Product</v>
      </c>
      <c r="L1243" s="24">
        <f>IFERROR(VLOOKUP(A1243,'Sales Order'!A:D,4,FALSE),"")</f>
        <v>39382</v>
      </c>
      <c r="M1243" s="24">
        <f>IFERROR(VLOOKUP(A1243,'Sales Order'!A:F,6,FALSE),"")</f>
        <v>39384</v>
      </c>
      <c r="N1243" t="str">
        <f>IFERROR(VLOOKUP(VLOOKUP(A1243,'Sales Order'!A:G,7,FALSE),Shipper!A:B,2,FALSE),"Not Specified")</f>
        <v>Shipper ZHISN</v>
      </c>
      <c r="O1243" t="str">
        <f>IFERROR(VLOOKUP(A1243,'Sales Order'!A:I,9,FALSE),"Not Specified")</f>
        <v>Destination DKMQA</v>
      </c>
      <c r="P1243" t="str">
        <f>IFERROR(VLOOKUP(A1243,'Sales Order'!A:N,14,FALSE),"Not Specified")</f>
        <v>Germany</v>
      </c>
      <c r="Q1243" t="str">
        <f>VLOOKUP(VLOOKUP(B1243,Product!A:C,3,FALSE),Supplier!A:B,2,FALSE)</f>
        <v>Supplier EQPNC</v>
      </c>
      <c r="R1243" t="str">
        <f>VLOOKUP(VLOOKUP(B1243,Product!A:C,3,FALSE),Supplier!A:I,9,FALSE)</f>
        <v>Spain</v>
      </c>
      <c r="S1243" t="str">
        <f>IFERROR(IF(VLOOKUP(A1243,'Sales Order'!A:H,8,FALSE)&gt;100,"High Freight","Low Freight"),"Not Specified")</f>
        <v>High Freight</v>
      </c>
      <c r="T1243">
        <f t="shared" si="39"/>
        <v>1368</v>
      </c>
    </row>
    <row r="1244" spans="1:20">
      <c r="A1244" s="9">
        <v>10718</v>
      </c>
      <c r="B1244" s="6">
        <v>16</v>
      </c>
      <c r="C1244" s="6">
        <v>17.45</v>
      </c>
      <c r="D1244" s="6">
        <v>20</v>
      </c>
      <c r="E1244" s="18">
        <v>0</v>
      </c>
      <c r="F1244" s="6" t="str">
        <f>IFERROR(VLOOKUP(VLOOKUP(A1244,'Sales Order'!A:B,2,FALSE),Customer!A:C,3,FALSE),"Not Specified")</f>
        <v>Song, Lolan</v>
      </c>
      <c r="G1244" s="6" t="str">
        <f t="shared" si="38"/>
        <v>Song Lolan</v>
      </c>
      <c r="H1244" s="22" t="str">
        <f>IFERROR(VLOOKUP(VLOOKUP(A1244,'Sales Order'!A:C,3,FALSE),Employee!A:E,5,FALSE)&amp;" "&amp;VLOOKUP(VLOOKUP(A1244,'Sales Order'!A:C,3,FALSE),Employee!A:C,3,FALSE)&amp;" "&amp;VLOOKUP(VLOOKUP(A1244,'Sales Order'!A:C,3,FALSE),Employee!A:B,2,FALSE),"Not Specified")</f>
        <v>Ms. Sara Davis</v>
      </c>
      <c r="I1244" t="str">
        <f>IFERROR(VLOOKUP(VLOOKUP(A1244,'Sales Order'!A:C,3,FALSE),Employee!A:J,10,FALSE),"Not Specified")</f>
        <v>WA</v>
      </c>
      <c r="J1244" t="str">
        <f>VLOOKUP(B1244,Product!A:B,2,FALSE)</f>
        <v>Product PAFRH</v>
      </c>
      <c r="K1244" t="str">
        <f>VLOOKUP(VLOOKUP(B1244,Product!A:D,4,FALSE),Category!A:B,2,FALSE)</f>
        <v>Confections</v>
      </c>
      <c r="L1244" s="24">
        <f>IFERROR(VLOOKUP(A1244,'Sales Order'!A:D,4,FALSE),"")</f>
        <v>39382</v>
      </c>
      <c r="M1244" s="24">
        <f>IFERROR(VLOOKUP(A1244,'Sales Order'!A:F,6,FALSE),"")</f>
        <v>39384</v>
      </c>
      <c r="N1244" t="str">
        <f>IFERROR(VLOOKUP(VLOOKUP(A1244,'Sales Order'!A:G,7,FALSE),Shipper!A:B,2,FALSE),"Not Specified")</f>
        <v>Shipper ZHISN</v>
      </c>
      <c r="O1244" t="str">
        <f>IFERROR(VLOOKUP(A1244,'Sales Order'!A:I,9,FALSE),"Not Specified")</f>
        <v>Destination DKMQA</v>
      </c>
      <c r="P1244" t="str">
        <f>IFERROR(VLOOKUP(A1244,'Sales Order'!A:N,14,FALSE),"Not Specified")</f>
        <v>Germany</v>
      </c>
      <c r="Q1244" t="str">
        <f>VLOOKUP(VLOOKUP(B1244,Product!A:C,3,FALSE),Supplier!A:B,2,FALSE)</f>
        <v>Supplier GQRCV</v>
      </c>
      <c r="R1244" t="str">
        <f>VLOOKUP(VLOOKUP(B1244,Product!A:C,3,FALSE),Supplier!A:I,9,FALSE)</f>
        <v>Australia</v>
      </c>
      <c r="S1244" t="str">
        <f>IFERROR(IF(VLOOKUP(A1244,'Sales Order'!A:H,8,FALSE)&gt;100,"High Freight","Low Freight"),"Not Specified")</f>
        <v>High Freight</v>
      </c>
      <c r="T1244">
        <f t="shared" si="39"/>
        <v>349</v>
      </c>
    </row>
    <row r="1245" spans="1:20">
      <c r="A1245" s="9">
        <v>10718</v>
      </c>
      <c r="B1245" s="6">
        <v>36</v>
      </c>
      <c r="C1245" s="6">
        <v>19</v>
      </c>
      <c r="D1245" s="6">
        <v>40</v>
      </c>
      <c r="E1245" s="18">
        <v>0</v>
      </c>
      <c r="F1245" s="6" t="str">
        <f>IFERROR(VLOOKUP(VLOOKUP(A1245,'Sales Order'!A:B,2,FALSE),Customer!A:C,3,FALSE),"Not Specified")</f>
        <v>Song, Lolan</v>
      </c>
      <c r="G1245" s="6" t="str">
        <f t="shared" si="38"/>
        <v>Song Lolan</v>
      </c>
      <c r="H1245" s="22" t="str">
        <f>IFERROR(VLOOKUP(VLOOKUP(A1245,'Sales Order'!A:C,3,FALSE),Employee!A:E,5,FALSE)&amp;" "&amp;VLOOKUP(VLOOKUP(A1245,'Sales Order'!A:C,3,FALSE),Employee!A:C,3,FALSE)&amp;" "&amp;VLOOKUP(VLOOKUP(A1245,'Sales Order'!A:C,3,FALSE),Employee!A:B,2,FALSE),"Not Specified")</f>
        <v>Ms. Sara Davis</v>
      </c>
      <c r="I1245" t="str">
        <f>IFERROR(VLOOKUP(VLOOKUP(A1245,'Sales Order'!A:C,3,FALSE),Employee!A:J,10,FALSE),"Not Specified")</f>
        <v>WA</v>
      </c>
      <c r="J1245" t="str">
        <f>VLOOKUP(B1245,Product!A:B,2,FALSE)</f>
        <v>Product GMKIJ</v>
      </c>
      <c r="K1245" t="str">
        <f>VLOOKUP(VLOOKUP(B1245,Product!A:D,4,FALSE),Category!A:B,2,FALSE)</f>
        <v>Seafood</v>
      </c>
      <c r="L1245" s="24">
        <f>IFERROR(VLOOKUP(A1245,'Sales Order'!A:D,4,FALSE),"")</f>
        <v>39382</v>
      </c>
      <c r="M1245" s="24">
        <f>IFERROR(VLOOKUP(A1245,'Sales Order'!A:F,6,FALSE),"")</f>
        <v>39384</v>
      </c>
      <c r="N1245" t="str">
        <f>IFERROR(VLOOKUP(VLOOKUP(A1245,'Sales Order'!A:G,7,FALSE),Shipper!A:B,2,FALSE),"Not Specified")</f>
        <v>Shipper ZHISN</v>
      </c>
      <c r="O1245" t="str">
        <f>IFERROR(VLOOKUP(A1245,'Sales Order'!A:I,9,FALSE),"Not Specified")</f>
        <v>Destination DKMQA</v>
      </c>
      <c r="P1245" t="str">
        <f>IFERROR(VLOOKUP(A1245,'Sales Order'!A:N,14,FALSE),"Not Specified")</f>
        <v>Germany</v>
      </c>
      <c r="Q1245" t="str">
        <f>VLOOKUP(VLOOKUP(B1245,Product!A:C,3,FALSE),Supplier!A:B,2,FALSE)</f>
        <v>Supplier QZGUF</v>
      </c>
      <c r="R1245" t="str">
        <f>VLOOKUP(VLOOKUP(B1245,Product!A:C,3,FALSE),Supplier!A:I,9,FALSE)</f>
        <v>Sweden</v>
      </c>
      <c r="S1245" t="str">
        <f>IFERROR(IF(VLOOKUP(A1245,'Sales Order'!A:H,8,FALSE)&gt;100,"High Freight","Low Freight"),"Not Specified")</f>
        <v>High Freight</v>
      </c>
      <c r="T1245">
        <f t="shared" si="39"/>
        <v>760</v>
      </c>
    </row>
    <row r="1246" spans="1:20">
      <c r="A1246" s="9">
        <v>10718</v>
      </c>
      <c r="B1246" s="6">
        <v>62</v>
      </c>
      <c r="C1246" s="6">
        <v>49.3</v>
      </c>
      <c r="D1246" s="6">
        <v>20</v>
      </c>
      <c r="E1246" s="18">
        <v>0</v>
      </c>
      <c r="F1246" s="6" t="str">
        <f>IFERROR(VLOOKUP(VLOOKUP(A1246,'Sales Order'!A:B,2,FALSE),Customer!A:C,3,FALSE),"Not Specified")</f>
        <v>Song, Lolan</v>
      </c>
      <c r="G1246" s="6" t="str">
        <f t="shared" si="38"/>
        <v>Song Lolan</v>
      </c>
      <c r="H1246" s="22" t="str">
        <f>IFERROR(VLOOKUP(VLOOKUP(A1246,'Sales Order'!A:C,3,FALSE),Employee!A:E,5,FALSE)&amp;" "&amp;VLOOKUP(VLOOKUP(A1246,'Sales Order'!A:C,3,FALSE),Employee!A:C,3,FALSE)&amp;" "&amp;VLOOKUP(VLOOKUP(A1246,'Sales Order'!A:C,3,FALSE),Employee!A:B,2,FALSE),"Not Specified")</f>
        <v>Ms. Sara Davis</v>
      </c>
      <c r="I1246" t="str">
        <f>IFERROR(VLOOKUP(VLOOKUP(A1246,'Sales Order'!A:C,3,FALSE),Employee!A:J,10,FALSE),"Not Specified")</f>
        <v>WA</v>
      </c>
      <c r="J1246" t="str">
        <f>VLOOKUP(B1246,Product!A:B,2,FALSE)</f>
        <v>Product WUXYK</v>
      </c>
      <c r="K1246" t="str">
        <f>VLOOKUP(VLOOKUP(B1246,Product!A:D,4,FALSE),Category!A:B,2,FALSE)</f>
        <v>Confections</v>
      </c>
      <c r="L1246" s="24">
        <f>IFERROR(VLOOKUP(A1246,'Sales Order'!A:D,4,FALSE),"")</f>
        <v>39382</v>
      </c>
      <c r="M1246" s="24">
        <f>IFERROR(VLOOKUP(A1246,'Sales Order'!A:F,6,FALSE),"")</f>
        <v>39384</v>
      </c>
      <c r="N1246" t="str">
        <f>IFERROR(VLOOKUP(VLOOKUP(A1246,'Sales Order'!A:G,7,FALSE),Shipper!A:B,2,FALSE),"Not Specified")</f>
        <v>Shipper ZHISN</v>
      </c>
      <c r="O1246" t="str">
        <f>IFERROR(VLOOKUP(A1246,'Sales Order'!A:I,9,FALSE),"Not Specified")</f>
        <v>Destination DKMQA</v>
      </c>
      <c r="P1246" t="str">
        <f>IFERROR(VLOOKUP(A1246,'Sales Order'!A:N,14,FALSE),"Not Specified")</f>
        <v>Germany</v>
      </c>
      <c r="Q1246" t="str">
        <f>VLOOKUP(VLOOKUP(B1246,Product!A:C,3,FALSE),Supplier!A:B,2,FALSE)</f>
        <v>Supplier OGLRK</v>
      </c>
      <c r="R1246" t="str">
        <f>VLOOKUP(VLOOKUP(B1246,Product!A:C,3,FALSE),Supplier!A:I,9,FALSE)</f>
        <v>Canada</v>
      </c>
      <c r="S1246" t="str">
        <f>IFERROR(IF(VLOOKUP(A1246,'Sales Order'!A:H,8,FALSE)&gt;100,"High Freight","Low Freight"),"Not Specified")</f>
        <v>High Freight</v>
      </c>
      <c r="T1246">
        <f t="shared" si="39"/>
        <v>986</v>
      </c>
    </row>
    <row r="1247" spans="1:20">
      <c r="A1247" s="9">
        <v>10719</v>
      </c>
      <c r="B1247" s="6">
        <v>18</v>
      </c>
      <c r="C1247" s="6">
        <v>62.5</v>
      </c>
      <c r="D1247" s="6">
        <v>12</v>
      </c>
      <c r="E1247" s="18">
        <v>0.25</v>
      </c>
      <c r="F1247" s="6" t="str">
        <f>IFERROR(VLOOKUP(VLOOKUP(A1247,'Sales Order'!A:B,2,FALSE),Customer!A:C,3,FALSE),"Not Specified")</f>
        <v>Sunkammurali, Krishna</v>
      </c>
      <c r="G1247" s="6" t="str">
        <f t="shared" si="38"/>
        <v>Sunkammurali Krishna</v>
      </c>
      <c r="H1247" s="22" t="str">
        <f>IFERROR(VLOOKUP(VLOOKUP(A1247,'Sales Order'!A:C,3,FALSE),Employee!A:E,5,FALSE)&amp;" "&amp;VLOOKUP(VLOOKUP(A1247,'Sales Order'!A:C,3,FALSE),Employee!A:C,3,FALSE)&amp;" "&amp;VLOOKUP(VLOOKUP(A1247,'Sales Order'!A:C,3,FALSE),Employee!A:B,2,FALSE),"Not Specified")</f>
        <v>Ms. Maria Cameron</v>
      </c>
      <c r="I1247" t="str">
        <f>IFERROR(VLOOKUP(VLOOKUP(A1247,'Sales Order'!A:C,3,FALSE),Employee!A:J,10,FALSE),"Not Specified")</f>
        <v>WA</v>
      </c>
      <c r="J1247" t="str">
        <f>VLOOKUP(B1247,Product!A:B,2,FALSE)</f>
        <v>Product CKEDC</v>
      </c>
      <c r="K1247" t="str">
        <f>VLOOKUP(VLOOKUP(B1247,Product!A:D,4,FALSE),Category!A:B,2,FALSE)</f>
        <v>Seafood</v>
      </c>
      <c r="L1247" s="24">
        <f>IFERROR(VLOOKUP(A1247,'Sales Order'!A:D,4,FALSE),"")</f>
        <v>39382</v>
      </c>
      <c r="M1247" s="24">
        <f>IFERROR(VLOOKUP(A1247,'Sales Order'!A:F,6,FALSE),"")</f>
        <v>39391</v>
      </c>
      <c r="N1247" t="str">
        <f>IFERROR(VLOOKUP(VLOOKUP(A1247,'Sales Order'!A:G,7,FALSE),Shipper!A:B,2,FALSE),"Not Specified")</f>
        <v>Shipper ETYNR</v>
      </c>
      <c r="O1247" t="str">
        <f>IFERROR(VLOOKUP(A1247,'Sales Order'!A:I,9,FALSE),"Not Specified")</f>
        <v>Ship to 45-A</v>
      </c>
      <c r="P1247" t="str">
        <f>IFERROR(VLOOKUP(A1247,'Sales Order'!A:N,14,FALSE),"Not Specified")</f>
        <v>USA</v>
      </c>
      <c r="Q1247" t="str">
        <f>VLOOKUP(VLOOKUP(B1247,Product!A:C,3,FALSE),Supplier!A:B,2,FALSE)</f>
        <v>Supplier GQRCV</v>
      </c>
      <c r="R1247" t="str">
        <f>VLOOKUP(VLOOKUP(B1247,Product!A:C,3,FALSE),Supplier!A:I,9,FALSE)</f>
        <v>Australia</v>
      </c>
      <c r="S1247" t="str">
        <f>IFERROR(IF(VLOOKUP(A1247,'Sales Order'!A:H,8,FALSE)&gt;100,"High Freight","Low Freight"),"Not Specified")</f>
        <v>Low Freight</v>
      </c>
      <c r="T1247">
        <f t="shared" si="39"/>
        <v>562.5</v>
      </c>
    </row>
    <row r="1248" spans="1:20">
      <c r="A1248" s="9">
        <v>10719</v>
      </c>
      <c r="B1248" s="6">
        <v>30</v>
      </c>
      <c r="C1248" s="6">
        <v>25.89</v>
      </c>
      <c r="D1248" s="6">
        <v>3</v>
      </c>
      <c r="E1248" s="18">
        <v>0.25</v>
      </c>
      <c r="F1248" s="6" t="str">
        <f>IFERROR(VLOOKUP(VLOOKUP(A1248,'Sales Order'!A:B,2,FALSE),Customer!A:C,3,FALSE),"Not Specified")</f>
        <v>Sunkammurali, Krishna</v>
      </c>
      <c r="G1248" s="6" t="str">
        <f t="shared" si="38"/>
        <v>Sunkammurali Krishna</v>
      </c>
      <c r="H1248" s="22" t="str">
        <f>IFERROR(VLOOKUP(VLOOKUP(A1248,'Sales Order'!A:C,3,FALSE),Employee!A:E,5,FALSE)&amp;" "&amp;VLOOKUP(VLOOKUP(A1248,'Sales Order'!A:C,3,FALSE),Employee!A:C,3,FALSE)&amp;" "&amp;VLOOKUP(VLOOKUP(A1248,'Sales Order'!A:C,3,FALSE),Employee!A:B,2,FALSE),"Not Specified")</f>
        <v>Ms. Maria Cameron</v>
      </c>
      <c r="I1248" t="str">
        <f>IFERROR(VLOOKUP(VLOOKUP(A1248,'Sales Order'!A:C,3,FALSE),Employee!A:J,10,FALSE),"Not Specified")</f>
        <v>WA</v>
      </c>
      <c r="J1248" t="str">
        <f>VLOOKUP(B1248,Product!A:B,2,FALSE)</f>
        <v>Product LYERX</v>
      </c>
      <c r="K1248" t="str">
        <f>VLOOKUP(VLOOKUP(B1248,Product!A:D,4,FALSE),Category!A:B,2,FALSE)</f>
        <v>Seafood</v>
      </c>
      <c r="L1248" s="24">
        <f>IFERROR(VLOOKUP(A1248,'Sales Order'!A:D,4,FALSE),"")</f>
        <v>39382</v>
      </c>
      <c r="M1248" s="24">
        <f>IFERROR(VLOOKUP(A1248,'Sales Order'!A:F,6,FALSE),"")</f>
        <v>39391</v>
      </c>
      <c r="N1248" t="str">
        <f>IFERROR(VLOOKUP(VLOOKUP(A1248,'Sales Order'!A:G,7,FALSE),Shipper!A:B,2,FALSE),"Not Specified")</f>
        <v>Shipper ETYNR</v>
      </c>
      <c r="O1248" t="str">
        <f>IFERROR(VLOOKUP(A1248,'Sales Order'!A:I,9,FALSE),"Not Specified")</f>
        <v>Ship to 45-A</v>
      </c>
      <c r="P1248" t="str">
        <f>IFERROR(VLOOKUP(A1248,'Sales Order'!A:N,14,FALSE),"Not Specified")</f>
        <v>USA</v>
      </c>
      <c r="Q1248" t="str">
        <f>VLOOKUP(VLOOKUP(B1248,Product!A:C,3,FALSE),Supplier!A:B,2,FALSE)</f>
        <v>Supplier TEGSC</v>
      </c>
      <c r="R1248" t="str">
        <f>VLOOKUP(VLOOKUP(B1248,Product!A:C,3,FALSE),Supplier!A:I,9,FALSE)</f>
        <v>Germany</v>
      </c>
      <c r="S1248" t="str">
        <f>IFERROR(IF(VLOOKUP(A1248,'Sales Order'!A:H,8,FALSE)&gt;100,"High Freight","Low Freight"),"Not Specified")</f>
        <v>Low Freight</v>
      </c>
      <c r="T1248">
        <f t="shared" si="39"/>
        <v>58.252499999999998</v>
      </c>
    </row>
    <row r="1249" spans="1:20">
      <c r="A1249" s="9">
        <v>10719</v>
      </c>
      <c r="B1249" s="6">
        <v>54</v>
      </c>
      <c r="C1249" s="6">
        <v>7.45</v>
      </c>
      <c r="D1249" s="6">
        <v>40</v>
      </c>
      <c r="E1249" s="18">
        <v>0.25</v>
      </c>
      <c r="F1249" s="6" t="str">
        <f>IFERROR(VLOOKUP(VLOOKUP(A1249,'Sales Order'!A:B,2,FALSE),Customer!A:C,3,FALSE),"Not Specified")</f>
        <v>Sunkammurali, Krishna</v>
      </c>
      <c r="G1249" s="6" t="str">
        <f t="shared" si="38"/>
        <v>Sunkammurali Krishna</v>
      </c>
      <c r="H1249" s="22" t="str">
        <f>IFERROR(VLOOKUP(VLOOKUP(A1249,'Sales Order'!A:C,3,FALSE),Employee!A:E,5,FALSE)&amp;" "&amp;VLOOKUP(VLOOKUP(A1249,'Sales Order'!A:C,3,FALSE),Employee!A:C,3,FALSE)&amp;" "&amp;VLOOKUP(VLOOKUP(A1249,'Sales Order'!A:C,3,FALSE),Employee!A:B,2,FALSE),"Not Specified")</f>
        <v>Ms. Maria Cameron</v>
      </c>
      <c r="I1249" t="str">
        <f>IFERROR(VLOOKUP(VLOOKUP(A1249,'Sales Order'!A:C,3,FALSE),Employee!A:J,10,FALSE),"Not Specified")</f>
        <v>WA</v>
      </c>
      <c r="J1249" t="str">
        <f>VLOOKUP(B1249,Product!A:B,2,FALSE)</f>
        <v>Product QAQRL</v>
      </c>
      <c r="K1249" t="str">
        <f>VLOOKUP(VLOOKUP(B1249,Product!A:D,4,FALSE),Category!A:B,2,FALSE)</f>
        <v>Meat/Poultry</v>
      </c>
      <c r="L1249" s="24">
        <f>IFERROR(VLOOKUP(A1249,'Sales Order'!A:D,4,FALSE),"")</f>
        <v>39382</v>
      </c>
      <c r="M1249" s="24">
        <f>IFERROR(VLOOKUP(A1249,'Sales Order'!A:F,6,FALSE),"")</f>
        <v>39391</v>
      </c>
      <c r="N1249" t="str">
        <f>IFERROR(VLOOKUP(VLOOKUP(A1249,'Sales Order'!A:G,7,FALSE),Shipper!A:B,2,FALSE),"Not Specified")</f>
        <v>Shipper ETYNR</v>
      </c>
      <c r="O1249" t="str">
        <f>IFERROR(VLOOKUP(A1249,'Sales Order'!A:I,9,FALSE),"Not Specified")</f>
        <v>Ship to 45-A</v>
      </c>
      <c r="P1249" t="str">
        <f>IFERROR(VLOOKUP(A1249,'Sales Order'!A:N,14,FALSE),"Not Specified")</f>
        <v>USA</v>
      </c>
      <c r="Q1249" t="str">
        <f>VLOOKUP(VLOOKUP(B1249,Product!A:C,3,FALSE),Supplier!A:B,2,FALSE)</f>
        <v>Supplier ERVYZ</v>
      </c>
      <c r="R1249" t="str">
        <f>VLOOKUP(VLOOKUP(B1249,Product!A:C,3,FALSE),Supplier!A:I,9,FALSE)</f>
        <v>Canada</v>
      </c>
      <c r="S1249" t="str">
        <f>IFERROR(IF(VLOOKUP(A1249,'Sales Order'!A:H,8,FALSE)&gt;100,"High Freight","Low Freight"),"Not Specified")</f>
        <v>Low Freight</v>
      </c>
      <c r="T1249">
        <f t="shared" si="39"/>
        <v>223.5</v>
      </c>
    </row>
    <row r="1250" spans="1:20">
      <c r="A1250" s="9">
        <v>10720</v>
      </c>
      <c r="B1250" s="6">
        <v>35</v>
      </c>
      <c r="C1250" s="6">
        <v>18</v>
      </c>
      <c r="D1250" s="6">
        <v>21</v>
      </c>
      <c r="E1250" s="18">
        <v>0</v>
      </c>
      <c r="F1250" s="6" t="str">
        <f>IFERROR(VLOOKUP(VLOOKUP(A1250,'Sales Order'!A:B,2,FALSE),Customer!A:C,3,FALSE),"Not Specified")</f>
        <v>Florczyk, Krzysztof</v>
      </c>
      <c r="G1250" s="6" t="str">
        <f t="shared" si="38"/>
        <v>Florczyk Krzysztof</v>
      </c>
      <c r="H1250" s="22" t="str">
        <f>IFERROR(VLOOKUP(VLOOKUP(A1250,'Sales Order'!A:C,3,FALSE),Employee!A:E,5,FALSE)&amp;" "&amp;VLOOKUP(VLOOKUP(A1250,'Sales Order'!A:C,3,FALSE),Employee!A:C,3,FALSE)&amp;" "&amp;VLOOKUP(VLOOKUP(A1250,'Sales Order'!A:C,3,FALSE),Employee!A:B,2,FALSE),"Not Specified")</f>
        <v>Ms. Maria Cameron</v>
      </c>
      <c r="I1250" t="str">
        <f>IFERROR(VLOOKUP(VLOOKUP(A1250,'Sales Order'!A:C,3,FALSE),Employee!A:J,10,FALSE),"Not Specified")</f>
        <v>WA</v>
      </c>
      <c r="J1250" t="str">
        <f>VLOOKUP(B1250,Product!A:B,2,FALSE)</f>
        <v>Product NEVTJ</v>
      </c>
      <c r="K1250" t="str">
        <f>VLOOKUP(VLOOKUP(B1250,Product!A:D,4,FALSE),Category!A:B,2,FALSE)</f>
        <v>Beverages</v>
      </c>
      <c r="L1250" s="24">
        <f>IFERROR(VLOOKUP(A1250,'Sales Order'!A:D,4,FALSE),"")</f>
        <v>39383</v>
      </c>
      <c r="M1250" s="24">
        <f>IFERROR(VLOOKUP(A1250,'Sales Order'!A:F,6,FALSE),"")</f>
        <v>39391</v>
      </c>
      <c r="N1250" t="str">
        <f>IFERROR(VLOOKUP(VLOOKUP(A1250,'Sales Order'!A:G,7,FALSE),Shipper!A:B,2,FALSE),"Not Specified")</f>
        <v>Shipper ETYNR</v>
      </c>
      <c r="O1250" t="str">
        <f>IFERROR(VLOOKUP(A1250,'Sales Order'!A:I,9,FALSE),"Not Specified")</f>
        <v>Ship to 61-C</v>
      </c>
      <c r="P1250" t="str">
        <f>IFERROR(VLOOKUP(A1250,'Sales Order'!A:N,14,FALSE),"Not Specified")</f>
        <v>Brazil</v>
      </c>
      <c r="Q1250" t="str">
        <f>VLOOKUP(VLOOKUP(B1250,Product!A:C,3,FALSE),Supplier!A:B,2,FALSE)</f>
        <v>Supplier UHZRG</v>
      </c>
      <c r="R1250" t="str">
        <f>VLOOKUP(VLOOKUP(B1250,Product!A:C,3,FALSE),Supplier!A:I,9,FALSE)</f>
        <v>USA</v>
      </c>
      <c r="S1250" t="str">
        <f>IFERROR(IF(VLOOKUP(A1250,'Sales Order'!A:H,8,FALSE)&gt;100,"High Freight","Low Freight"),"Not Specified")</f>
        <v>Low Freight</v>
      </c>
      <c r="T1250">
        <f t="shared" si="39"/>
        <v>378</v>
      </c>
    </row>
    <row r="1251" spans="1:20">
      <c r="A1251" s="9">
        <v>10720</v>
      </c>
      <c r="B1251" s="6">
        <v>71</v>
      </c>
      <c r="C1251" s="6">
        <v>21.5</v>
      </c>
      <c r="D1251" s="6">
        <v>8</v>
      </c>
      <c r="E1251" s="18">
        <v>0</v>
      </c>
      <c r="F1251" s="6" t="str">
        <f>IFERROR(VLOOKUP(VLOOKUP(A1251,'Sales Order'!A:B,2,FALSE),Customer!A:C,3,FALSE),"Not Specified")</f>
        <v>Florczyk, Krzysztof</v>
      </c>
      <c r="G1251" s="6" t="str">
        <f t="shared" si="38"/>
        <v>Florczyk Krzysztof</v>
      </c>
      <c r="H1251" s="22" t="str">
        <f>IFERROR(VLOOKUP(VLOOKUP(A1251,'Sales Order'!A:C,3,FALSE),Employee!A:E,5,FALSE)&amp;" "&amp;VLOOKUP(VLOOKUP(A1251,'Sales Order'!A:C,3,FALSE),Employee!A:C,3,FALSE)&amp;" "&amp;VLOOKUP(VLOOKUP(A1251,'Sales Order'!A:C,3,FALSE),Employee!A:B,2,FALSE),"Not Specified")</f>
        <v>Ms. Maria Cameron</v>
      </c>
      <c r="I1251" t="str">
        <f>IFERROR(VLOOKUP(VLOOKUP(A1251,'Sales Order'!A:C,3,FALSE),Employee!A:J,10,FALSE),"Not Specified")</f>
        <v>WA</v>
      </c>
      <c r="J1251" t="str">
        <f>VLOOKUP(B1251,Product!A:B,2,FALSE)</f>
        <v>Product MYMOI</v>
      </c>
      <c r="K1251" t="str">
        <f>VLOOKUP(VLOOKUP(B1251,Product!A:D,4,FALSE),Category!A:B,2,FALSE)</f>
        <v>Dairy Product</v>
      </c>
      <c r="L1251" s="24">
        <f>IFERROR(VLOOKUP(A1251,'Sales Order'!A:D,4,FALSE),"")</f>
        <v>39383</v>
      </c>
      <c r="M1251" s="24">
        <f>IFERROR(VLOOKUP(A1251,'Sales Order'!A:F,6,FALSE),"")</f>
        <v>39391</v>
      </c>
      <c r="N1251" t="str">
        <f>IFERROR(VLOOKUP(VLOOKUP(A1251,'Sales Order'!A:G,7,FALSE),Shipper!A:B,2,FALSE),"Not Specified")</f>
        <v>Shipper ETYNR</v>
      </c>
      <c r="O1251" t="str">
        <f>IFERROR(VLOOKUP(A1251,'Sales Order'!A:I,9,FALSE),"Not Specified")</f>
        <v>Ship to 61-C</v>
      </c>
      <c r="P1251" t="str">
        <f>IFERROR(VLOOKUP(A1251,'Sales Order'!A:N,14,FALSE),"Not Specified")</f>
        <v>Brazil</v>
      </c>
      <c r="Q1251" t="str">
        <f>VLOOKUP(VLOOKUP(B1251,Product!A:C,3,FALSE),Supplier!A:B,2,FALSE)</f>
        <v>Supplier NZLIF</v>
      </c>
      <c r="R1251" t="str">
        <f>VLOOKUP(VLOOKUP(B1251,Product!A:C,3,FALSE),Supplier!A:I,9,FALSE)</f>
        <v>Norway</v>
      </c>
      <c r="S1251" t="str">
        <f>IFERROR(IF(VLOOKUP(A1251,'Sales Order'!A:H,8,FALSE)&gt;100,"High Freight","Low Freight"),"Not Specified")</f>
        <v>Low Freight</v>
      </c>
      <c r="T1251">
        <f t="shared" si="39"/>
        <v>172</v>
      </c>
    </row>
    <row r="1252" spans="1:20">
      <c r="A1252" s="9">
        <v>10721</v>
      </c>
      <c r="B1252" s="6">
        <v>44</v>
      </c>
      <c r="C1252" s="6">
        <v>19.45</v>
      </c>
      <c r="D1252" s="6">
        <v>50</v>
      </c>
      <c r="E1252" s="18">
        <v>0.05</v>
      </c>
      <c r="F1252" s="6" t="str">
        <f>IFERROR(VLOOKUP(VLOOKUP(A1252,'Sales Order'!A:B,2,FALSE),Customer!A:C,3,FALSE),"Not Specified")</f>
        <v>Veronesi, Giorgio</v>
      </c>
      <c r="G1252" s="6" t="str">
        <f t="shared" si="38"/>
        <v>Veronesi Giorgio</v>
      </c>
      <c r="H1252" s="22" t="str">
        <f>IFERROR(VLOOKUP(VLOOKUP(A1252,'Sales Order'!A:C,3,FALSE),Employee!A:E,5,FALSE)&amp;" "&amp;VLOOKUP(VLOOKUP(A1252,'Sales Order'!A:C,3,FALSE),Employee!A:C,3,FALSE)&amp;" "&amp;VLOOKUP(VLOOKUP(A1252,'Sales Order'!A:C,3,FALSE),Employee!A:B,2,FALSE),"Not Specified")</f>
        <v>Mr. Sven Buck</v>
      </c>
      <c r="I1252">
        <f>IFERROR(VLOOKUP(VLOOKUP(A1252,'Sales Order'!A:C,3,FALSE),Employee!A:J,10,FALSE),"Not Specified")</f>
        <v>0</v>
      </c>
      <c r="J1252" t="str">
        <f>VLOOKUP(B1252,Product!A:B,2,FALSE)</f>
        <v>Product VJIEO</v>
      </c>
      <c r="K1252" t="str">
        <f>VLOOKUP(VLOOKUP(B1252,Product!A:D,4,FALSE),Category!A:B,2,FALSE)</f>
        <v>Condiments</v>
      </c>
      <c r="L1252" s="24">
        <f>IFERROR(VLOOKUP(A1252,'Sales Order'!A:D,4,FALSE),"")</f>
        <v>39384</v>
      </c>
      <c r="M1252" s="24">
        <f>IFERROR(VLOOKUP(A1252,'Sales Order'!A:F,6,FALSE),"")</f>
        <v>39386</v>
      </c>
      <c r="N1252" t="str">
        <f>IFERROR(VLOOKUP(VLOOKUP(A1252,'Sales Order'!A:G,7,FALSE),Shipper!A:B,2,FALSE),"Not Specified")</f>
        <v>Shipper ZHISN</v>
      </c>
      <c r="O1252" t="str">
        <f>IFERROR(VLOOKUP(A1252,'Sales Order'!A:I,9,FALSE),"Not Specified")</f>
        <v>Ship to 63-A</v>
      </c>
      <c r="P1252" t="str">
        <f>IFERROR(VLOOKUP(A1252,'Sales Order'!A:N,14,FALSE),"Not Specified")</f>
        <v>Germany</v>
      </c>
      <c r="Q1252" t="str">
        <f>VLOOKUP(VLOOKUP(B1252,Product!A:C,3,FALSE),Supplier!A:B,2,FALSE)</f>
        <v>Supplier CIYNM</v>
      </c>
      <c r="R1252" t="str">
        <f>VLOOKUP(VLOOKUP(B1252,Product!A:C,3,FALSE),Supplier!A:I,9,FALSE)</f>
        <v>Singapore</v>
      </c>
      <c r="S1252" t="str">
        <f>IFERROR(IF(VLOOKUP(A1252,'Sales Order'!A:H,8,FALSE)&gt;100,"High Freight","Low Freight"),"Not Specified")</f>
        <v>Low Freight</v>
      </c>
      <c r="T1252">
        <f t="shared" si="39"/>
        <v>923.875</v>
      </c>
    </row>
    <row r="1253" spans="1:20">
      <c r="A1253" s="9">
        <v>10722</v>
      </c>
      <c r="B1253" s="6">
        <v>2</v>
      </c>
      <c r="C1253" s="6">
        <v>19</v>
      </c>
      <c r="D1253" s="6">
        <v>3</v>
      </c>
      <c r="E1253" s="18">
        <v>0</v>
      </c>
      <c r="F1253" s="6" t="str">
        <f>IFERROR(VLOOKUP(VLOOKUP(A1253,'Sales Order'!A:B,2,FALSE),Customer!A:C,3,FALSE),"Not Specified")</f>
        <v>Navarro, Tomás</v>
      </c>
      <c r="G1253" s="6" t="str">
        <f t="shared" si="38"/>
        <v>Navarro Tomás</v>
      </c>
      <c r="H1253" s="22" t="str">
        <f>IFERROR(VLOOKUP(VLOOKUP(A1253,'Sales Order'!A:C,3,FALSE),Employee!A:E,5,FALSE)&amp;" "&amp;VLOOKUP(VLOOKUP(A1253,'Sales Order'!A:C,3,FALSE),Employee!A:C,3,FALSE)&amp;" "&amp;VLOOKUP(VLOOKUP(A1253,'Sales Order'!A:C,3,FALSE),Employee!A:B,2,FALSE),"Not Specified")</f>
        <v>Ms. Maria Cameron</v>
      </c>
      <c r="I1253" t="str">
        <f>IFERROR(VLOOKUP(VLOOKUP(A1253,'Sales Order'!A:C,3,FALSE),Employee!A:J,10,FALSE),"Not Specified")</f>
        <v>WA</v>
      </c>
      <c r="J1253" t="str">
        <f>VLOOKUP(B1253,Product!A:B,2,FALSE)</f>
        <v>Product RECZE</v>
      </c>
      <c r="K1253" t="str">
        <f>VLOOKUP(VLOOKUP(B1253,Product!A:D,4,FALSE),Category!A:B,2,FALSE)</f>
        <v>Beverages</v>
      </c>
      <c r="L1253" s="24">
        <f>IFERROR(VLOOKUP(A1253,'Sales Order'!A:D,4,FALSE),"")</f>
        <v>39384</v>
      </c>
      <c r="M1253" s="24">
        <f>IFERROR(VLOOKUP(A1253,'Sales Order'!A:F,6,FALSE),"")</f>
        <v>39390</v>
      </c>
      <c r="N1253" t="str">
        <f>IFERROR(VLOOKUP(VLOOKUP(A1253,'Sales Order'!A:G,7,FALSE),Shipper!A:B,2,FALSE),"Not Specified")</f>
        <v>Shipper GVSUA</v>
      </c>
      <c r="O1253" t="str">
        <f>IFERROR(VLOOKUP(A1253,'Sales Order'!A:I,9,FALSE),"Not Specified")</f>
        <v>Ship to 71-A</v>
      </c>
      <c r="P1253" t="str">
        <f>IFERROR(VLOOKUP(A1253,'Sales Order'!A:N,14,FALSE),"Not Specified")</f>
        <v>USA</v>
      </c>
      <c r="Q1253" t="str">
        <f>VLOOKUP(VLOOKUP(B1253,Product!A:C,3,FALSE),Supplier!A:B,2,FALSE)</f>
        <v>Supplier SWRXU</v>
      </c>
      <c r="R1253" t="str">
        <f>VLOOKUP(VLOOKUP(B1253,Product!A:C,3,FALSE),Supplier!A:I,9,FALSE)</f>
        <v>UK</v>
      </c>
      <c r="S1253" t="str">
        <f>IFERROR(IF(VLOOKUP(A1253,'Sales Order'!A:H,8,FALSE)&gt;100,"High Freight","Low Freight"),"Not Specified")</f>
        <v>Low Freight</v>
      </c>
      <c r="T1253">
        <f t="shared" si="39"/>
        <v>57</v>
      </c>
    </row>
    <row r="1254" spans="1:20">
      <c r="A1254" s="9">
        <v>10722</v>
      </c>
      <c r="B1254" s="6">
        <v>31</v>
      </c>
      <c r="C1254" s="6">
        <v>12.5</v>
      </c>
      <c r="D1254" s="6">
        <v>50</v>
      </c>
      <c r="E1254" s="18">
        <v>0</v>
      </c>
      <c r="F1254" s="6" t="str">
        <f>IFERROR(VLOOKUP(VLOOKUP(A1254,'Sales Order'!A:B,2,FALSE),Customer!A:C,3,FALSE),"Not Specified")</f>
        <v>Navarro, Tomás</v>
      </c>
      <c r="G1254" s="6" t="str">
        <f t="shared" si="38"/>
        <v>Navarro Tomás</v>
      </c>
      <c r="H1254" s="22" t="str">
        <f>IFERROR(VLOOKUP(VLOOKUP(A1254,'Sales Order'!A:C,3,FALSE),Employee!A:E,5,FALSE)&amp;" "&amp;VLOOKUP(VLOOKUP(A1254,'Sales Order'!A:C,3,FALSE),Employee!A:C,3,FALSE)&amp;" "&amp;VLOOKUP(VLOOKUP(A1254,'Sales Order'!A:C,3,FALSE),Employee!A:B,2,FALSE),"Not Specified")</f>
        <v>Ms. Maria Cameron</v>
      </c>
      <c r="I1254" t="str">
        <f>IFERROR(VLOOKUP(VLOOKUP(A1254,'Sales Order'!A:C,3,FALSE),Employee!A:J,10,FALSE),"Not Specified")</f>
        <v>WA</v>
      </c>
      <c r="J1254" t="str">
        <f>VLOOKUP(B1254,Product!A:B,2,FALSE)</f>
        <v>Product XWOXC</v>
      </c>
      <c r="K1254" t="str">
        <f>VLOOKUP(VLOOKUP(B1254,Product!A:D,4,FALSE),Category!A:B,2,FALSE)</f>
        <v>Dairy Product</v>
      </c>
      <c r="L1254" s="24">
        <f>IFERROR(VLOOKUP(A1254,'Sales Order'!A:D,4,FALSE),"")</f>
        <v>39384</v>
      </c>
      <c r="M1254" s="24">
        <f>IFERROR(VLOOKUP(A1254,'Sales Order'!A:F,6,FALSE),"")</f>
        <v>39390</v>
      </c>
      <c r="N1254" t="str">
        <f>IFERROR(VLOOKUP(VLOOKUP(A1254,'Sales Order'!A:G,7,FALSE),Shipper!A:B,2,FALSE),"Not Specified")</f>
        <v>Shipper GVSUA</v>
      </c>
      <c r="O1254" t="str">
        <f>IFERROR(VLOOKUP(A1254,'Sales Order'!A:I,9,FALSE),"Not Specified")</f>
        <v>Ship to 71-A</v>
      </c>
      <c r="P1254" t="str">
        <f>IFERROR(VLOOKUP(A1254,'Sales Order'!A:N,14,FALSE),"Not Specified")</f>
        <v>USA</v>
      </c>
      <c r="Q1254" t="str">
        <f>VLOOKUP(VLOOKUP(B1254,Product!A:C,3,FALSE),Supplier!A:B,2,FALSE)</f>
        <v>Supplier KEREV</v>
      </c>
      <c r="R1254" t="str">
        <f>VLOOKUP(VLOOKUP(B1254,Product!A:C,3,FALSE),Supplier!A:I,9,FALSE)</f>
        <v>Italy</v>
      </c>
      <c r="S1254" t="str">
        <f>IFERROR(IF(VLOOKUP(A1254,'Sales Order'!A:H,8,FALSE)&gt;100,"High Freight","Low Freight"),"Not Specified")</f>
        <v>Low Freight</v>
      </c>
      <c r="T1254">
        <f t="shared" si="39"/>
        <v>625</v>
      </c>
    </row>
    <row r="1255" spans="1:20">
      <c r="A1255" s="9">
        <v>10722</v>
      </c>
      <c r="B1255" s="6">
        <v>68</v>
      </c>
      <c r="C1255" s="6">
        <v>12.5</v>
      </c>
      <c r="D1255" s="6">
        <v>45</v>
      </c>
      <c r="E1255" s="18">
        <v>0</v>
      </c>
      <c r="F1255" s="6" t="str">
        <f>IFERROR(VLOOKUP(VLOOKUP(A1255,'Sales Order'!A:B,2,FALSE),Customer!A:C,3,FALSE),"Not Specified")</f>
        <v>Navarro, Tomás</v>
      </c>
      <c r="G1255" s="6" t="str">
        <f t="shared" si="38"/>
        <v>Navarro Tomás</v>
      </c>
      <c r="H1255" s="22" t="str">
        <f>IFERROR(VLOOKUP(VLOOKUP(A1255,'Sales Order'!A:C,3,FALSE),Employee!A:E,5,FALSE)&amp;" "&amp;VLOOKUP(VLOOKUP(A1255,'Sales Order'!A:C,3,FALSE),Employee!A:C,3,FALSE)&amp;" "&amp;VLOOKUP(VLOOKUP(A1255,'Sales Order'!A:C,3,FALSE),Employee!A:B,2,FALSE),"Not Specified")</f>
        <v>Ms. Maria Cameron</v>
      </c>
      <c r="I1255" t="str">
        <f>IFERROR(VLOOKUP(VLOOKUP(A1255,'Sales Order'!A:C,3,FALSE),Employee!A:J,10,FALSE),"Not Specified")</f>
        <v>WA</v>
      </c>
      <c r="J1255" t="str">
        <f>VLOOKUP(B1255,Product!A:B,2,FALSE)</f>
        <v>Product TBTBL</v>
      </c>
      <c r="K1255" t="str">
        <f>VLOOKUP(VLOOKUP(B1255,Product!A:D,4,FALSE),Category!A:B,2,FALSE)</f>
        <v>Confections</v>
      </c>
      <c r="L1255" s="24">
        <f>IFERROR(VLOOKUP(A1255,'Sales Order'!A:D,4,FALSE),"")</f>
        <v>39384</v>
      </c>
      <c r="M1255" s="24">
        <f>IFERROR(VLOOKUP(A1255,'Sales Order'!A:F,6,FALSE),"")</f>
        <v>39390</v>
      </c>
      <c r="N1255" t="str">
        <f>IFERROR(VLOOKUP(VLOOKUP(A1255,'Sales Order'!A:G,7,FALSE),Shipper!A:B,2,FALSE),"Not Specified")</f>
        <v>Shipper GVSUA</v>
      </c>
      <c r="O1255" t="str">
        <f>IFERROR(VLOOKUP(A1255,'Sales Order'!A:I,9,FALSE),"Not Specified")</f>
        <v>Ship to 71-A</v>
      </c>
      <c r="P1255" t="str">
        <f>IFERROR(VLOOKUP(A1255,'Sales Order'!A:N,14,FALSE),"Not Specified")</f>
        <v>USA</v>
      </c>
      <c r="Q1255" t="str">
        <f>VLOOKUP(VLOOKUP(B1255,Product!A:C,3,FALSE),Supplier!A:B,2,FALSE)</f>
        <v>Supplier BWGYE</v>
      </c>
      <c r="R1255" t="str">
        <f>VLOOKUP(VLOOKUP(B1255,Product!A:C,3,FALSE),Supplier!A:I,9,FALSE)</f>
        <v>UK</v>
      </c>
      <c r="S1255" t="str">
        <f>IFERROR(IF(VLOOKUP(A1255,'Sales Order'!A:H,8,FALSE)&gt;100,"High Freight","Low Freight"),"Not Specified")</f>
        <v>Low Freight</v>
      </c>
      <c r="T1255">
        <f t="shared" si="39"/>
        <v>562.5</v>
      </c>
    </row>
    <row r="1256" spans="1:20">
      <c r="A1256" s="9">
        <v>10722</v>
      </c>
      <c r="B1256" s="6">
        <v>75</v>
      </c>
      <c r="C1256" s="6">
        <v>7.75</v>
      </c>
      <c r="D1256" s="6">
        <v>42</v>
      </c>
      <c r="E1256" s="18">
        <v>0</v>
      </c>
      <c r="F1256" s="6" t="str">
        <f>IFERROR(VLOOKUP(VLOOKUP(A1256,'Sales Order'!A:B,2,FALSE),Customer!A:C,3,FALSE),"Not Specified")</f>
        <v>Navarro, Tomás</v>
      </c>
      <c r="G1256" s="6" t="str">
        <f t="shared" si="38"/>
        <v>Navarro Tomás</v>
      </c>
      <c r="H1256" s="22" t="str">
        <f>IFERROR(VLOOKUP(VLOOKUP(A1256,'Sales Order'!A:C,3,FALSE),Employee!A:E,5,FALSE)&amp;" "&amp;VLOOKUP(VLOOKUP(A1256,'Sales Order'!A:C,3,FALSE),Employee!A:C,3,FALSE)&amp;" "&amp;VLOOKUP(VLOOKUP(A1256,'Sales Order'!A:C,3,FALSE),Employee!A:B,2,FALSE),"Not Specified")</f>
        <v>Ms. Maria Cameron</v>
      </c>
      <c r="I1256" t="str">
        <f>IFERROR(VLOOKUP(VLOOKUP(A1256,'Sales Order'!A:C,3,FALSE),Employee!A:J,10,FALSE),"Not Specified")</f>
        <v>WA</v>
      </c>
      <c r="J1256" t="str">
        <f>VLOOKUP(B1256,Product!A:B,2,FALSE)</f>
        <v>Product BWRLG</v>
      </c>
      <c r="K1256" t="str">
        <f>VLOOKUP(VLOOKUP(B1256,Product!A:D,4,FALSE),Category!A:B,2,FALSE)</f>
        <v>Beverages</v>
      </c>
      <c r="L1256" s="24">
        <f>IFERROR(VLOOKUP(A1256,'Sales Order'!A:D,4,FALSE),"")</f>
        <v>39384</v>
      </c>
      <c r="M1256" s="24">
        <f>IFERROR(VLOOKUP(A1256,'Sales Order'!A:F,6,FALSE),"")</f>
        <v>39390</v>
      </c>
      <c r="N1256" t="str">
        <f>IFERROR(VLOOKUP(VLOOKUP(A1256,'Sales Order'!A:G,7,FALSE),Shipper!A:B,2,FALSE),"Not Specified")</f>
        <v>Shipper GVSUA</v>
      </c>
      <c r="O1256" t="str">
        <f>IFERROR(VLOOKUP(A1256,'Sales Order'!A:I,9,FALSE),"Not Specified")</f>
        <v>Ship to 71-A</v>
      </c>
      <c r="P1256" t="str">
        <f>IFERROR(VLOOKUP(A1256,'Sales Order'!A:N,14,FALSE),"Not Specified")</f>
        <v>USA</v>
      </c>
      <c r="Q1256" t="str">
        <f>VLOOKUP(VLOOKUP(B1256,Product!A:C,3,FALSE),Supplier!A:B,2,FALSE)</f>
        <v>Supplier SVIYA</v>
      </c>
      <c r="R1256" t="str">
        <f>VLOOKUP(VLOOKUP(B1256,Product!A:C,3,FALSE),Supplier!A:I,9,FALSE)</f>
        <v>Germany</v>
      </c>
      <c r="S1256" t="str">
        <f>IFERROR(IF(VLOOKUP(A1256,'Sales Order'!A:H,8,FALSE)&gt;100,"High Freight","Low Freight"),"Not Specified")</f>
        <v>Low Freight</v>
      </c>
      <c r="T1256">
        <f t="shared" si="39"/>
        <v>325.5</v>
      </c>
    </row>
    <row r="1257" spans="1:20">
      <c r="A1257" s="9">
        <v>10723</v>
      </c>
      <c r="B1257" s="6">
        <v>26</v>
      </c>
      <c r="C1257" s="6">
        <v>31.23</v>
      </c>
      <c r="D1257" s="6">
        <v>15</v>
      </c>
      <c r="E1257" s="18">
        <v>0</v>
      </c>
      <c r="F1257" s="6" t="str">
        <f>IFERROR(VLOOKUP(VLOOKUP(A1257,'Sales Order'!A:B,2,FALSE),Customer!A:C,3,FALSE),"Not Specified")</f>
        <v>Smith Jr., Ronaldo</v>
      </c>
      <c r="G1257" s="6" t="str">
        <f t="shared" si="38"/>
        <v>Smith Jr. Ronaldo</v>
      </c>
      <c r="H1257" s="22" t="str">
        <f>IFERROR(VLOOKUP(VLOOKUP(A1257,'Sales Order'!A:C,3,FALSE),Employee!A:E,5,FALSE)&amp;" "&amp;VLOOKUP(VLOOKUP(A1257,'Sales Order'!A:C,3,FALSE),Employee!A:C,3,FALSE)&amp;" "&amp;VLOOKUP(VLOOKUP(A1257,'Sales Order'!A:C,3,FALSE),Employee!A:B,2,FALSE),"Not Specified")</f>
        <v>Ms. Judy Lew</v>
      </c>
      <c r="I1257" t="str">
        <f>IFERROR(VLOOKUP(VLOOKUP(A1257,'Sales Order'!A:C,3,FALSE),Employee!A:J,10,FALSE),"Not Specified")</f>
        <v>WA</v>
      </c>
      <c r="J1257" t="str">
        <f>VLOOKUP(B1257,Product!A:B,2,FALSE)</f>
        <v>Product HLGZA</v>
      </c>
      <c r="K1257" t="str">
        <f>VLOOKUP(VLOOKUP(B1257,Product!A:D,4,FALSE),Category!A:B,2,FALSE)</f>
        <v>Confections</v>
      </c>
      <c r="L1257" s="24">
        <f>IFERROR(VLOOKUP(A1257,'Sales Order'!A:D,4,FALSE),"")</f>
        <v>39385</v>
      </c>
      <c r="M1257" s="24">
        <f>IFERROR(VLOOKUP(A1257,'Sales Order'!A:F,6,FALSE),"")</f>
        <v>39411</v>
      </c>
      <c r="N1257" t="str">
        <f>IFERROR(VLOOKUP(VLOOKUP(A1257,'Sales Order'!A:G,7,FALSE),Shipper!A:B,2,FALSE),"Not Specified")</f>
        <v>Shipper GVSUA</v>
      </c>
      <c r="O1257" t="str">
        <f>IFERROR(VLOOKUP(A1257,'Sales Order'!A:I,9,FALSE),"Not Specified")</f>
        <v>Ship to 89-C</v>
      </c>
      <c r="P1257" t="str">
        <f>IFERROR(VLOOKUP(A1257,'Sales Order'!A:N,14,FALSE),"Not Specified")</f>
        <v>USA</v>
      </c>
      <c r="Q1257" t="str">
        <f>VLOOKUP(VLOOKUP(B1257,Product!A:C,3,FALSE),Supplier!A:B,2,FALSE)</f>
        <v>Supplier ZPYVS</v>
      </c>
      <c r="R1257" t="str">
        <f>VLOOKUP(VLOOKUP(B1257,Product!A:C,3,FALSE),Supplier!A:I,9,FALSE)</f>
        <v>Germany</v>
      </c>
      <c r="S1257" t="str">
        <f>IFERROR(IF(VLOOKUP(A1257,'Sales Order'!A:H,8,FALSE)&gt;100,"High Freight","Low Freight"),"Not Specified")</f>
        <v>Low Freight</v>
      </c>
      <c r="T1257">
        <f t="shared" si="39"/>
        <v>468.45</v>
      </c>
    </row>
    <row r="1258" spans="1:20">
      <c r="A1258" s="9">
        <v>10724</v>
      </c>
      <c r="B1258" s="6">
        <v>10</v>
      </c>
      <c r="C1258" s="6">
        <v>31</v>
      </c>
      <c r="D1258" s="6">
        <v>16</v>
      </c>
      <c r="E1258" s="18">
        <v>0</v>
      </c>
      <c r="F1258" s="6" t="str">
        <f>IFERROR(VLOOKUP(VLOOKUP(A1258,'Sales Order'!A:B,2,FALSE),Customer!A:C,3,FALSE),"Not Specified")</f>
        <v>Taylor, Maurice</v>
      </c>
      <c r="G1258" s="6" t="str">
        <f t="shared" si="38"/>
        <v>Taylor Maurice</v>
      </c>
      <c r="H1258" s="22" t="str">
        <f>IFERROR(VLOOKUP(VLOOKUP(A1258,'Sales Order'!A:C,3,FALSE),Employee!A:E,5,FALSE)&amp;" "&amp;VLOOKUP(VLOOKUP(A1258,'Sales Order'!A:C,3,FALSE),Employee!A:C,3,FALSE)&amp;" "&amp;VLOOKUP(VLOOKUP(A1258,'Sales Order'!A:C,3,FALSE),Employee!A:B,2,FALSE),"Not Specified")</f>
        <v>Ms. Maria Cameron</v>
      </c>
      <c r="I1258" t="str">
        <f>IFERROR(VLOOKUP(VLOOKUP(A1258,'Sales Order'!A:C,3,FALSE),Employee!A:J,10,FALSE),"Not Specified")</f>
        <v>WA</v>
      </c>
      <c r="J1258" t="str">
        <f>VLOOKUP(B1258,Product!A:B,2,FALSE)</f>
        <v>Product YHXGE</v>
      </c>
      <c r="K1258" t="str">
        <f>VLOOKUP(VLOOKUP(B1258,Product!A:D,4,FALSE),Category!A:B,2,FALSE)</f>
        <v>Seafood</v>
      </c>
      <c r="L1258" s="24">
        <f>IFERROR(VLOOKUP(A1258,'Sales Order'!A:D,4,FALSE),"")</f>
        <v>39385</v>
      </c>
      <c r="M1258" s="24">
        <f>IFERROR(VLOOKUP(A1258,'Sales Order'!A:F,6,FALSE),"")</f>
        <v>39391</v>
      </c>
      <c r="N1258" t="str">
        <f>IFERROR(VLOOKUP(VLOOKUP(A1258,'Sales Order'!A:G,7,FALSE),Shipper!A:B,2,FALSE),"Not Specified")</f>
        <v>Shipper ETYNR</v>
      </c>
      <c r="O1258" t="str">
        <f>IFERROR(VLOOKUP(A1258,'Sales Order'!A:I,9,FALSE),"Not Specified")</f>
        <v>Ship to 51-A</v>
      </c>
      <c r="P1258" t="str">
        <f>IFERROR(VLOOKUP(A1258,'Sales Order'!A:N,14,FALSE),"Not Specified")</f>
        <v>Canada</v>
      </c>
      <c r="Q1258" t="str">
        <f>VLOOKUP(VLOOKUP(B1258,Product!A:C,3,FALSE),Supplier!A:B,2,FALSE)</f>
        <v>Supplier QOVFD</v>
      </c>
      <c r="R1258" t="str">
        <f>VLOOKUP(VLOOKUP(B1258,Product!A:C,3,FALSE),Supplier!A:I,9,FALSE)</f>
        <v>Japan</v>
      </c>
      <c r="S1258" t="str">
        <f>IFERROR(IF(VLOOKUP(A1258,'Sales Order'!A:H,8,FALSE)&gt;100,"High Freight","Low Freight"),"Not Specified")</f>
        <v>Low Freight</v>
      </c>
      <c r="T1258">
        <f t="shared" si="39"/>
        <v>496</v>
      </c>
    </row>
    <row r="1259" spans="1:20">
      <c r="A1259" s="9">
        <v>10724</v>
      </c>
      <c r="B1259" s="6">
        <v>61</v>
      </c>
      <c r="C1259" s="6">
        <v>28.5</v>
      </c>
      <c r="D1259" s="6">
        <v>5</v>
      </c>
      <c r="E1259" s="18">
        <v>0</v>
      </c>
      <c r="F1259" s="6" t="str">
        <f>IFERROR(VLOOKUP(VLOOKUP(A1259,'Sales Order'!A:B,2,FALSE),Customer!A:C,3,FALSE),"Not Specified")</f>
        <v>Taylor, Maurice</v>
      </c>
      <c r="G1259" s="6" t="str">
        <f t="shared" si="38"/>
        <v>Taylor Maurice</v>
      </c>
      <c r="H1259" s="22" t="str">
        <f>IFERROR(VLOOKUP(VLOOKUP(A1259,'Sales Order'!A:C,3,FALSE),Employee!A:E,5,FALSE)&amp;" "&amp;VLOOKUP(VLOOKUP(A1259,'Sales Order'!A:C,3,FALSE),Employee!A:C,3,FALSE)&amp;" "&amp;VLOOKUP(VLOOKUP(A1259,'Sales Order'!A:C,3,FALSE),Employee!A:B,2,FALSE),"Not Specified")</f>
        <v>Ms. Maria Cameron</v>
      </c>
      <c r="I1259" t="str">
        <f>IFERROR(VLOOKUP(VLOOKUP(A1259,'Sales Order'!A:C,3,FALSE),Employee!A:J,10,FALSE),"Not Specified")</f>
        <v>WA</v>
      </c>
      <c r="J1259" t="str">
        <f>VLOOKUP(B1259,Product!A:B,2,FALSE)</f>
        <v>Product XYZPE</v>
      </c>
      <c r="K1259" t="str">
        <f>VLOOKUP(VLOOKUP(B1259,Product!A:D,4,FALSE),Category!A:B,2,FALSE)</f>
        <v>Condiments</v>
      </c>
      <c r="L1259" s="24">
        <f>IFERROR(VLOOKUP(A1259,'Sales Order'!A:D,4,FALSE),"")</f>
        <v>39385</v>
      </c>
      <c r="M1259" s="24">
        <f>IFERROR(VLOOKUP(A1259,'Sales Order'!A:F,6,FALSE),"")</f>
        <v>39391</v>
      </c>
      <c r="N1259" t="str">
        <f>IFERROR(VLOOKUP(VLOOKUP(A1259,'Sales Order'!A:G,7,FALSE),Shipper!A:B,2,FALSE),"Not Specified")</f>
        <v>Shipper ETYNR</v>
      </c>
      <c r="O1259" t="str">
        <f>IFERROR(VLOOKUP(A1259,'Sales Order'!A:I,9,FALSE),"Not Specified")</f>
        <v>Ship to 51-A</v>
      </c>
      <c r="P1259" t="str">
        <f>IFERROR(VLOOKUP(A1259,'Sales Order'!A:N,14,FALSE),"Not Specified")</f>
        <v>Canada</v>
      </c>
      <c r="Q1259" t="str">
        <f>VLOOKUP(VLOOKUP(B1259,Product!A:C,3,FALSE),Supplier!A:B,2,FALSE)</f>
        <v>Supplier OGLRK</v>
      </c>
      <c r="R1259" t="str">
        <f>VLOOKUP(VLOOKUP(B1259,Product!A:C,3,FALSE),Supplier!A:I,9,FALSE)</f>
        <v>Canada</v>
      </c>
      <c r="S1259" t="str">
        <f>IFERROR(IF(VLOOKUP(A1259,'Sales Order'!A:H,8,FALSE)&gt;100,"High Freight","Low Freight"),"Not Specified")</f>
        <v>Low Freight</v>
      </c>
      <c r="T1259">
        <f t="shared" si="39"/>
        <v>142.5</v>
      </c>
    </row>
    <row r="1260" spans="1:20">
      <c r="A1260" s="9">
        <v>10725</v>
      </c>
      <c r="B1260" s="6">
        <v>41</v>
      </c>
      <c r="C1260" s="6">
        <v>9.65</v>
      </c>
      <c r="D1260" s="6">
        <v>12</v>
      </c>
      <c r="E1260" s="18">
        <v>0</v>
      </c>
      <c r="F1260" s="6" t="str">
        <f>IFERROR(VLOOKUP(VLOOKUP(A1260,'Sales Order'!A:B,2,FALSE),Customer!A:C,3,FALSE),"Not Specified")</f>
        <v>Russo, Giuseppe</v>
      </c>
      <c r="G1260" s="6" t="str">
        <f t="shared" si="38"/>
        <v>Russo Giuseppe</v>
      </c>
      <c r="H1260" s="22" t="str">
        <f>IFERROR(VLOOKUP(VLOOKUP(A1260,'Sales Order'!A:C,3,FALSE),Employee!A:E,5,FALSE)&amp;" "&amp;VLOOKUP(VLOOKUP(A1260,'Sales Order'!A:C,3,FALSE),Employee!A:C,3,FALSE)&amp;" "&amp;VLOOKUP(VLOOKUP(A1260,'Sales Order'!A:C,3,FALSE),Employee!A:B,2,FALSE),"Not Specified")</f>
        <v>Mrs. Yael Peled</v>
      </c>
      <c r="I1260" t="str">
        <f>IFERROR(VLOOKUP(VLOOKUP(A1260,'Sales Order'!A:C,3,FALSE),Employee!A:J,10,FALSE),"Not Specified")</f>
        <v>WA</v>
      </c>
      <c r="J1260" t="str">
        <f>VLOOKUP(B1260,Product!A:B,2,FALSE)</f>
        <v>Product TTEEX</v>
      </c>
      <c r="K1260" t="str">
        <f>VLOOKUP(VLOOKUP(B1260,Product!A:D,4,FALSE),Category!A:B,2,FALSE)</f>
        <v>Seafood</v>
      </c>
      <c r="L1260" s="24">
        <f>IFERROR(VLOOKUP(A1260,'Sales Order'!A:D,4,FALSE),"")</f>
        <v>39386</v>
      </c>
      <c r="M1260" s="24">
        <f>IFERROR(VLOOKUP(A1260,'Sales Order'!A:F,6,FALSE),"")</f>
        <v>39391</v>
      </c>
      <c r="N1260" t="str">
        <f>IFERROR(VLOOKUP(VLOOKUP(A1260,'Sales Order'!A:G,7,FALSE),Shipper!A:B,2,FALSE),"Not Specified")</f>
        <v>Shipper ZHISN</v>
      </c>
      <c r="O1260" t="str">
        <f>IFERROR(VLOOKUP(A1260,'Sales Order'!A:I,9,FALSE),"Not Specified")</f>
        <v>Destination KKELL</v>
      </c>
      <c r="P1260" t="str">
        <f>IFERROR(VLOOKUP(A1260,'Sales Order'!A:N,14,FALSE),"Not Specified")</f>
        <v>Brazil</v>
      </c>
      <c r="Q1260" t="str">
        <f>VLOOKUP(VLOOKUP(B1260,Product!A:C,3,FALSE),Supplier!A:B,2,FALSE)</f>
        <v>Supplier JDNUG</v>
      </c>
      <c r="R1260" t="str">
        <f>VLOOKUP(VLOOKUP(B1260,Product!A:C,3,FALSE),Supplier!A:I,9,FALSE)</f>
        <v>USA</v>
      </c>
      <c r="S1260" t="str">
        <f>IFERROR(IF(VLOOKUP(A1260,'Sales Order'!A:H,8,FALSE)&gt;100,"High Freight","Low Freight"),"Not Specified")</f>
        <v>Low Freight</v>
      </c>
      <c r="T1260">
        <f t="shared" si="39"/>
        <v>115.80000000000001</v>
      </c>
    </row>
    <row r="1261" spans="1:20">
      <c r="A1261" s="9">
        <v>10725</v>
      </c>
      <c r="B1261" s="6">
        <v>52</v>
      </c>
      <c r="C1261" s="6">
        <v>7</v>
      </c>
      <c r="D1261" s="6">
        <v>4</v>
      </c>
      <c r="E1261" s="18">
        <v>0</v>
      </c>
      <c r="F1261" s="6" t="str">
        <f>IFERROR(VLOOKUP(VLOOKUP(A1261,'Sales Order'!A:B,2,FALSE),Customer!A:C,3,FALSE),"Not Specified")</f>
        <v>Russo, Giuseppe</v>
      </c>
      <c r="G1261" s="6" t="str">
        <f t="shared" si="38"/>
        <v>Russo Giuseppe</v>
      </c>
      <c r="H1261" s="22" t="str">
        <f>IFERROR(VLOOKUP(VLOOKUP(A1261,'Sales Order'!A:C,3,FALSE),Employee!A:E,5,FALSE)&amp;" "&amp;VLOOKUP(VLOOKUP(A1261,'Sales Order'!A:C,3,FALSE),Employee!A:C,3,FALSE)&amp;" "&amp;VLOOKUP(VLOOKUP(A1261,'Sales Order'!A:C,3,FALSE),Employee!A:B,2,FALSE),"Not Specified")</f>
        <v>Mrs. Yael Peled</v>
      </c>
      <c r="I1261" t="str">
        <f>IFERROR(VLOOKUP(VLOOKUP(A1261,'Sales Order'!A:C,3,FALSE),Employee!A:J,10,FALSE),"Not Specified")</f>
        <v>WA</v>
      </c>
      <c r="J1261" t="str">
        <f>VLOOKUP(B1261,Product!A:B,2,FALSE)</f>
        <v>Product QSRXF</v>
      </c>
      <c r="K1261" t="str">
        <f>VLOOKUP(VLOOKUP(B1261,Product!A:D,4,FALSE),Category!A:B,2,FALSE)</f>
        <v>Grains/Cereals</v>
      </c>
      <c r="L1261" s="24">
        <f>IFERROR(VLOOKUP(A1261,'Sales Order'!A:D,4,FALSE),"")</f>
        <v>39386</v>
      </c>
      <c r="M1261" s="24">
        <f>IFERROR(VLOOKUP(A1261,'Sales Order'!A:F,6,FALSE),"")</f>
        <v>39391</v>
      </c>
      <c r="N1261" t="str">
        <f>IFERROR(VLOOKUP(VLOOKUP(A1261,'Sales Order'!A:G,7,FALSE),Shipper!A:B,2,FALSE),"Not Specified")</f>
        <v>Shipper ZHISN</v>
      </c>
      <c r="O1261" t="str">
        <f>IFERROR(VLOOKUP(A1261,'Sales Order'!A:I,9,FALSE),"Not Specified")</f>
        <v>Destination KKELL</v>
      </c>
      <c r="P1261" t="str">
        <f>IFERROR(VLOOKUP(A1261,'Sales Order'!A:N,14,FALSE),"Not Specified")</f>
        <v>Brazil</v>
      </c>
      <c r="Q1261" t="str">
        <f>VLOOKUP(VLOOKUP(B1261,Product!A:C,3,FALSE),Supplier!A:B,2,FALSE)</f>
        <v>Supplier JNNES</v>
      </c>
      <c r="R1261" t="str">
        <f>VLOOKUP(VLOOKUP(B1261,Product!A:C,3,FALSE),Supplier!A:I,9,FALSE)</f>
        <v>Australia</v>
      </c>
      <c r="S1261" t="str">
        <f>IFERROR(IF(VLOOKUP(A1261,'Sales Order'!A:H,8,FALSE)&gt;100,"High Freight","Low Freight"),"Not Specified")</f>
        <v>Low Freight</v>
      </c>
      <c r="T1261">
        <f t="shared" si="39"/>
        <v>28</v>
      </c>
    </row>
    <row r="1262" spans="1:20">
      <c r="A1262" s="9">
        <v>10725</v>
      </c>
      <c r="B1262" s="6">
        <v>55</v>
      </c>
      <c r="C1262" s="6">
        <v>24</v>
      </c>
      <c r="D1262" s="6">
        <v>6</v>
      </c>
      <c r="E1262" s="18">
        <v>0</v>
      </c>
      <c r="F1262" s="6" t="str">
        <f>IFERROR(VLOOKUP(VLOOKUP(A1262,'Sales Order'!A:B,2,FALSE),Customer!A:C,3,FALSE),"Not Specified")</f>
        <v>Russo, Giuseppe</v>
      </c>
      <c r="G1262" s="6" t="str">
        <f t="shared" si="38"/>
        <v>Russo Giuseppe</v>
      </c>
      <c r="H1262" s="22" t="str">
        <f>IFERROR(VLOOKUP(VLOOKUP(A1262,'Sales Order'!A:C,3,FALSE),Employee!A:E,5,FALSE)&amp;" "&amp;VLOOKUP(VLOOKUP(A1262,'Sales Order'!A:C,3,FALSE),Employee!A:C,3,FALSE)&amp;" "&amp;VLOOKUP(VLOOKUP(A1262,'Sales Order'!A:C,3,FALSE),Employee!A:B,2,FALSE),"Not Specified")</f>
        <v>Mrs. Yael Peled</v>
      </c>
      <c r="I1262" t="str">
        <f>IFERROR(VLOOKUP(VLOOKUP(A1262,'Sales Order'!A:C,3,FALSE),Employee!A:J,10,FALSE),"Not Specified")</f>
        <v>WA</v>
      </c>
      <c r="J1262" t="str">
        <f>VLOOKUP(B1262,Product!A:B,2,FALSE)</f>
        <v>Product YYWRT</v>
      </c>
      <c r="K1262" t="str">
        <f>VLOOKUP(VLOOKUP(B1262,Product!A:D,4,FALSE),Category!A:B,2,FALSE)</f>
        <v>Meat/Poultry</v>
      </c>
      <c r="L1262" s="24">
        <f>IFERROR(VLOOKUP(A1262,'Sales Order'!A:D,4,FALSE),"")</f>
        <v>39386</v>
      </c>
      <c r="M1262" s="24">
        <f>IFERROR(VLOOKUP(A1262,'Sales Order'!A:F,6,FALSE),"")</f>
        <v>39391</v>
      </c>
      <c r="N1262" t="str">
        <f>IFERROR(VLOOKUP(VLOOKUP(A1262,'Sales Order'!A:G,7,FALSE),Shipper!A:B,2,FALSE),"Not Specified")</f>
        <v>Shipper ZHISN</v>
      </c>
      <c r="O1262" t="str">
        <f>IFERROR(VLOOKUP(A1262,'Sales Order'!A:I,9,FALSE),"Not Specified")</f>
        <v>Destination KKELL</v>
      </c>
      <c r="P1262" t="str">
        <f>IFERROR(VLOOKUP(A1262,'Sales Order'!A:N,14,FALSE),"Not Specified")</f>
        <v>Brazil</v>
      </c>
      <c r="Q1262" t="str">
        <f>VLOOKUP(VLOOKUP(B1262,Product!A:C,3,FALSE),Supplier!A:B,2,FALSE)</f>
        <v>Supplier ERVYZ</v>
      </c>
      <c r="R1262" t="str">
        <f>VLOOKUP(VLOOKUP(B1262,Product!A:C,3,FALSE),Supplier!A:I,9,FALSE)</f>
        <v>Canada</v>
      </c>
      <c r="S1262" t="str">
        <f>IFERROR(IF(VLOOKUP(A1262,'Sales Order'!A:H,8,FALSE)&gt;100,"High Freight","Low Freight"),"Not Specified")</f>
        <v>Low Freight</v>
      </c>
      <c r="T1262">
        <f t="shared" si="39"/>
        <v>144</v>
      </c>
    </row>
    <row r="1263" spans="1:20">
      <c r="A1263" s="9">
        <v>10726</v>
      </c>
      <c r="B1263" s="6">
        <v>4</v>
      </c>
      <c r="C1263" s="6">
        <v>22</v>
      </c>
      <c r="D1263" s="6">
        <v>25</v>
      </c>
      <c r="E1263" s="18">
        <v>0</v>
      </c>
      <c r="F1263" s="6" t="str">
        <f>IFERROR(VLOOKUP(VLOOKUP(A1263,'Sales Order'!A:B,2,FALSE),Customer!A:C,3,FALSE),"Not Specified")</f>
        <v>Boseman, Randall</v>
      </c>
      <c r="G1263" s="6" t="str">
        <f t="shared" si="38"/>
        <v>Boseman Randall</v>
      </c>
      <c r="H1263" s="22" t="str">
        <f>IFERROR(VLOOKUP(VLOOKUP(A1263,'Sales Order'!A:C,3,FALSE),Employee!A:E,5,FALSE)&amp;" "&amp;VLOOKUP(VLOOKUP(A1263,'Sales Order'!A:C,3,FALSE),Employee!A:C,3,FALSE)&amp;" "&amp;VLOOKUP(VLOOKUP(A1263,'Sales Order'!A:C,3,FALSE),Employee!A:B,2,FALSE),"Not Specified")</f>
        <v>Mrs. Yael Peled</v>
      </c>
      <c r="I1263" t="str">
        <f>IFERROR(VLOOKUP(VLOOKUP(A1263,'Sales Order'!A:C,3,FALSE),Employee!A:J,10,FALSE),"Not Specified")</f>
        <v>WA</v>
      </c>
      <c r="J1263" t="str">
        <f>VLOOKUP(B1263,Product!A:B,2,FALSE)</f>
        <v>Product KSBRM</v>
      </c>
      <c r="K1263" t="str">
        <f>VLOOKUP(VLOOKUP(B1263,Product!A:D,4,FALSE),Category!A:B,2,FALSE)</f>
        <v>Condiments</v>
      </c>
      <c r="L1263" s="24">
        <f>IFERROR(VLOOKUP(A1263,'Sales Order'!A:D,4,FALSE),"")</f>
        <v>39389</v>
      </c>
      <c r="M1263" s="24">
        <f>IFERROR(VLOOKUP(A1263,'Sales Order'!A:F,6,FALSE),"")</f>
        <v>39421</v>
      </c>
      <c r="N1263" t="str">
        <f>IFERROR(VLOOKUP(VLOOKUP(A1263,'Sales Order'!A:G,7,FALSE),Shipper!A:B,2,FALSE),"Not Specified")</f>
        <v>Shipper GVSUA</v>
      </c>
      <c r="O1263" t="str">
        <f>IFERROR(VLOOKUP(A1263,'Sales Order'!A:I,9,FALSE),"Not Specified")</f>
        <v>Destination FRCGJ</v>
      </c>
      <c r="P1263" t="str">
        <f>IFERROR(VLOOKUP(A1263,'Sales Order'!A:N,14,FALSE),"Not Specified")</f>
        <v>UK</v>
      </c>
      <c r="Q1263" t="str">
        <f>VLOOKUP(VLOOKUP(B1263,Product!A:C,3,FALSE),Supplier!A:B,2,FALSE)</f>
        <v>Supplier VHQZD</v>
      </c>
      <c r="R1263" t="str">
        <f>VLOOKUP(VLOOKUP(B1263,Product!A:C,3,FALSE),Supplier!A:I,9,FALSE)</f>
        <v>USA</v>
      </c>
      <c r="S1263" t="str">
        <f>IFERROR(IF(VLOOKUP(A1263,'Sales Order'!A:H,8,FALSE)&gt;100,"High Freight","Low Freight"),"Not Specified")</f>
        <v>Low Freight</v>
      </c>
      <c r="T1263">
        <f t="shared" si="39"/>
        <v>550</v>
      </c>
    </row>
    <row r="1264" spans="1:20">
      <c r="A1264" s="9">
        <v>10726</v>
      </c>
      <c r="B1264" s="6">
        <v>11</v>
      </c>
      <c r="C1264" s="6">
        <v>21</v>
      </c>
      <c r="D1264" s="6">
        <v>5</v>
      </c>
      <c r="E1264" s="18">
        <v>0</v>
      </c>
      <c r="F1264" s="6" t="str">
        <f>IFERROR(VLOOKUP(VLOOKUP(A1264,'Sales Order'!A:B,2,FALSE),Customer!A:C,3,FALSE),"Not Specified")</f>
        <v>Boseman, Randall</v>
      </c>
      <c r="G1264" s="6" t="str">
        <f t="shared" si="38"/>
        <v>Boseman Randall</v>
      </c>
      <c r="H1264" s="22" t="str">
        <f>IFERROR(VLOOKUP(VLOOKUP(A1264,'Sales Order'!A:C,3,FALSE),Employee!A:E,5,FALSE)&amp;" "&amp;VLOOKUP(VLOOKUP(A1264,'Sales Order'!A:C,3,FALSE),Employee!A:C,3,FALSE)&amp;" "&amp;VLOOKUP(VLOOKUP(A1264,'Sales Order'!A:C,3,FALSE),Employee!A:B,2,FALSE),"Not Specified")</f>
        <v>Mrs. Yael Peled</v>
      </c>
      <c r="I1264" t="str">
        <f>IFERROR(VLOOKUP(VLOOKUP(A1264,'Sales Order'!A:C,3,FALSE),Employee!A:J,10,FALSE),"Not Specified")</f>
        <v>WA</v>
      </c>
      <c r="J1264" t="str">
        <f>VLOOKUP(B1264,Product!A:B,2,FALSE)</f>
        <v>Product QMVUN</v>
      </c>
      <c r="K1264" t="str">
        <f>VLOOKUP(VLOOKUP(B1264,Product!A:D,4,FALSE),Category!A:B,2,FALSE)</f>
        <v>Dairy Product</v>
      </c>
      <c r="L1264" s="24">
        <f>IFERROR(VLOOKUP(A1264,'Sales Order'!A:D,4,FALSE),"")</f>
        <v>39389</v>
      </c>
      <c r="M1264" s="24">
        <f>IFERROR(VLOOKUP(A1264,'Sales Order'!A:F,6,FALSE),"")</f>
        <v>39421</v>
      </c>
      <c r="N1264" t="str">
        <f>IFERROR(VLOOKUP(VLOOKUP(A1264,'Sales Order'!A:G,7,FALSE),Shipper!A:B,2,FALSE),"Not Specified")</f>
        <v>Shipper GVSUA</v>
      </c>
      <c r="O1264" t="str">
        <f>IFERROR(VLOOKUP(A1264,'Sales Order'!A:I,9,FALSE),"Not Specified")</f>
        <v>Destination FRCGJ</v>
      </c>
      <c r="P1264" t="str">
        <f>IFERROR(VLOOKUP(A1264,'Sales Order'!A:N,14,FALSE),"Not Specified")</f>
        <v>UK</v>
      </c>
      <c r="Q1264" t="str">
        <f>VLOOKUP(VLOOKUP(B1264,Product!A:C,3,FALSE),Supplier!A:B,2,FALSE)</f>
        <v>Supplier EQPNC</v>
      </c>
      <c r="R1264" t="str">
        <f>VLOOKUP(VLOOKUP(B1264,Product!A:C,3,FALSE),Supplier!A:I,9,FALSE)</f>
        <v>Spain</v>
      </c>
      <c r="S1264" t="str">
        <f>IFERROR(IF(VLOOKUP(A1264,'Sales Order'!A:H,8,FALSE)&gt;100,"High Freight","Low Freight"),"Not Specified")</f>
        <v>Low Freight</v>
      </c>
      <c r="T1264">
        <f t="shared" si="39"/>
        <v>105</v>
      </c>
    </row>
    <row r="1265" spans="1:20">
      <c r="A1265" s="9">
        <v>10727</v>
      </c>
      <c r="B1265" s="6">
        <v>17</v>
      </c>
      <c r="C1265" s="6">
        <v>39</v>
      </c>
      <c r="D1265" s="6">
        <v>20</v>
      </c>
      <c r="E1265" s="18">
        <v>0.05</v>
      </c>
      <c r="F1265" s="6" t="str">
        <f>IFERROR(VLOOKUP(VLOOKUP(A1265,'Sales Order'!A:B,2,FALSE),Customer!A:C,3,FALSE),"Not Specified")</f>
        <v>Voss, Florian</v>
      </c>
      <c r="G1265" s="6" t="str">
        <f t="shared" si="38"/>
        <v>Voss Florian</v>
      </c>
      <c r="H1265" s="22" t="str">
        <f>IFERROR(VLOOKUP(VLOOKUP(A1265,'Sales Order'!A:C,3,FALSE),Employee!A:E,5,FALSE)&amp;" "&amp;VLOOKUP(VLOOKUP(A1265,'Sales Order'!A:C,3,FALSE),Employee!A:C,3,FALSE)&amp;" "&amp;VLOOKUP(VLOOKUP(A1265,'Sales Order'!A:C,3,FALSE),Employee!A:B,2,FALSE),"Not Specified")</f>
        <v>Dr. Don Funk</v>
      </c>
      <c r="I1265" t="str">
        <f>IFERROR(VLOOKUP(VLOOKUP(A1265,'Sales Order'!A:C,3,FALSE),Employee!A:J,10,FALSE),"Not Specified")</f>
        <v>WA</v>
      </c>
      <c r="J1265" t="str">
        <f>VLOOKUP(B1265,Product!A:B,2,FALSE)</f>
        <v>Product BLCAX</v>
      </c>
      <c r="K1265" t="str">
        <f>VLOOKUP(VLOOKUP(B1265,Product!A:D,4,FALSE),Category!A:B,2,FALSE)</f>
        <v>Meat/Poultry</v>
      </c>
      <c r="L1265" s="24">
        <f>IFERROR(VLOOKUP(A1265,'Sales Order'!A:D,4,FALSE),"")</f>
        <v>39389</v>
      </c>
      <c r="M1265" s="24">
        <f>IFERROR(VLOOKUP(A1265,'Sales Order'!A:F,6,FALSE),"")</f>
        <v>39421</v>
      </c>
      <c r="N1265" t="str">
        <f>IFERROR(VLOOKUP(VLOOKUP(A1265,'Sales Order'!A:G,7,FALSE),Shipper!A:B,2,FALSE),"Not Specified")</f>
        <v>Shipper GVSUA</v>
      </c>
      <c r="O1265" t="str">
        <f>IFERROR(VLOOKUP(A1265,'Sales Order'!A:I,9,FALSE),"Not Specified")</f>
        <v>Ship to 66-A</v>
      </c>
      <c r="P1265" t="str">
        <f>IFERROR(VLOOKUP(A1265,'Sales Order'!A:N,14,FALSE),"Not Specified")</f>
        <v>Italy</v>
      </c>
      <c r="Q1265" t="str">
        <f>VLOOKUP(VLOOKUP(B1265,Product!A:C,3,FALSE),Supplier!A:B,2,FALSE)</f>
        <v>Supplier GQRCV</v>
      </c>
      <c r="R1265" t="str">
        <f>VLOOKUP(VLOOKUP(B1265,Product!A:C,3,FALSE),Supplier!A:I,9,FALSE)</f>
        <v>Australia</v>
      </c>
      <c r="S1265" t="str">
        <f>IFERROR(IF(VLOOKUP(A1265,'Sales Order'!A:H,8,FALSE)&gt;100,"High Freight","Low Freight"),"Not Specified")</f>
        <v>Low Freight</v>
      </c>
      <c r="T1265">
        <f t="shared" si="39"/>
        <v>741</v>
      </c>
    </row>
    <row r="1266" spans="1:20">
      <c r="A1266" s="9">
        <v>10727</v>
      </c>
      <c r="B1266" s="6">
        <v>56</v>
      </c>
      <c r="C1266" s="6">
        <v>38</v>
      </c>
      <c r="D1266" s="6">
        <v>10</v>
      </c>
      <c r="E1266" s="18">
        <v>0.05</v>
      </c>
      <c r="F1266" s="6" t="str">
        <f>IFERROR(VLOOKUP(VLOOKUP(A1266,'Sales Order'!A:B,2,FALSE),Customer!A:C,3,FALSE),"Not Specified")</f>
        <v>Voss, Florian</v>
      </c>
      <c r="G1266" s="6" t="str">
        <f t="shared" si="38"/>
        <v>Voss Florian</v>
      </c>
      <c r="H1266" s="22" t="str">
        <f>IFERROR(VLOOKUP(VLOOKUP(A1266,'Sales Order'!A:C,3,FALSE),Employee!A:E,5,FALSE)&amp;" "&amp;VLOOKUP(VLOOKUP(A1266,'Sales Order'!A:C,3,FALSE),Employee!A:C,3,FALSE)&amp;" "&amp;VLOOKUP(VLOOKUP(A1266,'Sales Order'!A:C,3,FALSE),Employee!A:B,2,FALSE),"Not Specified")</f>
        <v>Dr. Don Funk</v>
      </c>
      <c r="I1266" t="str">
        <f>IFERROR(VLOOKUP(VLOOKUP(A1266,'Sales Order'!A:C,3,FALSE),Employee!A:J,10,FALSE),"Not Specified")</f>
        <v>WA</v>
      </c>
      <c r="J1266" t="str">
        <f>VLOOKUP(B1266,Product!A:B,2,FALSE)</f>
        <v>Product VKCMF</v>
      </c>
      <c r="K1266" t="str">
        <f>VLOOKUP(VLOOKUP(B1266,Product!A:D,4,FALSE),Category!A:B,2,FALSE)</f>
        <v>Grains/Cereals</v>
      </c>
      <c r="L1266" s="24">
        <f>IFERROR(VLOOKUP(A1266,'Sales Order'!A:D,4,FALSE),"")</f>
        <v>39389</v>
      </c>
      <c r="M1266" s="24">
        <f>IFERROR(VLOOKUP(A1266,'Sales Order'!A:F,6,FALSE),"")</f>
        <v>39421</v>
      </c>
      <c r="N1266" t="str">
        <f>IFERROR(VLOOKUP(VLOOKUP(A1266,'Sales Order'!A:G,7,FALSE),Shipper!A:B,2,FALSE),"Not Specified")</f>
        <v>Shipper GVSUA</v>
      </c>
      <c r="O1266" t="str">
        <f>IFERROR(VLOOKUP(A1266,'Sales Order'!A:I,9,FALSE),"Not Specified")</f>
        <v>Ship to 66-A</v>
      </c>
      <c r="P1266" t="str">
        <f>IFERROR(VLOOKUP(A1266,'Sales Order'!A:N,14,FALSE),"Not Specified")</f>
        <v>Italy</v>
      </c>
      <c r="Q1266" t="str">
        <f>VLOOKUP(VLOOKUP(B1266,Product!A:C,3,FALSE),Supplier!A:B,2,FALSE)</f>
        <v>Supplier ZWZDM</v>
      </c>
      <c r="R1266" t="str">
        <f>VLOOKUP(VLOOKUP(B1266,Product!A:C,3,FALSE),Supplier!A:I,9,FALSE)</f>
        <v>Italy</v>
      </c>
      <c r="S1266" t="str">
        <f>IFERROR(IF(VLOOKUP(A1266,'Sales Order'!A:H,8,FALSE)&gt;100,"High Freight","Low Freight"),"Not Specified")</f>
        <v>Low Freight</v>
      </c>
      <c r="T1266">
        <f t="shared" si="39"/>
        <v>361</v>
      </c>
    </row>
    <row r="1267" spans="1:20">
      <c r="A1267" s="9">
        <v>10727</v>
      </c>
      <c r="B1267" s="6">
        <v>59</v>
      </c>
      <c r="C1267" s="6">
        <v>55</v>
      </c>
      <c r="D1267" s="6">
        <v>10</v>
      </c>
      <c r="E1267" s="18">
        <v>0.05</v>
      </c>
      <c r="F1267" s="6" t="str">
        <f>IFERROR(VLOOKUP(VLOOKUP(A1267,'Sales Order'!A:B,2,FALSE),Customer!A:C,3,FALSE),"Not Specified")</f>
        <v>Voss, Florian</v>
      </c>
      <c r="G1267" s="6" t="str">
        <f t="shared" si="38"/>
        <v>Voss Florian</v>
      </c>
      <c r="H1267" s="22" t="str">
        <f>IFERROR(VLOOKUP(VLOOKUP(A1267,'Sales Order'!A:C,3,FALSE),Employee!A:E,5,FALSE)&amp;" "&amp;VLOOKUP(VLOOKUP(A1267,'Sales Order'!A:C,3,FALSE),Employee!A:C,3,FALSE)&amp;" "&amp;VLOOKUP(VLOOKUP(A1267,'Sales Order'!A:C,3,FALSE),Employee!A:B,2,FALSE),"Not Specified")</f>
        <v>Dr. Don Funk</v>
      </c>
      <c r="I1267" t="str">
        <f>IFERROR(VLOOKUP(VLOOKUP(A1267,'Sales Order'!A:C,3,FALSE),Employee!A:J,10,FALSE),"Not Specified")</f>
        <v>WA</v>
      </c>
      <c r="J1267" t="str">
        <f>VLOOKUP(B1267,Product!A:B,2,FALSE)</f>
        <v>Product UKXRI</v>
      </c>
      <c r="K1267" t="str">
        <f>VLOOKUP(VLOOKUP(B1267,Product!A:D,4,FALSE),Category!A:B,2,FALSE)</f>
        <v>Dairy Product</v>
      </c>
      <c r="L1267" s="24">
        <f>IFERROR(VLOOKUP(A1267,'Sales Order'!A:D,4,FALSE),"")</f>
        <v>39389</v>
      </c>
      <c r="M1267" s="24">
        <f>IFERROR(VLOOKUP(A1267,'Sales Order'!A:F,6,FALSE),"")</f>
        <v>39421</v>
      </c>
      <c r="N1267" t="str">
        <f>IFERROR(VLOOKUP(VLOOKUP(A1267,'Sales Order'!A:G,7,FALSE),Shipper!A:B,2,FALSE),"Not Specified")</f>
        <v>Shipper GVSUA</v>
      </c>
      <c r="O1267" t="str">
        <f>IFERROR(VLOOKUP(A1267,'Sales Order'!A:I,9,FALSE),"Not Specified")</f>
        <v>Ship to 66-A</v>
      </c>
      <c r="P1267" t="str">
        <f>IFERROR(VLOOKUP(A1267,'Sales Order'!A:N,14,FALSE),"Not Specified")</f>
        <v>Italy</v>
      </c>
      <c r="Q1267" t="str">
        <f>VLOOKUP(VLOOKUP(B1267,Product!A:C,3,FALSE),Supplier!A:B,2,FALSE)</f>
        <v>Supplier OAVQT</v>
      </c>
      <c r="R1267" t="str">
        <f>VLOOKUP(VLOOKUP(B1267,Product!A:C,3,FALSE),Supplier!A:I,9,FALSE)</f>
        <v>France</v>
      </c>
      <c r="S1267" t="str">
        <f>IFERROR(IF(VLOOKUP(A1267,'Sales Order'!A:H,8,FALSE)&gt;100,"High Freight","Low Freight"),"Not Specified")</f>
        <v>Low Freight</v>
      </c>
      <c r="T1267">
        <f t="shared" si="39"/>
        <v>522.5</v>
      </c>
    </row>
    <row r="1268" spans="1:20">
      <c r="A1268" s="9">
        <v>10728</v>
      </c>
      <c r="B1268" s="6">
        <v>30</v>
      </c>
      <c r="C1268" s="6">
        <v>25.89</v>
      </c>
      <c r="D1268" s="6">
        <v>15</v>
      </c>
      <c r="E1268" s="18">
        <v>0</v>
      </c>
      <c r="F1268" s="6" t="str">
        <f>IFERROR(VLOOKUP(VLOOKUP(A1268,'Sales Order'!A:B,2,FALSE),Customer!A:C,3,FALSE),"Not Specified")</f>
        <v>Misiec, Anna</v>
      </c>
      <c r="G1268" s="6" t="str">
        <f t="shared" si="38"/>
        <v>Misiec Anna</v>
      </c>
      <c r="H1268" s="22" t="str">
        <f>IFERROR(VLOOKUP(VLOOKUP(A1268,'Sales Order'!A:C,3,FALSE),Employee!A:E,5,FALSE)&amp;" "&amp;VLOOKUP(VLOOKUP(A1268,'Sales Order'!A:C,3,FALSE),Employee!A:C,3,FALSE)&amp;" "&amp;VLOOKUP(VLOOKUP(A1268,'Sales Order'!A:C,3,FALSE),Employee!A:B,2,FALSE),"Not Specified")</f>
        <v>Mrs. Yael Peled</v>
      </c>
      <c r="I1268" t="str">
        <f>IFERROR(VLOOKUP(VLOOKUP(A1268,'Sales Order'!A:C,3,FALSE),Employee!A:J,10,FALSE),"Not Specified")</f>
        <v>WA</v>
      </c>
      <c r="J1268" t="str">
        <f>VLOOKUP(B1268,Product!A:B,2,FALSE)</f>
        <v>Product LYERX</v>
      </c>
      <c r="K1268" t="str">
        <f>VLOOKUP(VLOOKUP(B1268,Product!A:D,4,FALSE),Category!A:B,2,FALSE)</f>
        <v>Seafood</v>
      </c>
      <c r="L1268" s="24">
        <f>IFERROR(VLOOKUP(A1268,'Sales Order'!A:D,4,FALSE),"")</f>
        <v>39390</v>
      </c>
      <c r="M1268" s="24">
        <f>IFERROR(VLOOKUP(A1268,'Sales Order'!A:F,6,FALSE),"")</f>
        <v>39397</v>
      </c>
      <c r="N1268" t="str">
        <f>IFERROR(VLOOKUP(VLOOKUP(A1268,'Sales Order'!A:G,7,FALSE),Shipper!A:B,2,FALSE),"Not Specified")</f>
        <v>Shipper ETYNR</v>
      </c>
      <c r="O1268" t="str">
        <f>IFERROR(VLOOKUP(A1268,'Sales Order'!A:I,9,FALSE),"Not Specified")</f>
        <v>Ship to 62-A</v>
      </c>
      <c r="P1268" t="str">
        <f>IFERROR(VLOOKUP(A1268,'Sales Order'!A:N,14,FALSE),"Not Specified")</f>
        <v>Brazil</v>
      </c>
      <c r="Q1268" t="str">
        <f>VLOOKUP(VLOOKUP(B1268,Product!A:C,3,FALSE),Supplier!A:B,2,FALSE)</f>
        <v>Supplier TEGSC</v>
      </c>
      <c r="R1268" t="str">
        <f>VLOOKUP(VLOOKUP(B1268,Product!A:C,3,FALSE),Supplier!A:I,9,FALSE)</f>
        <v>Germany</v>
      </c>
      <c r="S1268" t="str">
        <f>IFERROR(IF(VLOOKUP(A1268,'Sales Order'!A:H,8,FALSE)&gt;100,"High Freight","Low Freight"),"Not Specified")</f>
        <v>Low Freight</v>
      </c>
      <c r="T1268">
        <f t="shared" si="39"/>
        <v>388.35</v>
      </c>
    </row>
    <row r="1269" spans="1:20">
      <c r="A1269" s="9">
        <v>10728</v>
      </c>
      <c r="B1269" s="6">
        <v>40</v>
      </c>
      <c r="C1269" s="6">
        <v>18.399999999999999</v>
      </c>
      <c r="D1269" s="6">
        <v>6</v>
      </c>
      <c r="E1269" s="18">
        <v>0</v>
      </c>
      <c r="F1269" s="6" t="str">
        <f>IFERROR(VLOOKUP(VLOOKUP(A1269,'Sales Order'!A:B,2,FALSE),Customer!A:C,3,FALSE),"Not Specified")</f>
        <v>Misiec, Anna</v>
      </c>
      <c r="G1269" s="6" t="str">
        <f t="shared" si="38"/>
        <v>Misiec Anna</v>
      </c>
      <c r="H1269" s="22" t="str">
        <f>IFERROR(VLOOKUP(VLOOKUP(A1269,'Sales Order'!A:C,3,FALSE),Employee!A:E,5,FALSE)&amp;" "&amp;VLOOKUP(VLOOKUP(A1269,'Sales Order'!A:C,3,FALSE),Employee!A:C,3,FALSE)&amp;" "&amp;VLOOKUP(VLOOKUP(A1269,'Sales Order'!A:C,3,FALSE),Employee!A:B,2,FALSE),"Not Specified")</f>
        <v>Mrs. Yael Peled</v>
      </c>
      <c r="I1269" t="str">
        <f>IFERROR(VLOOKUP(VLOOKUP(A1269,'Sales Order'!A:C,3,FALSE),Employee!A:J,10,FALSE),"Not Specified")</f>
        <v>WA</v>
      </c>
      <c r="J1269" t="str">
        <f>VLOOKUP(B1269,Product!A:B,2,FALSE)</f>
        <v>Product YZIXQ</v>
      </c>
      <c r="K1269" t="str">
        <f>VLOOKUP(VLOOKUP(B1269,Product!A:D,4,FALSE),Category!A:B,2,FALSE)</f>
        <v>Seafood</v>
      </c>
      <c r="L1269" s="24">
        <f>IFERROR(VLOOKUP(A1269,'Sales Order'!A:D,4,FALSE),"")</f>
        <v>39390</v>
      </c>
      <c r="M1269" s="24">
        <f>IFERROR(VLOOKUP(A1269,'Sales Order'!A:F,6,FALSE),"")</f>
        <v>39397</v>
      </c>
      <c r="N1269" t="str">
        <f>IFERROR(VLOOKUP(VLOOKUP(A1269,'Sales Order'!A:G,7,FALSE),Shipper!A:B,2,FALSE),"Not Specified")</f>
        <v>Shipper ETYNR</v>
      </c>
      <c r="O1269" t="str">
        <f>IFERROR(VLOOKUP(A1269,'Sales Order'!A:I,9,FALSE),"Not Specified")</f>
        <v>Ship to 62-A</v>
      </c>
      <c r="P1269" t="str">
        <f>IFERROR(VLOOKUP(A1269,'Sales Order'!A:N,14,FALSE),"Not Specified")</f>
        <v>Brazil</v>
      </c>
      <c r="Q1269" t="str">
        <f>VLOOKUP(VLOOKUP(B1269,Product!A:C,3,FALSE),Supplier!A:B,2,FALSE)</f>
        <v>Supplier JDNUG</v>
      </c>
      <c r="R1269" t="str">
        <f>VLOOKUP(VLOOKUP(B1269,Product!A:C,3,FALSE),Supplier!A:I,9,FALSE)</f>
        <v>USA</v>
      </c>
      <c r="S1269" t="str">
        <f>IFERROR(IF(VLOOKUP(A1269,'Sales Order'!A:H,8,FALSE)&gt;100,"High Freight","Low Freight"),"Not Specified")</f>
        <v>Low Freight</v>
      </c>
      <c r="T1269">
        <f t="shared" si="39"/>
        <v>110.39999999999999</v>
      </c>
    </row>
    <row r="1270" spans="1:20">
      <c r="A1270" s="9">
        <v>10728</v>
      </c>
      <c r="B1270" s="6">
        <v>55</v>
      </c>
      <c r="C1270" s="6">
        <v>24</v>
      </c>
      <c r="D1270" s="6">
        <v>12</v>
      </c>
      <c r="E1270" s="18">
        <v>0</v>
      </c>
      <c r="F1270" s="6" t="str">
        <f>IFERROR(VLOOKUP(VLOOKUP(A1270,'Sales Order'!A:B,2,FALSE),Customer!A:C,3,FALSE),"Not Specified")</f>
        <v>Misiec, Anna</v>
      </c>
      <c r="G1270" s="6" t="str">
        <f t="shared" si="38"/>
        <v>Misiec Anna</v>
      </c>
      <c r="H1270" s="22" t="str">
        <f>IFERROR(VLOOKUP(VLOOKUP(A1270,'Sales Order'!A:C,3,FALSE),Employee!A:E,5,FALSE)&amp;" "&amp;VLOOKUP(VLOOKUP(A1270,'Sales Order'!A:C,3,FALSE),Employee!A:C,3,FALSE)&amp;" "&amp;VLOOKUP(VLOOKUP(A1270,'Sales Order'!A:C,3,FALSE),Employee!A:B,2,FALSE),"Not Specified")</f>
        <v>Mrs. Yael Peled</v>
      </c>
      <c r="I1270" t="str">
        <f>IFERROR(VLOOKUP(VLOOKUP(A1270,'Sales Order'!A:C,3,FALSE),Employee!A:J,10,FALSE),"Not Specified")</f>
        <v>WA</v>
      </c>
      <c r="J1270" t="str">
        <f>VLOOKUP(B1270,Product!A:B,2,FALSE)</f>
        <v>Product YYWRT</v>
      </c>
      <c r="K1270" t="str">
        <f>VLOOKUP(VLOOKUP(B1270,Product!A:D,4,FALSE),Category!A:B,2,FALSE)</f>
        <v>Meat/Poultry</v>
      </c>
      <c r="L1270" s="24">
        <f>IFERROR(VLOOKUP(A1270,'Sales Order'!A:D,4,FALSE),"")</f>
        <v>39390</v>
      </c>
      <c r="M1270" s="24">
        <f>IFERROR(VLOOKUP(A1270,'Sales Order'!A:F,6,FALSE),"")</f>
        <v>39397</v>
      </c>
      <c r="N1270" t="str">
        <f>IFERROR(VLOOKUP(VLOOKUP(A1270,'Sales Order'!A:G,7,FALSE),Shipper!A:B,2,FALSE),"Not Specified")</f>
        <v>Shipper ETYNR</v>
      </c>
      <c r="O1270" t="str">
        <f>IFERROR(VLOOKUP(A1270,'Sales Order'!A:I,9,FALSE),"Not Specified")</f>
        <v>Ship to 62-A</v>
      </c>
      <c r="P1270" t="str">
        <f>IFERROR(VLOOKUP(A1270,'Sales Order'!A:N,14,FALSE),"Not Specified")</f>
        <v>Brazil</v>
      </c>
      <c r="Q1270" t="str">
        <f>VLOOKUP(VLOOKUP(B1270,Product!A:C,3,FALSE),Supplier!A:B,2,FALSE)</f>
        <v>Supplier ERVYZ</v>
      </c>
      <c r="R1270" t="str">
        <f>VLOOKUP(VLOOKUP(B1270,Product!A:C,3,FALSE),Supplier!A:I,9,FALSE)</f>
        <v>Canada</v>
      </c>
      <c r="S1270" t="str">
        <f>IFERROR(IF(VLOOKUP(A1270,'Sales Order'!A:H,8,FALSE)&gt;100,"High Freight","Low Freight"),"Not Specified")</f>
        <v>Low Freight</v>
      </c>
      <c r="T1270">
        <f t="shared" si="39"/>
        <v>288</v>
      </c>
    </row>
    <row r="1271" spans="1:20">
      <c r="A1271" s="9">
        <v>10728</v>
      </c>
      <c r="B1271" s="6">
        <v>60</v>
      </c>
      <c r="C1271" s="6">
        <v>34</v>
      </c>
      <c r="D1271" s="6">
        <v>15</v>
      </c>
      <c r="E1271" s="18">
        <v>0</v>
      </c>
      <c r="F1271" s="6" t="str">
        <f>IFERROR(VLOOKUP(VLOOKUP(A1271,'Sales Order'!A:B,2,FALSE),Customer!A:C,3,FALSE),"Not Specified")</f>
        <v>Misiec, Anna</v>
      </c>
      <c r="G1271" s="6" t="str">
        <f t="shared" si="38"/>
        <v>Misiec Anna</v>
      </c>
      <c r="H1271" s="22" t="str">
        <f>IFERROR(VLOOKUP(VLOOKUP(A1271,'Sales Order'!A:C,3,FALSE),Employee!A:E,5,FALSE)&amp;" "&amp;VLOOKUP(VLOOKUP(A1271,'Sales Order'!A:C,3,FALSE),Employee!A:C,3,FALSE)&amp;" "&amp;VLOOKUP(VLOOKUP(A1271,'Sales Order'!A:C,3,FALSE),Employee!A:B,2,FALSE),"Not Specified")</f>
        <v>Mrs. Yael Peled</v>
      </c>
      <c r="I1271" t="str">
        <f>IFERROR(VLOOKUP(VLOOKUP(A1271,'Sales Order'!A:C,3,FALSE),Employee!A:J,10,FALSE),"Not Specified")</f>
        <v>WA</v>
      </c>
      <c r="J1271" t="str">
        <f>VLOOKUP(B1271,Product!A:B,2,FALSE)</f>
        <v>Product WHBYK</v>
      </c>
      <c r="K1271" t="str">
        <f>VLOOKUP(VLOOKUP(B1271,Product!A:D,4,FALSE),Category!A:B,2,FALSE)</f>
        <v>Dairy Product</v>
      </c>
      <c r="L1271" s="24">
        <f>IFERROR(VLOOKUP(A1271,'Sales Order'!A:D,4,FALSE),"")</f>
        <v>39390</v>
      </c>
      <c r="M1271" s="24">
        <f>IFERROR(VLOOKUP(A1271,'Sales Order'!A:F,6,FALSE),"")</f>
        <v>39397</v>
      </c>
      <c r="N1271" t="str">
        <f>IFERROR(VLOOKUP(VLOOKUP(A1271,'Sales Order'!A:G,7,FALSE),Shipper!A:B,2,FALSE),"Not Specified")</f>
        <v>Shipper ETYNR</v>
      </c>
      <c r="O1271" t="str">
        <f>IFERROR(VLOOKUP(A1271,'Sales Order'!A:I,9,FALSE),"Not Specified")</f>
        <v>Ship to 62-A</v>
      </c>
      <c r="P1271" t="str">
        <f>IFERROR(VLOOKUP(A1271,'Sales Order'!A:N,14,FALSE),"Not Specified")</f>
        <v>Brazil</v>
      </c>
      <c r="Q1271" t="str">
        <f>VLOOKUP(VLOOKUP(B1271,Product!A:C,3,FALSE),Supplier!A:B,2,FALSE)</f>
        <v>Supplier OAVQT</v>
      </c>
      <c r="R1271" t="str">
        <f>VLOOKUP(VLOOKUP(B1271,Product!A:C,3,FALSE),Supplier!A:I,9,FALSE)</f>
        <v>France</v>
      </c>
      <c r="S1271" t="str">
        <f>IFERROR(IF(VLOOKUP(A1271,'Sales Order'!A:H,8,FALSE)&gt;100,"High Freight","Low Freight"),"Not Specified")</f>
        <v>Low Freight</v>
      </c>
      <c r="T1271">
        <f t="shared" si="39"/>
        <v>510</v>
      </c>
    </row>
    <row r="1272" spans="1:20">
      <c r="A1272" s="9">
        <v>10729</v>
      </c>
      <c r="B1272" s="6">
        <v>1</v>
      </c>
      <c r="C1272" s="6">
        <v>18</v>
      </c>
      <c r="D1272" s="6">
        <v>50</v>
      </c>
      <c r="E1272" s="18">
        <v>0</v>
      </c>
      <c r="F1272" s="6" t="str">
        <f>IFERROR(VLOOKUP(VLOOKUP(A1272,'Sales Order'!A:B,2,FALSE),Customer!A:C,3,FALSE),"Not Specified")</f>
        <v>Lupu, Cornel</v>
      </c>
      <c r="G1272" s="6" t="str">
        <f t="shared" si="38"/>
        <v>Lupu Cornel</v>
      </c>
      <c r="H1272" s="22" t="str">
        <f>IFERROR(VLOOKUP(VLOOKUP(A1272,'Sales Order'!A:C,3,FALSE),Employee!A:E,5,FALSE)&amp;" "&amp;VLOOKUP(VLOOKUP(A1272,'Sales Order'!A:C,3,FALSE),Employee!A:C,3,FALSE)&amp;" "&amp;VLOOKUP(VLOOKUP(A1272,'Sales Order'!A:C,3,FALSE),Employee!A:B,2,FALSE),"Not Specified")</f>
        <v>Ms. Maria Cameron</v>
      </c>
      <c r="I1272" t="str">
        <f>IFERROR(VLOOKUP(VLOOKUP(A1272,'Sales Order'!A:C,3,FALSE),Employee!A:J,10,FALSE),"Not Specified")</f>
        <v>WA</v>
      </c>
      <c r="J1272" t="str">
        <f>VLOOKUP(B1272,Product!A:B,2,FALSE)</f>
        <v>Product HHYDP</v>
      </c>
      <c r="K1272" t="str">
        <f>VLOOKUP(VLOOKUP(B1272,Product!A:D,4,FALSE),Category!A:B,2,FALSE)</f>
        <v>Beverages</v>
      </c>
      <c r="L1272" s="24">
        <f>IFERROR(VLOOKUP(A1272,'Sales Order'!A:D,4,FALSE),"")</f>
        <v>39390</v>
      </c>
      <c r="M1272" s="24">
        <f>IFERROR(VLOOKUP(A1272,'Sales Order'!A:F,6,FALSE),"")</f>
        <v>39400</v>
      </c>
      <c r="N1272" t="str">
        <f>IFERROR(VLOOKUP(VLOOKUP(A1272,'Sales Order'!A:G,7,FALSE),Shipper!A:B,2,FALSE),"Not Specified")</f>
        <v>Shipper ZHISN</v>
      </c>
      <c r="O1272" t="str">
        <f>IFERROR(VLOOKUP(A1272,'Sales Order'!A:I,9,FALSE),"Not Specified")</f>
        <v>Ship to 47-A</v>
      </c>
      <c r="P1272" t="str">
        <f>IFERROR(VLOOKUP(A1272,'Sales Order'!A:N,14,FALSE),"Not Specified")</f>
        <v>Venezuela</v>
      </c>
      <c r="Q1272" t="str">
        <f>VLOOKUP(VLOOKUP(B1272,Product!A:C,3,FALSE),Supplier!A:B,2,FALSE)</f>
        <v>Supplier SWRXU</v>
      </c>
      <c r="R1272" t="str">
        <f>VLOOKUP(VLOOKUP(B1272,Product!A:C,3,FALSE),Supplier!A:I,9,FALSE)</f>
        <v>UK</v>
      </c>
      <c r="S1272" t="str">
        <f>IFERROR(IF(VLOOKUP(A1272,'Sales Order'!A:H,8,FALSE)&gt;100,"High Freight","Low Freight"),"Not Specified")</f>
        <v>High Freight</v>
      </c>
      <c r="T1272">
        <f t="shared" si="39"/>
        <v>900</v>
      </c>
    </row>
    <row r="1273" spans="1:20">
      <c r="A1273" s="9">
        <v>10729</v>
      </c>
      <c r="B1273" s="6">
        <v>21</v>
      </c>
      <c r="C1273" s="6">
        <v>10</v>
      </c>
      <c r="D1273" s="6">
        <v>30</v>
      </c>
      <c r="E1273" s="18">
        <v>0</v>
      </c>
      <c r="F1273" s="6" t="str">
        <f>IFERROR(VLOOKUP(VLOOKUP(A1273,'Sales Order'!A:B,2,FALSE),Customer!A:C,3,FALSE),"Not Specified")</f>
        <v>Lupu, Cornel</v>
      </c>
      <c r="G1273" s="6" t="str">
        <f t="shared" si="38"/>
        <v>Lupu Cornel</v>
      </c>
      <c r="H1273" s="22" t="str">
        <f>IFERROR(VLOOKUP(VLOOKUP(A1273,'Sales Order'!A:C,3,FALSE),Employee!A:E,5,FALSE)&amp;" "&amp;VLOOKUP(VLOOKUP(A1273,'Sales Order'!A:C,3,FALSE),Employee!A:C,3,FALSE)&amp;" "&amp;VLOOKUP(VLOOKUP(A1273,'Sales Order'!A:C,3,FALSE),Employee!A:B,2,FALSE),"Not Specified")</f>
        <v>Ms. Maria Cameron</v>
      </c>
      <c r="I1273" t="str">
        <f>IFERROR(VLOOKUP(VLOOKUP(A1273,'Sales Order'!A:C,3,FALSE),Employee!A:J,10,FALSE),"Not Specified")</f>
        <v>WA</v>
      </c>
      <c r="J1273" t="str">
        <f>VLOOKUP(B1273,Product!A:B,2,FALSE)</f>
        <v>Product VJZZH</v>
      </c>
      <c r="K1273" t="str">
        <f>VLOOKUP(VLOOKUP(B1273,Product!A:D,4,FALSE),Category!A:B,2,FALSE)</f>
        <v>Confections</v>
      </c>
      <c r="L1273" s="24">
        <f>IFERROR(VLOOKUP(A1273,'Sales Order'!A:D,4,FALSE),"")</f>
        <v>39390</v>
      </c>
      <c r="M1273" s="24">
        <f>IFERROR(VLOOKUP(A1273,'Sales Order'!A:F,6,FALSE),"")</f>
        <v>39400</v>
      </c>
      <c r="N1273" t="str">
        <f>IFERROR(VLOOKUP(VLOOKUP(A1273,'Sales Order'!A:G,7,FALSE),Shipper!A:B,2,FALSE),"Not Specified")</f>
        <v>Shipper ZHISN</v>
      </c>
      <c r="O1273" t="str">
        <f>IFERROR(VLOOKUP(A1273,'Sales Order'!A:I,9,FALSE),"Not Specified")</f>
        <v>Ship to 47-A</v>
      </c>
      <c r="P1273" t="str">
        <f>IFERROR(VLOOKUP(A1273,'Sales Order'!A:N,14,FALSE),"Not Specified")</f>
        <v>Venezuela</v>
      </c>
      <c r="Q1273" t="str">
        <f>VLOOKUP(VLOOKUP(B1273,Product!A:C,3,FALSE),Supplier!A:B,2,FALSE)</f>
        <v>Supplier BWGYE</v>
      </c>
      <c r="R1273" t="str">
        <f>VLOOKUP(VLOOKUP(B1273,Product!A:C,3,FALSE),Supplier!A:I,9,FALSE)</f>
        <v>UK</v>
      </c>
      <c r="S1273" t="str">
        <f>IFERROR(IF(VLOOKUP(A1273,'Sales Order'!A:H,8,FALSE)&gt;100,"High Freight","Low Freight"),"Not Specified")</f>
        <v>High Freight</v>
      </c>
      <c r="T1273">
        <f t="shared" si="39"/>
        <v>300</v>
      </c>
    </row>
    <row r="1274" spans="1:20">
      <c r="A1274" s="9">
        <v>10729</v>
      </c>
      <c r="B1274" s="6">
        <v>50</v>
      </c>
      <c r="C1274" s="6">
        <v>16.25</v>
      </c>
      <c r="D1274" s="6">
        <v>40</v>
      </c>
      <c r="E1274" s="18">
        <v>0</v>
      </c>
      <c r="F1274" s="6" t="str">
        <f>IFERROR(VLOOKUP(VLOOKUP(A1274,'Sales Order'!A:B,2,FALSE),Customer!A:C,3,FALSE),"Not Specified")</f>
        <v>Lupu, Cornel</v>
      </c>
      <c r="G1274" s="6" t="str">
        <f t="shared" si="38"/>
        <v>Lupu Cornel</v>
      </c>
      <c r="H1274" s="22" t="str">
        <f>IFERROR(VLOOKUP(VLOOKUP(A1274,'Sales Order'!A:C,3,FALSE),Employee!A:E,5,FALSE)&amp;" "&amp;VLOOKUP(VLOOKUP(A1274,'Sales Order'!A:C,3,FALSE),Employee!A:C,3,FALSE)&amp;" "&amp;VLOOKUP(VLOOKUP(A1274,'Sales Order'!A:C,3,FALSE),Employee!A:B,2,FALSE),"Not Specified")</f>
        <v>Ms. Maria Cameron</v>
      </c>
      <c r="I1274" t="str">
        <f>IFERROR(VLOOKUP(VLOOKUP(A1274,'Sales Order'!A:C,3,FALSE),Employee!A:J,10,FALSE),"Not Specified")</f>
        <v>WA</v>
      </c>
      <c r="J1274" t="str">
        <f>VLOOKUP(B1274,Product!A:B,2,FALSE)</f>
        <v>Product BIUDV</v>
      </c>
      <c r="K1274" t="str">
        <f>VLOOKUP(VLOOKUP(B1274,Product!A:D,4,FALSE),Category!A:B,2,FALSE)</f>
        <v>Confections</v>
      </c>
      <c r="L1274" s="24">
        <f>IFERROR(VLOOKUP(A1274,'Sales Order'!A:D,4,FALSE),"")</f>
        <v>39390</v>
      </c>
      <c r="M1274" s="24">
        <f>IFERROR(VLOOKUP(A1274,'Sales Order'!A:F,6,FALSE),"")</f>
        <v>39400</v>
      </c>
      <c r="N1274" t="str">
        <f>IFERROR(VLOOKUP(VLOOKUP(A1274,'Sales Order'!A:G,7,FALSE),Shipper!A:B,2,FALSE),"Not Specified")</f>
        <v>Shipper ZHISN</v>
      </c>
      <c r="O1274" t="str">
        <f>IFERROR(VLOOKUP(A1274,'Sales Order'!A:I,9,FALSE),"Not Specified")</f>
        <v>Ship to 47-A</v>
      </c>
      <c r="P1274" t="str">
        <f>IFERROR(VLOOKUP(A1274,'Sales Order'!A:N,14,FALSE),"Not Specified")</f>
        <v>Venezuela</v>
      </c>
      <c r="Q1274" t="str">
        <f>VLOOKUP(VLOOKUP(B1274,Product!A:C,3,FALSE),Supplier!A:B,2,FALSE)</f>
        <v>Supplier ELCRN</v>
      </c>
      <c r="R1274" t="str">
        <f>VLOOKUP(VLOOKUP(B1274,Product!A:C,3,FALSE),Supplier!A:I,9,FALSE)</f>
        <v>Finland</v>
      </c>
      <c r="S1274" t="str">
        <f>IFERROR(IF(VLOOKUP(A1274,'Sales Order'!A:H,8,FALSE)&gt;100,"High Freight","Low Freight"),"Not Specified")</f>
        <v>High Freight</v>
      </c>
      <c r="T1274">
        <f t="shared" si="39"/>
        <v>650</v>
      </c>
    </row>
    <row r="1275" spans="1:20">
      <c r="A1275" s="9">
        <v>10730</v>
      </c>
      <c r="B1275" s="6">
        <v>16</v>
      </c>
      <c r="C1275" s="6">
        <v>17.45</v>
      </c>
      <c r="D1275" s="6">
        <v>15</v>
      </c>
      <c r="E1275" s="18">
        <v>0.05</v>
      </c>
      <c r="F1275" s="6" t="str">
        <f>IFERROR(VLOOKUP(VLOOKUP(A1275,'Sales Order'!A:B,2,FALSE),Customer!A:C,3,FALSE),"Not Specified")</f>
        <v>Raghav, Amritansh</v>
      </c>
      <c r="G1275" s="6" t="str">
        <f t="shared" si="38"/>
        <v>Raghav Amritansh</v>
      </c>
      <c r="H1275" s="22" t="str">
        <f>IFERROR(VLOOKUP(VLOOKUP(A1275,'Sales Order'!A:C,3,FALSE),Employee!A:E,5,FALSE)&amp;" "&amp;VLOOKUP(VLOOKUP(A1275,'Sales Order'!A:C,3,FALSE),Employee!A:C,3,FALSE)&amp;" "&amp;VLOOKUP(VLOOKUP(A1275,'Sales Order'!A:C,3,FALSE),Employee!A:B,2,FALSE),"Not Specified")</f>
        <v>Mr. Sven Buck</v>
      </c>
      <c r="I1275">
        <f>IFERROR(VLOOKUP(VLOOKUP(A1275,'Sales Order'!A:C,3,FALSE),Employee!A:J,10,FALSE),"Not Specified")</f>
        <v>0</v>
      </c>
      <c r="J1275" t="str">
        <f>VLOOKUP(B1275,Product!A:B,2,FALSE)</f>
        <v>Product PAFRH</v>
      </c>
      <c r="K1275" t="str">
        <f>VLOOKUP(VLOOKUP(B1275,Product!A:D,4,FALSE),Category!A:B,2,FALSE)</f>
        <v>Confections</v>
      </c>
      <c r="L1275" s="24">
        <f>IFERROR(VLOOKUP(A1275,'Sales Order'!A:D,4,FALSE),"")</f>
        <v>39391</v>
      </c>
      <c r="M1275" s="24">
        <f>IFERROR(VLOOKUP(A1275,'Sales Order'!A:F,6,FALSE),"")</f>
        <v>39400</v>
      </c>
      <c r="N1275" t="str">
        <f>IFERROR(VLOOKUP(VLOOKUP(A1275,'Sales Order'!A:G,7,FALSE),Shipper!A:B,2,FALSE),"Not Specified")</f>
        <v>Shipper GVSUA</v>
      </c>
      <c r="O1275" t="str">
        <f>IFERROR(VLOOKUP(A1275,'Sales Order'!A:I,9,FALSE),"Not Specified")</f>
        <v>Ship to 9-A</v>
      </c>
      <c r="P1275" t="str">
        <f>IFERROR(VLOOKUP(A1275,'Sales Order'!A:N,14,FALSE),"Not Specified")</f>
        <v>France</v>
      </c>
      <c r="Q1275" t="str">
        <f>VLOOKUP(VLOOKUP(B1275,Product!A:C,3,FALSE),Supplier!A:B,2,FALSE)</f>
        <v>Supplier GQRCV</v>
      </c>
      <c r="R1275" t="str">
        <f>VLOOKUP(VLOOKUP(B1275,Product!A:C,3,FALSE),Supplier!A:I,9,FALSE)</f>
        <v>Australia</v>
      </c>
      <c r="S1275" t="str">
        <f>IFERROR(IF(VLOOKUP(A1275,'Sales Order'!A:H,8,FALSE)&gt;100,"High Freight","Low Freight"),"Not Specified")</f>
        <v>Low Freight</v>
      </c>
      <c r="T1275">
        <f t="shared" si="39"/>
        <v>248.66249999999999</v>
      </c>
    </row>
    <row r="1276" spans="1:20">
      <c r="A1276" s="9">
        <v>10730</v>
      </c>
      <c r="B1276" s="6">
        <v>31</v>
      </c>
      <c r="C1276" s="6">
        <v>12.5</v>
      </c>
      <c r="D1276" s="6">
        <v>3</v>
      </c>
      <c r="E1276" s="18">
        <v>0.05</v>
      </c>
      <c r="F1276" s="6" t="str">
        <f>IFERROR(VLOOKUP(VLOOKUP(A1276,'Sales Order'!A:B,2,FALSE),Customer!A:C,3,FALSE),"Not Specified")</f>
        <v>Raghav, Amritansh</v>
      </c>
      <c r="G1276" s="6" t="str">
        <f t="shared" si="38"/>
        <v>Raghav Amritansh</v>
      </c>
      <c r="H1276" s="22" t="str">
        <f>IFERROR(VLOOKUP(VLOOKUP(A1276,'Sales Order'!A:C,3,FALSE),Employee!A:E,5,FALSE)&amp;" "&amp;VLOOKUP(VLOOKUP(A1276,'Sales Order'!A:C,3,FALSE),Employee!A:C,3,FALSE)&amp;" "&amp;VLOOKUP(VLOOKUP(A1276,'Sales Order'!A:C,3,FALSE),Employee!A:B,2,FALSE),"Not Specified")</f>
        <v>Mr. Sven Buck</v>
      </c>
      <c r="I1276">
        <f>IFERROR(VLOOKUP(VLOOKUP(A1276,'Sales Order'!A:C,3,FALSE),Employee!A:J,10,FALSE),"Not Specified")</f>
        <v>0</v>
      </c>
      <c r="J1276" t="str">
        <f>VLOOKUP(B1276,Product!A:B,2,FALSE)</f>
        <v>Product XWOXC</v>
      </c>
      <c r="K1276" t="str">
        <f>VLOOKUP(VLOOKUP(B1276,Product!A:D,4,FALSE),Category!A:B,2,FALSE)</f>
        <v>Dairy Product</v>
      </c>
      <c r="L1276" s="24">
        <f>IFERROR(VLOOKUP(A1276,'Sales Order'!A:D,4,FALSE),"")</f>
        <v>39391</v>
      </c>
      <c r="M1276" s="24">
        <f>IFERROR(VLOOKUP(A1276,'Sales Order'!A:F,6,FALSE),"")</f>
        <v>39400</v>
      </c>
      <c r="N1276" t="str">
        <f>IFERROR(VLOOKUP(VLOOKUP(A1276,'Sales Order'!A:G,7,FALSE),Shipper!A:B,2,FALSE),"Not Specified")</f>
        <v>Shipper GVSUA</v>
      </c>
      <c r="O1276" t="str">
        <f>IFERROR(VLOOKUP(A1276,'Sales Order'!A:I,9,FALSE),"Not Specified")</f>
        <v>Ship to 9-A</v>
      </c>
      <c r="P1276" t="str">
        <f>IFERROR(VLOOKUP(A1276,'Sales Order'!A:N,14,FALSE),"Not Specified")</f>
        <v>France</v>
      </c>
      <c r="Q1276" t="str">
        <f>VLOOKUP(VLOOKUP(B1276,Product!A:C,3,FALSE),Supplier!A:B,2,FALSE)</f>
        <v>Supplier KEREV</v>
      </c>
      <c r="R1276" t="str">
        <f>VLOOKUP(VLOOKUP(B1276,Product!A:C,3,FALSE),Supplier!A:I,9,FALSE)</f>
        <v>Italy</v>
      </c>
      <c r="S1276" t="str">
        <f>IFERROR(IF(VLOOKUP(A1276,'Sales Order'!A:H,8,FALSE)&gt;100,"High Freight","Low Freight"),"Not Specified")</f>
        <v>Low Freight</v>
      </c>
      <c r="T1276">
        <f t="shared" si="39"/>
        <v>35.625</v>
      </c>
    </row>
    <row r="1277" spans="1:20">
      <c r="A1277" s="9">
        <v>10730</v>
      </c>
      <c r="B1277" s="6">
        <v>65</v>
      </c>
      <c r="C1277" s="6">
        <v>21.05</v>
      </c>
      <c r="D1277" s="6">
        <v>10</v>
      </c>
      <c r="E1277" s="18">
        <v>0.05</v>
      </c>
      <c r="F1277" s="6" t="str">
        <f>IFERROR(VLOOKUP(VLOOKUP(A1277,'Sales Order'!A:B,2,FALSE),Customer!A:C,3,FALSE),"Not Specified")</f>
        <v>Raghav, Amritansh</v>
      </c>
      <c r="G1277" s="6" t="str">
        <f t="shared" si="38"/>
        <v>Raghav Amritansh</v>
      </c>
      <c r="H1277" s="22" t="str">
        <f>IFERROR(VLOOKUP(VLOOKUP(A1277,'Sales Order'!A:C,3,FALSE),Employee!A:E,5,FALSE)&amp;" "&amp;VLOOKUP(VLOOKUP(A1277,'Sales Order'!A:C,3,FALSE),Employee!A:C,3,FALSE)&amp;" "&amp;VLOOKUP(VLOOKUP(A1277,'Sales Order'!A:C,3,FALSE),Employee!A:B,2,FALSE),"Not Specified")</f>
        <v>Mr. Sven Buck</v>
      </c>
      <c r="I1277">
        <f>IFERROR(VLOOKUP(VLOOKUP(A1277,'Sales Order'!A:C,3,FALSE),Employee!A:J,10,FALSE),"Not Specified")</f>
        <v>0</v>
      </c>
      <c r="J1277" t="str">
        <f>VLOOKUP(B1277,Product!A:B,2,FALSE)</f>
        <v>Product XYWBZ</v>
      </c>
      <c r="K1277" t="str">
        <f>VLOOKUP(VLOOKUP(B1277,Product!A:D,4,FALSE),Category!A:B,2,FALSE)</f>
        <v>Condiments</v>
      </c>
      <c r="L1277" s="24">
        <f>IFERROR(VLOOKUP(A1277,'Sales Order'!A:D,4,FALSE),"")</f>
        <v>39391</v>
      </c>
      <c r="M1277" s="24">
        <f>IFERROR(VLOOKUP(A1277,'Sales Order'!A:F,6,FALSE),"")</f>
        <v>39400</v>
      </c>
      <c r="N1277" t="str">
        <f>IFERROR(VLOOKUP(VLOOKUP(A1277,'Sales Order'!A:G,7,FALSE),Shipper!A:B,2,FALSE),"Not Specified")</f>
        <v>Shipper GVSUA</v>
      </c>
      <c r="O1277" t="str">
        <f>IFERROR(VLOOKUP(A1277,'Sales Order'!A:I,9,FALSE),"Not Specified")</f>
        <v>Ship to 9-A</v>
      </c>
      <c r="P1277" t="str">
        <f>IFERROR(VLOOKUP(A1277,'Sales Order'!A:N,14,FALSE),"Not Specified")</f>
        <v>France</v>
      </c>
      <c r="Q1277" t="str">
        <f>VLOOKUP(VLOOKUP(B1277,Product!A:C,3,FALSE),Supplier!A:B,2,FALSE)</f>
        <v>Supplier VHQZD</v>
      </c>
      <c r="R1277" t="str">
        <f>VLOOKUP(VLOOKUP(B1277,Product!A:C,3,FALSE),Supplier!A:I,9,FALSE)</f>
        <v>USA</v>
      </c>
      <c r="S1277" t="str">
        <f>IFERROR(IF(VLOOKUP(A1277,'Sales Order'!A:H,8,FALSE)&gt;100,"High Freight","Low Freight"),"Not Specified")</f>
        <v>Low Freight</v>
      </c>
      <c r="T1277">
        <f t="shared" si="39"/>
        <v>199.97499999999999</v>
      </c>
    </row>
    <row r="1278" spans="1:20">
      <c r="A1278" s="9">
        <v>10731</v>
      </c>
      <c r="B1278" s="6">
        <v>21</v>
      </c>
      <c r="C1278" s="6">
        <v>10</v>
      </c>
      <c r="D1278" s="6">
        <v>40</v>
      </c>
      <c r="E1278" s="18">
        <v>0.05</v>
      </c>
      <c r="F1278" s="6" t="str">
        <f>IFERROR(VLOOKUP(VLOOKUP(A1278,'Sales Order'!A:B,2,FALSE),Customer!A:C,3,FALSE),"Not Specified")</f>
        <v>Jelitto, Jacek</v>
      </c>
      <c r="G1278" s="6" t="str">
        <f t="shared" si="38"/>
        <v>Jelitto Jacek</v>
      </c>
      <c r="H1278" s="22" t="str">
        <f>IFERROR(VLOOKUP(VLOOKUP(A1278,'Sales Order'!A:C,3,FALSE),Employee!A:E,5,FALSE)&amp;" "&amp;VLOOKUP(VLOOKUP(A1278,'Sales Order'!A:C,3,FALSE),Employee!A:C,3,FALSE)&amp;" "&amp;VLOOKUP(VLOOKUP(A1278,'Sales Order'!A:C,3,FALSE),Employee!A:B,2,FALSE),"Not Specified")</f>
        <v>Mr. Russell King</v>
      </c>
      <c r="I1278">
        <f>IFERROR(VLOOKUP(VLOOKUP(A1278,'Sales Order'!A:C,3,FALSE),Employee!A:J,10,FALSE),"Not Specified")</f>
        <v>0</v>
      </c>
      <c r="J1278" t="str">
        <f>VLOOKUP(B1278,Product!A:B,2,FALSE)</f>
        <v>Product VJZZH</v>
      </c>
      <c r="K1278" t="str">
        <f>VLOOKUP(VLOOKUP(B1278,Product!A:D,4,FALSE),Category!A:B,2,FALSE)</f>
        <v>Confections</v>
      </c>
      <c r="L1278" s="24">
        <f>IFERROR(VLOOKUP(A1278,'Sales Order'!A:D,4,FALSE),"")</f>
        <v>39392</v>
      </c>
      <c r="M1278" s="24">
        <f>IFERROR(VLOOKUP(A1278,'Sales Order'!A:F,6,FALSE),"")</f>
        <v>39400</v>
      </c>
      <c r="N1278" t="str">
        <f>IFERROR(VLOOKUP(VLOOKUP(A1278,'Sales Order'!A:G,7,FALSE),Shipper!A:B,2,FALSE),"Not Specified")</f>
        <v>Shipper GVSUA</v>
      </c>
      <c r="O1278" t="str">
        <f>IFERROR(VLOOKUP(A1278,'Sales Order'!A:I,9,FALSE),"Not Specified")</f>
        <v>Destination YUJRD</v>
      </c>
      <c r="P1278" t="str">
        <f>IFERROR(VLOOKUP(A1278,'Sales Order'!A:N,14,FALSE),"Not Specified")</f>
        <v>Switzerland</v>
      </c>
      <c r="Q1278" t="str">
        <f>VLOOKUP(VLOOKUP(B1278,Product!A:C,3,FALSE),Supplier!A:B,2,FALSE)</f>
        <v>Supplier BWGYE</v>
      </c>
      <c r="R1278" t="str">
        <f>VLOOKUP(VLOOKUP(B1278,Product!A:C,3,FALSE),Supplier!A:I,9,FALSE)</f>
        <v>UK</v>
      </c>
      <c r="S1278" t="str">
        <f>IFERROR(IF(VLOOKUP(A1278,'Sales Order'!A:H,8,FALSE)&gt;100,"High Freight","Low Freight"),"Not Specified")</f>
        <v>Low Freight</v>
      </c>
      <c r="T1278">
        <f t="shared" si="39"/>
        <v>380</v>
      </c>
    </row>
    <row r="1279" spans="1:20">
      <c r="A1279" s="9">
        <v>10731</v>
      </c>
      <c r="B1279" s="6">
        <v>51</v>
      </c>
      <c r="C1279" s="6">
        <v>53</v>
      </c>
      <c r="D1279" s="6">
        <v>30</v>
      </c>
      <c r="E1279" s="18">
        <v>0.05</v>
      </c>
      <c r="F1279" s="6" t="str">
        <f>IFERROR(VLOOKUP(VLOOKUP(A1279,'Sales Order'!A:B,2,FALSE),Customer!A:C,3,FALSE),"Not Specified")</f>
        <v>Jelitto, Jacek</v>
      </c>
      <c r="G1279" s="6" t="str">
        <f t="shared" si="38"/>
        <v>Jelitto Jacek</v>
      </c>
      <c r="H1279" s="22" t="str">
        <f>IFERROR(VLOOKUP(VLOOKUP(A1279,'Sales Order'!A:C,3,FALSE),Employee!A:E,5,FALSE)&amp;" "&amp;VLOOKUP(VLOOKUP(A1279,'Sales Order'!A:C,3,FALSE),Employee!A:C,3,FALSE)&amp;" "&amp;VLOOKUP(VLOOKUP(A1279,'Sales Order'!A:C,3,FALSE),Employee!A:B,2,FALSE),"Not Specified")</f>
        <v>Mr. Russell King</v>
      </c>
      <c r="I1279">
        <f>IFERROR(VLOOKUP(VLOOKUP(A1279,'Sales Order'!A:C,3,FALSE),Employee!A:J,10,FALSE),"Not Specified")</f>
        <v>0</v>
      </c>
      <c r="J1279" t="str">
        <f>VLOOKUP(B1279,Product!A:B,2,FALSE)</f>
        <v>Product APITJ</v>
      </c>
      <c r="K1279" t="str">
        <f>VLOOKUP(VLOOKUP(B1279,Product!A:D,4,FALSE),Category!A:B,2,FALSE)</f>
        <v>Produce</v>
      </c>
      <c r="L1279" s="24">
        <f>IFERROR(VLOOKUP(A1279,'Sales Order'!A:D,4,FALSE),"")</f>
        <v>39392</v>
      </c>
      <c r="M1279" s="24">
        <f>IFERROR(VLOOKUP(A1279,'Sales Order'!A:F,6,FALSE),"")</f>
        <v>39400</v>
      </c>
      <c r="N1279" t="str">
        <f>IFERROR(VLOOKUP(VLOOKUP(A1279,'Sales Order'!A:G,7,FALSE),Shipper!A:B,2,FALSE),"Not Specified")</f>
        <v>Shipper GVSUA</v>
      </c>
      <c r="O1279" t="str">
        <f>IFERROR(VLOOKUP(A1279,'Sales Order'!A:I,9,FALSE),"Not Specified")</f>
        <v>Destination YUJRD</v>
      </c>
      <c r="P1279" t="str">
        <f>IFERROR(VLOOKUP(A1279,'Sales Order'!A:N,14,FALSE),"Not Specified")</f>
        <v>Switzerland</v>
      </c>
      <c r="Q1279" t="str">
        <f>VLOOKUP(VLOOKUP(B1279,Product!A:C,3,FALSE),Supplier!A:B,2,FALSE)</f>
        <v>Supplier JNNES</v>
      </c>
      <c r="R1279" t="str">
        <f>VLOOKUP(VLOOKUP(B1279,Product!A:C,3,FALSE),Supplier!A:I,9,FALSE)</f>
        <v>Australia</v>
      </c>
      <c r="S1279" t="str">
        <f>IFERROR(IF(VLOOKUP(A1279,'Sales Order'!A:H,8,FALSE)&gt;100,"High Freight","Low Freight"),"Not Specified")</f>
        <v>Low Freight</v>
      </c>
      <c r="T1279">
        <f t="shared" si="39"/>
        <v>1510.5</v>
      </c>
    </row>
    <row r="1280" spans="1:20">
      <c r="A1280" s="9">
        <v>10732</v>
      </c>
      <c r="B1280" s="6">
        <v>76</v>
      </c>
      <c r="C1280" s="6">
        <v>18</v>
      </c>
      <c r="D1280" s="6">
        <v>20</v>
      </c>
      <c r="E1280" s="18">
        <v>0</v>
      </c>
      <c r="F1280" s="6" t="str">
        <f>IFERROR(VLOOKUP(VLOOKUP(A1280,'Sales Order'!A:B,2,FALSE),Customer!A:C,3,FALSE),"Not Specified")</f>
        <v>Raghav, Amritansh</v>
      </c>
      <c r="G1280" s="6" t="str">
        <f t="shared" si="38"/>
        <v>Raghav Amritansh</v>
      </c>
      <c r="H1280" s="22" t="str">
        <f>IFERROR(VLOOKUP(VLOOKUP(A1280,'Sales Order'!A:C,3,FALSE),Employee!A:E,5,FALSE)&amp;" "&amp;VLOOKUP(VLOOKUP(A1280,'Sales Order'!A:C,3,FALSE),Employee!A:C,3,FALSE)&amp;" "&amp;VLOOKUP(VLOOKUP(A1280,'Sales Order'!A:C,3,FALSE),Employee!A:B,2,FALSE),"Not Specified")</f>
        <v>Ms. Judy Lew</v>
      </c>
      <c r="I1280" t="str">
        <f>IFERROR(VLOOKUP(VLOOKUP(A1280,'Sales Order'!A:C,3,FALSE),Employee!A:J,10,FALSE),"Not Specified")</f>
        <v>WA</v>
      </c>
      <c r="J1280" t="str">
        <f>VLOOKUP(B1280,Product!A:B,2,FALSE)</f>
        <v>Product JYGFE</v>
      </c>
      <c r="K1280" t="str">
        <f>VLOOKUP(VLOOKUP(B1280,Product!A:D,4,FALSE),Category!A:B,2,FALSE)</f>
        <v>Beverages</v>
      </c>
      <c r="L1280" s="24">
        <f>IFERROR(VLOOKUP(A1280,'Sales Order'!A:D,4,FALSE),"")</f>
        <v>39392</v>
      </c>
      <c r="M1280" s="24">
        <f>IFERROR(VLOOKUP(A1280,'Sales Order'!A:F,6,FALSE),"")</f>
        <v>39393</v>
      </c>
      <c r="N1280" t="str">
        <f>IFERROR(VLOOKUP(VLOOKUP(A1280,'Sales Order'!A:G,7,FALSE),Shipper!A:B,2,FALSE),"Not Specified")</f>
        <v>Shipper GVSUA</v>
      </c>
      <c r="O1280" t="str">
        <f>IFERROR(VLOOKUP(A1280,'Sales Order'!A:I,9,FALSE),"Not Specified")</f>
        <v>Ship to 9-A</v>
      </c>
      <c r="P1280" t="str">
        <f>IFERROR(VLOOKUP(A1280,'Sales Order'!A:N,14,FALSE),"Not Specified")</f>
        <v>France</v>
      </c>
      <c r="Q1280" t="str">
        <f>VLOOKUP(VLOOKUP(B1280,Product!A:C,3,FALSE),Supplier!A:B,2,FALSE)</f>
        <v>Supplier ELCRN</v>
      </c>
      <c r="R1280" t="str">
        <f>VLOOKUP(VLOOKUP(B1280,Product!A:C,3,FALSE),Supplier!A:I,9,FALSE)</f>
        <v>Finland</v>
      </c>
      <c r="S1280" t="str">
        <f>IFERROR(IF(VLOOKUP(A1280,'Sales Order'!A:H,8,FALSE)&gt;100,"High Freight","Low Freight"),"Not Specified")</f>
        <v>Low Freight</v>
      </c>
      <c r="T1280">
        <f t="shared" si="39"/>
        <v>360</v>
      </c>
    </row>
    <row r="1281" spans="1:20">
      <c r="A1281" s="9">
        <v>10733</v>
      </c>
      <c r="B1281" s="6">
        <v>14</v>
      </c>
      <c r="C1281" s="6">
        <v>23.25</v>
      </c>
      <c r="D1281" s="6">
        <v>16</v>
      </c>
      <c r="E1281" s="18">
        <v>0</v>
      </c>
      <c r="F1281" s="6" t="str">
        <f>IFERROR(VLOOKUP(VLOOKUP(A1281,'Sales Order'!A:B,2,FALSE),Customer!A:C,3,FALSE),"Not Specified")</f>
        <v>Higginbotham, Tom</v>
      </c>
      <c r="G1281" s="6" t="str">
        <f t="shared" si="38"/>
        <v>Higginbotham Tom</v>
      </c>
      <c r="H1281" s="22" t="str">
        <f>IFERROR(VLOOKUP(VLOOKUP(A1281,'Sales Order'!A:C,3,FALSE),Employee!A:E,5,FALSE)&amp;" "&amp;VLOOKUP(VLOOKUP(A1281,'Sales Order'!A:C,3,FALSE),Employee!A:C,3,FALSE)&amp;" "&amp;VLOOKUP(VLOOKUP(A1281,'Sales Order'!A:C,3,FALSE),Employee!A:B,2,FALSE),"Not Specified")</f>
        <v>Ms. Sara Davis</v>
      </c>
      <c r="I1281" t="str">
        <f>IFERROR(VLOOKUP(VLOOKUP(A1281,'Sales Order'!A:C,3,FALSE),Employee!A:J,10,FALSE),"Not Specified")</f>
        <v>WA</v>
      </c>
      <c r="J1281" t="str">
        <f>VLOOKUP(B1281,Product!A:B,2,FALSE)</f>
        <v>Product PWCJB</v>
      </c>
      <c r="K1281" t="str">
        <f>VLOOKUP(VLOOKUP(B1281,Product!A:D,4,FALSE),Category!A:B,2,FALSE)</f>
        <v>Produce</v>
      </c>
      <c r="L1281" s="24">
        <f>IFERROR(VLOOKUP(A1281,'Sales Order'!A:D,4,FALSE),"")</f>
        <v>39393</v>
      </c>
      <c r="M1281" s="24">
        <f>IFERROR(VLOOKUP(A1281,'Sales Order'!A:F,6,FALSE),"")</f>
        <v>39396</v>
      </c>
      <c r="N1281" t="str">
        <f>IFERROR(VLOOKUP(VLOOKUP(A1281,'Sales Order'!A:G,7,FALSE),Shipper!A:B,2,FALSE),"Not Specified")</f>
        <v>Shipper ZHISN</v>
      </c>
      <c r="O1281" t="str">
        <f>IFERROR(VLOOKUP(A1281,'Sales Order'!A:I,9,FALSE),"Not Specified")</f>
        <v>Ship to 5-A</v>
      </c>
      <c r="P1281" t="str">
        <f>IFERROR(VLOOKUP(A1281,'Sales Order'!A:N,14,FALSE),"Not Specified")</f>
        <v>Sweden</v>
      </c>
      <c r="Q1281" t="str">
        <f>VLOOKUP(VLOOKUP(B1281,Product!A:C,3,FALSE),Supplier!A:B,2,FALSE)</f>
        <v>Supplier QWUSF</v>
      </c>
      <c r="R1281" t="str">
        <f>VLOOKUP(VLOOKUP(B1281,Product!A:C,3,FALSE),Supplier!A:I,9,FALSE)</f>
        <v>Japan</v>
      </c>
      <c r="S1281" t="str">
        <f>IFERROR(IF(VLOOKUP(A1281,'Sales Order'!A:H,8,FALSE)&gt;100,"High Freight","Low Freight"),"Not Specified")</f>
        <v>High Freight</v>
      </c>
      <c r="T1281">
        <f t="shared" si="39"/>
        <v>372</v>
      </c>
    </row>
    <row r="1282" spans="1:20">
      <c r="A1282" s="9">
        <v>10733</v>
      </c>
      <c r="B1282" s="6">
        <v>28</v>
      </c>
      <c r="C1282" s="6">
        <v>45.6</v>
      </c>
      <c r="D1282" s="6">
        <v>20</v>
      </c>
      <c r="E1282" s="18">
        <v>0</v>
      </c>
      <c r="F1282" s="6" t="str">
        <f>IFERROR(VLOOKUP(VLOOKUP(A1282,'Sales Order'!A:B,2,FALSE),Customer!A:C,3,FALSE),"Not Specified")</f>
        <v>Higginbotham, Tom</v>
      </c>
      <c r="G1282" s="6" t="str">
        <f t="shared" si="38"/>
        <v>Higginbotham Tom</v>
      </c>
      <c r="H1282" s="22" t="str">
        <f>IFERROR(VLOOKUP(VLOOKUP(A1282,'Sales Order'!A:C,3,FALSE),Employee!A:E,5,FALSE)&amp;" "&amp;VLOOKUP(VLOOKUP(A1282,'Sales Order'!A:C,3,FALSE),Employee!A:C,3,FALSE)&amp;" "&amp;VLOOKUP(VLOOKUP(A1282,'Sales Order'!A:C,3,FALSE),Employee!A:B,2,FALSE),"Not Specified")</f>
        <v>Ms. Sara Davis</v>
      </c>
      <c r="I1282" t="str">
        <f>IFERROR(VLOOKUP(VLOOKUP(A1282,'Sales Order'!A:C,3,FALSE),Employee!A:J,10,FALSE),"Not Specified")</f>
        <v>WA</v>
      </c>
      <c r="J1282" t="str">
        <f>VLOOKUP(B1282,Product!A:B,2,FALSE)</f>
        <v>Product OFBNT</v>
      </c>
      <c r="K1282" t="str">
        <f>VLOOKUP(VLOOKUP(B1282,Product!A:D,4,FALSE),Category!A:B,2,FALSE)</f>
        <v>Produce</v>
      </c>
      <c r="L1282" s="24">
        <f>IFERROR(VLOOKUP(A1282,'Sales Order'!A:D,4,FALSE),"")</f>
        <v>39393</v>
      </c>
      <c r="M1282" s="24">
        <f>IFERROR(VLOOKUP(A1282,'Sales Order'!A:F,6,FALSE),"")</f>
        <v>39396</v>
      </c>
      <c r="N1282" t="str">
        <f>IFERROR(VLOOKUP(VLOOKUP(A1282,'Sales Order'!A:G,7,FALSE),Shipper!A:B,2,FALSE),"Not Specified")</f>
        <v>Shipper ZHISN</v>
      </c>
      <c r="O1282" t="str">
        <f>IFERROR(VLOOKUP(A1282,'Sales Order'!A:I,9,FALSE),"Not Specified")</f>
        <v>Ship to 5-A</v>
      </c>
      <c r="P1282" t="str">
        <f>IFERROR(VLOOKUP(A1282,'Sales Order'!A:N,14,FALSE),"Not Specified")</f>
        <v>Sweden</v>
      </c>
      <c r="Q1282" t="str">
        <f>VLOOKUP(VLOOKUP(B1282,Product!A:C,3,FALSE),Supplier!A:B,2,FALSE)</f>
        <v>Supplier SVIYA</v>
      </c>
      <c r="R1282" t="str">
        <f>VLOOKUP(VLOOKUP(B1282,Product!A:C,3,FALSE),Supplier!A:I,9,FALSE)</f>
        <v>Germany</v>
      </c>
      <c r="S1282" t="str">
        <f>IFERROR(IF(VLOOKUP(A1282,'Sales Order'!A:H,8,FALSE)&gt;100,"High Freight","Low Freight"),"Not Specified")</f>
        <v>High Freight</v>
      </c>
      <c r="T1282">
        <f t="shared" si="39"/>
        <v>912</v>
      </c>
    </row>
    <row r="1283" spans="1:20">
      <c r="A1283" s="9">
        <v>10733</v>
      </c>
      <c r="B1283" s="6">
        <v>52</v>
      </c>
      <c r="C1283" s="6">
        <v>7</v>
      </c>
      <c r="D1283" s="6">
        <v>25</v>
      </c>
      <c r="E1283" s="18">
        <v>0</v>
      </c>
      <c r="F1283" s="6" t="str">
        <f>IFERROR(VLOOKUP(VLOOKUP(A1283,'Sales Order'!A:B,2,FALSE),Customer!A:C,3,FALSE),"Not Specified")</f>
        <v>Higginbotham, Tom</v>
      </c>
      <c r="G1283" s="6" t="str">
        <f t="shared" ref="G1283:G1346" si="40">SUBSTITUTE(F1283,",","",1)</f>
        <v>Higginbotham Tom</v>
      </c>
      <c r="H1283" s="22" t="str">
        <f>IFERROR(VLOOKUP(VLOOKUP(A1283,'Sales Order'!A:C,3,FALSE),Employee!A:E,5,FALSE)&amp;" "&amp;VLOOKUP(VLOOKUP(A1283,'Sales Order'!A:C,3,FALSE),Employee!A:C,3,FALSE)&amp;" "&amp;VLOOKUP(VLOOKUP(A1283,'Sales Order'!A:C,3,FALSE),Employee!A:B,2,FALSE),"Not Specified")</f>
        <v>Ms. Sara Davis</v>
      </c>
      <c r="I1283" t="str">
        <f>IFERROR(VLOOKUP(VLOOKUP(A1283,'Sales Order'!A:C,3,FALSE),Employee!A:J,10,FALSE),"Not Specified")</f>
        <v>WA</v>
      </c>
      <c r="J1283" t="str">
        <f>VLOOKUP(B1283,Product!A:B,2,FALSE)</f>
        <v>Product QSRXF</v>
      </c>
      <c r="K1283" t="str">
        <f>VLOOKUP(VLOOKUP(B1283,Product!A:D,4,FALSE),Category!A:B,2,FALSE)</f>
        <v>Grains/Cereals</v>
      </c>
      <c r="L1283" s="24">
        <f>IFERROR(VLOOKUP(A1283,'Sales Order'!A:D,4,FALSE),"")</f>
        <v>39393</v>
      </c>
      <c r="M1283" s="24">
        <f>IFERROR(VLOOKUP(A1283,'Sales Order'!A:F,6,FALSE),"")</f>
        <v>39396</v>
      </c>
      <c r="N1283" t="str">
        <f>IFERROR(VLOOKUP(VLOOKUP(A1283,'Sales Order'!A:G,7,FALSE),Shipper!A:B,2,FALSE),"Not Specified")</f>
        <v>Shipper ZHISN</v>
      </c>
      <c r="O1283" t="str">
        <f>IFERROR(VLOOKUP(A1283,'Sales Order'!A:I,9,FALSE),"Not Specified")</f>
        <v>Ship to 5-A</v>
      </c>
      <c r="P1283" t="str">
        <f>IFERROR(VLOOKUP(A1283,'Sales Order'!A:N,14,FALSE),"Not Specified")</f>
        <v>Sweden</v>
      </c>
      <c r="Q1283" t="str">
        <f>VLOOKUP(VLOOKUP(B1283,Product!A:C,3,FALSE),Supplier!A:B,2,FALSE)</f>
        <v>Supplier JNNES</v>
      </c>
      <c r="R1283" t="str">
        <f>VLOOKUP(VLOOKUP(B1283,Product!A:C,3,FALSE),Supplier!A:I,9,FALSE)</f>
        <v>Australia</v>
      </c>
      <c r="S1283" t="str">
        <f>IFERROR(IF(VLOOKUP(A1283,'Sales Order'!A:H,8,FALSE)&gt;100,"High Freight","Low Freight"),"Not Specified")</f>
        <v>High Freight</v>
      </c>
      <c r="T1283">
        <f t="shared" ref="T1283:T1346" si="41">C1283*D1283*(1-E1283)</f>
        <v>175</v>
      </c>
    </row>
    <row r="1284" spans="1:20">
      <c r="A1284" s="9">
        <v>10734</v>
      </c>
      <c r="B1284" s="6">
        <v>6</v>
      </c>
      <c r="C1284" s="6">
        <v>25</v>
      </c>
      <c r="D1284" s="6">
        <v>30</v>
      </c>
      <c r="E1284" s="18">
        <v>0</v>
      </c>
      <c r="F1284" s="6" t="str">
        <f>IFERROR(VLOOKUP(VLOOKUP(A1284,'Sales Order'!A:B,2,FALSE),Customer!A:C,3,FALSE),"Not Specified")</f>
        <v>Cheng, Yao-Qiang</v>
      </c>
      <c r="G1284" s="6" t="str">
        <f t="shared" si="40"/>
        <v>Cheng Yao-Qiang</v>
      </c>
      <c r="H1284" s="22" t="str">
        <f>IFERROR(VLOOKUP(VLOOKUP(A1284,'Sales Order'!A:C,3,FALSE),Employee!A:E,5,FALSE)&amp;" "&amp;VLOOKUP(VLOOKUP(A1284,'Sales Order'!A:C,3,FALSE),Employee!A:C,3,FALSE)&amp;" "&amp;VLOOKUP(VLOOKUP(A1284,'Sales Order'!A:C,3,FALSE),Employee!A:B,2,FALSE),"Not Specified")</f>
        <v>Dr. Don Funk</v>
      </c>
      <c r="I1284" t="str">
        <f>IFERROR(VLOOKUP(VLOOKUP(A1284,'Sales Order'!A:C,3,FALSE),Employee!A:J,10,FALSE),"Not Specified")</f>
        <v>WA</v>
      </c>
      <c r="J1284" t="str">
        <f>VLOOKUP(B1284,Product!A:B,2,FALSE)</f>
        <v>Product VAIIV</v>
      </c>
      <c r="K1284" t="str">
        <f>VLOOKUP(VLOOKUP(B1284,Product!A:D,4,FALSE),Category!A:B,2,FALSE)</f>
        <v>Condiments</v>
      </c>
      <c r="L1284" s="24">
        <f>IFERROR(VLOOKUP(A1284,'Sales Order'!A:D,4,FALSE),"")</f>
        <v>39393</v>
      </c>
      <c r="M1284" s="24">
        <f>IFERROR(VLOOKUP(A1284,'Sales Order'!A:F,6,FALSE),"")</f>
        <v>39398</v>
      </c>
      <c r="N1284" t="str">
        <f>IFERROR(VLOOKUP(VLOOKUP(A1284,'Sales Order'!A:G,7,FALSE),Shipper!A:B,2,FALSE),"Not Specified")</f>
        <v>Shipper ZHISN</v>
      </c>
      <c r="O1284" t="str">
        <f>IFERROR(VLOOKUP(A1284,'Sales Order'!A:I,9,FALSE),"Not Specified")</f>
        <v>Destination VNIAG</v>
      </c>
      <c r="P1284" t="str">
        <f>IFERROR(VLOOKUP(A1284,'Sales Order'!A:N,14,FALSE),"Not Specified")</f>
        <v>Brazil</v>
      </c>
      <c r="Q1284" t="str">
        <f>VLOOKUP(VLOOKUP(B1284,Product!A:C,3,FALSE),Supplier!A:B,2,FALSE)</f>
        <v>Supplier STUAZ</v>
      </c>
      <c r="R1284" t="str">
        <f>VLOOKUP(VLOOKUP(B1284,Product!A:C,3,FALSE),Supplier!A:I,9,FALSE)</f>
        <v>USA</v>
      </c>
      <c r="S1284" t="str">
        <f>IFERROR(IF(VLOOKUP(A1284,'Sales Order'!A:H,8,FALSE)&gt;100,"High Freight","Low Freight"),"Not Specified")</f>
        <v>Low Freight</v>
      </c>
      <c r="T1284">
        <f t="shared" si="41"/>
        <v>750</v>
      </c>
    </row>
    <row r="1285" spans="1:20">
      <c r="A1285" s="9">
        <v>10734</v>
      </c>
      <c r="B1285" s="6">
        <v>30</v>
      </c>
      <c r="C1285" s="6">
        <v>25.89</v>
      </c>
      <c r="D1285" s="6">
        <v>15</v>
      </c>
      <c r="E1285" s="18">
        <v>0</v>
      </c>
      <c r="F1285" s="6" t="str">
        <f>IFERROR(VLOOKUP(VLOOKUP(A1285,'Sales Order'!A:B,2,FALSE),Customer!A:C,3,FALSE),"Not Specified")</f>
        <v>Cheng, Yao-Qiang</v>
      </c>
      <c r="G1285" s="6" t="str">
        <f t="shared" si="40"/>
        <v>Cheng Yao-Qiang</v>
      </c>
      <c r="H1285" s="22" t="str">
        <f>IFERROR(VLOOKUP(VLOOKUP(A1285,'Sales Order'!A:C,3,FALSE),Employee!A:E,5,FALSE)&amp;" "&amp;VLOOKUP(VLOOKUP(A1285,'Sales Order'!A:C,3,FALSE),Employee!A:C,3,FALSE)&amp;" "&amp;VLOOKUP(VLOOKUP(A1285,'Sales Order'!A:C,3,FALSE),Employee!A:B,2,FALSE),"Not Specified")</f>
        <v>Dr. Don Funk</v>
      </c>
      <c r="I1285" t="str">
        <f>IFERROR(VLOOKUP(VLOOKUP(A1285,'Sales Order'!A:C,3,FALSE),Employee!A:J,10,FALSE),"Not Specified")</f>
        <v>WA</v>
      </c>
      <c r="J1285" t="str">
        <f>VLOOKUP(B1285,Product!A:B,2,FALSE)</f>
        <v>Product LYERX</v>
      </c>
      <c r="K1285" t="str">
        <f>VLOOKUP(VLOOKUP(B1285,Product!A:D,4,FALSE),Category!A:B,2,FALSE)</f>
        <v>Seafood</v>
      </c>
      <c r="L1285" s="24">
        <f>IFERROR(VLOOKUP(A1285,'Sales Order'!A:D,4,FALSE),"")</f>
        <v>39393</v>
      </c>
      <c r="M1285" s="24">
        <f>IFERROR(VLOOKUP(A1285,'Sales Order'!A:F,6,FALSE),"")</f>
        <v>39398</v>
      </c>
      <c r="N1285" t="str">
        <f>IFERROR(VLOOKUP(VLOOKUP(A1285,'Sales Order'!A:G,7,FALSE),Shipper!A:B,2,FALSE),"Not Specified")</f>
        <v>Shipper ZHISN</v>
      </c>
      <c r="O1285" t="str">
        <f>IFERROR(VLOOKUP(A1285,'Sales Order'!A:I,9,FALSE),"Not Specified")</f>
        <v>Destination VNIAG</v>
      </c>
      <c r="P1285" t="str">
        <f>IFERROR(VLOOKUP(A1285,'Sales Order'!A:N,14,FALSE),"Not Specified")</f>
        <v>Brazil</v>
      </c>
      <c r="Q1285" t="str">
        <f>VLOOKUP(VLOOKUP(B1285,Product!A:C,3,FALSE),Supplier!A:B,2,FALSE)</f>
        <v>Supplier TEGSC</v>
      </c>
      <c r="R1285" t="str">
        <f>VLOOKUP(VLOOKUP(B1285,Product!A:C,3,FALSE),Supplier!A:I,9,FALSE)</f>
        <v>Germany</v>
      </c>
      <c r="S1285" t="str">
        <f>IFERROR(IF(VLOOKUP(A1285,'Sales Order'!A:H,8,FALSE)&gt;100,"High Freight","Low Freight"),"Not Specified")</f>
        <v>Low Freight</v>
      </c>
      <c r="T1285">
        <f t="shared" si="41"/>
        <v>388.35</v>
      </c>
    </row>
    <row r="1286" spans="1:20">
      <c r="A1286" s="9">
        <v>10734</v>
      </c>
      <c r="B1286" s="6">
        <v>76</v>
      </c>
      <c r="C1286" s="6">
        <v>18</v>
      </c>
      <c r="D1286" s="6">
        <v>20</v>
      </c>
      <c r="E1286" s="18">
        <v>0</v>
      </c>
      <c r="F1286" s="6" t="str">
        <f>IFERROR(VLOOKUP(VLOOKUP(A1286,'Sales Order'!A:B,2,FALSE),Customer!A:C,3,FALSE),"Not Specified")</f>
        <v>Cheng, Yao-Qiang</v>
      </c>
      <c r="G1286" s="6" t="str">
        <f t="shared" si="40"/>
        <v>Cheng Yao-Qiang</v>
      </c>
      <c r="H1286" s="22" t="str">
        <f>IFERROR(VLOOKUP(VLOOKUP(A1286,'Sales Order'!A:C,3,FALSE),Employee!A:E,5,FALSE)&amp;" "&amp;VLOOKUP(VLOOKUP(A1286,'Sales Order'!A:C,3,FALSE),Employee!A:C,3,FALSE)&amp;" "&amp;VLOOKUP(VLOOKUP(A1286,'Sales Order'!A:C,3,FALSE),Employee!A:B,2,FALSE),"Not Specified")</f>
        <v>Dr. Don Funk</v>
      </c>
      <c r="I1286" t="str">
        <f>IFERROR(VLOOKUP(VLOOKUP(A1286,'Sales Order'!A:C,3,FALSE),Employee!A:J,10,FALSE),"Not Specified")</f>
        <v>WA</v>
      </c>
      <c r="J1286" t="str">
        <f>VLOOKUP(B1286,Product!A:B,2,FALSE)</f>
        <v>Product JYGFE</v>
      </c>
      <c r="K1286" t="str">
        <f>VLOOKUP(VLOOKUP(B1286,Product!A:D,4,FALSE),Category!A:B,2,FALSE)</f>
        <v>Beverages</v>
      </c>
      <c r="L1286" s="24">
        <f>IFERROR(VLOOKUP(A1286,'Sales Order'!A:D,4,FALSE),"")</f>
        <v>39393</v>
      </c>
      <c r="M1286" s="24">
        <f>IFERROR(VLOOKUP(A1286,'Sales Order'!A:F,6,FALSE),"")</f>
        <v>39398</v>
      </c>
      <c r="N1286" t="str">
        <f>IFERROR(VLOOKUP(VLOOKUP(A1286,'Sales Order'!A:G,7,FALSE),Shipper!A:B,2,FALSE),"Not Specified")</f>
        <v>Shipper ZHISN</v>
      </c>
      <c r="O1286" t="str">
        <f>IFERROR(VLOOKUP(A1286,'Sales Order'!A:I,9,FALSE),"Not Specified")</f>
        <v>Destination VNIAG</v>
      </c>
      <c r="P1286" t="str">
        <f>IFERROR(VLOOKUP(A1286,'Sales Order'!A:N,14,FALSE),"Not Specified")</f>
        <v>Brazil</v>
      </c>
      <c r="Q1286" t="str">
        <f>VLOOKUP(VLOOKUP(B1286,Product!A:C,3,FALSE),Supplier!A:B,2,FALSE)</f>
        <v>Supplier ELCRN</v>
      </c>
      <c r="R1286" t="str">
        <f>VLOOKUP(VLOOKUP(B1286,Product!A:C,3,FALSE),Supplier!A:I,9,FALSE)</f>
        <v>Finland</v>
      </c>
      <c r="S1286" t="str">
        <f>IFERROR(IF(VLOOKUP(A1286,'Sales Order'!A:H,8,FALSE)&gt;100,"High Freight","Low Freight"),"Not Specified")</f>
        <v>Low Freight</v>
      </c>
      <c r="T1286">
        <f t="shared" si="41"/>
        <v>360</v>
      </c>
    </row>
    <row r="1287" spans="1:20">
      <c r="A1287" s="9">
        <v>10735</v>
      </c>
      <c r="B1287" s="6">
        <v>61</v>
      </c>
      <c r="C1287" s="6">
        <v>28.5</v>
      </c>
      <c r="D1287" s="6">
        <v>20</v>
      </c>
      <c r="E1287" s="18">
        <v>0.1</v>
      </c>
      <c r="F1287" s="6" t="str">
        <f>IFERROR(VLOOKUP(VLOOKUP(A1287,'Sales Order'!A:B,2,FALSE),Customer!A:C,3,FALSE),"Not Specified")</f>
        <v>Sunkammurali, Krishna</v>
      </c>
      <c r="G1287" s="6" t="str">
        <f t="shared" si="40"/>
        <v>Sunkammurali Krishna</v>
      </c>
      <c r="H1287" s="22" t="str">
        <f>IFERROR(VLOOKUP(VLOOKUP(A1287,'Sales Order'!A:C,3,FALSE),Employee!A:E,5,FALSE)&amp;" "&amp;VLOOKUP(VLOOKUP(A1287,'Sales Order'!A:C,3,FALSE),Employee!A:C,3,FALSE)&amp;" "&amp;VLOOKUP(VLOOKUP(A1287,'Sales Order'!A:C,3,FALSE),Employee!A:B,2,FALSE),"Not Specified")</f>
        <v>Mr. Paul Suurs</v>
      </c>
      <c r="I1287">
        <f>IFERROR(VLOOKUP(VLOOKUP(A1287,'Sales Order'!A:C,3,FALSE),Employee!A:J,10,FALSE),"Not Specified")</f>
        <v>0</v>
      </c>
      <c r="J1287" t="str">
        <f>VLOOKUP(B1287,Product!A:B,2,FALSE)</f>
        <v>Product XYZPE</v>
      </c>
      <c r="K1287" t="str">
        <f>VLOOKUP(VLOOKUP(B1287,Product!A:D,4,FALSE),Category!A:B,2,FALSE)</f>
        <v>Condiments</v>
      </c>
      <c r="L1287" s="24">
        <f>IFERROR(VLOOKUP(A1287,'Sales Order'!A:D,4,FALSE),"")</f>
        <v>39396</v>
      </c>
      <c r="M1287" s="24">
        <f>IFERROR(VLOOKUP(A1287,'Sales Order'!A:F,6,FALSE),"")</f>
        <v>39407</v>
      </c>
      <c r="N1287" t="str">
        <f>IFERROR(VLOOKUP(VLOOKUP(A1287,'Sales Order'!A:G,7,FALSE),Shipper!A:B,2,FALSE),"Not Specified")</f>
        <v>Shipper ETYNR</v>
      </c>
      <c r="O1287" t="str">
        <f>IFERROR(VLOOKUP(A1287,'Sales Order'!A:I,9,FALSE),"Not Specified")</f>
        <v>Ship to 45-A</v>
      </c>
      <c r="P1287" t="str">
        <f>IFERROR(VLOOKUP(A1287,'Sales Order'!A:N,14,FALSE),"Not Specified")</f>
        <v>USA</v>
      </c>
      <c r="Q1287" t="str">
        <f>VLOOKUP(VLOOKUP(B1287,Product!A:C,3,FALSE),Supplier!A:B,2,FALSE)</f>
        <v>Supplier OGLRK</v>
      </c>
      <c r="R1287" t="str">
        <f>VLOOKUP(VLOOKUP(B1287,Product!A:C,3,FALSE),Supplier!A:I,9,FALSE)</f>
        <v>Canada</v>
      </c>
      <c r="S1287" t="str">
        <f>IFERROR(IF(VLOOKUP(A1287,'Sales Order'!A:H,8,FALSE)&gt;100,"High Freight","Low Freight"),"Not Specified")</f>
        <v>Low Freight</v>
      </c>
      <c r="T1287">
        <f t="shared" si="41"/>
        <v>513</v>
      </c>
    </row>
    <row r="1288" spans="1:20">
      <c r="A1288" s="9">
        <v>10735</v>
      </c>
      <c r="B1288" s="6">
        <v>77</v>
      </c>
      <c r="C1288" s="6">
        <v>13</v>
      </c>
      <c r="D1288" s="6">
        <v>2</v>
      </c>
      <c r="E1288" s="18">
        <v>0.1</v>
      </c>
      <c r="F1288" s="6" t="str">
        <f>IFERROR(VLOOKUP(VLOOKUP(A1288,'Sales Order'!A:B,2,FALSE),Customer!A:C,3,FALSE),"Not Specified")</f>
        <v>Sunkammurali, Krishna</v>
      </c>
      <c r="G1288" s="6" t="str">
        <f t="shared" si="40"/>
        <v>Sunkammurali Krishna</v>
      </c>
      <c r="H1288" s="22" t="str">
        <f>IFERROR(VLOOKUP(VLOOKUP(A1288,'Sales Order'!A:C,3,FALSE),Employee!A:E,5,FALSE)&amp;" "&amp;VLOOKUP(VLOOKUP(A1288,'Sales Order'!A:C,3,FALSE),Employee!A:C,3,FALSE)&amp;" "&amp;VLOOKUP(VLOOKUP(A1288,'Sales Order'!A:C,3,FALSE),Employee!A:B,2,FALSE),"Not Specified")</f>
        <v>Mr. Paul Suurs</v>
      </c>
      <c r="I1288">
        <f>IFERROR(VLOOKUP(VLOOKUP(A1288,'Sales Order'!A:C,3,FALSE),Employee!A:J,10,FALSE),"Not Specified")</f>
        <v>0</v>
      </c>
      <c r="J1288" t="str">
        <f>VLOOKUP(B1288,Product!A:B,2,FALSE)</f>
        <v>Product LUNZZ</v>
      </c>
      <c r="K1288" t="str">
        <f>VLOOKUP(VLOOKUP(B1288,Product!A:D,4,FALSE),Category!A:B,2,FALSE)</f>
        <v>Condiments</v>
      </c>
      <c r="L1288" s="24">
        <f>IFERROR(VLOOKUP(A1288,'Sales Order'!A:D,4,FALSE),"")</f>
        <v>39396</v>
      </c>
      <c r="M1288" s="24">
        <f>IFERROR(VLOOKUP(A1288,'Sales Order'!A:F,6,FALSE),"")</f>
        <v>39407</v>
      </c>
      <c r="N1288" t="str">
        <f>IFERROR(VLOOKUP(VLOOKUP(A1288,'Sales Order'!A:G,7,FALSE),Shipper!A:B,2,FALSE),"Not Specified")</f>
        <v>Shipper ETYNR</v>
      </c>
      <c r="O1288" t="str">
        <f>IFERROR(VLOOKUP(A1288,'Sales Order'!A:I,9,FALSE),"Not Specified")</f>
        <v>Ship to 45-A</v>
      </c>
      <c r="P1288" t="str">
        <f>IFERROR(VLOOKUP(A1288,'Sales Order'!A:N,14,FALSE),"Not Specified")</f>
        <v>USA</v>
      </c>
      <c r="Q1288" t="str">
        <f>VLOOKUP(VLOOKUP(B1288,Product!A:C,3,FALSE),Supplier!A:B,2,FALSE)</f>
        <v>Supplier SVIYA</v>
      </c>
      <c r="R1288" t="str">
        <f>VLOOKUP(VLOOKUP(B1288,Product!A:C,3,FALSE),Supplier!A:I,9,FALSE)</f>
        <v>Germany</v>
      </c>
      <c r="S1288" t="str">
        <f>IFERROR(IF(VLOOKUP(A1288,'Sales Order'!A:H,8,FALSE)&gt;100,"High Freight","Low Freight"),"Not Specified")</f>
        <v>Low Freight</v>
      </c>
      <c r="T1288">
        <f t="shared" si="41"/>
        <v>23.400000000000002</v>
      </c>
    </row>
    <row r="1289" spans="1:20">
      <c r="A1289" s="9">
        <v>10736</v>
      </c>
      <c r="B1289" s="6">
        <v>65</v>
      </c>
      <c r="C1289" s="6">
        <v>21.05</v>
      </c>
      <c r="D1289" s="6">
        <v>40</v>
      </c>
      <c r="E1289" s="18">
        <v>0</v>
      </c>
      <c r="F1289" s="6" t="str">
        <f>IFERROR(VLOOKUP(VLOOKUP(A1289,'Sales Order'!A:B,2,FALSE),Customer!A:C,3,FALSE),"Not Specified")</f>
        <v>Crăciun, Ovidiu V.</v>
      </c>
      <c r="G1289" s="6" t="str">
        <f t="shared" si="40"/>
        <v>Crăciun Ovidiu V.</v>
      </c>
      <c r="H1289" s="22" t="str">
        <f>IFERROR(VLOOKUP(VLOOKUP(A1289,'Sales Order'!A:C,3,FALSE),Employee!A:E,5,FALSE)&amp;" "&amp;VLOOKUP(VLOOKUP(A1289,'Sales Order'!A:C,3,FALSE),Employee!A:C,3,FALSE)&amp;" "&amp;VLOOKUP(VLOOKUP(A1289,'Sales Order'!A:C,3,FALSE),Employee!A:B,2,FALSE),"Not Specified")</f>
        <v>Ms. Zoya Dolgopyatova</v>
      </c>
      <c r="I1289">
        <f>IFERROR(VLOOKUP(VLOOKUP(A1289,'Sales Order'!A:C,3,FALSE),Employee!A:J,10,FALSE),"Not Specified")</f>
        <v>0</v>
      </c>
      <c r="J1289" t="str">
        <f>VLOOKUP(B1289,Product!A:B,2,FALSE)</f>
        <v>Product XYWBZ</v>
      </c>
      <c r="K1289" t="str">
        <f>VLOOKUP(VLOOKUP(B1289,Product!A:D,4,FALSE),Category!A:B,2,FALSE)</f>
        <v>Condiments</v>
      </c>
      <c r="L1289" s="24">
        <f>IFERROR(VLOOKUP(A1289,'Sales Order'!A:D,4,FALSE),"")</f>
        <v>39397</v>
      </c>
      <c r="M1289" s="24">
        <f>IFERROR(VLOOKUP(A1289,'Sales Order'!A:F,6,FALSE),"")</f>
        <v>39407</v>
      </c>
      <c r="N1289" t="str">
        <f>IFERROR(VLOOKUP(VLOOKUP(A1289,'Sales Order'!A:G,7,FALSE),Shipper!A:B,2,FALSE),"Not Specified")</f>
        <v>Shipper ETYNR</v>
      </c>
      <c r="O1289" t="str">
        <f>IFERROR(VLOOKUP(A1289,'Sales Order'!A:I,9,FALSE),"Not Specified")</f>
        <v>Destination DGKOU</v>
      </c>
      <c r="P1289" t="str">
        <f>IFERROR(VLOOKUP(A1289,'Sales Order'!A:N,14,FALSE),"Not Specified")</f>
        <v>Ireland</v>
      </c>
      <c r="Q1289" t="str">
        <f>VLOOKUP(VLOOKUP(B1289,Product!A:C,3,FALSE),Supplier!A:B,2,FALSE)</f>
        <v>Supplier VHQZD</v>
      </c>
      <c r="R1289" t="str">
        <f>VLOOKUP(VLOOKUP(B1289,Product!A:C,3,FALSE),Supplier!A:I,9,FALSE)</f>
        <v>USA</v>
      </c>
      <c r="S1289" t="str">
        <f>IFERROR(IF(VLOOKUP(A1289,'Sales Order'!A:H,8,FALSE)&gt;100,"High Freight","Low Freight"),"Not Specified")</f>
        <v>Low Freight</v>
      </c>
      <c r="T1289">
        <f t="shared" si="41"/>
        <v>842</v>
      </c>
    </row>
    <row r="1290" spans="1:20">
      <c r="A1290" s="9">
        <v>10736</v>
      </c>
      <c r="B1290" s="6">
        <v>75</v>
      </c>
      <c r="C1290" s="6">
        <v>7.75</v>
      </c>
      <c r="D1290" s="6">
        <v>20</v>
      </c>
      <c r="E1290" s="18">
        <v>0</v>
      </c>
      <c r="F1290" s="6" t="str">
        <f>IFERROR(VLOOKUP(VLOOKUP(A1290,'Sales Order'!A:B,2,FALSE),Customer!A:C,3,FALSE),"Not Specified")</f>
        <v>Crăciun, Ovidiu V.</v>
      </c>
      <c r="G1290" s="6" t="str">
        <f t="shared" si="40"/>
        <v>Crăciun Ovidiu V.</v>
      </c>
      <c r="H1290" s="22" t="str">
        <f>IFERROR(VLOOKUP(VLOOKUP(A1290,'Sales Order'!A:C,3,FALSE),Employee!A:E,5,FALSE)&amp;" "&amp;VLOOKUP(VLOOKUP(A1290,'Sales Order'!A:C,3,FALSE),Employee!A:C,3,FALSE)&amp;" "&amp;VLOOKUP(VLOOKUP(A1290,'Sales Order'!A:C,3,FALSE),Employee!A:B,2,FALSE),"Not Specified")</f>
        <v>Ms. Zoya Dolgopyatova</v>
      </c>
      <c r="I1290">
        <f>IFERROR(VLOOKUP(VLOOKUP(A1290,'Sales Order'!A:C,3,FALSE),Employee!A:J,10,FALSE),"Not Specified")</f>
        <v>0</v>
      </c>
      <c r="J1290" t="str">
        <f>VLOOKUP(B1290,Product!A:B,2,FALSE)</f>
        <v>Product BWRLG</v>
      </c>
      <c r="K1290" t="str">
        <f>VLOOKUP(VLOOKUP(B1290,Product!A:D,4,FALSE),Category!A:B,2,FALSE)</f>
        <v>Beverages</v>
      </c>
      <c r="L1290" s="24">
        <f>IFERROR(VLOOKUP(A1290,'Sales Order'!A:D,4,FALSE),"")</f>
        <v>39397</v>
      </c>
      <c r="M1290" s="24">
        <f>IFERROR(VLOOKUP(A1290,'Sales Order'!A:F,6,FALSE),"")</f>
        <v>39407</v>
      </c>
      <c r="N1290" t="str">
        <f>IFERROR(VLOOKUP(VLOOKUP(A1290,'Sales Order'!A:G,7,FALSE),Shipper!A:B,2,FALSE),"Not Specified")</f>
        <v>Shipper ETYNR</v>
      </c>
      <c r="O1290" t="str">
        <f>IFERROR(VLOOKUP(A1290,'Sales Order'!A:I,9,FALSE),"Not Specified")</f>
        <v>Destination DGKOU</v>
      </c>
      <c r="P1290" t="str">
        <f>IFERROR(VLOOKUP(A1290,'Sales Order'!A:N,14,FALSE),"Not Specified")</f>
        <v>Ireland</v>
      </c>
      <c r="Q1290" t="str">
        <f>VLOOKUP(VLOOKUP(B1290,Product!A:C,3,FALSE),Supplier!A:B,2,FALSE)</f>
        <v>Supplier SVIYA</v>
      </c>
      <c r="R1290" t="str">
        <f>VLOOKUP(VLOOKUP(B1290,Product!A:C,3,FALSE),Supplier!A:I,9,FALSE)</f>
        <v>Germany</v>
      </c>
      <c r="S1290" t="str">
        <f>IFERROR(IF(VLOOKUP(A1290,'Sales Order'!A:H,8,FALSE)&gt;100,"High Freight","Low Freight"),"Not Specified")</f>
        <v>Low Freight</v>
      </c>
      <c r="T1290">
        <f t="shared" si="41"/>
        <v>155</v>
      </c>
    </row>
    <row r="1291" spans="1:20">
      <c r="A1291" s="9">
        <v>10737</v>
      </c>
      <c r="B1291" s="6">
        <v>13</v>
      </c>
      <c r="C1291" s="6">
        <v>6</v>
      </c>
      <c r="D1291" s="6">
        <v>4</v>
      </c>
      <c r="E1291" s="18">
        <v>0</v>
      </c>
      <c r="F1291" s="6" t="str">
        <f>IFERROR(VLOOKUP(VLOOKUP(A1291,'Sales Order'!A:B,2,FALSE),Customer!A:C,3,FALSE),"Not Specified")</f>
        <v>McLin, Nkenge</v>
      </c>
      <c r="G1291" s="6" t="str">
        <f t="shared" si="40"/>
        <v>McLin Nkenge</v>
      </c>
      <c r="H1291" s="22" t="str">
        <f>IFERROR(VLOOKUP(VLOOKUP(A1291,'Sales Order'!A:C,3,FALSE),Employee!A:E,5,FALSE)&amp;" "&amp;VLOOKUP(VLOOKUP(A1291,'Sales Order'!A:C,3,FALSE),Employee!A:C,3,FALSE)&amp;" "&amp;VLOOKUP(VLOOKUP(A1291,'Sales Order'!A:C,3,FALSE),Employee!A:B,2,FALSE),"Not Specified")</f>
        <v>Dr. Don Funk</v>
      </c>
      <c r="I1291" t="str">
        <f>IFERROR(VLOOKUP(VLOOKUP(A1291,'Sales Order'!A:C,3,FALSE),Employee!A:J,10,FALSE),"Not Specified")</f>
        <v>WA</v>
      </c>
      <c r="J1291" t="str">
        <f>VLOOKUP(B1291,Product!A:B,2,FALSE)</f>
        <v>Product POXFU</v>
      </c>
      <c r="K1291" t="str">
        <f>VLOOKUP(VLOOKUP(B1291,Product!A:D,4,FALSE),Category!A:B,2,FALSE)</f>
        <v>Seafood</v>
      </c>
      <c r="L1291" s="24">
        <f>IFERROR(VLOOKUP(A1291,'Sales Order'!A:D,4,FALSE),"")</f>
        <v>39397</v>
      </c>
      <c r="M1291" s="24">
        <f>IFERROR(VLOOKUP(A1291,'Sales Order'!A:F,6,FALSE),"")</f>
        <v>39404</v>
      </c>
      <c r="N1291" t="str">
        <f>IFERROR(VLOOKUP(VLOOKUP(A1291,'Sales Order'!A:G,7,FALSE),Shipper!A:B,2,FALSE),"Not Specified")</f>
        <v>Shipper ETYNR</v>
      </c>
      <c r="O1291" t="str">
        <f>IFERROR(VLOOKUP(A1291,'Sales Order'!A:I,9,FALSE),"Not Specified")</f>
        <v>Ship to 85-C</v>
      </c>
      <c r="P1291" t="str">
        <f>IFERROR(VLOOKUP(A1291,'Sales Order'!A:N,14,FALSE),"Not Specified")</f>
        <v>France</v>
      </c>
      <c r="Q1291" t="str">
        <f>VLOOKUP(VLOOKUP(B1291,Product!A:C,3,FALSE),Supplier!A:B,2,FALSE)</f>
        <v>Supplier QWUSF</v>
      </c>
      <c r="R1291" t="str">
        <f>VLOOKUP(VLOOKUP(B1291,Product!A:C,3,FALSE),Supplier!A:I,9,FALSE)</f>
        <v>Japan</v>
      </c>
      <c r="S1291" t="str">
        <f>IFERROR(IF(VLOOKUP(A1291,'Sales Order'!A:H,8,FALSE)&gt;100,"High Freight","Low Freight"),"Not Specified")</f>
        <v>Low Freight</v>
      </c>
      <c r="T1291">
        <f t="shared" si="41"/>
        <v>24</v>
      </c>
    </row>
    <row r="1292" spans="1:20">
      <c r="A1292" s="9">
        <v>10737</v>
      </c>
      <c r="B1292" s="6">
        <v>41</v>
      </c>
      <c r="C1292" s="6">
        <v>9.65</v>
      </c>
      <c r="D1292" s="6">
        <v>12</v>
      </c>
      <c r="E1292" s="18">
        <v>0</v>
      </c>
      <c r="F1292" s="6" t="str">
        <f>IFERROR(VLOOKUP(VLOOKUP(A1292,'Sales Order'!A:B,2,FALSE),Customer!A:C,3,FALSE),"Not Specified")</f>
        <v>McLin, Nkenge</v>
      </c>
      <c r="G1292" s="6" t="str">
        <f t="shared" si="40"/>
        <v>McLin Nkenge</v>
      </c>
      <c r="H1292" s="22" t="str">
        <f>IFERROR(VLOOKUP(VLOOKUP(A1292,'Sales Order'!A:C,3,FALSE),Employee!A:E,5,FALSE)&amp;" "&amp;VLOOKUP(VLOOKUP(A1292,'Sales Order'!A:C,3,FALSE),Employee!A:C,3,FALSE)&amp;" "&amp;VLOOKUP(VLOOKUP(A1292,'Sales Order'!A:C,3,FALSE),Employee!A:B,2,FALSE),"Not Specified")</f>
        <v>Dr. Don Funk</v>
      </c>
      <c r="I1292" t="str">
        <f>IFERROR(VLOOKUP(VLOOKUP(A1292,'Sales Order'!A:C,3,FALSE),Employee!A:J,10,FALSE),"Not Specified")</f>
        <v>WA</v>
      </c>
      <c r="J1292" t="str">
        <f>VLOOKUP(B1292,Product!A:B,2,FALSE)</f>
        <v>Product TTEEX</v>
      </c>
      <c r="K1292" t="str">
        <f>VLOOKUP(VLOOKUP(B1292,Product!A:D,4,FALSE),Category!A:B,2,FALSE)</f>
        <v>Seafood</v>
      </c>
      <c r="L1292" s="24">
        <f>IFERROR(VLOOKUP(A1292,'Sales Order'!A:D,4,FALSE),"")</f>
        <v>39397</v>
      </c>
      <c r="M1292" s="24">
        <f>IFERROR(VLOOKUP(A1292,'Sales Order'!A:F,6,FALSE),"")</f>
        <v>39404</v>
      </c>
      <c r="N1292" t="str">
        <f>IFERROR(VLOOKUP(VLOOKUP(A1292,'Sales Order'!A:G,7,FALSE),Shipper!A:B,2,FALSE),"Not Specified")</f>
        <v>Shipper ETYNR</v>
      </c>
      <c r="O1292" t="str">
        <f>IFERROR(VLOOKUP(A1292,'Sales Order'!A:I,9,FALSE),"Not Specified")</f>
        <v>Ship to 85-C</v>
      </c>
      <c r="P1292" t="str">
        <f>IFERROR(VLOOKUP(A1292,'Sales Order'!A:N,14,FALSE),"Not Specified")</f>
        <v>France</v>
      </c>
      <c r="Q1292" t="str">
        <f>VLOOKUP(VLOOKUP(B1292,Product!A:C,3,FALSE),Supplier!A:B,2,FALSE)</f>
        <v>Supplier JDNUG</v>
      </c>
      <c r="R1292" t="str">
        <f>VLOOKUP(VLOOKUP(B1292,Product!A:C,3,FALSE),Supplier!A:I,9,FALSE)</f>
        <v>USA</v>
      </c>
      <c r="S1292" t="str">
        <f>IFERROR(IF(VLOOKUP(A1292,'Sales Order'!A:H,8,FALSE)&gt;100,"High Freight","Low Freight"),"Not Specified")</f>
        <v>Low Freight</v>
      </c>
      <c r="T1292">
        <f t="shared" si="41"/>
        <v>115.80000000000001</v>
      </c>
    </row>
    <row r="1293" spans="1:20">
      <c r="A1293" s="9">
        <v>10738</v>
      </c>
      <c r="B1293" s="6">
        <v>16</v>
      </c>
      <c r="C1293" s="6">
        <v>17.45</v>
      </c>
      <c r="D1293" s="6">
        <v>3</v>
      </c>
      <c r="E1293" s="18">
        <v>0</v>
      </c>
      <c r="F1293" s="6" t="str">
        <f>IFERROR(VLOOKUP(VLOOKUP(A1293,'Sales Order'!A:B,2,FALSE),Customer!A:C,3,FALSE),"Not Specified")</f>
        <v>O’Brien, Dave</v>
      </c>
      <c r="G1293" s="6" t="str">
        <f t="shared" si="40"/>
        <v>O’Brien Dave</v>
      </c>
      <c r="H1293" s="22" t="str">
        <f>IFERROR(VLOOKUP(VLOOKUP(A1293,'Sales Order'!A:C,3,FALSE),Employee!A:E,5,FALSE)&amp;" "&amp;VLOOKUP(VLOOKUP(A1293,'Sales Order'!A:C,3,FALSE),Employee!A:C,3,FALSE)&amp;" "&amp;VLOOKUP(VLOOKUP(A1293,'Sales Order'!A:C,3,FALSE),Employee!A:B,2,FALSE),"Not Specified")</f>
        <v>Dr. Don Funk</v>
      </c>
      <c r="I1293" t="str">
        <f>IFERROR(VLOOKUP(VLOOKUP(A1293,'Sales Order'!A:C,3,FALSE),Employee!A:J,10,FALSE),"Not Specified")</f>
        <v>WA</v>
      </c>
      <c r="J1293" t="str">
        <f>VLOOKUP(B1293,Product!A:B,2,FALSE)</f>
        <v>Product PAFRH</v>
      </c>
      <c r="K1293" t="str">
        <f>VLOOKUP(VLOOKUP(B1293,Product!A:D,4,FALSE),Category!A:B,2,FALSE)</f>
        <v>Confections</v>
      </c>
      <c r="L1293" s="24">
        <f>IFERROR(VLOOKUP(A1293,'Sales Order'!A:D,4,FALSE),"")</f>
        <v>39398</v>
      </c>
      <c r="M1293" s="24">
        <f>IFERROR(VLOOKUP(A1293,'Sales Order'!A:F,6,FALSE),"")</f>
        <v>39404</v>
      </c>
      <c r="N1293" t="str">
        <f>IFERROR(VLOOKUP(VLOOKUP(A1293,'Sales Order'!A:G,7,FALSE),Shipper!A:B,2,FALSE),"Not Specified")</f>
        <v>Shipper GVSUA</v>
      </c>
      <c r="O1293" t="str">
        <f>IFERROR(VLOOKUP(A1293,'Sales Order'!A:I,9,FALSE),"Not Specified")</f>
        <v>Ship to 74-A</v>
      </c>
      <c r="P1293" t="str">
        <f>IFERROR(VLOOKUP(A1293,'Sales Order'!A:N,14,FALSE),"Not Specified")</f>
        <v>France</v>
      </c>
      <c r="Q1293" t="str">
        <f>VLOOKUP(VLOOKUP(B1293,Product!A:C,3,FALSE),Supplier!A:B,2,FALSE)</f>
        <v>Supplier GQRCV</v>
      </c>
      <c r="R1293" t="str">
        <f>VLOOKUP(VLOOKUP(B1293,Product!A:C,3,FALSE),Supplier!A:I,9,FALSE)</f>
        <v>Australia</v>
      </c>
      <c r="S1293" t="str">
        <f>IFERROR(IF(VLOOKUP(A1293,'Sales Order'!A:H,8,FALSE)&gt;100,"High Freight","Low Freight"),"Not Specified")</f>
        <v>Low Freight</v>
      </c>
      <c r="T1293">
        <f t="shared" si="41"/>
        <v>52.349999999999994</v>
      </c>
    </row>
    <row r="1294" spans="1:20">
      <c r="A1294" s="9">
        <v>10739</v>
      </c>
      <c r="B1294" s="6">
        <v>36</v>
      </c>
      <c r="C1294" s="6">
        <v>19</v>
      </c>
      <c r="D1294" s="6">
        <v>6</v>
      </c>
      <c r="E1294" s="18">
        <v>0</v>
      </c>
      <c r="F1294" s="6" t="str">
        <f>IFERROR(VLOOKUP(VLOOKUP(A1294,'Sales Order'!A:B,2,FALSE),Customer!A:C,3,FALSE),"Not Specified")</f>
        <v>McLin, Nkenge</v>
      </c>
      <c r="G1294" s="6" t="str">
        <f t="shared" si="40"/>
        <v>McLin Nkenge</v>
      </c>
      <c r="H1294" s="22" t="str">
        <f>IFERROR(VLOOKUP(VLOOKUP(A1294,'Sales Order'!A:C,3,FALSE),Employee!A:E,5,FALSE)&amp;" "&amp;VLOOKUP(VLOOKUP(A1294,'Sales Order'!A:C,3,FALSE),Employee!A:C,3,FALSE)&amp;" "&amp;VLOOKUP(VLOOKUP(A1294,'Sales Order'!A:C,3,FALSE),Employee!A:B,2,FALSE),"Not Specified")</f>
        <v>Ms. Judy Lew</v>
      </c>
      <c r="I1294" t="str">
        <f>IFERROR(VLOOKUP(VLOOKUP(A1294,'Sales Order'!A:C,3,FALSE),Employee!A:J,10,FALSE),"Not Specified")</f>
        <v>WA</v>
      </c>
      <c r="J1294" t="str">
        <f>VLOOKUP(B1294,Product!A:B,2,FALSE)</f>
        <v>Product GMKIJ</v>
      </c>
      <c r="K1294" t="str">
        <f>VLOOKUP(VLOOKUP(B1294,Product!A:D,4,FALSE),Category!A:B,2,FALSE)</f>
        <v>Seafood</v>
      </c>
      <c r="L1294" s="24">
        <f>IFERROR(VLOOKUP(A1294,'Sales Order'!A:D,4,FALSE),"")</f>
        <v>39398</v>
      </c>
      <c r="M1294" s="24">
        <f>IFERROR(VLOOKUP(A1294,'Sales Order'!A:F,6,FALSE),"")</f>
        <v>39403</v>
      </c>
      <c r="N1294" t="str">
        <f>IFERROR(VLOOKUP(VLOOKUP(A1294,'Sales Order'!A:G,7,FALSE),Shipper!A:B,2,FALSE),"Not Specified")</f>
        <v>Shipper ZHISN</v>
      </c>
      <c r="O1294" t="str">
        <f>IFERROR(VLOOKUP(A1294,'Sales Order'!A:I,9,FALSE),"Not Specified")</f>
        <v>Ship to 85-C</v>
      </c>
      <c r="P1294" t="str">
        <f>IFERROR(VLOOKUP(A1294,'Sales Order'!A:N,14,FALSE),"Not Specified")</f>
        <v>France</v>
      </c>
      <c r="Q1294" t="str">
        <f>VLOOKUP(VLOOKUP(B1294,Product!A:C,3,FALSE),Supplier!A:B,2,FALSE)</f>
        <v>Supplier QZGUF</v>
      </c>
      <c r="R1294" t="str">
        <f>VLOOKUP(VLOOKUP(B1294,Product!A:C,3,FALSE),Supplier!A:I,9,FALSE)</f>
        <v>Sweden</v>
      </c>
      <c r="S1294" t="str">
        <f>IFERROR(IF(VLOOKUP(A1294,'Sales Order'!A:H,8,FALSE)&gt;100,"High Freight","Low Freight"),"Not Specified")</f>
        <v>Low Freight</v>
      </c>
      <c r="T1294">
        <f t="shared" si="41"/>
        <v>114</v>
      </c>
    </row>
    <row r="1295" spans="1:20">
      <c r="A1295" s="9">
        <v>10739</v>
      </c>
      <c r="B1295" s="6">
        <v>52</v>
      </c>
      <c r="C1295" s="6">
        <v>7</v>
      </c>
      <c r="D1295" s="6">
        <v>18</v>
      </c>
      <c r="E1295" s="18">
        <v>0</v>
      </c>
      <c r="F1295" s="6" t="str">
        <f>IFERROR(VLOOKUP(VLOOKUP(A1295,'Sales Order'!A:B,2,FALSE),Customer!A:C,3,FALSE),"Not Specified")</f>
        <v>McLin, Nkenge</v>
      </c>
      <c r="G1295" s="6" t="str">
        <f t="shared" si="40"/>
        <v>McLin Nkenge</v>
      </c>
      <c r="H1295" s="22" t="str">
        <f>IFERROR(VLOOKUP(VLOOKUP(A1295,'Sales Order'!A:C,3,FALSE),Employee!A:E,5,FALSE)&amp;" "&amp;VLOOKUP(VLOOKUP(A1295,'Sales Order'!A:C,3,FALSE),Employee!A:C,3,FALSE)&amp;" "&amp;VLOOKUP(VLOOKUP(A1295,'Sales Order'!A:C,3,FALSE),Employee!A:B,2,FALSE),"Not Specified")</f>
        <v>Ms. Judy Lew</v>
      </c>
      <c r="I1295" t="str">
        <f>IFERROR(VLOOKUP(VLOOKUP(A1295,'Sales Order'!A:C,3,FALSE),Employee!A:J,10,FALSE),"Not Specified")</f>
        <v>WA</v>
      </c>
      <c r="J1295" t="str">
        <f>VLOOKUP(B1295,Product!A:B,2,FALSE)</f>
        <v>Product QSRXF</v>
      </c>
      <c r="K1295" t="str">
        <f>VLOOKUP(VLOOKUP(B1295,Product!A:D,4,FALSE),Category!A:B,2,FALSE)</f>
        <v>Grains/Cereals</v>
      </c>
      <c r="L1295" s="24">
        <f>IFERROR(VLOOKUP(A1295,'Sales Order'!A:D,4,FALSE),"")</f>
        <v>39398</v>
      </c>
      <c r="M1295" s="24">
        <f>IFERROR(VLOOKUP(A1295,'Sales Order'!A:F,6,FALSE),"")</f>
        <v>39403</v>
      </c>
      <c r="N1295" t="str">
        <f>IFERROR(VLOOKUP(VLOOKUP(A1295,'Sales Order'!A:G,7,FALSE),Shipper!A:B,2,FALSE),"Not Specified")</f>
        <v>Shipper ZHISN</v>
      </c>
      <c r="O1295" t="str">
        <f>IFERROR(VLOOKUP(A1295,'Sales Order'!A:I,9,FALSE),"Not Specified")</f>
        <v>Ship to 85-C</v>
      </c>
      <c r="P1295" t="str">
        <f>IFERROR(VLOOKUP(A1295,'Sales Order'!A:N,14,FALSE),"Not Specified")</f>
        <v>France</v>
      </c>
      <c r="Q1295" t="str">
        <f>VLOOKUP(VLOOKUP(B1295,Product!A:C,3,FALSE),Supplier!A:B,2,FALSE)</f>
        <v>Supplier JNNES</v>
      </c>
      <c r="R1295" t="str">
        <f>VLOOKUP(VLOOKUP(B1295,Product!A:C,3,FALSE),Supplier!A:I,9,FALSE)</f>
        <v>Australia</v>
      </c>
      <c r="S1295" t="str">
        <f>IFERROR(IF(VLOOKUP(A1295,'Sales Order'!A:H,8,FALSE)&gt;100,"High Freight","Low Freight"),"Not Specified")</f>
        <v>Low Freight</v>
      </c>
      <c r="T1295">
        <f t="shared" si="41"/>
        <v>126</v>
      </c>
    </row>
    <row r="1296" spans="1:20">
      <c r="A1296" s="9">
        <v>10740</v>
      </c>
      <c r="B1296" s="6">
        <v>28</v>
      </c>
      <c r="C1296" s="6">
        <v>45.6</v>
      </c>
      <c r="D1296" s="6">
        <v>5</v>
      </c>
      <c r="E1296" s="18">
        <v>0.2</v>
      </c>
      <c r="F1296" s="6" t="str">
        <f>IFERROR(VLOOKUP(VLOOKUP(A1296,'Sales Order'!A:B,2,FALSE),Customer!A:C,3,FALSE),"Not Specified")</f>
        <v>Smith Jr., Ronaldo</v>
      </c>
      <c r="G1296" s="6" t="str">
        <f t="shared" si="40"/>
        <v>Smith Jr. Ronaldo</v>
      </c>
      <c r="H1296" s="22" t="str">
        <f>IFERROR(VLOOKUP(VLOOKUP(A1296,'Sales Order'!A:C,3,FALSE),Employee!A:E,5,FALSE)&amp;" "&amp;VLOOKUP(VLOOKUP(A1296,'Sales Order'!A:C,3,FALSE),Employee!A:C,3,FALSE)&amp;" "&amp;VLOOKUP(VLOOKUP(A1296,'Sales Order'!A:C,3,FALSE),Employee!A:B,2,FALSE),"Not Specified")</f>
        <v>Mrs. Yael Peled</v>
      </c>
      <c r="I1296" t="str">
        <f>IFERROR(VLOOKUP(VLOOKUP(A1296,'Sales Order'!A:C,3,FALSE),Employee!A:J,10,FALSE),"Not Specified")</f>
        <v>WA</v>
      </c>
      <c r="J1296" t="str">
        <f>VLOOKUP(B1296,Product!A:B,2,FALSE)</f>
        <v>Product OFBNT</v>
      </c>
      <c r="K1296" t="str">
        <f>VLOOKUP(VLOOKUP(B1296,Product!A:D,4,FALSE),Category!A:B,2,FALSE)</f>
        <v>Produce</v>
      </c>
      <c r="L1296" s="24">
        <f>IFERROR(VLOOKUP(A1296,'Sales Order'!A:D,4,FALSE),"")</f>
        <v>39399</v>
      </c>
      <c r="M1296" s="24">
        <f>IFERROR(VLOOKUP(A1296,'Sales Order'!A:F,6,FALSE),"")</f>
        <v>39411</v>
      </c>
      <c r="N1296" t="str">
        <f>IFERROR(VLOOKUP(VLOOKUP(A1296,'Sales Order'!A:G,7,FALSE),Shipper!A:B,2,FALSE),"Not Specified")</f>
        <v>Shipper ETYNR</v>
      </c>
      <c r="O1296" t="str">
        <f>IFERROR(VLOOKUP(A1296,'Sales Order'!A:I,9,FALSE),"Not Specified")</f>
        <v>Ship to 89-B</v>
      </c>
      <c r="P1296" t="str">
        <f>IFERROR(VLOOKUP(A1296,'Sales Order'!A:N,14,FALSE),"Not Specified")</f>
        <v>USA</v>
      </c>
      <c r="Q1296" t="str">
        <f>VLOOKUP(VLOOKUP(B1296,Product!A:C,3,FALSE),Supplier!A:B,2,FALSE)</f>
        <v>Supplier SVIYA</v>
      </c>
      <c r="R1296" t="str">
        <f>VLOOKUP(VLOOKUP(B1296,Product!A:C,3,FALSE),Supplier!A:I,9,FALSE)</f>
        <v>Germany</v>
      </c>
      <c r="S1296" t="str">
        <f>IFERROR(IF(VLOOKUP(A1296,'Sales Order'!A:H,8,FALSE)&gt;100,"High Freight","Low Freight"),"Not Specified")</f>
        <v>Low Freight</v>
      </c>
      <c r="T1296">
        <f t="shared" si="41"/>
        <v>182.4</v>
      </c>
    </row>
    <row r="1297" spans="1:20">
      <c r="A1297" s="9">
        <v>10740</v>
      </c>
      <c r="B1297" s="6">
        <v>35</v>
      </c>
      <c r="C1297" s="6">
        <v>18</v>
      </c>
      <c r="D1297" s="6">
        <v>35</v>
      </c>
      <c r="E1297" s="18">
        <v>0.2</v>
      </c>
      <c r="F1297" s="6" t="str">
        <f>IFERROR(VLOOKUP(VLOOKUP(A1297,'Sales Order'!A:B,2,FALSE),Customer!A:C,3,FALSE),"Not Specified")</f>
        <v>Smith Jr., Ronaldo</v>
      </c>
      <c r="G1297" s="6" t="str">
        <f t="shared" si="40"/>
        <v>Smith Jr. Ronaldo</v>
      </c>
      <c r="H1297" s="22" t="str">
        <f>IFERROR(VLOOKUP(VLOOKUP(A1297,'Sales Order'!A:C,3,FALSE),Employee!A:E,5,FALSE)&amp;" "&amp;VLOOKUP(VLOOKUP(A1297,'Sales Order'!A:C,3,FALSE),Employee!A:C,3,FALSE)&amp;" "&amp;VLOOKUP(VLOOKUP(A1297,'Sales Order'!A:C,3,FALSE),Employee!A:B,2,FALSE),"Not Specified")</f>
        <v>Mrs. Yael Peled</v>
      </c>
      <c r="I1297" t="str">
        <f>IFERROR(VLOOKUP(VLOOKUP(A1297,'Sales Order'!A:C,3,FALSE),Employee!A:J,10,FALSE),"Not Specified")</f>
        <v>WA</v>
      </c>
      <c r="J1297" t="str">
        <f>VLOOKUP(B1297,Product!A:B,2,FALSE)</f>
        <v>Product NEVTJ</v>
      </c>
      <c r="K1297" t="str">
        <f>VLOOKUP(VLOOKUP(B1297,Product!A:D,4,FALSE),Category!A:B,2,FALSE)</f>
        <v>Beverages</v>
      </c>
      <c r="L1297" s="24">
        <f>IFERROR(VLOOKUP(A1297,'Sales Order'!A:D,4,FALSE),"")</f>
        <v>39399</v>
      </c>
      <c r="M1297" s="24">
        <f>IFERROR(VLOOKUP(A1297,'Sales Order'!A:F,6,FALSE),"")</f>
        <v>39411</v>
      </c>
      <c r="N1297" t="str">
        <f>IFERROR(VLOOKUP(VLOOKUP(A1297,'Sales Order'!A:G,7,FALSE),Shipper!A:B,2,FALSE),"Not Specified")</f>
        <v>Shipper ETYNR</v>
      </c>
      <c r="O1297" t="str">
        <f>IFERROR(VLOOKUP(A1297,'Sales Order'!A:I,9,FALSE),"Not Specified")</f>
        <v>Ship to 89-B</v>
      </c>
      <c r="P1297" t="str">
        <f>IFERROR(VLOOKUP(A1297,'Sales Order'!A:N,14,FALSE),"Not Specified")</f>
        <v>USA</v>
      </c>
      <c r="Q1297" t="str">
        <f>VLOOKUP(VLOOKUP(B1297,Product!A:C,3,FALSE),Supplier!A:B,2,FALSE)</f>
        <v>Supplier UHZRG</v>
      </c>
      <c r="R1297" t="str">
        <f>VLOOKUP(VLOOKUP(B1297,Product!A:C,3,FALSE),Supplier!A:I,9,FALSE)</f>
        <v>USA</v>
      </c>
      <c r="S1297" t="str">
        <f>IFERROR(IF(VLOOKUP(A1297,'Sales Order'!A:H,8,FALSE)&gt;100,"High Freight","Low Freight"),"Not Specified")</f>
        <v>Low Freight</v>
      </c>
      <c r="T1297">
        <f t="shared" si="41"/>
        <v>504</v>
      </c>
    </row>
    <row r="1298" spans="1:20">
      <c r="A1298" s="9">
        <v>10740</v>
      </c>
      <c r="B1298" s="6">
        <v>45</v>
      </c>
      <c r="C1298" s="6">
        <v>9.5</v>
      </c>
      <c r="D1298" s="6">
        <v>40</v>
      </c>
      <c r="E1298" s="18">
        <v>0.2</v>
      </c>
      <c r="F1298" s="6" t="str">
        <f>IFERROR(VLOOKUP(VLOOKUP(A1298,'Sales Order'!A:B,2,FALSE),Customer!A:C,3,FALSE),"Not Specified")</f>
        <v>Smith Jr., Ronaldo</v>
      </c>
      <c r="G1298" s="6" t="str">
        <f t="shared" si="40"/>
        <v>Smith Jr. Ronaldo</v>
      </c>
      <c r="H1298" s="22" t="str">
        <f>IFERROR(VLOOKUP(VLOOKUP(A1298,'Sales Order'!A:C,3,FALSE),Employee!A:E,5,FALSE)&amp;" "&amp;VLOOKUP(VLOOKUP(A1298,'Sales Order'!A:C,3,FALSE),Employee!A:C,3,FALSE)&amp;" "&amp;VLOOKUP(VLOOKUP(A1298,'Sales Order'!A:C,3,FALSE),Employee!A:B,2,FALSE),"Not Specified")</f>
        <v>Mrs. Yael Peled</v>
      </c>
      <c r="I1298" t="str">
        <f>IFERROR(VLOOKUP(VLOOKUP(A1298,'Sales Order'!A:C,3,FALSE),Employee!A:J,10,FALSE),"Not Specified")</f>
        <v>WA</v>
      </c>
      <c r="J1298" t="str">
        <f>VLOOKUP(B1298,Product!A:B,2,FALSE)</f>
        <v>Product AQOKR</v>
      </c>
      <c r="K1298" t="str">
        <f>VLOOKUP(VLOOKUP(B1298,Product!A:D,4,FALSE),Category!A:B,2,FALSE)</f>
        <v>Seafood</v>
      </c>
      <c r="L1298" s="24">
        <f>IFERROR(VLOOKUP(A1298,'Sales Order'!A:D,4,FALSE),"")</f>
        <v>39399</v>
      </c>
      <c r="M1298" s="24">
        <f>IFERROR(VLOOKUP(A1298,'Sales Order'!A:F,6,FALSE),"")</f>
        <v>39411</v>
      </c>
      <c r="N1298" t="str">
        <f>IFERROR(VLOOKUP(VLOOKUP(A1298,'Sales Order'!A:G,7,FALSE),Shipper!A:B,2,FALSE),"Not Specified")</f>
        <v>Shipper ETYNR</v>
      </c>
      <c r="O1298" t="str">
        <f>IFERROR(VLOOKUP(A1298,'Sales Order'!A:I,9,FALSE),"Not Specified")</f>
        <v>Ship to 89-B</v>
      </c>
      <c r="P1298" t="str">
        <f>IFERROR(VLOOKUP(A1298,'Sales Order'!A:N,14,FALSE),"Not Specified")</f>
        <v>USA</v>
      </c>
      <c r="Q1298" t="str">
        <f>VLOOKUP(VLOOKUP(B1298,Product!A:C,3,FALSE),Supplier!A:B,2,FALSE)</f>
        <v>Supplier XOXZA</v>
      </c>
      <c r="R1298" t="str">
        <f>VLOOKUP(VLOOKUP(B1298,Product!A:C,3,FALSE),Supplier!A:I,9,FALSE)</f>
        <v>Denmark</v>
      </c>
      <c r="S1298" t="str">
        <f>IFERROR(IF(VLOOKUP(A1298,'Sales Order'!A:H,8,FALSE)&gt;100,"High Freight","Low Freight"),"Not Specified")</f>
        <v>Low Freight</v>
      </c>
      <c r="T1298">
        <f t="shared" si="41"/>
        <v>304</v>
      </c>
    </row>
    <row r="1299" spans="1:20">
      <c r="A1299" s="9">
        <v>10740</v>
      </c>
      <c r="B1299" s="6">
        <v>56</v>
      </c>
      <c r="C1299" s="6">
        <v>38</v>
      </c>
      <c r="D1299" s="6">
        <v>14</v>
      </c>
      <c r="E1299" s="18">
        <v>0.2</v>
      </c>
      <c r="F1299" s="6" t="str">
        <f>IFERROR(VLOOKUP(VLOOKUP(A1299,'Sales Order'!A:B,2,FALSE),Customer!A:C,3,FALSE),"Not Specified")</f>
        <v>Smith Jr., Ronaldo</v>
      </c>
      <c r="G1299" s="6" t="str">
        <f t="shared" si="40"/>
        <v>Smith Jr. Ronaldo</v>
      </c>
      <c r="H1299" s="22" t="str">
        <f>IFERROR(VLOOKUP(VLOOKUP(A1299,'Sales Order'!A:C,3,FALSE),Employee!A:E,5,FALSE)&amp;" "&amp;VLOOKUP(VLOOKUP(A1299,'Sales Order'!A:C,3,FALSE),Employee!A:C,3,FALSE)&amp;" "&amp;VLOOKUP(VLOOKUP(A1299,'Sales Order'!A:C,3,FALSE),Employee!A:B,2,FALSE),"Not Specified")</f>
        <v>Mrs. Yael Peled</v>
      </c>
      <c r="I1299" t="str">
        <f>IFERROR(VLOOKUP(VLOOKUP(A1299,'Sales Order'!A:C,3,FALSE),Employee!A:J,10,FALSE),"Not Specified")</f>
        <v>WA</v>
      </c>
      <c r="J1299" t="str">
        <f>VLOOKUP(B1299,Product!A:B,2,FALSE)</f>
        <v>Product VKCMF</v>
      </c>
      <c r="K1299" t="str">
        <f>VLOOKUP(VLOOKUP(B1299,Product!A:D,4,FALSE),Category!A:B,2,FALSE)</f>
        <v>Grains/Cereals</v>
      </c>
      <c r="L1299" s="24">
        <f>IFERROR(VLOOKUP(A1299,'Sales Order'!A:D,4,FALSE),"")</f>
        <v>39399</v>
      </c>
      <c r="M1299" s="24">
        <f>IFERROR(VLOOKUP(A1299,'Sales Order'!A:F,6,FALSE),"")</f>
        <v>39411</v>
      </c>
      <c r="N1299" t="str">
        <f>IFERROR(VLOOKUP(VLOOKUP(A1299,'Sales Order'!A:G,7,FALSE),Shipper!A:B,2,FALSE),"Not Specified")</f>
        <v>Shipper ETYNR</v>
      </c>
      <c r="O1299" t="str">
        <f>IFERROR(VLOOKUP(A1299,'Sales Order'!A:I,9,FALSE),"Not Specified")</f>
        <v>Ship to 89-B</v>
      </c>
      <c r="P1299" t="str">
        <f>IFERROR(VLOOKUP(A1299,'Sales Order'!A:N,14,FALSE),"Not Specified")</f>
        <v>USA</v>
      </c>
      <c r="Q1299" t="str">
        <f>VLOOKUP(VLOOKUP(B1299,Product!A:C,3,FALSE),Supplier!A:B,2,FALSE)</f>
        <v>Supplier ZWZDM</v>
      </c>
      <c r="R1299" t="str">
        <f>VLOOKUP(VLOOKUP(B1299,Product!A:C,3,FALSE),Supplier!A:I,9,FALSE)</f>
        <v>Italy</v>
      </c>
      <c r="S1299" t="str">
        <f>IFERROR(IF(VLOOKUP(A1299,'Sales Order'!A:H,8,FALSE)&gt;100,"High Freight","Low Freight"),"Not Specified")</f>
        <v>Low Freight</v>
      </c>
      <c r="T1299">
        <f t="shared" si="41"/>
        <v>425.6</v>
      </c>
    </row>
    <row r="1300" spans="1:20">
      <c r="A1300" s="9">
        <v>10741</v>
      </c>
      <c r="B1300" s="6">
        <v>2</v>
      </c>
      <c r="C1300" s="6">
        <v>19</v>
      </c>
      <c r="D1300" s="6">
        <v>15</v>
      </c>
      <c r="E1300" s="18">
        <v>0.2</v>
      </c>
      <c r="F1300" s="6" t="str">
        <f>IFERROR(VLOOKUP(VLOOKUP(A1300,'Sales Order'!A:B,2,FALSE),Customer!A:C,3,FALSE),"Not Specified")</f>
        <v>Arndt, Torsten</v>
      </c>
      <c r="G1300" s="6" t="str">
        <f t="shared" si="40"/>
        <v>Arndt Torsten</v>
      </c>
      <c r="H1300" s="22" t="str">
        <f>IFERROR(VLOOKUP(VLOOKUP(A1300,'Sales Order'!A:C,3,FALSE),Employee!A:E,5,FALSE)&amp;" "&amp;VLOOKUP(VLOOKUP(A1300,'Sales Order'!A:C,3,FALSE),Employee!A:C,3,FALSE)&amp;" "&amp;VLOOKUP(VLOOKUP(A1300,'Sales Order'!A:C,3,FALSE),Employee!A:B,2,FALSE),"Not Specified")</f>
        <v>Mrs. Yael Peled</v>
      </c>
      <c r="I1300" t="str">
        <f>IFERROR(VLOOKUP(VLOOKUP(A1300,'Sales Order'!A:C,3,FALSE),Employee!A:J,10,FALSE),"Not Specified")</f>
        <v>WA</v>
      </c>
      <c r="J1300" t="str">
        <f>VLOOKUP(B1300,Product!A:B,2,FALSE)</f>
        <v>Product RECZE</v>
      </c>
      <c r="K1300" t="str">
        <f>VLOOKUP(VLOOKUP(B1300,Product!A:D,4,FALSE),Category!A:B,2,FALSE)</f>
        <v>Beverages</v>
      </c>
      <c r="L1300" s="24">
        <f>IFERROR(VLOOKUP(A1300,'Sales Order'!A:D,4,FALSE),"")</f>
        <v>39400</v>
      </c>
      <c r="M1300" s="24">
        <f>IFERROR(VLOOKUP(A1300,'Sales Order'!A:F,6,FALSE),"")</f>
        <v>39404</v>
      </c>
      <c r="N1300" t="str">
        <f>IFERROR(VLOOKUP(VLOOKUP(A1300,'Sales Order'!A:G,7,FALSE),Shipper!A:B,2,FALSE),"Not Specified")</f>
        <v>Shipper ZHISN</v>
      </c>
      <c r="O1300" t="str">
        <f>IFERROR(VLOOKUP(A1300,'Sales Order'!A:I,9,FALSE),"Not Specified")</f>
        <v>Ship to 4-C</v>
      </c>
      <c r="P1300" t="str">
        <f>IFERROR(VLOOKUP(A1300,'Sales Order'!A:N,14,FALSE),"Not Specified")</f>
        <v>UK</v>
      </c>
      <c r="Q1300" t="str">
        <f>VLOOKUP(VLOOKUP(B1300,Product!A:C,3,FALSE),Supplier!A:B,2,FALSE)</f>
        <v>Supplier SWRXU</v>
      </c>
      <c r="R1300" t="str">
        <f>VLOOKUP(VLOOKUP(B1300,Product!A:C,3,FALSE),Supplier!A:I,9,FALSE)</f>
        <v>UK</v>
      </c>
      <c r="S1300" t="str">
        <f>IFERROR(IF(VLOOKUP(A1300,'Sales Order'!A:H,8,FALSE)&gt;100,"High Freight","Low Freight"),"Not Specified")</f>
        <v>Low Freight</v>
      </c>
      <c r="T1300">
        <f t="shared" si="41"/>
        <v>228</v>
      </c>
    </row>
    <row r="1301" spans="1:20">
      <c r="A1301" s="9">
        <v>10742</v>
      </c>
      <c r="B1301" s="6">
        <v>3</v>
      </c>
      <c r="C1301" s="6">
        <v>10</v>
      </c>
      <c r="D1301" s="6">
        <v>20</v>
      </c>
      <c r="E1301" s="18">
        <v>0</v>
      </c>
      <c r="F1301" s="6" t="str">
        <f>IFERROR(VLOOKUP(VLOOKUP(A1301,'Sales Order'!A:B,2,FALSE),Customer!A:C,3,FALSE),"Not Specified")</f>
        <v>Bassols, Pilar Colome</v>
      </c>
      <c r="G1301" s="6" t="str">
        <f t="shared" si="40"/>
        <v>Bassols Pilar Colome</v>
      </c>
      <c r="H1301" s="22" t="str">
        <f>IFERROR(VLOOKUP(VLOOKUP(A1301,'Sales Order'!A:C,3,FALSE),Employee!A:E,5,FALSE)&amp;" "&amp;VLOOKUP(VLOOKUP(A1301,'Sales Order'!A:C,3,FALSE),Employee!A:C,3,FALSE)&amp;" "&amp;VLOOKUP(VLOOKUP(A1301,'Sales Order'!A:C,3,FALSE),Employee!A:B,2,FALSE),"Not Specified")</f>
        <v>Ms. Judy Lew</v>
      </c>
      <c r="I1301" t="str">
        <f>IFERROR(VLOOKUP(VLOOKUP(A1301,'Sales Order'!A:C,3,FALSE),Employee!A:J,10,FALSE),"Not Specified")</f>
        <v>WA</v>
      </c>
      <c r="J1301" t="str">
        <f>VLOOKUP(B1301,Product!A:B,2,FALSE)</f>
        <v>Product IMEHJ</v>
      </c>
      <c r="K1301" t="str">
        <f>VLOOKUP(VLOOKUP(B1301,Product!A:D,4,FALSE),Category!A:B,2,FALSE)</f>
        <v>Condiments</v>
      </c>
      <c r="L1301" s="24">
        <f>IFERROR(VLOOKUP(A1301,'Sales Order'!A:D,4,FALSE),"")</f>
        <v>39400</v>
      </c>
      <c r="M1301" s="24">
        <f>IFERROR(VLOOKUP(A1301,'Sales Order'!A:F,6,FALSE),"")</f>
        <v>39404</v>
      </c>
      <c r="N1301" t="str">
        <f>IFERROR(VLOOKUP(VLOOKUP(A1301,'Sales Order'!A:G,7,FALSE),Shipper!A:B,2,FALSE),"Not Specified")</f>
        <v>Shipper ZHISN</v>
      </c>
      <c r="O1301" t="str">
        <f>IFERROR(VLOOKUP(A1301,'Sales Order'!A:I,9,FALSE),"Not Specified")</f>
        <v>Destination LPHSI</v>
      </c>
      <c r="P1301" t="str">
        <f>IFERROR(VLOOKUP(A1301,'Sales Order'!A:N,14,FALSE),"Not Specified")</f>
        <v>Canada</v>
      </c>
      <c r="Q1301" t="str">
        <f>VLOOKUP(VLOOKUP(B1301,Product!A:C,3,FALSE),Supplier!A:B,2,FALSE)</f>
        <v>Supplier SWRXU</v>
      </c>
      <c r="R1301" t="str">
        <f>VLOOKUP(VLOOKUP(B1301,Product!A:C,3,FALSE),Supplier!A:I,9,FALSE)</f>
        <v>UK</v>
      </c>
      <c r="S1301" t="str">
        <f>IFERROR(IF(VLOOKUP(A1301,'Sales Order'!A:H,8,FALSE)&gt;100,"High Freight","Low Freight"),"Not Specified")</f>
        <v>High Freight</v>
      </c>
      <c r="T1301">
        <f t="shared" si="41"/>
        <v>200</v>
      </c>
    </row>
    <row r="1302" spans="1:20">
      <c r="A1302" s="9">
        <v>10742</v>
      </c>
      <c r="B1302" s="6">
        <v>60</v>
      </c>
      <c r="C1302" s="6">
        <v>34</v>
      </c>
      <c r="D1302" s="6">
        <v>50</v>
      </c>
      <c r="E1302" s="18">
        <v>0</v>
      </c>
      <c r="F1302" s="6" t="str">
        <f>IFERROR(VLOOKUP(VLOOKUP(A1302,'Sales Order'!A:B,2,FALSE),Customer!A:C,3,FALSE),"Not Specified")</f>
        <v>Bassols, Pilar Colome</v>
      </c>
      <c r="G1302" s="6" t="str">
        <f t="shared" si="40"/>
        <v>Bassols Pilar Colome</v>
      </c>
      <c r="H1302" s="22" t="str">
        <f>IFERROR(VLOOKUP(VLOOKUP(A1302,'Sales Order'!A:C,3,FALSE),Employee!A:E,5,FALSE)&amp;" "&amp;VLOOKUP(VLOOKUP(A1302,'Sales Order'!A:C,3,FALSE),Employee!A:C,3,FALSE)&amp;" "&amp;VLOOKUP(VLOOKUP(A1302,'Sales Order'!A:C,3,FALSE),Employee!A:B,2,FALSE),"Not Specified")</f>
        <v>Ms. Judy Lew</v>
      </c>
      <c r="I1302" t="str">
        <f>IFERROR(VLOOKUP(VLOOKUP(A1302,'Sales Order'!A:C,3,FALSE),Employee!A:J,10,FALSE),"Not Specified")</f>
        <v>WA</v>
      </c>
      <c r="J1302" t="str">
        <f>VLOOKUP(B1302,Product!A:B,2,FALSE)</f>
        <v>Product WHBYK</v>
      </c>
      <c r="K1302" t="str">
        <f>VLOOKUP(VLOOKUP(B1302,Product!A:D,4,FALSE),Category!A:B,2,FALSE)</f>
        <v>Dairy Product</v>
      </c>
      <c r="L1302" s="24">
        <f>IFERROR(VLOOKUP(A1302,'Sales Order'!A:D,4,FALSE),"")</f>
        <v>39400</v>
      </c>
      <c r="M1302" s="24">
        <f>IFERROR(VLOOKUP(A1302,'Sales Order'!A:F,6,FALSE),"")</f>
        <v>39404</v>
      </c>
      <c r="N1302" t="str">
        <f>IFERROR(VLOOKUP(VLOOKUP(A1302,'Sales Order'!A:G,7,FALSE),Shipper!A:B,2,FALSE),"Not Specified")</f>
        <v>Shipper ZHISN</v>
      </c>
      <c r="O1302" t="str">
        <f>IFERROR(VLOOKUP(A1302,'Sales Order'!A:I,9,FALSE),"Not Specified")</f>
        <v>Destination LPHSI</v>
      </c>
      <c r="P1302" t="str">
        <f>IFERROR(VLOOKUP(A1302,'Sales Order'!A:N,14,FALSE),"Not Specified")</f>
        <v>Canada</v>
      </c>
      <c r="Q1302" t="str">
        <f>VLOOKUP(VLOOKUP(B1302,Product!A:C,3,FALSE),Supplier!A:B,2,FALSE)</f>
        <v>Supplier OAVQT</v>
      </c>
      <c r="R1302" t="str">
        <f>VLOOKUP(VLOOKUP(B1302,Product!A:C,3,FALSE),Supplier!A:I,9,FALSE)</f>
        <v>France</v>
      </c>
      <c r="S1302" t="str">
        <f>IFERROR(IF(VLOOKUP(A1302,'Sales Order'!A:H,8,FALSE)&gt;100,"High Freight","Low Freight"),"Not Specified")</f>
        <v>High Freight</v>
      </c>
      <c r="T1302">
        <f t="shared" si="41"/>
        <v>1700</v>
      </c>
    </row>
    <row r="1303" spans="1:20">
      <c r="A1303" s="9">
        <v>10742</v>
      </c>
      <c r="B1303" s="6">
        <v>72</v>
      </c>
      <c r="C1303" s="6">
        <v>34.799999999999997</v>
      </c>
      <c r="D1303" s="6">
        <v>35</v>
      </c>
      <c r="E1303" s="18">
        <v>0</v>
      </c>
      <c r="F1303" s="6" t="str">
        <f>IFERROR(VLOOKUP(VLOOKUP(A1303,'Sales Order'!A:B,2,FALSE),Customer!A:C,3,FALSE),"Not Specified")</f>
        <v>Bassols, Pilar Colome</v>
      </c>
      <c r="G1303" s="6" t="str">
        <f t="shared" si="40"/>
        <v>Bassols Pilar Colome</v>
      </c>
      <c r="H1303" s="22" t="str">
        <f>IFERROR(VLOOKUP(VLOOKUP(A1303,'Sales Order'!A:C,3,FALSE),Employee!A:E,5,FALSE)&amp;" "&amp;VLOOKUP(VLOOKUP(A1303,'Sales Order'!A:C,3,FALSE),Employee!A:C,3,FALSE)&amp;" "&amp;VLOOKUP(VLOOKUP(A1303,'Sales Order'!A:C,3,FALSE),Employee!A:B,2,FALSE),"Not Specified")</f>
        <v>Ms. Judy Lew</v>
      </c>
      <c r="I1303" t="str">
        <f>IFERROR(VLOOKUP(VLOOKUP(A1303,'Sales Order'!A:C,3,FALSE),Employee!A:J,10,FALSE),"Not Specified")</f>
        <v>WA</v>
      </c>
      <c r="J1303" t="str">
        <f>VLOOKUP(B1303,Product!A:B,2,FALSE)</f>
        <v>Product GEEOO</v>
      </c>
      <c r="K1303" t="str">
        <f>VLOOKUP(VLOOKUP(B1303,Product!A:D,4,FALSE),Category!A:B,2,FALSE)</f>
        <v>Dairy Product</v>
      </c>
      <c r="L1303" s="24">
        <f>IFERROR(VLOOKUP(A1303,'Sales Order'!A:D,4,FALSE),"")</f>
        <v>39400</v>
      </c>
      <c r="M1303" s="24">
        <f>IFERROR(VLOOKUP(A1303,'Sales Order'!A:F,6,FALSE),"")</f>
        <v>39404</v>
      </c>
      <c r="N1303" t="str">
        <f>IFERROR(VLOOKUP(VLOOKUP(A1303,'Sales Order'!A:G,7,FALSE),Shipper!A:B,2,FALSE),"Not Specified")</f>
        <v>Shipper ZHISN</v>
      </c>
      <c r="O1303" t="str">
        <f>IFERROR(VLOOKUP(A1303,'Sales Order'!A:I,9,FALSE),"Not Specified")</f>
        <v>Destination LPHSI</v>
      </c>
      <c r="P1303" t="str">
        <f>IFERROR(VLOOKUP(A1303,'Sales Order'!A:N,14,FALSE),"Not Specified")</f>
        <v>Canada</v>
      </c>
      <c r="Q1303" t="str">
        <f>VLOOKUP(VLOOKUP(B1303,Product!A:C,3,FALSE),Supplier!A:B,2,FALSE)</f>
        <v>Supplier KEREV</v>
      </c>
      <c r="R1303" t="str">
        <f>VLOOKUP(VLOOKUP(B1303,Product!A:C,3,FALSE),Supplier!A:I,9,FALSE)</f>
        <v>Italy</v>
      </c>
      <c r="S1303" t="str">
        <f>IFERROR(IF(VLOOKUP(A1303,'Sales Order'!A:H,8,FALSE)&gt;100,"High Freight","Low Freight"),"Not Specified")</f>
        <v>High Freight</v>
      </c>
      <c r="T1303">
        <f t="shared" si="41"/>
        <v>1218</v>
      </c>
    </row>
    <row r="1304" spans="1:20">
      <c r="A1304" s="9">
        <v>10743</v>
      </c>
      <c r="B1304" s="6">
        <v>46</v>
      </c>
      <c r="C1304" s="6">
        <v>12</v>
      </c>
      <c r="D1304" s="6">
        <v>28</v>
      </c>
      <c r="E1304" s="18">
        <v>0.05</v>
      </c>
      <c r="F1304" s="6" t="str">
        <f>IFERROR(VLOOKUP(VLOOKUP(A1304,'Sales Order'!A:B,2,FALSE),Customer!A:C,3,FALSE),"Not Specified")</f>
        <v>Arndt, Torsten</v>
      </c>
      <c r="G1304" s="6" t="str">
        <f t="shared" si="40"/>
        <v>Arndt Torsten</v>
      </c>
      <c r="H1304" s="22" t="str">
        <f>IFERROR(VLOOKUP(VLOOKUP(A1304,'Sales Order'!A:C,3,FALSE),Employee!A:E,5,FALSE)&amp;" "&amp;VLOOKUP(VLOOKUP(A1304,'Sales Order'!A:C,3,FALSE),Employee!A:C,3,FALSE)&amp;" "&amp;VLOOKUP(VLOOKUP(A1304,'Sales Order'!A:C,3,FALSE),Employee!A:B,2,FALSE),"Not Specified")</f>
        <v>Ms. Sara Davis</v>
      </c>
      <c r="I1304" t="str">
        <f>IFERROR(VLOOKUP(VLOOKUP(A1304,'Sales Order'!A:C,3,FALSE),Employee!A:J,10,FALSE),"Not Specified")</f>
        <v>WA</v>
      </c>
      <c r="J1304" t="str">
        <f>VLOOKUP(B1304,Product!A:B,2,FALSE)</f>
        <v>Product CBRRL</v>
      </c>
      <c r="K1304" t="str">
        <f>VLOOKUP(VLOOKUP(B1304,Product!A:D,4,FALSE),Category!A:B,2,FALSE)</f>
        <v>Seafood</v>
      </c>
      <c r="L1304" s="24">
        <f>IFERROR(VLOOKUP(A1304,'Sales Order'!A:D,4,FALSE),"")</f>
        <v>39403</v>
      </c>
      <c r="M1304" s="24">
        <f>IFERROR(VLOOKUP(A1304,'Sales Order'!A:F,6,FALSE),"")</f>
        <v>39407</v>
      </c>
      <c r="N1304" t="str">
        <f>IFERROR(VLOOKUP(VLOOKUP(A1304,'Sales Order'!A:G,7,FALSE),Shipper!A:B,2,FALSE),"Not Specified")</f>
        <v>Shipper ETYNR</v>
      </c>
      <c r="O1304" t="str">
        <f>IFERROR(VLOOKUP(A1304,'Sales Order'!A:I,9,FALSE),"Not Specified")</f>
        <v>Ship to 4-C</v>
      </c>
      <c r="P1304" t="str">
        <f>IFERROR(VLOOKUP(A1304,'Sales Order'!A:N,14,FALSE),"Not Specified")</f>
        <v>UK</v>
      </c>
      <c r="Q1304" t="str">
        <f>VLOOKUP(VLOOKUP(B1304,Product!A:C,3,FALSE),Supplier!A:B,2,FALSE)</f>
        <v>Supplier XOXZA</v>
      </c>
      <c r="R1304" t="str">
        <f>VLOOKUP(VLOOKUP(B1304,Product!A:C,3,FALSE),Supplier!A:I,9,FALSE)</f>
        <v>Denmark</v>
      </c>
      <c r="S1304" t="str">
        <f>IFERROR(IF(VLOOKUP(A1304,'Sales Order'!A:H,8,FALSE)&gt;100,"High Freight","Low Freight"),"Not Specified")</f>
        <v>Low Freight</v>
      </c>
      <c r="T1304">
        <f t="shared" si="41"/>
        <v>319.2</v>
      </c>
    </row>
    <row r="1305" spans="1:20">
      <c r="A1305" s="9">
        <v>10744</v>
      </c>
      <c r="B1305" s="6">
        <v>40</v>
      </c>
      <c r="C1305" s="6">
        <v>18.399999999999999</v>
      </c>
      <c r="D1305" s="6">
        <v>50</v>
      </c>
      <c r="E1305" s="18">
        <v>0.2</v>
      </c>
      <c r="F1305" s="6" t="str">
        <f>IFERROR(VLOOKUP(VLOOKUP(A1305,'Sales Order'!A:B,2,FALSE),Customer!A:C,3,FALSE),"Not Specified")</f>
        <v>Fonteneau, Karl</v>
      </c>
      <c r="G1305" s="6" t="str">
        <f t="shared" si="40"/>
        <v>Fonteneau Karl</v>
      </c>
      <c r="H1305" s="22" t="str">
        <f>IFERROR(VLOOKUP(VLOOKUP(A1305,'Sales Order'!A:C,3,FALSE),Employee!A:E,5,FALSE)&amp;" "&amp;VLOOKUP(VLOOKUP(A1305,'Sales Order'!A:C,3,FALSE),Employee!A:C,3,FALSE)&amp;" "&amp;VLOOKUP(VLOOKUP(A1305,'Sales Order'!A:C,3,FALSE),Employee!A:B,2,FALSE),"Not Specified")</f>
        <v>Mr. Paul Suurs</v>
      </c>
      <c r="I1305">
        <f>IFERROR(VLOOKUP(VLOOKUP(A1305,'Sales Order'!A:C,3,FALSE),Employee!A:J,10,FALSE),"Not Specified")</f>
        <v>0</v>
      </c>
      <c r="J1305" t="str">
        <f>VLOOKUP(B1305,Product!A:B,2,FALSE)</f>
        <v>Product YZIXQ</v>
      </c>
      <c r="K1305" t="str">
        <f>VLOOKUP(VLOOKUP(B1305,Product!A:D,4,FALSE),Category!A:B,2,FALSE)</f>
        <v>Seafood</v>
      </c>
      <c r="L1305" s="24">
        <f>IFERROR(VLOOKUP(A1305,'Sales Order'!A:D,4,FALSE),"")</f>
        <v>39403</v>
      </c>
      <c r="M1305" s="24">
        <f>IFERROR(VLOOKUP(A1305,'Sales Order'!A:F,6,FALSE),"")</f>
        <v>39410</v>
      </c>
      <c r="N1305" t="str">
        <f>IFERROR(VLOOKUP(VLOOKUP(A1305,'Sales Order'!A:G,7,FALSE),Shipper!A:B,2,FALSE),"Not Specified")</f>
        <v>Shipper GVSUA</v>
      </c>
      <c r="O1305" t="str">
        <f>IFERROR(VLOOKUP(A1305,'Sales Order'!A:I,9,FALSE),"Not Specified")</f>
        <v>Ship to 83-A</v>
      </c>
      <c r="P1305" t="str">
        <f>IFERROR(VLOOKUP(A1305,'Sales Order'!A:N,14,FALSE),"Not Specified")</f>
        <v>Denmark</v>
      </c>
      <c r="Q1305" t="str">
        <f>VLOOKUP(VLOOKUP(B1305,Product!A:C,3,FALSE),Supplier!A:B,2,FALSE)</f>
        <v>Supplier JDNUG</v>
      </c>
      <c r="R1305" t="str">
        <f>VLOOKUP(VLOOKUP(B1305,Product!A:C,3,FALSE),Supplier!A:I,9,FALSE)</f>
        <v>USA</v>
      </c>
      <c r="S1305" t="str">
        <f>IFERROR(IF(VLOOKUP(A1305,'Sales Order'!A:H,8,FALSE)&gt;100,"High Freight","Low Freight"),"Not Specified")</f>
        <v>Low Freight</v>
      </c>
      <c r="T1305">
        <f t="shared" si="41"/>
        <v>736</v>
      </c>
    </row>
    <row r="1306" spans="1:20">
      <c r="A1306" s="9">
        <v>10745</v>
      </c>
      <c r="B1306" s="6">
        <v>18</v>
      </c>
      <c r="C1306" s="6">
        <v>62.5</v>
      </c>
      <c r="D1306" s="6">
        <v>24</v>
      </c>
      <c r="E1306" s="18">
        <v>0</v>
      </c>
      <c r="F1306" s="6" t="str">
        <f>IFERROR(VLOOKUP(VLOOKUP(A1306,'Sales Order'!A:B,2,FALSE),Customer!A:C,3,FALSE),"Not Specified")</f>
        <v>Veronesi, Giorgio</v>
      </c>
      <c r="G1306" s="6" t="str">
        <f t="shared" si="40"/>
        <v>Veronesi Giorgio</v>
      </c>
      <c r="H1306" s="22" t="str">
        <f>IFERROR(VLOOKUP(VLOOKUP(A1306,'Sales Order'!A:C,3,FALSE),Employee!A:E,5,FALSE)&amp;" "&amp;VLOOKUP(VLOOKUP(A1306,'Sales Order'!A:C,3,FALSE),Employee!A:C,3,FALSE)&amp;" "&amp;VLOOKUP(VLOOKUP(A1306,'Sales Order'!A:C,3,FALSE),Employee!A:B,2,FALSE),"Not Specified")</f>
        <v>Ms. Zoya Dolgopyatova</v>
      </c>
      <c r="I1306">
        <f>IFERROR(VLOOKUP(VLOOKUP(A1306,'Sales Order'!A:C,3,FALSE),Employee!A:J,10,FALSE),"Not Specified")</f>
        <v>0</v>
      </c>
      <c r="J1306" t="str">
        <f>VLOOKUP(B1306,Product!A:B,2,FALSE)</f>
        <v>Product CKEDC</v>
      </c>
      <c r="K1306" t="str">
        <f>VLOOKUP(VLOOKUP(B1306,Product!A:D,4,FALSE),Category!A:B,2,FALSE)</f>
        <v>Seafood</v>
      </c>
      <c r="L1306" s="24">
        <f>IFERROR(VLOOKUP(A1306,'Sales Order'!A:D,4,FALSE),"")</f>
        <v>39404</v>
      </c>
      <c r="M1306" s="24">
        <f>IFERROR(VLOOKUP(A1306,'Sales Order'!A:F,6,FALSE),"")</f>
        <v>39413</v>
      </c>
      <c r="N1306" t="str">
        <f>IFERROR(VLOOKUP(VLOOKUP(A1306,'Sales Order'!A:G,7,FALSE),Shipper!A:B,2,FALSE),"Not Specified")</f>
        <v>Shipper GVSUA</v>
      </c>
      <c r="O1306" t="str">
        <f>IFERROR(VLOOKUP(A1306,'Sales Order'!A:I,9,FALSE),"Not Specified")</f>
        <v>Ship to 63-C</v>
      </c>
      <c r="P1306" t="str">
        <f>IFERROR(VLOOKUP(A1306,'Sales Order'!A:N,14,FALSE),"Not Specified")</f>
        <v>Germany</v>
      </c>
      <c r="Q1306" t="str">
        <f>VLOOKUP(VLOOKUP(B1306,Product!A:C,3,FALSE),Supplier!A:B,2,FALSE)</f>
        <v>Supplier GQRCV</v>
      </c>
      <c r="R1306" t="str">
        <f>VLOOKUP(VLOOKUP(B1306,Product!A:C,3,FALSE),Supplier!A:I,9,FALSE)</f>
        <v>Australia</v>
      </c>
      <c r="S1306" t="str">
        <f>IFERROR(IF(VLOOKUP(A1306,'Sales Order'!A:H,8,FALSE)&gt;100,"High Freight","Low Freight"),"Not Specified")</f>
        <v>Low Freight</v>
      </c>
      <c r="T1306">
        <f t="shared" si="41"/>
        <v>1500</v>
      </c>
    </row>
    <row r="1307" spans="1:20">
      <c r="A1307" s="9">
        <v>10745</v>
      </c>
      <c r="B1307" s="6">
        <v>44</v>
      </c>
      <c r="C1307" s="6">
        <v>19.45</v>
      </c>
      <c r="D1307" s="6">
        <v>16</v>
      </c>
      <c r="E1307" s="18">
        <v>0</v>
      </c>
      <c r="F1307" s="6" t="str">
        <f>IFERROR(VLOOKUP(VLOOKUP(A1307,'Sales Order'!A:B,2,FALSE),Customer!A:C,3,FALSE),"Not Specified")</f>
        <v>Veronesi, Giorgio</v>
      </c>
      <c r="G1307" s="6" t="str">
        <f t="shared" si="40"/>
        <v>Veronesi Giorgio</v>
      </c>
      <c r="H1307" s="22" t="str">
        <f>IFERROR(VLOOKUP(VLOOKUP(A1307,'Sales Order'!A:C,3,FALSE),Employee!A:E,5,FALSE)&amp;" "&amp;VLOOKUP(VLOOKUP(A1307,'Sales Order'!A:C,3,FALSE),Employee!A:C,3,FALSE)&amp;" "&amp;VLOOKUP(VLOOKUP(A1307,'Sales Order'!A:C,3,FALSE),Employee!A:B,2,FALSE),"Not Specified")</f>
        <v>Ms. Zoya Dolgopyatova</v>
      </c>
      <c r="I1307">
        <f>IFERROR(VLOOKUP(VLOOKUP(A1307,'Sales Order'!A:C,3,FALSE),Employee!A:J,10,FALSE),"Not Specified")</f>
        <v>0</v>
      </c>
      <c r="J1307" t="str">
        <f>VLOOKUP(B1307,Product!A:B,2,FALSE)</f>
        <v>Product VJIEO</v>
      </c>
      <c r="K1307" t="str">
        <f>VLOOKUP(VLOOKUP(B1307,Product!A:D,4,FALSE),Category!A:B,2,FALSE)</f>
        <v>Condiments</v>
      </c>
      <c r="L1307" s="24">
        <f>IFERROR(VLOOKUP(A1307,'Sales Order'!A:D,4,FALSE),"")</f>
        <v>39404</v>
      </c>
      <c r="M1307" s="24">
        <f>IFERROR(VLOOKUP(A1307,'Sales Order'!A:F,6,FALSE),"")</f>
        <v>39413</v>
      </c>
      <c r="N1307" t="str">
        <f>IFERROR(VLOOKUP(VLOOKUP(A1307,'Sales Order'!A:G,7,FALSE),Shipper!A:B,2,FALSE),"Not Specified")</f>
        <v>Shipper GVSUA</v>
      </c>
      <c r="O1307" t="str">
        <f>IFERROR(VLOOKUP(A1307,'Sales Order'!A:I,9,FALSE),"Not Specified")</f>
        <v>Ship to 63-C</v>
      </c>
      <c r="P1307" t="str">
        <f>IFERROR(VLOOKUP(A1307,'Sales Order'!A:N,14,FALSE),"Not Specified")</f>
        <v>Germany</v>
      </c>
      <c r="Q1307" t="str">
        <f>VLOOKUP(VLOOKUP(B1307,Product!A:C,3,FALSE),Supplier!A:B,2,FALSE)</f>
        <v>Supplier CIYNM</v>
      </c>
      <c r="R1307" t="str">
        <f>VLOOKUP(VLOOKUP(B1307,Product!A:C,3,FALSE),Supplier!A:I,9,FALSE)</f>
        <v>Singapore</v>
      </c>
      <c r="S1307" t="str">
        <f>IFERROR(IF(VLOOKUP(A1307,'Sales Order'!A:H,8,FALSE)&gt;100,"High Freight","Low Freight"),"Not Specified")</f>
        <v>Low Freight</v>
      </c>
      <c r="T1307">
        <f t="shared" si="41"/>
        <v>311.2</v>
      </c>
    </row>
    <row r="1308" spans="1:20">
      <c r="A1308" s="9">
        <v>10745</v>
      </c>
      <c r="B1308" s="6">
        <v>59</v>
      </c>
      <c r="C1308" s="6">
        <v>55</v>
      </c>
      <c r="D1308" s="6">
        <v>45</v>
      </c>
      <c r="E1308" s="18">
        <v>0</v>
      </c>
      <c r="F1308" s="6" t="str">
        <f>IFERROR(VLOOKUP(VLOOKUP(A1308,'Sales Order'!A:B,2,FALSE),Customer!A:C,3,FALSE),"Not Specified")</f>
        <v>Veronesi, Giorgio</v>
      </c>
      <c r="G1308" s="6" t="str">
        <f t="shared" si="40"/>
        <v>Veronesi Giorgio</v>
      </c>
      <c r="H1308" s="22" t="str">
        <f>IFERROR(VLOOKUP(VLOOKUP(A1308,'Sales Order'!A:C,3,FALSE),Employee!A:E,5,FALSE)&amp;" "&amp;VLOOKUP(VLOOKUP(A1308,'Sales Order'!A:C,3,FALSE),Employee!A:C,3,FALSE)&amp;" "&amp;VLOOKUP(VLOOKUP(A1308,'Sales Order'!A:C,3,FALSE),Employee!A:B,2,FALSE),"Not Specified")</f>
        <v>Ms. Zoya Dolgopyatova</v>
      </c>
      <c r="I1308">
        <f>IFERROR(VLOOKUP(VLOOKUP(A1308,'Sales Order'!A:C,3,FALSE),Employee!A:J,10,FALSE),"Not Specified")</f>
        <v>0</v>
      </c>
      <c r="J1308" t="str">
        <f>VLOOKUP(B1308,Product!A:B,2,FALSE)</f>
        <v>Product UKXRI</v>
      </c>
      <c r="K1308" t="str">
        <f>VLOOKUP(VLOOKUP(B1308,Product!A:D,4,FALSE),Category!A:B,2,FALSE)</f>
        <v>Dairy Product</v>
      </c>
      <c r="L1308" s="24">
        <f>IFERROR(VLOOKUP(A1308,'Sales Order'!A:D,4,FALSE),"")</f>
        <v>39404</v>
      </c>
      <c r="M1308" s="24">
        <f>IFERROR(VLOOKUP(A1308,'Sales Order'!A:F,6,FALSE),"")</f>
        <v>39413</v>
      </c>
      <c r="N1308" t="str">
        <f>IFERROR(VLOOKUP(VLOOKUP(A1308,'Sales Order'!A:G,7,FALSE),Shipper!A:B,2,FALSE),"Not Specified")</f>
        <v>Shipper GVSUA</v>
      </c>
      <c r="O1308" t="str">
        <f>IFERROR(VLOOKUP(A1308,'Sales Order'!A:I,9,FALSE),"Not Specified")</f>
        <v>Ship to 63-C</v>
      </c>
      <c r="P1308" t="str">
        <f>IFERROR(VLOOKUP(A1308,'Sales Order'!A:N,14,FALSE),"Not Specified")</f>
        <v>Germany</v>
      </c>
      <c r="Q1308" t="str">
        <f>VLOOKUP(VLOOKUP(B1308,Product!A:C,3,FALSE),Supplier!A:B,2,FALSE)</f>
        <v>Supplier OAVQT</v>
      </c>
      <c r="R1308" t="str">
        <f>VLOOKUP(VLOOKUP(B1308,Product!A:C,3,FALSE),Supplier!A:I,9,FALSE)</f>
        <v>France</v>
      </c>
      <c r="S1308" t="str">
        <f>IFERROR(IF(VLOOKUP(A1308,'Sales Order'!A:H,8,FALSE)&gt;100,"High Freight","Low Freight"),"Not Specified")</f>
        <v>Low Freight</v>
      </c>
      <c r="T1308">
        <f t="shared" si="41"/>
        <v>2475</v>
      </c>
    </row>
    <row r="1309" spans="1:20">
      <c r="A1309" s="9">
        <v>10745</v>
      </c>
      <c r="B1309" s="6">
        <v>72</v>
      </c>
      <c r="C1309" s="6">
        <v>34.799999999999997</v>
      </c>
      <c r="D1309" s="6">
        <v>7</v>
      </c>
      <c r="E1309" s="18">
        <v>0</v>
      </c>
      <c r="F1309" s="6" t="str">
        <f>IFERROR(VLOOKUP(VLOOKUP(A1309,'Sales Order'!A:B,2,FALSE),Customer!A:C,3,FALSE),"Not Specified")</f>
        <v>Veronesi, Giorgio</v>
      </c>
      <c r="G1309" s="6" t="str">
        <f t="shared" si="40"/>
        <v>Veronesi Giorgio</v>
      </c>
      <c r="H1309" s="22" t="str">
        <f>IFERROR(VLOOKUP(VLOOKUP(A1309,'Sales Order'!A:C,3,FALSE),Employee!A:E,5,FALSE)&amp;" "&amp;VLOOKUP(VLOOKUP(A1309,'Sales Order'!A:C,3,FALSE),Employee!A:C,3,FALSE)&amp;" "&amp;VLOOKUP(VLOOKUP(A1309,'Sales Order'!A:C,3,FALSE),Employee!A:B,2,FALSE),"Not Specified")</f>
        <v>Ms. Zoya Dolgopyatova</v>
      </c>
      <c r="I1309">
        <f>IFERROR(VLOOKUP(VLOOKUP(A1309,'Sales Order'!A:C,3,FALSE),Employee!A:J,10,FALSE),"Not Specified")</f>
        <v>0</v>
      </c>
      <c r="J1309" t="str">
        <f>VLOOKUP(B1309,Product!A:B,2,FALSE)</f>
        <v>Product GEEOO</v>
      </c>
      <c r="K1309" t="str">
        <f>VLOOKUP(VLOOKUP(B1309,Product!A:D,4,FALSE),Category!A:B,2,FALSE)</f>
        <v>Dairy Product</v>
      </c>
      <c r="L1309" s="24">
        <f>IFERROR(VLOOKUP(A1309,'Sales Order'!A:D,4,FALSE),"")</f>
        <v>39404</v>
      </c>
      <c r="M1309" s="24">
        <f>IFERROR(VLOOKUP(A1309,'Sales Order'!A:F,6,FALSE),"")</f>
        <v>39413</v>
      </c>
      <c r="N1309" t="str">
        <f>IFERROR(VLOOKUP(VLOOKUP(A1309,'Sales Order'!A:G,7,FALSE),Shipper!A:B,2,FALSE),"Not Specified")</f>
        <v>Shipper GVSUA</v>
      </c>
      <c r="O1309" t="str">
        <f>IFERROR(VLOOKUP(A1309,'Sales Order'!A:I,9,FALSE),"Not Specified")</f>
        <v>Ship to 63-C</v>
      </c>
      <c r="P1309" t="str">
        <f>IFERROR(VLOOKUP(A1309,'Sales Order'!A:N,14,FALSE),"Not Specified")</f>
        <v>Germany</v>
      </c>
      <c r="Q1309" t="str">
        <f>VLOOKUP(VLOOKUP(B1309,Product!A:C,3,FALSE),Supplier!A:B,2,FALSE)</f>
        <v>Supplier KEREV</v>
      </c>
      <c r="R1309" t="str">
        <f>VLOOKUP(VLOOKUP(B1309,Product!A:C,3,FALSE),Supplier!A:I,9,FALSE)</f>
        <v>Italy</v>
      </c>
      <c r="S1309" t="str">
        <f>IFERROR(IF(VLOOKUP(A1309,'Sales Order'!A:H,8,FALSE)&gt;100,"High Freight","Low Freight"),"Not Specified")</f>
        <v>Low Freight</v>
      </c>
      <c r="T1309">
        <f t="shared" si="41"/>
        <v>243.59999999999997</v>
      </c>
    </row>
    <row r="1310" spans="1:20">
      <c r="A1310" s="9">
        <v>10746</v>
      </c>
      <c r="B1310" s="6">
        <v>13</v>
      </c>
      <c r="C1310" s="6">
        <v>6</v>
      </c>
      <c r="D1310" s="6">
        <v>6</v>
      </c>
      <c r="E1310" s="18">
        <v>0</v>
      </c>
      <c r="F1310" s="6" t="str">
        <f>IFERROR(VLOOKUP(VLOOKUP(A1310,'Sales Order'!A:B,2,FALSE),Customer!A:C,3,FALSE),"Not Specified")</f>
        <v>Jelitto, Jacek</v>
      </c>
      <c r="G1310" s="6" t="str">
        <f t="shared" si="40"/>
        <v>Jelitto Jacek</v>
      </c>
      <c r="H1310" s="22" t="str">
        <f>IFERROR(VLOOKUP(VLOOKUP(A1310,'Sales Order'!A:C,3,FALSE),Employee!A:E,5,FALSE)&amp;" "&amp;VLOOKUP(VLOOKUP(A1310,'Sales Order'!A:C,3,FALSE),Employee!A:C,3,FALSE)&amp;" "&amp;VLOOKUP(VLOOKUP(A1310,'Sales Order'!A:C,3,FALSE),Employee!A:B,2,FALSE),"Not Specified")</f>
        <v>Ms. Sara Davis</v>
      </c>
      <c r="I1310" t="str">
        <f>IFERROR(VLOOKUP(VLOOKUP(A1310,'Sales Order'!A:C,3,FALSE),Employee!A:J,10,FALSE),"Not Specified")</f>
        <v>WA</v>
      </c>
      <c r="J1310" t="str">
        <f>VLOOKUP(B1310,Product!A:B,2,FALSE)</f>
        <v>Product POXFU</v>
      </c>
      <c r="K1310" t="str">
        <f>VLOOKUP(VLOOKUP(B1310,Product!A:D,4,FALSE),Category!A:B,2,FALSE)</f>
        <v>Seafood</v>
      </c>
      <c r="L1310" s="24">
        <f>IFERROR(VLOOKUP(A1310,'Sales Order'!A:D,4,FALSE),"")</f>
        <v>39405</v>
      </c>
      <c r="M1310" s="24">
        <f>IFERROR(VLOOKUP(A1310,'Sales Order'!A:F,6,FALSE),"")</f>
        <v>39407</v>
      </c>
      <c r="N1310" t="str">
        <f>IFERROR(VLOOKUP(VLOOKUP(A1310,'Sales Order'!A:G,7,FALSE),Shipper!A:B,2,FALSE),"Not Specified")</f>
        <v>Shipper ZHISN</v>
      </c>
      <c r="O1310" t="str">
        <f>IFERROR(VLOOKUP(A1310,'Sales Order'!A:I,9,FALSE),"Not Specified")</f>
        <v>Destination NRTZZ</v>
      </c>
      <c r="P1310" t="str">
        <f>IFERROR(VLOOKUP(A1310,'Sales Order'!A:N,14,FALSE),"Not Specified")</f>
        <v>Switzerland</v>
      </c>
      <c r="Q1310" t="str">
        <f>VLOOKUP(VLOOKUP(B1310,Product!A:C,3,FALSE),Supplier!A:B,2,FALSE)</f>
        <v>Supplier QWUSF</v>
      </c>
      <c r="R1310" t="str">
        <f>VLOOKUP(VLOOKUP(B1310,Product!A:C,3,FALSE),Supplier!A:I,9,FALSE)</f>
        <v>Japan</v>
      </c>
      <c r="S1310" t="str">
        <f>IFERROR(IF(VLOOKUP(A1310,'Sales Order'!A:H,8,FALSE)&gt;100,"High Freight","Low Freight"),"Not Specified")</f>
        <v>Low Freight</v>
      </c>
      <c r="T1310">
        <f t="shared" si="41"/>
        <v>36</v>
      </c>
    </row>
    <row r="1311" spans="1:20">
      <c r="A1311" s="9">
        <v>10746</v>
      </c>
      <c r="B1311" s="6">
        <v>42</v>
      </c>
      <c r="C1311" s="6">
        <v>14</v>
      </c>
      <c r="D1311" s="6">
        <v>28</v>
      </c>
      <c r="E1311" s="18">
        <v>0</v>
      </c>
      <c r="F1311" s="6" t="str">
        <f>IFERROR(VLOOKUP(VLOOKUP(A1311,'Sales Order'!A:B,2,FALSE),Customer!A:C,3,FALSE),"Not Specified")</f>
        <v>Jelitto, Jacek</v>
      </c>
      <c r="G1311" s="6" t="str">
        <f t="shared" si="40"/>
        <v>Jelitto Jacek</v>
      </c>
      <c r="H1311" s="22" t="str">
        <f>IFERROR(VLOOKUP(VLOOKUP(A1311,'Sales Order'!A:C,3,FALSE),Employee!A:E,5,FALSE)&amp;" "&amp;VLOOKUP(VLOOKUP(A1311,'Sales Order'!A:C,3,FALSE),Employee!A:C,3,FALSE)&amp;" "&amp;VLOOKUP(VLOOKUP(A1311,'Sales Order'!A:C,3,FALSE),Employee!A:B,2,FALSE),"Not Specified")</f>
        <v>Ms. Sara Davis</v>
      </c>
      <c r="I1311" t="str">
        <f>IFERROR(VLOOKUP(VLOOKUP(A1311,'Sales Order'!A:C,3,FALSE),Employee!A:J,10,FALSE),"Not Specified")</f>
        <v>WA</v>
      </c>
      <c r="J1311" t="str">
        <f>VLOOKUP(B1311,Product!A:B,2,FALSE)</f>
        <v>Product RJVNM</v>
      </c>
      <c r="K1311" t="str">
        <f>VLOOKUP(VLOOKUP(B1311,Product!A:D,4,FALSE),Category!A:B,2,FALSE)</f>
        <v>Grains/Cereals</v>
      </c>
      <c r="L1311" s="24">
        <f>IFERROR(VLOOKUP(A1311,'Sales Order'!A:D,4,FALSE),"")</f>
        <v>39405</v>
      </c>
      <c r="M1311" s="24">
        <f>IFERROR(VLOOKUP(A1311,'Sales Order'!A:F,6,FALSE),"")</f>
        <v>39407</v>
      </c>
      <c r="N1311" t="str">
        <f>IFERROR(VLOOKUP(VLOOKUP(A1311,'Sales Order'!A:G,7,FALSE),Shipper!A:B,2,FALSE),"Not Specified")</f>
        <v>Shipper ZHISN</v>
      </c>
      <c r="O1311" t="str">
        <f>IFERROR(VLOOKUP(A1311,'Sales Order'!A:I,9,FALSE),"Not Specified")</f>
        <v>Destination NRTZZ</v>
      </c>
      <c r="P1311" t="str">
        <f>IFERROR(VLOOKUP(A1311,'Sales Order'!A:N,14,FALSE),"Not Specified")</f>
        <v>Switzerland</v>
      </c>
      <c r="Q1311" t="str">
        <f>VLOOKUP(VLOOKUP(B1311,Product!A:C,3,FALSE),Supplier!A:B,2,FALSE)</f>
        <v>Supplier CIYNM</v>
      </c>
      <c r="R1311" t="str">
        <f>VLOOKUP(VLOOKUP(B1311,Product!A:C,3,FALSE),Supplier!A:I,9,FALSE)</f>
        <v>Singapore</v>
      </c>
      <c r="S1311" t="str">
        <f>IFERROR(IF(VLOOKUP(A1311,'Sales Order'!A:H,8,FALSE)&gt;100,"High Freight","Low Freight"),"Not Specified")</f>
        <v>Low Freight</v>
      </c>
      <c r="T1311">
        <f t="shared" si="41"/>
        <v>392</v>
      </c>
    </row>
    <row r="1312" spans="1:20">
      <c r="A1312" s="9">
        <v>10746</v>
      </c>
      <c r="B1312" s="6">
        <v>62</v>
      </c>
      <c r="C1312" s="6">
        <v>49.3</v>
      </c>
      <c r="D1312" s="6">
        <v>9</v>
      </c>
      <c r="E1312" s="18">
        <v>0</v>
      </c>
      <c r="F1312" s="6" t="str">
        <f>IFERROR(VLOOKUP(VLOOKUP(A1312,'Sales Order'!A:B,2,FALSE),Customer!A:C,3,FALSE),"Not Specified")</f>
        <v>Jelitto, Jacek</v>
      </c>
      <c r="G1312" s="6" t="str">
        <f t="shared" si="40"/>
        <v>Jelitto Jacek</v>
      </c>
      <c r="H1312" s="22" t="str">
        <f>IFERROR(VLOOKUP(VLOOKUP(A1312,'Sales Order'!A:C,3,FALSE),Employee!A:E,5,FALSE)&amp;" "&amp;VLOOKUP(VLOOKUP(A1312,'Sales Order'!A:C,3,FALSE),Employee!A:C,3,FALSE)&amp;" "&amp;VLOOKUP(VLOOKUP(A1312,'Sales Order'!A:C,3,FALSE),Employee!A:B,2,FALSE),"Not Specified")</f>
        <v>Ms. Sara Davis</v>
      </c>
      <c r="I1312" t="str">
        <f>IFERROR(VLOOKUP(VLOOKUP(A1312,'Sales Order'!A:C,3,FALSE),Employee!A:J,10,FALSE),"Not Specified")</f>
        <v>WA</v>
      </c>
      <c r="J1312" t="str">
        <f>VLOOKUP(B1312,Product!A:B,2,FALSE)</f>
        <v>Product WUXYK</v>
      </c>
      <c r="K1312" t="str">
        <f>VLOOKUP(VLOOKUP(B1312,Product!A:D,4,FALSE),Category!A:B,2,FALSE)</f>
        <v>Confections</v>
      </c>
      <c r="L1312" s="24">
        <f>IFERROR(VLOOKUP(A1312,'Sales Order'!A:D,4,FALSE),"")</f>
        <v>39405</v>
      </c>
      <c r="M1312" s="24">
        <f>IFERROR(VLOOKUP(A1312,'Sales Order'!A:F,6,FALSE),"")</f>
        <v>39407</v>
      </c>
      <c r="N1312" t="str">
        <f>IFERROR(VLOOKUP(VLOOKUP(A1312,'Sales Order'!A:G,7,FALSE),Shipper!A:B,2,FALSE),"Not Specified")</f>
        <v>Shipper ZHISN</v>
      </c>
      <c r="O1312" t="str">
        <f>IFERROR(VLOOKUP(A1312,'Sales Order'!A:I,9,FALSE),"Not Specified")</f>
        <v>Destination NRTZZ</v>
      </c>
      <c r="P1312" t="str">
        <f>IFERROR(VLOOKUP(A1312,'Sales Order'!A:N,14,FALSE),"Not Specified")</f>
        <v>Switzerland</v>
      </c>
      <c r="Q1312" t="str">
        <f>VLOOKUP(VLOOKUP(B1312,Product!A:C,3,FALSE),Supplier!A:B,2,FALSE)</f>
        <v>Supplier OGLRK</v>
      </c>
      <c r="R1312" t="str">
        <f>VLOOKUP(VLOOKUP(B1312,Product!A:C,3,FALSE),Supplier!A:I,9,FALSE)</f>
        <v>Canada</v>
      </c>
      <c r="S1312" t="str">
        <f>IFERROR(IF(VLOOKUP(A1312,'Sales Order'!A:H,8,FALSE)&gt;100,"High Freight","Low Freight"),"Not Specified")</f>
        <v>Low Freight</v>
      </c>
      <c r="T1312">
        <f t="shared" si="41"/>
        <v>443.7</v>
      </c>
    </row>
    <row r="1313" spans="1:20">
      <c r="A1313" s="9">
        <v>10746</v>
      </c>
      <c r="B1313" s="6">
        <v>69</v>
      </c>
      <c r="C1313" s="6">
        <v>36</v>
      </c>
      <c r="D1313" s="6">
        <v>40</v>
      </c>
      <c r="E1313" s="18">
        <v>0</v>
      </c>
      <c r="F1313" s="6" t="str">
        <f>IFERROR(VLOOKUP(VLOOKUP(A1313,'Sales Order'!A:B,2,FALSE),Customer!A:C,3,FALSE),"Not Specified")</f>
        <v>Jelitto, Jacek</v>
      </c>
      <c r="G1313" s="6" t="str">
        <f t="shared" si="40"/>
        <v>Jelitto Jacek</v>
      </c>
      <c r="H1313" s="22" t="str">
        <f>IFERROR(VLOOKUP(VLOOKUP(A1313,'Sales Order'!A:C,3,FALSE),Employee!A:E,5,FALSE)&amp;" "&amp;VLOOKUP(VLOOKUP(A1313,'Sales Order'!A:C,3,FALSE),Employee!A:C,3,FALSE)&amp;" "&amp;VLOOKUP(VLOOKUP(A1313,'Sales Order'!A:C,3,FALSE),Employee!A:B,2,FALSE),"Not Specified")</f>
        <v>Ms. Sara Davis</v>
      </c>
      <c r="I1313" t="str">
        <f>IFERROR(VLOOKUP(VLOOKUP(A1313,'Sales Order'!A:C,3,FALSE),Employee!A:J,10,FALSE),"Not Specified")</f>
        <v>WA</v>
      </c>
      <c r="J1313" t="str">
        <f>VLOOKUP(B1313,Product!A:B,2,FALSE)</f>
        <v>Product COAXA</v>
      </c>
      <c r="K1313" t="str">
        <f>VLOOKUP(VLOOKUP(B1313,Product!A:D,4,FALSE),Category!A:B,2,FALSE)</f>
        <v>Dairy Product</v>
      </c>
      <c r="L1313" s="24">
        <f>IFERROR(VLOOKUP(A1313,'Sales Order'!A:D,4,FALSE),"")</f>
        <v>39405</v>
      </c>
      <c r="M1313" s="24">
        <f>IFERROR(VLOOKUP(A1313,'Sales Order'!A:F,6,FALSE),"")</f>
        <v>39407</v>
      </c>
      <c r="N1313" t="str">
        <f>IFERROR(VLOOKUP(VLOOKUP(A1313,'Sales Order'!A:G,7,FALSE),Shipper!A:B,2,FALSE),"Not Specified")</f>
        <v>Shipper ZHISN</v>
      </c>
      <c r="O1313" t="str">
        <f>IFERROR(VLOOKUP(A1313,'Sales Order'!A:I,9,FALSE),"Not Specified")</f>
        <v>Destination NRTZZ</v>
      </c>
      <c r="P1313" t="str">
        <f>IFERROR(VLOOKUP(A1313,'Sales Order'!A:N,14,FALSE),"Not Specified")</f>
        <v>Switzerland</v>
      </c>
      <c r="Q1313" t="str">
        <f>VLOOKUP(VLOOKUP(B1313,Product!A:C,3,FALSE),Supplier!A:B,2,FALSE)</f>
        <v>Supplier NZLIF</v>
      </c>
      <c r="R1313" t="str">
        <f>VLOOKUP(VLOOKUP(B1313,Product!A:C,3,FALSE),Supplier!A:I,9,FALSE)</f>
        <v>Norway</v>
      </c>
      <c r="S1313" t="str">
        <f>IFERROR(IF(VLOOKUP(A1313,'Sales Order'!A:H,8,FALSE)&gt;100,"High Freight","Low Freight"),"Not Specified")</f>
        <v>Low Freight</v>
      </c>
      <c r="T1313">
        <f t="shared" si="41"/>
        <v>1440</v>
      </c>
    </row>
    <row r="1314" spans="1:20">
      <c r="A1314" s="9">
        <v>10747</v>
      </c>
      <c r="B1314" s="6">
        <v>31</v>
      </c>
      <c r="C1314" s="6">
        <v>12.5</v>
      </c>
      <c r="D1314" s="6">
        <v>8</v>
      </c>
      <c r="E1314" s="18">
        <v>0</v>
      </c>
      <c r="F1314" s="6" t="str">
        <f>IFERROR(VLOOKUP(VLOOKUP(A1314,'Sales Order'!A:B,2,FALSE),Customer!A:C,3,FALSE),"Not Specified")</f>
        <v>Meston, Tosh</v>
      </c>
      <c r="G1314" s="6" t="str">
        <f t="shared" si="40"/>
        <v>Meston Tosh</v>
      </c>
      <c r="H1314" s="22" t="str">
        <f>IFERROR(VLOOKUP(VLOOKUP(A1314,'Sales Order'!A:C,3,FALSE),Employee!A:E,5,FALSE)&amp;" "&amp;VLOOKUP(VLOOKUP(A1314,'Sales Order'!A:C,3,FALSE),Employee!A:C,3,FALSE)&amp;" "&amp;VLOOKUP(VLOOKUP(A1314,'Sales Order'!A:C,3,FALSE),Employee!A:B,2,FALSE),"Not Specified")</f>
        <v>Mr. Paul Suurs</v>
      </c>
      <c r="I1314">
        <f>IFERROR(VLOOKUP(VLOOKUP(A1314,'Sales Order'!A:C,3,FALSE),Employee!A:J,10,FALSE),"Not Specified")</f>
        <v>0</v>
      </c>
      <c r="J1314" t="str">
        <f>VLOOKUP(B1314,Product!A:B,2,FALSE)</f>
        <v>Product XWOXC</v>
      </c>
      <c r="K1314" t="str">
        <f>VLOOKUP(VLOOKUP(B1314,Product!A:D,4,FALSE),Category!A:B,2,FALSE)</f>
        <v>Dairy Product</v>
      </c>
      <c r="L1314" s="24">
        <f>IFERROR(VLOOKUP(A1314,'Sales Order'!A:D,4,FALSE),"")</f>
        <v>39405</v>
      </c>
      <c r="M1314" s="24">
        <f>IFERROR(VLOOKUP(A1314,'Sales Order'!A:F,6,FALSE),"")</f>
        <v>39412</v>
      </c>
      <c r="N1314" t="str">
        <f>IFERROR(VLOOKUP(VLOOKUP(A1314,'Sales Order'!A:G,7,FALSE),Shipper!A:B,2,FALSE),"Not Specified")</f>
        <v>Shipper GVSUA</v>
      </c>
      <c r="O1314" t="str">
        <f>IFERROR(VLOOKUP(A1314,'Sales Order'!A:I,9,FALSE),"Not Specified")</f>
        <v>Ship to 59-B</v>
      </c>
      <c r="P1314" t="str">
        <f>IFERROR(VLOOKUP(A1314,'Sales Order'!A:N,14,FALSE),"Not Specified")</f>
        <v>Austria</v>
      </c>
      <c r="Q1314" t="str">
        <f>VLOOKUP(VLOOKUP(B1314,Product!A:C,3,FALSE),Supplier!A:B,2,FALSE)</f>
        <v>Supplier KEREV</v>
      </c>
      <c r="R1314" t="str">
        <f>VLOOKUP(VLOOKUP(B1314,Product!A:C,3,FALSE),Supplier!A:I,9,FALSE)</f>
        <v>Italy</v>
      </c>
      <c r="S1314" t="str">
        <f>IFERROR(IF(VLOOKUP(A1314,'Sales Order'!A:H,8,FALSE)&gt;100,"High Freight","Low Freight"),"Not Specified")</f>
        <v>High Freight</v>
      </c>
      <c r="T1314">
        <f t="shared" si="41"/>
        <v>100</v>
      </c>
    </row>
    <row r="1315" spans="1:20">
      <c r="A1315" s="9">
        <v>10747</v>
      </c>
      <c r="B1315" s="6">
        <v>41</v>
      </c>
      <c r="C1315" s="6">
        <v>9.65</v>
      </c>
      <c r="D1315" s="6">
        <v>35</v>
      </c>
      <c r="E1315" s="18">
        <v>0</v>
      </c>
      <c r="F1315" s="6" t="str">
        <f>IFERROR(VLOOKUP(VLOOKUP(A1315,'Sales Order'!A:B,2,FALSE),Customer!A:C,3,FALSE),"Not Specified")</f>
        <v>Meston, Tosh</v>
      </c>
      <c r="G1315" s="6" t="str">
        <f t="shared" si="40"/>
        <v>Meston Tosh</v>
      </c>
      <c r="H1315" s="22" t="str">
        <f>IFERROR(VLOOKUP(VLOOKUP(A1315,'Sales Order'!A:C,3,FALSE),Employee!A:E,5,FALSE)&amp;" "&amp;VLOOKUP(VLOOKUP(A1315,'Sales Order'!A:C,3,FALSE),Employee!A:C,3,FALSE)&amp;" "&amp;VLOOKUP(VLOOKUP(A1315,'Sales Order'!A:C,3,FALSE),Employee!A:B,2,FALSE),"Not Specified")</f>
        <v>Mr. Paul Suurs</v>
      </c>
      <c r="I1315">
        <f>IFERROR(VLOOKUP(VLOOKUP(A1315,'Sales Order'!A:C,3,FALSE),Employee!A:J,10,FALSE),"Not Specified")</f>
        <v>0</v>
      </c>
      <c r="J1315" t="str">
        <f>VLOOKUP(B1315,Product!A:B,2,FALSE)</f>
        <v>Product TTEEX</v>
      </c>
      <c r="K1315" t="str">
        <f>VLOOKUP(VLOOKUP(B1315,Product!A:D,4,FALSE),Category!A:B,2,FALSE)</f>
        <v>Seafood</v>
      </c>
      <c r="L1315" s="24">
        <f>IFERROR(VLOOKUP(A1315,'Sales Order'!A:D,4,FALSE),"")</f>
        <v>39405</v>
      </c>
      <c r="M1315" s="24">
        <f>IFERROR(VLOOKUP(A1315,'Sales Order'!A:F,6,FALSE),"")</f>
        <v>39412</v>
      </c>
      <c r="N1315" t="str">
        <f>IFERROR(VLOOKUP(VLOOKUP(A1315,'Sales Order'!A:G,7,FALSE),Shipper!A:B,2,FALSE),"Not Specified")</f>
        <v>Shipper GVSUA</v>
      </c>
      <c r="O1315" t="str">
        <f>IFERROR(VLOOKUP(A1315,'Sales Order'!A:I,9,FALSE),"Not Specified")</f>
        <v>Ship to 59-B</v>
      </c>
      <c r="P1315" t="str">
        <f>IFERROR(VLOOKUP(A1315,'Sales Order'!A:N,14,FALSE),"Not Specified")</f>
        <v>Austria</v>
      </c>
      <c r="Q1315" t="str">
        <f>VLOOKUP(VLOOKUP(B1315,Product!A:C,3,FALSE),Supplier!A:B,2,FALSE)</f>
        <v>Supplier JDNUG</v>
      </c>
      <c r="R1315" t="str">
        <f>VLOOKUP(VLOOKUP(B1315,Product!A:C,3,FALSE),Supplier!A:I,9,FALSE)</f>
        <v>USA</v>
      </c>
      <c r="S1315" t="str">
        <f>IFERROR(IF(VLOOKUP(A1315,'Sales Order'!A:H,8,FALSE)&gt;100,"High Freight","Low Freight"),"Not Specified")</f>
        <v>High Freight</v>
      </c>
      <c r="T1315">
        <f t="shared" si="41"/>
        <v>337.75</v>
      </c>
    </row>
    <row r="1316" spans="1:20">
      <c r="A1316" s="9">
        <v>10747</v>
      </c>
      <c r="B1316" s="6">
        <v>63</v>
      </c>
      <c r="C1316" s="6">
        <v>43.9</v>
      </c>
      <c r="D1316" s="6">
        <v>9</v>
      </c>
      <c r="E1316" s="18">
        <v>0</v>
      </c>
      <c r="F1316" s="6" t="str">
        <f>IFERROR(VLOOKUP(VLOOKUP(A1316,'Sales Order'!A:B,2,FALSE),Customer!A:C,3,FALSE),"Not Specified")</f>
        <v>Meston, Tosh</v>
      </c>
      <c r="G1316" s="6" t="str">
        <f t="shared" si="40"/>
        <v>Meston Tosh</v>
      </c>
      <c r="H1316" s="22" t="str">
        <f>IFERROR(VLOOKUP(VLOOKUP(A1316,'Sales Order'!A:C,3,FALSE),Employee!A:E,5,FALSE)&amp;" "&amp;VLOOKUP(VLOOKUP(A1316,'Sales Order'!A:C,3,FALSE),Employee!A:C,3,FALSE)&amp;" "&amp;VLOOKUP(VLOOKUP(A1316,'Sales Order'!A:C,3,FALSE),Employee!A:B,2,FALSE),"Not Specified")</f>
        <v>Mr. Paul Suurs</v>
      </c>
      <c r="I1316">
        <f>IFERROR(VLOOKUP(VLOOKUP(A1316,'Sales Order'!A:C,3,FALSE),Employee!A:J,10,FALSE),"Not Specified")</f>
        <v>0</v>
      </c>
      <c r="J1316" t="str">
        <f>VLOOKUP(B1316,Product!A:B,2,FALSE)</f>
        <v>Product ICKNK</v>
      </c>
      <c r="K1316" t="str">
        <f>VLOOKUP(VLOOKUP(B1316,Product!A:D,4,FALSE),Category!A:B,2,FALSE)</f>
        <v>Condiments</v>
      </c>
      <c r="L1316" s="24">
        <f>IFERROR(VLOOKUP(A1316,'Sales Order'!A:D,4,FALSE),"")</f>
        <v>39405</v>
      </c>
      <c r="M1316" s="24">
        <f>IFERROR(VLOOKUP(A1316,'Sales Order'!A:F,6,FALSE),"")</f>
        <v>39412</v>
      </c>
      <c r="N1316" t="str">
        <f>IFERROR(VLOOKUP(VLOOKUP(A1316,'Sales Order'!A:G,7,FALSE),Shipper!A:B,2,FALSE),"Not Specified")</f>
        <v>Shipper GVSUA</v>
      </c>
      <c r="O1316" t="str">
        <f>IFERROR(VLOOKUP(A1316,'Sales Order'!A:I,9,FALSE),"Not Specified")</f>
        <v>Ship to 59-B</v>
      </c>
      <c r="P1316" t="str">
        <f>IFERROR(VLOOKUP(A1316,'Sales Order'!A:N,14,FALSE),"Not Specified")</f>
        <v>Austria</v>
      </c>
      <c r="Q1316" t="str">
        <f>VLOOKUP(VLOOKUP(B1316,Product!A:C,3,FALSE),Supplier!A:B,2,FALSE)</f>
        <v>Supplier GQRCV</v>
      </c>
      <c r="R1316" t="str">
        <f>VLOOKUP(VLOOKUP(B1316,Product!A:C,3,FALSE),Supplier!A:I,9,FALSE)</f>
        <v>Australia</v>
      </c>
      <c r="S1316" t="str">
        <f>IFERROR(IF(VLOOKUP(A1316,'Sales Order'!A:H,8,FALSE)&gt;100,"High Freight","Low Freight"),"Not Specified")</f>
        <v>High Freight</v>
      </c>
      <c r="T1316">
        <f t="shared" si="41"/>
        <v>395.09999999999997</v>
      </c>
    </row>
    <row r="1317" spans="1:20">
      <c r="A1317" s="9">
        <v>10747</v>
      </c>
      <c r="B1317" s="6">
        <v>69</v>
      </c>
      <c r="C1317" s="6">
        <v>36</v>
      </c>
      <c r="D1317" s="6">
        <v>30</v>
      </c>
      <c r="E1317" s="18">
        <v>0</v>
      </c>
      <c r="F1317" s="6" t="str">
        <f>IFERROR(VLOOKUP(VLOOKUP(A1317,'Sales Order'!A:B,2,FALSE),Customer!A:C,3,FALSE),"Not Specified")</f>
        <v>Meston, Tosh</v>
      </c>
      <c r="G1317" s="6" t="str">
        <f t="shared" si="40"/>
        <v>Meston Tosh</v>
      </c>
      <c r="H1317" s="22" t="str">
        <f>IFERROR(VLOOKUP(VLOOKUP(A1317,'Sales Order'!A:C,3,FALSE),Employee!A:E,5,FALSE)&amp;" "&amp;VLOOKUP(VLOOKUP(A1317,'Sales Order'!A:C,3,FALSE),Employee!A:C,3,FALSE)&amp;" "&amp;VLOOKUP(VLOOKUP(A1317,'Sales Order'!A:C,3,FALSE),Employee!A:B,2,FALSE),"Not Specified")</f>
        <v>Mr. Paul Suurs</v>
      </c>
      <c r="I1317">
        <f>IFERROR(VLOOKUP(VLOOKUP(A1317,'Sales Order'!A:C,3,FALSE),Employee!A:J,10,FALSE),"Not Specified")</f>
        <v>0</v>
      </c>
      <c r="J1317" t="str">
        <f>VLOOKUP(B1317,Product!A:B,2,FALSE)</f>
        <v>Product COAXA</v>
      </c>
      <c r="K1317" t="str">
        <f>VLOOKUP(VLOOKUP(B1317,Product!A:D,4,FALSE),Category!A:B,2,FALSE)</f>
        <v>Dairy Product</v>
      </c>
      <c r="L1317" s="24">
        <f>IFERROR(VLOOKUP(A1317,'Sales Order'!A:D,4,FALSE),"")</f>
        <v>39405</v>
      </c>
      <c r="M1317" s="24">
        <f>IFERROR(VLOOKUP(A1317,'Sales Order'!A:F,6,FALSE),"")</f>
        <v>39412</v>
      </c>
      <c r="N1317" t="str">
        <f>IFERROR(VLOOKUP(VLOOKUP(A1317,'Sales Order'!A:G,7,FALSE),Shipper!A:B,2,FALSE),"Not Specified")</f>
        <v>Shipper GVSUA</v>
      </c>
      <c r="O1317" t="str">
        <f>IFERROR(VLOOKUP(A1317,'Sales Order'!A:I,9,FALSE),"Not Specified")</f>
        <v>Ship to 59-B</v>
      </c>
      <c r="P1317" t="str">
        <f>IFERROR(VLOOKUP(A1317,'Sales Order'!A:N,14,FALSE),"Not Specified")</f>
        <v>Austria</v>
      </c>
      <c r="Q1317" t="str">
        <f>VLOOKUP(VLOOKUP(B1317,Product!A:C,3,FALSE),Supplier!A:B,2,FALSE)</f>
        <v>Supplier NZLIF</v>
      </c>
      <c r="R1317" t="str">
        <f>VLOOKUP(VLOOKUP(B1317,Product!A:C,3,FALSE),Supplier!A:I,9,FALSE)</f>
        <v>Norway</v>
      </c>
      <c r="S1317" t="str">
        <f>IFERROR(IF(VLOOKUP(A1317,'Sales Order'!A:H,8,FALSE)&gt;100,"High Freight","Low Freight"),"Not Specified")</f>
        <v>High Freight</v>
      </c>
      <c r="T1317">
        <f t="shared" si="41"/>
        <v>1080</v>
      </c>
    </row>
    <row r="1318" spans="1:20">
      <c r="A1318" s="9">
        <v>10748</v>
      </c>
      <c r="B1318" s="6">
        <v>23</v>
      </c>
      <c r="C1318" s="6">
        <v>9</v>
      </c>
      <c r="D1318" s="6">
        <v>44</v>
      </c>
      <c r="E1318" s="18">
        <v>0</v>
      </c>
      <c r="F1318" s="6" t="str">
        <f>IFERROR(VLOOKUP(VLOOKUP(A1318,'Sales Order'!A:B,2,FALSE),Customer!A:C,3,FALSE),"Not Specified")</f>
        <v>Navarro, Tomás</v>
      </c>
      <c r="G1318" s="6" t="str">
        <f t="shared" si="40"/>
        <v>Navarro Tomás</v>
      </c>
      <c r="H1318" s="22" t="str">
        <f>IFERROR(VLOOKUP(VLOOKUP(A1318,'Sales Order'!A:C,3,FALSE),Employee!A:E,5,FALSE)&amp;" "&amp;VLOOKUP(VLOOKUP(A1318,'Sales Order'!A:C,3,FALSE),Employee!A:C,3,FALSE)&amp;" "&amp;VLOOKUP(VLOOKUP(A1318,'Sales Order'!A:C,3,FALSE),Employee!A:B,2,FALSE),"Not Specified")</f>
        <v>Ms. Judy Lew</v>
      </c>
      <c r="I1318" t="str">
        <f>IFERROR(VLOOKUP(VLOOKUP(A1318,'Sales Order'!A:C,3,FALSE),Employee!A:J,10,FALSE),"Not Specified")</f>
        <v>WA</v>
      </c>
      <c r="J1318" t="str">
        <f>VLOOKUP(B1318,Product!A:B,2,FALSE)</f>
        <v>Product JLUDZ</v>
      </c>
      <c r="K1318" t="str">
        <f>VLOOKUP(VLOOKUP(B1318,Product!A:D,4,FALSE),Category!A:B,2,FALSE)</f>
        <v>Grains/Cereals</v>
      </c>
      <c r="L1318" s="24">
        <f>IFERROR(VLOOKUP(A1318,'Sales Order'!A:D,4,FALSE),"")</f>
        <v>39406</v>
      </c>
      <c r="M1318" s="24">
        <f>IFERROR(VLOOKUP(A1318,'Sales Order'!A:F,6,FALSE),"")</f>
        <v>39414</v>
      </c>
      <c r="N1318" t="str">
        <f>IFERROR(VLOOKUP(VLOOKUP(A1318,'Sales Order'!A:G,7,FALSE),Shipper!A:B,2,FALSE),"Not Specified")</f>
        <v>Shipper GVSUA</v>
      </c>
      <c r="O1318" t="str">
        <f>IFERROR(VLOOKUP(A1318,'Sales Order'!A:I,9,FALSE),"Not Specified")</f>
        <v>Ship to 71-B</v>
      </c>
      <c r="P1318" t="str">
        <f>IFERROR(VLOOKUP(A1318,'Sales Order'!A:N,14,FALSE),"Not Specified")</f>
        <v>USA</v>
      </c>
      <c r="Q1318" t="str">
        <f>VLOOKUP(VLOOKUP(B1318,Product!A:C,3,FALSE),Supplier!A:B,2,FALSE)</f>
        <v>Supplier QQYEU</v>
      </c>
      <c r="R1318" t="str">
        <f>VLOOKUP(VLOOKUP(B1318,Product!A:C,3,FALSE),Supplier!A:I,9,FALSE)</f>
        <v>Sweden</v>
      </c>
      <c r="S1318" t="str">
        <f>IFERROR(IF(VLOOKUP(A1318,'Sales Order'!A:H,8,FALSE)&gt;100,"High Freight","Low Freight"),"Not Specified")</f>
        <v>High Freight</v>
      </c>
      <c r="T1318">
        <f t="shared" si="41"/>
        <v>396</v>
      </c>
    </row>
    <row r="1319" spans="1:20">
      <c r="A1319" s="9">
        <v>10748</v>
      </c>
      <c r="B1319" s="6">
        <v>40</v>
      </c>
      <c r="C1319" s="6">
        <v>18.399999999999999</v>
      </c>
      <c r="D1319" s="6">
        <v>40</v>
      </c>
      <c r="E1319" s="18">
        <v>0</v>
      </c>
      <c r="F1319" s="6" t="str">
        <f>IFERROR(VLOOKUP(VLOOKUP(A1319,'Sales Order'!A:B,2,FALSE),Customer!A:C,3,FALSE),"Not Specified")</f>
        <v>Navarro, Tomás</v>
      </c>
      <c r="G1319" s="6" t="str">
        <f t="shared" si="40"/>
        <v>Navarro Tomás</v>
      </c>
      <c r="H1319" s="22" t="str">
        <f>IFERROR(VLOOKUP(VLOOKUP(A1319,'Sales Order'!A:C,3,FALSE),Employee!A:E,5,FALSE)&amp;" "&amp;VLOOKUP(VLOOKUP(A1319,'Sales Order'!A:C,3,FALSE),Employee!A:C,3,FALSE)&amp;" "&amp;VLOOKUP(VLOOKUP(A1319,'Sales Order'!A:C,3,FALSE),Employee!A:B,2,FALSE),"Not Specified")</f>
        <v>Ms. Judy Lew</v>
      </c>
      <c r="I1319" t="str">
        <f>IFERROR(VLOOKUP(VLOOKUP(A1319,'Sales Order'!A:C,3,FALSE),Employee!A:J,10,FALSE),"Not Specified")</f>
        <v>WA</v>
      </c>
      <c r="J1319" t="str">
        <f>VLOOKUP(B1319,Product!A:B,2,FALSE)</f>
        <v>Product YZIXQ</v>
      </c>
      <c r="K1319" t="str">
        <f>VLOOKUP(VLOOKUP(B1319,Product!A:D,4,FALSE),Category!A:B,2,FALSE)</f>
        <v>Seafood</v>
      </c>
      <c r="L1319" s="24">
        <f>IFERROR(VLOOKUP(A1319,'Sales Order'!A:D,4,FALSE),"")</f>
        <v>39406</v>
      </c>
      <c r="M1319" s="24">
        <f>IFERROR(VLOOKUP(A1319,'Sales Order'!A:F,6,FALSE),"")</f>
        <v>39414</v>
      </c>
      <c r="N1319" t="str">
        <f>IFERROR(VLOOKUP(VLOOKUP(A1319,'Sales Order'!A:G,7,FALSE),Shipper!A:B,2,FALSE),"Not Specified")</f>
        <v>Shipper GVSUA</v>
      </c>
      <c r="O1319" t="str">
        <f>IFERROR(VLOOKUP(A1319,'Sales Order'!A:I,9,FALSE),"Not Specified")</f>
        <v>Ship to 71-B</v>
      </c>
      <c r="P1319" t="str">
        <f>IFERROR(VLOOKUP(A1319,'Sales Order'!A:N,14,FALSE),"Not Specified")</f>
        <v>USA</v>
      </c>
      <c r="Q1319" t="str">
        <f>VLOOKUP(VLOOKUP(B1319,Product!A:C,3,FALSE),Supplier!A:B,2,FALSE)</f>
        <v>Supplier JDNUG</v>
      </c>
      <c r="R1319" t="str">
        <f>VLOOKUP(VLOOKUP(B1319,Product!A:C,3,FALSE),Supplier!A:I,9,FALSE)</f>
        <v>USA</v>
      </c>
      <c r="S1319" t="str">
        <f>IFERROR(IF(VLOOKUP(A1319,'Sales Order'!A:H,8,FALSE)&gt;100,"High Freight","Low Freight"),"Not Specified")</f>
        <v>High Freight</v>
      </c>
      <c r="T1319">
        <f t="shared" si="41"/>
        <v>736</v>
      </c>
    </row>
    <row r="1320" spans="1:20">
      <c r="A1320" s="9">
        <v>10748</v>
      </c>
      <c r="B1320" s="6">
        <v>56</v>
      </c>
      <c r="C1320" s="6">
        <v>38</v>
      </c>
      <c r="D1320" s="6">
        <v>28</v>
      </c>
      <c r="E1320" s="18">
        <v>0</v>
      </c>
      <c r="F1320" s="6" t="str">
        <f>IFERROR(VLOOKUP(VLOOKUP(A1320,'Sales Order'!A:B,2,FALSE),Customer!A:C,3,FALSE),"Not Specified")</f>
        <v>Navarro, Tomás</v>
      </c>
      <c r="G1320" s="6" t="str">
        <f t="shared" si="40"/>
        <v>Navarro Tomás</v>
      </c>
      <c r="H1320" s="22" t="str">
        <f>IFERROR(VLOOKUP(VLOOKUP(A1320,'Sales Order'!A:C,3,FALSE),Employee!A:E,5,FALSE)&amp;" "&amp;VLOOKUP(VLOOKUP(A1320,'Sales Order'!A:C,3,FALSE),Employee!A:C,3,FALSE)&amp;" "&amp;VLOOKUP(VLOOKUP(A1320,'Sales Order'!A:C,3,FALSE),Employee!A:B,2,FALSE),"Not Specified")</f>
        <v>Ms. Judy Lew</v>
      </c>
      <c r="I1320" t="str">
        <f>IFERROR(VLOOKUP(VLOOKUP(A1320,'Sales Order'!A:C,3,FALSE),Employee!A:J,10,FALSE),"Not Specified")</f>
        <v>WA</v>
      </c>
      <c r="J1320" t="str">
        <f>VLOOKUP(B1320,Product!A:B,2,FALSE)</f>
        <v>Product VKCMF</v>
      </c>
      <c r="K1320" t="str">
        <f>VLOOKUP(VLOOKUP(B1320,Product!A:D,4,FALSE),Category!A:B,2,FALSE)</f>
        <v>Grains/Cereals</v>
      </c>
      <c r="L1320" s="24">
        <f>IFERROR(VLOOKUP(A1320,'Sales Order'!A:D,4,FALSE),"")</f>
        <v>39406</v>
      </c>
      <c r="M1320" s="24">
        <f>IFERROR(VLOOKUP(A1320,'Sales Order'!A:F,6,FALSE),"")</f>
        <v>39414</v>
      </c>
      <c r="N1320" t="str">
        <f>IFERROR(VLOOKUP(VLOOKUP(A1320,'Sales Order'!A:G,7,FALSE),Shipper!A:B,2,FALSE),"Not Specified")</f>
        <v>Shipper GVSUA</v>
      </c>
      <c r="O1320" t="str">
        <f>IFERROR(VLOOKUP(A1320,'Sales Order'!A:I,9,FALSE),"Not Specified")</f>
        <v>Ship to 71-B</v>
      </c>
      <c r="P1320" t="str">
        <f>IFERROR(VLOOKUP(A1320,'Sales Order'!A:N,14,FALSE),"Not Specified")</f>
        <v>USA</v>
      </c>
      <c r="Q1320" t="str">
        <f>VLOOKUP(VLOOKUP(B1320,Product!A:C,3,FALSE),Supplier!A:B,2,FALSE)</f>
        <v>Supplier ZWZDM</v>
      </c>
      <c r="R1320" t="str">
        <f>VLOOKUP(VLOOKUP(B1320,Product!A:C,3,FALSE),Supplier!A:I,9,FALSE)</f>
        <v>Italy</v>
      </c>
      <c r="S1320" t="str">
        <f>IFERROR(IF(VLOOKUP(A1320,'Sales Order'!A:H,8,FALSE)&gt;100,"High Freight","Low Freight"),"Not Specified")</f>
        <v>High Freight</v>
      </c>
      <c r="T1320">
        <f t="shared" si="41"/>
        <v>1064</v>
      </c>
    </row>
    <row r="1321" spans="1:20">
      <c r="A1321" s="9">
        <v>10749</v>
      </c>
      <c r="B1321" s="6">
        <v>56</v>
      </c>
      <c r="C1321" s="6">
        <v>38</v>
      </c>
      <c r="D1321" s="6">
        <v>15</v>
      </c>
      <c r="E1321" s="18">
        <v>0</v>
      </c>
      <c r="F1321" s="6" t="str">
        <f>IFERROR(VLOOKUP(VLOOKUP(A1321,'Sales Order'!A:B,2,FALSE),Customer!A:C,3,FALSE),"Not Specified")</f>
        <v>Lee, Frank</v>
      </c>
      <c r="G1321" s="6" t="str">
        <f t="shared" si="40"/>
        <v>Lee Frank</v>
      </c>
      <c r="H1321" s="22" t="str">
        <f>IFERROR(VLOOKUP(VLOOKUP(A1321,'Sales Order'!A:C,3,FALSE),Employee!A:E,5,FALSE)&amp;" "&amp;VLOOKUP(VLOOKUP(A1321,'Sales Order'!A:C,3,FALSE),Employee!A:C,3,FALSE)&amp;" "&amp;VLOOKUP(VLOOKUP(A1321,'Sales Order'!A:C,3,FALSE),Employee!A:B,2,FALSE),"Not Specified")</f>
        <v>Mrs. Yael Peled</v>
      </c>
      <c r="I1321" t="str">
        <f>IFERROR(VLOOKUP(VLOOKUP(A1321,'Sales Order'!A:C,3,FALSE),Employee!A:J,10,FALSE),"Not Specified")</f>
        <v>WA</v>
      </c>
      <c r="J1321" t="str">
        <f>VLOOKUP(B1321,Product!A:B,2,FALSE)</f>
        <v>Product VKCMF</v>
      </c>
      <c r="K1321" t="str">
        <f>VLOOKUP(VLOOKUP(B1321,Product!A:D,4,FALSE),Category!A:B,2,FALSE)</f>
        <v>Grains/Cereals</v>
      </c>
      <c r="L1321" s="24">
        <f>IFERROR(VLOOKUP(A1321,'Sales Order'!A:D,4,FALSE),"")</f>
        <v>39406</v>
      </c>
      <c r="M1321" s="24">
        <f>IFERROR(VLOOKUP(A1321,'Sales Order'!A:F,6,FALSE),"")</f>
        <v>39435</v>
      </c>
      <c r="N1321" t="str">
        <f>IFERROR(VLOOKUP(VLOOKUP(A1321,'Sales Order'!A:G,7,FALSE),Shipper!A:B,2,FALSE),"Not Specified")</f>
        <v>Shipper ETYNR</v>
      </c>
      <c r="O1321" t="str">
        <f>IFERROR(VLOOKUP(A1321,'Sales Order'!A:I,9,FALSE),"Not Specified")</f>
        <v>Destination QVTLW</v>
      </c>
      <c r="P1321" t="str">
        <f>IFERROR(VLOOKUP(A1321,'Sales Order'!A:N,14,FALSE),"Not Specified")</f>
        <v>UK</v>
      </c>
      <c r="Q1321" t="str">
        <f>VLOOKUP(VLOOKUP(B1321,Product!A:C,3,FALSE),Supplier!A:B,2,FALSE)</f>
        <v>Supplier ZWZDM</v>
      </c>
      <c r="R1321" t="str">
        <f>VLOOKUP(VLOOKUP(B1321,Product!A:C,3,FALSE),Supplier!A:I,9,FALSE)</f>
        <v>Italy</v>
      </c>
      <c r="S1321" t="str">
        <f>IFERROR(IF(VLOOKUP(A1321,'Sales Order'!A:H,8,FALSE)&gt;100,"High Freight","Low Freight"),"Not Specified")</f>
        <v>Low Freight</v>
      </c>
      <c r="T1321">
        <f t="shared" si="41"/>
        <v>570</v>
      </c>
    </row>
    <row r="1322" spans="1:20">
      <c r="A1322" s="9">
        <v>10749</v>
      </c>
      <c r="B1322" s="6">
        <v>59</v>
      </c>
      <c r="C1322" s="6">
        <v>55</v>
      </c>
      <c r="D1322" s="6">
        <v>6</v>
      </c>
      <c r="E1322" s="18">
        <v>0</v>
      </c>
      <c r="F1322" s="6" t="str">
        <f>IFERROR(VLOOKUP(VLOOKUP(A1322,'Sales Order'!A:B,2,FALSE),Customer!A:C,3,FALSE),"Not Specified")</f>
        <v>Lee, Frank</v>
      </c>
      <c r="G1322" s="6" t="str">
        <f t="shared" si="40"/>
        <v>Lee Frank</v>
      </c>
      <c r="H1322" s="22" t="str">
        <f>IFERROR(VLOOKUP(VLOOKUP(A1322,'Sales Order'!A:C,3,FALSE),Employee!A:E,5,FALSE)&amp;" "&amp;VLOOKUP(VLOOKUP(A1322,'Sales Order'!A:C,3,FALSE),Employee!A:C,3,FALSE)&amp;" "&amp;VLOOKUP(VLOOKUP(A1322,'Sales Order'!A:C,3,FALSE),Employee!A:B,2,FALSE),"Not Specified")</f>
        <v>Mrs. Yael Peled</v>
      </c>
      <c r="I1322" t="str">
        <f>IFERROR(VLOOKUP(VLOOKUP(A1322,'Sales Order'!A:C,3,FALSE),Employee!A:J,10,FALSE),"Not Specified")</f>
        <v>WA</v>
      </c>
      <c r="J1322" t="str">
        <f>VLOOKUP(B1322,Product!A:B,2,FALSE)</f>
        <v>Product UKXRI</v>
      </c>
      <c r="K1322" t="str">
        <f>VLOOKUP(VLOOKUP(B1322,Product!A:D,4,FALSE),Category!A:B,2,FALSE)</f>
        <v>Dairy Product</v>
      </c>
      <c r="L1322" s="24">
        <f>IFERROR(VLOOKUP(A1322,'Sales Order'!A:D,4,FALSE),"")</f>
        <v>39406</v>
      </c>
      <c r="M1322" s="24">
        <f>IFERROR(VLOOKUP(A1322,'Sales Order'!A:F,6,FALSE),"")</f>
        <v>39435</v>
      </c>
      <c r="N1322" t="str">
        <f>IFERROR(VLOOKUP(VLOOKUP(A1322,'Sales Order'!A:G,7,FALSE),Shipper!A:B,2,FALSE),"Not Specified")</f>
        <v>Shipper ETYNR</v>
      </c>
      <c r="O1322" t="str">
        <f>IFERROR(VLOOKUP(A1322,'Sales Order'!A:I,9,FALSE),"Not Specified")</f>
        <v>Destination QVTLW</v>
      </c>
      <c r="P1322" t="str">
        <f>IFERROR(VLOOKUP(A1322,'Sales Order'!A:N,14,FALSE),"Not Specified")</f>
        <v>UK</v>
      </c>
      <c r="Q1322" t="str">
        <f>VLOOKUP(VLOOKUP(B1322,Product!A:C,3,FALSE),Supplier!A:B,2,FALSE)</f>
        <v>Supplier OAVQT</v>
      </c>
      <c r="R1322" t="str">
        <f>VLOOKUP(VLOOKUP(B1322,Product!A:C,3,FALSE),Supplier!A:I,9,FALSE)</f>
        <v>France</v>
      </c>
      <c r="S1322" t="str">
        <f>IFERROR(IF(VLOOKUP(A1322,'Sales Order'!A:H,8,FALSE)&gt;100,"High Freight","Low Freight"),"Not Specified")</f>
        <v>Low Freight</v>
      </c>
      <c r="T1322">
        <f t="shared" si="41"/>
        <v>330</v>
      </c>
    </row>
    <row r="1323" spans="1:20">
      <c r="A1323" s="9">
        <v>10749</v>
      </c>
      <c r="B1323" s="6">
        <v>76</v>
      </c>
      <c r="C1323" s="6">
        <v>18</v>
      </c>
      <c r="D1323" s="6">
        <v>10</v>
      </c>
      <c r="E1323" s="18">
        <v>0</v>
      </c>
      <c r="F1323" s="6" t="str">
        <f>IFERROR(VLOOKUP(VLOOKUP(A1323,'Sales Order'!A:B,2,FALSE),Customer!A:C,3,FALSE),"Not Specified")</f>
        <v>Lee, Frank</v>
      </c>
      <c r="G1323" s="6" t="str">
        <f t="shared" si="40"/>
        <v>Lee Frank</v>
      </c>
      <c r="H1323" s="22" t="str">
        <f>IFERROR(VLOOKUP(VLOOKUP(A1323,'Sales Order'!A:C,3,FALSE),Employee!A:E,5,FALSE)&amp;" "&amp;VLOOKUP(VLOOKUP(A1323,'Sales Order'!A:C,3,FALSE),Employee!A:C,3,FALSE)&amp;" "&amp;VLOOKUP(VLOOKUP(A1323,'Sales Order'!A:C,3,FALSE),Employee!A:B,2,FALSE),"Not Specified")</f>
        <v>Mrs. Yael Peled</v>
      </c>
      <c r="I1323" t="str">
        <f>IFERROR(VLOOKUP(VLOOKUP(A1323,'Sales Order'!A:C,3,FALSE),Employee!A:J,10,FALSE),"Not Specified")</f>
        <v>WA</v>
      </c>
      <c r="J1323" t="str">
        <f>VLOOKUP(B1323,Product!A:B,2,FALSE)</f>
        <v>Product JYGFE</v>
      </c>
      <c r="K1323" t="str">
        <f>VLOOKUP(VLOOKUP(B1323,Product!A:D,4,FALSE),Category!A:B,2,FALSE)</f>
        <v>Beverages</v>
      </c>
      <c r="L1323" s="24">
        <f>IFERROR(VLOOKUP(A1323,'Sales Order'!A:D,4,FALSE),"")</f>
        <v>39406</v>
      </c>
      <c r="M1323" s="24">
        <f>IFERROR(VLOOKUP(A1323,'Sales Order'!A:F,6,FALSE),"")</f>
        <v>39435</v>
      </c>
      <c r="N1323" t="str">
        <f>IFERROR(VLOOKUP(VLOOKUP(A1323,'Sales Order'!A:G,7,FALSE),Shipper!A:B,2,FALSE),"Not Specified")</f>
        <v>Shipper ETYNR</v>
      </c>
      <c r="O1323" t="str">
        <f>IFERROR(VLOOKUP(A1323,'Sales Order'!A:I,9,FALSE),"Not Specified")</f>
        <v>Destination QVTLW</v>
      </c>
      <c r="P1323" t="str">
        <f>IFERROR(VLOOKUP(A1323,'Sales Order'!A:N,14,FALSE),"Not Specified")</f>
        <v>UK</v>
      </c>
      <c r="Q1323" t="str">
        <f>VLOOKUP(VLOOKUP(B1323,Product!A:C,3,FALSE),Supplier!A:B,2,FALSE)</f>
        <v>Supplier ELCRN</v>
      </c>
      <c r="R1323" t="str">
        <f>VLOOKUP(VLOOKUP(B1323,Product!A:C,3,FALSE),Supplier!A:I,9,FALSE)</f>
        <v>Finland</v>
      </c>
      <c r="S1323" t="str">
        <f>IFERROR(IF(VLOOKUP(A1323,'Sales Order'!A:H,8,FALSE)&gt;100,"High Freight","Low Freight"),"Not Specified")</f>
        <v>Low Freight</v>
      </c>
      <c r="T1323">
        <f t="shared" si="41"/>
        <v>180</v>
      </c>
    </row>
    <row r="1324" spans="1:20">
      <c r="A1324" s="9">
        <v>10750</v>
      </c>
      <c r="B1324" s="6">
        <v>14</v>
      </c>
      <c r="C1324" s="6">
        <v>23.25</v>
      </c>
      <c r="D1324" s="6">
        <v>5</v>
      </c>
      <c r="E1324" s="18">
        <v>0.15</v>
      </c>
      <c r="F1324" s="6" t="str">
        <f>IFERROR(VLOOKUP(VLOOKUP(A1324,'Sales Order'!A:B,2,FALSE),Customer!A:C,3,FALSE),"Not Specified")</f>
        <v>Ludwig, Michael</v>
      </c>
      <c r="G1324" s="6" t="str">
        <f t="shared" si="40"/>
        <v>Ludwig Michael</v>
      </c>
      <c r="H1324" s="22" t="str">
        <f>IFERROR(VLOOKUP(VLOOKUP(A1324,'Sales Order'!A:C,3,FALSE),Employee!A:E,5,FALSE)&amp;" "&amp;VLOOKUP(VLOOKUP(A1324,'Sales Order'!A:C,3,FALSE),Employee!A:C,3,FALSE)&amp;" "&amp;VLOOKUP(VLOOKUP(A1324,'Sales Order'!A:C,3,FALSE),Employee!A:B,2,FALSE),"Not Specified")</f>
        <v>Ms. Zoya Dolgopyatova</v>
      </c>
      <c r="I1324">
        <f>IFERROR(VLOOKUP(VLOOKUP(A1324,'Sales Order'!A:C,3,FALSE),Employee!A:J,10,FALSE),"Not Specified")</f>
        <v>0</v>
      </c>
      <c r="J1324" t="str">
        <f>VLOOKUP(B1324,Product!A:B,2,FALSE)</f>
        <v>Product PWCJB</v>
      </c>
      <c r="K1324" t="str">
        <f>VLOOKUP(VLOOKUP(B1324,Product!A:D,4,FALSE),Category!A:B,2,FALSE)</f>
        <v>Produce</v>
      </c>
      <c r="L1324" s="24">
        <f>IFERROR(VLOOKUP(A1324,'Sales Order'!A:D,4,FALSE),"")</f>
        <v>39407</v>
      </c>
      <c r="M1324" s="24">
        <f>IFERROR(VLOOKUP(A1324,'Sales Order'!A:F,6,FALSE),"")</f>
        <v>39410</v>
      </c>
      <c r="N1324" t="str">
        <f>IFERROR(VLOOKUP(VLOOKUP(A1324,'Sales Order'!A:G,7,FALSE),Shipper!A:B,2,FALSE),"Not Specified")</f>
        <v>Shipper GVSUA</v>
      </c>
      <c r="O1324" t="str">
        <f>IFERROR(VLOOKUP(A1324,'Sales Order'!A:I,9,FALSE),"Not Specified")</f>
        <v>Ship to 87-C</v>
      </c>
      <c r="P1324" t="str">
        <f>IFERROR(VLOOKUP(A1324,'Sales Order'!A:N,14,FALSE),"Not Specified")</f>
        <v>Finland</v>
      </c>
      <c r="Q1324" t="str">
        <f>VLOOKUP(VLOOKUP(B1324,Product!A:C,3,FALSE),Supplier!A:B,2,FALSE)</f>
        <v>Supplier QWUSF</v>
      </c>
      <c r="R1324" t="str">
        <f>VLOOKUP(VLOOKUP(B1324,Product!A:C,3,FALSE),Supplier!A:I,9,FALSE)</f>
        <v>Japan</v>
      </c>
      <c r="S1324" t="str">
        <f>IFERROR(IF(VLOOKUP(A1324,'Sales Order'!A:H,8,FALSE)&gt;100,"High Freight","Low Freight"),"Not Specified")</f>
        <v>Low Freight</v>
      </c>
      <c r="T1324">
        <f t="shared" si="41"/>
        <v>98.8125</v>
      </c>
    </row>
    <row r="1325" spans="1:20">
      <c r="A1325" s="9">
        <v>10750</v>
      </c>
      <c r="B1325" s="6">
        <v>45</v>
      </c>
      <c r="C1325" s="6">
        <v>9.5</v>
      </c>
      <c r="D1325" s="6">
        <v>40</v>
      </c>
      <c r="E1325" s="18">
        <v>0.15</v>
      </c>
      <c r="F1325" s="6" t="str">
        <f>IFERROR(VLOOKUP(VLOOKUP(A1325,'Sales Order'!A:B,2,FALSE),Customer!A:C,3,FALSE),"Not Specified")</f>
        <v>Ludwig, Michael</v>
      </c>
      <c r="G1325" s="6" t="str">
        <f t="shared" si="40"/>
        <v>Ludwig Michael</v>
      </c>
      <c r="H1325" s="22" t="str">
        <f>IFERROR(VLOOKUP(VLOOKUP(A1325,'Sales Order'!A:C,3,FALSE),Employee!A:E,5,FALSE)&amp;" "&amp;VLOOKUP(VLOOKUP(A1325,'Sales Order'!A:C,3,FALSE),Employee!A:C,3,FALSE)&amp;" "&amp;VLOOKUP(VLOOKUP(A1325,'Sales Order'!A:C,3,FALSE),Employee!A:B,2,FALSE),"Not Specified")</f>
        <v>Ms. Zoya Dolgopyatova</v>
      </c>
      <c r="I1325">
        <f>IFERROR(VLOOKUP(VLOOKUP(A1325,'Sales Order'!A:C,3,FALSE),Employee!A:J,10,FALSE),"Not Specified")</f>
        <v>0</v>
      </c>
      <c r="J1325" t="str">
        <f>VLOOKUP(B1325,Product!A:B,2,FALSE)</f>
        <v>Product AQOKR</v>
      </c>
      <c r="K1325" t="str">
        <f>VLOOKUP(VLOOKUP(B1325,Product!A:D,4,FALSE),Category!A:B,2,FALSE)</f>
        <v>Seafood</v>
      </c>
      <c r="L1325" s="24">
        <f>IFERROR(VLOOKUP(A1325,'Sales Order'!A:D,4,FALSE),"")</f>
        <v>39407</v>
      </c>
      <c r="M1325" s="24">
        <f>IFERROR(VLOOKUP(A1325,'Sales Order'!A:F,6,FALSE),"")</f>
        <v>39410</v>
      </c>
      <c r="N1325" t="str">
        <f>IFERROR(VLOOKUP(VLOOKUP(A1325,'Sales Order'!A:G,7,FALSE),Shipper!A:B,2,FALSE),"Not Specified")</f>
        <v>Shipper GVSUA</v>
      </c>
      <c r="O1325" t="str">
        <f>IFERROR(VLOOKUP(A1325,'Sales Order'!A:I,9,FALSE),"Not Specified")</f>
        <v>Ship to 87-C</v>
      </c>
      <c r="P1325" t="str">
        <f>IFERROR(VLOOKUP(A1325,'Sales Order'!A:N,14,FALSE),"Not Specified")</f>
        <v>Finland</v>
      </c>
      <c r="Q1325" t="str">
        <f>VLOOKUP(VLOOKUP(B1325,Product!A:C,3,FALSE),Supplier!A:B,2,FALSE)</f>
        <v>Supplier XOXZA</v>
      </c>
      <c r="R1325" t="str">
        <f>VLOOKUP(VLOOKUP(B1325,Product!A:C,3,FALSE),Supplier!A:I,9,FALSE)</f>
        <v>Denmark</v>
      </c>
      <c r="S1325" t="str">
        <f>IFERROR(IF(VLOOKUP(A1325,'Sales Order'!A:H,8,FALSE)&gt;100,"High Freight","Low Freight"),"Not Specified")</f>
        <v>Low Freight</v>
      </c>
      <c r="T1325">
        <f t="shared" si="41"/>
        <v>323</v>
      </c>
    </row>
    <row r="1326" spans="1:20">
      <c r="A1326" s="9">
        <v>10750</v>
      </c>
      <c r="B1326" s="6">
        <v>59</v>
      </c>
      <c r="C1326" s="6">
        <v>55</v>
      </c>
      <c r="D1326" s="6">
        <v>25</v>
      </c>
      <c r="E1326" s="18">
        <v>0.15</v>
      </c>
      <c r="F1326" s="6" t="str">
        <f>IFERROR(VLOOKUP(VLOOKUP(A1326,'Sales Order'!A:B,2,FALSE),Customer!A:C,3,FALSE),"Not Specified")</f>
        <v>Ludwig, Michael</v>
      </c>
      <c r="G1326" s="6" t="str">
        <f t="shared" si="40"/>
        <v>Ludwig Michael</v>
      </c>
      <c r="H1326" s="22" t="str">
        <f>IFERROR(VLOOKUP(VLOOKUP(A1326,'Sales Order'!A:C,3,FALSE),Employee!A:E,5,FALSE)&amp;" "&amp;VLOOKUP(VLOOKUP(A1326,'Sales Order'!A:C,3,FALSE),Employee!A:C,3,FALSE)&amp;" "&amp;VLOOKUP(VLOOKUP(A1326,'Sales Order'!A:C,3,FALSE),Employee!A:B,2,FALSE),"Not Specified")</f>
        <v>Ms. Zoya Dolgopyatova</v>
      </c>
      <c r="I1326">
        <f>IFERROR(VLOOKUP(VLOOKUP(A1326,'Sales Order'!A:C,3,FALSE),Employee!A:J,10,FALSE),"Not Specified")</f>
        <v>0</v>
      </c>
      <c r="J1326" t="str">
        <f>VLOOKUP(B1326,Product!A:B,2,FALSE)</f>
        <v>Product UKXRI</v>
      </c>
      <c r="K1326" t="str">
        <f>VLOOKUP(VLOOKUP(B1326,Product!A:D,4,FALSE),Category!A:B,2,FALSE)</f>
        <v>Dairy Product</v>
      </c>
      <c r="L1326" s="24">
        <f>IFERROR(VLOOKUP(A1326,'Sales Order'!A:D,4,FALSE),"")</f>
        <v>39407</v>
      </c>
      <c r="M1326" s="24">
        <f>IFERROR(VLOOKUP(A1326,'Sales Order'!A:F,6,FALSE),"")</f>
        <v>39410</v>
      </c>
      <c r="N1326" t="str">
        <f>IFERROR(VLOOKUP(VLOOKUP(A1326,'Sales Order'!A:G,7,FALSE),Shipper!A:B,2,FALSE),"Not Specified")</f>
        <v>Shipper GVSUA</v>
      </c>
      <c r="O1326" t="str">
        <f>IFERROR(VLOOKUP(A1326,'Sales Order'!A:I,9,FALSE),"Not Specified")</f>
        <v>Ship to 87-C</v>
      </c>
      <c r="P1326" t="str">
        <f>IFERROR(VLOOKUP(A1326,'Sales Order'!A:N,14,FALSE),"Not Specified")</f>
        <v>Finland</v>
      </c>
      <c r="Q1326" t="str">
        <f>VLOOKUP(VLOOKUP(B1326,Product!A:C,3,FALSE),Supplier!A:B,2,FALSE)</f>
        <v>Supplier OAVQT</v>
      </c>
      <c r="R1326" t="str">
        <f>VLOOKUP(VLOOKUP(B1326,Product!A:C,3,FALSE),Supplier!A:I,9,FALSE)</f>
        <v>France</v>
      </c>
      <c r="S1326" t="str">
        <f>IFERROR(IF(VLOOKUP(A1326,'Sales Order'!A:H,8,FALSE)&gt;100,"High Freight","Low Freight"),"Not Specified")</f>
        <v>Low Freight</v>
      </c>
      <c r="T1326">
        <f t="shared" si="41"/>
        <v>1168.75</v>
      </c>
    </row>
    <row r="1327" spans="1:20">
      <c r="A1327" s="9">
        <v>10751</v>
      </c>
      <c r="B1327" s="6">
        <v>26</v>
      </c>
      <c r="C1327" s="6">
        <v>31.23</v>
      </c>
      <c r="D1327" s="6">
        <v>12</v>
      </c>
      <c r="E1327" s="18">
        <v>0.1</v>
      </c>
      <c r="F1327" s="6" t="str">
        <f>IFERROR(VLOOKUP(VLOOKUP(A1327,'Sales Order'!A:B,2,FALSE),Customer!A:C,3,FALSE),"Not Specified")</f>
        <v>Myrcha, Jacek</v>
      </c>
      <c r="G1327" s="6" t="str">
        <f t="shared" si="40"/>
        <v>Myrcha Jacek</v>
      </c>
      <c r="H1327" s="22" t="str">
        <f>IFERROR(VLOOKUP(VLOOKUP(A1327,'Sales Order'!A:C,3,FALSE),Employee!A:E,5,FALSE)&amp;" "&amp;VLOOKUP(VLOOKUP(A1327,'Sales Order'!A:C,3,FALSE),Employee!A:C,3,FALSE)&amp;" "&amp;VLOOKUP(VLOOKUP(A1327,'Sales Order'!A:C,3,FALSE),Employee!A:B,2,FALSE),"Not Specified")</f>
        <v>Ms. Judy Lew</v>
      </c>
      <c r="I1327" t="str">
        <f>IFERROR(VLOOKUP(VLOOKUP(A1327,'Sales Order'!A:C,3,FALSE),Employee!A:J,10,FALSE),"Not Specified")</f>
        <v>WA</v>
      </c>
      <c r="J1327" t="str">
        <f>VLOOKUP(B1327,Product!A:B,2,FALSE)</f>
        <v>Product HLGZA</v>
      </c>
      <c r="K1327" t="str">
        <f>VLOOKUP(VLOOKUP(B1327,Product!A:D,4,FALSE),Category!A:B,2,FALSE)</f>
        <v>Confections</v>
      </c>
      <c r="L1327" s="24">
        <f>IFERROR(VLOOKUP(A1327,'Sales Order'!A:D,4,FALSE),"")</f>
        <v>39410</v>
      </c>
      <c r="M1327" s="24">
        <f>IFERROR(VLOOKUP(A1327,'Sales Order'!A:F,6,FALSE),"")</f>
        <v>39419</v>
      </c>
      <c r="N1327" t="str">
        <f>IFERROR(VLOOKUP(VLOOKUP(A1327,'Sales Order'!A:G,7,FALSE),Shipper!A:B,2,FALSE),"Not Specified")</f>
        <v>Shipper ZHISN</v>
      </c>
      <c r="O1327" t="str">
        <f>IFERROR(VLOOKUP(A1327,'Sales Order'!A:I,9,FALSE),"Not Specified")</f>
        <v>Ship to 68-A</v>
      </c>
      <c r="P1327" t="str">
        <f>IFERROR(VLOOKUP(A1327,'Sales Order'!A:N,14,FALSE),"Not Specified")</f>
        <v>Switzerland</v>
      </c>
      <c r="Q1327" t="str">
        <f>VLOOKUP(VLOOKUP(B1327,Product!A:C,3,FALSE),Supplier!A:B,2,FALSE)</f>
        <v>Supplier ZPYVS</v>
      </c>
      <c r="R1327" t="str">
        <f>VLOOKUP(VLOOKUP(B1327,Product!A:C,3,FALSE),Supplier!A:I,9,FALSE)</f>
        <v>Germany</v>
      </c>
      <c r="S1327" t="str">
        <f>IFERROR(IF(VLOOKUP(A1327,'Sales Order'!A:H,8,FALSE)&gt;100,"High Freight","Low Freight"),"Not Specified")</f>
        <v>High Freight</v>
      </c>
      <c r="T1327">
        <f t="shared" si="41"/>
        <v>337.28399999999999</v>
      </c>
    </row>
    <row r="1328" spans="1:20">
      <c r="A1328" s="9">
        <v>10751</v>
      </c>
      <c r="B1328" s="6">
        <v>30</v>
      </c>
      <c r="C1328" s="6">
        <v>25.89</v>
      </c>
      <c r="D1328" s="6">
        <v>30</v>
      </c>
      <c r="E1328" s="18">
        <v>0</v>
      </c>
      <c r="F1328" s="6" t="str">
        <f>IFERROR(VLOOKUP(VLOOKUP(A1328,'Sales Order'!A:B,2,FALSE),Customer!A:C,3,FALSE),"Not Specified")</f>
        <v>Myrcha, Jacek</v>
      </c>
      <c r="G1328" s="6" t="str">
        <f t="shared" si="40"/>
        <v>Myrcha Jacek</v>
      </c>
      <c r="H1328" s="22" t="str">
        <f>IFERROR(VLOOKUP(VLOOKUP(A1328,'Sales Order'!A:C,3,FALSE),Employee!A:E,5,FALSE)&amp;" "&amp;VLOOKUP(VLOOKUP(A1328,'Sales Order'!A:C,3,FALSE),Employee!A:C,3,FALSE)&amp;" "&amp;VLOOKUP(VLOOKUP(A1328,'Sales Order'!A:C,3,FALSE),Employee!A:B,2,FALSE),"Not Specified")</f>
        <v>Ms. Judy Lew</v>
      </c>
      <c r="I1328" t="str">
        <f>IFERROR(VLOOKUP(VLOOKUP(A1328,'Sales Order'!A:C,3,FALSE),Employee!A:J,10,FALSE),"Not Specified")</f>
        <v>WA</v>
      </c>
      <c r="J1328" t="str">
        <f>VLOOKUP(B1328,Product!A:B,2,FALSE)</f>
        <v>Product LYERX</v>
      </c>
      <c r="K1328" t="str">
        <f>VLOOKUP(VLOOKUP(B1328,Product!A:D,4,FALSE),Category!A:B,2,FALSE)</f>
        <v>Seafood</v>
      </c>
      <c r="L1328" s="24">
        <f>IFERROR(VLOOKUP(A1328,'Sales Order'!A:D,4,FALSE),"")</f>
        <v>39410</v>
      </c>
      <c r="M1328" s="24">
        <f>IFERROR(VLOOKUP(A1328,'Sales Order'!A:F,6,FALSE),"")</f>
        <v>39419</v>
      </c>
      <c r="N1328" t="str">
        <f>IFERROR(VLOOKUP(VLOOKUP(A1328,'Sales Order'!A:G,7,FALSE),Shipper!A:B,2,FALSE),"Not Specified")</f>
        <v>Shipper ZHISN</v>
      </c>
      <c r="O1328" t="str">
        <f>IFERROR(VLOOKUP(A1328,'Sales Order'!A:I,9,FALSE),"Not Specified")</f>
        <v>Ship to 68-A</v>
      </c>
      <c r="P1328" t="str">
        <f>IFERROR(VLOOKUP(A1328,'Sales Order'!A:N,14,FALSE),"Not Specified")</f>
        <v>Switzerland</v>
      </c>
      <c r="Q1328" t="str">
        <f>VLOOKUP(VLOOKUP(B1328,Product!A:C,3,FALSE),Supplier!A:B,2,FALSE)</f>
        <v>Supplier TEGSC</v>
      </c>
      <c r="R1328" t="str">
        <f>VLOOKUP(VLOOKUP(B1328,Product!A:C,3,FALSE),Supplier!A:I,9,FALSE)</f>
        <v>Germany</v>
      </c>
      <c r="S1328" t="str">
        <f>IFERROR(IF(VLOOKUP(A1328,'Sales Order'!A:H,8,FALSE)&gt;100,"High Freight","Low Freight"),"Not Specified")</f>
        <v>High Freight</v>
      </c>
      <c r="T1328">
        <f t="shared" si="41"/>
        <v>776.7</v>
      </c>
    </row>
    <row r="1329" spans="1:20">
      <c r="A1329" s="9">
        <v>10751</v>
      </c>
      <c r="B1329" s="6">
        <v>50</v>
      </c>
      <c r="C1329" s="6">
        <v>16.25</v>
      </c>
      <c r="D1329" s="6">
        <v>20</v>
      </c>
      <c r="E1329" s="18">
        <v>0.1</v>
      </c>
      <c r="F1329" s="6" t="str">
        <f>IFERROR(VLOOKUP(VLOOKUP(A1329,'Sales Order'!A:B,2,FALSE),Customer!A:C,3,FALSE),"Not Specified")</f>
        <v>Myrcha, Jacek</v>
      </c>
      <c r="G1329" s="6" t="str">
        <f t="shared" si="40"/>
        <v>Myrcha Jacek</v>
      </c>
      <c r="H1329" s="22" t="str">
        <f>IFERROR(VLOOKUP(VLOOKUP(A1329,'Sales Order'!A:C,3,FALSE),Employee!A:E,5,FALSE)&amp;" "&amp;VLOOKUP(VLOOKUP(A1329,'Sales Order'!A:C,3,FALSE),Employee!A:C,3,FALSE)&amp;" "&amp;VLOOKUP(VLOOKUP(A1329,'Sales Order'!A:C,3,FALSE),Employee!A:B,2,FALSE),"Not Specified")</f>
        <v>Ms. Judy Lew</v>
      </c>
      <c r="I1329" t="str">
        <f>IFERROR(VLOOKUP(VLOOKUP(A1329,'Sales Order'!A:C,3,FALSE),Employee!A:J,10,FALSE),"Not Specified")</f>
        <v>WA</v>
      </c>
      <c r="J1329" t="str">
        <f>VLOOKUP(B1329,Product!A:B,2,FALSE)</f>
        <v>Product BIUDV</v>
      </c>
      <c r="K1329" t="str">
        <f>VLOOKUP(VLOOKUP(B1329,Product!A:D,4,FALSE),Category!A:B,2,FALSE)</f>
        <v>Confections</v>
      </c>
      <c r="L1329" s="24">
        <f>IFERROR(VLOOKUP(A1329,'Sales Order'!A:D,4,FALSE),"")</f>
        <v>39410</v>
      </c>
      <c r="M1329" s="24">
        <f>IFERROR(VLOOKUP(A1329,'Sales Order'!A:F,6,FALSE),"")</f>
        <v>39419</v>
      </c>
      <c r="N1329" t="str">
        <f>IFERROR(VLOOKUP(VLOOKUP(A1329,'Sales Order'!A:G,7,FALSE),Shipper!A:B,2,FALSE),"Not Specified")</f>
        <v>Shipper ZHISN</v>
      </c>
      <c r="O1329" t="str">
        <f>IFERROR(VLOOKUP(A1329,'Sales Order'!A:I,9,FALSE),"Not Specified")</f>
        <v>Ship to 68-A</v>
      </c>
      <c r="P1329" t="str">
        <f>IFERROR(VLOOKUP(A1329,'Sales Order'!A:N,14,FALSE),"Not Specified")</f>
        <v>Switzerland</v>
      </c>
      <c r="Q1329" t="str">
        <f>VLOOKUP(VLOOKUP(B1329,Product!A:C,3,FALSE),Supplier!A:B,2,FALSE)</f>
        <v>Supplier ELCRN</v>
      </c>
      <c r="R1329" t="str">
        <f>VLOOKUP(VLOOKUP(B1329,Product!A:C,3,FALSE),Supplier!A:I,9,FALSE)</f>
        <v>Finland</v>
      </c>
      <c r="S1329" t="str">
        <f>IFERROR(IF(VLOOKUP(A1329,'Sales Order'!A:H,8,FALSE)&gt;100,"High Freight","Low Freight"),"Not Specified")</f>
        <v>High Freight</v>
      </c>
      <c r="T1329">
        <f t="shared" si="41"/>
        <v>292.5</v>
      </c>
    </row>
    <row r="1330" spans="1:20">
      <c r="A1330" s="9">
        <v>10751</v>
      </c>
      <c r="B1330" s="6">
        <v>73</v>
      </c>
      <c r="C1330" s="6">
        <v>15</v>
      </c>
      <c r="D1330" s="6">
        <v>15</v>
      </c>
      <c r="E1330" s="18">
        <v>0</v>
      </c>
      <c r="F1330" s="6" t="str">
        <f>IFERROR(VLOOKUP(VLOOKUP(A1330,'Sales Order'!A:B,2,FALSE),Customer!A:C,3,FALSE),"Not Specified")</f>
        <v>Myrcha, Jacek</v>
      </c>
      <c r="G1330" s="6" t="str">
        <f t="shared" si="40"/>
        <v>Myrcha Jacek</v>
      </c>
      <c r="H1330" s="22" t="str">
        <f>IFERROR(VLOOKUP(VLOOKUP(A1330,'Sales Order'!A:C,3,FALSE),Employee!A:E,5,FALSE)&amp;" "&amp;VLOOKUP(VLOOKUP(A1330,'Sales Order'!A:C,3,FALSE),Employee!A:C,3,FALSE)&amp;" "&amp;VLOOKUP(VLOOKUP(A1330,'Sales Order'!A:C,3,FALSE),Employee!A:B,2,FALSE),"Not Specified")</f>
        <v>Ms. Judy Lew</v>
      </c>
      <c r="I1330" t="str">
        <f>IFERROR(VLOOKUP(VLOOKUP(A1330,'Sales Order'!A:C,3,FALSE),Employee!A:J,10,FALSE),"Not Specified")</f>
        <v>WA</v>
      </c>
      <c r="J1330" t="str">
        <f>VLOOKUP(B1330,Product!A:B,2,FALSE)</f>
        <v>Product WEUJZ</v>
      </c>
      <c r="K1330" t="str">
        <f>VLOOKUP(VLOOKUP(B1330,Product!A:D,4,FALSE),Category!A:B,2,FALSE)</f>
        <v>Seafood</v>
      </c>
      <c r="L1330" s="24">
        <f>IFERROR(VLOOKUP(A1330,'Sales Order'!A:D,4,FALSE),"")</f>
        <v>39410</v>
      </c>
      <c r="M1330" s="24">
        <f>IFERROR(VLOOKUP(A1330,'Sales Order'!A:F,6,FALSE),"")</f>
        <v>39419</v>
      </c>
      <c r="N1330" t="str">
        <f>IFERROR(VLOOKUP(VLOOKUP(A1330,'Sales Order'!A:G,7,FALSE),Shipper!A:B,2,FALSE),"Not Specified")</f>
        <v>Shipper ZHISN</v>
      </c>
      <c r="O1330" t="str">
        <f>IFERROR(VLOOKUP(A1330,'Sales Order'!A:I,9,FALSE),"Not Specified")</f>
        <v>Ship to 68-A</v>
      </c>
      <c r="P1330" t="str">
        <f>IFERROR(VLOOKUP(A1330,'Sales Order'!A:N,14,FALSE),"Not Specified")</f>
        <v>Switzerland</v>
      </c>
      <c r="Q1330" t="str">
        <f>VLOOKUP(VLOOKUP(B1330,Product!A:C,3,FALSE),Supplier!A:B,2,FALSE)</f>
        <v>Supplier QZGUF</v>
      </c>
      <c r="R1330" t="str">
        <f>VLOOKUP(VLOOKUP(B1330,Product!A:C,3,FALSE),Supplier!A:I,9,FALSE)</f>
        <v>Sweden</v>
      </c>
      <c r="S1330" t="str">
        <f>IFERROR(IF(VLOOKUP(A1330,'Sales Order'!A:H,8,FALSE)&gt;100,"High Freight","Low Freight"),"Not Specified")</f>
        <v>High Freight</v>
      </c>
      <c r="T1330">
        <f t="shared" si="41"/>
        <v>225</v>
      </c>
    </row>
    <row r="1331" spans="1:20">
      <c r="A1331" s="9">
        <v>10752</v>
      </c>
      <c r="B1331" s="6">
        <v>1</v>
      </c>
      <c r="C1331" s="6">
        <v>18</v>
      </c>
      <c r="D1331" s="6">
        <v>8</v>
      </c>
      <c r="E1331" s="18">
        <v>0</v>
      </c>
      <c r="F1331" s="6" t="str">
        <f>IFERROR(VLOOKUP(VLOOKUP(A1331,'Sales Order'!A:B,2,FALSE),Customer!A:C,3,FALSE),"Not Specified")</f>
        <v>Mallit, Ken</v>
      </c>
      <c r="G1331" s="6" t="str">
        <f t="shared" si="40"/>
        <v>Mallit Ken</v>
      </c>
      <c r="H1331" s="22" t="str">
        <f>IFERROR(VLOOKUP(VLOOKUP(A1331,'Sales Order'!A:C,3,FALSE),Employee!A:E,5,FALSE)&amp;" "&amp;VLOOKUP(VLOOKUP(A1331,'Sales Order'!A:C,3,FALSE),Employee!A:C,3,FALSE)&amp;" "&amp;VLOOKUP(VLOOKUP(A1331,'Sales Order'!A:C,3,FALSE),Employee!A:B,2,FALSE),"Not Specified")</f>
        <v>Dr. Don Funk</v>
      </c>
      <c r="I1331" t="str">
        <f>IFERROR(VLOOKUP(VLOOKUP(A1331,'Sales Order'!A:C,3,FALSE),Employee!A:J,10,FALSE),"Not Specified")</f>
        <v>WA</v>
      </c>
      <c r="J1331" t="str">
        <f>VLOOKUP(B1331,Product!A:B,2,FALSE)</f>
        <v>Product HHYDP</v>
      </c>
      <c r="K1331" t="str">
        <f>VLOOKUP(VLOOKUP(B1331,Product!A:D,4,FALSE),Category!A:B,2,FALSE)</f>
        <v>Beverages</v>
      </c>
      <c r="L1331" s="24">
        <f>IFERROR(VLOOKUP(A1331,'Sales Order'!A:D,4,FALSE),"")</f>
        <v>39410</v>
      </c>
      <c r="M1331" s="24">
        <f>IFERROR(VLOOKUP(A1331,'Sales Order'!A:F,6,FALSE),"")</f>
        <v>39414</v>
      </c>
      <c r="N1331" t="str">
        <f>IFERROR(VLOOKUP(VLOOKUP(A1331,'Sales Order'!A:G,7,FALSE),Shipper!A:B,2,FALSE),"Not Specified")</f>
        <v>Shipper ZHISN</v>
      </c>
      <c r="O1331" t="str">
        <f>IFERROR(VLOOKUP(A1331,'Sales Order'!A:I,9,FALSE),"Not Specified")</f>
        <v>Ship to 53-C</v>
      </c>
      <c r="P1331" t="str">
        <f>IFERROR(VLOOKUP(A1331,'Sales Order'!A:N,14,FALSE),"Not Specified")</f>
        <v>UK</v>
      </c>
      <c r="Q1331" t="str">
        <f>VLOOKUP(VLOOKUP(B1331,Product!A:C,3,FALSE),Supplier!A:B,2,FALSE)</f>
        <v>Supplier SWRXU</v>
      </c>
      <c r="R1331" t="str">
        <f>VLOOKUP(VLOOKUP(B1331,Product!A:C,3,FALSE),Supplier!A:I,9,FALSE)</f>
        <v>UK</v>
      </c>
      <c r="S1331" t="str">
        <f>IFERROR(IF(VLOOKUP(A1331,'Sales Order'!A:H,8,FALSE)&gt;100,"High Freight","Low Freight"),"Not Specified")</f>
        <v>Low Freight</v>
      </c>
      <c r="T1331">
        <f t="shared" si="41"/>
        <v>144</v>
      </c>
    </row>
    <row r="1332" spans="1:20">
      <c r="A1332" s="9">
        <v>10752</v>
      </c>
      <c r="B1332" s="6">
        <v>69</v>
      </c>
      <c r="C1332" s="6">
        <v>36</v>
      </c>
      <c r="D1332" s="6">
        <v>3</v>
      </c>
      <c r="E1332" s="18">
        <v>0</v>
      </c>
      <c r="F1332" s="6" t="str">
        <f>IFERROR(VLOOKUP(VLOOKUP(A1332,'Sales Order'!A:B,2,FALSE),Customer!A:C,3,FALSE),"Not Specified")</f>
        <v>Mallit, Ken</v>
      </c>
      <c r="G1332" s="6" t="str">
        <f t="shared" si="40"/>
        <v>Mallit Ken</v>
      </c>
      <c r="H1332" s="22" t="str">
        <f>IFERROR(VLOOKUP(VLOOKUP(A1332,'Sales Order'!A:C,3,FALSE),Employee!A:E,5,FALSE)&amp;" "&amp;VLOOKUP(VLOOKUP(A1332,'Sales Order'!A:C,3,FALSE),Employee!A:C,3,FALSE)&amp;" "&amp;VLOOKUP(VLOOKUP(A1332,'Sales Order'!A:C,3,FALSE),Employee!A:B,2,FALSE),"Not Specified")</f>
        <v>Dr. Don Funk</v>
      </c>
      <c r="I1332" t="str">
        <f>IFERROR(VLOOKUP(VLOOKUP(A1332,'Sales Order'!A:C,3,FALSE),Employee!A:J,10,FALSE),"Not Specified")</f>
        <v>WA</v>
      </c>
      <c r="J1332" t="str">
        <f>VLOOKUP(B1332,Product!A:B,2,FALSE)</f>
        <v>Product COAXA</v>
      </c>
      <c r="K1332" t="str">
        <f>VLOOKUP(VLOOKUP(B1332,Product!A:D,4,FALSE),Category!A:B,2,FALSE)</f>
        <v>Dairy Product</v>
      </c>
      <c r="L1332" s="24">
        <f>IFERROR(VLOOKUP(A1332,'Sales Order'!A:D,4,FALSE),"")</f>
        <v>39410</v>
      </c>
      <c r="M1332" s="24">
        <f>IFERROR(VLOOKUP(A1332,'Sales Order'!A:F,6,FALSE),"")</f>
        <v>39414</v>
      </c>
      <c r="N1332" t="str">
        <f>IFERROR(VLOOKUP(VLOOKUP(A1332,'Sales Order'!A:G,7,FALSE),Shipper!A:B,2,FALSE),"Not Specified")</f>
        <v>Shipper ZHISN</v>
      </c>
      <c r="O1332" t="str">
        <f>IFERROR(VLOOKUP(A1332,'Sales Order'!A:I,9,FALSE),"Not Specified")</f>
        <v>Ship to 53-C</v>
      </c>
      <c r="P1332" t="str">
        <f>IFERROR(VLOOKUP(A1332,'Sales Order'!A:N,14,FALSE),"Not Specified")</f>
        <v>UK</v>
      </c>
      <c r="Q1332" t="str">
        <f>VLOOKUP(VLOOKUP(B1332,Product!A:C,3,FALSE),Supplier!A:B,2,FALSE)</f>
        <v>Supplier NZLIF</v>
      </c>
      <c r="R1332" t="str">
        <f>VLOOKUP(VLOOKUP(B1332,Product!A:C,3,FALSE),Supplier!A:I,9,FALSE)</f>
        <v>Norway</v>
      </c>
      <c r="S1332" t="str">
        <f>IFERROR(IF(VLOOKUP(A1332,'Sales Order'!A:H,8,FALSE)&gt;100,"High Freight","Low Freight"),"Not Specified")</f>
        <v>Low Freight</v>
      </c>
      <c r="T1332">
        <f t="shared" si="41"/>
        <v>108</v>
      </c>
    </row>
    <row r="1333" spans="1:20">
      <c r="A1333" s="9">
        <v>10753</v>
      </c>
      <c r="B1333" s="6">
        <v>45</v>
      </c>
      <c r="C1333" s="6">
        <v>9.5</v>
      </c>
      <c r="D1333" s="6">
        <v>4</v>
      </c>
      <c r="E1333" s="18">
        <v>0</v>
      </c>
      <c r="F1333" s="6" t="str">
        <f>IFERROR(VLOOKUP(VLOOKUP(A1333,'Sales Order'!A:B,2,FALSE),Customer!A:C,3,FALSE),"Not Specified")</f>
        <v>Schmöllerl, Martin</v>
      </c>
      <c r="G1333" s="6" t="str">
        <f t="shared" si="40"/>
        <v>Schmöllerl Martin</v>
      </c>
      <c r="H1333" s="22" t="str">
        <f>IFERROR(VLOOKUP(VLOOKUP(A1333,'Sales Order'!A:C,3,FALSE),Employee!A:E,5,FALSE)&amp;" "&amp;VLOOKUP(VLOOKUP(A1333,'Sales Order'!A:C,3,FALSE),Employee!A:C,3,FALSE)&amp;" "&amp;VLOOKUP(VLOOKUP(A1333,'Sales Order'!A:C,3,FALSE),Employee!A:B,2,FALSE),"Not Specified")</f>
        <v>Ms. Judy Lew</v>
      </c>
      <c r="I1333" t="str">
        <f>IFERROR(VLOOKUP(VLOOKUP(A1333,'Sales Order'!A:C,3,FALSE),Employee!A:J,10,FALSE),"Not Specified")</f>
        <v>WA</v>
      </c>
      <c r="J1333" t="str">
        <f>VLOOKUP(B1333,Product!A:B,2,FALSE)</f>
        <v>Product AQOKR</v>
      </c>
      <c r="K1333" t="str">
        <f>VLOOKUP(VLOOKUP(B1333,Product!A:D,4,FALSE),Category!A:B,2,FALSE)</f>
        <v>Seafood</v>
      </c>
      <c r="L1333" s="24">
        <f>IFERROR(VLOOKUP(A1333,'Sales Order'!A:D,4,FALSE),"")</f>
        <v>39411</v>
      </c>
      <c r="M1333" s="24">
        <f>IFERROR(VLOOKUP(A1333,'Sales Order'!A:F,6,FALSE),"")</f>
        <v>39413</v>
      </c>
      <c r="N1333" t="str">
        <f>IFERROR(VLOOKUP(VLOOKUP(A1333,'Sales Order'!A:G,7,FALSE),Shipper!A:B,2,FALSE),"Not Specified")</f>
        <v>Shipper GVSUA</v>
      </c>
      <c r="O1333" t="str">
        <f>IFERROR(VLOOKUP(A1333,'Sales Order'!A:I,9,FALSE),"Not Specified")</f>
        <v>Destination DICGM</v>
      </c>
      <c r="P1333" t="str">
        <f>IFERROR(VLOOKUP(A1333,'Sales Order'!A:N,14,FALSE),"Not Specified")</f>
        <v>Italy</v>
      </c>
      <c r="Q1333" t="str">
        <f>VLOOKUP(VLOOKUP(B1333,Product!A:C,3,FALSE),Supplier!A:B,2,FALSE)</f>
        <v>Supplier XOXZA</v>
      </c>
      <c r="R1333" t="str">
        <f>VLOOKUP(VLOOKUP(B1333,Product!A:C,3,FALSE),Supplier!A:I,9,FALSE)</f>
        <v>Denmark</v>
      </c>
      <c r="S1333" t="str">
        <f>IFERROR(IF(VLOOKUP(A1333,'Sales Order'!A:H,8,FALSE)&gt;100,"High Freight","Low Freight"),"Not Specified")</f>
        <v>Low Freight</v>
      </c>
      <c r="T1333">
        <f t="shared" si="41"/>
        <v>38</v>
      </c>
    </row>
    <row r="1334" spans="1:20">
      <c r="A1334" s="9">
        <v>10753</v>
      </c>
      <c r="B1334" s="6">
        <v>74</v>
      </c>
      <c r="C1334" s="6">
        <v>10</v>
      </c>
      <c r="D1334" s="6">
        <v>5</v>
      </c>
      <c r="E1334" s="18">
        <v>0</v>
      </c>
      <c r="F1334" s="6" t="str">
        <f>IFERROR(VLOOKUP(VLOOKUP(A1334,'Sales Order'!A:B,2,FALSE),Customer!A:C,3,FALSE),"Not Specified")</f>
        <v>Schmöllerl, Martin</v>
      </c>
      <c r="G1334" s="6" t="str">
        <f t="shared" si="40"/>
        <v>Schmöllerl Martin</v>
      </c>
      <c r="H1334" s="22" t="str">
        <f>IFERROR(VLOOKUP(VLOOKUP(A1334,'Sales Order'!A:C,3,FALSE),Employee!A:E,5,FALSE)&amp;" "&amp;VLOOKUP(VLOOKUP(A1334,'Sales Order'!A:C,3,FALSE),Employee!A:C,3,FALSE)&amp;" "&amp;VLOOKUP(VLOOKUP(A1334,'Sales Order'!A:C,3,FALSE),Employee!A:B,2,FALSE),"Not Specified")</f>
        <v>Ms. Judy Lew</v>
      </c>
      <c r="I1334" t="str">
        <f>IFERROR(VLOOKUP(VLOOKUP(A1334,'Sales Order'!A:C,3,FALSE),Employee!A:J,10,FALSE),"Not Specified")</f>
        <v>WA</v>
      </c>
      <c r="J1334" t="str">
        <f>VLOOKUP(B1334,Product!A:B,2,FALSE)</f>
        <v>Product BKAZJ</v>
      </c>
      <c r="K1334" t="str">
        <f>VLOOKUP(VLOOKUP(B1334,Product!A:D,4,FALSE),Category!A:B,2,FALSE)</f>
        <v>Produce</v>
      </c>
      <c r="L1334" s="24">
        <f>IFERROR(VLOOKUP(A1334,'Sales Order'!A:D,4,FALSE),"")</f>
        <v>39411</v>
      </c>
      <c r="M1334" s="24">
        <f>IFERROR(VLOOKUP(A1334,'Sales Order'!A:F,6,FALSE),"")</f>
        <v>39413</v>
      </c>
      <c r="N1334" t="str">
        <f>IFERROR(VLOOKUP(VLOOKUP(A1334,'Sales Order'!A:G,7,FALSE),Shipper!A:B,2,FALSE),"Not Specified")</f>
        <v>Shipper GVSUA</v>
      </c>
      <c r="O1334" t="str">
        <f>IFERROR(VLOOKUP(A1334,'Sales Order'!A:I,9,FALSE),"Not Specified")</f>
        <v>Destination DICGM</v>
      </c>
      <c r="P1334" t="str">
        <f>IFERROR(VLOOKUP(A1334,'Sales Order'!A:N,14,FALSE),"Not Specified")</f>
        <v>Italy</v>
      </c>
      <c r="Q1334" t="str">
        <f>VLOOKUP(VLOOKUP(B1334,Product!A:C,3,FALSE),Supplier!A:B,2,FALSE)</f>
        <v>Supplier QOVFD</v>
      </c>
      <c r="R1334" t="str">
        <f>VLOOKUP(VLOOKUP(B1334,Product!A:C,3,FALSE),Supplier!A:I,9,FALSE)</f>
        <v>Japan</v>
      </c>
      <c r="S1334" t="str">
        <f>IFERROR(IF(VLOOKUP(A1334,'Sales Order'!A:H,8,FALSE)&gt;100,"High Freight","Low Freight"),"Not Specified")</f>
        <v>Low Freight</v>
      </c>
      <c r="T1334">
        <f t="shared" si="41"/>
        <v>50</v>
      </c>
    </row>
    <row r="1335" spans="1:20">
      <c r="A1335" s="9">
        <v>10754</v>
      </c>
      <c r="B1335" s="6">
        <v>40</v>
      </c>
      <c r="C1335" s="6">
        <v>18.399999999999999</v>
      </c>
      <c r="D1335" s="6">
        <v>3</v>
      </c>
      <c r="E1335" s="18">
        <v>0</v>
      </c>
      <c r="F1335" s="6" t="str">
        <f>IFERROR(VLOOKUP(VLOOKUP(A1335,'Sales Order'!A:B,2,FALSE),Customer!A:C,3,FALSE),"Not Specified")</f>
        <v>Duerr, Bernard</v>
      </c>
      <c r="G1335" s="6" t="str">
        <f t="shared" si="40"/>
        <v>Duerr Bernard</v>
      </c>
      <c r="H1335" s="22" t="str">
        <f>IFERROR(VLOOKUP(VLOOKUP(A1335,'Sales Order'!A:C,3,FALSE),Employee!A:E,5,FALSE)&amp;" "&amp;VLOOKUP(VLOOKUP(A1335,'Sales Order'!A:C,3,FALSE),Employee!A:C,3,FALSE)&amp;" "&amp;VLOOKUP(VLOOKUP(A1335,'Sales Order'!A:C,3,FALSE),Employee!A:B,2,FALSE),"Not Specified")</f>
        <v>Mr. Paul Suurs</v>
      </c>
      <c r="I1335">
        <f>IFERROR(VLOOKUP(VLOOKUP(A1335,'Sales Order'!A:C,3,FALSE),Employee!A:J,10,FALSE),"Not Specified")</f>
        <v>0</v>
      </c>
      <c r="J1335" t="str">
        <f>VLOOKUP(B1335,Product!A:B,2,FALSE)</f>
        <v>Product YZIXQ</v>
      </c>
      <c r="K1335" t="str">
        <f>VLOOKUP(VLOOKUP(B1335,Product!A:D,4,FALSE),Category!A:B,2,FALSE)</f>
        <v>Seafood</v>
      </c>
      <c r="L1335" s="24">
        <f>IFERROR(VLOOKUP(A1335,'Sales Order'!A:D,4,FALSE),"")</f>
        <v>39411</v>
      </c>
      <c r="M1335" s="24">
        <f>IFERROR(VLOOKUP(A1335,'Sales Order'!A:F,6,FALSE),"")</f>
        <v>39413</v>
      </c>
      <c r="N1335" t="str">
        <f>IFERROR(VLOOKUP(VLOOKUP(A1335,'Sales Order'!A:G,7,FALSE),Shipper!A:B,2,FALSE),"Not Specified")</f>
        <v>Shipper ZHISN</v>
      </c>
      <c r="O1335" t="str">
        <f>IFERROR(VLOOKUP(A1335,'Sales Order'!A:I,9,FALSE),"Not Specified")</f>
        <v>Ship to 49-B</v>
      </c>
      <c r="P1335" t="str">
        <f>IFERROR(VLOOKUP(A1335,'Sales Order'!A:N,14,FALSE),"Not Specified")</f>
        <v>Italy</v>
      </c>
      <c r="Q1335" t="str">
        <f>VLOOKUP(VLOOKUP(B1335,Product!A:C,3,FALSE),Supplier!A:B,2,FALSE)</f>
        <v>Supplier JDNUG</v>
      </c>
      <c r="R1335" t="str">
        <f>VLOOKUP(VLOOKUP(B1335,Product!A:C,3,FALSE),Supplier!A:I,9,FALSE)</f>
        <v>USA</v>
      </c>
      <c r="S1335" t="str">
        <f>IFERROR(IF(VLOOKUP(A1335,'Sales Order'!A:H,8,FALSE)&gt;100,"High Freight","Low Freight"),"Not Specified")</f>
        <v>Low Freight</v>
      </c>
      <c r="T1335">
        <f t="shared" si="41"/>
        <v>55.199999999999996</v>
      </c>
    </row>
    <row r="1336" spans="1:20">
      <c r="A1336" s="9">
        <v>10755</v>
      </c>
      <c r="B1336" s="6">
        <v>47</v>
      </c>
      <c r="C1336" s="6">
        <v>9.5</v>
      </c>
      <c r="D1336" s="6">
        <v>30</v>
      </c>
      <c r="E1336" s="18">
        <v>0.25</v>
      </c>
      <c r="F1336" s="6" t="str">
        <f>IFERROR(VLOOKUP(VLOOKUP(A1336,'Sales Order'!A:B,2,FALSE),Customer!A:C,3,FALSE),"Not Specified")</f>
        <v>Raghav, Amritansh</v>
      </c>
      <c r="G1336" s="6" t="str">
        <f t="shared" si="40"/>
        <v>Raghav Amritansh</v>
      </c>
      <c r="H1336" s="22" t="str">
        <f>IFERROR(VLOOKUP(VLOOKUP(A1336,'Sales Order'!A:C,3,FALSE),Employee!A:E,5,FALSE)&amp;" "&amp;VLOOKUP(VLOOKUP(A1336,'Sales Order'!A:C,3,FALSE),Employee!A:C,3,FALSE)&amp;" "&amp;VLOOKUP(VLOOKUP(A1336,'Sales Order'!A:C,3,FALSE),Employee!A:B,2,FALSE),"Not Specified")</f>
        <v>Mrs. Yael Peled</v>
      </c>
      <c r="I1336" t="str">
        <f>IFERROR(VLOOKUP(VLOOKUP(A1336,'Sales Order'!A:C,3,FALSE),Employee!A:J,10,FALSE),"Not Specified")</f>
        <v>WA</v>
      </c>
      <c r="J1336" t="str">
        <f>VLOOKUP(B1336,Product!A:B,2,FALSE)</f>
        <v>Product EZZPR</v>
      </c>
      <c r="K1336" t="str">
        <f>VLOOKUP(VLOOKUP(B1336,Product!A:D,4,FALSE),Category!A:B,2,FALSE)</f>
        <v>Confections</v>
      </c>
      <c r="L1336" s="24">
        <f>IFERROR(VLOOKUP(A1336,'Sales Order'!A:D,4,FALSE),"")</f>
        <v>39412</v>
      </c>
      <c r="M1336" s="24">
        <f>IFERROR(VLOOKUP(A1336,'Sales Order'!A:F,6,FALSE),"")</f>
        <v>39414</v>
      </c>
      <c r="N1336" t="str">
        <f>IFERROR(VLOOKUP(VLOOKUP(A1336,'Sales Order'!A:G,7,FALSE),Shipper!A:B,2,FALSE),"Not Specified")</f>
        <v>Shipper ETYNR</v>
      </c>
      <c r="O1336" t="str">
        <f>IFERROR(VLOOKUP(A1336,'Sales Order'!A:I,9,FALSE),"Not Specified")</f>
        <v>Ship to 9-C</v>
      </c>
      <c r="P1336" t="str">
        <f>IFERROR(VLOOKUP(A1336,'Sales Order'!A:N,14,FALSE),"Not Specified")</f>
        <v>France</v>
      </c>
      <c r="Q1336" t="str">
        <f>VLOOKUP(VLOOKUP(B1336,Product!A:C,3,FALSE),Supplier!A:B,2,FALSE)</f>
        <v>Supplier FNUXM</v>
      </c>
      <c r="R1336" t="str">
        <f>VLOOKUP(VLOOKUP(B1336,Product!A:C,3,FALSE),Supplier!A:I,9,FALSE)</f>
        <v>Netherlands</v>
      </c>
      <c r="S1336" t="str">
        <f>IFERROR(IF(VLOOKUP(A1336,'Sales Order'!A:H,8,FALSE)&gt;100,"High Freight","Low Freight"),"Not Specified")</f>
        <v>Low Freight</v>
      </c>
      <c r="T1336">
        <f t="shared" si="41"/>
        <v>213.75</v>
      </c>
    </row>
    <row r="1337" spans="1:20">
      <c r="A1337" s="9">
        <v>10755</v>
      </c>
      <c r="B1337" s="6">
        <v>56</v>
      </c>
      <c r="C1337" s="6">
        <v>38</v>
      </c>
      <c r="D1337" s="6">
        <v>30</v>
      </c>
      <c r="E1337" s="18">
        <v>0.25</v>
      </c>
      <c r="F1337" s="6" t="str">
        <f>IFERROR(VLOOKUP(VLOOKUP(A1337,'Sales Order'!A:B,2,FALSE),Customer!A:C,3,FALSE),"Not Specified")</f>
        <v>Raghav, Amritansh</v>
      </c>
      <c r="G1337" s="6" t="str">
        <f t="shared" si="40"/>
        <v>Raghav Amritansh</v>
      </c>
      <c r="H1337" s="22" t="str">
        <f>IFERROR(VLOOKUP(VLOOKUP(A1337,'Sales Order'!A:C,3,FALSE),Employee!A:E,5,FALSE)&amp;" "&amp;VLOOKUP(VLOOKUP(A1337,'Sales Order'!A:C,3,FALSE),Employee!A:C,3,FALSE)&amp;" "&amp;VLOOKUP(VLOOKUP(A1337,'Sales Order'!A:C,3,FALSE),Employee!A:B,2,FALSE),"Not Specified")</f>
        <v>Mrs. Yael Peled</v>
      </c>
      <c r="I1337" t="str">
        <f>IFERROR(VLOOKUP(VLOOKUP(A1337,'Sales Order'!A:C,3,FALSE),Employee!A:J,10,FALSE),"Not Specified")</f>
        <v>WA</v>
      </c>
      <c r="J1337" t="str">
        <f>VLOOKUP(B1337,Product!A:B,2,FALSE)</f>
        <v>Product VKCMF</v>
      </c>
      <c r="K1337" t="str">
        <f>VLOOKUP(VLOOKUP(B1337,Product!A:D,4,FALSE),Category!A:B,2,FALSE)</f>
        <v>Grains/Cereals</v>
      </c>
      <c r="L1337" s="24">
        <f>IFERROR(VLOOKUP(A1337,'Sales Order'!A:D,4,FALSE),"")</f>
        <v>39412</v>
      </c>
      <c r="M1337" s="24">
        <f>IFERROR(VLOOKUP(A1337,'Sales Order'!A:F,6,FALSE),"")</f>
        <v>39414</v>
      </c>
      <c r="N1337" t="str">
        <f>IFERROR(VLOOKUP(VLOOKUP(A1337,'Sales Order'!A:G,7,FALSE),Shipper!A:B,2,FALSE),"Not Specified")</f>
        <v>Shipper ETYNR</v>
      </c>
      <c r="O1337" t="str">
        <f>IFERROR(VLOOKUP(A1337,'Sales Order'!A:I,9,FALSE),"Not Specified")</f>
        <v>Ship to 9-C</v>
      </c>
      <c r="P1337" t="str">
        <f>IFERROR(VLOOKUP(A1337,'Sales Order'!A:N,14,FALSE),"Not Specified")</f>
        <v>France</v>
      </c>
      <c r="Q1337" t="str">
        <f>VLOOKUP(VLOOKUP(B1337,Product!A:C,3,FALSE),Supplier!A:B,2,FALSE)</f>
        <v>Supplier ZWZDM</v>
      </c>
      <c r="R1337" t="str">
        <f>VLOOKUP(VLOOKUP(B1337,Product!A:C,3,FALSE),Supplier!A:I,9,FALSE)</f>
        <v>Italy</v>
      </c>
      <c r="S1337" t="str">
        <f>IFERROR(IF(VLOOKUP(A1337,'Sales Order'!A:H,8,FALSE)&gt;100,"High Freight","Low Freight"),"Not Specified")</f>
        <v>Low Freight</v>
      </c>
      <c r="T1337">
        <f t="shared" si="41"/>
        <v>855</v>
      </c>
    </row>
    <row r="1338" spans="1:20">
      <c r="A1338" s="9">
        <v>10755</v>
      </c>
      <c r="B1338" s="6">
        <v>57</v>
      </c>
      <c r="C1338" s="6">
        <v>19.5</v>
      </c>
      <c r="D1338" s="6">
        <v>14</v>
      </c>
      <c r="E1338" s="18">
        <v>0.25</v>
      </c>
      <c r="F1338" s="6" t="str">
        <f>IFERROR(VLOOKUP(VLOOKUP(A1338,'Sales Order'!A:B,2,FALSE),Customer!A:C,3,FALSE),"Not Specified")</f>
        <v>Raghav, Amritansh</v>
      </c>
      <c r="G1338" s="6" t="str">
        <f t="shared" si="40"/>
        <v>Raghav Amritansh</v>
      </c>
      <c r="H1338" s="22" t="str">
        <f>IFERROR(VLOOKUP(VLOOKUP(A1338,'Sales Order'!A:C,3,FALSE),Employee!A:E,5,FALSE)&amp;" "&amp;VLOOKUP(VLOOKUP(A1338,'Sales Order'!A:C,3,FALSE),Employee!A:C,3,FALSE)&amp;" "&amp;VLOOKUP(VLOOKUP(A1338,'Sales Order'!A:C,3,FALSE),Employee!A:B,2,FALSE),"Not Specified")</f>
        <v>Mrs. Yael Peled</v>
      </c>
      <c r="I1338" t="str">
        <f>IFERROR(VLOOKUP(VLOOKUP(A1338,'Sales Order'!A:C,3,FALSE),Employee!A:J,10,FALSE),"Not Specified")</f>
        <v>WA</v>
      </c>
      <c r="J1338" t="str">
        <f>VLOOKUP(B1338,Product!A:B,2,FALSE)</f>
        <v>Product OVLQI</v>
      </c>
      <c r="K1338" t="str">
        <f>VLOOKUP(VLOOKUP(B1338,Product!A:D,4,FALSE),Category!A:B,2,FALSE)</f>
        <v>Grains/Cereals</v>
      </c>
      <c r="L1338" s="24">
        <f>IFERROR(VLOOKUP(A1338,'Sales Order'!A:D,4,FALSE),"")</f>
        <v>39412</v>
      </c>
      <c r="M1338" s="24">
        <f>IFERROR(VLOOKUP(A1338,'Sales Order'!A:F,6,FALSE),"")</f>
        <v>39414</v>
      </c>
      <c r="N1338" t="str">
        <f>IFERROR(VLOOKUP(VLOOKUP(A1338,'Sales Order'!A:G,7,FALSE),Shipper!A:B,2,FALSE),"Not Specified")</f>
        <v>Shipper ETYNR</v>
      </c>
      <c r="O1338" t="str">
        <f>IFERROR(VLOOKUP(A1338,'Sales Order'!A:I,9,FALSE),"Not Specified")</f>
        <v>Ship to 9-C</v>
      </c>
      <c r="P1338" t="str">
        <f>IFERROR(VLOOKUP(A1338,'Sales Order'!A:N,14,FALSE),"Not Specified")</f>
        <v>France</v>
      </c>
      <c r="Q1338" t="str">
        <f>VLOOKUP(VLOOKUP(B1338,Product!A:C,3,FALSE),Supplier!A:B,2,FALSE)</f>
        <v>Supplier ZWZDM</v>
      </c>
      <c r="R1338" t="str">
        <f>VLOOKUP(VLOOKUP(B1338,Product!A:C,3,FALSE),Supplier!A:I,9,FALSE)</f>
        <v>Italy</v>
      </c>
      <c r="S1338" t="str">
        <f>IFERROR(IF(VLOOKUP(A1338,'Sales Order'!A:H,8,FALSE)&gt;100,"High Freight","Low Freight"),"Not Specified")</f>
        <v>Low Freight</v>
      </c>
      <c r="T1338">
        <f t="shared" si="41"/>
        <v>204.75</v>
      </c>
    </row>
    <row r="1339" spans="1:20">
      <c r="A1339" s="9">
        <v>10755</v>
      </c>
      <c r="B1339" s="6">
        <v>69</v>
      </c>
      <c r="C1339" s="6">
        <v>36</v>
      </c>
      <c r="D1339" s="6">
        <v>25</v>
      </c>
      <c r="E1339" s="18">
        <v>0.25</v>
      </c>
      <c r="F1339" s="6" t="str">
        <f>IFERROR(VLOOKUP(VLOOKUP(A1339,'Sales Order'!A:B,2,FALSE),Customer!A:C,3,FALSE),"Not Specified")</f>
        <v>Raghav, Amritansh</v>
      </c>
      <c r="G1339" s="6" t="str">
        <f t="shared" si="40"/>
        <v>Raghav Amritansh</v>
      </c>
      <c r="H1339" s="22" t="str">
        <f>IFERROR(VLOOKUP(VLOOKUP(A1339,'Sales Order'!A:C,3,FALSE),Employee!A:E,5,FALSE)&amp;" "&amp;VLOOKUP(VLOOKUP(A1339,'Sales Order'!A:C,3,FALSE),Employee!A:C,3,FALSE)&amp;" "&amp;VLOOKUP(VLOOKUP(A1339,'Sales Order'!A:C,3,FALSE),Employee!A:B,2,FALSE),"Not Specified")</f>
        <v>Mrs. Yael Peled</v>
      </c>
      <c r="I1339" t="str">
        <f>IFERROR(VLOOKUP(VLOOKUP(A1339,'Sales Order'!A:C,3,FALSE),Employee!A:J,10,FALSE),"Not Specified")</f>
        <v>WA</v>
      </c>
      <c r="J1339" t="str">
        <f>VLOOKUP(B1339,Product!A:B,2,FALSE)</f>
        <v>Product COAXA</v>
      </c>
      <c r="K1339" t="str">
        <f>VLOOKUP(VLOOKUP(B1339,Product!A:D,4,FALSE),Category!A:B,2,FALSE)</f>
        <v>Dairy Product</v>
      </c>
      <c r="L1339" s="24">
        <f>IFERROR(VLOOKUP(A1339,'Sales Order'!A:D,4,FALSE),"")</f>
        <v>39412</v>
      </c>
      <c r="M1339" s="24">
        <f>IFERROR(VLOOKUP(A1339,'Sales Order'!A:F,6,FALSE),"")</f>
        <v>39414</v>
      </c>
      <c r="N1339" t="str">
        <f>IFERROR(VLOOKUP(VLOOKUP(A1339,'Sales Order'!A:G,7,FALSE),Shipper!A:B,2,FALSE),"Not Specified")</f>
        <v>Shipper ETYNR</v>
      </c>
      <c r="O1339" t="str">
        <f>IFERROR(VLOOKUP(A1339,'Sales Order'!A:I,9,FALSE),"Not Specified")</f>
        <v>Ship to 9-C</v>
      </c>
      <c r="P1339" t="str">
        <f>IFERROR(VLOOKUP(A1339,'Sales Order'!A:N,14,FALSE),"Not Specified")</f>
        <v>France</v>
      </c>
      <c r="Q1339" t="str">
        <f>VLOOKUP(VLOOKUP(B1339,Product!A:C,3,FALSE),Supplier!A:B,2,FALSE)</f>
        <v>Supplier NZLIF</v>
      </c>
      <c r="R1339" t="str">
        <f>VLOOKUP(VLOOKUP(B1339,Product!A:C,3,FALSE),Supplier!A:I,9,FALSE)</f>
        <v>Norway</v>
      </c>
      <c r="S1339" t="str">
        <f>IFERROR(IF(VLOOKUP(A1339,'Sales Order'!A:H,8,FALSE)&gt;100,"High Freight","Low Freight"),"Not Specified")</f>
        <v>Low Freight</v>
      </c>
      <c r="T1339">
        <f t="shared" si="41"/>
        <v>675</v>
      </c>
    </row>
    <row r="1340" spans="1:20">
      <c r="A1340" s="9">
        <v>10756</v>
      </c>
      <c r="B1340" s="6">
        <v>18</v>
      </c>
      <c r="C1340" s="6">
        <v>62.5</v>
      </c>
      <c r="D1340" s="6">
        <v>21</v>
      </c>
      <c r="E1340" s="18">
        <v>0.2</v>
      </c>
      <c r="F1340" s="6" t="str">
        <f>IFERROR(VLOOKUP(VLOOKUP(A1340,'Sales Order'!A:B,2,FALSE),Customer!A:C,3,FALSE),"Not Specified")</f>
        <v>Wojciechowska, Agnieszka</v>
      </c>
      <c r="G1340" s="6" t="str">
        <f t="shared" si="40"/>
        <v>Wojciechowska Agnieszka</v>
      </c>
      <c r="H1340" s="22" t="str">
        <f>IFERROR(VLOOKUP(VLOOKUP(A1340,'Sales Order'!A:C,3,FALSE),Employee!A:E,5,FALSE)&amp;" "&amp;VLOOKUP(VLOOKUP(A1340,'Sales Order'!A:C,3,FALSE),Employee!A:C,3,FALSE)&amp;" "&amp;VLOOKUP(VLOOKUP(A1340,'Sales Order'!A:C,3,FALSE),Employee!A:B,2,FALSE),"Not Specified")</f>
        <v>Ms. Maria Cameron</v>
      </c>
      <c r="I1340" t="str">
        <f>IFERROR(VLOOKUP(VLOOKUP(A1340,'Sales Order'!A:C,3,FALSE),Employee!A:J,10,FALSE),"Not Specified")</f>
        <v>WA</v>
      </c>
      <c r="J1340" t="str">
        <f>VLOOKUP(B1340,Product!A:B,2,FALSE)</f>
        <v>Product CKEDC</v>
      </c>
      <c r="K1340" t="str">
        <f>VLOOKUP(VLOOKUP(B1340,Product!A:D,4,FALSE),Category!A:B,2,FALSE)</f>
        <v>Seafood</v>
      </c>
      <c r="L1340" s="24">
        <f>IFERROR(VLOOKUP(A1340,'Sales Order'!A:D,4,FALSE),"")</f>
        <v>39413</v>
      </c>
      <c r="M1340" s="24">
        <f>IFERROR(VLOOKUP(A1340,'Sales Order'!A:F,6,FALSE),"")</f>
        <v>39418</v>
      </c>
      <c r="N1340" t="str">
        <f>IFERROR(VLOOKUP(VLOOKUP(A1340,'Sales Order'!A:G,7,FALSE),Shipper!A:B,2,FALSE),"Not Specified")</f>
        <v>Shipper ETYNR</v>
      </c>
      <c r="O1340" t="str">
        <f>IFERROR(VLOOKUP(A1340,'Sales Order'!A:I,9,FALSE),"Not Specified")</f>
        <v>Ship to 75-C</v>
      </c>
      <c r="P1340" t="str">
        <f>IFERROR(VLOOKUP(A1340,'Sales Order'!A:N,14,FALSE),"Not Specified")</f>
        <v>USA</v>
      </c>
      <c r="Q1340" t="str">
        <f>VLOOKUP(VLOOKUP(B1340,Product!A:C,3,FALSE),Supplier!A:B,2,FALSE)</f>
        <v>Supplier GQRCV</v>
      </c>
      <c r="R1340" t="str">
        <f>VLOOKUP(VLOOKUP(B1340,Product!A:C,3,FALSE),Supplier!A:I,9,FALSE)</f>
        <v>Australia</v>
      </c>
      <c r="S1340" t="str">
        <f>IFERROR(IF(VLOOKUP(A1340,'Sales Order'!A:H,8,FALSE)&gt;100,"High Freight","Low Freight"),"Not Specified")</f>
        <v>Low Freight</v>
      </c>
      <c r="T1340">
        <f t="shared" si="41"/>
        <v>1050</v>
      </c>
    </row>
    <row r="1341" spans="1:20">
      <c r="A1341" s="9">
        <v>10756</v>
      </c>
      <c r="B1341" s="6">
        <v>36</v>
      </c>
      <c r="C1341" s="6">
        <v>19</v>
      </c>
      <c r="D1341" s="6">
        <v>20</v>
      </c>
      <c r="E1341" s="18">
        <v>0.2</v>
      </c>
      <c r="F1341" s="6" t="str">
        <f>IFERROR(VLOOKUP(VLOOKUP(A1341,'Sales Order'!A:B,2,FALSE),Customer!A:C,3,FALSE),"Not Specified")</f>
        <v>Wojciechowska, Agnieszka</v>
      </c>
      <c r="G1341" s="6" t="str">
        <f t="shared" si="40"/>
        <v>Wojciechowska Agnieszka</v>
      </c>
      <c r="H1341" s="22" t="str">
        <f>IFERROR(VLOOKUP(VLOOKUP(A1341,'Sales Order'!A:C,3,FALSE),Employee!A:E,5,FALSE)&amp;" "&amp;VLOOKUP(VLOOKUP(A1341,'Sales Order'!A:C,3,FALSE),Employee!A:C,3,FALSE)&amp;" "&amp;VLOOKUP(VLOOKUP(A1341,'Sales Order'!A:C,3,FALSE),Employee!A:B,2,FALSE),"Not Specified")</f>
        <v>Ms. Maria Cameron</v>
      </c>
      <c r="I1341" t="str">
        <f>IFERROR(VLOOKUP(VLOOKUP(A1341,'Sales Order'!A:C,3,FALSE),Employee!A:J,10,FALSE),"Not Specified")</f>
        <v>WA</v>
      </c>
      <c r="J1341" t="str">
        <f>VLOOKUP(B1341,Product!A:B,2,FALSE)</f>
        <v>Product GMKIJ</v>
      </c>
      <c r="K1341" t="str">
        <f>VLOOKUP(VLOOKUP(B1341,Product!A:D,4,FALSE),Category!A:B,2,FALSE)</f>
        <v>Seafood</v>
      </c>
      <c r="L1341" s="24">
        <f>IFERROR(VLOOKUP(A1341,'Sales Order'!A:D,4,FALSE),"")</f>
        <v>39413</v>
      </c>
      <c r="M1341" s="24">
        <f>IFERROR(VLOOKUP(A1341,'Sales Order'!A:F,6,FALSE),"")</f>
        <v>39418</v>
      </c>
      <c r="N1341" t="str">
        <f>IFERROR(VLOOKUP(VLOOKUP(A1341,'Sales Order'!A:G,7,FALSE),Shipper!A:B,2,FALSE),"Not Specified")</f>
        <v>Shipper ETYNR</v>
      </c>
      <c r="O1341" t="str">
        <f>IFERROR(VLOOKUP(A1341,'Sales Order'!A:I,9,FALSE),"Not Specified")</f>
        <v>Ship to 75-C</v>
      </c>
      <c r="P1341" t="str">
        <f>IFERROR(VLOOKUP(A1341,'Sales Order'!A:N,14,FALSE),"Not Specified")</f>
        <v>USA</v>
      </c>
      <c r="Q1341" t="str">
        <f>VLOOKUP(VLOOKUP(B1341,Product!A:C,3,FALSE),Supplier!A:B,2,FALSE)</f>
        <v>Supplier QZGUF</v>
      </c>
      <c r="R1341" t="str">
        <f>VLOOKUP(VLOOKUP(B1341,Product!A:C,3,FALSE),Supplier!A:I,9,FALSE)</f>
        <v>Sweden</v>
      </c>
      <c r="S1341" t="str">
        <f>IFERROR(IF(VLOOKUP(A1341,'Sales Order'!A:H,8,FALSE)&gt;100,"High Freight","Low Freight"),"Not Specified")</f>
        <v>Low Freight</v>
      </c>
      <c r="T1341">
        <f t="shared" si="41"/>
        <v>304</v>
      </c>
    </row>
    <row r="1342" spans="1:20">
      <c r="A1342" s="9">
        <v>10756</v>
      </c>
      <c r="B1342" s="6">
        <v>68</v>
      </c>
      <c r="C1342" s="6">
        <v>12.5</v>
      </c>
      <c r="D1342" s="6">
        <v>6</v>
      </c>
      <c r="E1342" s="18">
        <v>0.2</v>
      </c>
      <c r="F1342" s="6" t="str">
        <f>IFERROR(VLOOKUP(VLOOKUP(A1342,'Sales Order'!A:B,2,FALSE),Customer!A:C,3,FALSE),"Not Specified")</f>
        <v>Wojciechowska, Agnieszka</v>
      </c>
      <c r="G1342" s="6" t="str">
        <f t="shared" si="40"/>
        <v>Wojciechowska Agnieszka</v>
      </c>
      <c r="H1342" s="22" t="str">
        <f>IFERROR(VLOOKUP(VLOOKUP(A1342,'Sales Order'!A:C,3,FALSE),Employee!A:E,5,FALSE)&amp;" "&amp;VLOOKUP(VLOOKUP(A1342,'Sales Order'!A:C,3,FALSE),Employee!A:C,3,FALSE)&amp;" "&amp;VLOOKUP(VLOOKUP(A1342,'Sales Order'!A:C,3,FALSE),Employee!A:B,2,FALSE),"Not Specified")</f>
        <v>Ms. Maria Cameron</v>
      </c>
      <c r="I1342" t="str">
        <f>IFERROR(VLOOKUP(VLOOKUP(A1342,'Sales Order'!A:C,3,FALSE),Employee!A:J,10,FALSE),"Not Specified")</f>
        <v>WA</v>
      </c>
      <c r="J1342" t="str">
        <f>VLOOKUP(B1342,Product!A:B,2,FALSE)</f>
        <v>Product TBTBL</v>
      </c>
      <c r="K1342" t="str">
        <f>VLOOKUP(VLOOKUP(B1342,Product!A:D,4,FALSE),Category!A:B,2,FALSE)</f>
        <v>Confections</v>
      </c>
      <c r="L1342" s="24">
        <f>IFERROR(VLOOKUP(A1342,'Sales Order'!A:D,4,FALSE),"")</f>
        <v>39413</v>
      </c>
      <c r="M1342" s="24">
        <f>IFERROR(VLOOKUP(A1342,'Sales Order'!A:F,6,FALSE),"")</f>
        <v>39418</v>
      </c>
      <c r="N1342" t="str">
        <f>IFERROR(VLOOKUP(VLOOKUP(A1342,'Sales Order'!A:G,7,FALSE),Shipper!A:B,2,FALSE),"Not Specified")</f>
        <v>Shipper ETYNR</v>
      </c>
      <c r="O1342" t="str">
        <f>IFERROR(VLOOKUP(A1342,'Sales Order'!A:I,9,FALSE),"Not Specified")</f>
        <v>Ship to 75-C</v>
      </c>
      <c r="P1342" t="str">
        <f>IFERROR(VLOOKUP(A1342,'Sales Order'!A:N,14,FALSE),"Not Specified")</f>
        <v>USA</v>
      </c>
      <c r="Q1342" t="str">
        <f>VLOOKUP(VLOOKUP(B1342,Product!A:C,3,FALSE),Supplier!A:B,2,FALSE)</f>
        <v>Supplier BWGYE</v>
      </c>
      <c r="R1342" t="str">
        <f>VLOOKUP(VLOOKUP(B1342,Product!A:C,3,FALSE),Supplier!A:I,9,FALSE)</f>
        <v>UK</v>
      </c>
      <c r="S1342" t="str">
        <f>IFERROR(IF(VLOOKUP(A1342,'Sales Order'!A:H,8,FALSE)&gt;100,"High Freight","Low Freight"),"Not Specified")</f>
        <v>Low Freight</v>
      </c>
      <c r="T1342">
        <f t="shared" si="41"/>
        <v>60</v>
      </c>
    </row>
    <row r="1343" spans="1:20">
      <c r="A1343" s="9">
        <v>10756</v>
      </c>
      <c r="B1343" s="6">
        <v>69</v>
      </c>
      <c r="C1343" s="6">
        <v>36</v>
      </c>
      <c r="D1343" s="6">
        <v>20</v>
      </c>
      <c r="E1343" s="18">
        <v>0.2</v>
      </c>
      <c r="F1343" s="6" t="str">
        <f>IFERROR(VLOOKUP(VLOOKUP(A1343,'Sales Order'!A:B,2,FALSE),Customer!A:C,3,FALSE),"Not Specified")</f>
        <v>Wojciechowska, Agnieszka</v>
      </c>
      <c r="G1343" s="6" t="str">
        <f t="shared" si="40"/>
        <v>Wojciechowska Agnieszka</v>
      </c>
      <c r="H1343" s="22" t="str">
        <f>IFERROR(VLOOKUP(VLOOKUP(A1343,'Sales Order'!A:C,3,FALSE),Employee!A:E,5,FALSE)&amp;" "&amp;VLOOKUP(VLOOKUP(A1343,'Sales Order'!A:C,3,FALSE),Employee!A:C,3,FALSE)&amp;" "&amp;VLOOKUP(VLOOKUP(A1343,'Sales Order'!A:C,3,FALSE),Employee!A:B,2,FALSE),"Not Specified")</f>
        <v>Ms. Maria Cameron</v>
      </c>
      <c r="I1343" t="str">
        <f>IFERROR(VLOOKUP(VLOOKUP(A1343,'Sales Order'!A:C,3,FALSE),Employee!A:J,10,FALSE),"Not Specified")</f>
        <v>WA</v>
      </c>
      <c r="J1343" t="str">
        <f>VLOOKUP(B1343,Product!A:B,2,FALSE)</f>
        <v>Product COAXA</v>
      </c>
      <c r="K1343" t="str">
        <f>VLOOKUP(VLOOKUP(B1343,Product!A:D,4,FALSE),Category!A:B,2,FALSE)</f>
        <v>Dairy Product</v>
      </c>
      <c r="L1343" s="24">
        <f>IFERROR(VLOOKUP(A1343,'Sales Order'!A:D,4,FALSE),"")</f>
        <v>39413</v>
      </c>
      <c r="M1343" s="24">
        <f>IFERROR(VLOOKUP(A1343,'Sales Order'!A:F,6,FALSE),"")</f>
        <v>39418</v>
      </c>
      <c r="N1343" t="str">
        <f>IFERROR(VLOOKUP(VLOOKUP(A1343,'Sales Order'!A:G,7,FALSE),Shipper!A:B,2,FALSE),"Not Specified")</f>
        <v>Shipper ETYNR</v>
      </c>
      <c r="O1343" t="str">
        <f>IFERROR(VLOOKUP(A1343,'Sales Order'!A:I,9,FALSE),"Not Specified")</f>
        <v>Ship to 75-C</v>
      </c>
      <c r="P1343" t="str">
        <f>IFERROR(VLOOKUP(A1343,'Sales Order'!A:N,14,FALSE),"Not Specified")</f>
        <v>USA</v>
      </c>
      <c r="Q1343" t="str">
        <f>VLOOKUP(VLOOKUP(B1343,Product!A:C,3,FALSE),Supplier!A:B,2,FALSE)</f>
        <v>Supplier NZLIF</v>
      </c>
      <c r="R1343" t="str">
        <f>VLOOKUP(VLOOKUP(B1343,Product!A:C,3,FALSE),Supplier!A:I,9,FALSE)</f>
        <v>Norway</v>
      </c>
      <c r="S1343" t="str">
        <f>IFERROR(IF(VLOOKUP(A1343,'Sales Order'!A:H,8,FALSE)&gt;100,"High Freight","Low Freight"),"Not Specified")</f>
        <v>Low Freight</v>
      </c>
      <c r="T1343">
        <f t="shared" si="41"/>
        <v>576</v>
      </c>
    </row>
    <row r="1344" spans="1:20">
      <c r="A1344" s="9">
        <v>10757</v>
      </c>
      <c r="B1344" s="6">
        <v>34</v>
      </c>
      <c r="C1344" s="6">
        <v>14</v>
      </c>
      <c r="D1344" s="6">
        <v>30</v>
      </c>
      <c r="E1344" s="18">
        <v>0</v>
      </c>
      <c r="F1344" s="6" t="str">
        <f>IFERROR(VLOOKUP(VLOOKUP(A1344,'Sales Order'!A:B,2,FALSE),Customer!A:C,3,FALSE),"Not Specified")</f>
        <v>Navarro, Tomás</v>
      </c>
      <c r="G1344" s="6" t="str">
        <f t="shared" si="40"/>
        <v>Navarro Tomás</v>
      </c>
      <c r="H1344" s="22" t="str">
        <f>IFERROR(VLOOKUP(VLOOKUP(A1344,'Sales Order'!A:C,3,FALSE),Employee!A:E,5,FALSE)&amp;" "&amp;VLOOKUP(VLOOKUP(A1344,'Sales Order'!A:C,3,FALSE),Employee!A:C,3,FALSE)&amp;" "&amp;VLOOKUP(VLOOKUP(A1344,'Sales Order'!A:C,3,FALSE),Employee!A:B,2,FALSE),"Not Specified")</f>
        <v>Mr. Paul Suurs</v>
      </c>
      <c r="I1344">
        <f>IFERROR(VLOOKUP(VLOOKUP(A1344,'Sales Order'!A:C,3,FALSE),Employee!A:J,10,FALSE),"Not Specified")</f>
        <v>0</v>
      </c>
      <c r="J1344" t="str">
        <f>VLOOKUP(B1344,Product!A:B,2,FALSE)</f>
        <v>Product SWNJY</v>
      </c>
      <c r="K1344" t="str">
        <f>VLOOKUP(VLOOKUP(B1344,Product!A:D,4,FALSE),Category!A:B,2,FALSE)</f>
        <v>Beverages</v>
      </c>
      <c r="L1344" s="24">
        <f>IFERROR(VLOOKUP(A1344,'Sales Order'!A:D,4,FALSE),"")</f>
        <v>39413</v>
      </c>
      <c r="M1344" s="24">
        <f>IFERROR(VLOOKUP(A1344,'Sales Order'!A:F,6,FALSE),"")</f>
        <v>39431</v>
      </c>
      <c r="N1344" t="str">
        <f>IFERROR(VLOOKUP(VLOOKUP(A1344,'Sales Order'!A:G,7,FALSE),Shipper!A:B,2,FALSE),"Not Specified")</f>
        <v>Shipper GVSUA</v>
      </c>
      <c r="O1344" t="str">
        <f>IFERROR(VLOOKUP(A1344,'Sales Order'!A:I,9,FALSE),"Not Specified")</f>
        <v>Ship to 71-B</v>
      </c>
      <c r="P1344" t="str">
        <f>IFERROR(VLOOKUP(A1344,'Sales Order'!A:N,14,FALSE),"Not Specified")</f>
        <v>USA</v>
      </c>
      <c r="Q1344" t="str">
        <f>VLOOKUP(VLOOKUP(B1344,Product!A:C,3,FALSE),Supplier!A:B,2,FALSE)</f>
        <v>Supplier UHZRG</v>
      </c>
      <c r="R1344" t="str">
        <f>VLOOKUP(VLOOKUP(B1344,Product!A:C,3,FALSE),Supplier!A:I,9,FALSE)</f>
        <v>USA</v>
      </c>
      <c r="S1344" t="str">
        <f>IFERROR(IF(VLOOKUP(A1344,'Sales Order'!A:H,8,FALSE)&gt;100,"High Freight","Low Freight"),"Not Specified")</f>
        <v>Low Freight</v>
      </c>
      <c r="T1344">
        <f t="shared" si="41"/>
        <v>420</v>
      </c>
    </row>
    <row r="1345" spans="1:20">
      <c r="A1345" s="9">
        <v>10757</v>
      </c>
      <c r="B1345" s="6">
        <v>59</v>
      </c>
      <c r="C1345" s="6">
        <v>55</v>
      </c>
      <c r="D1345" s="6">
        <v>7</v>
      </c>
      <c r="E1345" s="18">
        <v>0</v>
      </c>
      <c r="F1345" s="6" t="str">
        <f>IFERROR(VLOOKUP(VLOOKUP(A1345,'Sales Order'!A:B,2,FALSE),Customer!A:C,3,FALSE),"Not Specified")</f>
        <v>Navarro, Tomás</v>
      </c>
      <c r="G1345" s="6" t="str">
        <f t="shared" si="40"/>
        <v>Navarro Tomás</v>
      </c>
      <c r="H1345" s="22" t="str">
        <f>IFERROR(VLOOKUP(VLOOKUP(A1345,'Sales Order'!A:C,3,FALSE),Employee!A:E,5,FALSE)&amp;" "&amp;VLOOKUP(VLOOKUP(A1345,'Sales Order'!A:C,3,FALSE),Employee!A:C,3,FALSE)&amp;" "&amp;VLOOKUP(VLOOKUP(A1345,'Sales Order'!A:C,3,FALSE),Employee!A:B,2,FALSE),"Not Specified")</f>
        <v>Mr. Paul Suurs</v>
      </c>
      <c r="I1345">
        <f>IFERROR(VLOOKUP(VLOOKUP(A1345,'Sales Order'!A:C,3,FALSE),Employee!A:J,10,FALSE),"Not Specified")</f>
        <v>0</v>
      </c>
      <c r="J1345" t="str">
        <f>VLOOKUP(B1345,Product!A:B,2,FALSE)</f>
        <v>Product UKXRI</v>
      </c>
      <c r="K1345" t="str">
        <f>VLOOKUP(VLOOKUP(B1345,Product!A:D,4,FALSE),Category!A:B,2,FALSE)</f>
        <v>Dairy Product</v>
      </c>
      <c r="L1345" s="24">
        <f>IFERROR(VLOOKUP(A1345,'Sales Order'!A:D,4,FALSE),"")</f>
        <v>39413</v>
      </c>
      <c r="M1345" s="24">
        <f>IFERROR(VLOOKUP(A1345,'Sales Order'!A:F,6,FALSE),"")</f>
        <v>39431</v>
      </c>
      <c r="N1345" t="str">
        <f>IFERROR(VLOOKUP(VLOOKUP(A1345,'Sales Order'!A:G,7,FALSE),Shipper!A:B,2,FALSE),"Not Specified")</f>
        <v>Shipper GVSUA</v>
      </c>
      <c r="O1345" t="str">
        <f>IFERROR(VLOOKUP(A1345,'Sales Order'!A:I,9,FALSE),"Not Specified")</f>
        <v>Ship to 71-B</v>
      </c>
      <c r="P1345" t="str">
        <f>IFERROR(VLOOKUP(A1345,'Sales Order'!A:N,14,FALSE),"Not Specified")</f>
        <v>USA</v>
      </c>
      <c r="Q1345" t="str">
        <f>VLOOKUP(VLOOKUP(B1345,Product!A:C,3,FALSE),Supplier!A:B,2,FALSE)</f>
        <v>Supplier OAVQT</v>
      </c>
      <c r="R1345" t="str">
        <f>VLOOKUP(VLOOKUP(B1345,Product!A:C,3,FALSE),Supplier!A:I,9,FALSE)</f>
        <v>France</v>
      </c>
      <c r="S1345" t="str">
        <f>IFERROR(IF(VLOOKUP(A1345,'Sales Order'!A:H,8,FALSE)&gt;100,"High Freight","Low Freight"),"Not Specified")</f>
        <v>Low Freight</v>
      </c>
      <c r="T1345">
        <f t="shared" si="41"/>
        <v>385</v>
      </c>
    </row>
    <row r="1346" spans="1:20">
      <c r="A1346" s="9">
        <v>10757</v>
      </c>
      <c r="B1346" s="6">
        <v>62</v>
      </c>
      <c r="C1346" s="6">
        <v>49.3</v>
      </c>
      <c r="D1346" s="6">
        <v>30</v>
      </c>
      <c r="E1346" s="18">
        <v>0</v>
      </c>
      <c r="F1346" s="6" t="str">
        <f>IFERROR(VLOOKUP(VLOOKUP(A1346,'Sales Order'!A:B,2,FALSE),Customer!A:C,3,FALSE),"Not Specified")</f>
        <v>Navarro, Tomás</v>
      </c>
      <c r="G1346" s="6" t="str">
        <f t="shared" si="40"/>
        <v>Navarro Tomás</v>
      </c>
      <c r="H1346" s="22" t="str">
        <f>IFERROR(VLOOKUP(VLOOKUP(A1346,'Sales Order'!A:C,3,FALSE),Employee!A:E,5,FALSE)&amp;" "&amp;VLOOKUP(VLOOKUP(A1346,'Sales Order'!A:C,3,FALSE),Employee!A:C,3,FALSE)&amp;" "&amp;VLOOKUP(VLOOKUP(A1346,'Sales Order'!A:C,3,FALSE),Employee!A:B,2,FALSE),"Not Specified")</f>
        <v>Mr. Paul Suurs</v>
      </c>
      <c r="I1346">
        <f>IFERROR(VLOOKUP(VLOOKUP(A1346,'Sales Order'!A:C,3,FALSE),Employee!A:J,10,FALSE),"Not Specified")</f>
        <v>0</v>
      </c>
      <c r="J1346" t="str">
        <f>VLOOKUP(B1346,Product!A:B,2,FALSE)</f>
        <v>Product WUXYK</v>
      </c>
      <c r="K1346" t="str">
        <f>VLOOKUP(VLOOKUP(B1346,Product!A:D,4,FALSE),Category!A:B,2,FALSE)</f>
        <v>Confections</v>
      </c>
      <c r="L1346" s="24">
        <f>IFERROR(VLOOKUP(A1346,'Sales Order'!A:D,4,FALSE),"")</f>
        <v>39413</v>
      </c>
      <c r="M1346" s="24">
        <f>IFERROR(VLOOKUP(A1346,'Sales Order'!A:F,6,FALSE),"")</f>
        <v>39431</v>
      </c>
      <c r="N1346" t="str">
        <f>IFERROR(VLOOKUP(VLOOKUP(A1346,'Sales Order'!A:G,7,FALSE),Shipper!A:B,2,FALSE),"Not Specified")</f>
        <v>Shipper GVSUA</v>
      </c>
      <c r="O1346" t="str">
        <f>IFERROR(VLOOKUP(A1346,'Sales Order'!A:I,9,FALSE),"Not Specified")</f>
        <v>Ship to 71-B</v>
      </c>
      <c r="P1346" t="str">
        <f>IFERROR(VLOOKUP(A1346,'Sales Order'!A:N,14,FALSE),"Not Specified")</f>
        <v>USA</v>
      </c>
      <c r="Q1346" t="str">
        <f>VLOOKUP(VLOOKUP(B1346,Product!A:C,3,FALSE),Supplier!A:B,2,FALSE)</f>
        <v>Supplier OGLRK</v>
      </c>
      <c r="R1346" t="str">
        <f>VLOOKUP(VLOOKUP(B1346,Product!A:C,3,FALSE),Supplier!A:I,9,FALSE)</f>
        <v>Canada</v>
      </c>
      <c r="S1346" t="str">
        <f>IFERROR(IF(VLOOKUP(A1346,'Sales Order'!A:H,8,FALSE)&gt;100,"High Freight","Low Freight"),"Not Specified")</f>
        <v>Low Freight</v>
      </c>
      <c r="T1346">
        <f t="shared" si="41"/>
        <v>1479</v>
      </c>
    </row>
    <row r="1347" spans="1:20">
      <c r="A1347" s="9">
        <v>10757</v>
      </c>
      <c r="B1347" s="6">
        <v>64</v>
      </c>
      <c r="C1347" s="6">
        <v>33.25</v>
      </c>
      <c r="D1347" s="6">
        <v>24</v>
      </c>
      <c r="E1347" s="18">
        <v>0</v>
      </c>
      <c r="F1347" s="6" t="str">
        <f>IFERROR(VLOOKUP(VLOOKUP(A1347,'Sales Order'!A:B,2,FALSE),Customer!A:C,3,FALSE),"Not Specified")</f>
        <v>Navarro, Tomás</v>
      </c>
      <c r="G1347" s="6" t="str">
        <f t="shared" ref="G1347:G1410" si="42">SUBSTITUTE(F1347,",","",1)</f>
        <v>Navarro Tomás</v>
      </c>
      <c r="H1347" s="22" t="str">
        <f>IFERROR(VLOOKUP(VLOOKUP(A1347,'Sales Order'!A:C,3,FALSE),Employee!A:E,5,FALSE)&amp;" "&amp;VLOOKUP(VLOOKUP(A1347,'Sales Order'!A:C,3,FALSE),Employee!A:C,3,FALSE)&amp;" "&amp;VLOOKUP(VLOOKUP(A1347,'Sales Order'!A:C,3,FALSE),Employee!A:B,2,FALSE),"Not Specified")</f>
        <v>Mr. Paul Suurs</v>
      </c>
      <c r="I1347">
        <f>IFERROR(VLOOKUP(VLOOKUP(A1347,'Sales Order'!A:C,3,FALSE),Employee!A:J,10,FALSE),"Not Specified")</f>
        <v>0</v>
      </c>
      <c r="J1347" t="str">
        <f>VLOOKUP(B1347,Product!A:B,2,FALSE)</f>
        <v>Product HCQDE</v>
      </c>
      <c r="K1347" t="str">
        <f>VLOOKUP(VLOOKUP(B1347,Product!A:D,4,FALSE),Category!A:B,2,FALSE)</f>
        <v>Grains/Cereals</v>
      </c>
      <c r="L1347" s="24">
        <f>IFERROR(VLOOKUP(A1347,'Sales Order'!A:D,4,FALSE),"")</f>
        <v>39413</v>
      </c>
      <c r="M1347" s="24">
        <f>IFERROR(VLOOKUP(A1347,'Sales Order'!A:F,6,FALSE),"")</f>
        <v>39431</v>
      </c>
      <c r="N1347" t="str">
        <f>IFERROR(VLOOKUP(VLOOKUP(A1347,'Sales Order'!A:G,7,FALSE),Shipper!A:B,2,FALSE),"Not Specified")</f>
        <v>Shipper GVSUA</v>
      </c>
      <c r="O1347" t="str">
        <f>IFERROR(VLOOKUP(A1347,'Sales Order'!A:I,9,FALSE),"Not Specified")</f>
        <v>Ship to 71-B</v>
      </c>
      <c r="P1347" t="str">
        <f>IFERROR(VLOOKUP(A1347,'Sales Order'!A:N,14,FALSE),"Not Specified")</f>
        <v>USA</v>
      </c>
      <c r="Q1347" t="str">
        <f>VLOOKUP(VLOOKUP(B1347,Product!A:C,3,FALSE),Supplier!A:B,2,FALSE)</f>
        <v>Supplier SVIYA</v>
      </c>
      <c r="R1347" t="str">
        <f>VLOOKUP(VLOOKUP(B1347,Product!A:C,3,FALSE),Supplier!A:I,9,FALSE)</f>
        <v>Germany</v>
      </c>
      <c r="S1347" t="str">
        <f>IFERROR(IF(VLOOKUP(A1347,'Sales Order'!A:H,8,FALSE)&gt;100,"High Freight","Low Freight"),"Not Specified")</f>
        <v>Low Freight</v>
      </c>
      <c r="T1347">
        <f t="shared" ref="T1347:T1410" si="43">C1347*D1347*(1-E1347)</f>
        <v>798</v>
      </c>
    </row>
    <row r="1348" spans="1:20">
      <c r="A1348" s="9">
        <v>10758</v>
      </c>
      <c r="B1348" s="6">
        <v>26</v>
      </c>
      <c r="C1348" s="6">
        <v>31.23</v>
      </c>
      <c r="D1348" s="6">
        <v>20</v>
      </c>
      <c r="E1348" s="18">
        <v>0</v>
      </c>
      <c r="F1348" s="6" t="str">
        <f>IFERROR(VLOOKUP(VLOOKUP(A1348,'Sales Order'!A:B,2,FALSE),Customer!A:C,3,FALSE),"Not Specified")</f>
        <v>Myrcha, Jacek</v>
      </c>
      <c r="G1348" s="6" t="str">
        <f t="shared" si="42"/>
        <v>Myrcha Jacek</v>
      </c>
      <c r="H1348" s="22" t="str">
        <f>IFERROR(VLOOKUP(VLOOKUP(A1348,'Sales Order'!A:C,3,FALSE),Employee!A:E,5,FALSE)&amp;" "&amp;VLOOKUP(VLOOKUP(A1348,'Sales Order'!A:C,3,FALSE),Employee!A:C,3,FALSE)&amp;" "&amp;VLOOKUP(VLOOKUP(A1348,'Sales Order'!A:C,3,FALSE),Employee!A:B,2,FALSE),"Not Specified")</f>
        <v>Ms. Judy Lew</v>
      </c>
      <c r="I1348" t="str">
        <f>IFERROR(VLOOKUP(VLOOKUP(A1348,'Sales Order'!A:C,3,FALSE),Employee!A:J,10,FALSE),"Not Specified")</f>
        <v>WA</v>
      </c>
      <c r="J1348" t="str">
        <f>VLOOKUP(B1348,Product!A:B,2,FALSE)</f>
        <v>Product HLGZA</v>
      </c>
      <c r="K1348" t="str">
        <f>VLOOKUP(VLOOKUP(B1348,Product!A:D,4,FALSE),Category!A:B,2,FALSE)</f>
        <v>Confections</v>
      </c>
      <c r="L1348" s="24">
        <f>IFERROR(VLOOKUP(A1348,'Sales Order'!A:D,4,FALSE),"")</f>
        <v>39414</v>
      </c>
      <c r="M1348" s="24">
        <f>IFERROR(VLOOKUP(A1348,'Sales Order'!A:F,6,FALSE),"")</f>
        <v>39420</v>
      </c>
      <c r="N1348" t="str">
        <f>IFERROR(VLOOKUP(VLOOKUP(A1348,'Sales Order'!A:G,7,FALSE),Shipper!A:B,2,FALSE),"Not Specified")</f>
        <v>Shipper ZHISN</v>
      </c>
      <c r="O1348" t="str">
        <f>IFERROR(VLOOKUP(A1348,'Sales Order'!A:I,9,FALSE),"Not Specified")</f>
        <v>Ship to 68-C</v>
      </c>
      <c r="P1348" t="str">
        <f>IFERROR(VLOOKUP(A1348,'Sales Order'!A:N,14,FALSE),"Not Specified")</f>
        <v>Switzerland</v>
      </c>
      <c r="Q1348" t="str">
        <f>VLOOKUP(VLOOKUP(B1348,Product!A:C,3,FALSE),Supplier!A:B,2,FALSE)</f>
        <v>Supplier ZPYVS</v>
      </c>
      <c r="R1348" t="str">
        <f>VLOOKUP(VLOOKUP(B1348,Product!A:C,3,FALSE),Supplier!A:I,9,FALSE)</f>
        <v>Germany</v>
      </c>
      <c r="S1348" t="str">
        <f>IFERROR(IF(VLOOKUP(A1348,'Sales Order'!A:H,8,FALSE)&gt;100,"High Freight","Low Freight"),"Not Specified")</f>
        <v>High Freight</v>
      </c>
      <c r="T1348">
        <f t="shared" si="43"/>
        <v>624.6</v>
      </c>
    </row>
    <row r="1349" spans="1:20">
      <c r="A1349" s="9">
        <v>10758</v>
      </c>
      <c r="B1349" s="6">
        <v>52</v>
      </c>
      <c r="C1349" s="6">
        <v>7</v>
      </c>
      <c r="D1349" s="6">
        <v>60</v>
      </c>
      <c r="E1349" s="18">
        <v>0</v>
      </c>
      <c r="F1349" s="6" t="str">
        <f>IFERROR(VLOOKUP(VLOOKUP(A1349,'Sales Order'!A:B,2,FALSE),Customer!A:C,3,FALSE),"Not Specified")</f>
        <v>Myrcha, Jacek</v>
      </c>
      <c r="G1349" s="6" t="str">
        <f t="shared" si="42"/>
        <v>Myrcha Jacek</v>
      </c>
      <c r="H1349" s="22" t="str">
        <f>IFERROR(VLOOKUP(VLOOKUP(A1349,'Sales Order'!A:C,3,FALSE),Employee!A:E,5,FALSE)&amp;" "&amp;VLOOKUP(VLOOKUP(A1349,'Sales Order'!A:C,3,FALSE),Employee!A:C,3,FALSE)&amp;" "&amp;VLOOKUP(VLOOKUP(A1349,'Sales Order'!A:C,3,FALSE),Employee!A:B,2,FALSE),"Not Specified")</f>
        <v>Ms. Judy Lew</v>
      </c>
      <c r="I1349" t="str">
        <f>IFERROR(VLOOKUP(VLOOKUP(A1349,'Sales Order'!A:C,3,FALSE),Employee!A:J,10,FALSE),"Not Specified")</f>
        <v>WA</v>
      </c>
      <c r="J1349" t="str">
        <f>VLOOKUP(B1349,Product!A:B,2,FALSE)</f>
        <v>Product QSRXF</v>
      </c>
      <c r="K1349" t="str">
        <f>VLOOKUP(VLOOKUP(B1349,Product!A:D,4,FALSE),Category!A:B,2,FALSE)</f>
        <v>Grains/Cereals</v>
      </c>
      <c r="L1349" s="24">
        <f>IFERROR(VLOOKUP(A1349,'Sales Order'!A:D,4,FALSE),"")</f>
        <v>39414</v>
      </c>
      <c r="M1349" s="24">
        <f>IFERROR(VLOOKUP(A1349,'Sales Order'!A:F,6,FALSE),"")</f>
        <v>39420</v>
      </c>
      <c r="N1349" t="str">
        <f>IFERROR(VLOOKUP(VLOOKUP(A1349,'Sales Order'!A:G,7,FALSE),Shipper!A:B,2,FALSE),"Not Specified")</f>
        <v>Shipper ZHISN</v>
      </c>
      <c r="O1349" t="str">
        <f>IFERROR(VLOOKUP(A1349,'Sales Order'!A:I,9,FALSE),"Not Specified")</f>
        <v>Ship to 68-C</v>
      </c>
      <c r="P1349" t="str">
        <f>IFERROR(VLOOKUP(A1349,'Sales Order'!A:N,14,FALSE),"Not Specified")</f>
        <v>Switzerland</v>
      </c>
      <c r="Q1349" t="str">
        <f>VLOOKUP(VLOOKUP(B1349,Product!A:C,3,FALSE),Supplier!A:B,2,FALSE)</f>
        <v>Supplier JNNES</v>
      </c>
      <c r="R1349" t="str">
        <f>VLOOKUP(VLOOKUP(B1349,Product!A:C,3,FALSE),Supplier!A:I,9,FALSE)</f>
        <v>Australia</v>
      </c>
      <c r="S1349" t="str">
        <f>IFERROR(IF(VLOOKUP(A1349,'Sales Order'!A:H,8,FALSE)&gt;100,"High Freight","Low Freight"),"Not Specified")</f>
        <v>High Freight</v>
      </c>
      <c r="T1349">
        <f t="shared" si="43"/>
        <v>420</v>
      </c>
    </row>
    <row r="1350" spans="1:20">
      <c r="A1350" s="9">
        <v>10758</v>
      </c>
      <c r="B1350" s="6">
        <v>70</v>
      </c>
      <c r="C1350" s="6">
        <v>15</v>
      </c>
      <c r="D1350" s="6">
        <v>40</v>
      </c>
      <c r="E1350" s="18">
        <v>0</v>
      </c>
      <c r="F1350" s="6" t="str">
        <f>IFERROR(VLOOKUP(VLOOKUP(A1350,'Sales Order'!A:B,2,FALSE),Customer!A:C,3,FALSE),"Not Specified")</f>
        <v>Myrcha, Jacek</v>
      </c>
      <c r="G1350" s="6" t="str">
        <f t="shared" si="42"/>
        <v>Myrcha Jacek</v>
      </c>
      <c r="H1350" s="22" t="str">
        <f>IFERROR(VLOOKUP(VLOOKUP(A1350,'Sales Order'!A:C,3,FALSE),Employee!A:E,5,FALSE)&amp;" "&amp;VLOOKUP(VLOOKUP(A1350,'Sales Order'!A:C,3,FALSE),Employee!A:C,3,FALSE)&amp;" "&amp;VLOOKUP(VLOOKUP(A1350,'Sales Order'!A:C,3,FALSE),Employee!A:B,2,FALSE),"Not Specified")</f>
        <v>Ms. Judy Lew</v>
      </c>
      <c r="I1350" t="str">
        <f>IFERROR(VLOOKUP(VLOOKUP(A1350,'Sales Order'!A:C,3,FALSE),Employee!A:J,10,FALSE),"Not Specified")</f>
        <v>WA</v>
      </c>
      <c r="J1350" t="str">
        <f>VLOOKUP(B1350,Product!A:B,2,FALSE)</f>
        <v>Product TOONT</v>
      </c>
      <c r="K1350" t="str">
        <f>VLOOKUP(VLOOKUP(B1350,Product!A:D,4,FALSE),Category!A:B,2,FALSE)</f>
        <v>Beverages</v>
      </c>
      <c r="L1350" s="24">
        <f>IFERROR(VLOOKUP(A1350,'Sales Order'!A:D,4,FALSE),"")</f>
        <v>39414</v>
      </c>
      <c r="M1350" s="24">
        <f>IFERROR(VLOOKUP(A1350,'Sales Order'!A:F,6,FALSE),"")</f>
        <v>39420</v>
      </c>
      <c r="N1350" t="str">
        <f>IFERROR(VLOOKUP(VLOOKUP(A1350,'Sales Order'!A:G,7,FALSE),Shipper!A:B,2,FALSE),"Not Specified")</f>
        <v>Shipper ZHISN</v>
      </c>
      <c r="O1350" t="str">
        <f>IFERROR(VLOOKUP(A1350,'Sales Order'!A:I,9,FALSE),"Not Specified")</f>
        <v>Ship to 68-C</v>
      </c>
      <c r="P1350" t="str">
        <f>IFERROR(VLOOKUP(A1350,'Sales Order'!A:N,14,FALSE),"Not Specified")</f>
        <v>Switzerland</v>
      </c>
      <c r="Q1350" t="str">
        <f>VLOOKUP(VLOOKUP(B1350,Product!A:C,3,FALSE),Supplier!A:B,2,FALSE)</f>
        <v>Supplier GQRCV</v>
      </c>
      <c r="R1350" t="str">
        <f>VLOOKUP(VLOOKUP(B1350,Product!A:C,3,FALSE),Supplier!A:I,9,FALSE)</f>
        <v>Australia</v>
      </c>
      <c r="S1350" t="str">
        <f>IFERROR(IF(VLOOKUP(A1350,'Sales Order'!A:H,8,FALSE)&gt;100,"High Freight","Low Freight"),"Not Specified")</f>
        <v>High Freight</v>
      </c>
      <c r="T1350">
        <f t="shared" si="43"/>
        <v>600</v>
      </c>
    </row>
    <row r="1351" spans="1:20">
      <c r="A1351" s="9">
        <v>10759</v>
      </c>
      <c r="B1351" s="6">
        <v>32</v>
      </c>
      <c r="C1351" s="6">
        <v>32</v>
      </c>
      <c r="D1351" s="6">
        <v>10</v>
      </c>
      <c r="E1351" s="18">
        <v>0</v>
      </c>
      <c r="F1351" s="6" t="str">
        <f>IFERROR(VLOOKUP(VLOOKUP(A1351,'Sales Order'!A:B,2,FALSE),Customer!A:C,3,FALSE),"Not Specified")</f>
        <v>Hassall, Mark</v>
      </c>
      <c r="G1351" s="6" t="str">
        <f t="shared" si="42"/>
        <v>Hassall Mark</v>
      </c>
      <c r="H1351" s="22" t="str">
        <f>IFERROR(VLOOKUP(VLOOKUP(A1351,'Sales Order'!A:C,3,FALSE),Employee!A:E,5,FALSE)&amp;" "&amp;VLOOKUP(VLOOKUP(A1351,'Sales Order'!A:C,3,FALSE),Employee!A:C,3,FALSE)&amp;" "&amp;VLOOKUP(VLOOKUP(A1351,'Sales Order'!A:C,3,FALSE),Employee!A:B,2,FALSE),"Not Specified")</f>
        <v>Ms. Judy Lew</v>
      </c>
      <c r="I1351" t="str">
        <f>IFERROR(VLOOKUP(VLOOKUP(A1351,'Sales Order'!A:C,3,FALSE),Employee!A:J,10,FALSE),"Not Specified")</f>
        <v>WA</v>
      </c>
      <c r="J1351" t="str">
        <f>VLOOKUP(B1351,Product!A:B,2,FALSE)</f>
        <v>Product NUNAW</v>
      </c>
      <c r="K1351" t="str">
        <f>VLOOKUP(VLOOKUP(B1351,Product!A:D,4,FALSE),Category!A:B,2,FALSE)</f>
        <v>Dairy Product</v>
      </c>
      <c r="L1351" s="24">
        <f>IFERROR(VLOOKUP(A1351,'Sales Order'!A:D,4,FALSE),"")</f>
        <v>39414</v>
      </c>
      <c r="M1351" s="24">
        <f>IFERROR(VLOOKUP(A1351,'Sales Order'!A:F,6,FALSE),"")</f>
        <v>39428</v>
      </c>
      <c r="N1351" t="str">
        <f>IFERROR(VLOOKUP(VLOOKUP(A1351,'Sales Order'!A:G,7,FALSE),Shipper!A:B,2,FALSE),"Not Specified")</f>
        <v>Shipper ZHISN</v>
      </c>
      <c r="O1351" t="str">
        <f>IFERROR(VLOOKUP(A1351,'Sales Order'!A:I,9,FALSE),"Not Specified")</f>
        <v>Destination QOTQA</v>
      </c>
      <c r="P1351" t="str">
        <f>IFERROR(VLOOKUP(A1351,'Sales Order'!A:N,14,FALSE),"Not Specified")</f>
        <v>Mexico</v>
      </c>
      <c r="Q1351" t="str">
        <f>VLOOKUP(VLOOKUP(B1351,Product!A:C,3,FALSE),Supplier!A:B,2,FALSE)</f>
        <v>Supplier KEREV</v>
      </c>
      <c r="R1351" t="str">
        <f>VLOOKUP(VLOOKUP(B1351,Product!A:C,3,FALSE),Supplier!A:I,9,FALSE)</f>
        <v>Italy</v>
      </c>
      <c r="S1351" t="str">
        <f>IFERROR(IF(VLOOKUP(A1351,'Sales Order'!A:H,8,FALSE)&gt;100,"High Freight","Low Freight"),"Not Specified")</f>
        <v>Low Freight</v>
      </c>
      <c r="T1351">
        <f t="shared" si="43"/>
        <v>320</v>
      </c>
    </row>
    <row r="1352" spans="1:20">
      <c r="A1352" s="9">
        <v>10760</v>
      </c>
      <c r="B1352" s="6">
        <v>25</v>
      </c>
      <c r="C1352" s="6">
        <v>14</v>
      </c>
      <c r="D1352" s="6">
        <v>12</v>
      </c>
      <c r="E1352" s="18">
        <v>0.25</v>
      </c>
      <c r="F1352" s="6" t="str">
        <f>IFERROR(VLOOKUP(VLOOKUP(A1352,'Sales Order'!A:B,2,FALSE),Customer!A:C,3,FALSE),"Not Specified")</f>
        <v>Mace, Donald</v>
      </c>
      <c r="G1352" s="6" t="str">
        <f t="shared" si="42"/>
        <v>Mace Donald</v>
      </c>
      <c r="H1352" s="22" t="str">
        <f>IFERROR(VLOOKUP(VLOOKUP(A1352,'Sales Order'!A:C,3,FALSE),Employee!A:E,5,FALSE)&amp;" "&amp;VLOOKUP(VLOOKUP(A1352,'Sales Order'!A:C,3,FALSE),Employee!A:C,3,FALSE)&amp;" "&amp;VLOOKUP(VLOOKUP(A1352,'Sales Order'!A:C,3,FALSE),Employee!A:B,2,FALSE),"Not Specified")</f>
        <v>Mrs. Yael Peled</v>
      </c>
      <c r="I1352" t="str">
        <f>IFERROR(VLOOKUP(VLOOKUP(A1352,'Sales Order'!A:C,3,FALSE),Employee!A:J,10,FALSE),"Not Specified")</f>
        <v>WA</v>
      </c>
      <c r="J1352" t="str">
        <f>VLOOKUP(B1352,Product!A:B,2,FALSE)</f>
        <v>Product LYLNI</v>
      </c>
      <c r="K1352" t="str">
        <f>VLOOKUP(VLOOKUP(B1352,Product!A:D,4,FALSE),Category!A:B,2,FALSE)</f>
        <v>Confections</v>
      </c>
      <c r="L1352" s="24">
        <f>IFERROR(VLOOKUP(A1352,'Sales Order'!A:D,4,FALSE),"")</f>
        <v>39417</v>
      </c>
      <c r="M1352" s="24">
        <f>IFERROR(VLOOKUP(A1352,'Sales Order'!A:F,6,FALSE),"")</f>
        <v>39426</v>
      </c>
      <c r="N1352" t="str">
        <f>IFERROR(VLOOKUP(VLOOKUP(A1352,'Sales Order'!A:G,7,FALSE),Shipper!A:B,2,FALSE),"Not Specified")</f>
        <v>Shipper GVSUA</v>
      </c>
      <c r="O1352" t="str">
        <f>IFERROR(VLOOKUP(A1352,'Sales Order'!A:I,9,FALSE),"Not Specified")</f>
        <v>Ship to 50-B</v>
      </c>
      <c r="P1352" t="str">
        <f>IFERROR(VLOOKUP(A1352,'Sales Order'!A:N,14,FALSE),"Not Specified")</f>
        <v>Belgium</v>
      </c>
      <c r="Q1352" t="str">
        <f>VLOOKUP(VLOOKUP(B1352,Product!A:C,3,FALSE),Supplier!A:B,2,FALSE)</f>
        <v>Supplier ZPYVS</v>
      </c>
      <c r="R1352" t="str">
        <f>VLOOKUP(VLOOKUP(B1352,Product!A:C,3,FALSE),Supplier!A:I,9,FALSE)</f>
        <v>Germany</v>
      </c>
      <c r="S1352" t="str">
        <f>IFERROR(IF(VLOOKUP(A1352,'Sales Order'!A:H,8,FALSE)&gt;100,"High Freight","Low Freight"),"Not Specified")</f>
        <v>High Freight</v>
      </c>
      <c r="T1352">
        <f t="shared" si="43"/>
        <v>126</v>
      </c>
    </row>
    <row r="1353" spans="1:20">
      <c r="A1353" s="9">
        <v>10760</v>
      </c>
      <c r="B1353" s="6">
        <v>27</v>
      </c>
      <c r="C1353" s="6">
        <v>43.9</v>
      </c>
      <c r="D1353" s="6">
        <v>40</v>
      </c>
      <c r="E1353" s="18">
        <v>0</v>
      </c>
      <c r="F1353" s="6" t="str">
        <f>IFERROR(VLOOKUP(VLOOKUP(A1353,'Sales Order'!A:B,2,FALSE),Customer!A:C,3,FALSE),"Not Specified")</f>
        <v>Mace, Donald</v>
      </c>
      <c r="G1353" s="6" t="str">
        <f t="shared" si="42"/>
        <v>Mace Donald</v>
      </c>
      <c r="H1353" s="22" t="str">
        <f>IFERROR(VLOOKUP(VLOOKUP(A1353,'Sales Order'!A:C,3,FALSE),Employee!A:E,5,FALSE)&amp;" "&amp;VLOOKUP(VLOOKUP(A1353,'Sales Order'!A:C,3,FALSE),Employee!A:C,3,FALSE)&amp;" "&amp;VLOOKUP(VLOOKUP(A1353,'Sales Order'!A:C,3,FALSE),Employee!A:B,2,FALSE),"Not Specified")</f>
        <v>Mrs. Yael Peled</v>
      </c>
      <c r="I1353" t="str">
        <f>IFERROR(VLOOKUP(VLOOKUP(A1353,'Sales Order'!A:C,3,FALSE),Employee!A:J,10,FALSE),"Not Specified")</f>
        <v>WA</v>
      </c>
      <c r="J1353" t="str">
        <f>VLOOKUP(B1353,Product!A:B,2,FALSE)</f>
        <v>Product SMIOH</v>
      </c>
      <c r="K1353" t="str">
        <f>VLOOKUP(VLOOKUP(B1353,Product!A:D,4,FALSE),Category!A:B,2,FALSE)</f>
        <v>Confections</v>
      </c>
      <c r="L1353" s="24">
        <f>IFERROR(VLOOKUP(A1353,'Sales Order'!A:D,4,FALSE),"")</f>
        <v>39417</v>
      </c>
      <c r="M1353" s="24">
        <f>IFERROR(VLOOKUP(A1353,'Sales Order'!A:F,6,FALSE),"")</f>
        <v>39426</v>
      </c>
      <c r="N1353" t="str">
        <f>IFERROR(VLOOKUP(VLOOKUP(A1353,'Sales Order'!A:G,7,FALSE),Shipper!A:B,2,FALSE),"Not Specified")</f>
        <v>Shipper GVSUA</v>
      </c>
      <c r="O1353" t="str">
        <f>IFERROR(VLOOKUP(A1353,'Sales Order'!A:I,9,FALSE),"Not Specified")</f>
        <v>Ship to 50-B</v>
      </c>
      <c r="P1353" t="str">
        <f>IFERROR(VLOOKUP(A1353,'Sales Order'!A:N,14,FALSE),"Not Specified")</f>
        <v>Belgium</v>
      </c>
      <c r="Q1353" t="str">
        <f>VLOOKUP(VLOOKUP(B1353,Product!A:C,3,FALSE),Supplier!A:B,2,FALSE)</f>
        <v>Supplier ZPYVS</v>
      </c>
      <c r="R1353" t="str">
        <f>VLOOKUP(VLOOKUP(B1353,Product!A:C,3,FALSE),Supplier!A:I,9,FALSE)</f>
        <v>Germany</v>
      </c>
      <c r="S1353" t="str">
        <f>IFERROR(IF(VLOOKUP(A1353,'Sales Order'!A:H,8,FALSE)&gt;100,"High Freight","Low Freight"),"Not Specified")</f>
        <v>High Freight</v>
      </c>
      <c r="T1353">
        <f t="shared" si="43"/>
        <v>1756</v>
      </c>
    </row>
    <row r="1354" spans="1:20">
      <c r="A1354" s="9">
        <v>10760</v>
      </c>
      <c r="B1354" s="6">
        <v>43</v>
      </c>
      <c r="C1354" s="6">
        <v>46</v>
      </c>
      <c r="D1354" s="6">
        <v>30</v>
      </c>
      <c r="E1354" s="18">
        <v>0.25</v>
      </c>
      <c r="F1354" s="6" t="str">
        <f>IFERROR(VLOOKUP(VLOOKUP(A1354,'Sales Order'!A:B,2,FALSE),Customer!A:C,3,FALSE),"Not Specified")</f>
        <v>Mace, Donald</v>
      </c>
      <c r="G1354" s="6" t="str">
        <f t="shared" si="42"/>
        <v>Mace Donald</v>
      </c>
      <c r="H1354" s="22" t="str">
        <f>IFERROR(VLOOKUP(VLOOKUP(A1354,'Sales Order'!A:C,3,FALSE),Employee!A:E,5,FALSE)&amp;" "&amp;VLOOKUP(VLOOKUP(A1354,'Sales Order'!A:C,3,FALSE),Employee!A:C,3,FALSE)&amp;" "&amp;VLOOKUP(VLOOKUP(A1354,'Sales Order'!A:C,3,FALSE),Employee!A:B,2,FALSE),"Not Specified")</f>
        <v>Mrs. Yael Peled</v>
      </c>
      <c r="I1354" t="str">
        <f>IFERROR(VLOOKUP(VLOOKUP(A1354,'Sales Order'!A:C,3,FALSE),Employee!A:J,10,FALSE),"Not Specified")</f>
        <v>WA</v>
      </c>
      <c r="J1354" t="str">
        <f>VLOOKUP(B1354,Product!A:B,2,FALSE)</f>
        <v>Product ZZZHR</v>
      </c>
      <c r="K1354" t="str">
        <f>VLOOKUP(VLOOKUP(B1354,Product!A:D,4,FALSE),Category!A:B,2,FALSE)</f>
        <v>Beverages</v>
      </c>
      <c r="L1354" s="24">
        <f>IFERROR(VLOOKUP(A1354,'Sales Order'!A:D,4,FALSE),"")</f>
        <v>39417</v>
      </c>
      <c r="M1354" s="24">
        <f>IFERROR(VLOOKUP(A1354,'Sales Order'!A:F,6,FALSE),"")</f>
        <v>39426</v>
      </c>
      <c r="N1354" t="str">
        <f>IFERROR(VLOOKUP(VLOOKUP(A1354,'Sales Order'!A:G,7,FALSE),Shipper!A:B,2,FALSE),"Not Specified")</f>
        <v>Shipper GVSUA</v>
      </c>
      <c r="O1354" t="str">
        <f>IFERROR(VLOOKUP(A1354,'Sales Order'!A:I,9,FALSE),"Not Specified")</f>
        <v>Ship to 50-B</v>
      </c>
      <c r="P1354" t="str">
        <f>IFERROR(VLOOKUP(A1354,'Sales Order'!A:N,14,FALSE),"Not Specified")</f>
        <v>Belgium</v>
      </c>
      <c r="Q1354" t="str">
        <f>VLOOKUP(VLOOKUP(B1354,Product!A:C,3,FALSE),Supplier!A:B,2,FALSE)</f>
        <v>Supplier CIYNM</v>
      </c>
      <c r="R1354" t="str">
        <f>VLOOKUP(VLOOKUP(B1354,Product!A:C,3,FALSE),Supplier!A:I,9,FALSE)</f>
        <v>Singapore</v>
      </c>
      <c r="S1354" t="str">
        <f>IFERROR(IF(VLOOKUP(A1354,'Sales Order'!A:H,8,FALSE)&gt;100,"High Freight","Low Freight"),"Not Specified")</f>
        <v>High Freight</v>
      </c>
      <c r="T1354">
        <f t="shared" si="43"/>
        <v>1035</v>
      </c>
    </row>
    <row r="1355" spans="1:20">
      <c r="A1355" s="9">
        <v>10761</v>
      </c>
      <c r="B1355" s="6">
        <v>25</v>
      </c>
      <c r="C1355" s="6">
        <v>14</v>
      </c>
      <c r="D1355" s="6">
        <v>35</v>
      </c>
      <c r="E1355" s="18">
        <v>0.25</v>
      </c>
      <c r="F1355" s="6" t="str">
        <f>IFERROR(VLOOKUP(VLOOKUP(A1355,'Sales Order'!A:B,2,FALSE),Customer!A:C,3,FALSE),"Not Specified")</f>
        <v>Moore, Michael</v>
      </c>
      <c r="G1355" s="6" t="str">
        <f t="shared" si="42"/>
        <v>Moore Michael</v>
      </c>
      <c r="H1355" s="22" t="str">
        <f>IFERROR(VLOOKUP(VLOOKUP(A1355,'Sales Order'!A:C,3,FALSE),Employee!A:E,5,FALSE)&amp;" "&amp;VLOOKUP(VLOOKUP(A1355,'Sales Order'!A:C,3,FALSE),Employee!A:C,3,FALSE)&amp;" "&amp;VLOOKUP(VLOOKUP(A1355,'Sales Order'!A:C,3,FALSE),Employee!A:B,2,FALSE),"Not Specified")</f>
        <v>Mr. Sven Buck</v>
      </c>
      <c r="I1355">
        <f>IFERROR(VLOOKUP(VLOOKUP(A1355,'Sales Order'!A:C,3,FALSE),Employee!A:J,10,FALSE),"Not Specified")</f>
        <v>0</v>
      </c>
      <c r="J1355" t="str">
        <f>VLOOKUP(B1355,Product!A:B,2,FALSE)</f>
        <v>Product LYLNI</v>
      </c>
      <c r="K1355" t="str">
        <f>VLOOKUP(VLOOKUP(B1355,Product!A:D,4,FALSE),Category!A:B,2,FALSE)</f>
        <v>Confections</v>
      </c>
      <c r="L1355" s="24">
        <f>IFERROR(VLOOKUP(A1355,'Sales Order'!A:D,4,FALSE),"")</f>
        <v>39418</v>
      </c>
      <c r="M1355" s="24">
        <f>IFERROR(VLOOKUP(A1355,'Sales Order'!A:F,6,FALSE),"")</f>
        <v>39424</v>
      </c>
      <c r="N1355" t="str">
        <f>IFERROR(VLOOKUP(VLOOKUP(A1355,'Sales Order'!A:G,7,FALSE),Shipper!A:B,2,FALSE),"Not Specified")</f>
        <v>Shipper ETYNR</v>
      </c>
      <c r="O1355" t="str">
        <f>IFERROR(VLOOKUP(A1355,'Sales Order'!A:I,9,FALSE),"Not Specified")</f>
        <v>Ship to 65-B</v>
      </c>
      <c r="P1355" t="str">
        <f>IFERROR(VLOOKUP(A1355,'Sales Order'!A:N,14,FALSE),"Not Specified")</f>
        <v>USA</v>
      </c>
      <c r="Q1355" t="str">
        <f>VLOOKUP(VLOOKUP(B1355,Product!A:C,3,FALSE),Supplier!A:B,2,FALSE)</f>
        <v>Supplier ZPYVS</v>
      </c>
      <c r="R1355" t="str">
        <f>VLOOKUP(VLOOKUP(B1355,Product!A:C,3,FALSE),Supplier!A:I,9,FALSE)</f>
        <v>Germany</v>
      </c>
      <c r="S1355" t="str">
        <f>IFERROR(IF(VLOOKUP(A1355,'Sales Order'!A:H,8,FALSE)&gt;100,"High Freight","Low Freight"),"Not Specified")</f>
        <v>Low Freight</v>
      </c>
      <c r="T1355">
        <f t="shared" si="43"/>
        <v>367.5</v>
      </c>
    </row>
    <row r="1356" spans="1:20">
      <c r="A1356" s="9">
        <v>10761</v>
      </c>
      <c r="B1356" s="6">
        <v>75</v>
      </c>
      <c r="C1356" s="6">
        <v>7.75</v>
      </c>
      <c r="D1356" s="6">
        <v>18</v>
      </c>
      <c r="E1356" s="18">
        <v>0</v>
      </c>
      <c r="F1356" s="6" t="str">
        <f>IFERROR(VLOOKUP(VLOOKUP(A1356,'Sales Order'!A:B,2,FALSE),Customer!A:C,3,FALSE),"Not Specified")</f>
        <v>Moore, Michael</v>
      </c>
      <c r="G1356" s="6" t="str">
        <f t="shared" si="42"/>
        <v>Moore Michael</v>
      </c>
      <c r="H1356" s="22" t="str">
        <f>IFERROR(VLOOKUP(VLOOKUP(A1356,'Sales Order'!A:C,3,FALSE),Employee!A:E,5,FALSE)&amp;" "&amp;VLOOKUP(VLOOKUP(A1356,'Sales Order'!A:C,3,FALSE),Employee!A:C,3,FALSE)&amp;" "&amp;VLOOKUP(VLOOKUP(A1356,'Sales Order'!A:C,3,FALSE),Employee!A:B,2,FALSE),"Not Specified")</f>
        <v>Mr. Sven Buck</v>
      </c>
      <c r="I1356">
        <f>IFERROR(VLOOKUP(VLOOKUP(A1356,'Sales Order'!A:C,3,FALSE),Employee!A:J,10,FALSE),"Not Specified")</f>
        <v>0</v>
      </c>
      <c r="J1356" t="str">
        <f>VLOOKUP(B1356,Product!A:B,2,FALSE)</f>
        <v>Product BWRLG</v>
      </c>
      <c r="K1356" t="str">
        <f>VLOOKUP(VLOOKUP(B1356,Product!A:D,4,FALSE),Category!A:B,2,FALSE)</f>
        <v>Beverages</v>
      </c>
      <c r="L1356" s="24">
        <f>IFERROR(VLOOKUP(A1356,'Sales Order'!A:D,4,FALSE),"")</f>
        <v>39418</v>
      </c>
      <c r="M1356" s="24">
        <f>IFERROR(VLOOKUP(A1356,'Sales Order'!A:F,6,FALSE),"")</f>
        <v>39424</v>
      </c>
      <c r="N1356" t="str">
        <f>IFERROR(VLOOKUP(VLOOKUP(A1356,'Sales Order'!A:G,7,FALSE),Shipper!A:B,2,FALSE),"Not Specified")</f>
        <v>Shipper ETYNR</v>
      </c>
      <c r="O1356" t="str">
        <f>IFERROR(VLOOKUP(A1356,'Sales Order'!A:I,9,FALSE),"Not Specified")</f>
        <v>Ship to 65-B</v>
      </c>
      <c r="P1356" t="str">
        <f>IFERROR(VLOOKUP(A1356,'Sales Order'!A:N,14,FALSE),"Not Specified")</f>
        <v>USA</v>
      </c>
      <c r="Q1356" t="str">
        <f>VLOOKUP(VLOOKUP(B1356,Product!A:C,3,FALSE),Supplier!A:B,2,FALSE)</f>
        <v>Supplier SVIYA</v>
      </c>
      <c r="R1356" t="str">
        <f>VLOOKUP(VLOOKUP(B1356,Product!A:C,3,FALSE),Supplier!A:I,9,FALSE)</f>
        <v>Germany</v>
      </c>
      <c r="S1356" t="str">
        <f>IFERROR(IF(VLOOKUP(A1356,'Sales Order'!A:H,8,FALSE)&gt;100,"High Freight","Low Freight"),"Not Specified")</f>
        <v>Low Freight</v>
      </c>
      <c r="T1356">
        <f t="shared" si="43"/>
        <v>139.5</v>
      </c>
    </row>
    <row r="1357" spans="1:20">
      <c r="A1357" s="9">
        <v>10762</v>
      </c>
      <c r="B1357" s="6">
        <v>39</v>
      </c>
      <c r="C1357" s="6">
        <v>18</v>
      </c>
      <c r="D1357" s="6">
        <v>16</v>
      </c>
      <c r="E1357" s="18">
        <v>0</v>
      </c>
      <c r="F1357" s="6" t="str">
        <f>IFERROR(VLOOKUP(VLOOKUP(A1357,'Sales Order'!A:B,2,FALSE),Customer!A:C,3,FALSE),"Not Specified")</f>
        <v>San Juan, Patricia</v>
      </c>
      <c r="G1357" s="6" t="str">
        <f t="shared" si="42"/>
        <v>San Juan Patricia</v>
      </c>
      <c r="H1357" s="22" t="str">
        <f>IFERROR(VLOOKUP(VLOOKUP(A1357,'Sales Order'!A:C,3,FALSE),Employee!A:E,5,FALSE)&amp;" "&amp;VLOOKUP(VLOOKUP(A1357,'Sales Order'!A:C,3,FALSE),Employee!A:C,3,FALSE)&amp;" "&amp;VLOOKUP(VLOOKUP(A1357,'Sales Order'!A:C,3,FALSE),Employee!A:B,2,FALSE),"Not Specified")</f>
        <v>Ms. Judy Lew</v>
      </c>
      <c r="I1357" t="str">
        <f>IFERROR(VLOOKUP(VLOOKUP(A1357,'Sales Order'!A:C,3,FALSE),Employee!A:J,10,FALSE),"Not Specified")</f>
        <v>WA</v>
      </c>
      <c r="J1357" t="str">
        <f>VLOOKUP(B1357,Product!A:B,2,FALSE)</f>
        <v>Product LSOFL</v>
      </c>
      <c r="K1357" t="str">
        <f>VLOOKUP(VLOOKUP(B1357,Product!A:D,4,FALSE),Category!A:B,2,FALSE)</f>
        <v>Beverages</v>
      </c>
      <c r="L1357" s="24">
        <f>IFERROR(VLOOKUP(A1357,'Sales Order'!A:D,4,FALSE),"")</f>
        <v>39418</v>
      </c>
      <c r="M1357" s="24">
        <f>IFERROR(VLOOKUP(A1357,'Sales Order'!A:F,6,FALSE),"")</f>
        <v>39425</v>
      </c>
      <c r="N1357" t="str">
        <f>IFERROR(VLOOKUP(VLOOKUP(A1357,'Sales Order'!A:G,7,FALSE),Shipper!A:B,2,FALSE),"Not Specified")</f>
        <v>Shipper GVSUA</v>
      </c>
      <c r="O1357" t="str">
        <f>IFERROR(VLOOKUP(A1357,'Sales Order'!A:I,9,FALSE),"Not Specified")</f>
        <v>Destination YCMPK</v>
      </c>
      <c r="P1357" t="str">
        <f>IFERROR(VLOOKUP(A1357,'Sales Order'!A:N,14,FALSE),"Not Specified")</f>
        <v>Sweden</v>
      </c>
      <c r="Q1357" t="str">
        <f>VLOOKUP(VLOOKUP(B1357,Product!A:C,3,FALSE),Supplier!A:B,2,FALSE)</f>
        <v>Supplier LVJUA</v>
      </c>
      <c r="R1357" t="str">
        <f>VLOOKUP(VLOOKUP(B1357,Product!A:C,3,FALSE),Supplier!A:I,9,FALSE)</f>
        <v>France</v>
      </c>
      <c r="S1357" t="str">
        <f>IFERROR(IF(VLOOKUP(A1357,'Sales Order'!A:H,8,FALSE)&gt;100,"High Freight","Low Freight"),"Not Specified")</f>
        <v>High Freight</v>
      </c>
      <c r="T1357">
        <f t="shared" si="43"/>
        <v>288</v>
      </c>
    </row>
    <row r="1358" spans="1:20">
      <c r="A1358" s="9">
        <v>10762</v>
      </c>
      <c r="B1358" s="6">
        <v>47</v>
      </c>
      <c r="C1358" s="6">
        <v>9.5</v>
      </c>
      <c r="D1358" s="6">
        <v>30</v>
      </c>
      <c r="E1358" s="18">
        <v>0</v>
      </c>
      <c r="F1358" s="6" t="str">
        <f>IFERROR(VLOOKUP(VLOOKUP(A1358,'Sales Order'!A:B,2,FALSE),Customer!A:C,3,FALSE),"Not Specified")</f>
        <v>San Juan, Patricia</v>
      </c>
      <c r="G1358" s="6" t="str">
        <f t="shared" si="42"/>
        <v>San Juan Patricia</v>
      </c>
      <c r="H1358" s="22" t="str">
        <f>IFERROR(VLOOKUP(VLOOKUP(A1358,'Sales Order'!A:C,3,FALSE),Employee!A:E,5,FALSE)&amp;" "&amp;VLOOKUP(VLOOKUP(A1358,'Sales Order'!A:C,3,FALSE),Employee!A:C,3,FALSE)&amp;" "&amp;VLOOKUP(VLOOKUP(A1358,'Sales Order'!A:C,3,FALSE),Employee!A:B,2,FALSE),"Not Specified")</f>
        <v>Ms. Judy Lew</v>
      </c>
      <c r="I1358" t="str">
        <f>IFERROR(VLOOKUP(VLOOKUP(A1358,'Sales Order'!A:C,3,FALSE),Employee!A:J,10,FALSE),"Not Specified")</f>
        <v>WA</v>
      </c>
      <c r="J1358" t="str">
        <f>VLOOKUP(B1358,Product!A:B,2,FALSE)</f>
        <v>Product EZZPR</v>
      </c>
      <c r="K1358" t="str">
        <f>VLOOKUP(VLOOKUP(B1358,Product!A:D,4,FALSE),Category!A:B,2,FALSE)</f>
        <v>Confections</v>
      </c>
      <c r="L1358" s="24">
        <f>IFERROR(VLOOKUP(A1358,'Sales Order'!A:D,4,FALSE),"")</f>
        <v>39418</v>
      </c>
      <c r="M1358" s="24">
        <f>IFERROR(VLOOKUP(A1358,'Sales Order'!A:F,6,FALSE),"")</f>
        <v>39425</v>
      </c>
      <c r="N1358" t="str">
        <f>IFERROR(VLOOKUP(VLOOKUP(A1358,'Sales Order'!A:G,7,FALSE),Shipper!A:B,2,FALSE),"Not Specified")</f>
        <v>Shipper GVSUA</v>
      </c>
      <c r="O1358" t="str">
        <f>IFERROR(VLOOKUP(A1358,'Sales Order'!A:I,9,FALSE),"Not Specified")</f>
        <v>Destination YCMPK</v>
      </c>
      <c r="P1358" t="str">
        <f>IFERROR(VLOOKUP(A1358,'Sales Order'!A:N,14,FALSE),"Not Specified")</f>
        <v>Sweden</v>
      </c>
      <c r="Q1358" t="str">
        <f>VLOOKUP(VLOOKUP(B1358,Product!A:C,3,FALSE),Supplier!A:B,2,FALSE)</f>
        <v>Supplier FNUXM</v>
      </c>
      <c r="R1358" t="str">
        <f>VLOOKUP(VLOOKUP(B1358,Product!A:C,3,FALSE),Supplier!A:I,9,FALSE)</f>
        <v>Netherlands</v>
      </c>
      <c r="S1358" t="str">
        <f>IFERROR(IF(VLOOKUP(A1358,'Sales Order'!A:H,8,FALSE)&gt;100,"High Freight","Low Freight"),"Not Specified")</f>
        <v>High Freight</v>
      </c>
      <c r="T1358">
        <f t="shared" si="43"/>
        <v>285</v>
      </c>
    </row>
    <row r="1359" spans="1:20">
      <c r="A1359" s="9">
        <v>10762</v>
      </c>
      <c r="B1359" s="6">
        <v>51</v>
      </c>
      <c r="C1359" s="6">
        <v>53</v>
      </c>
      <c r="D1359" s="6">
        <v>28</v>
      </c>
      <c r="E1359" s="18">
        <v>0</v>
      </c>
      <c r="F1359" s="6" t="str">
        <f>IFERROR(VLOOKUP(VLOOKUP(A1359,'Sales Order'!A:B,2,FALSE),Customer!A:C,3,FALSE),"Not Specified")</f>
        <v>San Juan, Patricia</v>
      </c>
      <c r="G1359" s="6" t="str">
        <f t="shared" si="42"/>
        <v>San Juan Patricia</v>
      </c>
      <c r="H1359" s="22" t="str">
        <f>IFERROR(VLOOKUP(VLOOKUP(A1359,'Sales Order'!A:C,3,FALSE),Employee!A:E,5,FALSE)&amp;" "&amp;VLOOKUP(VLOOKUP(A1359,'Sales Order'!A:C,3,FALSE),Employee!A:C,3,FALSE)&amp;" "&amp;VLOOKUP(VLOOKUP(A1359,'Sales Order'!A:C,3,FALSE),Employee!A:B,2,FALSE),"Not Specified")</f>
        <v>Ms. Judy Lew</v>
      </c>
      <c r="I1359" t="str">
        <f>IFERROR(VLOOKUP(VLOOKUP(A1359,'Sales Order'!A:C,3,FALSE),Employee!A:J,10,FALSE),"Not Specified")</f>
        <v>WA</v>
      </c>
      <c r="J1359" t="str">
        <f>VLOOKUP(B1359,Product!A:B,2,FALSE)</f>
        <v>Product APITJ</v>
      </c>
      <c r="K1359" t="str">
        <f>VLOOKUP(VLOOKUP(B1359,Product!A:D,4,FALSE),Category!A:B,2,FALSE)</f>
        <v>Produce</v>
      </c>
      <c r="L1359" s="24">
        <f>IFERROR(VLOOKUP(A1359,'Sales Order'!A:D,4,FALSE),"")</f>
        <v>39418</v>
      </c>
      <c r="M1359" s="24">
        <f>IFERROR(VLOOKUP(A1359,'Sales Order'!A:F,6,FALSE),"")</f>
        <v>39425</v>
      </c>
      <c r="N1359" t="str">
        <f>IFERROR(VLOOKUP(VLOOKUP(A1359,'Sales Order'!A:G,7,FALSE),Shipper!A:B,2,FALSE),"Not Specified")</f>
        <v>Shipper GVSUA</v>
      </c>
      <c r="O1359" t="str">
        <f>IFERROR(VLOOKUP(A1359,'Sales Order'!A:I,9,FALSE),"Not Specified")</f>
        <v>Destination YCMPK</v>
      </c>
      <c r="P1359" t="str">
        <f>IFERROR(VLOOKUP(A1359,'Sales Order'!A:N,14,FALSE),"Not Specified")</f>
        <v>Sweden</v>
      </c>
      <c r="Q1359" t="str">
        <f>VLOOKUP(VLOOKUP(B1359,Product!A:C,3,FALSE),Supplier!A:B,2,FALSE)</f>
        <v>Supplier JNNES</v>
      </c>
      <c r="R1359" t="str">
        <f>VLOOKUP(VLOOKUP(B1359,Product!A:C,3,FALSE),Supplier!A:I,9,FALSE)</f>
        <v>Australia</v>
      </c>
      <c r="S1359" t="str">
        <f>IFERROR(IF(VLOOKUP(A1359,'Sales Order'!A:H,8,FALSE)&gt;100,"High Freight","Low Freight"),"Not Specified")</f>
        <v>High Freight</v>
      </c>
      <c r="T1359">
        <f t="shared" si="43"/>
        <v>1484</v>
      </c>
    </row>
    <row r="1360" spans="1:20">
      <c r="A1360" s="9">
        <v>10762</v>
      </c>
      <c r="B1360" s="6">
        <v>56</v>
      </c>
      <c r="C1360" s="6">
        <v>38</v>
      </c>
      <c r="D1360" s="6">
        <v>60</v>
      </c>
      <c r="E1360" s="18">
        <v>0</v>
      </c>
      <c r="F1360" s="6" t="str">
        <f>IFERROR(VLOOKUP(VLOOKUP(A1360,'Sales Order'!A:B,2,FALSE),Customer!A:C,3,FALSE),"Not Specified")</f>
        <v>San Juan, Patricia</v>
      </c>
      <c r="G1360" s="6" t="str">
        <f t="shared" si="42"/>
        <v>San Juan Patricia</v>
      </c>
      <c r="H1360" s="22" t="str">
        <f>IFERROR(VLOOKUP(VLOOKUP(A1360,'Sales Order'!A:C,3,FALSE),Employee!A:E,5,FALSE)&amp;" "&amp;VLOOKUP(VLOOKUP(A1360,'Sales Order'!A:C,3,FALSE),Employee!A:C,3,FALSE)&amp;" "&amp;VLOOKUP(VLOOKUP(A1360,'Sales Order'!A:C,3,FALSE),Employee!A:B,2,FALSE),"Not Specified")</f>
        <v>Ms. Judy Lew</v>
      </c>
      <c r="I1360" t="str">
        <f>IFERROR(VLOOKUP(VLOOKUP(A1360,'Sales Order'!A:C,3,FALSE),Employee!A:J,10,FALSE),"Not Specified")</f>
        <v>WA</v>
      </c>
      <c r="J1360" t="str">
        <f>VLOOKUP(B1360,Product!A:B,2,FALSE)</f>
        <v>Product VKCMF</v>
      </c>
      <c r="K1360" t="str">
        <f>VLOOKUP(VLOOKUP(B1360,Product!A:D,4,FALSE),Category!A:B,2,FALSE)</f>
        <v>Grains/Cereals</v>
      </c>
      <c r="L1360" s="24">
        <f>IFERROR(VLOOKUP(A1360,'Sales Order'!A:D,4,FALSE),"")</f>
        <v>39418</v>
      </c>
      <c r="M1360" s="24">
        <f>IFERROR(VLOOKUP(A1360,'Sales Order'!A:F,6,FALSE),"")</f>
        <v>39425</v>
      </c>
      <c r="N1360" t="str">
        <f>IFERROR(VLOOKUP(VLOOKUP(A1360,'Sales Order'!A:G,7,FALSE),Shipper!A:B,2,FALSE),"Not Specified")</f>
        <v>Shipper GVSUA</v>
      </c>
      <c r="O1360" t="str">
        <f>IFERROR(VLOOKUP(A1360,'Sales Order'!A:I,9,FALSE),"Not Specified")</f>
        <v>Destination YCMPK</v>
      </c>
      <c r="P1360" t="str">
        <f>IFERROR(VLOOKUP(A1360,'Sales Order'!A:N,14,FALSE),"Not Specified")</f>
        <v>Sweden</v>
      </c>
      <c r="Q1360" t="str">
        <f>VLOOKUP(VLOOKUP(B1360,Product!A:C,3,FALSE),Supplier!A:B,2,FALSE)</f>
        <v>Supplier ZWZDM</v>
      </c>
      <c r="R1360" t="str">
        <f>VLOOKUP(VLOOKUP(B1360,Product!A:C,3,FALSE),Supplier!A:I,9,FALSE)</f>
        <v>Italy</v>
      </c>
      <c r="S1360" t="str">
        <f>IFERROR(IF(VLOOKUP(A1360,'Sales Order'!A:H,8,FALSE)&gt;100,"High Freight","Low Freight"),"Not Specified")</f>
        <v>High Freight</v>
      </c>
      <c r="T1360">
        <f t="shared" si="43"/>
        <v>2280</v>
      </c>
    </row>
    <row r="1361" spans="1:20">
      <c r="A1361" s="9">
        <v>10763</v>
      </c>
      <c r="B1361" s="6">
        <v>21</v>
      </c>
      <c r="C1361" s="6">
        <v>10</v>
      </c>
      <c r="D1361" s="6">
        <v>40</v>
      </c>
      <c r="E1361" s="18">
        <v>0</v>
      </c>
      <c r="F1361" s="6" t="str">
        <f>IFERROR(VLOOKUP(VLOOKUP(A1361,'Sales Order'!A:B,2,FALSE),Customer!A:C,3,FALSE),"Not Specified")</f>
        <v>Khanna, Karan</v>
      </c>
      <c r="G1361" s="6" t="str">
        <f t="shared" si="42"/>
        <v>Khanna Karan</v>
      </c>
      <c r="H1361" s="22" t="str">
        <f>IFERROR(VLOOKUP(VLOOKUP(A1361,'Sales Order'!A:C,3,FALSE),Employee!A:E,5,FALSE)&amp;" "&amp;VLOOKUP(VLOOKUP(A1361,'Sales Order'!A:C,3,FALSE),Employee!A:C,3,FALSE)&amp;" "&amp;VLOOKUP(VLOOKUP(A1361,'Sales Order'!A:C,3,FALSE),Employee!A:B,2,FALSE),"Not Specified")</f>
        <v>Ms. Judy Lew</v>
      </c>
      <c r="I1361" t="str">
        <f>IFERROR(VLOOKUP(VLOOKUP(A1361,'Sales Order'!A:C,3,FALSE),Employee!A:J,10,FALSE),"Not Specified")</f>
        <v>WA</v>
      </c>
      <c r="J1361" t="str">
        <f>VLOOKUP(B1361,Product!A:B,2,FALSE)</f>
        <v>Product VJZZH</v>
      </c>
      <c r="K1361" t="str">
        <f>VLOOKUP(VLOOKUP(B1361,Product!A:D,4,FALSE),Category!A:B,2,FALSE)</f>
        <v>Confections</v>
      </c>
      <c r="L1361" s="24">
        <f>IFERROR(VLOOKUP(A1361,'Sales Order'!A:D,4,FALSE),"")</f>
        <v>39419</v>
      </c>
      <c r="M1361" s="24">
        <f>IFERROR(VLOOKUP(A1361,'Sales Order'!A:F,6,FALSE),"")</f>
        <v>39424</v>
      </c>
      <c r="N1361" t="str">
        <f>IFERROR(VLOOKUP(VLOOKUP(A1361,'Sales Order'!A:G,7,FALSE),Shipper!A:B,2,FALSE),"Not Specified")</f>
        <v>Shipper ZHISN</v>
      </c>
      <c r="O1361" t="str">
        <f>IFERROR(VLOOKUP(A1361,'Sales Order'!A:I,9,FALSE),"Not Specified")</f>
        <v>Destination PXQRR</v>
      </c>
      <c r="P1361" t="str">
        <f>IFERROR(VLOOKUP(A1361,'Sales Order'!A:N,14,FALSE),"Not Specified")</f>
        <v>France</v>
      </c>
      <c r="Q1361" t="str">
        <f>VLOOKUP(VLOOKUP(B1361,Product!A:C,3,FALSE),Supplier!A:B,2,FALSE)</f>
        <v>Supplier BWGYE</v>
      </c>
      <c r="R1361" t="str">
        <f>VLOOKUP(VLOOKUP(B1361,Product!A:C,3,FALSE),Supplier!A:I,9,FALSE)</f>
        <v>UK</v>
      </c>
      <c r="S1361" t="str">
        <f>IFERROR(IF(VLOOKUP(A1361,'Sales Order'!A:H,8,FALSE)&gt;100,"High Freight","Low Freight"),"Not Specified")</f>
        <v>Low Freight</v>
      </c>
      <c r="T1361">
        <f t="shared" si="43"/>
        <v>400</v>
      </c>
    </row>
    <row r="1362" spans="1:20">
      <c r="A1362" s="9">
        <v>10763</v>
      </c>
      <c r="B1362" s="6">
        <v>22</v>
      </c>
      <c r="C1362" s="6">
        <v>21</v>
      </c>
      <c r="D1362" s="6">
        <v>6</v>
      </c>
      <c r="E1362" s="18">
        <v>0</v>
      </c>
      <c r="F1362" s="6" t="str">
        <f>IFERROR(VLOOKUP(VLOOKUP(A1362,'Sales Order'!A:B,2,FALSE),Customer!A:C,3,FALSE),"Not Specified")</f>
        <v>Khanna, Karan</v>
      </c>
      <c r="G1362" s="6" t="str">
        <f t="shared" si="42"/>
        <v>Khanna Karan</v>
      </c>
      <c r="H1362" s="22" t="str">
        <f>IFERROR(VLOOKUP(VLOOKUP(A1362,'Sales Order'!A:C,3,FALSE),Employee!A:E,5,FALSE)&amp;" "&amp;VLOOKUP(VLOOKUP(A1362,'Sales Order'!A:C,3,FALSE),Employee!A:C,3,FALSE)&amp;" "&amp;VLOOKUP(VLOOKUP(A1362,'Sales Order'!A:C,3,FALSE),Employee!A:B,2,FALSE),"Not Specified")</f>
        <v>Ms. Judy Lew</v>
      </c>
      <c r="I1362" t="str">
        <f>IFERROR(VLOOKUP(VLOOKUP(A1362,'Sales Order'!A:C,3,FALSE),Employee!A:J,10,FALSE),"Not Specified")</f>
        <v>WA</v>
      </c>
      <c r="J1362" t="str">
        <f>VLOOKUP(B1362,Product!A:B,2,FALSE)</f>
        <v>Product CPHFY</v>
      </c>
      <c r="K1362" t="str">
        <f>VLOOKUP(VLOOKUP(B1362,Product!A:D,4,FALSE),Category!A:B,2,FALSE)</f>
        <v>Grains/Cereals</v>
      </c>
      <c r="L1362" s="24">
        <f>IFERROR(VLOOKUP(A1362,'Sales Order'!A:D,4,FALSE),"")</f>
        <v>39419</v>
      </c>
      <c r="M1362" s="24">
        <f>IFERROR(VLOOKUP(A1362,'Sales Order'!A:F,6,FALSE),"")</f>
        <v>39424</v>
      </c>
      <c r="N1362" t="str">
        <f>IFERROR(VLOOKUP(VLOOKUP(A1362,'Sales Order'!A:G,7,FALSE),Shipper!A:B,2,FALSE),"Not Specified")</f>
        <v>Shipper ZHISN</v>
      </c>
      <c r="O1362" t="str">
        <f>IFERROR(VLOOKUP(A1362,'Sales Order'!A:I,9,FALSE),"Not Specified")</f>
        <v>Destination PXQRR</v>
      </c>
      <c r="P1362" t="str">
        <f>IFERROR(VLOOKUP(A1362,'Sales Order'!A:N,14,FALSE),"Not Specified")</f>
        <v>France</v>
      </c>
      <c r="Q1362" t="str">
        <f>VLOOKUP(VLOOKUP(B1362,Product!A:C,3,FALSE),Supplier!A:B,2,FALSE)</f>
        <v>Supplier QQYEU</v>
      </c>
      <c r="R1362" t="str">
        <f>VLOOKUP(VLOOKUP(B1362,Product!A:C,3,FALSE),Supplier!A:I,9,FALSE)</f>
        <v>Sweden</v>
      </c>
      <c r="S1362" t="str">
        <f>IFERROR(IF(VLOOKUP(A1362,'Sales Order'!A:H,8,FALSE)&gt;100,"High Freight","Low Freight"),"Not Specified")</f>
        <v>Low Freight</v>
      </c>
      <c r="T1362">
        <f t="shared" si="43"/>
        <v>126</v>
      </c>
    </row>
    <row r="1363" spans="1:20">
      <c r="A1363" s="9">
        <v>10763</v>
      </c>
      <c r="B1363" s="6">
        <v>24</v>
      </c>
      <c r="C1363" s="6">
        <v>4.5</v>
      </c>
      <c r="D1363" s="6">
        <v>20</v>
      </c>
      <c r="E1363" s="18">
        <v>0</v>
      </c>
      <c r="F1363" s="6" t="str">
        <f>IFERROR(VLOOKUP(VLOOKUP(A1363,'Sales Order'!A:B,2,FALSE),Customer!A:C,3,FALSE),"Not Specified")</f>
        <v>Khanna, Karan</v>
      </c>
      <c r="G1363" s="6" t="str">
        <f t="shared" si="42"/>
        <v>Khanna Karan</v>
      </c>
      <c r="H1363" s="22" t="str">
        <f>IFERROR(VLOOKUP(VLOOKUP(A1363,'Sales Order'!A:C,3,FALSE),Employee!A:E,5,FALSE)&amp;" "&amp;VLOOKUP(VLOOKUP(A1363,'Sales Order'!A:C,3,FALSE),Employee!A:C,3,FALSE)&amp;" "&amp;VLOOKUP(VLOOKUP(A1363,'Sales Order'!A:C,3,FALSE),Employee!A:B,2,FALSE),"Not Specified")</f>
        <v>Ms. Judy Lew</v>
      </c>
      <c r="I1363" t="str">
        <f>IFERROR(VLOOKUP(VLOOKUP(A1363,'Sales Order'!A:C,3,FALSE),Employee!A:J,10,FALSE),"Not Specified")</f>
        <v>WA</v>
      </c>
      <c r="J1363" t="str">
        <f>VLOOKUP(B1363,Product!A:B,2,FALSE)</f>
        <v>Product QOGNU</v>
      </c>
      <c r="K1363" t="str">
        <f>VLOOKUP(VLOOKUP(B1363,Product!A:D,4,FALSE),Category!A:B,2,FALSE)</f>
        <v>Beverages</v>
      </c>
      <c r="L1363" s="24">
        <f>IFERROR(VLOOKUP(A1363,'Sales Order'!A:D,4,FALSE),"")</f>
        <v>39419</v>
      </c>
      <c r="M1363" s="24">
        <f>IFERROR(VLOOKUP(A1363,'Sales Order'!A:F,6,FALSE),"")</f>
        <v>39424</v>
      </c>
      <c r="N1363" t="str">
        <f>IFERROR(VLOOKUP(VLOOKUP(A1363,'Sales Order'!A:G,7,FALSE),Shipper!A:B,2,FALSE),"Not Specified")</f>
        <v>Shipper ZHISN</v>
      </c>
      <c r="O1363" t="str">
        <f>IFERROR(VLOOKUP(A1363,'Sales Order'!A:I,9,FALSE),"Not Specified")</f>
        <v>Destination PXQRR</v>
      </c>
      <c r="P1363" t="str">
        <f>IFERROR(VLOOKUP(A1363,'Sales Order'!A:N,14,FALSE),"Not Specified")</f>
        <v>France</v>
      </c>
      <c r="Q1363" t="str">
        <f>VLOOKUP(VLOOKUP(B1363,Product!A:C,3,FALSE),Supplier!A:B,2,FALSE)</f>
        <v>Supplier UNAHG</v>
      </c>
      <c r="R1363" t="str">
        <f>VLOOKUP(VLOOKUP(B1363,Product!A:C,3,FALSE),Supplier!A:I,9,FALSE)</f>
        <v>Brazil</v>
      </c>
      <c r="S1363" t="str">
        <f>IFERROR(IF(VLOOKUP(A1363,'Sales Order'!A:H,8,FALSE)&gt;100,"High Freight","Low Freight"),"Not Specified")</f>
        <v>Low Freight</v>
      </c>
      <c r="T1363">
        <f t="shared" si="43"/>
        <v>90</v>
      </c>
    </row>
    <row r="1364" spans="1:20">
      <c r="A1364" s="9">
        <v>10764</v>
      </c>
      <c r="B1364" s="6">
        <v>3</v>
      </c>
      <c r="C1364" s="6">
        <v>10</v>
      </c>
      <c r="D1364" s="6">
        <v>20</v>
      </c>
      <c r="E1364" s="18">
        <v>0.1</v>
      </c>
      <c r="F1364" s="6" t="str">
        <f>IFERROR(VLOOKUP(VLOOKUP(A1364,'Sales Order'!A:B,2,FALSE),Customer!A:C,3,FALSE),"Not Specified")</f>
        <v>Kane, John</v>
      </c>
      <c r="G1364" s="6" t="str">
        <f t="shared" si="42"/>
        <v>Kane John</v>
      </c>
      <c r="H1364" s="22" t="str">
        <f>IFERROR(VLOOKUP(VLOOKUP(A1364,'Sales Order'!A:C,3,FALSE),Employee!A:E,5,FALSE)&amp;" "&amp;VLOOKUP(VLOOKUP(A1364,'Sales Order'!A:C,3,FALSE),Employee!A:C,3,FALSE)&amp;" "&amp;VLOOKUP(VLOOKUP(A1364,'Sales Order'!A:C,3,FALSE),Employee!A:B,2,FALSE),"Not Specified")</f>
        <v>Mr. Paul Suurs</v>
      </c>
      <c r="I1364">
        <f>IFERROR(VLOOKUP(VLOOKUP(A1364,'Sales Order'!A:C,3,FALSE),Employee!A:J,10,FALSE),"Not Specified")</f>
        <v>0</v>
      </c>
      <c r="J1364" t="str">
        <f>VLOOKUP(B1364,Product!A:B,2,FALSE)</f>
        <v>Product IMEHJ</v>
      </c>
      <c r="K1364" t="str">
        <f>VLOOKUP(VLOOKUP(B1364,Product!A:D,4,FALSE),Category!A:B,2,FALSE)</f>
        <v>Condiments</v>
      </c>
      <c r="L1364" s="24">
        <f>IFERROR(VLOOKUP(A1364,'Sales Order'!A:D,4,FALSE),"")</f>
        <v>39419</v>
      </c>
      <c r="M1364" s="24">
        <f>IFERROR(VLOOKUP(A1364,'Sales Order'!A:F,6,FALSE),"")</f>
        <v>39424</v>
      </c>
      <c r="N1364" t="str">
        <f>IFERROR(VLOOKUP(VLOOKUP(A1364,'Sales Order'!A:G,7,FALSE),Shipper!A:B,2,FALSE),"Not Specified")</f>
        <v>Shipper ZHISN</v>
      </c>
      <c r="O1364" t="str">
        <f>IFERROR(VLOOKUP(A1364,'Sales Order'!A:I,9,FALSE),"Not Specified")</f>
        <v>Destination CUVPF</v>
      </c>
      <c r="P1364" t="str">
        <f>IFERROR(VLOOKUP(A1364,'Sales Order'!A:N,14,FALSE),"Not Specified")</f>
        <v>Austria</v>
      </c>
      <c r="Q1364" t="str">
        <f>VLOOKUP(VLOOKUP(B1364,Product!A:C,3,FALSE),Supplier!A:B,2,FALSE)</f>
        <v>Supplier SWRXU</v>
      </c>
      <c r="R1364" t="str">
        <f>VLOOKUP(VLOOKUP(B1364,Product!A:C,3,FALSE),Supplier!A:I,9,FALSE)</f>
        <v>UK</v>
      </c>
      <c r="S1364" t="str">
        <f>IFERROR(IF(VLOOKUP(A1364,'Sales Order'!A:H,8,FALSE)&gt;100,"High Freight","Low Freight"),"Not Specified")</f>
        <v>High Freight</v>
      </c>
      <c r="T1364">
        <f t="shared" si="43"/>
        <v>180</v>
      </c>
    </row>
    <row r="1365" spans="1:20">
      <c r="A1365" s="9">
        <v>10764</v>
      </c>
      <c r="B1365" s="6">
        <v>39</v>
      </c>
      <c r="C1365" s="6">
        <v>18</v>
      </c>
      <c r="D1365" s="6">
        <v>130</v>
      </c>
      <c r="E1365" s="18">
        <v>0.1</v>
      </c>
      <c r="F1365" s="6" t="str">
        <f>IFERROR(VLOOKUP(VLOOKUP(A1365,'Sales Order'!A:B,2,FALSE),Customer!A:C,3,FALSE),"Not Specified")</f>
        <v>Kane, John</v>
      </c>
      <c r="G1365" s="6" t="str">
        <f t="shared" si="42"/>
        <v>Kane John</v>
      </c>
      <c r="H1365" s="22" t="str">
        <f>IFERROR(VLOOKUP(VLOOKUP(A1365,'Sales Order'!A:C,3,FALSE),Employee!A:E,5,FALSE)&amp;" "&amp;VLOOKUP(VLOOKUP(A1365,'Sales Order'!A:C,3,FALSE),Employee!A:C,3,FALSE)&amp;" "&amp;VLOOKUP(VLOOKUP(A1365,'Sales Order'!A:C,3,FALSE),Employee!A:B,2,FALSE),"Not Specified")</f>
        <v>Mr. Paul Suurs</v>
      </c>
      <c r="I1365">
        <f>IFERROR(VLOOKUP(VLOOKUP(A1365,'Sales Order'!A:C,3,FALSE),Employee!A:J,10,FALSE),"Not Specified")</f>
        <v>0</v>
      </c>
      <c r="J1365" t="str">
        <f>VLOOKUP(B1365,Product!A:B,2,FALSE)</f>
        <v>Product LSOFL</v>
      </c>
      <c r="K1365" t="str">
        <f>VLOOKUP(VLOOKUP(B1365,Product!A:D,4,FALSE),Category!A:B,2,FALSE)</f>
        <v>Beverages</v>
      </c>
      <c r="L1365" s="24">
        <f>IFERROR(VLOOKUP(A1365,'Sales Order'!A:D,4,FALSE),"")</f>
        <v>39419</v>
      </c>
      <c r="M1365" s="24">
        <f>IFERROR(VLOOKUP(A1365,'Sales Order'!A:F,6,FALSE),"")</f>
        <v>39424</v>
      </c>
      <c r="N1365" t="str">
        <f>IFERROR(VLOOKUP(VLOOKUP(A1365,'Sales Order'!A:G,7,FALSE),Shipper!A:B,2,FALSE),"Not Specified")</f>
        <v>Shipper ZHISN</v>
      </c>
      <c r="O1365" t="str">
        <f>IFERROR(VLOOKUP(A1365,'Sales Order'!A:I,9,FALSE),"Not Specified")</f>
        <v>Destination CUVPF</v>
      </c>
      <c r="P1365" t="str">
        <f>IFERROR(VLOOKUP(A1365,'Sales Order'!A:N,14,FALSE),"Not Specified")</f>
        <v>Austria</v>
      </c>
      <c r="Q1365" t="str">
        <f>VLOOKUP(VLOOKUP(B1365,Product!A:C,3,FALSE),Supplier!A:B,2,FALSE)</f>
        <v>Supplier LVJUA</v>
      </c>
      <c r="R1365" t="str">
        <f>VLOOKUP(VLOOKUP(B1365,Product!A:C,3,FALSE),Supplier!A:I,9,FALSE)</f>
        <v>France</v>
      </c>
      <c r="S1365" t="str">
        <f>IFERROR(IF(VLOOKUP(A1365,'Sales Order'!A:H,8,FALSE)&gt;100,"High Freight","Low Freight"),"Not Specified")</f>
        <v>High Freight</v>
      </c>
      <c r="T1365">
        <f t="shared" si="43"/>
        <v>2106</v>
      </c>
    </row>
    <row r="1366" spans="1:20">
      <c r="A1366" s="9">
        <v>10765</v>
      </c>
      <c r="B1366" s="6">
        <v>65</v>
      </c>
      <c r="C1366" s="6">
        <v>21.05</v>
      </c>
      <c r="D1366" s="6">
        <v>80</v>
      </c>
      <c r="E1366" s="18">
        <v>0.1</v>
      </c>
      <c r="F1366" s="6" t="str">
        <f>IFERROR(VLOOKUP(VLOOKUP(A1366,'Sales Order'!A:B,2,FALSE),Customer!A:C,3,FALSE),"Not Specified")</f>
        <v>Veronesi, Giorgio</v>
      </c>
      <c r="G1366" s="6" t="str">
        <f t="shared" si="42"/>
        <v>Veronesi Giorgio</v>
      </c>
      <c r="H1366" s="22" t="str">
        <f>IFERROR(VLOOKUP(VLOOKUP(A1366,'Sales Order'!A:C,3,FALSE),Employee!A:E,5,FALSE)&amp;" "&amp;VLOOKUP(VLOOKUP(A1366,'Sales Order'!A:C,3,FALSE),Employee!A:C,3,FALSE)&amp;" "&amp;VLOOKUP(VLOOKUP(A1366,'Sales Order'!A:C,3,FALSE),Employee!A:B,2,FALSE),"Not Specified")</f>
        <v>Ms. Judy Lew</v>
      </c>
      <c r="I1366" t="str">
        <f>IFERROR(VLOOKUP(VLOOKUP(A1366,'Sales Order'!A:C,3,FALSE),Employee!A:J,10,FALSE),"Not Specified")</f>
        <v>WA</v>
      </c>
      <c r="J1366" t="str">
        <f>VLOOKUP(B1366,Product!A:B,2,FALSE)</f>
        <v>Product XYWBZ</v>
      </c>
      <c r="K1366" t="str">
        <f>VLOOKUP(VLOOKUP(B1366,Product!A:D,4,FALSE),Category!A:B,2,FALSE)</f>
        <v>Condiments</v>
      </c>
      <c r="L1366" s="24">
        <f>IFERROR(VLOOKUP(A1366,'Sales Order'!A:D,4,FALSE),"")</f>
        <v>39420</v>
      </c>
      <c r="M1366" s="24">
        <f>IFERROR(VLOOKUP(A1366,'Sales Order'!A:F,6,FALSE),"")</f>
        <v>39425</v>
      </c>
      <c r="N1366" t="str">
        <f>IFERROR(VLOOKUP(VLOOKUP(A1366,'Sales Order'!A:G,7,FALSE),Shipper!A:B,2,FALSE),"Not Specified")</f>
        <v>Shipper ZHISN</v>
      </c>
      <c r="O1366" t="str">
        <f>IFERROR(VLOOKUP(A1366,'Sales Order'!A:I,9,FALSE),"Not Specified")</f>
        <v>Ship to 63-A</v>
      </c>
      <c r="P1366" t="str">
        <f>IFERROR(VLOOKUP(A1366,'Sales Order'!A:N,14,FALSE),"Not Specified")</f>
        <v>Germany</v>
      </c>
      <c r="Q1366" t="str">
        <f>VLOOKUP(VLOOKUP(B1366,Product!A:C,3,FALSE),Supplier!A:B,2,FALSE)</f>
        <v>Supplier VHQZD</v>
      </c>
      <c r="R1366" t="str">
        <f>VLOOKUP(VLOOKUP(B1366,Product!A:C,3,FALSE),Supplier!A:I,9,FALSE)</f>
        <v>USA</v>
      </c>
      <c r="S1366" t="str">
        <f>IFERROR(IF(VLOOKUP(A1366,'Sales Order'!A:H,8,FALSE)&gt;100,"High Freight","Low Freight"),"Not Specified")</f>
        <v>Low Freight</v>
      </c>
      <c r="T1366">
        <f t="shared" si="43"/>
        <v>1515.6000000000001</v>
      </c>
    </row>
    <row r="1367" spans="1:20">
      <c r="A1367" s="9">
        <v>10766</v>
      </c>
      <c r="B1367" s="6">
        <v>2</v>
      </c>
      <c r="C1367" s="6">
        <v>19</v>
      </c>
      <c r="D1367" s="6">
        <v>40</v>
      </c>
      <c r="E1367" s="18">
        <v>0</v>
      </c>
      <c r="F1367" s="6" t="str">
        <f>IFERROR(VLOOKUP(VLOOKUP(A1367,'Sales Order'!A:B,2,FALSE),Customer!A:C,3,FALSE),"Not Specified")</f>
        <v>Marinova, Nadejda</v>
      </c>
      <c r="G1367" s="6" t="str">
        <f t="shared" si="42"/>
        <v>Marinova Nadejda</v>
      </c>
      <c r="H1367" s="22" t="str">
        <f>IFERROR(VLOOKUP(VLOOKUP(A1367,'Sales Order'!A:C,3,FALSE),Employee!A:E,5,FALSE)&amp;" "&amp;VLOOKUP(VLOOKUP(A1367,'Sales Order'!A:C,3,FALSE),Employee!A:C,3,FALSE)&amp;" "&amp;VLOOKUP(VLOOKUP(A1367,'Sales Order'!A:C,3,FALSE),Employee!A:B,2,FALSE),"Not Specified")</f>
        <v>Mrs. Yael Peled</v>
      </c>
      <c r="I1367" t="str">
        <f>IFERROR(VLOOKUP(VLOOKUP(A1367,'Sales Order'!A:C,3,FALSE),Employee!A:J,10,FALSE),"Not Specified")</f>
        <v>WA</v>
      </c>
      <c r="J1367" t="str">
        <f>VLOOKUP(B1367,Product!A:B,2,FALSE)</f>
        <v>Product RECZE</v>
      </c>
      <c r="K1367" t="str">
        <f>VLOOKUP(VLOOKUP(B1367,Product!A:D,4,FALSE),Category!A:B,2,FALSE)</f>
        <v>Beverages</v>
      </c>
      <c r="L1367" s="24">
        <f>IFERROR(VLOOKUP(A1367,'Sales Order'!A:D,4,FALSE),"")</f>
        <v>39421</v>
      </c>
      <c r="M1367" s="24">
        <f>IFERROR(VLOOKUP(A1367,'Sales Order'!A:F,6,FALSE),"")</f>
        <v>39425</v>
      </c>
      <c r="N1367" t="str">
        <f>IFERROR(VLOOKUP(VLOOKUP(A1367,'Sales Order'!A:G,7,FALSE),Shipper!A:B,2,FALSE),"Not Specified")</f>
        <v>Shipper GVSUA</v>
      </c>
      <c r="O1367" t="str">
        <f>IFERROR(VLOOKUP(A1367,'Sales Order'!A:I,9,FALSE),"Not Specified")</f>
        <v>Ship to 56-C</v>
      </c>
      <c r="P1367" t="str">
        <f>IFERROR(VLOOKUP(A1367,'Sales Order'!A:N,14,FALSE),"Not Specified")</f>
        <v>Germany</v>
      </c>
      <c r="Q1367" t="str">
        <f>VLOOKUP(VLOOKUP(B1367,Product!A:C,3,FALSE),Supplier!A:B,2,FALSE)</f>
        <v>Supplier SWRXU</v>
      </c>
      <c r="R1367" t="str">
        <f>VLOOKUP(VLOOKUP(B1367,Product!A:C,3,FALSE),Supplier!A:I,9,FALSE)</f>
        <v>UK</v>
      </c>
      <c r="S1367" t="str">
        <f>IFERROR(IF(VLOOKUP(A1367,'Sales Order'!A:H,8,FALSE)&gt;100,"High Freight","Low Freight"),"Not Specified")</f>
        <v>High Freight</v>
      </c>
      <c r="T1367">
        <f t="shared" si="43"/>
        <v>760</v>
      </c>
    </row>
    <row r="1368" spans="1:20">
      <c r="A1368" s="9">
        <v>10766</v>
      </c>
      <c r="B1368" s="6">
        <v>7</v>
      </c>
      <c r="C1368" s="6">
        <v>30</v>
      </c>
      <c r="D1368" s="6">
        <v>35</v>
      </c>
      <c r="E1368" s="18">
        <v>0</v>
      </c>
      <c r="F1368" s="6" t="str">
        <f>IFERROR(VLOOKUP(VLOOKUP(A1368,'Sales Order'!A:B,2,FALSE),Customer!A:C,3,FALSE),"Not Specified")</f>
        <v>Marinova, Nadejda</v>
      </c>
      <c r="G1368" s="6" t="str">
        <f t="shared" si="42"/>
        <v>Marinova Nadejda</v>
      </c>
      <c r="H1368" s="22" t="str">
        <f>IFERROR(VLOOKUP(VLOOKUP(A1368,'Sales Order'!A:C,3,FALSE),Employee!A:E,5,FALSE)&amp;" "&amp;VLOOKUP(VLOOKUP(A1368,'Sales Order'!A:C,3,FALSE),Employee!A:C,3,FALSE)&amp;" "&amp;VLOOKUP(VLOOKUP(A1368,'Sales Order'!A:C,3,FALSE),Employee!A:B,2,FALSE),"Not Specified")</f>
        <v>Mrs. Yael Peled</v>
      </c>
      <c r="I1368" t="str">
        <f>IFERROR(VLOOKUP(VLOOKUP(A1368,'Sales Order'!A:C,3,FALSE),Employee!A:J,10,FALSE),"Not Specified")</f>
        <v>WA</v>
      </c>
      <c r="J1368" t="str">
        <f>VLOOKUP(B1368,Product!A:B,2,FALSE)</f>
        <v>Product HMLNI</v>
      </c>
      <c r="K1368" t="str">
        <f>VLOOKUP(VLOOKUP(B1368,Product!A:D,4,FALSE),Category!A:B,2,FALSE)</f>
        <v>Produce</v>
      </c>
      <c r="L1368" s="24">
        <f>IFERROR(VLOOKUP(A1368,'Sales Order'!A:D,4,FALSE),"")</f>
        <v>39421</v>
      </c>
      <c r="M1368" s="24">
        <f>IFERROR(VLOOKUP(A1368,'Sales Order'!A:F,6,FALSE),"")</f>
        <v>39425</v>
      </c>
      <c r="N1368" t="str">
        <f>IFERROR(VLOOKUP(VLOOKUP(A1368,'Sales Order'!A:G,7,FALSE),Shipper!A:B,2,FALSE),"Not Specified")</f>
        <v>Shipper GVSUA</v>
      </c>
      <c r="O1368" t="str">
        <f>IFERROR(VLOOKUP(A1368,'Sales Order'!A:I,9,FALSE),"Not Specified")</f>
        <v>Ship to 56-C</v>
      </c>
      <c r="P1368" t="str">
        <f>IFERROR(VLOOKUP(A1368,'Sales Order'!A:N,14,FALSE),"Not Specified")</f>
        <v>Germany</v>
      </c>
      <c r="Q1368" t="str">
        <f>VLOOKUP(VLOOKUP(B1368,Product!A:C,3,FALSE),Supplier!A:B,2,FALSE)</f>
        <v>Supplier STUAZ</v>
      </c>
      <c r="R1368" t="str">
        <f>VLOOKUP(VLOOKUP(B1368,Product!A:C,3,FALSE),Supplier!A:I,9,FALSE)</f>
        <v>USA</v>
      </c>
      <c r="S1368" t="str">
        <f>IFERROR(IF(VLOOKUP(A1368,'Sales Order'!A:H,8,FALSE)&gt;100,"High Freight","Low Freight"),"Not Specified")</f>
        <v>High Freight</v>
      </c>
      <c r="T1368">
        <f t="shared" si="43"/>
        <v>1050</v>
      </c>
    </row>
    <row r="1369" spans="1:20">
      <c r="A1369" s="9">
        <v>10766</v>
      </c>
      <c r="B1369" s="6">
        <v>68</v>
      </c>
      <c r="C1369" s="6">
        <v>12.5</v>
      </c>
      <c r="D1369" s="6">
        <v>40</v>
      </c>
      <c r="E1369" s="18">
        <v>0</v>
      </c>
      <c r="F1369" s="6" t="str">
        <f>IFERROR(VLOOKUP(VLOOKUP(A1369,'Sales Order'!A:B,2,FALSE),Customer!A:C,3,FALSE),"Not Specified")</f>
        <v>Marinova, Nadejda</v>
      </c>
      <c r="G1369" s="6" t="str">
        <f t="shared" si="42"/>
        <v>Marinova Nadejda</v>
      </c>
      <c r="H1369" s="22" t="str">
        <f>IFERROR(VLOOKUP(VLOOKUP(A1369,'Sales Order'!A:C,3,FALSE),Employee!A:E,5,FALSE)&amp;" "&amp;VLOOKUP(VLOOKUP(A1369,'Sales Order'!A:C,3,FALSE),Employee!A:C,3,FALSE)&amp;" "&amp;VLOOKUP(VLOOKUP(A1369,'Sales Order'!A:C,3,FALSE),Employee!A:B,2,FALSE),"Not Specified")</f>
        <v>Mrs. Yael Peled</v>
      </c>
      <c r="I1369" t="str">
        <f>IFERROR(VLOOKUP(VLOOKUP(A1369,'Sales Order'!A:C,3,FALSE),Employee!A:J,10,FALSE),"Not Specified")</f>
        <v>WA</v>
      </c>
      <c r="J1369" t="str">
        <f>VLOOKUP(B1369,Product!A:B,2,FALSE)</f>
        <v>Product TBTBL</v>
      </c>
      <c r="K1369" t="str">
        <f>VLOOKUP(VLOOKUP(B1369,Product!A:D,4,FALSE),Category!A:B,2,FALSE)</f>
        <v>Confections</v>
      </c>
      <c r="L1369" s="24">
        <f>IFERROR(VLOOKUP(A1369,'Sales Order'!A:D,4,FALSE),"")</f>
        <v>39421</v>
      </c>
      <c r="M1369" s="24">
        <f>IFERROR(VLOOKUP(A1369,'Sales Order'!A:F,6,FALSE),"")</f>
        <v>39425</v>
      </c>
      <c r="N1369" t="str">
        <f>IFERROR(VLOOKUP(VLOOKUP(A1369,'Sales Order'!A:G,7,FALSE),Shipper!A:B,2,FALSE),"Not Specified")</f>
        <v>Shipper GVSUA</v>
      </c>
      <c r="O1369" t="str">
        <f>IFERROR(VLOOKUP(A1369,'Sales Order'!A:I,9,FALSE),"Not Specified")</f>
        <v>Ship to 56-C</v>
      </c>
      <c r="P1369" t="str">
        <f>IFERROR(VLOOKUP(A1369,'Sales Order'!A:N,14,FALSE),"Not Specified")</f>
        <v>Germany</v>
      </c>
      <c r="Q1369" t="str">
        <f>VLOOKUP(VLOOKUP(B1369,Product!A:C,3,FALSE),Supplier!A:B,2,FALSE)</f>
        <v>Supplier BWGYE</v>
      </c>
      <c r="R1369" t="str">
        <f>VLOOKUP(VLOOKUP(B1369,Product!A:C,3,FALSE),Supplier!A:I,9,FALSE)</f>
        <v>UK</v>
      </c>
      <c r="S1369" t="str">
        <f>IFERROR(IF(VLOOKUP(A1369,'Sales Order'!A:H,8,FALSE)&gt;100,"High Freight","Low Freight"),"Not Specified")</f>
        <v>High Freight</v>
      </c>
      <c r="T1369">
        <f t="shared" si="43"/>
        <v>500</v>
      </c>
    </row>
    <row r="1370" spans="1:20">
      <c r="A1370" s="9">
        <v>10767</v>
      </c>
      <c r="B1370" s="6">
        <v>42</v>
      </c>
      <c r="C1370" s="6">
        <v>14</v>
      </c>
      <c r="D1370" s="6">
        <v>2</v>
      </c>
      <c r="E1370" s="18">
        <v>0</v>
      </c>
      <c r="F1370" s="6" t="str">
        <f>IFERROR(VLOOKUP(VLOOKUP(A1370,'Sales Order'!A:B,2,FALSE),Customer!A:C,3,FALSE),"Not Specified")</f>
        <v>Gulbis, Katrin</v>
      </c>
      <c r="G1370" s="6" t="str">
        <f t="shared" si="42"/>
        <v>Gulbis Katrin</v>
      </c>
      <c r="H1370" s="22" t="str">
        <f>IFERROR(VLOOKUP(VLOOKUP(A1370,'Sales Order'!A:C,3,FALSE),Employee!A:E,5,FALSE)&amp;" "&amp;VLOOKUP(VLOOKUP(A1370,'Sales Order'!A:C,3,FALSE),Employee!A:C,3,FALSE)&amp;" "&amp;VLOOKUP(VLOOKUP(A1370,'Sales Order'!A:C,3,FALSE),Employee!A:B,2,FALSE),"Not Specified")</f>
        <v>Mrs. Yael Peled</v>
      </c>
      <c r="I1370" t="str">
        <f>IFERROR(VLOOKUP(VLOOKUP(A1370,'Sales Order'!A:C,3,FALSE),Employee!A:J,10,FALSE),"Not Specified")</f>
        <v>WA</v>
      </c>
      <c r="J1370" t="str">
        <f>VLOOKUP(B1370,Product!A:B,2,FALSE)</f>
        <v>Product RJVNM</v>
      </c>
      <c r="K1370" t="str">
        <f>VLOOKUP(VLOOKUP(B1370,Product!A:D,4,FALSE),Category!A:B,2,FALSE)</f>
        <v>Grains/Cereals</v>
      </c>
      <c r="L1370" s="24">
        <f>IFERROR(VLOOKUP(A1370,'Sales Order'!A:D,4,FALSE),"")</f>
        <v>39421</v>
      </c>
      <c r="M1370" s="24">
        <f>IFERROR(VLOOKUP(A1370,'Sales Order'!A:F,6,FALSE),"")</f>
        <v>39431</v>
      </c>
      <c r="N1370" t="str">
        <f>IFERROR(VLOOKUP(VLOOKUP(A1370,'Sales Order'!A:G,7,FALSE),Shipper!A:B,2,FALSE),"Not Specified")</f>
        <v>Shipper ZHISN</v>
      </c>
      <c r="O1370" t="str">
        <f>IFERROR(VLOOKUP(A1370,'Sales Order'!A:I,9,FALSE),"Not Specified")</f>
        <v>Ship to 76-B</v>
      </c>
      <c r="P1370" t="str">
        <f>IFERROR(VLOOKUP(A1370,'Sales Order'!A:N,14,FALSE),"Not Specified")</f>
        <v>Belgium</v>
      </c>
      <c r="Q1370" t="str">
        <f>VLOOKUP(VLOOKUP(B1370,Product!A:C,3,FALSE),Supplier!A:B,2,FALSE)</f>
        <v>Supplier CIYNM</v>
      </c>
      <c r="R1370" t="str">
        <f>VLOOKUP(VLOOKUP(B1370,Product!A:C,3,FALSE),Supplier!A:I,9,FALSE)</f>
        <v>Singapore</v>
      </c>
      <c r="S1370" t="str">
        <f>IFERROR(IF(VLOOKUP(A1370,'Sales Order'!A:H,8,FALSE)&gt;100,"High Freight","Low Freight"),"Not Specified")</f>
        <v>Low Freight</v>
      </c>
      <c r="T1370">
        <f t="shared" si="43"/>
        <v>28</v>
      </c>
    </row>
    <row r="1371" spans="1:20">
      <c r="A1371" s="9">
        <v>10768</v>
      </c>
      <c r="B1371" s="6">
        <v>22</v>
      </c>
      <c r="C1371" s="6">
        <v>21</v>
      </c>
      <c r="D1371" s="6">
        <v>4</v>
      </c>
      <c r="E1371" s="18">
        <v>0</v>
      </c>
      <c r="F1371" s="6" t="str">
        <f>IFERROR(VLOOKUP(VLOOKUP(A1371,'Sales Order'!A:B,2,FALSE),Customer!A:C,3,FALSE),"Not Specified")</f>
        <v>Arndt, Torsten</v>
      </c>
      <c r="G1371" s="6" t="str">
        <f t="shared" si="42"/>
        <v>Arndt Torsten</v>
      </c>
      <c r="H1371" s="22" t="str">
        <f>IFERROR(VLOOKUP(VLOOKUP(A1371,'Sales Order'!A:C,3,FALSE),Employee!A:E,5,FALSE)&amp;" "&amp;VLOOKUP(VLOOKUP(A1371,'Sales Order'!A:C,3,FALSE),Employee!A:C,3,FALSE)&amp;" "&amp;VLOOKUP(VLOOKUP(A1371,'Sales Order'!A:C,3,FALSE),Employee!A:B,2,FALSE),"Not Specified")</f>
        <v>Ms. Judy Lew</v>
      </c>
      <c r="I1371" t="str">
        <f>IFERROR(VLOOKUP(VLOOKUP(A1371,'Sales Order'!A:C,3,FALSE),Employee!A:J,10,FALSE),"Not Specified")</f>
        <v>WA</v>
      </c>
      <c r="J1371" t="str">
        <f>VLOOKUP(B1371,Product!A:B,2,FALSE)</f>
        <v>Product CPHFY</v>
      </c>
      <c r="K1371" t="str">
        <f>VLOOKUP(VLOOKUP(B1371,Product!A:D,4,FALSE),Category!A:B,2,FALSE)</f>
        <v>Grains/Cereals</v>
      </c>
      <c r="L1371" s="24">
        <f>IFERROR(VLOOKUP(A1371,'Sales Order'!A:D,4,FALSE),"")</f>
        <v>39424</v>
      </c>
      <c r="M1371" s="24">
        <f>IFERROR(VLOOKUP(A1371,'Sales Order'!A:F,6,FALSE),"")</f>
        <v>39431</v>
      </c>
      <c r="N1371" t="str">
        <f>IFERROR(VLOOKUP(VLOOKUP(A1371,'Sales Order'!A:G,7,FALSE),Shipper!A:B,2,FALSE),"Not Specified")</f>
        <v>Shipper ETYNR</v>
      </c>
      <c r="O1371" t="str">
        <f>IFERROR(VLOOKUP(A1371,'Sales Order'!A:I,9,FALSE),"Not Specified")</f>
        <v>Ship to 4-B</v>
      </c>
      <c r="P1371" t="str">
        <f>IFERROR(VLOOKUP(A1371,'Sales Order'!A:N,14,FALSE),"Not Specified")</f>
        <v>UK</v>
      </c>
      <c r="Q1371" t="str">
        <f>VLOOKUP(VLOOKUP(B1371,Product!A:C,3,FALSE),Supplier!A:B,2,FALSE)</f>
        <v>Supplier QQYEU</v>
      </c>
      <c r="R1371" t="str">
        <f>VLOOKUP(VLOOKUP(B1371,Product!A:C,3,FALSE),Supplier!A:I,9,FALSE)</f>
        <v>Sweden</v>
      </c>
      <c r="S1371" t="str">
        <f>IFERROR(IF(VLOOKUP(A1371,'Sales Order'!A:H,8,FALSE)&gt;100,"High Freight","Low Freight"),"Not Specified")</f>
        <v>High Freight</v>
      </c>
      <c r="T1371">
        <f t="shared" si="43"/>
        <v>84</v>
      </c>
    </row>
    <row r="1372" spans="1:20">
      <c r="A1372" s="9">
        <v>10768</v>
      </c>
      <c r="B1372" s="6">
        <v>31</v>
      </c>
      <c r="C1372" s="6">
        <v>12.5</v>
      </c>
      <c r="D1372" s="6">
        <v>50</v>
      </c>
      <c r="E1372" s="18">
        <v>0</v>
      </c>
      <c r="F1372" s="6" t="str">
        <f>IFERROR(VLOOKUP(VLOOKUP(A1372,'Sales Order'!A:B,2,FALSE),Customer!A:C,3,FALSE),"Not Specified")</f>
        <v>Arndt, Torsten</v>
      </c>
      <c r="G1372" s="6" t="str">
        <f t="shared" si="42"/>
        <v>Arndt Torsten</v>
      </c>
      <c r="H1372" s="22" t="str">
        <f>IFERROR(VLOOKUP(VLOOKUP(A1372,'Sales Order'!A:C,3,FALSE),Employee!A:E,5,FALSE)&amp;" "&amp;VLOOKUP(VLOOKUP(A1372,'Sales Order'!A:C,3,FALSE),Employee!A:C,3,FALSE)&amp;" "&amp;VLOOKUP(VLOOKUP(A1372,'Sales Order'!A:C,3,FALSE),Employee!A:B,2,FALSE),"Not Specified")</f>
        <v>Ms. Judy Lew</v>
      </c>
      <c r="I1372" t="str">
        <f>IFERROR(VLOOKUP(VLOOKUP(A1372,'Sales Order'!A:C,3,FALSE),Employee!A:J,10,FALSE),"Not Specified")</f>
        <v>WA</v>
      </c>
      <c r="J1372" t="str">
        <f>VLOOKUP(B1372,Product!A:B,2,FALSE)</f>
        <v>Product XWOXC</v>
      </c>
      <c r="K1372" t="str">
        <f>VLOOKUP(VLOOKUP(B1372,Product!A:D,4,FALSE),Category!A:B,2,FALSE)</f>
        <v>Dairy Product</v>
      </c>
      <c r="L1372" s="24">
        <f>IFERROR(VLOOKUP(A1372,'Sales Order'!A:D,4,FALSE),"")</f>
        <v>39424</v>
      </c>
      <c r="M1372" s="24">
        <f>IFERROR(VLOOKUP(A1372,'Sales Order'!A:F,6,FALSE),"")</f>
        <v>39431</v>
      </c>
      <c r="N1372" t="str">
        <f>IFERROR(VLOOKUP(VLOOKUP(A1372,'Sales Order'!A:G,7,FALSE),Shipper!A:B,2,FALSE),"Not Specified")</f>
        <v>Shipper ETYNR</v>
      </c>
      <c r="O1372" t="str">
        <f>IFERROR(VLOOKUP(A1372,'Sales Order'!A:I,9,FALSE),"Not Specified")</f>
        <v>Ship to 4-B</v>
      </c>
      <c r="P1372" t="str">
        <f>IFERROR(VLOOKUP(A1372,'Sales Order'!A:N,14,FALSE),"Not Specified")</f>
        <v>UK</v>
      </c>
      <c r="Q1372" t="str">
        <f>VLOOKUP(VLOOKUP(B1372,Product!A:C,3,FALSE),Supplier!A:B,2,FALSE)</f>
        <v>Supplier KEREV</v>
      </c>
      <c r="R1372" t="str">
        <f>VLOOKUP(VLOOKUP(B1372,Product!A:C,3,FALSE),Supplier!A:I,9,FALSE)</f>
        <v>Italy</v>
      </c>
      <c r="S1372" t="str">
        <f>IFERROR(IF(VLOOKUP(A1372,'Sales Order'!A:H,8,FALSE)&gt;100,"High Freight","Low Freight"),"Not Specified")</f>
        <v>High Freight</v>
      </c>
      <c r="T1372">
        <f t="shared" si="43"/>
        <v>625</v>
      </c>
    </row>
    <row r="1373" spans="1:20">
      <c r="A1373" s="9">
        <v>10768</v>
      </c>
      <c r="B1373" s="6">
        <v>60</v>
      </c>
      <c r="C1373" s="6">
        <v>34</v>
      </c>
      <c r="D1373" s="6">
        <v>15</v>
      </c>
      <c r="E1373" s="18">
        <v>0</v>
      </c>
      <c r="F1373" s="6" t="str">
        <f>IFERROR(VLOOKUP(VLOOKUP(A1373,'Sales Order'!A:B,2,FALSE),Customer!A:C,3,FALSE),"Not Specified")</f>
        <v>Arndt, Torsten</v>
      </c>
      <c r="G1373" s="6" t="str">
        <f t="shared" si="42"/>
        <v>Arndt Torsten</v>
      </c>
      <c r="H1373" s="22" t="str">
        <f>IFERROR(VLOOKUP(VLOOKUP(A1373,'Sales Order'!A:C,3,FALSE),Employee!A:E,5,FALSE)&amp;" "&amp;VLOOKUP(VLOOKUP(A1373,'Sales Order'!A:C,3,FALSE),Employee!A:C,3,FALSE)&amp;" "&amp;VLOOKUP(VLOOKUP(A1373,'Sales Order'!A:C,3,FALSE),Employee!A:B,2,FALSE),"Not Specified")</f>
        <v>Ms. Judy Lew</v>
      </c>
      <c r="I1373" t="str">
        <f>IFERROR(VLOOKUP(VLOOKUP(A1373,'Sales Order'!A:C,3,FALSE),Employee!A:J,10,FALSE),"Not Specified")</f>
        <v>WA</v>
      </c>
      <c r="J1373" t="str">
        <f>VLOOKUP(B1373,Product!A:B,2,FALSE)</f>
        <v>Product WHBYK</v>
      </c>
      <c r="K1373" t="str">
        <f>VLOOKUP(VLOOKUP(B1373,Product!A:D,4,FALSE),Category!A:B,2,FALSE)</f>
        <v>Dairy Product</v>
      </c>
      <c r="L1373" s="24">
        <f>IFERROR(VLOOKUP(A1373,'Sales Order'!A:D,4,FALSE),"")</f>
        <v>39424</v>
      </c>
      <c r="M1373" s="24">
        <f>IFERROR(VLOOKUP(A1373,'Sales Order'!A:F,6,FALSE),"")</f>
        <v>39431</v>
      </c>
      <c r="N1373" t="str">
        <f>IFERROR(VLOOKUP(VLOOKUP(A1373,'Sales Order'!A:G,7,FALSE),Shipper!A:B,2,FALSE),"Not Specified")</f>
        <v>Shipper ETYNR</v>
      </c>
      <c r="O1373" t="str">
        <f>IFERROR(VLOOKUP(A1373,'Sales Order'!A:I,9,FALSE),"Not Specified")</f>
        <v>Ship to 4-B</v>
      </c>
      <c r="P1373" t="str">
        <f>IFERROR(VLOOKUP(A1373,'Sales Order'!A:N,14,FALSE),"Not Specified")</f>
        <v>UK</v>
      </c>
      <c r="Q1373" t="str">
        <f>VLOOKUP(VLOOKUP(B1373,Product!A:C,3,FALSE),Supplier!A:B,2,FALSE)</f>
        <v>Supplier OAVQT</v>
      </c>
      <c r="R1373" t="str">
        <f>VLOOKUP(VLOOKUP(B1373,Product!A:C,3,FALSE),Supplier!A:I,9,FALSE)</f>
        <v>France</v>
      </c>
      <c r="S1373" t="str">
        <f>IFERROR(IF(VLOOKUP(A1373,'Sales Order'!A:H,8,FALSE)&gt;100,"High Freight","Low Freight"),"Not Specified")</f>
        <v>High Freight</v>
      </c>
      <c r="T1373">
        <f t="shared" si="43"/>
        <v>510</v>
      </c>
    </row>
    <row r="1374" spans="1:20">
      <c r="A1374" s="9">
        <v>10768</v>
      </c>
      <c r="B1374" s="6">
        <v>71</v>
      </c>
      <c r="C1374" s="6">
        <v>21.5</v>
      </c>
      <c r="D1374" s="6">
        <v>12</v>
      </c>
      <c r="E1374" s="18">
        <v>0</v>
      </c>
      <c r="F1374" s="6" t="str">
        <f>IFERROR(VLOOKUP(VLOOKUP(A1374,'Sales Order'!A:B,2,FALSE),Customer!A:C,3,FALSE),"Not Specified")</f>
        <v>Arndt, Torsten</v>
      </c>
      <c r="G1374" s="6" t="str">
        <f t="shared" si="42"/>
        <v>Arndt Torsten</v>
      </c>
      <c r="H1374" s="22" t="str">
        <f>IFERROR(VLOOKUP(VLOOKUP(A1374,'Sales Order'!A:C,3,FALSE),Employee!A:E,5,FALSE)&amp;" "&amp;VLOOKUP(VLOOKUP(A1374,'Sales Order'!A:C,3,FALSE),Employee!A:C,3,FALSE)&amp;" "&amp;VLOOKUP(VLOOKUP(A1374,'Sales Order'!A:C,3,FALSE),Employee!A:B,2,FALSE),"Not Specified")</f>
        <v>Ms. Judy Lew</v>
      </c>
      <c r="I1374" t="str">
        <f>IFERROR(VLOOKUP(VLOOKUP(A1374,'Sales Order'!A:C,3,FALSE),Employee!A:J,10,FALSE),"Not Specified")</f>
        <v>WA</v>
      </c>
      <c r="J1374" t="str">
        <f>VLOOKUP(B1374,Product!A:B,2,FALSE)</f>
        <v>Product MYMOI</v>
      </c>
      <c r="K1374" t="str">
        <f>VLOOKUP(VLOOKUP(B1374,Product!A:D,4,FALSE),Category!A:B,2,FALSE)</f>
        <v>Dairy Product</v>
      </c>
      <c r="L1374" s="24">
        <f>IFERROR(VLOOKUP(A1374,'Sales Order'!A:D,4,FALSE),"")</f>
        <v>39424</v>
      </c>
      <c r="M1374" s="24">
        <f>IFERROR(VLOOKUP(A1374,'Sales Order'!A:F,6,FALSE),"")</f>
        <v>39431</v>
      </c>
      <c r="N1374" t="str">
        <f>IFERROR(VLOOKUP(VLOOKUP(A1374,'Sales Order'!A:G,7,FALSE),Shipper!A:B,2,FALSE),"Not Specified")</f>
        <v>Shipper ETYNR</v>
      </c>
      <c r="O1374" t="str">
        <f>IFERROR(VLOOKUP(A1374,'Sales Order'!A:I,9,FALSE),"Not Specified")</f>
        <v>Ship to 4-B</v>
      </c>
      <c r="P1374" t="str">
        <f>IFERROR(VLOOKUP(A1374,'Sales Order'!A:N,14,FALSE),"Not Specified")</f>
        <v>UK</v>
      </c>
      <c r="Q1374" t="str">
        <f>VLOOKUP(VLOOKUP(B1374,Product!A:C,3,FALSE),Supplier!A:B,2,FALSE)</f>
        <v>Supplier NZLIF</v>
      </c>
      <c r="R1374" t="str">
        <f>VLOOKUP(VLOOKUP(B1374,Product!A:C,3,FALSE),Supplier!A:I,9,FALSE)</f>
        <v>Norway</v>
      </c>
      <c r="S1374" t="str">
        <f>IFERROR(IF(VLOOKUP(A1374,'Sales Order'!A:H,8,FALSE)&gt;100,"High Freight","Low Freight"),"Not Specified")</f>
        <v>High Freight</v>
      </c>
      <c r="T1374">
        <f t="shared" si="43"/>
        <v>258</v>
      </c>
    </row>
    <row r="1375" spans="1:20">
      <c r="A1375" s="9">
        <v>10769</v>
      </c>
      <c r="B1375" s="6">
        <v>41</v>
      </c>
      <c r="C1375" s="6">
        <v>9.65</v>
      </c>
      <c r="D1375" s="6">
        <v>30</v>
      </c>
      <c r="E1375" s="18">
        <v>0.05</v>
      </c>
      <c r="F1375" s="6" t="str">
        <f>IFERROR(VLOOKUP(VLOOKUP(A1375,'Sales Order'!A:B,2,FALSE),Customer!A:C,3,FALSE),"Not Specified")</f>
        <v>Fonteneau, Karl</v>
      </c>
      <c r="G1375" s="6" t="str">
        <f t="shared" si="42"/>
        <v>Fonteneau Karl</v>
      </c>
      <c r="H1375" s="22" t="str">
        <f>IFERROR(VLOOKUP(VLOOKUP(A1375,'Sales Order'!A:C,3,FALSE),Employee!A:E,5,FALSE)&amp;" "&amp;VLOOKUP(VLOOKUP(A1375,'Sales Order'!A:C,3,FALSE),Employee!A:C,3,FALSE)&amp;" "&amp;VLOOKUP(VLOOKUP(A1375,'Sales Order'!A:C,3,FALSE),Employee!A:B,2,FALSE),"Not Specified")</f>
        <v>Ms. Judy Lew</v>
      </c>
      <c r="I1375" t="str">
        <f>IFERROR(VLOOKUP(VLOOKUP(A1375,'Sales Order'!A:C,3,FALSE),Employee!A:J,10,FALSE),"Not Specified")</f>
        <v>WA</v>
      </c>
      <c r="J1375" t="str">
        <f>VLOOKUP(B1375,Product!A:B,2,FALSE)</f>
        <v>Product TTEEX</v>
      </c>
      <c r="K1375" t="str">
        <f>VLOOKUP(VLOOKUP(B1375,Product!A:D,4,FALSE),Category!A:B,2,FALSE)</f>
        <v>Seafood</v>
      </c>
      <c r="L1375" s="24">
        <f>IFERROR(VLOOKUP(A1375,'Sales Order'!A:D,4,FALSE),"")</f>
        <v>39424</v>
      </c>
      <c r="M1375" s="24">
        <f>IFERROR(VLOOKUP(A1375,'Sales Order'!A:F,6,FALSE),"")</f>
        <v>39428</v>
      </c>
      <c r="N1375" t="str">
        <f>IFERROR(VLOOKUP(VLOOKUP(A1375,'Sales Order'!A:G,7,FALSE),Shipper!A:B,2,FALSE),"Not Specified")</f>
        <v>Shipper GVSUA</v>
      </c>
      <c r="O1375" t="str">
        <f>IFERROR(VLOOKUP(A1375,'Sales Order'!A:I,9,FALSE),"Not Specified")</f>
        <v>Ship to 83-C</v>
      </c>
      <c r="P1375" t="str">
        <f>IFERROR(VLOOKUP(A1375,'Sales Order'!A:N,14,FALSE),"Not Specified")</f>
        <v>Denmark</v>
      </c>
      <c r="Q1375" t="str">
        <f>VLOOKUP(VLOOKUP(B1375,Product!A:C,3,FALSE),Supplier!A:B,2,FALSE)</f>
        <v>Supplier JDNUG</v>
      </c>
      <c r="R1375" t="str">
        <f>VLOOKUP(VLOOKUP(B1375,Product!A:C,3,FALSE),Supplier!A:I,9,FALSE)</f>
        <v>USA</v>
      </c>
      <c r="S1375" t="str">
        <f>IFERROR(IF(VLOOKUP(A1375,'Sales Order'!A:H,8,FALSE)&gt;100,"High Freight","Low Freight"),"Not Specified")</f>
        <v>Low Freight</v>
      </c>
      <c r="T1375">
        <f t="shared" si="43"/>
        <v>275.02499999999998</v>
      </c>
    </row>
    <row r="1376" spans="1:20">
      <c r="A1376" s="9">
        <v>10769</v>
      </c>
      <c r="B1376" s="6">
        <v>52</v>
      </c>
      <c r="C1376" s="6">
        <v>7</v>
      </c>
      <c r="D1376" s="6">
        <v>15</v>
      </c>
      <c r="E1376" s="18">
        <v>0.05</v>
      </c>
      <c r="F1376" s="6" t="str">
        <f>IFERROR(VLOOKUP(VLOOKUP(A1376,'Sales Order'!A:B,2,FALSE),Customer!A:C,3,FALSE),"Not Specified")</f>
        <v>Fonteneau, Karl</v>
      </c>
      <c r="G1376" s="6" t="str">
        <f t="shared" si="42"/>
        <v>Fonteneau Karl</v>
      </c>
      <c r="H1376" s="22" t="str">
        <f>IFERROR(VLOOKUP(VLOOKUP(A1376,'Sales Order'!A:C,3,FALSE),Employee!A:E,5,FALSE)&amp;" "&amp;VLOOKUP(VLOOKUP(A1376,'Sales Order'!A:C,3,FALSE),Employee!A:C,3,FALSE)&amp;" "&amp;VLOOKUP(VLOOKUP(A1376,'Sales Order'!A:C,3,FALSE),Employee!A:B,2,FALSE),"Not Specified")</f>
        <v>Ms. Judy Lew</v>
      </c>
      <c r="I1376" t="str">
        <f>IFERROR(VLOOKUP(VLOOKUP(A1376,'Sales Order'!A:C,3,FALSE),Employee!A:J,10,FALSE),"Not Specified")</f>
        <v>WA</v>
      </c>
      <c r="J1376" t="str">
        <f>VLOOKUP(B1376,Product!A:B,2,FALSE)</f>
        <v>Product QSRXF</v>
      </c>
      <c r="K1376" t="str">
        <f>VLOOKUP(VLOOKUP(B1376,Product!A:D,4,FALSE),Category!A:B,2,FALSE)</f>
        <v>Grains/Cereals</v>
      </c>
      <c r="L1376" s="24">
        <f>IFERROR(VLOOKUP(A1376,'Sales Order'!A:D,4,FALSE),"")</f>
        <v>39424</v>
      </c>
      <c r="M1376" s="24">
        <f>IFERROR(VLOOKUP(A1376,'Sales Order'!A:F,6,FALSE),"")</f>
        <v>39428</v>
      </c>
      <c r="N1376" t="str">
        <f>IFERROR(VLOOKUP(VLOOKUP(A1376,'Sales Order'!A:G,7,FALSE),Shipper!A:B,2,FALSE),"Not Specified")</f>
        <v>Shipper GVSUA</v>
      </c>
      <c r="O1376" t="str">
        <f>IFERROR(VLOOKUP(A1376,'Sales Order'!A:I,9,FALSE),"Not Specified")</f>
        <v>Ship to 83-C</v>
      </c>
      <c r="P1376" t="str">
        <f>IFERROR(VLOOKUP(A1376,'Sales Order'!A:N,14,FALSE),"Not Specified")</f>
        <v>Denmark</v>
      </c>
      <c r="Q1376" t="str">
        <f>VLOOKUP(VLOOKUP(B1376,Product!A:C,3,FALSE),Supplier!A:B,2,FALSE)</f>
        <v>Supplier JNNES</v>
      </c>
      <c r="R1376" t="str">
        <f>VLOOKUP(VLOOKUP(B1376,Product!A:C,3,FALSE),Supplier!A:I,9,FALSE)</f>
        <v>Australia</v>
      </c>
      <c r="S1376" t="str">
        <f>IFERROR(IF(VLOOKUP(A1376,'Sales Order'!A:H,8,FALSE)&gt;100,"High Freight","Low Freight"),"Not Specified")</f>
        <v>Low Freight</v>
      </c>
      <c r="T1376">
        <f t="shared" si="43"/>
        <v>99.75</v>
      </c>
    </row>
    <row r="1377" spans="1:20">
      <c r="A1377" s="9">
        <v>10769</v>
      </c>
      <c r="B1377" s="6">
        <v>61</v>
      </c>
      <c r="C1377" s="6">
        <v>28.5</v>
      </c>
      <c r="D1377" s="6">
        <v>20</v>
      </c>
      <c r="E1377" s="18">
        <v>0</v>
      </c>
      <c r="F1377" s="6" t="str">
        <f>IFERROR(VLOOKUP(VLOOKUP(A1377,'Sales Order'!A:B,2,FALSE),Customer!A:C,3,FALSE),"Not Specified")</f>
        <v>Fonteneau, Karl</v>
      </c>
      <c r="G1377" s="6" t="str">
        <f t="shared" si="42"/>
        <v>Fonteneau Karl</v>
      </c>
      <c r="H1377" s="22" t="str">
        <f>IFERROR(VLOOKUP(VLOOKUP(A1377,'Sales Order'!A:C,3,FALSE),Employee!A:E,5,FALSE)&amp;" "&amp;VLOOKUP(VLOOKUP(A1377,'Sales Order'!A:C,3,FALSE),Employee!A:C,3,FALSE)&amp;" "&amp;VLOOKUP(VLOOKUP(A1377,'Sales Order'!A:C,3,FALSE),Employee!A:B,2,FALSE),"Not Specified")</f>
        <v>Ms. Judy Lew</v>
      </c>
      <c r="I1377" t="str">
        <f>IFERROR(VLOOKUP(VLOOKUP(A1377,'Sales Order'!A:C,3,FALSE),Employee!A:J,10,FALSE),"Not Specified")</f>
        <v>WA</v>
      </c>
      <c r="J1377" t="str">
        <f>VLOOKUP(B1377,Product!A:B,2,FALSE)</f>
        <v>Product XYZPE</v>
      </c>
      <c r="K1377" t="str">
        <f>VLOOKUP(VLOOKUP(B1377,Product!A:D,4,FALSE),Category!A:B,2,FALSE)</f>
        <v>Condiments</v>
      </c>
      <c r="L1377" s="24">
        <f>IFERROR(VLOOKUP(A1377,'Sales Order'!A:D,4,FALSE),"")</f>
        <v>39424</v>
      </c>
      <c r="M1377" s="24">
        <f>IFERROR(VLOOKUP(A1377,'Sales Order'!A:F,6,FALSE),"")</f>
        <v>39428</v>
      </c>
      <c r="N1377" t="str">
        <f>IFERROR(VLOOKUP(VLOOKUP(A1377,'Sales Order'!A:G,7,FALSE),Shipper!A:B,2,FALSE),"Not Specified")</f>
        <v>Shipper GVSUA</v>
      </c>
      <c r="O1377" t="str">
        <f>IFERROR(VLOOKUP(A1377,'Sales Order'!A:I,9,FALSE),"Not Specified")</f>
        <v>Ship to 83-C</v>
      </c>
      <c r="P1377" t="str">
        <f>IFERROR(VLOOKUP(A1377,'Sales Order'!A:N,14,FALSE),"Not Specified")</f>
        <v>Denmark</v>
      </c>
      <c r="Q1377" t="str">
        <f>VLOOKUP(VLOOKUP(B1377,Product!A:C,3,FALSE),Supplier!A:B,2,FALSE)</f>
        <v>Supplier OGLRK</v>
      </c>
      <c r="R1377" t="str">
        <f>VLOOKUP(VLOOKUP(B1377,Product!A:C,3,FALSE),Supplier!A:I,9,FALSE)</f>
        <v>Canada</v>
      </c>
      <c r="S1377" t="str">
        <f>IFERROR(IF(VLOOKUP(A1377,'Sales Order'!A:H,8,FALSE)&gt;100,"High Freight","Low Freight"),"Not Specified")</f>
        <v>Low Freight</v>
      </c>
      <c r="T1377">
        <f t="shared" si="43"/>
        <v>570</v>
      </c>
    </row>
    <row r="1378" spans="1:20">
      <c r="A1378" s="9">
        <v>10769</v>
      </c>
      <c r="B1378" s="6">
        <v>62</v>
      </c>
      <c r="C1378" s="6">
        <v>49.3</v>
      </c>
      <c r="D1378" s="6">
        <v>15</v>
      </c>
      <c r="E1378" s="18">
        <v>0</v>
      </c>
      <c r="F1378" s="6" t="str">
        <f>IFERROR(VLOOKUP(VLOOKUP(A1378,'Sales Order'!A:B,2,FALSE),Customer!A:C,3,FALSE),"Not Specified")</f>
        <v>Fonteneau, Karl</v>
      </c>
      <c r="G1378" s="6" t="str">
        <f t="shared" si="42"/>
        <v>Fonteneau Karl</v>
      </c>
      <c r="H1378" s="22" t="str">
        <f>IFERROR(VLOOKUP(VLOOKUP(A1378,'Sales Order'!A:C,3,FALSE),Employee!A:E,5,FALSE)&amp;" "&amp;VLOOKUP(VLOOKUP(A1378,'Sales Order'!A:C,3,FALSE),Employee!A:C,3,FALSE)&amp;" "&amp;VLOOKUP(VLOOKUP(A1378,'Sales Order'!A:C,3,FALSE),Employee!A:B,2,FALSE),"Not Specified")</f>
        <v>Ms. Judy Lew</v>
      </c>
      <c r="I1378" t="str">
        <f>IFERROR(VLOOKUP(VLOOKUP(A1378,'Sales Order'!A:C,3,FALSE),Employee!A:J,10,FALSE),"Not Specified")</f>
        <v>WA</v>
      </c>
      <c r="J1378" t="str">
        <f>VLOOKUP(B1378,Product!A:B,2,FALSE)</f>
        <v>Product WUXYK</v>
      </c>
      <c r="K1378" t="str">
        <f>VLOOKUP(VLOOKUP(B1378,Product!A:D,4,FALSE),Category!A:B,2,FALSE)</f>
        <v>Confections</v>
      </c>
      <c r="L1378" s="24">
        <f>IFERROR(VLOOKUP(A1378,'Sales Order'!A:D,4,FALSE),"")</f>
        <v>39424</v>
      </c>
      <c r="M1378" s="24">
        <f>IFERROR(VLOOKUP(A1378,'Sales Order'!A:F,6,FALSE),"")</f>
        <v>39428</v>
      </c>
      <c r="N1378" t="str">
        <f>IFERROR(VLOOKUP(VLOOKUP(A1378,'Sales Order'!A:G,7,FALSE),Shipper!A:B,2,FALSE),"Not Specified")</f>
        <v>Shipper GVSUA</v>
      </c>
      <c r="O1378" t="str">
        <f>IFERROR(VLOOKUP(A1378,'Sales Order'!A:I,9,FALSE),"Not Specified")</f>
        <v>Ship to 83-C</v>
      </c>
      <c r="P1378" t="str">
        <f>IFERROR(VLOOKUP(A1378,'Sales Order'!A:N,14,FALSE),"Not Specified")</f>
        <v>Denmark</v>
      </c>
      <c r="Q1378" t="str">
        <f>VLOOKUP(VLOOKUP(B1378,Product!A:C,3,FALSE),Supplier!A:B,2,FALSE)</f>
        <v>Supplier OGLRK</v>
      </c>
      <c r="R1378" t="str">
        <f>VLOOKUP(VLOOKUP(B1378,Product!A:C,3,FALSE),Supplier!A:I,9,FALSE)</f>
        <v>Canada</v>
      </c>
      <c r="S1378" t="str">
        <f>IFERROR(IF(VLOOKUP(A1378,'Sales Order'!A:H,8,FALSE)&gt;100,"High Freight","Low Freight"),"Not Specified")</f>
        <v>Low Freight</v>
      </c>
      <c r="T1378">
        <f t="shared" si="43"/>
        <v>739.5</v>
      </c>
    </row>
    <row r="1379" spans="1:20">
      <c r="A1379" s="9">
        <v>10770</v>
      </c>
      <c r="B1379" s="6">
        <v>11</v>
      </c>
      <c r="C1379" s="6">
        <v>21</v>
      </c>
      <c r="D1379" s="6">
        <v>15</v>
      </c>
      <c r="E1379" s="18">
        <v>0.25</v>
      </c>
      <c r="F1379" s="6" t="str">
        <f>IFERROR(VLOOKUP(VLOOKUP(A1379,'Sales Order'!A:B,2,FALSE),Customer!A:C,3,FALSE),"Not Specified")</f>
        <v>Cohen, Shy</v>
      </c>
      <c r="G1379" s="6" t="str">
        <f t="shared" si="42"/>
        <v>Cohen Shy</v>
      </c>
      <c r="H1379" s="22" t="str">
        <f>IFERROR(VLOOKUP(VLOOKUP(A1379,'Sales Order'!A:C,3,FALSE),Employee!A:E,5,FALSE)&amp;" "&amp;VLOOKUP(VLOOKUP(A1379,'Sales Order'!A:C,3,FALSE),Employee!A:C,3,FALSE)&amp;" "&amp;VLOOKUP(VLOOKUP(A1379,'Sales Order'!A:C,3,FALSE),Employee!A:B,2,FALSE),"Not Specified")</f>
        <v>Ms. Maria Cameron</v>
      </c>
      <c r="I1379" t="str">
        <f>IFERROR(VLOOKUP(VLOOKUP(A1379,'Sales Order'!A:C,3,FALSE),Employee!A:J,10,FALSE),"Not Specified")</f>
        <v>WA</v>
      </c>
      <c r="J1379" t="str">
        <f>VLOOKUP(B1379,Product!A:B,2,FALSE)</f>
        <v>Product QMVUN</v>
      </c>
      <c r="K1379" t="str">
        <f>VLOOKUP(VLOOKUP(B1379,Product!A:D,4,FALSE),Category!A:B,2,FALSE)</f>
        <v>Dairy Product</v>
      </c>
      <c r="L1379" s="24">
        <f>IFERROR(VLOOKUP(A1379,'Sales Order'!A:D,4,FALSE),"")</f>
        <v>39425</v>
      </c>
      <c r="M1379" s="24">
        <f>IFERROR(VLOOKUP(A1379,'Sales Order'!A:F,6,FALSE),"")</f>
        <v>39433</v>
      </c>
      <c r="N1379" t="str">
        <f>IFERROR(VLOOKUP(VLOOKUP(A1379,'Sales Order'!A:G,7,FALSE),Shipper!A:B,2,FALSE),"Not Specified")</f>
        <v>Shipper ZHISN</v>
      </c>
      <c r="O1379" t="str">
        <f>IFERROR(VLOOKUP(A1379,'Sales Order'!A:I,9,FALSE),"Not Specified")</f>
        <v>Destination JPAIY</v>
      </c>
      <c r="P1379" t="str">
        <f>IFERROR(VLOOKUP(A1379,'Sales Order'!A:N,14,FALSE),"Not Specified")</f>
        <v>Brazil</v>
      </c>
      <c r="Q1379" t="str">
        <f>VLOOKUP(VLOOKUP(B1379,Product!A:C,3,FALSE),Supplier!A:B,2,FALSE)</f>
        <v>Supplier EQPNC</v>
      </c>
      <c r="R1379" t="str">
        <f>VLOOKUP(VLOOKUP(B1379,Product!A:C,3,FALSE),Supplier!A:I,9,FALSE)</f>
        <v>Spain</v>
      </c>
      <c r="S1379" t="str">
        <f>IFERROR(IF(VLOOKUP(A1379,'Sales Order'!A:H,8,FALSE)&gt;100,"High Freight","Low Freight"),"Not Specified")</f>
        <v>Low Freight</v>
      </c>
      <c r="T1379">
        <f t="shared" si="43"/>
        <v>236.25</v>
      </c>
    </row>
    <row r="1380" spans="1:20">
      <c r="A1380" s="9">
        <v>10771</v>
      </c>
      <c r="B1380" s="6">
        <v>71</v>
      </c>
      <c r="C1380" s="6">
        <v>21.5</v>
      </c>
      <c r="D1380" s="6">
        <v>16</v>
      </c>
      <c r="E1380" s="18">
        <v>0</v>
      </c>
      <c r="F1380" s="6" t="str">
        <f>IFERROR(VLOOKUP(VLOOKUP(A1380,'Sales Order'!A:B,2,FALSE),Customer!A:C,3,FALSE),"Not Specified")</f>
        <v>Kane, John</v>
      </c>
      <c r="G1380" s="6" t="str">
        <f t="shared" si="42"/>
        <v>Kane John</v>
      </c>
      <c r="H1380" s="22" t="str">
        <f>IFERROR(VLOOKUP(VLOOKUP(A1380,'Sales Order'!A:C,3,FALSE),Employee!A:E,5,FALSE)&amp;" "&amp;VLOOKUP(VLOOKUP(A1380,'Sales Order'!A:C,3,FALSE),Employee!A:C,3,FALSE)&amp;" "&amp;VLOOKUP(VLOOKUP(A1380,'Sales Order'!A:C,3,FALSE),Employee!A:B,2,FALSE),"Not Specified")</f>
        <v>Ms. Zoya Dolgopyatova</v>
      </c>
      <c r="I1380">
        <f>IFERROR(VLOOKUP(VLOOKUP(A1380,'Sales Order'!A:C,3,FALSE),Employee!A:J,10,FALSE),"Not Specified")</f>
        <v>0</v>
      </c>
      <c r="J1380" t="str">
        <f>VLOOKUP(B1380,Product!A:B,2,FALSE)</f>
        <v>Product MYMOI</v>
      </c>
      <c r="K1380" t="str">
        <f>VLOOKUP(VLOOKUP(B1380,Product!A:D,4,FALSE),Category!A:B,2,FALSE)</f>
        <v>Dairy Product</v>
      </c>
      <c r="L1380" s="24">
        <f>IFERROR(VLOOKUP(A1380,'Sales Order'!A:D,4,FALSE),"")</f>
        <v>39426</v>
      </c>
      <c r="M1380" s="24">
        <f>IFERROR(VLOOKUP(A1380,'Sales Order'!A:F,6,FALSE),"")</f>
        <v>39449</v>
      </c>
      <c r="N1380" t="str">
        <f>IFERROR(VLOOKUP(VLOOKUP(A1380,'Sales Order'!A:G,7,FALSE),Shipper!A:B,2,FALSE),"Not Specified")</f>
        <v>Shipper ETYNR</v>
      </c>
      <c r="O1380" t="str">
        <f>IFERROR(VLOOKUP(A1380,'Sales Order'!A:I,9,FALSE),"Not Specified")</f>
        <v>Destination CUVPF</v>
      </c>
      <c r="P1380" t="str">
        <f>IFERROR(VLOOKUP(A1380,'Sales Order'!A:N,14,FALSE),"Not Specified")</f>
        <v>Austria</v>
      </c>
      <c r="Q1380" t="str">
        <f>VLOOKUP(VLOOKUP(B1380,Product!A:C,3,FALSE),Supplier!A:B,2,FALSE)</f>
        <v>Supplier NZLIF</v>
      </c>
      <c r="R1380" t="str">
        <f>VLOOKUP(VLOOKUP(B1380,Product!A:C,3,FALSE),Supplier!A:I,9,FALSE)</f>
        <v>Norway</v>
      </c>
      <c r="S1380" t="str">
        <f>IFERROR(IF(VLOOKUP(A1380,'Sales Order'!A:H,8,FALSE)&gt;100,"High Freight","Low Freight"),"Not Specified")</f>
        <v>Low Freight</v>
      </c>
      <c r="T1380">
        <f t="shared" si="43"/>
        <v>344</v>
      </c>
    </row>
    <row r="1381" spans="1:20">
      <c r="A1381" s="9">
        <v>10772</v>
      </c>
      <c r="B1381" s="6">
        <v>29</v>
      </c>
      <c r="C1381" s="6">
        <v>123.79</v>
      </c>
      <c r="D1381" s="6">
        <v>18</v>
      </c>
      <c r="E1381" s="18">
        <v>0</v>
      </c>
      <c r="F1381" s="6" t="str">
        <f>IFERROR(VLOOKUP(VLOOKUP(A1381,'Sales Order'!A:B,2,FALSE),Customer!A:C,3,FALSE),"Not Specified")</f>
        <v>Louverdis, George</v>
      </c>
      <c r="G1381" s="6" t="str">
        <f t="shared" si="42"/>
        <v>Louverdis George</v>
      </c>
      <c r="H1381" s="22" t="str">
        <f>IFERROR(VLOOKUP(VLOOKUP(A1381,'Sales Order'!A:C,3,FALSE),Employee!A:E,5,FALSE)&amp;" "&amp;VLOOKUP(VLOOKUP(A1381,'Sales Order'!A:C,3,FALSE),Employee!A:C,3,FALSE)&amp;" "&amp;VLOOKUP(VLOOKUP(A1381,'Sales Order'!A:C,3,FALSE),Employee!A:B,2,FALSE),"Not Specified")</f>
        <v>Ms. Judy Lew</v>
      </c>
      <c r="I1381" t="str">
        <f>IFERROR(VLOOKUP(VLOOKUP(A1381,'Sales Order'!A:C,3,FALSE),Employee!A:J,10,FALSE),"Not Specified")</f>
        <v>WA</v>
      </c>
      <c r="J1381" t="str">
        <f>VLOOKUP(B1381,Product!A:B,2,FALSE)</f>
        <v>Product VJXYN</v>
      </c>
      <c r="K1381" t="str">
        <f>VLOOKUP(VLOOKUP(B1381,Product!A:D,4,FALSE),Category!A:B,2,FALSE)</f>
        <v>Meat/Poultry</v>
      </c>
      <c r="L1381" s="24">
        <f>IFERROR(VLOOKUP(A1381,'Sales Order'!A:D,4,FALSE),"")</f>
        <v>39426</v>
      </c>
      <c r="M1381" s="24">
        <f>IFERROR(VLOOKUP(A1381,'Sales Order'!A:F,6,FALSE),"")</f>
        <v>39435</v>
      </c>
      <c r="N1381" t="str">
        <f>IFERROR(VLOOKUP(VLOOKUP(A1381,'Sales Order'!A:G,7,FALSE),Shipper!A:B,2,FALSE),"Not Specified")</f>
        <v>Shipper ETYNR</v>
      </c>
      <c r="O1381" t="str">
        <f>IFERROR(VLOOKUP(A1381,'Sales Order'!A:I,9,FALSE),"Not Specified")</f>
        <v>Ship to 44-B</v>
      </c>
      <c r="P1381" t="str">
        <f>IFERROR(VLOOKUP(A1381,'Sales Order'!A:N,14,FALSE),"Not Specified")</f>
        <v>Germany</v>
      </c>
      <c r="Q1381" t="str">
        <f>VLOOKUP(VLOOKUP(B1381,Product!A:C,3,FALSE),Supplier!A:B,2,FALSE)</f>
        <v>Supplier SVIYA</v>
      </c>
      <c r="R1381" t="str">
        <f>VLOOKUP(VLOOKUP(B1381,Product!A:C,3,FALSE),Supplier!A:I,9,FALSE)</f>
        <v>Germany</v>
      </c>
      <c r="S1381" t="str">
        <f>IFERROR(IF(VLOOKUP(A1381,'Sales Order'!A:H,8,FALSE)&gt;100,"High Freight","Low Freight"),"Not Specified")</f>
        <v>Low Freight</v>
      </c>
      <c r="T1381">
        <f t="shared" si="43"/>
        <v>2228.2200000000003</v>
      </c>
    </row>
    <row r="1382" spans="1:20">
      <c r="A1382" s="9">
        <v>10772</v>
      </c>
      <c r="B1382" s="6">
        <v>59</v>
      </c>
      <c r="C1382" s="6">
        <v>55</v>
      </c>
      <c r="D1382" s="6">
        <v>25</v>
      </c>
      <c r="E1382" s="18">
        <v>0</v>
      </c>
      <c r="F1382" s="6" t="str">
        <f>IFERROR(VLOOKUP(VLOOKUP(A1382,'Sales Order'!A:B,2,FALSE),Customer!A:C,3,FALSE),"Not Specified")</f>
        <v>Louverdis, George</v>
      </c>
      <c r="G1382" s="6" t="str">
        <f t="shared" si="42"/>
        <v>Louverdis George</v>
      </c>
      <c r="H1382" s="22" t="str">
        <f>IFERROR(VLOOKUP(VLOOKUP(A1382,'Sales Order'!A:C,3,FALSE),Employee!A:E,5,FALSE)&amp;" "&amp;VLOOKUP(VLOOKUP(A1382,'Sales Order'!A:C,3,FALSE),Employee!A:C,3,FALSE)&amp;" "&amp;VLOOKUP(VLOOKUP(A1382,'Sales Order'!A:C,3,FALSE),Employee!A:B,2,FALSE),"Not Specified")</f>
        <v>Ms. Judy Lew</v>
      </c>
      <c r="I1382" t="str">
        <f>IFERROR(VLOOKUP(VLOOKUP(A1382,'Sales Order'!A:C,3,FALSE),Employee!A:J,10,FALSE),"Not Specified")</f>
        <v>WA</v>
      </c>
      <c r="J1382" t="str">
        <f>VLOOKUP(B1382,Product!A:B,2,FALSE)</f>
        <v>Product UKXRI</v>
      </c>
      <c r="K1382" t="str">
        <f>VLOOKUP(VLOOKUP(B1382,Product!A:D,4,FALSE),Category!A:B,2,FALSE)</f>
        <v>Dairy Product</v>
      </c>
      <c r="L1382" s="24">
        <f>IFERROR(VLOOKUP(A1382,'Sales Order'!A:D,4,FALSE),"")</f>
        <v>39426</v>
      </c>
      <c r="M1382" s="24">
        <f>IFERROR(VLOOKUP(A1382,'Sales Order'!A:F,6,FALSE),"")</f>
        <v>39435</v>
      </c>
      <c r="N1382" t="str">
        <f>IFERROR(VLOOKUP(VLOOKUP(A1382,'Sales Order'!A:G,7,FALSE),Shipper!A:B,2,FALSE),"Not Specified")</f>
        <v>Shipper ETYNR</v>
      </c>
      <c r="O1382" t="str">
        <f>IFERROR(VLOOKUP(A1382,'Sales Order'!A:I,9,FALSE),"Not Specified")</f>
        <v>Ship to 44-B</v>
      </c>
      <c r="P1382" t="str">
        <f>IFERROR(VLOOKUP(A1382,'Sales Order'!A:N,14,FALSE),"Not Specified")</f>
        <v>Germany</v>
      </c>
      <c r="Q1382" t="str">
        <f>VLOOKUP(VLOOKUP(B1382,Product!A:C,3,FALSE),Supplier!A:B,2,FALSE)</f>
        <v>Supplier OAVQT</v>
      </c>
      <c r="R1382" t="str">
        <f>VLOOKUP(VLOOKUP(B1382,Product!A:C,3,FALSE),Supplier!A:I,9,FALSE)</f>
        <v>France</v>
      </c>
      <c r="S1382" t="str">
        <f>IFERROR(IF(VLOOKUP(A1382,'Sales Order'!A:H,8,FALSE)&gt;100,"High Freight","Low Freight"),"Not Specified")</f>
        <v>Low Freight</v>
      </c>
      <c r="T1382">
        <f t="shared" si="43"/>
        <v>1375</v>
      </c>
    </row>
    <row r="1383" spans="1:20">
      <c r="A1383" s="9">
        <v>10773</v>
      </c>
      <c r="B1383" s="6">
        <v>17</v>
      </c>
      <c r="C1383" s="6">
        <v>39</v>
      </c>
      <c r="D1383" s="6">
        <v>33</v>
      </c>
      <c r="E1383" s="18">
        <v>0</v>
      </c>
      <c r="F1383" s="6" t="str">
        <f>IFERROR(VLOOKUP(VLOOKUP(A1383,'Sales Order'!A:B,2,FALSE),Customer!A:C,3,FALSE),"Not Specified")</f>
        <v>Kane, John</v>
      </c>
      <c r="G1383" s="6" t="str">
        <f t="shared" si="42"/>
        <v>Kane John</v>
      </c>
      <c r="H1383" s="22" t="str">
        <f>IFERROR(VLOOKUP(VLOOKUP(A1383,'Sales Order'!A:C,3,FALSE),Employee!A:E,5,FALSE)&amp;" "&amp;VLOOKUP(VLOOKUP(A1383,'Sales Order'!A:C,3,FALSE),Employee!A:C,3,FALSE)&amp;" "&amp;VLOOKUP(VLOOKUP(A1383,'Sales Order'!A:C,3,FALSE),Employee!A:B,2,FALSE),"Not Specified")</f>
        <v>Ms. Sara Davis</v>
      </c>
      <c r="I1383" t="str">
        <f>IFERROR(VLOOKUP(VLOOKUP(A1383,'Sales Order'!A:C,3,FALSE),Employee!A:J,10,FALSE),"Not Specified")</f>
        <v>WA</v>
      </c>
      <c r="J1383" t="str">
        <f>VLOOKUP(B1383,Product!A:B,2,FALSE)</f>
        <v>Product BLCAX</v>
      </c>
      <c r="K1383" t="str">
        <f>VLOOKUP(VLOOKUP(B1383,Product!A:D,4,FALSE),Category!A:B,2,FALSE)</f>
        <v>Meat/Poultry</v>
      </c>
      <c r="L1383" s="24">
        <f>IFERROR(VLOOKUP(A1383,'Sales Order'!A:D,4,FALSE),"")</f>
        <v>39427</v>
      </c>
      <c r="M1383" s="24">
        <f>IFERROR(VLOOKUP(A1383,'Sales Order'!A:F,6,FALSE),"")</f>
        <v>39432</v>
      </c>
      <c r="N1383" t="str">
        <f>IFERROR(VLOOKUP(VLOOKUP(A1383,'Sales Order'!A:G,7,FALSE),Shipper!A:B,2,FALSE),"Not Specified")</f>
        <v>Shipper ZHISN</v>
      </c>
      <c r="O1383" t="str">
        <f>IFERROR(VLOOKUP(A1383,'Sales Order'!A:I,9,FALSE),"Not Specified")</f>
        <v>Destination FFXKT</v>
      </c>
      <c r="P1383" t="str">
        <f>IFERROR(VLOOKUP(A1383,'Sales Order'!A:N,14,FALSE),"Not Specified")</f>
        <v>Austria</v>
      </c>
      <c r="Q1383" t="str">
        <f>VLOOKUP(VLOOKUP(B1383,Product!A:C,3,FALSE),Supplier!A:B,2,FALSE)</f>
        <v>Supplier GQRCV</v>
      </c>
      <c r="R1383" t="str">
        <f>VLOOKUP(VLOOKUP(B1383,Product!A:C,3,FALSE),Supplier!A:I,9,FALSE)</f>
        <v>Australia</v>
      </c>
      <c r="S1383" t="str">
        <f>IFERROR(IF(VLOOKUP(A1383,'Sales Order'!A:H,8,FALSE)&gt;100,"High Freight","Low Freight"),"Not Specified")</f>
        <v>Low Freight</v>
      </c>
      <c r="T1383">
        <f t="shared" si="43"/>
        <v>1287</v>
      </c>
    </row>
    <row r="1384" spans="1:20">
      <c r="A1384" s="9">
        <v>10773</v>
      </c>
      <c r="B1384" s="6">
        <v>31</v>
      </c>
      <c r="C1384" s="6">
        <v>12.5</v>
      </c>
      <c r="D1384" s="6">
        <v>70</v>
      </c>
      <c r="E1384" s="18">
        <v>0.2</v>
      </c>
      <c r="F1384" s="6" t="str">
        <f>IFERROR(VLOOKUP(VLOOKUP(A1384,'Sales Order'!A:B,2,FALSE),Customer!A:C,3,FALSE),"Not Specified")</f>
        <v>Kane, John</v>
      </c>
      <c r="G1384" s="6" t="str">
        <f t="shared" si="42"/>
        <v>Kane John</v>
      </c>
      <c r="H1384" s="22" t="str">
        <f>IFERROR(VLOOKUP(VLOOKUP(A1384,'Sales Order'!A:C,3,FALSE),Employee!A:E,5,FALSE)&amp;" "&amp;VLOOKUP(VLOOKUP(A1384,'Sales Order'!A:C,3,FALSE),Employee!A:C,3,FALSE)&amp;" "&amp;VLOOKUP(VLOOKUP(A1384,'Sales Order'!A:C,3,FALSE),Employee!A:B,2,FALSE),"Not Specified")</f>
        <v>Ms. Sara Davis</v>
      </c>
      <c r="I1384" t="str">
        <f>IFERROR(VLOOKUP(VLOOKUP(A1384,'Sales Order'!A:C,3,FALSE),Employee!A:J,10,FALSE),"Not Specified")</f>
        <v>WA</v>
      </c>
      <c r="J1384" t="str">
        <f>VLOOKUP(B1384,Product!A:B,2,FALSE)</f>
        <v>Product XWOXC</v>
      </c>
      <c r="K1384" t="str">
        <f>VLOOKUP(VLOOKUP(B1384,Product!A:D,4,FALSE),Category!A:B,2,FALSE)</f>
        <v>Dairy Product</v>
      </c>
      <c r="L1384" s="24">
        <f>IFERROR(VLOOKUP(A1384,'Sales Order'!A:D,4,FALSE),"")</f>
        <v>39427</v>
      </c>
      <c r="M1384" s="24">
        <f>IFERROR(VLOOKUP(A1384,'Sales Order'!A:F,6,FALSE),"")</f>
        <v>39432</v>
      </c>
      <c r="N1384" t="str">
        <f>IFERROR(VLOOKUP(VLOOKUP(A1384,'Sales Order'!A:G,7,FALSE),Shipper!A:B,2,FALSE),"Not Specified")</f>
        <v>Shipper ZHISN</v>
      </c>
      <c r="O1384" t="str">
        <f>IFERROR(VLOOKUP(A1384,'Sales Order'!A:I,9,FALSE),"Not Specified")</f>
        <v>Destination FFXKT</v>
      </c>
      <c r="P1384" t="str">
        <f>IFERROR(VLOOKUP(A1384,'Sales Order'!A:N,14,FALSE),"Not Specified")</f>
        <v>Austria</v>
      </c>
      <c r="Q1384" t="str">
        <f>VLOOKUP(VLOOKUP(B1384,Product!A:C,3,FALSE),Supplier!A:B,2,FALSE)</f>
        <v>Supplier KEREV</v>
      </c>
      <c r="R1384" t="str">
        <f>VLOOKUP(VLOOKUP(B1384,Product!A:C,3,FALSE),Supplier!A:I,9,FALSE)</f>
        <v>Italy</v>
      </c>
      <c r="S1384" t="str">
        <f>IFERROR(IF(VLOOKUP(A1384,'Sales Order'!A:H,8,FALSE)&gt;100,"High Freight","Low Freight"),"Not Specified")</f>
        <v>Low Freight</v>
      </c>
      <c r="T1384">
        <f t="shared" si="43"/>
        <v>700</v>
      </c>
    </row>
    <row r="1385" spans="1:20">
      <c r="A1385" s="9">
        <v>10773</v>
      </c>
      <c r="B1385" s="6">
        <v>75</v>
      </c>
      <c r="C1385" s="6">
        <v>7.75</v>
      </c>
      <c r="D1385" s="6">
        <v>7</v>
      </c>
      <c r="E1385" s="18">
        <v>0.2</v>
      </c>
      <c r="F1385" s="6" t="str">
        <f>IFERROR(VLOOKUP(VLOOKUP(A1385,'Sales Order'!A:B,2,FALSE),Customer!A:C,3,FALSE),"Not Specified")</f>
        <v>Kane, John</v>
      </c>
      <c r="G1385" s="6" t="str">
        <f t="shared" si="42"/>
        <v>Kane John</v>
      </c>
      <c r="H1385" s="22" t="str">
        <f>IFERROR(VLOOKUP(VLOOKUP(A1385,'Sales Order'!A:C,3,FALSE),Employee!A:E,5,FALSE)&amp;" "&amp;VLOOKUP(VLOOKUP(A1385,'Sales Order'!A:C,3,FALSE),Employee!A:C,3,FALSE)&amp;" "&amp;VLOOKUP(VLOOKUP(A1385,'Sales Order'!A:C,3,FALSE),Employee!A:B,2,FALSE),"Not Specified")</f>
        <v>Ms. Sara Davis</v>
      </c>
      <c r="I1385" t="str">
        <f>IFERROR(VLOOKUP(VLOOKUP(A1385,'Sales Order'!A:C,3,FALSE),Employee!A:J,10,FALSE),"Not Specified")</f>
        <v>WA</v>
      </c>
      <c r="J1385" t="str">
        <f>VLOOKUP(B1385,Product!A:B,2,FALSE)</f>
        <v>Product BWRLG</v>
      </c>
      <c r="K1385" t="str">
        <f>VLOOKUP(VLOOKUP(B1385,Product!A:D,4,FALSE),Category!A:B,2,FALSE)</f>
        <v>Beverages</v>
      </c>
      <c r="L1385" s="24">
        <f>IFERROR(VLOOKUP(A1385,'Sales Order'!A:D,4,FALSE),"")</f>
        <v>39427</v>
      </c>
      <c r="M1385" s="24">
        <f>IFERROR(VLOOKUP(A1385,'Sales Order'!A:F,6,FALSE),"")</f>
        <v>39432</v>
      </c>
      <c r="N1385" t="str">
        <f>IFERROR(VLOOKUP(VLOOKUP(A1385,'Sales Order'!A:G,7,FALSE),Shipper!A:B,2,FALSE),"Not Specified")</f>
        <v>Shipper ZHISN</v>
      </c>
      <c r="O1385" t="str">
        <f>IFERROR(VLOOKUP(A1385,'Sales Order'!A:I,9,FALSE),"Not Specified")</f>
        <v>Destination FFXKT</v>
      </c>
      <c r="P1385" t="str">
        <f>IFERROR(VLOOKUP(A1385,'Sales Order'!A:N,14,FALSE),"Not Specified")</f>
        <v>Austria</v>
      </c>
      <c r="Q1385" t="str">
        <f>VLOOKUP(VLOOKUP(B1385,Product!A:C,3,FALSE),Supplier!A:B,2,FALSE)</f>
        <v>Supplier SVIYA</v>
      </c>
      <c r="R1385" t="str">
        <f>VLOOKUP(VLOOKUP(B1385,Product!A:C,3,FALSE),Supplier!A:I,9,FALSE)</f>
        <v>Germany</v>
      </c>
      <c r="S1385" t="str">
        <f>IFERROR(IF(VLOOKUP(A1385,'Sales Order'!A:H,8,FALSE)&gt;100,"High Freight","Low Freight"),"Not Specified")</f>
        <v>Low Freight</v>
      </c>
      <c r="T1385">
        <f t="shared" si="43"/>
        <v>43.400000000000006</v>
      </c>
    </row>
    <row r="1386" spans="1:20">
      <c r="A1386" s="9">
        <v>10774</v>
      </c>
      <c r="B1386" s="6">
        <v>31</v>
      </c>
      <c r="C1386" s="6">
        <v>12.5</v>
      </c>
      <c r="D1386" s="6">
        <v>2</v>
      </c>
      <c r="E1386" s="18">
        <v>0.25</v>
      </c>
      <c r="F1386" s="6" t="str">
        <f>IFERROR(VLOOKUP(VLOOKUP(A1386,'Sales Order'!A:B,2,FALSE),Customer!A:C,3,FALSE),"Not Specified")</f>
        <v>San Juan, Patricia</v>
      </c>
      <c r="G1386" s="6" t="str">
        <f t="shared" si="42"/>
        <v>San Juan Patricia</v>
      </c>
      <c r="H1386" s="22" t="str">
        <f>IFERROR(VLOOKUP(VLOOKUP(A1386,'Sales Order'!A:C,3,FALSE),Employee!A:E,5,FALSE)&amp;" "&amp;VLOOKUP(VLOOKUP(A1386,'Sales Order'!A:C,3,FALSE),Employee!A:C,3,FALSE)&amp;" "&amp;VLOOKUP(VLOOKUP(A1386,'Sales Order'!A:C,3,FALSE),Employee!A:B,2,FALSE),"Not Specified")</f>
        <v>Mrs. Yael Peled</v>
      </c>
      <c r="I1386" t="str">
        <f>IFERROR(VLOOKUP(VLOOKUP(A1386,'Sales Order'!A:C,3,FALSE),Employee!A:J,10,FALSE),"Not Specified")</f>
        <v>WA</v>
      </c>
      <c r="J1386" t="str">
        <f>VLOOKUP(B1386,Product!A:B,2,FALSE)</f>
        <v>Product XWOXC</v>
      </c>
      <c r="K1386" t="str">
        <f>VLOOKUP(VLOOKUP(B1386,Product!A:D,4,FALSE),Category!A:B,2,FALSE)</f>
        <v>Dairy Product</v>
      </c>
      <c r="L1386" s="24">
        <f>IFERROR(VLOOKUP(A1386,'Sales Order'!A:D,4,FALSE),"")</f>
        <v>39427</v>
      </c>
      <c r="M1386" s="24">
        <f>IFERROR(VLOOKUP(A1386,'Sales Order'!A:F,6,FALSE),"")</f>
        <v>39428</v>
      </c>
      <c r="N1386" t="str">
        <f>IFERROR(VLOOKUP(VLOOKUP(A1386,'Sales Order'!A:G,7,FALSE),Shipper!A:B,2,FALSE),"Not Specified")</f>
        <v>Shipper GVSUA</v>
      </c>
      <c r="O1386" t="str">
        <f>IFERROR(VLOOKUP(A1386,'Sales Order'!A:I,9,FALSE),"Not Specified")</f>
        <v>Destination KBSBN</v>
      </c>
      <c r="P1386" t="str">
        <f>IFERROR(VLOOKUP(A1386,'Sales Order'!A:N,14,FALSE),"Not Specified")</f>
        <v>Sweden</v>
      </c>
      <c r="Q1386" t="str">
        <f>VLOOKUP(VLOOKUP(B1386,Product!A:C,3,FALSE),Supplier!A:B,2,FALSE)</f>
        <v>Supplier KEREV</v>
      </c>
      <c r="R1386" t="str">
        <f>VLOOKUP(VLOOKUP(B1386,Product!A:C,3,FALSE),Supplier!A:I,9,FALSE)</f>
        <v>Italy</v>
      </c>
      <c r="S1386" t="str">
        <f>IFERROR(IF(VLOOKUP(A1386,'Sales Order'!A:H,8,FALSE)&gt;100,"High Freight","Low Freight"),"Not Specified")</f>
        <v>Low Freight</v>
      </c>
      <c r="T1386">
        <f t="shared" si="43"/>
        <v>18.75</v>
      </c>
    </row>
    <row r="1387" spans="1:20">
      <c r="A1387" s="9">
        <v>10774</v>
      </c>
      <c r="B1387" s="6">
        <v>66</v>
      </c>
      <c r="C1387" s="6">
        <v>17</v>
      </c>
      <c r="D1387" s="6">
        <v>50</v>
      </c>
      <c r="E1387" s="18">
        <v>0</v>
      </c>
      <c r="F1387" s="6" t="str">
        <f>IFERROR(VLOOKUP(VLOOKUP(A1387,'Sales Order'!A:B,2,FALSE),Customer!A:C,3,FALSE),"Not Specified")</f>
        <v>San Juan, Patricia</v>
      </c>
      <c r="G1387" s="6" t="str">
        <f t="shared" si="42"/>
        <v>San Juan Patricia</v>
      </c>
      <c r="H1387" s="22" t="str">
        <f>IFERROR(VLOOKUP(VLOOKUP(A1387,'Sales Order'!A:C,3,FALSE),Employee!A:E,5,FALSE)&amp;" "&amp;VLOOKUP(VLOOKUP(A1387,'Sales Order'!A:C,3,FALSE),Employee!A:C,3,FALSE)&amp;" "&amp;VLOOKUP(VLOOKUP(A1387,'Sales Order'!A:C,3,FALSE),Employee!A:B,2,FALSE),"Not Specified")</f>
        <v>Mrs. Yael Peled</v>
      </c>
      <c r="I1387" t="str">
        <f>IFERROR(VLOOKUP(VLOOKUP(A1387,'Sales Order'!A:C,3,FALSE),Employee!A:J,10,FALSE),"Not Specified")</f>
        <v>WA</v>
      </c>
      <c r="J1387" t="str">
        <f>VLOOKUP(B1387,Product!A:B,2,FALSE)</f>
        <v>Product LQMGN</v>
      </c>
      <c r="K1387" t="str">
        <f>VLOOKUP(VLOOKUP(B1387,Product!A:D,4,FALSE),Category!A:B,2,FALSE)</f>
        <v>Condiments</v>
      </c>
      <c r="L1387" s="24">
        <f>IFERROR(VLOOKUP(A1387,'Sales Order'!A:D,4,FALSE),"")</f>
        <v>39427</v>
      </c>
      <c r="M1387" s="24">
        <f>IFERROR(VLOOKUP(A1387,'Sales Order'!A:F,6,FALSE),"")</f>
        <v>39428</v>
      </c>
      <c r="N1387" t="str">
        <f>IFERROR(VLOOKUP(VLOOKUP(A1387,'Sales Order'!A:G,7,FALSE),Shipper!A:B,2,FALSE),"Not Specified")</f>
        <v>Shipper GVSUA</v>
      </c>
      <c r="O1387" t="str">
        <f>IFERROR(VLOOKUP(A1387,'Sales Order'!A:I,9,FALSE),"Not Specified")</f>
        <v>Destination KBSBN</v>
      </c>
      <c r="P1387" t="str">
        <f>IFERROR(VLOOKUP(A1387,'Sales Order'!A:N,14,FALSE),"Not Specified")</f>
        <v>Sweden</v>
      </c>
      <c r="Q1387" t="str">
        <f>VLOOKUP(VLOOKUP(B1387,Product!A:C,3,FALSE),Supplier!A:B,2,FALSE)</f>
        <v>Supplier VHQZD</v>
      </c>
      <c r="R1387" t="str">
        <f>VLOOKUP(VLOOKUP(B1387,Product!A:C,3,FALSE),Supplier!A:I,9,FALSE)</f>
        <v>USA</v>
      </c>
      <c r="S1387" t="str">
        <f>IFERROR(IF(VLOOKUP(A1387,'Sales Order'!A:H,8,FALSE)&gt;100,"High Freight","Low Freight"),"Not Specified")</f>
        <v>Low Freight</v>
      </c>
      <c r="T1387">
        <f t="shared" si="43"/>
        <v>850</v>
      </c>
    </row>
    <row r="1388" spans="1:20">
      <c r="A1388" s="9">
        <v>10775</v>
      </c>
      <c r="B1388" s="6">
        <v>10</v>
      </c>
      <c r="C1388" s="6">
        <v>31</v>
      </c>
      <c r="D1388" s="6">
        <v>6</v>
      </c>
      <c r="E1388" s="18">
        <v>0</v>
      </c>
      <c r="F1388" s="6" t="str">
        <f>IFERROR(VLOOKUP(VLOOKUP(A1388,'Sales Order'!A:B,2,FALSE),Customer!A:C,3,FALSE),"Not Specified")</f>
        <v>Young, Robin</v>
      </c>
      <c r="G1388" s="6" t="str">
        <f t="shared" si="42"/>
        <v>Young Robin</v>
      </c>
      <c r="H1388" s="22" t="str">
        <f>IFERROR(VLOOKUP(VLOOKUP(A1388,'Sales Order'!A:C,3,FALSE),Employee!A:E,5,FALSE)&amp;" "&amp;VLOOKUP(VLOOKUP(A1388,'Sales Order'!A:C,3,FALSE),Employee!A:C,3,FALSE)&amp;" "&amp;VLOOKUP(VLOOKUP(A1388,'Sales Order'!A:C,3,FALSE),Employee!A:B,2,FALSE),"Not Specified")</f>
        <v>Mr. Russell King</v>
      </c>
      <c r="I1388">
        <f>IFERROR(VLOOKUP(VLOOKUP(A1388,'Sales Order'!A:C,3,FALSE),Employee!A:J,10,FALSE),"Not Specified")</f>
        <v>0</v>
      </c>
      <c r="J1388" t="str">
        <f>VLOOKUP(B1388,Product!A:B,2,FALSE)</f>
        <v>Product YHXGE</v>
      </c>
      <c r="K1388" t="str">
        <f>VLOOKUP(VLOOKUP(B1388,Product!A:D,4,FALSE),Category!A:B,2,FALSE)</f>
        <v>Seafood</v>
      </c>
      <c r="L1388" s="24">
        <f>IFERROR(VLOOKUP(A1388,'Sales Order'!A:D,4,FALSE),"")</f>
        <v>39428</v>
      </c>
      <c r="M1388" s="24">
        <f>IFERROR(VLOOKUP(A1388,'Sales Order'!A:F,6,FALSE),"")</f>
        <v>39442</v>
      </c>
      <c r="N1388" t="str">
        <f>IFERROR(VLOOKUP(VLOOKUP(A1388,'Sales Order'!A:G,7,FALSE),Shipper!A:B,2,FALSE),"Not Specified")</f>
        <v>Shipper GVSUA</v>
      </c>
      <c r="O1388" t="str">
        <f>IFERROR(VLOOKUP(A1388,'Sales Order'!A:I,9,FALSE),"Not Specified")</f>
        <v>Ship to 78-A</v>
      </c>
      <c r="P1388" t="str">
        <f>IFERROR(VLOOKUP(A1388,'Sales Order'!A:N,14,FALSE),"Not Specified")</f>
        <v>USA</v>
      </c>
      <c r="Q1388" t="str">
        <f>VLOOKUP(VLOOKUP(B1388,Product!A:C,3,FALSE),Supplier!A:B,2,FALSE)</f>
        <v>Supplier QOVFD</v>
      </c>
      <c r="R1388" t="str">
        <f>VLOOKUP(VLOOKUP(B1388,Product!A:C,3,FALSE),Supplier!A:I,9,FALSE)</f>
        <v>Japan</v>
      </c>
      <c r="S1388" t="str">
        <f>IFERROR(IF(VLOOKUP(A1388,'Sales Order'!A:H,8,FALSE)&gt;100,"High Freight","Low Freight"),"Not Specified")</f>
        <v>Low Freight</v>
      </c>
      <c r="T1388">
        <f t="shared" si="43"/>
        <v>186</v>
      </c>
    </row>
    <row r="1389" spans="1:20">
      <c r="A1389" s="9">
        <v>10775</v>
      </c>
      <c r="B1389" s="6">
        <v>67</v>
      </c>
      <c r="C1389" s="6">
        <v>14</v>
      </c>
      <c r="D1389" s="6">
        <v>3</v>
      </c>
      <c r="E1389" s="18">
        <v>0</v>
      </c>
      <c r="F1389" s="6" t="str">
        <f>IFERROR(VLOOKUP(VLOOKUP(A1389,'Sales Order'!A:B,2,FALSE),Customer!A:C,3,FALSE),"Not Specified")</f>
        <v>Young, Robin</v>
      </c>
      <c r="G1389" s="6" t="str">
        <f t="shared" si="42"/>
        <v>Young Robin</v>
      </c>
      <c r="H1389" s="22" t="str">
        <f>IFERROR(VLOOKUP(VLOOKUP(A1389,'Sales Order'!A:C,3,FALSE),Employee!A:E,5,FALSE)&amp;" "&amp;VLOOKUP(VLOOKUP(A1389,'Sales Order'!A:C,3,FALSE),Employee!A:C,3,FALSE)&amp;" "&amp;VLOOKUP(VLOOKUP(A1389,'Sales Order'!A:C,3,FALSE),Employee!A:B,2,FALSE),"Not Specified")</f>
        <v>Mr. Russell King</v>
      </c>
      <c r="I1389">
        <f>IFERROR(VLOOKUP(VLOOKUP(A1389,'Sales Order'!A:C,3,FALSE),Employee!A:J,10,FALSE),"Not Specified")</f>
        <v>0</v>
      </c>
      <c r="J1389" t="str">
        <f>VLOOKUP(B1389,Product!A:B,2,FALSE)</f>
        <v>Product XLXQF</v>
      </c>
      <c r="K1389" t="str">
        <f>VLOOKUP(VLOOKUP(B1389,Product!A:D,4,FALSE),Category!A:B,2,FALSE)</f>
        <v>Beverages</v>
      </c>
      <c r="L1389" s="24">
        <f>IFERROR(VLOOKUP(A1389,'Sales Order'!A:D,4,FALSE),"")</f>
        <v>39428</v>
      </c>
      <c r="M1389" s="24">
        <f>IFERROR(VLOOKUP(A1389,'Sales Order'!A:F,6,FALSE),"")</f>
        <v>39442</v>
      </c>
      <c r="N1389" t="str">
        <f>IFERROR(VLOOKUP(VLOOKUP(A1389,'Sales Order'!A:G,7,FALSE),Shipper!A:B,2,FALSE),"Not Specified")</f>
        <v>Shipper GVSUA</v>
      </c>
      <c r="O1389" t="str">
        <f>IFERROR(VLOOKUP(A1389,'Sales Order'!A:I,9,FALSE),"Not Specified")</f>
        <v>Ship to 78-A</v>
      </c>
      <c r="P1389" t="str">
        <f>IFERROR(VLOOKUP(A1389,'Sales Order'!A:N,14,FALSE),"Not Specified")</f>
        <v>USA</v>
      </c>
      <c r="Q1389" t="str">
        <f>VLOOKUP(VLOOKUP(B1389,Product!A:C,3,FALSE),Supplier!A:B,2,FALSE)</f>
        <v>Supplier UHZRG</v>
      </c>
      <c r="R1389" t="str">
        <f>VLOOKUP(VLOOKUP(B1389,Product!A:C,3,FALSE),Supplier!A:I,9,FALSE)</f>
        <v>USA</v>
      </c>
      <c r="S1389" t="str">
        <f>IFERROR(IF(VLOOKUP(A1389,'Sales Order'!A:H,8,FALSE)&gt;100,"High Freight","Low Freight"),"Not Specified")</f>
        <v>Low Freight</v>
      </c>
      <c r="T1389">
        <f t="shared" si="43"/>
        <v>42</v>
      </c>
    </row>
    <row r="1390" spans="1:20">
      <c r="A1390" s="9">
        <v>10776</v>
      </c>
      <c r="B1390" s="6">
        <v>31</v>
      </c>
      <c r="C1390" s="6">
        <v>12.5</v>
      </c>
      <c r="D1390" s="6">
        <v>16</v>
      </c>
      <c r="E1390" s="18">
        <v>0.05</v>
      </c>
      <c r="F1390" s="6" t="str">
        <f>IFERROR(VLOOKUP(VLOOKUP(A1390,'Sales Order'!A:B,2,FALSE),Customer!A:C,3,FALSE),"Not Specified")</f>
        <v>Kane, John</v>
      </c>
      <c r="G1390" s="6" t="str">
        <f t="shared" si="42"/>
        <v>Kane John</v>
      </c>
      <c r="H1390" s="22" t="str">
        <f>IFERROR(VLOOKUP(VLOOKUP(A1390,'Sales Order'!A:C,3,FALSE),Employee!A:E,5,FALSE)&amp;" "&amp;VLOOKUP(VLOOKUP(A1390,'Sales Order'!A:C,3,FALSE),Employee!A:C,3,FALSE)&amp;" "&amp;VLOOKUP(VLOOKUP(A1390,'Sales Order'!A:C,3,FALSE),Employee!A:B,2,FALSE),"Not Specified")</f>
        <v>Ms. Sara Davis</v>
      </c>
      <c r="I1390" t="str">
        <f>IFERROR(VLOOKUP(VLOOKUP(A1390,'Sales Order'!A:C,3,FALSE),Employee!A:J,10,FALSE),"Not Specified")</f>
        <v>WA</v>
      </c>
      <c r="J1390" t="str">
        <f>VLOOKUP(B1390,Product!A:B,2,FALSE)</f>
        <v>Product XWOXC</v>
      </c>
      <c r="K1390" t="str">
        <f>VLOOKUP(VLOOKUP(B1390,Product!A:D,4,FALSE),Category!A:B,2,FALSE)</f>
        <v>Dairy Product</v>
      </c>
      <c r="L1390" s="24">
        <f>IFERROR(VLOOKUP(A1390,'Sales Order'!A:D,4,FALSE),"")</f>
        <v>39431</v>
      </c>
      <c r="M1390" s="24">
        <f>IFERROR(VLOOKUP(A1390,'Sales Order'!A:F,6,FALSE),"")</f>
        <v>39434</v>
      </c>
      <c r="N1390" t="str">
        <f>IFERROR(VLOOKUP(VLOOKUP(A1390,'Sales Order'!A:G,7,FALSE),Shipper!A:B,2,FALSE),"Not Specified")</f>
        <v>Shipper ZHISN</v>
      </c>
      <c r="O1390" t="str">
        <f>IFERROR(VLOOKUP(A1390,'Sales Order'!A:I,9,FALSE),"Not Specified")</f>
        <v>Destination RVDMF</v>
      </c>
      <c r="P1390" t="str">
        <f>IFERROR(VLOOKUP(A1390,'Sales Order'!A:N,14,FALSE),"Not Specified")</f>
        <v>Austria</v>
      </c>
      <c r="Q1390" t="str">
        <f>VLOOKUP(VLOOKUP(B1390,Product!A:C,3,FALSE),Supplier!A:B,2,FALSE)</f>
        <v>Supplier KEREV</v>
      </c>
      <c r="R1390" t="str">
        <f>VLOOKUP(VLOOKUP(B1390,Product!A:C,3,FALSE),Supplier!A:I,9,FALSE)</f>
        <v>Italy</v>
      </c>
      <c r="S1390" t="str">
        <f>IFERROR(IF(VLOOKUP(A1390,'Sales Order'!A:H,8,FALSE)&gt;100,"High Freight","Low Freight"),"Not Specified")</f>
        <v>High Freight</v>
      </c>
      <c r="T1390">
        <f t="shared" si="43"/>
        <v>190</v>
      </c>
    </row>
    <row r="1391" spans="1:20">
      <c r="A1391" s="9">
        <v>10776</v>
      </c>
      <c r="B1391" s="6">
        <v>42</v>
      </c>
      <c r="C1391" s="6">
        <v>14</v>
      </c>
      <c r="D1391" s="6">
        <v>12</v>
      </c>
      <c r="E1391" s="18">
        <v>0.05</v>
      </c>
      <c r="F1391" s="6" t="str">
        <f>IFERROR(VLOOKUP(VLOOKUP(A1391,'Sales Order'!A:B,2,FALSE),Customer!A:C,3,FALSE),"Not Specified")</f>
        <v>Kane, John</v>
      </c>
      <c r="G1391" s="6" t="str">
        <f t="shared" si="42"/>
        <v>Kane John</v>
      </c>
      <c r="H1391" s="22" t="str">
        <f>IFERROR(VLOOKUP(VLOOKUP(A1391,'Sales Order'!A:C,3,FALSE),Employee!A:E,5,FALSE)&amp;" "&amp;VLOOKUP(VLOOKUP(A1391,'Sales Order'!A:C,3,FALSE),Employee!A:C,3,FALSE)&amp;" "&amp;VLOOKUP(VLOOKUP(A1391,'Sales Order'!A:C,3,FALSE),Employee!A:B,2,FALSE),"Not Specified")</f>
        <v>Ms. Sara Davis</v>
      </c>
      <c r="I1391" t="str">
        <f>IFERROR(VLOOKUP(VLOOKUP(A1391,'Sales Order'!A:C,3,FALSE),Employee!A:J,10,FALSE),"Not Specified")</f>
        <v>WA</v>
      </c>
      <c r="J1391" t="str">
        <f>VLOOKUP(B1391,Product!A:B,2,FALSE)</f>
        <v>Product RJVNM</v>
      </c>
      <c r="K1391" t="str">
        <f>VLOOKUP(VLOOKUP(B1391,Product!A:D,4,FALSE),Category!A:B,2,FALSE)</f>
        <v>Grains/Cereals</v>
      </c>
      <c r="L1391" s="24">
        <f>IFERROR(VLOOKUP(A1391,'Sales Order'!A:D,4,FALSE),"")</f>
        <v>39431</v>
      </c>
      <c r="M1391" s="24">
        <f>IFERROR(VLOOKUP(A1391,'Sales Order'!A:F,6,FALSE),"")</f>
        <v>39434</v>
      </c>
      <c r="N1391" t="str">
        <f>IFERROR(VLOOKUP(VLOOKUP(A1391,'Sales Order'!A:G,7,FALSE),Shipper!A:B,2,FALSE),"Not Specified")</f>
        <v>Shipper ZHISN</v>
      </c>
      <c r="O1391" t="str">
        <f>IFERROR(VLOOKUP(A1391,'Sales Order'!A:I,9,FALSE),"Not Specified")</f>
        <v>Destination RVDMF</v>
      </c>
      <c r="P1391" t="str">
        <f>IFERROR(VLOOKUP(A1391,'Sales Order'!A:N,14,FALSE),"Not Specified")</f>
        <v>Austria</v>
      </c>
      <c r="Q1391" t="str">
        <f>VLOOKUP(VLOOKUP(B1391,Product!A:C,3,FALSE),Supplier!A:B,2,FALSE)</f>
        <v>Supplier CIYNM</v>
      </c>
      <c r="R1391" t="str">
        <f>VLOOKUP(VLOOKUP(B1391,Product!A:C,3,FALSE),Supplier!A:I,9,FALSE)</f>
        <v>Singapore</v>
      </c>
      <c r="S1391" t="str">
        <f>IFERROR(IF(VLOOKUP(A1391,'Sales Order'!A:H,8,FALSE)&gt;100,"High Freight","Low Freight"),"Not Specified")</f>
        <v>High Freight</v>
      </c>
      <c r="T1391">
        <f t="shared" si="43"/>
        <v>159.6</v>
      </c>
    </row>
    <row r="1392" spans="1:20">
      <c r="A1392" s="9">
        <v>10776</v>
      </c>
      <c r="B1392" s="6">
        <v>45</v>
      </c>
      <c r="C1392" s="6">
        <v>9.5</v>
      </c>
      <c r="D1392" s="6">
        <v>27</v>
      </c>
      <c r="E1392" s="18">
        <v>0.05</v>
      </c>
      <c r="F1392" s="6" t="str">
        <f>IFERROR(VLOOKUP(VLOOKUP(A1392,'Sales Order'!A:B,2,FALSE),Customer!A:C,3,FALSE),"Not Specified")</f>
        <v>Kane, John</v>
      </c>
      <c r="G1392" s="6" t="str">
        <f t="shared" si="42"/>
        <v>Kane John</v>
      </c>
      <c r="H1392" s="22" t="str">
        <f>IFERROR(VLOOKUP(VLOOKUP(A1392,'Sales Order'!A:C,3,FALSE),Employee!A:E,5,FALSE)&amp;" "&amp;VLOOKUP(VLOOKUP(A1392,'Sales Order'!A:C,3,FALSE),Employee!A:C,3,FALSE)&amp;" "&amp;VLOOKUP(VLOOKUP(A1392,'Sales Order'!A:C,3,FALSE),Employee!A:B,2,FALSE),"Not Specified")</f>
        <v>Ms. Sara Davis</v>
      </c>
      <c r="I1392" t="str">
        <f>IFERROR(VLOOKUP(VLOOKUP(A1392,'Sales Order'!A:C,3,FALSE),Employee!A:J,10,FALSE),"Not Specified")</f>
        <v>WA</v>
      </c>
      <c r="J1392" t="str">
        <f>VLOOKUP(B1392,Product!A:B,2,FALSE)</f>
        <v>Product AQOKR</v>
      </c>
      <c r="K1392" t="str">
        <f>VLOOKUP(VLOOKUP(B1392,Product!A:D,4,FALSE),Category!A:B,2,FALSE)</f>
        <v>Seafood</v>
      </c>
      <c r="L1392" s="24">
        <f>IFERROR(VLOOKUP(A1392,'Sales Order'!A:D,4,FALSE),"")</f>
        <v>39431</v>
      </c>
      <c r="M1392" s="24">
        <f>IFERROR(VLOOKUP(A1392,'Sales Order'!A:F,6,FALSE),"")</f>
        <v>39434</v>
      </c>
      <c r="N1392" t="str">
        <f>IFERROR(VLOOKUP(VLOOKUP(A1392,'Sales Order'!A:G,7,FALSE),Shipper!A:B,2,FALSE),"Not Specified")</f>
        <v>Shipper ZHISN</v>
      </c>
      <c r="O1392" t="str">
        <f>IFERROR(VLOOKUP(A1392,'Sales Order'!A:I,9,FALSE),"Not Specified")</f>
        <v>Destination RVDMF</v>
      </c>
      <c r="P1392" t="str">
        <f>IFERROR(VLOOKUP(A1392,'Sales Order'!A:N,14,FALSE),"Not Specified")</f>
        <v>Austria</v>
      </c>
      <c r="Q1392" t="str">
        <f>VLOOKUP(VLOOKUP(B1392,Product!A:C,3,FALSE),Supplier!A:B,2,FALSE)</f>
        <v>Supplier XOXZA</v>
      </c>
      <c r="R1392" t="str">
        <f>VLOOKUP(VLOOKUP(B1392,Product!A:C,3,FALSE),Supplier!A:I,9,FALSE)</f>
        <v>Denmark</v>
      </c>
      <c r="S1392" t="str">
        <f>IFERROR(IF(VLOOKUP(A1392,'Sales Order'!A:H,8,FALSE)&gt;100,"High Freight","Low Freight"),"Not Specified")</f>
        <v>High Freight</v>
      </c>
      <c r="T1392">
        <f t="shared" si="43"/>
        <v>243.67499999999998</v>
      </c>
    </row>
    <row r="1393" spans="1:20">
      <c r="A1393" s="9">
        <v>10776</v>
      </c>
      <c r="B1393" s="6">
        <v>51</v>
      </c>
      <c r="C1393" s="6">
        <v>53</v>
      </c>
      <c r="D1393" s="6">
        <v>120</v>
      </c>
      <c r="E1393" s="18">
        <v>0.05</v>
      </c>
      <c r="F1393" s="6" t="str">
        <f>IFERROR(VLOOKUP(VLOOKUP(A1393,'Sales Order'!A:B,2,FALSE),Customer!A:C,3,FALSE),"Not Specified")</f>
        <v>Kane, John</v>
      </c>
      <c r="G1393" s="6" t="str">
        <f t="shared" si="42"/>
        <v>Kane John</v>
      </c>
      <c r="H1393" s="22" t="str">
        <f>IFERROR(VLOOKUP(VLOOKUP(A1393,'Sales Order'!A:C,3,FALSE),Employee!A:E,5,FALSE)&amp;" "&amp;VLOOKUP(VLOOKUP(A1393,'Sales Order'!A:C,3,FALSE),Employee!A:C,3,FALSE)&amp;" "&amp;VLOOKUP(VLOOKUP(A1393,'Sales Order'!A:C,3,FALSE),Employee!A:B,2,FALSE),"Not Specified")</f>
        <v>Ms. Sara Davis</v>
      </c>
      <c r="I1393" t="str">
        <f>IFERROR(VLOOKUP(VLOOKUP(A1393,'Sales Order'!A:C,3,FALSE),Employee!A:J,10,FALSE),"Not Specified")</f>
        <v>WA</v>
      </c>
      <c r="J1393" t="str">
        <f>VLOOKUP(B1393,Product!A:B,2,FALSE)</f>
        <v>Product APITJ</v>
      </c>
      <c r="K1393" t="str">
        <f>VLOOKUP(VLOOKUP(B1393,Product!A:D,4,FALSE),Category!A:B,2,FALSE)</f>
        <v>Produce</v>
      </c>
      <c r="L1393" s="24">
        <f>IFERROR(VLOOKUP(A1393,'Sales Order'!A:D,4,FALSE),"")</f>
        <v>39431</v>
      </c>
      <c r="M1393" s="24">
        <f>IFERROR(VLOOKUP(A1393,'Sales Order'!A:F,6,FALSE),"")</f>
        <v>39434</v>
      </c>
      <c r="N1393" t="str">
        <f>IFERROR(VLOOKUP(VLOOKUP(A1393,'Sales Order'!A:G,7,FALSE),Shipper!A:B,2,FALSE),"Not Specified")</f>
        <v>Shipper ZHISN</v>
      </c>
      <c r="O1393" t="str">
        <f>IFERROR(VLOOKUP(A1393,'Sales Order'!A:I,9,FALSE),"Not Specified")</f>
        <v>Destination RVDMF</v>
      </c>
      <c r="P1393" t="str">
        <f>IFERROR(VLOOKUP(A1393,'Sales Order'!A:N,14,FALSE),"Not Specified")</f>
        <v>Austria</v>
      </c>
      <c r="Q1393" t="str">
        <f>VLOOKUP(VLOOKUP(B1393,Product!A:C,3,FALSE),Supplier!A:B,2,FALSE)</f>
        <v>Supplier JNNES</v>
      </c>
      <c r="R1393" t="str">
        <f>VLOOKUP(VLOOKUP(B1393,Product!A:C,3,FALSE),Supplier!A:I,9,FALSE)</f>
        <v>Australia</v>
      </c>
      <c r="S1393" t="str">
        <f>IFERROR(IF(VLOOKUP(A1393,'Sales Order'!A:H,8,FALSE)&gt;100,"High Freight","Low Freight"),"Not Specified")</f>
        <v>High Freight</v>
      </c>
      <c r="T1393">
        <f t="shared" si="43"/>
        <v>6042</v>
      </c>
    </row>
    <row r="1394" spans="1:20">
      <c r="A1394" s="9">
        <v>10777</v>
      </c>
      <c r="B1394" s="6">
        <v>42</v>
      </c>
      <c r="C1394" s="6">
        <v>14</v>
      </c>
      <c r="D1394" s="6">
        <v>20</v>
      </c>
      <c r="E1394" s="18">
        <v>0.2</v>
      </c>
      <c r="F1394" s="6" t="str">
        <f>IFERROR(VLOOKUP(VLOOKUP(A1394,'Sales Order'!A:B,2,FALSE),Customer!A:C,3,FALSE),"Not Specified")</f>
        <v>Cheng, Yao-Qiang</v>
      </c>
      <c r="G1394" s="6" t="str">
        <f t="shared" si="42"/>
        <v>Cheng Yao-Qiang</v>
      </c>
      <c r="H1394" s="22" t="str">
        <f>IFERROR(VLOOKUP(VLOOKUP(A1394,'Sales Order'!A:C,3,FALSE),Employee!A:E,5,FALSE)&amp;" "&amp;VLOOKUP(VLOOKUP(A1394,'Sales Order'!A:C,3,FALSE),Employee!A:C,3,FALSE)&amp;" "&amp;VLOOKUP(VLOOKUP(A1394,'Sales Order'!A:C,3,FALSE),Employee!A:B,2,FALSE),"Not Specified")</f>
        <v>Mr. Russell King</v>
      </c>
      <c r="I1394">
        <f>IFERROR(VLOOKUP(VLOOKUP(A1394,'Sales Order'!A:C,3,FALSE),Employee!A:J,10,FALSE),"Not Specified")</f>
        <v>0</v>
      </c>
      <c r="J1394" t="str">
        <f>VLOOKUP(B1394,Product!A:B,2,FALSE)</f>
        <v>Product RJVNM</v>
      </c>
      <c r="K1394" t="str">
        <f>VLOOKUP(VLOOKUP(B1394,Product!A:D,4,FALSE),Category!A:B,2,FALSE)</f>
        <v>Grains/Cereals</v>
      </c>
      <c r="L1394" s="24">
        <f>IFERROR(VLOOKUP(A1394,'Sales Order'!A:D,4,FALSE),"")</f>
        <v>39431</v>
      </c>
      <c r="M1394" s="24">
        <f>IFERROR(VLOOKUP(A1394,'Sales Order'!A:F,6,FALSE),"")</f>
        <v>39468</v>
      </c>
      <c r="N1394" t="str">
        <f>IFERROR(VLOOKUP(VLOOKUP(A1394,'Sales Order'!A:G,7,FALSE),Shipper!A:B,2,FALSE),"Not Specified")</f>
        <v>Shipper ETYNR</v>
      </c>
      <c r="O1394" t="str">
        <f>IFERROR(VLOOKUP(A1394,'Sales Order'!A:I,9,FALSE),"Not Specified")</f>
        <v>Destination GWPFK</v>
      </c>
      <c r="P1394" t="str">
        <f>IFERROR(VLOOKUP(A1394,'Sales Order'!A:N,14,FALSE),"Not Specified")</f>
        <v>Brazil</v>
      </c>
      <c r="Q1394" t="str">
        <f>VLOOKUP(VLOOKUP(B1394,Product!A:C,3,FALSE),Supplier!A:B,2,FALSE)</f>
        <v>Supplier CIYNM</v>
      </c>
      <c r="R1394" t="str">
        <f>VLOOKUP(VLOOKUP(B1394,Product!A:C,3,FALSE),Supplier!A:I,9,FALSE)</f>
        <v>Singapore</v>
      </c>
      <c r="S1394" t="str">
        <f>IFERROR(IF(VLOOKUP(A1394,'Sales Order'!A:H,8,FALSE)&gt;100,"High Freight","Low Freight"),"Not Specified")</f>
        <v>Low Freight</v>
      </c>
      <c r="T1394">
        <f t="shared" si="43"/>
        <v>224</v>
      </c>
    </row>
    <row r="1395" spans="1:20">
      <c r="A1395" s="9">
        <v>10778</v>
      </c>
      <c r="B1395" s="6">
        <v>41</v>
      </c>
      <c r="C1395" s="6">
        <v>9.65</v>
      </c>
      <c r="D1395" s="6">
        <v>10</v>
      </c>
      <c r="E1395" s="18">
        <v>0</v>
      </c>
      <c r="F1395" s="6" t="str">
        <f>IFERROR(VLOOKUP(VLOOKUP(A1395,'Sales Order'!A:B,2,FALSE),Customer!A:C,3,FALSE),"Not Specified")</f>
        <v>Higginbotham, Tom</v>
      </c>
      <c r="G1395" s="6" t="str">
        <f t="shared" si="42"/>
        <v>Higginbotham Tom</v>
      </c>
      <c r="H1395" s="22" t="str">
        <f>IFERROR(VLOOKUP(VLOOKUP(A1395,'Sales Order'!A:C,3,FALSE),Employee!A:E,5,FALSE)&amp;" "&amp;VLOOKUP(VLOOKUP(A1395,'Sales Order'!A:C,3,FALSE),Employee!A:C,3,FALSE)&amp;" "&amp;VLOOKUP(VLOOKUP(A1395,'Sales Order'!A:C,3,FALSE),Employee!A:B,2,FALSE),"Not Specified")</f>
        <v>Ms. Judy Lew</v>
      </c>
      <c r="I1395" t="str">
        <f>IFERROR(VLOOKUP(VLOOKUP(A1395,'Sales Order'!A:C,3,FALSE),Employee!A:J,10,FALSE),"Not Specified")</f>
        <v>WA</v>
      </c>
      <c r="J1395" t="str">
        <f>VLOOKUP(B1395,Product!A:B,2,FALSE)</f>
        <v>Product TTEEX</v>
      </c>
      <c r="K1395" t="str">
        <f>VLOOKUP(VLOOKUP(B1395,Product!A:D,4,FALSE),Category!A:B,2,FALSE)</f>
        <v>Seafood</v>
      </c>
      <c r="L1395" s="24">
        <f>IFERROR(VLOOKUP(A1395,'Sales Order'!A:D,4,FALSE),"")</f>
        <v>39432</v>
      </c>
      <c r="M1395" s="24">
        <f>IFERROR(VLOOKUP(A1395,'Sales Order'!A:F,6,FALSE),"")</f>
        <v>39440</v>
      </c>
      <c r="N1395" t="str">
        <f>IFERROR(VLOOKUP(VLOOKUP(A1395,'Sales Order'!A:G,7,FALSE),Shipper!A:B,2,FALSE),"Not Specified")</f>
        <v>Shipper GVSUA</v>
      </c>
      <c r="O1395" t="str">
        <f>IFERROR(VLOOKUP(A1395,'Sales Order'!A:I,9,FALSE),"Not Specified")</f>
        <v>Ship to 5-A</v>
      </c>
      <c r="P1395" t="str">
        <f>IFERROR(VLOOKUP(A1395,'Sales Order'!A:N,14,FALSE),"Not Specified")</f>
        <v>Sweden</v>
      </c>
      <c r="Q1395" t="str">
        <f>VLOOKUP(VLOOKUP(B1395,Product!A:C,3,FALSE),Supplier!A:B,2,FALSE)</f>
        <v>Supplier JDNUG</v>
      </c>
      <c r="R1395" t="str">
        <f>VLOOKUP(VLOOKUP(B1395,Product!A:C,3,FALSE),Supplier!A:I,9,FALSE)</f>
        <v>USA</v>
      </c>
      <c r="S1395" t="str">
        <f>IFERROR(IF(VLOOKUP(A1395,'Sales Order'!A:H,8,FALSE)&gt;100,"High Freight","Low Freight"),"Not Specified")</f>
        <v>Low Freight</v>
      </c>
      <c r="T1395">
        <f t="shared" si="43"/>
        <v>96.5</v>
      </c>
    </row>
    <row r="1396" spans="1:20">
      <c r="A1396" s="9">
        <v>10779</v>
      </c>
      <c r="B1396" s="6">
        <v>16</v>
      </c>
      <c r="C1396" s="6">
        <v>17.45</v>
      </c>
      <c r="D1396" s="6">
        <v>20</v>
      </c>
      <c r="E1396" s="18">
        <v>0</v>
      </c>
      <c r="F1396" s="6" t="str">
        <f>IFERROR(VLOOKUP(VLOOKUP(A1396,'Sales Order'!A:B,2,FALSE),Customer!A:C,3,FALSE),"Not Specified")</f>
        <v>Dupont-Roc, Patrice</v>
      </c>
      <c r="G1396" s="6" t="str">
        <f t="shared" si="42"/>
        <v>Dupont-Roc Patrice</v>
      </c>
      <c r="H1396" s="22" t="str">
        <f>IFERROR(VLOOKUP(VLOOKUP(A1396,'Sales Order'!A:C,3,FALSE),Employee!A:E,5,FALSE)&amp;" "&amp;VLOOKUP(VLOOKUP(A1396,'Sales Order'!A:C,3,FALSE),Employee!A:C,3,FALSE)&amp;" "&amp;VLOOKUP(VLOOKUP(A1396,'Sales Order'!A:C,3,FALSE),Employee!A:B,2,FALSE),"Not Specified")</f>
        <v>Ms. Judy Lew</v>
      </c>
      <c r="I1396" t="str">
        <f>IFERROR(VLOOKUP(VLOOKUP(A1396,'Sales Order'!A:C,3,FALSE),Employee!A:J,10,FALSE),"Not Specified")</f>
        <v>WA</v>
      </c>
      <c r="J1396" t="str">
        <f>VLOOKUP(B1396,Product!A:B,2,FALSE)</f>
        <v>Product PAFRH</v>
      </c>
      <c r="K1396" t="str">
        <f>VLOOKUP(VLOOKUP(B1396,Product!A:D,4,FALSE),Category!A:B,2,FALSE)</f>
        <v>Confections</v>
      </c>
      <c r="L1396" s="24">
        <f>IFERROR(VLOOKUP(A1396,'Sales Order'!A:D,4,FALSE),"")</f>
        <v>39432</v>
      </c>
      <c r="M1396" s="24">
        <f>IFERROR(VLOOKUP(A1396,'Sales Order'!A:F,6,FALSE),"")</f>
        <v>39461</v>
      </c>
      <c r="N1396" t="str">
        <f>IFERROR(VLOOKUP(VLOOKUP(A1396,'Sales Order'!A:G,7,FALSE),Shipper!A:B,2,FALSE),"Not Specified")</f>
        <v>Shipper ETYNR</v>
      </c>
      <c r="O1396" t="str">
        <f>IFERROR(VLOOKUP(A1396,'Sales Order'!A:I,9,FALSE),"Not Specified")</f>
        <v>Ship to 52-A</v>
      </c>
      <c r="P1396" t="str">
        <f>IFERROR(VLOOKUP(A1396,'Sales Order'!A:N,14,FALSE),"Not Specified")</f>
        <v>Germany</v>
      </c>
      <c r="Q1396" t="str">
        <f>VLOOKUP(VLOOKUP(B1396,Product!A:C,3,FALSE),Supplier!A:B,2,FALSE)</f>
        <v>Supplier GQRCV</v>
      </c>
      <c r="R1396" t="str">
        <f>VLOOKUP(VLOOKUP(B1396,Product!A:C,3,FALSE),Supplier!A:I,9,FALSE)</f>
        <v>Australia</v>
      </c>
      <c r="S1396" t="str">
        <f>IFERROR(IF(VLOOKUP(A1396,'Sales Order'!A:H,8,FALSE)&gt;100,"High Freight","Low Freight"),"Not Specified")</f>
        <v>Low Freight</v>
      </c>
      <c r="T1396">
        <f t="shared" si="43"/>
        <v>349</v>
      </c>
    </row>
    <row r="1397" spans="1:20">
      <c r="A1397" s="9">
        <v>10779</v>
      </c>
      <c r="B1397" s="6">
        <v>62</v>
      </c>
      <c r="C1397" s="6">
        <v>49.3</v>
      </c>
      <c r="D1397" s="6">
        <v>20</v>
      </c>
      <c r="E1397" s="18">
        <v>0</v>
      </c>
      <c r="F1397" s="6" t="str">
        <f>IFERROR(VLOOKUP(VLOOKUP(A1397,'Sales Order'!A:B,2,FALSE),Customer!A:C,3,FALSE),"Not Specified")</f>
        <v>Dupont-Roc, Patrice</v>
      </c>
      <c r="G1397" s="6" t="str">
        <f t="shared" si="42"/>
        <v>Dupont-Roc Patrice</v>
      </c>
      <c r="H1397" s="22" t="str">
        <f>IFERROR(VLOOKUP(VLOOKUP(A1397,'Sales Order'!A:C,3,FALSE),Employee!A:E,5,FALSE)&amp;" "&amp;VLOOKUP(VLOOKUP(A1397,'Sales Order'!A:C,3,FALSE),Employee!A:C,3,FALSE)&amp;" "&amp;VLOOKUP(VLOOKUP(A1397,'Sales Order'!A:C,3,FALSE),Employee!A:B,2,FALSE),"Not Specified")</f>
        <v>Ms. Judy Lew</v>
      </c>
      <c r="I1397" t="str">
        <f>IFERROR(VLOOKUP(VLOOKUP(A1397,'Sales Order'!A:C,3,FALSE),Employee!A:J,10,FALSE),"Not Specified")</f>
        <v>WA</v>
      </c>
      <c r="J1397" t="str">
        <f>VLOOKUP(B1397,Product!A:B,2,FALSE)</f>
        <v>Product WUXYK</v>
      </c>
      <c r="K1397" t="str">
        <f>VLOOKUP(VLOOKUP(B1397,Product!A:D,4,FALSE),Category!A:B,2,FALSE)</f>
        <v>Confections</v>
      </c>
      <c r="L1397" s="24">
        <f>IFERROR(VLOOKUP(A1397,'Sales Order'!A:D,4,FALSE),"")</f>
        <v>39432</v>
      </c>
      <c r="M1397" s="24">
        <f>IFERROR(VLOOKUP(A1397,'Sales Order'!A:F,6,FALSE),"")</f>
        <v>39461</v>
      </c>
      <c r="N1397" t="str">
        <f>IFERROR(VLOOKUP(VLOOKUP(A1397,'Sales Order'!A:G,7,FALSE),Shipper!A:B,2,FALSE),"Not Specified")</f>
        <v>Shipper ETYNR</v>
      </c>
      <c r="O1397" t="str">
        <f>IFERROR(VLOOKUP(A1397,'Sales Order'!A:I,9,FALSE),"Not Specified")</f>
        <v>Ship to 52-A</v>
      </c>
      <c r="P1397" t="str">
        <f>IFERROR(VLOOKUP(A1397,'Sales Order'!A:N,14,FALSE),"Not Specified")</f>
        <v>Germany</v>
      </c>
      <c r="Q1397" t="str">
        <f>VLOOKUP(VLOOKUP(B1397,Product!A:C,3,FALSE),Supplier!A:B,2,FALSE)</f>
        <v>Supplier OGLRK</v>
      </c>
      <c r="R1397" t="str">
        <f>VLOOKUP(VLOOKUP(B1397,Product!A:C,3,FALSE),Supplier!A:I,9,FALSE)</f>
        <v>Canada</v>
      </c>
      <c r="S1397" t="str">
        <f>IFERROR(IF(VLOOKUP(A1397,'Sales Order'!A:H,8,FALSE)&gt;100,"High Freight","Low Freight"),"Not Specified")</f>
        <v>Low Freight</v>
      </c>
      <c r="T1397">
        <f t="shared" si="43"/>
        <v>986</v>
      </c>
    </row>
    <row r="1398" spans="1:20">
      <c r="A1398" s="9">
        <v>10780</v>
      </c>
      <c r="B1398" s="6">
        <v>70</v>
      </c>
      <c r="C1398" s="6">
        <v>15</v>
      </c>
      <c r="D1398" s="6">
        <v>35</v>
      </c>
      <c r="E1398" s="18">
        <v>0</v>
      </c>
      <c r="F1398" s="6" t="str">
        <f>IFERROR(VLOOKUP(VLOOKUP(A1398,'Sales Order'!A:B,2,FALSE),Customer!A:C,3,FALSE),"Not Specified")</f>
        <v>Dressler, Marlies</v>
      </c>
      <c r="G1398" s="6" t="str">
        <f t="shared" si="42"/>
        <v>Dressler Marlies</v>
      </c>
      <c r="H1398" s="22" t="str">
        <f>IFERROR(VLOOKUP(VLOOKUP(A1398,'Sales Order'!A:C,3,FALSE),Employee!A:E,5,FALSE)&amp;" "&amp;VLOOKUP(VLOOKUP(A1398,'Sales Order'!A:C,3,FALSE),Employee!A:C,3,FALSE)&amp;" "&amp;VLOOKUP(VLOOKUP(A1398,'Sales Order'!A:C,3,FALSE),Employee!A:B,2,FALSE),"Not Specified")</f>
        <v>Dr. Don Funk</v>
      </c>
      <c r="I1398" t="str">
        <f>IFERROR(VLOOKUP(VLOOKUP(A1398,'Sales Order'!A:C,3,FALSE),Employee!A:J,10,FALSE),"Not Specified")</f>
        <v>WA</v>
      </c>
      <c r="J1398" t="str">
        <f>VLOOKUP(B1398,Product!A:B,2,FALSE)</f>
        <v>Product TOONT</v>
      </c>
      <c r="K1398" t="str">
        <f>VLOOKUP(VLOOKUP(B1398,Product!A:D,4,FALSE),Category!A:B,2,FALSE)</f>
        <v>Beverages</v>
      </c>
      <c r="L1398" s="24">
        <f>IFERROR(VLOOKUP(A1398,'Sales Order'!A:D,4,FALSE),"")</f>
        <v>39432</v>
      </c>
      <c r="M1398" s="24">
        <f>IFERROR(VLOOKUP(A1398,'Sales Order'!A:F,6,FALSE),"")</f>
        <v>39441</v>
      </c>
      <c r="N1398" t="str">
        <f>IFERROR(VLOOKUP(VLOOKUP(A1398,'Sales Order'!A:G,7,FALSE),Shipper!A:B,2,FALSE),"Not Specified")</f>
        <v>Shipper GVSUA</v>
      </c>
      <c r="O1398" t="str">
        <f>IFERROR(VLOOKUP(A1398,'Sales Order'!A:I,9,FALSE),"Not Specified")</f>
        <v>Ship to 46-C</v>
      </c>
      <c r="P1398" t="str">
        <f>IFERROR(VLOOKUP(A1398,'Sales Order'!A:N,14,FALSE),"Not Specified")</f>
        <v>Venezuela</v>
      </c>
      <c r="Q1398" t="str">
        <f>VLOOKUP(VLOOKUP(B1398,Product!A:C,3,FALSE),Supplier!A:B,2,FALSE)</f>
        <v>Supplier GQRCV</v>
      </c>
      <c r="R1398" t="str">
        <f>VLOOKUP(VLOOKUP(B1398,Product!A:C,3,FALSE),Supplier!A:I,9,FALSE)</f>
        <v>Australia</v>
      </c>
      <c r="S1398" t="str">
        <f>IFERROR(IF(VLOOKUP(A1398,'Sales Order'!A:H,8,FALSE)&gt;100,"High Freight","Low Freight"),"Not Specified")</f>
        <v>Low Freight</v>
      </c>
      <c r="T1398">
        <f t="shared" si="43"/>
        <v>525</v>
      </c>
    </row>
    <row r="1399" spans="1:20">
      <c r="A1399" s="9">
        <v>10780</v>
      </c>
      <c r="B1399" s="6">
        <v>77</v>
      </c>
      <c r="C1399" s="6">
        <v>13</v>
      </c>
      <c r="D1399" s="6">
        <v>15</v>
      </c>
      <c r="E1399" s="18">
        <v>0</v>
      </c>
      <c r="F1399" s="6" t="str">
        <f>IFERROR(VLOOKUP(VLOOKUP(A1399,'Sales Order'!A:B,2,FALSE),Customer!A:C,3,FALSE),"Not Specified")</f>
        <v>Dressler, Marlies</v>
      </c>
      <c r="G1399" s="6" t="str">
        <f t="shared" si="42"/>
        <v>Dressler Marlies</v>
      </c>
      <c r="H1399" s="22" t="str">
        <f>IFERROR(VLOOKUP(VLOOKUP(A1399,'Sales Order'!A:C,3,FALSE),Employee!A:E,5,FALSE)&amp;" "&amp;VLOOKUP(VLOOKUP(A1399,'Sales Order'!A:C,3,FALSE),Employee!A:C,3,FALSE)&amp;" "&amp;VLOOKUP(VLOOKUP(A1399,'Sales Order'!A:C,3,FALSE),Employee!A:B,2,FALSE),"Not Specified")</f>
        <v>Dr. Don Funk</v>
      </c>
      <c r="I1399" t="str">
        <f>IFERROR(VLOOKUP(VLOOKUP(A1399,'Sales Order'!A:C,3,FALSE),Employee!A:J,10,FALSE),"Not Specified")</f>
        <v>WA</v>
      </c>
      <c r="J1399" t="str">
        <f>VLOOKUP(B1399,Product!A:B,2,FALSE)</f>
        <v>Product LUNZZ</v>
      </c>
      <c r="K1399" t="str">
        <f>VLOOKUP(VLOOKUP(B1399,Product!A:D,4,FALSE),Category!A:B,2,FALSE)</f>
        <v>Condiments</v>
      </c>
      <c r="L1399" s="24">
        <f>IFERROR(VLOOKUP(A1399,'Sales Order'!A:D,4,FALSE),"")</f>
        <v>39432</v>
      </c>
      <c r="M1399" s="24">
        <f>IFERROR(VLOOKUP(A1399,'Sales Order'!A:F,6,FALSE),"")</f>
        <v>39441</v>
      </c>
      <c r="N1399" t="str">
        <f>IFERROR(VLOOKUP(VLOOKUP(A1399,'Sales Order'!A:G,7,FALSE),Shipper!A:B,2,FALSE),"Not Specified")</f>
        <v>Shipper GVSUA</v>
      </c>
      <c r="O1399" t="str">
        <f>IFERROR(VLOOKUP(A1399,'Sales Order'!A:I,9,FALSE),"Not Specified")</f>
        <v>Ship to 46-C</v>
      </c>
      <c r="P1399" t="str">
        <f>IFERROR(VLOOKUP(A1399,'Sales Order'!A:N,14,FALSE),"Not Specified")</f>
        <v>Venezuela</v>
      </c>
      <c r="Q1399" t="str">
        <f>VLOOKUP(VLOOKUP(B1399,Product!A:C,3,FALSE),Supplier!A:B,2,FALSE)</f>
        <v>Supplier SVIYA</v>
      </c>
      <c r="R1399" t="str">
        <f>VLOOKUP(VLOOKUP(B1399,Product!A:C,3,FALSE),Supplier!A:I,9,FALSE)</f>
        <v>Germany</v>
      </c>
      <c r="S1399" t="str">
        <f>IFERROR(IF(VLOOKUP(A1399,'Sales Order'!A:H,8,FALSE)&gt;100,"High Freight","Low Freight"),"Not Specified")</f>
        <v>Low Freight</v>
      </c>
      <c r="T1399">
        <f t="shared" si="43"/>
        <v>195</v>
      </c>
    </row>
    <row r="1400" spans="1:20">
      <c r="A1400" s="9">
        <v>10781</v>
      </c>
      <c r="B1400" s="6">
        <v>54</v>
      </c>
      <c r="C1400" s="6">
        <v>7.45</v>
      </c>
      <c r="D1400" s="6">
        <v>3</v>
      </c>
      <c r="E1400" s="18">
        <v>0.2</v>
      </c>
      <c r="F1400" s="6" t="str">
        <f>IFERROR(VLOOKUP(VLOOKUP(A1400,'Sales Order'!A:B,2,FALSE),Customer!A:C,3,FALSE),"Not Specified")</f>
        <v>Ludwig, Michael</v>
      </c>
      <c r="G1400" s="6" t="str">
        <f t="shared" si="42"/>
        <v>Ludwig Michael</v>
      </c>
      <c r="H1400" s="22" t="str">
        <f>IFERROR(VLOOKUP(VLOOKUP(A1400,'Sales Order'!A:C,3,FALSE),Employee!A:E,5,FALSE)&amp;" "&amp;VLOOKUP(VLOOKUP(A1400,'Sales Order'!A:C,3,FALSE),Employee!A:C,3,FALSE)&amp;" "&amp;VLOOKUP(VLOOKUP(A1400,'Sales Order'!A:C,3,FALSE),Employee!A:B,2,FALSE),"Not Specified")</f>
        <v>Dr. Don Funk</v>
      </c>
      <c r="I1400" t="str">
        <f>IFERROR(VLOOKUP(VLOOKUP(A1400,'Sales Order'!A:C,3,FALSE),Employee!A:J,10,FALSE),"Not Specified")</f>
        <v>WA</v>
      </c>
      <c r="J1400" t="str">
        <f>VLOOKUP(B1400,Product!A:B,2,FALSE)</f>
        <v>Product QAQRL</v>
      </c>
      <c r="K1400" t="str">
        <f>VLOOKUP(VLOOKUP(B1400,Product!A:D,4,FALSE),Category!A:B,2,FALSE)</f>
        <v>Meat/Poultry</v>
      </c>
      <c r="L1400" s="24">
        <f>IFERROR(VLOOKUP(A1400,'Sales Order'!A:D,4,FALSE),"")</f>
        <v>39433</v>
      </c>
      <c r="M1400" s="24">
        <f>IFERROR(VLOOKUP(A1400,'Sales Order'!A:F,6,FALSE),"")</f>
        <v>39435</v>
      </c>
      <c r="N1400" t="str">
        <f>IFERROR(VLOOKUP(VLOOKUP(A1400,'Sales Order'!A:G,7,FALSE),Shipper!A:B,2,FALSE),"Not Specified")</f>
        <v>Shipper ZHISN</v>
      </c>
      <c r="O1400" t="str">
        <f>IFERROR(VLOOKUP(A1400,'Sales Order'!A:I,9,FALSE),"Not Specified")</f>
        <v>Ship to 87-A</v>
      </c>
      <c r="P1400" t="str">
        <f>IFERROR(VLOOKUP(A1400,'Sales Order'!A:N,14,FALSE),"Not Specified")</f>
        <v>Finland</v>
      </c>
      <c r="Q1400" t="str">
        <f>VLOOKUP(VLOOKUP(B1400,Product!A:C,3,FALSE),Supplier!A:B,2,FALSE)</f>
        <v>Supplier ERVYZ</v>
      </c>
      <c r="R1400" t="str">
        <f>VLOOKUP(VLOOKUP(B1400,Product!A:C,3,FALSE),Supplier!A:I,9,FALSE)</f>
        <v>Canada</v>
      </c>
      <c r="S1400" t="str">
        <f>IFERROR(IF(VLOOKUP(A1400,'Sales Order'!A:H,8,FALSE)&gt;100,"High Freight","Low Freight"),"Not Specified")</f>
        <v>Low Freight</v>
      </c>
      <c r="T1400">
        <f t="shared" si="43"/>
        <v>17.880000000000003</v>
      </c>
    </row>
    <row r="1401" spans="1:20">
      <c r="A1401" s="9">
        <v>10781</v>
      </c>
      <c r="B1401" s="6">
        <v>56</v>
      </c>
      <c r="C1401" s="6">
        <v>38</v>
      </c>
      <c r="D1401" s="6">
        <v>20</v>
      </c>
      <c r="E1401" s="18">
        <v>0.2</v>
      </c>
      <c r="F1401" s="6" t="str">
        <f>IFERROR(VLOOKUP(VLOOKUP(A1401,'Sales Order'!A:B,2,FALSE),Customer!A:C,3,FALSE),"Not Specified")</f>
        <v>Ludwig, Michael</v>
      </c>
      <c r="G1401" s="6" t="str">
        <f t="shared" si="42"/>
        <v>Ludwig Michael</v>
      </c>
      <c r="H1401" s="22" t="str">
        <f>IFERROR(VLOOKUP(VLOOKUP(A1401,'Sales Order'!A:C,3,FALSE),Employee!A:E,5,FALSE)&amp;" "&amp;VLOOKUP(VLOOKUP(A1401,'Sales Order'!A:C,3,FALSE),Employee!A:C,3,FALSE)&amp;" "&amp;VLOOKUP(VLOOKUP(A1401,'Sales Order'!A:C,3,FALSE),Employee!A:B,2,FALSE),"Not Specified")</f>
        <v>Dr. Don Funk</v>
      </c>
      <c r="I1401" t="str">
        <f>IFERROR(VLOOKUP(VLOOKUP(A1401,'Sales Order'!A:C,3,FALSE),Employee!A:J,10,FALSE),"Not Specified")</f>
        <v>WA</v>
      </c>
      <c r="J1401" t="str">
        <f>VLOOKUP(B1401,Product!A:B,2,FALSE)</f>
        <v>Product VKCMF</v>
      </c>
      <c r="K1401" t="str">
        <f>VLOOKUP(VLOOKUP(B1401,Product!A:D,4,FALSE),Category!A:B,2,FALSE)</f>
        <v>Grains/Cereals</v>
      </c>
      <c r="L1401" s="24">
        <f>IFERROR(VLOOKUP(A1401,'Sales Order'!A:D,4,FALSE),"")</f>
        <v>39433</v>
      </c>
      <c r="M1401" s="24">
        <f>IFERROR(VLOOKUP(A1401,'Sales Order'!A:F,6,FALSE),"")</f>
        <v>39435</v>
      </c>
      <c r="N1401" t="str">
        <f>IFERROR(VLOOKUP(VLOOKUP(A1401,'Sales Order'!A:G,7,FALSE),Shipper!A:B,2,FALSE),"Not Specified")</f>
        <v>Shipper ZHISN</v>
      </c>
      <c r="O1401" t="str">
        <f>IFERROR(VLOOKUP(A1401,'Sales Order'!A:I,9,FALSE),"Not Specified")</f>
        <v>Ship to 87-A</v>
      </c>
      <c r="P1401" t="str">
        <f>IFERROR(VLOOKUP(A1401,'Sales Order'!A:N,14,FALSE),"Not Specified")</f>
        <v>Finland</v>
      </c>
      <c r="Q1401" t="str">
        <f>VLOOKUP(VLOOKUP(B1401,Product!A:C,3,FALSE),Supplier!A:B,2,FALSE)</f>
        <v>Supplier ZWZDM</v>
      </c>
      <c r="R1401" t="str">
        <f>VLOOKUP(VLOOKUP(B1401,Product!A:C,3,FALSE),Supplier!A:I,9,FALSE)</f>
        <v>Italy</v>
      </c>
      <c r="S1401" t="str">
        <f>IFERROR(IF(VLOOKUP(A1401,'Sales Order'!A:H,8,FALSE)&gt;100,"High Freight","Low Freight"),"Not Specified")</f>
        <v>Low Freight</v>
      </c>
      <c r="T1401">
        <f t="shared" si="43"/>
        <v>608</v>
      </c>
    </row>
    <row r="1402" spans="1:20">
      <c r="A1402" s="9">
        <v>10781</v>
      </c>
      <c r="B1402" s="6">
        <v>74</v>
      </c>
      <c r="C1402" s="6">
        <v>10</v>
      </c>
      <c r="D1402" s="6">
        <v>35</v>
      </c>
      <c r="E1402" s="18">
        <v>0</v>
      </c>
      <c r="F1402" s="6" t="str">
        <f>IFERROR(VLOOKUP(VLOOKUP(A1402,'Sales Order'!A:B,2,FALSE),Customer!A:C,3,FALSE),"Not Specified")</f>
        <v>Ludwig, Michael</v>
      </c>
      <c r="G1402" s="6" t="str">
        <f t="shared" si="42"/>
        <v>Ludwig Michael</v>
      </c>
      <c r="H1402" s="22" t="str">
        <f>IFERROR(VLOOKUP(VLOOKUP(A1402,'Sales Order'!A:C,3,FALSE),Employee!A:E,5,FALSE)&amp;" "&amp;VLOOKUP(VLOOKUP(A1402,'Sales Order'!A:C,3,FALSE),Employee!A:C,3,FALSE)&amp;" "&amp;VLOOKUP(VLOOKUP(A1402,'Sales Order'!A:C,3,FALSE),Employee!A:B,2,FALSE),"Not Specified")</f>
        <v>Dr. Don Funk</v>
      </c>
      <c r="I1402" t="str">
        <f>IFERROR(VLOOKUP(VLOOKUP(A1402,'Sales Order'!A:C,3,FALSE),Employee!A:J,10,FALSE),"Not Specified")</f>
        <v>WA</v>
      </c>
      <c r="J1402" t="str">
        <f>VLOOKUP(B1402,Product!A:B,2,FALSE)</f>
        <v>Product BKAZJ</v>
      </c>
      <c r="K1402" t="str">
        <f>VLOOKUP(VLOOKUP(B1402,Product!A:D,4,FALSE),Category!A:B,2,FALSE)</f>
        <v>Produce</v>
      </c>
      <c r="L1402" s="24">
        <f>IFERROR(VLOOKUP(A1402,'Sales Order'!A:D,4,FALSE),"")</f>
        <v>39433</v>
      </c>
      <c r="M1402" s="24">
        <f>IFERROR(VLOOKUP(A1402,'Sales Order'!A:F,6,FALSE),"")</f>
        <v>39435</v>
      </c>
      <c r="N1402" t="str">
        <f>IFERROR(VLOOKUP(VLOOKUP(A1402,'Sales Order'!A:G,7,FALSE),Shipper!A:B,2,FALSE),"Not Specified")</f>
        <v>Shipper ZHISN</v>
      </c>
      <c r="O1402" t="str">
        <f>IFERROR(VLOOKUP(A1402,'Sales Order'!A:I,9,FALSE),"Not Specified")</f>
        <v>Ship to 87-A</v>
      </c>
      <c r="P1402" t="str">
        <f>IFERROR(VLOOKUP(A1402,'Sales Order'!A:N,14,FALSE),"Not Specified")</f>
        <v>Finland</v>
      </c>
      <c r="Q1402" t="str">
        <f>VLOOKUP(VLOOKUP(B1402,Product!A:C,3,FALSE),Supplier!A:B,2,FALSE)</f>
        <v>Supplier QOVFD</v>
      </c>
      <c r="R1402" t="str">
        <f>VLOOKUP(VLOOKUP(B1402,Product!A:C,3,FALSE),Supplier!A:I,9,FALSE)</f>
        <v>Japan</v>
      </c>
      <c r="S1402" t="str">
        <f>IFERROR(IF(VLOOKUP(A1402,'Sales Order'!A:H,8,FALSE)&gt;100,"High Freight","Low Freight"),"Not Specified")</f>
        <v>Low Freight</v>
      </c>
      <c r="T1402">
        <f t="shared" si="43"/>
        <v>350</v>
      </c>
    </row>
    <row r="1403" spans="1:20">
      <c r="A1403" s="9">
        <v>10782</v>
      </c>
      <c r="B1403" s="6">
        <v>31</v>
      </c>
      <c r="C1403" s="6">
        <v>12.5</v>
      </c>
      <c r="D1403" s="6">
        <v>1</v>
      </c>
      <c r="E1403" s="18">
        <v>0</v>
      </c>
      <c r="F1403" s="6" t="str">
        <f>IFERROR(VLOOKUP(VLOOKUP(A1403,'Sales Order'!A:B,2,FALSE),Customer!A:C,3,FALSE),"Not Specified")</f>
        <v>Ray, Mike</v>
      </c>
      <c r="G1403" s="6" t="str">
        <f t="shared" si="42"/>
        <v>Ray Mike</v>
      </c>
      <c r="H1403" s="22" t="str">
        <f>IFERROR(VLOOKUP(VLOOKUP(A1403,'Sales Order'!A:C,3,FALSE),Employee!A:E,5,FALSE)&amp;" "&amp;VLOOKUP(VLOOKUP(A1403,'Sales Order'!A:C,3,FALSE),Employee!A:C,3,FALSE)&amp;" "&amp;VLOOKUP(VLOOKUP(A1403,'Sales Order'!A:C,3,FALSE),Employee!A:B,2,FALSE),"Not Specified")</f>
        <v>Ms. Zoya Dolgopyatova</v>
      </c>
      <c r="I1403">
        <f>IFERROR(VLOOKUP(VLOOKUP(A1403,'Sales Order'!A:C,3,FALSE),Employee!A:J,10,FALSE),"Not Specified")</f>
        <v>0</v>
      </c>
      <c r="J1403" t="str">
        <f>VLOOKUP(B1403,Product!A:B,2,FALSE)</f>
        <v>Product XWOXC</v>
      </c>
      <c r="K1403" t="str">
        <f>VLOOKUP(VLOOKUP(B1403,Product!A:D,4,FALSE),Category!A:B,2,FALSE)</f>
        <v>Dairy Product</v>
      </c>
      <c r="L1403" s="24">
        <f>IFERROR(VLOOKUP(A1403,'Sales Order'!A:D,4,FALSE),"")</f>
        <v>39433</v>
      </c>
      <c r="M1403" s="24">
        <f>IFERROR(VLOOKUP(A1403,'Sales Order'!A:F,6,FALSE),"")</f>
        <v>39438</v>
      </c>
      <c r="N1403" t="str">
        <f>IFERROR(VLOOKUP(VLOOKUP(A1403,'Sales Order'!A:G,7,FALSE),Shipper!A:B,2,FALSE),"Not Specified")</f>
        <v>Shipper ZHISN</v>
      </c>
      <c r="O1403" t="str">
        <f>IFERROR(VLOOKUP(A1403,'Sales Order'!A:I,9,FALSE),"Not Specified")</f>
        <v>Destination CJDJB</v>
      </c>
      <c r="P1403" t="str">
        <f>IFERROR(VLOOKUP(A1403,'Sales Order'!A:N,14,FALSE),"Not Specified")</f>
        <v>Argentina</v>
      </c>
      <c r="Q1403" t="str">
        <f>VLOOKUP(VLOOKUP(B1403,Product!A:C,3,FALSE),Supplier!A:B,2,FALSE)</f>
        <v>Supplier KEREV</v>
      </c>
      <c r="R1403" t="str">
        <f>VLOOKUP(VLOOKUP(B1403,Product!A:C,3,FALSE),Supplier!A:I,9,FALSE)</f>
        <v>Italy</v>
      </c>
      <c r="S1403" t="str">
        <f>IFERROR(IF(VLOOKUP(A1403,'Sales Order'!A:H,8,FALSE)&gt;100,"High Freight","Low Freight"),"Not Specified")</f>
        <v>Low Freight</v>
      </c>
      <c r="T1403">
        <f t="shared" si="43"/>
        <v>12.5</v>
      </c>
    </row>
    <row r="1404" spans="1:20">
      <c r="A1404" s="9">
        <v>10783</v>
      </c>
      <c r="B1404" s="6">
        <v>31</v>
      </c>
      <c r="C1404" s="6">
        <v>12.5</v>
      </c>
      <c r="D1404" s="6">
        <v>10</v>
      </c>
      <c r="E1404" s="18">
        <v>0</v>
      </c>
      <c r="F1404" s="6" t="str">
        <f>IFERROR(VLOOKUP(VLOOKUP(A1404,'Sales Order'!A:B,2,FALSE),Customer!A:C,3,FALSE),"Not Specified")</f>
        <v>Cohen, Shy</v>
      </c>
      <c r="G1404" s="6" t="str">
        <f t="shared" si="42"/>
        <v>Cohen Shy</v>
      </c>
      <c r="H1404" s="22" t="str">
        <f>IFERROR(VLOOKUP(VLOOKUP(A1404,'Sales Order'!A:C,3,FALSE),Employee!A:E,5,FALSE)&amp;" "&amp;VLOOKUP(VLOOKUP(A1404,'Sales Order'!A:C,3,FALSE),Employee!A:C,3,FALSE)&amp;" "&amp;VLOOKUP(VLOOKUP(A1404,'Sales Order'!A:C,3,FALSE),Employee!A:B,2,FALSE),"Not Specified")</f>
        <v>Mrs. Yael Peled</v>
      </c>
      <c r="I1404" t="str">
        <f>IFERROR(VLOOKUP(VLOOKUP(A1404,'Sales Order'!A:C,3,FALSE),Employee!A:J,10,FALSE),"Not Specified")</f>
        <v>WA</v>
      </c>
      <c r="J1404" t="str">
        <f>VLOOKUP(B1404,Product!A:B,2,FALSE)</f>
        <v>Product XWOXC</v>
      </c>
      <c r="K1404" t="str">
        <f>VLOOKUP(VLOOKUP(B1404,Product!A:D,4,FALSE),Category!A:B,2,FALSE)</f>
        <v>Dairy Product</v>
      </c>
      <c r="L1404" s="24">
        <f>IFERROR(VLOOKUP(A1404,'Sales Order'!A:D,4,FALSE),"")</f>
        <v>39434</v>
      </c>
      <c r="M1404" s="24">
        <f>IFERROR(VLOOKUP(A1404,'Sales Order'!A:F,6,FALSE),"")</f>
        <v>39435</v>
      </c>
      <c r="N1404" t="str">
        <f>IFERROR(VLOOKUP(VLOOKUP(A1404,'Sales Order'!A:G,7,FALSE),Shipper!A:B,2,FALSE),"Not Specified")</f>
        <v>Shipper ETYNR</v>
      </c>
      <c r="O1404" t="str">
        <f>IFERROR(VLOOKUP(A1404,'Sales Order'!A:I,9,FALSE),"Not Specified")</f>
        <v>Destination DPCVR</v>
      </c>
      <c r="P1404" t="str">
        <f>IFERROR(VLOOKUP(A1404,'Sales Order'!A:N,14,FALSE),"Not Specified")</f>
        <v>Brazil</v>
      </c>
      <c r="Q1404" t="str">
        <f>VLOOKUP(VLOOKUP(B1404,Product!A:C,3,FALSE),Supplier!A:B,2,FALSE)</f>
        <v>Supplier KEREV</v>
      </c>
      <c r="R1404" t="str">
        <f>VLOOKUP(VLOOKUP(B1404,Product!A:C,3,FALSE),Supplier!A:I,9,FALSE)</f>
        <v>Italy</v>
      </c>
      <c r="S1404" t="str">
        <f>IFERROR(IF(VLOOKUP(A1404,'Sales Order'!A:H,8,FALSE)&gt;100,"High Freight","Low Freight"),"Not Specified")</f>
        <v>High Freight</v>
      </c>
      <c r="T1404">
        <f t="shared" si="43"/>
        <v>125</v>
      </c>
    </row>
    <row r="1405" spans="1:20">
      <c r="A1405" s="9">
        <v>10783</v>
      </c>
      <c r="B1405" s="6">
        <v>38</v>
      </c>
      <c r="C1405" s="6">
        <v>263.5</v>
      </c>
      <c r="D1405" s="6">
        <v>5</v>
      </c>
      <c r="E1405" s="18">
        <v>0</v>
      </c>
      <c r="F1405" s="6" t="str">
        <f>IFERROR(VLOOKUP(VLOOKUP(A1405,'Sales Order'!A:B,2,FALSE),Customer!A:C,3,FALSE),"Not Specified")</f>
        <v>Cohen, Shy</v>
      </c>
      <c r="G1405" s="6" t="str">
        <f t="shared" si="42"/>
        <v>Cohen Shy</v>
      </c>
      <c r="H1405" s="22" t="str">
        <f>IFERROR(VLOOKUP(VLOOKUP(A1405,'Sales Order'!A:C,3,FALSE),Employee!A:E,5,FALSE)&amp;" "&amp;VLOOKUP(VLOOKUP(A1405,'Sales Order'!A:C,3,FALSE),Employee!A:C,3,FALSE)&amp;" "&amp;VLOOKUP(VLOOKUP(A1405,'Sales Order'!A:C,3,FALSE),Employee!A:B,2,FALSE),"Not Specified")</f>
        <v>Mrs. Yael Peled</v>
      </c>
      <c r="I1405" t="str">
        <f>IFERROR(VLOOKUP(VLOOKUP(A1405,'Sales Order'!A:C,3,FALSE),Employee!A:J,10,FALSE),"Not Specified")</f>
        <v>WA</v>
      </c>
      <c r="J1405" t="str">
        <f>VLOOKUP(B1405,Product!A:B,2,FALSE)</f>
        <v>Product QDOMO</v>
      </c>
      <c r="K1405" t="str">
        <f>VLOOKUP(VLOOKUP(B1405,Product!A:D,4,FALSE),Category!A:B,2,FALSE)</f>
        <v>Beverages</v>
      </c>
      <c r="L1405" s="24">
        <f>IFERROR(VLOOKUP(A1405,'Sales Order'!A:D,4,FALSE),"")</f>
        <v>39434</v>
      </c>
      <c r="M1405" s="24">
        <f>IFERROR(VLOOKUP(A1405,'Sales Order'!A:F,6,FALSE),"")</f>
        <v>39435</v>
      </c>
      <c r="N1405" t="str">
        <f>IFERROR(VLOOKUP(VLOOKUP(A1405,'Sales Order'!A:G,7,FALSE),Shipper!A:B,2,FALSE),"Not Specified")</f>
        <v>Shipper ETYNR</v>
      </c>
      <c r="O1405" t="str">
        <f>IFERROR(VLOOKUP(A1405,'Sales Order'!A:I,9,FALSE),"Not Specified")</f>
        <v>Destination DPCVR</v>
      </c>
      <c r="P1405" t="str">
        <f>IFERROR(VLOOKUP(A1405,'Sales Order'!A:N,14,FALSE),"Not Specified")</f>
        <v>Brazil</v>
      </c>
      <c r="Q1405" t="str">
        <f>VLOOKUP(VLOOKUP(B1405,Product!A:C,3,FALSE),Supplier!A:B,2,FALSE)</f>
        <v>Supplier LVJUA</v>
      </c>
      <c r="R1405" t="str">
        <f>VLOOKUP(VLOOKUP(B1405,Product!A:C,3,FALSE),Supplier!A:I,9,FALSE)</f>
        <v>France</v>
      </c>
      <c r="S1405" t="str">
        <f>IFERROR(IF(VLOOKUP(A1405,'Sales Order'!A:H,8,FALSE)&gt;100,"High Freight","Low Freight"),"Not Specified")</f>
        <v>High Freight</v>
      </c>
      <c r="T1405">
        <f t="shared" si="43"/>
        <v>1317.5</v>
      </c>
    </row>
    <row r="1406" spans="1:20">
      <c r="A1406" s="9">
        <v>10784</v>
      </c>
      <c r="B1406" s="6">
        <v>36</v>
      </c>
      <c r="C1406" s="6">
        <v>19</v>
      </c>
      <c r="D1406" s="6">
        <v>30</v>
      </c>
      <c r="E1406" s="18">
        <v>0</v>
      </c>
      <c r="F1406" s="6" t="str">
        <f>IFERROR(VLOOKUP(VLOOKUP(A1406,'Sales Order'!A:B,2,FALSE),Customer!A:C,3,FALSE),"Not Specified")</f>
        <v>Duerr, Bernard</v>
      </c>
      <c r="G1406" s="6" t="str">
        <f t="shared" si="42"/>
        <v>Duerr Bernard</v>
      </c>
      <c r="H1406" s="22" t="str">
        <f>IFERROR(VLOOKUP(VLOOKUP(A1406,'Sales Order'!A:C,3,FALSE),Employee!A:E,5,FALSE)&amp;" "&amp;VLOOKUP(VLOOKUP(A1406,'Sales Order'!A:C,3,FALSE),Employee!A:C,3,FALSE)&amp;" "&amp;VLOOKUP(VLOOKUP(A1406,'Sales Order'!A:C,3,FALSE),Employee!A:B,2,FALSE),"Not Specified")</f>
        <v>Mrs. Yael Peled</v>
      </c>
      <c r="I1406" t="str">
        <f>IFERROR(VLOOKUP(VLOOKUP(A1406,'Sales Order'!A:C,3,FALSE),Employee!A:J,10,FALSE),"Not Specified")</f>
        <v>WA</v>
      </c>
      <c r="J1406" t="str">
        <f>VLOOKUP(B1406,Product!A:B,2,FALSE)</f>
        <v>Product GMKIJ</v>
      </c>
      <c r="K1406" t="str">
        <f>VLOOKUP(VLOOKUP(B1406,Product!A:D,4,FALSE),Category!A:B,2,FALSE)</f>
        <v>Seafood</v>
      </c>
      <c r="L1406" s="24">
        <f>IFERROR(VLOOKUP(A1406,'Sales Order'!A:D,4,FALSE),"")</f>
        <v>39434</v>
      </c>
      <c r="M1406" s="24">
        <f>IFERROR(VLOOKUP(A1406,'Sales Order'!A:F,6,FALSE),"")</f>
        <v>39438</v>
      </c>
      <c r="N1406" t="str">
        <f>IFERROR(VLOOKUP(VLOOKUP(A1406,'Sales Order'!A:G,7,FALSE),Shipper!A:B,2,FALSE),"Not Specified")</f>
        <v>Shipper ZHISN</v>
      </c>
      <c r="O1406" t="str">
        <f>IFERROR(VLOOKUP(A1406,'Sales Order'!A:I,9,FALSE),"Not Specified")</f>
        <v>Ship to 49-A</v>
      </c>
      <c r="P1406" t="str">
        <f>IFERROR(VLOOKUP(A1406,'Sales Order'!A:N,14,FALSE),"Not Specified")</f>
        <v>Italy</v>
      </c>
      <c r="Q1406" t="str">
        <f>VLOOKUP(VLOOKUP(B1406,Product!A:C,3,FALSE),Supplier!A:B,2,FALSE)</f>
        <v>Supplier QZGUF</v>
      </c>
      <c r="R1406" t="str">
        <f>VLOOKUP(VLOOKUP(B1406,Product!A:C,3,FALSE),Supplier!A:I,9,FALSE)</f>
        <v>Sweden</v>
      </c>
      <c r="S1406" t="str">
        <f>IFERROR(IF(VLOOKUP(A1406,'Sales Order'!A:H,8,FALSE)&gt;100,"High Freight","Low Freight"),"Not Specified")</f>
        <v>Low Freight</v>
      </c>
      <c r="T1406">
        <f t="shared" si="43"/>
        <v>570</v>
      </c>
    </row>
    <row r="1407" spans="1:20">
      <c r="A1407" s="9">
        <v>10784</v>
      </c>
      <c r="B1407" s="6">
        <v>39</v>
      </c>
      <c r="C1407" s="6">
        <v>18</v>
      </c>
      <c r="D1407" s="6">
        <v>2</v>
      </c>
      <c r="E1407" s="18">
        <v>0.15</v>
      </c>
      <c r="F1407" s="6" t="str">
        <f>IFERROR(VLOOKUP(VLOOKUP(A1407,'Sales Order'!A:B,2,FALSE),Customer!A:C,3,FALSE),"Not Specified")</f>
        <v>Duerr, Bernard</v>
      </c>
      <c r="G1407" s="6" t="str">
        <f t="shared" si="42"/>
        <v>Duerr Bernard</v>
      </c>
      <c r="H1407" s="22" t="str">
        <f>IFERROR(VLOOKUP(VLOOKUP(A1407,'Sales Order'!A:C,3,FALSE),Employee!A:E,5,FALSE)&amp;" "&amp;VLOOKUP(VLOOKUP(A1407,'Sales Order'!A:C,3,FALSE),Employee!A:C,3,FALSE)&amp;" "&amp;VLOOKUP(VLOOKUP(A1407,'Sales Order'!A:C,3,FALSE),Employee!A:B,2,FALSE),"Not Specified")</f>
        <v>Mrs. Yael Peled</v>
      </c>
      <c r="I1407" t="str">
        <f>IFERROR(VLOOKUP(VLOOKUP(A1407,'Sales Order'!A:C,3,FALSE),Employee!A:J,10,FALSE),"Not Specified")</f>
        <v>WA</v>
      </c>
      <c r="J1407" t="str">
        <f>VLOOKUP(B1407,Product!A:B,2,FALSE)</f>
        <v>Product LSOFL</v>
      </c>
      <c r="K1407" t="str">
        <f>VLOOKUP(VLOOKUP(B1407,Product!A:D,4,FALSE),Category!A:B,2,FALSE)</f>
        <v>Beverages</v>
      </c>
      <c r="L1407" s="24">
        <f>IFERROR(VLOOKUP(A1407,'Sales Order'!A:D,4,FALSE),"")</f>
        <v>39434</v>
      </c>
      <c r="M1407" s="24">
        <f>IFERROR(VLOOKUP(A1407,'Sales Order'!A:F,6,FALSE),"")</f>
        <v>39438</v>
      </c>
      <c r="N1407" t="str">
        <f>IFERROR(VLOOKUP(VLOOKUP(A1407,'Sales Order'!A:G,7,FALSE),Shipper!A:B,2,FALSE),"Not Specified")</f>
        <v>Shipper ZHISN</v>
      </c>
      <c r="O1407" t="str">
        <f>IFERROR(VLOOKUP(A1407,'Sales Order'!A:I,9,FALSE),"Not Specified")</f>
        <v>Ship to 49-A</v>
      </c>
      <c r="P1407" t="str">
        <f>IFERROR(VLOOKUP(A1407,'Sales Order'!A:N,14,FALSE),"Not Specified")</f>
        <v>Italy</v>
      </c>
      <c r="Q1407" t="str">
        <f>VLOOKUP(VLOOKUP(B1407,Product!A:C,3,FALSE),Supplier!A:B,2,FALSE)</f>
        <v>Supplier LVJUA</v>
      </c>
      <c r="R1407" t="str">
        <f>VLOOKUP(VLOOKUP(B1407,Product!A:C,3,FALSE),Supplier!A:I,9,FALSE)</f>
        <v>France</v>
      </c>
      <c r="S1407" t="str">
        <f>IFERROR(IF(VLOOKUP(A1407,'Sales Order'!A:H,8,FALSE)&gt;100,"High Freight","Low Freight"),"Not Specified")</f>
        <v>Low Freight</v>
      </c>
      <c r="T1407">
        <f t="shared" si="43"/>
        <v>30.599999999999998</v>
      </c>
    </row>
    <row r="1408" spans="1:20">
      <c r="A1408" s="9">
        <v>10784</v>
      </c>
      <c r="B1408" s="6">
        <v>72</v>
      </c>
      <c r="C1408" s="6">
        <v>34.799999999999997</v>
      </c>
      <c r="D1408" s="6">
        <v>30</v>
      </c>
      <c r="E1408" s="18">
        <v>0.15</v>
      </c>
      <c r="F1408" s="6" t="str">
        <f>IFERROR(VLOOKUP(VLOOKUP(A1408,'Sales Order'!A:B,2,FALSE),Customer!A:C,3,FALSE),"Not Specified")</f>
        <v>Duerr, Bernard</v>
      </c>
      <c r="G1408" s="6" t="str">
        <f t="shared" si="42"/>
        <v>Duerr Bernard</v>
      </c>
      <c r="H1408" s="22" t="str">
        <f>IFERROR(VLOOKUP(VLOOKUP(A1408,'Sales Order'!A:C,3,FALSE),Employee!A:E,5,FALSE)&amp;" "&amp;VLOOKUP(VLOOKUP(A1408,'Sales Order'!A:C,3,FALSE),Employee!A:C,3,FALSE)&amp;" "&amp;VLOOKUP(VLOOKUP(A1408,'Sales Order'!A:C,3,FALSE),Employee!A:B,2,FALSE),"Not Specified")</f>
        <v>Mrs. Yael Peled</v>
      </c>
      <c r="I1408" t="str">
        <f>IFERROR(VLOOKUP(VLOOKUP(A1408,'Sales Order'!A:C,3,FALSE),Employee!A:J,10,FALSE),"Not Specified")</f>
        <v>WA</v>
      </c>
      <c r="J1408" t="str">
        <f>VLOOKUP(B1408,Product!A:B,2,FALSE)</f>
        <v>Product GEEOO</v>
      </c>
      <c r="K1408" t="str">
        <f>VLOOKUP(VLOOKUP(B1408,Product!A:D,4,FALSE),Category!A:B,2,FALSE)</f>
        <v>Dairy Product</v>
      </c>
      <c r="L1408" s="24">
        <f>IFERROR(VLOOKUP(A1408,'Sales Order'!A:D,4,FALSE),"")</f>
        <v>39434</v>
      </c>
      <c r="M1408" s="24">
        <f>IFERROR(VLOOKUP(A1408,'Sales Order'!A:F,6,FALSE),"")</f>
        <v>39438</v>
      </c>
      <c r="N1408" t="str">
        <f>IFERROR(VLOOKUP(VLOOKUP(A1408,'Sales Order'!A:G,7,FALSE),Shipper!A:B,2,FALSE),"Not Specified")</f>
        <v>Shipper ZHISN</v>
      </c>
      <c r="O1408" t="str">
        <f>IFERROR(VLOOKUP(A1408,'Sales Order'!A:I,9,FALSE),"Not Specified")</f>
        <v>Ship to 49-A</v>
      </c>
      <c r="P1408" t="str">
        <f>IFERROR(VLOOKUP(A1408,'Sales Order'!A:N,14,FALSE),"Not Specified")</f>
        <v>Italy</v>
      </c>
      <c r="Q1408" t="str">
        <f>VLOOKUP(VLOOKUP(B1408,Product!A:C,3,FALSE),Supplier!A:B,2,FALSE)</f>
        <v>Supplier KEREV</v>
      </c>
      <c r="R1408" t="str">
        <f>VLOOKUP(VLOOKUP(B1408,Product!A:C,3,FALSE),Supplier!A:I,9,FALSE)</f>
        <v>Italy</v>
      </c>
      <c r="S1408" t="str">
        <f>IFERROR(IF(VLOOKUP(A1408,'Sales Order'!A:H,8,FALSE)&gt;100,"High Freight","Low Freight"),"Not Specified")</f>
        <v>Low Freight</v>
      </c>
      <c r="T1408">
        <f t="shared" si="43"/>
        <v>887.4</v>
      </c>
    </row>
    <row r="1409" spans="1:20">
      <c r="A1409" s="9">
        <v>10785</v>
      </c>
      <c r="B1409" s="6">
        <v>10</v>
      </c>
      <c r="C1409" s="6">
        <v>31</v>
      </c>
      <c r="D1409" s="6">
        <v>10</v>
      </c>
      <c r="E1409" s="18">
        <v>0</v>
      </c>
      <c r="F1409" s="6" t="str">
        <f>IFERROR(VLOOKUP(VLOOKUP(A1409,'Sales Order'!A:B,2,FALSE),Customer!A:C,3,FALSE),"Not Specified")</f>
        <v>Sigurdarson, Hallur</v>
      </c>
      <c r="G1409" s="6" t="str">
        <f t="shared" si="42"/>
        <v>Sigurdarson Hallur</v>
      </c>
      <c r="H1409" s="22" t="str">
        <f>IFERROR(VLOOKUP(VLOOKUP(A1409,'Sales Order'!A:C,3,FALSE),Employee!A:E,5,FALSE)&amp;" "&amp;VLOOKUP(VLOOKUP(A1409,'Sales Order'!A:C,3,FALSE),Employee!A:C,3,FALSE)&amp;" "&amp;VLOOKUP(VLOOKUP(A1409,'Sales Order'!A:C,3,FALSE),Employee!A:B,2,FALSE),"Not Specified")</f>
        <v>Ms. Sara Davis</v>
      </c>
      <c r="I1409" t="str">
        <f>IFERROR(VLOOKUP(VLOOKUP(A1409,'Sales Order'!A:C,3,FALSE),Employee!A:J,10,FALSE),"Not Specified")</f>
        <v>WA</v>
      </c>
      <c r="J1409" t="str">
        <f>VLOOKUP(B1409,Product!A:B,2,FALSE)</f>
        <v>Product YHXGE</v>
      </c>
      <c r="K1409" t="str">
        <f>VLOOKUP(VLOOKUP(B1409,Product!A:D,4,FALSE),Category!A:B,2,FALSE)</f>
        <v>Seafood</v>
      </c>
      <c r="L1409" s="24">
        <f>IFERROR(VLOOKUP(A1409,'Sales Order'!A:D,4,FALSE),"")</f>
        <v>39434</v>
      </c>
      <c r="M1409" s="24">
        <f>IFERROR(VLOOKUP(A1409,'Sales Order'!A:F,6,FALSE),"")</f>
        <v>39440</v>
      </c>
      <c r="N1409" t="str">
        <f>IFERROR(VLOOKUP(VLOOKUP(A1409,'Sales Order'!A:G,7,FALSE),Shipper!A:B,2,FALSE),"Not Specified")</f>
        <v>Shipper ZHISN</v>
      </c>
      <c r="O1409" t="str">
        <f>IFERROR(VLOOKUP(A1409,'Sales Order'!A:I,9,FALSE),"Not Specified")</f>
        <v>Destination FQJFJ</v>
      </c>
      <c r="P1409" t="str">
        <f>IFERROR(VLOOKUP(A1409,'Sales Order'!A:N,14,FALSE),"Not Specified")</f>
        <v>Venezuela</v>
      </c>
      <c r="Q1409" t="str">
        <f>VLOOKUP(VLOOKUP(B1409,Product!A:C,3,FALSE),Supplier!A:B,2,FALSE)</f>
        <v>Supplier QOVFD</v>
      </c>
      <c r="R1409" t="str">
        <f>VLOOKUP(VLOOKUP(B1409,Product!A:C,3,FALSE),Supplier!A:I,9,FALSE)</f>
        <v>Japan</v>
      </c>
      <c r="S1409" t="str">
        <f>IFERROR(IF(VLOOKUP(A1409,'Sales Order'!A:H,8,FALSE)&gt;100,"High Freight","Low Freight"),"Not Specified")</f>
        <v>Low Freight</v>
      </c>
      <c r="T1409">
        <f t="shared" si="43"/>
        <v>310</v>
      </c>
    </row>
    <row r="1410" spans="1:20">
      <c r="A1410" s="9">
        <v>10785</v>
      </c>
      <c r="B1410" s="6">
        <v>75</v>
      </c>
      <c r="C1410" s="6">
        <v>7.75</v>
      </c>
      <c r="D1410" s="6">
        <v>10</v>
      </c>
      <c r="E1410" s="18">
        <v>0</v>
      </c>
      <c r="F1410" s="6" t="str">
        <f>IFERROR(VLOOKUP(VLOOKUP(A1410,'Sales Order'!A:B,2,FALSE),Customer!A:C,3,FALSE),"Not Specified")</f>
        <v>Sigurdarson, Hallur</v>
      </c>
      <c r="G1410" s="6" t="str">
        <f t="shared" si="42"/>
        <v>Sigurdarson Hallur</v>
      </c>
      <c r="H1410" s="22" t="str">
        <f>IFERROR(VLOOKUP(VLOOKUP(A1410,'Sales Order'!A:C,3,FALSE),Employee!A:E,5,FALSE)&amp;" "&amp;VLOOKUP(VLOOKUP(A1410,'Sales Order'!A:C,3,FALSE),Employee!A:C,3,FALSE)&amp;" "&amp;VLOOKUP(VLOOKUP(A1410,'Sales Order'!A:C,3,FALSE),Employee!A:B,2,FALSE),"Not Specified")</f>
        <v>Ms. Sara Davis</v>
      </c>
      <c r="I1410" t="str">
        <f>IFERROR(VLOOKUP(VLOOKUP(A1410,'Sales Order'!A:C,3,FALSE),Employee!A:J,10,FALSE),"Not Specified")</f>
        <v>WA</v>
      </c>
      <c r="J1410" t="str">
        <f>VLOOKUP(B1410,Product!A:B,2,FALSE)</f>
        <v>Product BWRLG</v>
      </c>
      <c r="K1410" t="str">
        <f>VLOOKUP(VLOOKUP(B1410,Product!A:D,4,FALSE),Category!A:B,2,FALSE)</f>
        <v>Beverages</v>
      </c>
      <c r="L1410" s="24">
        <f>IFERROR(VLOOKUP(A1410,'Sales Order'!A:D,4,FALSE),"")</f>
        <v>39434</v>
      </c>
      <c r="M1410" s="24">
        <f>IFERROR(VLOOKUP(A1410,'Sales Order'!A:F,6,FALSE),"")</f>
        <v>39440</v>
      </c>
      <c r="N1410" t="str">
        <f>IFERROR(VLOOKUP(VLOOKUP(A1410,'Sales Order'!A:G,7,FALSE),Shipper!A:B,2,FALSE),"Not Specified")</f>
        <v>Shipper ZHISN</v>
      </c>
      <c r="O1410" t="str">
        <f>IFERROR(VLOOKUP(A1410,'Sales Order'!A:I,9,FALSE),"Not Specified")</f>
        <v>Destination FQJFJ</v>
      </c>
      <c r="P1410" t="str">
        <f>IFERROR(VLOOKUP(A1410,'Sales Order'!A:N,14,FALSE),"Not Specified")</f>
        <v>Venezuela</v>
      </c>
      <c r="Q1410" t="str">
        <f>VLOOKUP(VLOOKUP(B1410,Product!A:C,3,FALSE),Supplier!A:B,2,FALSE)</f>
        <v>Supplier SVIYA</v>
      </c>
      <c r="R1410" t="str">
        <f>VLOOKUP(VLOOKUP(B1410,Product!A:C,3,FALSE),Supplier!A:I,9,FALSE)</f>
        <v>Germany</v>
      </c>
      <c r="S1410" t="str">
        <f>IFERROR(IF(VLOOKUP(A1410,'Sales Order'!A:H,8,FALSE)&gt;100,"High Freight","Low Freight"),"Not Specified")</f>
        <v>Low Freight</v>
      </c>
      <c r="T1410">
        <f t="shared" si="43"/>
        <v>77.5</v>
      </c>
    </row>
    <row r="1411" spans="1:20">
      <c r="A1411" s="9">
        <v>10786</v>
      </c>
      <c r="B1411" s="6">
        <v>8</v>
      </c>
      <c r="C1411" s="6">
        <v>40</v>
      </c>
      <c r="D1411" s="6">
        <v>30</v>
      </c>
      <c r="E1411" s="18">
        <v>0.2</v>
      </c>
      <c r="F1411" s="6" t="str">
        <f>IFERROR(VLOOKUP(VLOOKUP(A1411,'Sales Order'!A:B,2,FALSE),Customer!A:C,3,FALSE),"Not Specified")</f>
        <v>Misiec, Anna</v>
      </c>
      <c r="G1411" s="6" t="str">
        <f t="shared" ref="G1411:G1474" si="44">SUBSTITUTE(F1411,",","",1)</f>
        <v>Misiec Anna</v>
      </c>
      <c r="H1411" s="22" t="str">
        <f>IFERROR(VLOOKUP(VLOOKUP(A1411,'Sales Order'!A:C,3,FALSE),Employee!A:E,5,FALSE)&amp;" "&amp;VLOOKUP(VLOOKUP(A1411,'Sales Order'!A:C,3,FALSE),Employee!A:C,3,FALSE)&amp;" "&amp;VLOOKUP(VLOOKUP(A1411,'Sales Order'!A:C,3,FALSE),Employee!A:B,2,FALSE),"Not Specified")</f>
        <v>Ms. Maria Cameron</v>
      </c>
      <c r="I1411" t="str">
        <f>IFERROR(VLOOKUP(VLOOKUP(A1411,'Sales Order'!A:C,3,FALSE),Employee!A:J,10,FALSE),"Not Specified")</f>
        <v>WA</v>
      </c>
      <c r="J1411" t="str">
        <f>VLOOKUP(B1411,Product!A:B,2,FALSE)</f>
        <v>Product WVJFP</v>
      </c>
      <c r="K1411" t="str">
        <f>VLOOKUP(VLOOKUP(B1411,Product!A:D,4,FALSE),Category!A:B,2,FALSE)</f>
        <v>Condiments</v>
      </c>
      <c r="L1411" s="24">
        <f>IFERROR(VLOOKUP(A1411,'Sales Order'!A:D,4,FALSE),"")</f>
        <v>39435</v>
      </c>
      <c r="M1411" s="24">
        <f>IFERROR(VLOOKUP(A1411,'Sales Order'!A:F,6,FALSE),"")</f>
        <v>39439</v>
      </c>
      <c r="N1411" t="str">
        <f>IFERROR(VLOOKUP(VLOOKUP(A1411,'Sales Order'!A:G,7,FALSE),Shipper!A:B,2,FALSE),"Not Specified")</f>
        <v>Shipper GVSUA</v>
      </c>
      <c r="O1411" t="str">
        <f>IFERROR(VLOOKUP(A1411,'Sales Order'!A:I,9,FALSE),"Not Specified")</f>
        <v>Ship to 62-B</v>
      </c>
      <c r="P1411" t="str">
        <f>IFERROR(VLOOKUP(A1411,'Sales Order'!A:N,14,FALSE),"Not Specified")</f>
        <v>Brazil</v>
      </c>
      <c r="Q1411" t="str">
        <f>VLOOKUP(VLOOKUP(B1411,Product!A:C,3,FALSE),Supplier!A:B,2,FALSE)</f>
        <v>Supplier STUAZ</v>
      </c>
      <c r="R1411" t="str">
        <f>VLOOKUP(VLOOKUP(B1411,Product!A:C,3,FALSE),Supplier!A:I,9,FALSE)</f>
        <v>USA</v>
      </c>
      <c r="S1411" t="str">
        <f>IFERROR(IF(VLOOKUP(A1411,'Sales Order'!A:H,8,FALSE)&gt;100,"High Freight","Low Freight"),"Not Specified")</f>
        <v>High Freight</v>
      </c>
      <c r="T1411">
        <f t="shared" ref="T1411:T1474" si="45">C1411*D1411*(1-E1411)</f>
        <v>960</v>
      </c>
    </row>
    <row r="1412" spans="1:20">
      <c r="A1412" s="9">
        <v>10786</v>
      </c>
      <c r="B1412" s="6">
        <v>30</v>
      </c>
      <c r="C1412" s="6">
        <v>25.89</v>
      </c>
      <c r="D1412" s="6">
        <v>15</v>
      </c>
      <c r="E1412" s="18">
        <v>0.2</v>
      </c>
      <c r="F1412" s="6" t="str">
        <f>IFERROR(VLOOKUP(VLOOKUP(A1412,'Sales Order'!A:B,2,FALSE),Customer!A:C,3,FALSE),"Not Specified")</f>
        <v>Misiec, Anna</v>
      </c>
      <c r="G1412" s="6" t="str">
        <f t="shared" si="44"/>
        <v>Misiec Anna</v>
      </c>
      <c r="H1412" s="22" t="str">
        <f>IFERROR(VLOOKUP(VLOOKUP(A1412,'Sales Order'!A:C,3,FALSE),Employee!A:E,5,FALSE)&amp;" "&amp;VLOOKUP(VLOOKUP(A1412,'Sales Order'!A:C,3,FALSE),Employee!A:C,3,FALSE)&amp;" "&amp;VLOOKUP(VLOOKUP(A1412,'Sales Order'!A:C,3,FALSE),Employee!A:B,2,FALSE),"Not Specified")</f>
        <v>Ms. Maria Cameron</v>
      </c>
      <c r="I1412" t="str">
        <f>IFERROR(VLOOKUP(VLOOKUP(A1412,'Sales Order'!A:C,3,FALSE),Employee!A:J,10,FALSE),"Not Specified")</f>
        <v>WA</v>
      </c>
      <c r="J1412" t="str">
        <f>VLOOKUP(B1412,Product!A:B,2,FALSE)</f>
        <v>Product LYERX</v>
      </c>
      <c r="K1412" t="str">
        <f>VLOOKUP(VLOOKUP(B1412,Product!A:D,4,FALSE),Category!A:B,2,FALSE)</f>
        <v>Seafood</v>
      </c>
      <c r="L1412" s="24">
        <f>IFERROR(VLOOKUP(A1412,'Sales Order'!A:D,4,FALSE),"")</f>
        <v>39435</v>
      </c>
      <c r="M1412" s="24">
        <f>IFERROR(VLOOKUP(A1412,'Sales Order'!A:F,6,FALSE),"")</f>
        <v>39439</v>
      </c>
      <c r="N1412" t="str">
        <f>IFERROR(VLOOKUP(VLOOKUP(A1412,'Sales Order'!A:G,7,FALSE),Shipper!A:B,2,FALSE),"Not Specified")</f>
        <v>Shipper GVSUA</v>
      </c>
      <c r="O1412" t="str">
        <f>IFERROR(VLOOKUP(A1412,'Sales Order'!A:I,9,FALSE),"Not Specified")</f>
        <v>Ship to 62-B</v>
      </c>
      <c r="P1412" t="str">
        <f>IFERROR(VLOOKUP(A1412,'Sales Order'!A:N,14,FALSE),"Not Specified")</f>
        <v>Brazil</v>
      </c>
      <c r="Q1412" t="str">
        <f>VLOOKUP(VLOOKUP(B1412,Product!A:C,3,FALSE),Supplier!A:B,2,FALSE)</f>
        <v>Supplier TEGSC</v>
      </c>
      <c r="R1412" t="str">
        <f>VLOOKUP(VLOOKUP(B1412,Product!A:C,3,FALSE),Supplier!A:I,9,FALSE)</f>
        <v>Germany</v>
      </c>
      <c r="S1412" t="str">
        <f>IFERROR(IF(VLOOKUP(A1412,'Sales Order'!A:H,8,FALSE)&gt;100,"High Freight","Low Freight"),"Not Specified")</f>
        <v>High Freight</v>
      </c>
      <c r="T1412">
        <f t="shared" si="45"/>
        <v>310.68000000000006</v>
      </c>
    </row>
    <row r="1413" spans="1:20">
      <c r="A1413" s="9">
        <v>10786</v>
      </c>
      <c r="B1413" s="6">
        <v>75</v>
      </c>
      <c r="C1413" s="6">
        <v>7.75</v>
      </c>
      <c r="D1413" s="6">
        <v>42</v>
      </c>
      <c r="E1413" s="18">
        <v>0.2</v>
      </c>
      <c r="F1413" s="6" t="str">
        <f>IFERROR(VLOOKUP(VLOOKUP(A1413,'Sales Order'!A:B,2,FALSE),Customer!A:C,3,FALSE),"Not Specified")</f>
        <v>Misiec, Anna</v>
      </c>
      <c r="G1413" s="6" t="str">
        <f t="shared" si="44"/>
        <v>Misiec Anna</v>
      </c>
      <c r="H1413" s="22" t="str">
        <f>IFERROR(VLOOKUP(VLOOKUP(A1413,'Sales Order'!A:C,3,FALSE),Employee!A:E,5,FALSE)&amp;" "&amp;VLOOKUP(VLOOKUP(A1413,'Sales Order'!A:C,3,FALSE),Employee!A:C,3,FALSE)&amp;" "&amp;VLOOKUP(VLOOKUP(A1413,'Sales Order'!A:C,3,FALSE),Employee!A:B,2,FALSE),"Not Specified")</f>
        <v>Ms. Maria Cameron</v>
      </c>
      <c r="I1413" t="str">
        <f>IFERROR(VLOOKUP(VLOOKUP(A1413,'Sales Order'!A:C,3,FALSE),Employee!A:J,10,FALSE),"Not Specified")</f>
        <v>WA</v>
      </c>
      <c r="J1413" t="str">
        <f>VLOOKUP(B1413,Product!A:B,2,FALSE)</f>
        <v>Product BWRLG</v>
      </c>
      <c r="K1413" t="str">
        <f>VLOOKUP(VLOOKUP(B1413,Product!A:D,4,FALSE),Category!A:B,2,FALSE)</f>
        <v>Beverages</v>
      </c>
      <c r="L1413" s="24">
        <f>IFERROR(VLOOKUP(A1413,'Sales Order'!A:D,4,FALSE),"")</f>
        <v>39435</v>
      </c>
      <c r="M1413" s="24">
        <f>IFERROR(VLOOKUP(A1413,'Sales Order'!A:F,6,FALSE),"")</f>
        <v>39439</v>
      </c>
      <c r="N1413" t="str">
        <f>IFERROR(VLOOKUP(VLOOKUP(A1413,'Sales Order'!A:G,7,FALSE),Shipper!A:B,2,FALSE),"Not Specified")</f>
        <v>Shipper GVSUA</v>
      </c>
      <c r="O1413" t="str">
        <f>IFERROR(VLOOKUP(A1413,'Sales Order'!A:I,9,FALSE),"Not Specified")</f>
        <v>Ship to 62-B</v>
      </c>
      <c r="P1413" t="str">
        <f>IFERROR(VLOOKUP(A1413,'Sales Order'!A:N,14,FALSE),"Not Specified")</f>
        <v>Brazil</v>
      </c>
      <c r="Q1413" t="str">
        <f>VLOOKUP(VLOOKUP(B1413,Product!A:C,3,FALSE),Supplier!A:B,2,FALSE)</f>
        <v>Supplier SVIYA</v>
      </c>
      <c r="R1413" t="str">
        <f>VLOOKUP(VLOOKUP(B1413,Product!A:C,3,FALSE),Supplier!A:I,9,FALSE)</f>
        <v>Germany</v>
      </c>
      <c r="S1413" t="str">
        <f>IFERROR(IF(VLOOKUP(A1413,'Sales Order'!A:H,8,FALSE)&gt;100,"High Freight","Low Freight"),"Not Specified")</f>
        <v>High Freight</v>
      </c>
      <c r="T1413">
        <f t="shared" si="45"/>
        <v>260.40000000000003</v>
      </c>
    </row>
    <row r="1414" spans="1:20">
      <c r="A1414" s="9">
        <v>10787</v>
      </c>
      <c r="B1414" s="6">
        <v>2</v>
      </c>
      <c r="C1414" s="6">
        <v>19</v>
      </c>
      <c r="D1414" s="6">
        <v>15</v>
      </c>
      <c r="E1414" s="18">
        <v>0.05</v>
      </c>
      <c r="F1414" s="6" t="str">
        <f>IFERROR(VLOOKUP(VLOOKUP(A1414,'Sales Order'!A:B,2,FALSE),Customer!A:C,3,FALSE),"Not Specified")</f>
        <v>Litton, Tim</v>
      </c>
      <c r="G1414" s="6" t="str">
        <f t="shared" si="44"/>
        <v>Litton Tim</v>
      </c>
      <c r="H1414" s="22" t="str">
        <f>IFERROR(VLOOKUP(VLOOKUP(A1414,'Sales Order'!A:C,3,FALSE),Employee!A:E,5,FALSE)&amp;" "&amp;VLOOKUP(VLOOKUP(A1414,'Sales Order'!A:C,3,FALSE),Employee!A:C,3,FALSE)&amp;" "&amp;VLOOKUP(VLOOKUP(A1414,'Sales Order'!A:C,3,FALSE),Employee!A:B,2,FALSE),"Not Specified")</f>
        <v>Dr. Don Funk</v>
      </c>
      <c r="I1414" t="str">
        <f>IFERROR(VLOOKUP(VLOOKUP(A1414,'Sales Order'!A:C,3,FALSE),Employee!A:J,10,FALSE),"Not Specified")</f>
        <v>WA</v>
      </c>
      <c r="J1414" t="str">
        <f>VLOOKUP(B1414,Product!A:B,2,FALSE)</f>
        <v>Product RECZE</v>
      </c>
      <c r="K1414" t="str">
        <f>VLOOKUP(VLOOKUP(B1414,Product!A:D,4,FALSE),Category!A:B,2,FALSE)</f>
        <v>Beverages</v>
      </c>
      <c r="L1414" s="24">
        <f>IFERROR(VLOOKUP(A1414,'Sales Order'!A:D,4,FALSE),"")</f>
        <v>39435</v>
      </c>
      <c r="M1414" s="24">
        <f>IFERROR(VLOOKUP(A1414,'Sales Order'!A:F,6,FALSE),"")</f>
        <v>39442</v>
      </c>
      <c r="N1414" t="str">
        <f>IFERROR(VLOOKUP(VLOOKUP(A1414,'Sales Order'!A:G,7,FALSE),Shipper!A:B,2,FALSE),"Not Specified")</f>
        <v>Shipper GVSUA</v>
      </c>
      <c r="O1414" t="str">
        <f>IFERROR(VLOOKUP(A1414,'Sales Order'!A:I,9,FALSE),"Not Specified")</f>
        <v>Destination DWJIO</v>
      </c>
      <c r="P1414" t="str">
        <f>IFERROR(VLOOKUP(A1414,'Sales Order'!A:N,14,FALSE),"Not Specified")</f>
        <v>France</v>
      </c>
      <c r="Q1414" t="str">
        <f>VLOOKUP(VLOOKUP(B1414,Product!A:C,3,FALSE),Supplier!A:B,2,FALSE)</f>
        <v>Supplier SWRXU</v>
      </c>
      <c r="R1414" t="str">
        <f>VLOOKUP(VLOOKUP(B1414,Product!A:C,3,FALSE),Supplier!A:I,9,FALSE)</f>
        <v>UK</v>
      </c>
      <c r="S1414" t="str">
        <f>IFERROR(IF(VLOOKUP(A1414,'Sales Order'!A:H,8,FALSE)&gt;100,"High Freight","Low Freight"),"Not Specified")</f>
        <v>High Freight</v>
      </c>
      <c r="T1414">
        <f t="shared" si="45"/>
        <v>270.75</v>
      </c>
    </row>
    <row r="1415" spans="1:20">
      <c r="A1415" s="9">
        <v>10787</v>
      </c>
      <c r="B1415" s="6">
        <v>29</v>
      </c>
      <c r="C1415" s="6">
        <v>123.79</v>
      </c>
      <c r="D1415" s="6">
        <v>20</v>
      </c>
      <c r="E1415" s="18">
        <v>0.05</v>
      </c>
      <c r="F1415" s="6" t="str">
        <f>IFERROR(VLOOKUP(VLOOKUP(A1415,'Sales Order'!A:B,2,FALSE),Customer!A:C,3,FALSE),"Not Specified")</f>
        <v>Litton, Tim</v>
      </c>
      <c r="G1415" s="6" t="str">
        <f t="shared" si="44"/>
        <v>Litton Tim</v>
      </c>
      <c r="H1415" s="22" t="str">
        <f>IFERROR(VLOOKUP(VLOOKUP(A1415,'Sales Order'!A:C,3,FALSE),Employee!A:E,5,FALSE)&amp;" "&amp;VLOOKUP(VLOOKUP(A1415,'Sales Order'!A:C,3,FALSE),Employee!A:C,3,FALSE)&amp;" "&amp;VLOOKUP(VLOOKUP(A1415,'Sales Order'!A:C,3,FALSE),Employee!A:B,2,FALSE),"Not Specified")</f>
        <v>Dr. Don Funk</v>
      </c>
      <c r="I1415" t="str">
        <f>IFERROR(VLOOKUP(VLOOKUP(A1415,'Sales Order'!A:C,3,FALSE),Employee!A:J,10,FALSE),"Not Specified")</f>
        <v>WA</v>
      </c>
      <c r="J1415" t="str">
        <f>VLOOKUP(B1415,Product!A:B,2,FALSE)</f>
        <v>Product VJXYN</v>
      </c>
      <c r="K1415" t="str">
        <f>VLOOKUP(VLOOKUP(B1415,Product!A:D,4,FALSE),Category!A:B,2,FALSE)</f>
        <v>Meat/Poultry</v>
      </c>
      <c r="L1415" s="24">
        <f>IFERROR(VLOOKUP(A1415,'Sales Order'!A:D,4,FALSE),"")</f>
        <v>39435</v>
      </c>
      <c r="M1415" s="24">
        <f>IFERROR(VLOOKUP(A1415,'Sales Order'!A:F,6,FALSE),"")</f>
        <v>39442</v>
      </c>
      <c r="N1415" t="str">
        <f>IFERROR(VLOOKUP(VLOOKUP(A1415,'Sales Order'!A:G,7,FALSE),Shipper!A:B,2,FALSE),"Not Specified")</f>
        <v>Shipper GVSUA</v>
      </c>
      <c r="O1415" t="str">
        <f>IFERROR(VLOOKUP(A1415,'Sales Order'!A:I,9,FALSE),"Not Specified")</f>
        <v>Destination DWJIO</v>
      </c>
      <c r="P1415" t="str">
        <f>IFERROR(VLOOKUP(A1415,'Sales Order'!A:N,14,FALSE),"Not Specified")</f>
        <v>France</v>
      </c>
      <c r="Q1415" t="str">
        <f>VLOOKUP(VLOOKUP(B1415,Product!A:C,3,FALSE),Supplier!A:B,2,FALSE)</f>
        <v>Supplier SVIYA</v>
      </c>
      <c r="R1415" t="str">
        <f>VLOOKUP(VLOOKUP(B1415,Product!A:C,3,FALSE),Supplier!A:I,9,FALSE)</f>
        <v>Germany</v>
      </c>
      <c r="S1415" t="str">
        <f>IFERROR(IF(VLOOKUP(A1415,'Sales Order'!A:H,8,FALSE)&gt;100,"High Freight","Low Freight"),"Not Specified")</f>
        <v>High Freight</v>
      </c>
      <c r="T1415">
        <f t="shared" si="45"/>
        <v>2352.0100000000002</v>
      </c>
    </row>
    <row r="1416" spans="1:20">
      <c r="A1416" s="9">
        <v>10788</v>
      </c>
      <c r="B1416" s="6">
        <v>19</v>
      </c>
      <c r="C1416" s="6">
        <v>9.1999999999999993</v>
      </c>
      <c r="D1416" s="6">
        <v>50</v>
      </c>
      <c r="E1416" s="18">
        <v>0.05</v>
      </c>
      <c r="F1416" s="6" t="str">
        <f>IFERROR(VLOOKUP(VLOOKUP(A1416,'Sales Order'!A:B,2,FALSE),Customer!A:C,3,FALSE),"Not Specified")</f>
        <v>Veronesi, Giorgio</v>
      </c>
      <c r="G1416" s="6" t="str">
        <f t="shared" si="44"/>
        <v>Veronesi Giorgio</v>
      </c>
      <c r="H1416" s="22" t="str">
        <f>IFERROR(VLOOKUP(VLOOKUP(A1416,'Sales Order'!A:C,3,FALSE),Employee!A:E,5,FALSE)&amp;" "&amp;VLOOKUP(VLOOKUP(A1416,'Sales Order'!A:C,3,FALSE),Employee!A:C,3,FALSE)&amp;" "&amp;VLOOKUP(VLOOKUP(A1416,'Sales Order'!A:C,3,FALSE),Employee!A:B,2,FALSE),"Not Specified")</f>
        <v>Ms. Sara Davis</v>
      </c>
      <c r="I1416" t="str">
        <f>IFERROR(VLOOKUP(VLOOKUP(A1416,'Sales Order'!A:C,3,FALSE),Employee!A:J,10,FALSE),"Not Specified")</f>
        <v>WA</v>
      </c>
      <c r="J1416" t="str">
        <f>VLOOKUP(B1416,Product!A:B,2,FALSE)</f>
        <v>Product XKXDO</v>
      </c>
      <c r="K1416" t="str">
        <f>VLOOKUP(VLOOKUP(B1416,Product!A:D,4,FALSE),Category!A:B,2,FALSE)</f>
        <v>Confections</v>
      </c>
      <c r="L1416" s="24">
        <f>IFERROR(VLOOKUP(A1416,'Sales Order'!A:D,4,FALSE),"")</f>
        <v>39438</v>
      </c>
      <c r="M1416" s="24">
        <f>IFERROR(VLOOKUP(A1416,'Sales Order'!A:F,6,FALSE),"")</f>
        <v>39466</v>
      </c>
      <c r="N1416" t="str">
        <f>IFERROR(VLOOKUP(VLOOKUP(A1416,'Sales Order'!A:G,7,FALSE),Shipper!A:B,2,FALSE),"Not Specified")</f>
        <v>Shipper ETYNR</v>
      </c>
      <c r="O1416" t="str">
        <f>IFERROR(VLOOKUP(A1416,'Sales Order'!A:I,9,FALSE),"Not Specified")</f>
        <v>Ship to 63-C</v>
      </c>
      <c r="P1416" t="str">
        <f>IFERROR(VLOOKUP(A1416,'Sales Order'!A:N,14,FALSE),"Not Specified")</f>
        <v>Germany</v>
      </c>
      <c r="Q1416" t="str">
        <f>VLOOKUP(VLOOKUP(B1416,Product!A:C,3,FALSE),Supplier!A:B,2,FALSE)</f>
        <v>Supplier BWGYE</v>
      </c>
      <c r="R1416" t="str">
        <f>VLOOKUP(VLOOKUP(B1416,Product!A:C,3,FALSE),Supplier!A:I,9,FALSE)</f>
        <v>UK</v>
      </c>
      <c r="S1416" t="str">
        <f>IFERROR(IF(VLOOKUP(A1416,'Sales Order'!A:H,8,FALSE)&gt;100,"High Freight","Low Freight"),"Not Specified")</f>
        <v>Low Freight</v>
      </c>
      <c r="T1416">
        <f t="shared" si="45"/>
        <v>436.99999999999994</v>
      </c>
    </row>
    <row r="1417" spans="1:20">
      <c r="A1417" s="9">
        <v>10788</v>
      </c>
      <c r="B1417" s="6">
        <v>75</v>
      </c>
      <c r="C1417" s="6">
        <v>7.75</v>
      </c>
      <c r="D1417" s="6">
        <v>40</v>
      </c>
      <c r="E1417" s="18">
        <v>0.05</v>
      </c>
      <c r="F1417" s="6" t="str">
        <f>IFERROR(VLOOKUP(VLOOKUP(A1417,'Sales Order'!A:B,2,FALSE),Customer!A:C,3,FALSE),"Not Specified")</f>
        <v>Veronesi, Giorgio</v>
      </c>
      <c r="G1417" s="6" t="str">
        <f t="shared" si="44"/>
        <v>Veronesi Giorgio</v>
      </c>
      <c r="H1417" s="22" t="str">
        <f>IFERROR(VLOOKUP(VLOOKUP(A1417,'Sales Order'!A:C,3,FALSE),Employee!A:E,5,FALSE)&amp;" "&amp;VLOOKUP(VLOOKUP(A1417,'Sales Order'!A:C,3,FALSE),Employee!A:C,3,FALSE)&amp;" "&amp;VLOOKUP(VLOOKUP(A1417,'Sales Order'!A:C,3,FALSE),Employee!A:B,2,FALSE),"Not Specified")</f>
        <v>Ms. Sara Davis</v>
      </c>
      <c r="I1417" t="str">
        <f>IFERROR(VLOOKUP(VLOOKUP(A1417,'Sales Order'!A:C,3,FALSE),Employee!A:J,10,FALSE),"Not Specified")</f>
        <v>WA</v>
      </c>
      <c r="J1417" t="str">
        <f>VLOOKUP(B1417,Product!A:B,2,FALSE)</f>
        <v>Product BWRLG</v>
      </c>
      <c r="K1417" t="str">
        <f>VLOOKUP(VLOOKUP(B1417,Product!A:D,4,FALSE),Category!A:B,2,FALSE)</f>
        <v>Beverages</v>
      </c>
      <c r="L1417" s="24">
        <f>IFERROR(VLOOKUP(A1417,'Sales Order'!A:D,4,FALSE),"")</f>
        <v>39438</v>
      </c>
      <c r="M1417" s="24">
        <f>IFERROR(VLOOKUP(A1417,'Sales Order'!A:F,6,FALSE),"")</f>
        <v>39466</v>
      </c>
      <c r="N1417" t="str">
        <f>IFERROR(VLOOKUP(VLOOKUP(A1417,'Sales Order'!A:G,7,FALSE),Shipper!A:B,2,FALSE),"Not Specified")</f>
        <v>Shipper ETYNR</v>
      </c>
      <c r="O1417" t="str">
        <f>IFERROR(VLOOKUP(A1417,'Sales Order'!A:I,9,FALSE),"Not Specified")</f>
        <v>Ship to 63-C</v>
      </c>
      <c r="P1417" t="str">
        <f>IFERROR(VLOOKUP(A1417,'Sales Order'!A:N,14,FALSE),"Not Specified")</f>
        <v>Germany</v>
      </c>
      <c r="Q1417" t="str">
        <f>VLOOKUP(VLOOKUP(B1417,Product!A:C,3,FALSE),Supplier!A:B,2,FALSE)</f>
        <v>Supplier SVIYA</v>
      </c>
      <c r="R1417" t="str">
        <f>VLOOKUP(VLOOKUP(B1417,Product!A:C,3,FALSE),Supplier!A:I,9,FALSE)</f>
        <v>Germany</v>
      </c>
      <c r="S1417" t="str">
        <f>IFERROR(IF(VLOOKUP(A1417,'Sales Order'!A:H,8,FALSE)&gt;100,"High Freight","Low Freight"),"Not Specified")</f>
        <v>Low Freight</v>
      </c>
      <c r="T1417">
        <f t="shared" si="45"/>
        <v>294.5</v>
      </c>
    </row>
    <row r="1418" spans="1:20">
      <c r="A1418" s="9">
        <v>10789</v>
      </c>
      <c r="B1418" s="6">
        <v>18</v>
      </c>
      <c r="C1418" s="6">
        <v>62.5</v>
      </c>
      <c r="D1418" s="6">
        <v>30</v>
      </c>
      <c r="E1418" s="18">
        <v>0</v>
      </c>
      <c r="F1418" s="6" t="str">
        <f>IFERROR(VLOOKUP(VLOOKUP(A1418,'Sales Order'!A:B,2,FALSE),Customer!A:C,3,FALSE),"Not Specified")</f>
        <v>Khanna, Karan</v>
      </c>
      <c r="G1418" s="6" t="str">
        <f t="shared" si="44"/>
        <v>Khanna Karan</v>
      </c>
      <c r="H1418" s="22" t="str">
        <f>IFERROR(VLOOKUP(VLOOKUP(A1418,'Sales Order'!A:C,3,FALSE),Employee!A:E,5,FALSE)&amp;" "&amp;VLOOKUP(VLOOKUP(A1418,'Sales Order'!A:C,3,FALSE),Employee!A:C,3,FALSE)&amp;" "&amp;VLOOKUP(VLOOKUP(A1418,'Sales Order'!A:C,3,FALSE),Employee!A:B,2,FALSE),"Not Specified")</f>
        <v>Ms. Sara Davis</v>
      </c>
      <c r="I1418" t="str">
        <f>IFERROR(VLOOKUP(VLOOKUP(A1418,'Sales Order'!A:C,3,FALSE),Employee!A:J,10,FALSE),"Not Specified")</f>
        <v>WA</v>
      </c>
      <c r="J1418" t="str">
        <f>VLOOKUP(B1418,Product!A:B,2,FALSE)</f>
        <v>Product CKEDC</v>
      </c>
      <c r="K1418" t="str">
        <f>VLOOKUP(VLOOKUP(B1418,Product!A:D,4,FALSE),Category!A:B,2,FALSE)</f>
        <v>Seafood</v>
      </c>
      <c r="L1418" s="24">
        <f>IFERROR(VLOOKUP(A1418,'Sales Order'!A:D,4,FALSE),"")</f>
        <v>39438</v>
      </c>
      <c r="M1418" s="24">
        <f>IFERROR(VLOOKUP(A1418,'Sales Order'!A:F,6,FALSE),"")</f>
        <v>39447</v>
      </c>
      <c r="N1418" t="str">
        <f>IFERROR(VLOOKUP(VLOOKUP(A1418,'Sales Order'!A:G,7,FALSE),Shipper!A:B,2,FALSE),"Not Specified")</f>
        <v>Shipper ETYNR</v>
      </c>
      <c r="O1418" t="str">
        <f>IFERROR(VLOOKUP(A1418,'Sales Order'!A:I,9,FALSE),"Not Specified")</f>
        <v>Destination PXQRR</v>
      </c>
      <c r="P1418" t="str">
        <f>IFERROR(VLOOKUP(A1418,'Sales Order'!A:N,14,FALSE),"Not Specified")</f>
        <v>France</v>
      </c>
      <c r="Q1418" t="str">
        <f>VLOOKUP(VLOOKUP(B1418,Product!A:C,3,FALSE),Supplier!A:B,2,FALSE)</f>
        <v>Supplier GQRCV</v>
      </c>
      <c r="R1418" t="str">
        <f>VLOOKUP(VLOOKUP(B1418,Product!A:C,3,FALSE),Supplier!A:I,9,FALSE)</f>
        <v>Australia</v>
      </c>
      <c r="S1418" t="str">
        <f>IFERROR(IF(VLOOKUP(A1418,'Sales Order'!A:H,8,FALSE)&gt;100,"High Freight","Low Freight"),"Not Specified")</f>
        <v>High Freight</v>
      </c>
      <c r="T1418">
        <f t="shared" si="45"/>
        <v>1875</v>
      </c>
    </row>
    <row r="1419" spans="1:20">
      <c r="A1419" s="9">
        <v>10789</v>
      </c>
      <c r="B1419" s="6">
        <v>35</v>
      </c>
      <c r="C1419" s="6">
        <v>18</v>
      </c>
      <c r="D1419" s="6">
        <v>15</v>
      </c>
      <c r="E1419" s="18">
        <v>0</v>
      </c>
      <c r="F1419" s="6" t="str">
        <f>IFERROR(VLOOKUP(VLOOKUP(A1419,'Sales Order'!A:B,2,FALSE),Customer!A:C,3,FALSE),"Not Specified")</f>
        <v>Khanna, Karan</v>
      </c>
      <c r="G1419" s="6" t="str">
        <f t="shared" si="44"/>
        <v>Khanna Karan</v>
      </c>
      <c r="H1419" s="22" t="str">
        <f>IFERROR(VLOOKUP(VLOOKUP(A1419,'Sales Order'!A:C,3,FALSE),Employee!A:E,5,FALSE)&amp;" "&amp;VLOOKUP(VLOOKUP(A1419,'Sales Order'!A:C,3,FALSE),Employee!A:C,3,FALSE)&amp;" "&amp;VLOOKUP(VLOOKUP(A1419,'Sales Order'!A:C,3,FALSE),Employee!A:B,2,FALSE),"Not Specified")</f>
        <v>Ms. Sara Davis</v>
      </c>
      <c r="I1419" t="str">
        <f>IFERROR(VLOOKUP(VLOOKUP(A1419,'Sales Order'!A:C,3,FALSE),Employee!A:J,10,FALSE),"Not Specified")</f>
        <v>WA</v>
      </c>
      <c r="J1419" t="str">
        <f>VLOOKUP(B1419,Product!A:B,2,FALSE)</f>
        <v>Product NEVTJ</v>
      </c>
      <c r="K1419" t="str">
        <f>VLOOKUP(VLOOKUP(B1419,Product!A:D,4,FALSE),Category!A:B,2,FALSE)</f>
        <v>Beverages</v>
      </c>
      <c r="L1419" s="24">
        <f>IFERROR(VLOOKUP(A1419,'Sales Order'!A:D,4,FALSE),"")</f>
        <v>39438</v>
      </c>
      <c r="M1419" s="24">
        <f>IFERROR(VLOOKUP(A1419,'Sales Order'!A:F,6,FALSE),"")</f>
        <v>39447</v>
      </c>
      <c r="N1419" t="str">
        <f>IFERROR(VLOOKUP(VLOOKUP(A1419,'Sales Order'!A:G,7,FALSE),Shipper!A:B,2,FALSE),"Not Specified")</f>
        <v>Shipper ETYNR</v>
      </c>
      <c r="O1419" t="str">
        <f>IFERROR(VLOOKUP(A1419,'Sales Order'!A:I,9,FALSE),"Not Specified")</f>
        <v>Destination PXQRR</v>
      </c>
      <c r="P1419" t="str">
        <f>IFERROR(VLOOKUP(A1419,'Sales Order'!A:N,14,FALSE),"Not Specified")</f>
        <v>France</v>
      </c>
      <c r="Q1419" t="str">
        <f>VLOOKUP(VLOOKUP(B1419,Product!A:C,3,FALSE),Supplier!A:B,2,FALSE)</f>
        <v>Supplier UHZRG</v>
      </c>
      <c r="R1419" t="str">
        <f>VLOOKUP(VLOOKUP(B1419,Product!A:C,3,FALSE),Supplier!A:I,9,FALSE)</f>
        <v>USA</v>
      </c>
      <c r="S1419" t="str">
        <f>IFERROR(IF(VLOOKUP(A1419,'Sales Order'!A:H,8,FALSE)&gt;100,"High Freight","Low Freight"),"Not Specified")</f>
        <v>High Freight</v>
      </c>
      <c r="T1419">
        <f t="shared" si="45"/>
        <v>270</v>
      </c>
    </row>
    <row r="1420" spans="1:20">
      <c r="A1420" s="9">
        <v>10789</v>
      </c>
      <c r="B1420" s="6">
        <v>63</v>
      </c>
      <c r="C1420" s="6">
        <v>43.9</v>
      </c>
      <c r="D1420" s="6">
        <v>30</v>
      </c>
      <c r="E1420" s="18">
        <v>0</v>
      </c>
      <c r="F1420" s="6" t="str">
        <f>IFERROR(VLOOKUP(VLOOKUP(A1420,'Sales Order'!A:B,2,FALSE),Customer!A:C,3,FALSE),"Not Specified")</f>
        <v>Khanna, Karan</v>
      </c>
      <c r="G1420" s="6" t="str">
        <f t="shared" si="44"/>
        <v>Khanna Karan</v>
      </c>
      <c r="H1420" s="22" t="str">
        <f>IFERROR(VLOOKUP(VLOOKUP(A1420,'Sales Order'!A:C,3,FALSE),Employee!A:E,5,FALSE)&amp;" "&amp;VLOOKUP(VLOOKUP(A1420,'Sales Order'!A:C,3,FALSE),Employee!A:C,3,FALSE)&amp;" "&amp;VLOOKUP(VLOOKUP(A1420,'Sales Order'!A:C,3,FALSE),Employee!A:B,2,FALSE),"Not Specified")</f>
        <v>Ms. Sara Davis</v>
      </c>
      <c r="I1420" t="str">
        <f>IFERROR(VLOOKUP(VLOOKUP(A1420,'Sales Order'!A:C,3,FALSE),Employee!A:J,10,FALSE),"Not Specified")</f>
        <v>WA</v>
      </c>
      <c r="J1420" t="str">
        <f>VLOOKUP(B1420,Product!A:B,2,FALSE)</f>
        <v>Product ICKNK</v>
      </c>
      <c r="K1420" t="str">
        <f>VLOOKUP(VLOOKUP(B1420,Product!A:D,4,FALSE),Category!A:B,2,FALSE)</f>
        <v>Condiments</v>
      </c>
      <c r="L1420" s="24">
        <f>IFERROR(VLOOKUP(A1420,'Sales Order'!A:D,4,FALSE),"")</f>
        <v>39438</v>
      </c>
      <c r="M1420" s="24">
        <f>IFERROR(VLOOKUP(A1420,'Sales Order'!A:F,6,FALSE),"")</f>
        <v>39447</v>
      </c>
      <c r="N1420" t="str">
        <f>IFERROR(VLOOKUP(VLOOKUP(A1420,'Sales Order'!A:G,7,FALSE),Shipper!A:B,2,FALSE),"Not Specified")</f>
        <v>Shipper ETYNR</v>
      </c>
      <c r="O1420" t="str">
        <f>IFERROR(VLOOKUP(A1420,'Sales Order'!A:I,9,FALSE),"Not Specified")</f>
        <v>Destination PXQRR</v>
      </c>
      <c r="P1420" t="str">
        <f>IFERROR(VLOOKUP(A1420,'Sales Order'!A:N,14,FALSE),"Not Specified")</f>
        <v>France</v>
      </c>
      <c r="Q1420" t="str">
        <f>VLOOKUP(VLOOKUP(B1420,Product!A:C,3,FALSE),Supplier!A:B,2,FALSE)</f>
        <v>Supplier GQRCV</v>
      </c>
      <c r="R1420" t="str">
        <f>VLOOKUP(VLOOKUP(B1420,Product!A:C,3,FALSE),Supplier!A:I,9,FALSE)</f>
        <v>Australia</v>
      </c>
      <c r="S1420" t="str">
        <f>IFERROR(IF(VLOOKUP(A1420,'Sales Order'!A:H,8,FALSE)&gt;100,"High Freight","Low Freight"),"Not Specified")</f>
        <v>High Freight</v>
      </c>
      <c r="T1420">
        <f t="shared" si="45"/>
        <v>1317</v>
      </c>
    </row>
    <row r="1421" spans="1:20">
      <c r="A1421" s="9">
        <v>10789</v>
      </c>
      <c r="B1421" s="6">
        <v>68</v>
      </c>
      <c r="C1421" s="6">
        <v>12.5</v>
      </c>
      <c r="D1421" s="6">
        <v>18</v>
      </c>
      <c r="E1421" s="18">
        <v>0</v>
      </c>
      <c r="F1421" s="6" t="str">
        <f>IFERROR(VLOOKUP(VLOOKUP(A1421,'Sales Order'!A:B,2,FALSE),Customer!A:C,3,FALSE),"Not Specified")</f>
        <v>Khanna, Karan</v>
      </c>
      <c r="G1421" s="6" t="str">
        <f t="shared" si="44"/>
        <v>Khanna Karan</v>
      </c>
      <c r="H1421" s="22" t="str">
        <f>IFERROR(VLOOKUP(VLOOKUP(A1421,'Sales Order'!A:C,3,FALSE),Employee!A:E,5,FALSE)&amp;" "&amp;VLOOKUP(VLOOKUP(A1421,'Sales Order'!A:C,3,FALSE),Employee!A:C,3,FALSE)&amp;" "&amp;VLOOKUP(VLOOKUP(A1421,'Sales Order'!A:C,3,FALSE),Employee!A:B,2,FALSE),"Not Specified")</f>
        <v>Ms. Sara Davis</v>
      </c>
      <c r="I1421" t="str">
        <f>IFERROR(VLOOKUP(VLOOKUP(A1421,'Sales Order'!A:C,3,FALSE),Employee!A:J,10,FALSE),"Not Specified")</f>
        <v>WA</v>
      </c>
      <c r="J1421" t="str">
        <f>VLOOKUP(B1421,Product!A:B,2,FALSE)</f>
        <v>Product TBTBL</v>
      </c>
      <c r="K1421" t="str">
        <f>VLOOKUP(VLOOKUP(B1421,Product!A:D,4,FALSE),Category!A:B,2,FALSE)</f>
        <v>Confections</v>
      </c>
      <c r="L1421" s="24">
        <f>IFERROR(VLOOKUP(A1421,'Sales Order'!A:D,4,FALSE),"")</f>
        <v>39438</v>
      </c>
      <c r="M1421" s="24">
        <f>IFERROR(VLOOKUP(A1421,'Sales Order'!A:F,6,FALSE),"")</f>
        <v>39447</v>
      </c>
      <c r="N1421" t="str">
        <f>IFERROR(VLOOKUP(VLOOKUP(A1421,'Sales Order'!A:G,7,FALSE),Shipper!A:B,2,FALSE),"Not Specified")</f>
        <v>Shipper ETYNR</v>
      </c>
      <c r="O1421" t="str">
        <f>IFERROR(VLOOKUP(A1421,'Sales Order'!A:I,9,FALSE),"Not Specified")</f>
        <v>Destination PXQRR</v>
      </c>
      <c r="P1421" t="str">
        <f>IFERROR(VLOOKUP(A1421,'Sales Order'!A:N,14,FALSE),"Not Specified")</f>
        <v>France</v>
      </c>
      <c r="Q1421" t="str">
        <f>VLOOKUP(VLOOKUP(B1421,Product!A:C,3,FALSE),Supplier!A:B,2,FALSE)</f>
        <v>Supplier BWGYE</v>
      </c>
      <c r="R1421" t="str">
        <f>VLOOKUP(VLOOKUP(B1421,Product!A:C,3,FALSE),Supplier!A:I,9,FALSE)</f>
        <v>UK</v>
      </c>
      <c r="S1421" t="str">
        <f>IFERROR(IF(VLOOKUP(A1421,'Sales Order'!A:H,8,FALSE)&gt;100,"High Freight","Low Freight"),"Not Specified")</f>
        <v>High Freight</v>
      </c>
      <c r="T1421">
        <f t="shared" si="45"/>
        <v>225</v>
      </c>
    </row>
    <row r="1422" spans="1:20">
      <c r="A1422" s="9">
        <v>10790</v>
      </c>
      <c r="B1422" s="6">
        <v>7</v>
      </c>
      <c r="C1422" s="6">
        <v>30</v>
      </c>
      <c r="D1422" s="6">
        <v>3</v>
      </c>
      <c r="E1422" s="18">
        <v>0.15</v>
      </c>
      <c r="F1422" s="6" t="str">
        <f>IFERROR(VLOOKUP(VLOOKUP(A1422,'Sales Order'!A:B,2,FALSE),Customer!A:C,3,FALSE),"Not Specified")</f>
        <v>Cheng, Yao-Qiang</v>
      </c>
      <c r="G1422" s="6" t="str">
        <f t="shared" si="44"/>
        <v>Cheng Yao-Qiang</v>
      </c>
      <c r="H1422" s="22" t="str">
        <f>IFERROR(VLOOKUP(VLOOKUP(A1422,'Sales Order'!A:C,3,FALSE),Employee!A:E,5,FALSE)&amp;" "&amp;VLOOKUP(VLOOKUP(A1422,'Sales Order'!A:C,3,FALSE),Employee!A:C,3,FALSE)&amp;" "&amp;VLOOKUP(VLOOKUP(A1422,'Sales Order'!A:C,3,FALSE),Employee!A:B,2,FALSE),"Not Specified")</f>
        <v>Mr. Paul Suurs</v>
      </c>
      <c r="I1422">
        <f>IFERROR(VLOOKUP(VLOOKUP(A1422,'Sales Order'!A:C,3,FALSE),Employee!A:J,10,FALSE),"Not Specified")</f>
        <v>0</v>
      </c>
      <c r="J1422" t="str">
        <f>VLOOKUP(B1422,Product!A:B,2,FALSE)</f>
        <v>Product HMLNI</v>
      </c>
      <c r="K1422" t="str">
        <f>VLOOKUP(VLOOKUP(B1422,Product!A:D,4,FALSE),Category!A:B,2,FALSE)</f>
        <v>Produce</v>
      </c>
      <c r="L1422" s="24">
        <f>IFERROR(VLOOKUP(A1422,'Sales Order'!A:D,4,FALSE),"")</f>
        <v>39438</v>
      </c>
      <c r="M1422" s="24">
        <f>IFERROR(VLOOKUP(A1422,'Sales Order'!A:F,6,FALSE),"")</f>
        <v>39442</v>
      </c>
      <c r="N1422" t="str">
        <f>IFERROR(VLOOKUP(VLOOKUP(A1422,'Sales Order'!A:G,7,FALSE),Shipper!A:B,2,FALSE),"Not Specified")</f>
        <v>Shipper GVSUA</v>
      </c>
      <c r="O1422" t="str">
        <f>IFERROR(VLOOKUP(A1422,'Sales Order'!A:I,9,FALSE),"Not Specified")</f>
        <v>Destination XOIGC</v>
      </c>
      <c r="P1422" t="str">
        <f>IFERROR(VLOOKUP(A1422,'Sales Order'!A:N,14,FALSE),"Not Specified")</f>
        <v>Brazil</v>
      </c>
      <c r="Q1422" t="str">
        <f>VLOOKUP(VLOOKUP(B1422,Product!A:C,3,FALSE),Supplier!A:B,2,FALSE)</f>
        <v>Supplier STUAZ</v>
      </c>
      <c r="R1422" t="str">
        <f>VLOOKUP(VLOOKUP(B1422,Product!A:C,3,FALSE),Supplier!A:I,9,FALSE)</f>
        <v>USA</v>
      </c>
      <c r="S1422" t="str">
        <f>IFERROR(IF(VLOOKUP(A1422,'Sales Order'!A:H,8,FALSE)&gt;100,"High Freight","Low Freight"),"Not Specified")</f>
        <v>Low Freight</v>
      </c>
      <c r="T1422">
        <f t="shared" si="45"/>
        <v>76.5</v>
      </c>
    </row>
    <row r="1423" spans="1:20">
      <c r="A1423" s="9">
        <v>10790</v>
      </c>
      <c r="B1423" s="6">
        <v>56</v>
      </c>
      <c r="C1423" s="6">
        <v>38</v>
      </c>
      <c r="D1423" s="6">
        <v>20</v>
      </c>
      <c r="E1423" s="18">
        <v>0.15</v>
      </c>
      <c r="F1423" s="6" t="str">
        <f>IFERROR(VLOOKUP(VLOOKUP(A1423,'Sales Order'!A:B,2,FALSE),Customer!A:C,3,FALSE),"Not Specified")</f>
        <v>Cheng, Yao-Qiang</v>
      </c>
      <c r="G1423" s="6" t="str">
        <f t="shared" si="44"/>
        <v>Cheng Yao-Qiang</v>
      </c>
      <c r="H1423" s="22" t="str">
        <f>IFERROR(VLOOKUP(VLOOKUP(A1423,'Sales Order'!A:C,3,FALSE),Employee!A:E,5,FALSE)&amp;" "&amp;VLOOKUP(VLOOKUP(A1423,'Sales Order'!A:C,3,FALSE),Employee!A:C,3,FALSE)&amp;" "&amp;VLOOKUP(VLOOKUP(A1423,'Sales Order'!A:C,3,FALSE),Employee!A:B,2,FALSE),"Not Specified")</f>
        <v>Mr. Paul Suurs</v>
      </c>
      <c r="I1423">
        <f>IFERROR(VLOOKUP(VLOOKUP(A1423,'Sales Order'!A:C,3,FALSE),Employee!A:J,10,FALSE),"Not Specified")</f>
        <v>0</v>
      </c>
      <c r="J1423" t="str">
        <f>VLOOKUP(B1423,Product!A:B,2,FALSE)</f>
        <v>Product VKCMF</v>
      </c>
      <c r="K1423" t="str">
        <f>VLOOKUP(VLOOKUP(B1423,Product!A:D,4,FALSE),Category!A:B,2,FALSE)</f>
        <v>Grains/Cereals</v>
      </c>
      <c r="L1423" s="24">
        <f>IFERROR(VLOOKUP(A1423,'Sales Order'!A:D,4,FALSE),"")</f>
        <v>39438</v>
      </c>
      <c r="M1423" s="24">
        <f>IFERROR(VLOOKUP(A1423,'Sales Order'!A:F,6,FALSE),"")</f>
        <v>39442</v>
      </c>
      <c r="N1423" t="str">
        <f>IFERROR(VLOOKUP(VLOOKUP(A1423,'Sales Order'!A:G,7,FALSE),Shipper!A:B,2,FALSE),"Not Specified")</f>
        <v>Shipper GVSUA</v>
      </c>
      <c r="O1423" t="str">
        <f>IFERROR(VLOOKUP(A1423,'Sales Order'!A:I,9,FALSE),"Not Specified")</f>
        <v>Destination XOIGC</v>
      </c>
      <c r="P1423" t="str">
        <f>IFERROR(VLOOKUP(A1423,'Sales Order'!A:N,14,FALSE),"Not Specified")</f>
        <v>Brazil</v>
      </c>
      <c r="Q1423" t="str">
        <f>VLOOKUP(VLOOKUP(B1423,Product!A:C,3,FALSE),Supplier!A:B,2,FALSE)</f>
        <v>Supplier ZWZDM</v>
      </c>
      <c r="R1423" t="str">
        <f>VLOOKUP(VLOOKUP(B1423,Product!A:C,3,FALSE),Supplier!A:I,9,FALSE)</f>
        <v>Italy</v>
      </c>
      <c r="S1423" t="str">
        <f>IFERROR(IF(VLOOKUP(A1423,'Sales Order'!A:H,8,FALSE)&gt;100,"High Freight","Low Freight"),"Not Specified")</f>
        <v>Low Freight</v>
      </c>
      <c r="T1423">
        <f t="shared" si="45"/>
        <v>646</v>
      </c>
    </row>
    <row r="1424" spans="1:20">
      <c r="A1424" s="9">
        <v>10791</v>
      </c>
      <c r="B1424" s="6">
        <v>29</v>
      </c>
      <c r="C1424" s="6">
        <v>123.79</v>
      </c>
      <c r="D1424" s="6">
        <v>14</v>
      </c>
      <c r="E1424" s="18">
        <v>0.05</v>
      </c>
      <c r="F1424" s="6" t="str">
        <f>IFERROR(VLOOKUP(VLOOKUP(A1424,'Sales Order'!A:B,2,FALSE),Customer!A:C,3,FALSE),"Not Specified")</f>
        <v>Carlson, Jason</v>
      </c>
      <c r="G1424" s="6" t="str">
        <f t="shared" si="44"/>
        <v>Carlson Jason</v>
      </c>
      <c r="H1424" s="22" t="str">
        <f>IFERROR(VLOOKUP(VLOOKUP(A1424,'Sales Order'!A:C,3,FALSE),Employee!A:E,5,FALSE)&amp;" "&amp;VLOOKUP(VLOOKUP(A1424,'Sales Order'!A:C,3,FALSE),Employee!A:C,3,FALSE)&amp;" "&amp;VLOOKUP(VLOOKUP(A1424,'Sales Order'!A:C,3,FALSE),Employee!A:B,2,FALSE),"Not Specified")</f>
        <v>Mr. Paul Suurs</v>
      </c>
      <c r="I1424">
        <f>IFERROR(VLOOKUP(VLOOKUP(A1424,'Sales Order'!A:C,3,FALSE),Employee!A:J,10,FALSE),"Not Specified")</f>
        <v>0</v>
      </c>
      <c r="J1424" t="str">
        <f>VLOOKUP(B1424,Product!A:B,2,FALSE)</f>
        <v>Product VJXYN</v>
      </c>
      <c r="K1424" t="str">
        <f>VLOOKUP(VLOOKUP(B1424,Product!A:D,4,FALSE),Category!A:B,2,FALSE)</f>
        <v>Meat/Poultry</v>
      </c>
      <c r="L1424" s="24">
        <f>IFERROR(VLOOKUP(A1424,'Sales Order'!A:D,4,FALSE),"")</f>
        <v>39439</v>
      </c>
      <c r="M1424" s="24">
        <f>IFERROR(VLOOKUP(A1424,'Sales Order'!A:F,6,FALSE),"")</f>
        <v>39448</v>
      </c>
      <c r="N1424" t="str">
        <f>IFERROR(VLOOKUP(VLOOKUP(A1424,'Sales Order'!A:G,7,FALSE),Shipper!A:B,2,FALSE),"Not Specified")</f>
        <v>Shipper ETYNR</v>
      </c>
      <c r="O1424" t="str">
        <f>IFERROR(VLOOKUP(A1424,'Sales Order'!A:I,9,FALSE),"Not Specified")</f>
        <v>Destination QOCBL</v>
      </c>
      <c r="P1424" t="str">
        <f>IFERROR(VLOOKUP(A1424,'Sales Order'!A:N,14,FALSE),"Not Specified")</f>
        <v>Germany</v>
      </c>
      <c r="Q1424" t="str">
        <f>VLOOKUP(VLOOKUP(B1424,Product!A:C,3,FALSE),Supplier!A:B,2,FALSE)</f>
        <v>Supplier SVIYA</v>
      </c>
      <c r="R1424" t="str">
        <f>VLOOKUP(VLOOKUP(B1424,Product!A:C,3,FALSE),Supplier!A:I,9,FALSE)</f>
        <v>Germany</v>
      </c>
      <c r="S1424" t="str">
        <f>IFERROR(IF(VLOOKUP(A1424,'Sales Order'!A:H,8,FALSE)&gt;100,"High Freight","Low Freight"),"Not Specified")</f>
        <v>Low Freight</v>
      </c>
      <c r="T1424">
        <f t="shared" si="45"/>
        <v>1646.4070000000002</v>
      </c>
    </row>
    <row r="1425" spans="1:20">
      <c r="A1425" s="9">
        <v>10791</v>
      </c>
      <c r="B1425" s="6">
        <v>41</v>
      </c>
      <c r="C1425" s="6">
        <v>9.65</v>
      </c>
      <c r="D1425" s="6">
        <v>20</v>
      </c>
      <c r="E1425" s="18">
        <v>0.05</v>
      </c>
      <c r="F1425" s="6" t="str">
        <f>IFERROR(VLOOKUP(VLOOKUP(A1425,'Sales Order'!A:B,2,FALSE),Customer!A:C,3,FALSE),"Not Specified")</f>
        <v>Carlson, Jason</v>
      </c>
      <c r="G1425" s="6" t="str">
        <f t="shared" si="44"/>
        <v>Carlson Jason</v>
      </c>
      <c r="H1425" s="22" t="str">
        <f>IFERROR(VLOOKUP(VLOOKUP(A1425,'Sales Order'!A:C,3,FALSE),Employee!A:E,5,FALSE)&amp;" "&amp;VLOOKUP(VLOOKUP(A1425,'Sales Order'!A:C,3,FALSE),Employee!A:C,3,FALSE)&amp;" "&amp;VLOOKUP(VLOOKUP(A1425,'Sales Order'!A:C,3,FALSE),Employee!A:B,2,FALSE),"Not Specified")</f>
        <v>Mr. Paul Suurs</v>
      </c>
      <c r="I1425">
        <f>IFERROR(VLOOKUP(VLOOKUP(A1425,'Sales Order'!A:C,3,FALSE),Employee!A:J,10,FALSE),"Not Specified")</f>
        <v>0</v>
      </c>
      <c r="J1425" t="str">
        <f>VLOOKUP(B1425,Product!A:B,2,FALSE)</f>
        <v>Product TTEEX</v>
      </c>
      <c r="K1425" t="str">
        <f>VLOOKUP(VLOOKUP(B1425,Product!A:D,4,FALSE),Category!A:B,2,FALSE)</f>
        <v>Seafood</v>
      </c>
      <c r="L1425" s="24">
        <f>IFERROR(VLOOKUP(A1425,'Sales Order'!A:D,4,FALSE),"")</f>
        <v>39439</v>
      </c>
      <c r="M1425" s="24">
        <f>IFERROR(VLOOKUP(A1425,'Sales Order'!A:F,6,FALSE),"")</f>
        <v>39448</v>
      </c>
      <c r="N1425" t="str">
        <f>IFERROR(VLOOKUP(VLOOKUP(A1425,'Sales Order'!A:G,7,FALSE),Shipper!A:B,2,FALSE),"Not Specified")</f>
        <v>Shipper ETYNR</v>
      </c>
      <c r="O1425" t="str">
        <f>IFERROR(VLOOKUP(A1425,'Sales Order'!A:I,9,FALSE),"Not Specified")</f>
        <v>Destination QOCBL</v>
      </c>
      <c r="P1425" t="str">
        <f>IFERROR(VLOOKUP(A1425,'Sales Order'!A:N,14,FALSE),"Not Specified")</f>
        <v>Germany</v>
      </c>
      <c r="Q1425" t="str">
        <f>VLOOKUP(VLOOKUP(B1425,Product!A:C,3,FALSE),Supplier!A:B,2,FALSE)</f>
        <v>Supplier JDNUG</v>
      </c>
      <c r="R1425" t="str">
        <f>VLOOKUP(VLOOKUP(B1425,Product!A:C,3,FALSE),Supplier!A:I,9,FALSE)</f>
        <v>USA</v>
      </c>
      <c r="S1425" t="str">
        <f>IFERROR(IF(VLOOKUP(A1425,'Sales Order'!A:H,8,FALSE)&gt;100,"High Freight","Low Freight"),"Not Specified")</f>
        <v>Low Freight</v>
      </c>
      <c r="T1425">
        <f t="shared" si="45"/>
        <v>183.35</v>
      </c>
    </row>
    <row r="1426" spans="1:20">
      <c r="A1426" s="9">
        <v>10792</v>
      </c>
      <c r="B1426" s="6">
        <v>2</v>
      </c>
      <c r="C1426" s="6">
        <v>19</v>
      </c>
      <c r="D1426" s="6">
        <v>10</v>
      </c>
      <c r="E1426" s="18">
        <v>0</v>
      </c>
      <c r="F1426" s="6" t="str">
        <f>IFERROR(VLOOKUP(VLOOKUP(A1426,'Sales Order'!A:B,2,FALSE),Customer!A:C,3,FALSE),"Not Specified")</f>
        <v>Conn, Steve</v>
      </c>
      <c r="G1426" s="6" t="str">
        <f t="shared" si="44"/>
        <v>Conn Steve</v>
      </c>
      <c r="H1426" s="22" t="str">
        <f>IFERROR(VLOOKUP(VLOOKUP(A1426,'Sales Order'!A:C,3,FALSE),Employee!A:E,5,FALSE)&amp;" "&amp;VLOOKUP(VLOOKUP(A1426,'Sales Order'!A:C,3,FALSE),Employee!A:C,3,FALSE)&amp;" "&amp;VLOOKUP(VLOOKUP(A1426,'Sales Order'!A:C,3,FALSE),Employee!A:B,2,FALSE),"Not Specified")</f>
        <v>Ms. Sara Davis</v>
      </c>
      <c r="I1426" t="str">
        <f>IFERROR(VLOOKUP(VLOOKUP(A1426,'Sales Order'!A:C,3,FALSE),Employee!A:J,10,FALSE),"Not Specified")</f>
        <v>WA</v>
      </c>
      <c r="J1426" t="str">
        <f>VLOOKUP(B1426,Product!A:B,2,FALSE)</f>
        <v>Product RECZE</v>
      </c>
      <c r="K1426" t="str">
        <f>VLOOKUP(VLOOKUP(B1426,Product!A:D,4,FALSE),Category!A:B,2,FALSE)</f>
        <v>Beverages</v>
      </c>
      <c r="L1426" s="24">
        <f>IFERROR(VLOOKUP(A1426,'Sales Order'!A:D,4,FALSE),"")</f>
        <v>39439</v>
      </c>
      <c r="M1426" s="24">
        <f>IFERROR(VLOOKUP(A1426,'Sales Order'!A:F,6,FALSE),"")</f>
        <v>39447</v>
      </c>
      <c r="N1426" t="str">
        <f>IFERROR(VLOOKUP(VLOOKUP(A1426,'Sales Order'!A:G,7,FALSE),Shipper!A:B,2,FALSE),"Not Specified")</f>
        <v>Shipper ZHISN</v>
      </c>
      <c r="O1426" t="str">
        <f>IFERROR(VLOOKUP(A1426,'Sales Order'!A:I,9,FALSE),"Not Specified")</f>
        <v>Ship to 91-C</v>
      </c>
      <c r="P1426" t="str">
        <f>IFERROR(VLOOKUP(A1426,'Sales Order'!A:N,14,FALSE),"Not Specified")</f>
        <v>Poland</v>
      </c>
      <c r="Q1426" t="str">
        <f>VLOOKUP(VLOOKUP(B1426,Product!A:C,3,FALSE),Supplier!A:B,2,FALSE)</f>
        <v>Supplier SWRXU</v>
      </c>
      <c r="R1426" t="str">
        <f>VLOOKUP(VLOOKUP(B1426,Product!A:C,3,FALSE),Supplier!A:I,9,FALSE)</f>
        <v>UK</v>
      </c>
      <c r="S1426" t="str">
        <f>IFERROR(IF(VLOOKUP(A1426,'Sales Order'!A:H,8,FALSE)&gt;100,"High Freight","Low Freight"),"Not Specified")</f>
        <v>Low Freight</v>
      </c>
      <c r="T1426">
        <f t="shared" si="45"/>
        <v>190</v>
      </c>
    </row>
    <row r="1427" spans="1:20">
      <c r="A1427" s="9">
        <v>10792</v>
      </c>
      <c r="B1427" s="6">
        <v>54</v>
      </c>
      <c r="C1427" s="6">
        <v>7.45</v>
      </c>
      <c r="D1427" s="6">
        <v>3</v>
      </c>
      <c r="E1427" s="18">
        <v>0</v>
      </c>
      <c r="F1427" s="6" t="str">
        <f>IFERROR(VLOOKUP(VLOOKUP(A1427,'Sales Order'!A:B,2,FALSE),Customer!A:C,3,FALSE),"Not Specified")</f>
        <v>Conn, Steve</v>
      </c>
      <c r="G1427" s="6" t="str">
        <f t="shared" si="44"/>
        <v>Conn Steve</v>
      </c>
      <c r="H1427" s="22" t="str">
        <f>IFERROR(VLOOKUP(VLOOKUP(A1427,'Sales Order'!A:C,3,FALSE),Employee!A:E,5,FALSE)&amp;" "&amp;VLOOKUP(VLOOKUP(A1427,'Sales Order'!A:C,3,FALSE),Employee!A:C,3,FALSE)&amp;" "&amp;VLOOKUP(VLOOKUP(A1427,'Sales Order'!A:C,3,FALSE),Employee!A:B,2,FALSE),"Not Specified")</f>
        <v>Ms. Sara Davis</v>
      </c>
      <c r="I1427" t="str">
        <f>IFERROR(VLOOKUP(VLOOKUP(A1427,'Sales Order'!A:C,3,FALSE),Employee!A:J,10,FALSE),"Not Specified")</f>
        <v>WA</v>
      </c>
      <c r="J1427" t="str">
        <f>VLOOKUP(B1427,Product!A:B,2,FALSE)</f>
        <v>Product QAQRL</v>
      </c>
      <c r="K1427" t="str">
        <f>VLOOKUP(VLOOKUP(B1427,Product!A:D,4,FALSE),Category!A:B,2,FALSE)</f>
        <v>Meat/Poultry</v>
      </c>
      <c r="L1427" s="24">
        <f>IFERROR(VLOOKUP(A1427,'Sales Order'!A:D,4,FALSE),"")</f>
        <v>39439</v>
      </c>
      <c r="M1427" s="24">
        <f>IFERROR(VLOOKUP(A1427,'Sales Order'!A:F,6,FALSE),"")</f>
        <v>39447</v>
      </c>
      <c r="N1427" t="str">
        <f>IFERROR(VLOOKUP(VLOOKUP(A1427,'Sales Order'!A:G,7,FALSE),Shipper!A:B,2,FALSE),"Not Specified")</f>
        <v>Shipper ZHISN</v>
      </c>
      <c r="O1427" t="str">
        <f>IFERROR(VLOOKUP(A1427,'Sales Order'!A:I,9,FALSE),"Not Specified")</f>
        <v>Ship to 91-C</v>
      </c>
      <c r="P1427" t="str">
        <f>IFERROR(VLOOKUP(A1427,'Sales Order'!A:N,14,FALSE),"Not Specified")</f>
        <v>Poland</v>
      </c>
      <c r="Q1427" t="str">
        <f>VLOOKUP(VLOOKUP(B1427,Product!A:C,3,FALSE),Supplier!A:B,2,FALSE)</f>
        <v>Supplier ERVYZ</v>
      </c>
      <c r="R1427" t="str">
        <f>VLOOKUP(VLOOKUP(B1427,Product!A:C,3,FALSE),Supplier!A:I,9,FALSE)</f>
        <v>Canada</v>
      </c>
      <c r="S1427" t="str">
        <f>IFERROR(IF(VLOOKUP(A1427,'Sales Order'!A:H,8,FALSE)&gt;100,"High Freight","Low Freight"),"Not Specified")</f>
        <v>Low Freight</v>
      </c>
      <c r="T1427">
        <f t="shared" si="45"/>
        <v>22.35</v>
      </c>
    </row>
    <row r="1428" spans="1:20">
      <c r="A1428" s="9">
        <v>10792</v>
      </c>
      <c r="B1428" s="6">
        <v>68</v>
      </c>
      <c r="C1428" s="6">
        <v>12.5</v>
      </c>
      <c r="D1428" s="6">
        <v>15</v>
      </c>
      <c r="E1428" s="18">
        <v>0</v>
      </c>
      <c r="F1428" s="6" t="str">
        <f>IFERROR(VLOOKUP(VLOOKUP(A1428,'Sales Order'!A:B,2,FALSE),Customer!A:C,3,FALSE),"Not Specified")</f>
        <v>Conn, Steve</v>
      </c>
      <c r="G1428" s="6" t="str">
        <f t="shared" si="44"/>
        <v>Conn Steve</v>
      </c>
      <c r="H1428" s="22" t="str">
        <f>IFERROR(VLOOKUP(VLOOKUP(A1428,'Sales Order'!A:C,3,FALSE),Employee!A:E,5,FALSE)&amp;" "&amp;VLOOKUP(VLOOKUP(A1428,'Sales Order'!A:C,3,FALSE),Employee!A:C,3,FALSE)&amp;" "&amp;VLOOKUP(VLOOKUP(A1428,'Sales Order'!A:C,3,FALSE),Employee!A:B,2,FALSE),"Not Specified")</f>
        <v>Ms. Sara Davis</v>
      </c>
      <c r="I1428" t="str">
        <f>IFERROR(VLOOKUP(VLOOKUP(A1428,'Sales Order'!A:C,3,FALSE),Employee!A:J,10,FALSE),"Not Specified")</f>
        <v>WA</v>
      </c>
      <c r="J1428" t="str">
        <f>VLOOKUP(B1428,Product!A:B,2,FALSE)</f>
        <v>Product TBTBL</v>
      </c>
      <c r="K1428" t="str">
        <f>VLOOKUP(VLOOKUP(B1428,Product!A:D,4,FALSE),Category!A:B,2,FALSE)</f>
        <v>Confections</v>
      </c>
      <c r="L1428" s="24">
        <f>IFERROR(VLOOKUP(A1428,'Sales Order'!A:D,4,FALSE),"")</f>
        <v>39439</v>
      </c>
      <c r="M1428" s="24">
        <f>IFERROR(VLOOKUP(A1428,'Sales Order'!A:F,6,FALSE),"")</f>
        <v>39447</v>
      </c>
      <c r="N1428" t="str">
        <f>IFERROR(VLOOKUP(VLOOKUP(A1428,'Sales Order'!A:G,7,FALSE),Shipper!A:B,2,FALSE),"Not Specified")</f>
        <v>Shipper ZHISN</v>
      </c>
      <c r="O1428" t="str">
        <f>IFERROR(VLOOKUP(A1428,'Sales Order'!A:I,9,FALSE),"Not Specified")</f>
        <v>Ship to 91-C</v>
      </c>
      <c r="P1428" t="str">
        <f>IFERROR(VLOOKUP(A1428,'Sales Order'!A:N,14,FALSE),"Not Specified")</f>
        <v>Poland</v>
      </c>
      <c r="Q1428" t="str">
        <f>VLOOKUP(VLOOKUP(B1428,Product!A:C,3,FALSE),Supplier!A:B,2,FALSE)</f>
        <v>Supplier BWGYE</v>
      </c>
      <c r="R1428" t="str">
        <f>VLOOKUP(VLOOKUP(B1428,Product!A:C,3,FALSE),Supplier!A:I,9,FALSE)</f>
        <v>UK</v>
      </c>
      <c r="S1428" t="str">
        <f>IFERROR(IF(VLOOKUP(A1428,'Sales Order'!A:H,8,FALSE)&gt;100,"High Freight","Low Freight"),"Not Specified")</f>
        <v>Low Freight</v>
      </c>
      <c r="T1428">
        <f t="shared" si="45"/>
        <v>187.5</v>
      </c>
    </row>
    <row r="1429" spans="1:20">
      <c r="A1429" s="9">
        <v>10793</v>
      </c>
      <c r="B1429" s="6">
        <v>41</v>
      </c>
      <c r="C1429" s="6">
        <v>9.65</v>
      </c>
      <c r="D1429" s="6">
        <v>14</v>
      </c>
      <c r="E1429" s="18">
        <v>0</v>
      </c>
      <c r="F1429" s="6" t="str">
        <f>IFERROR(VLOOKUP(VLOOKUP(A1429,'Sales Order'!A:B,2,FALSE),Customer!A:C,3,FALSE),"Not Specified")</f>
        <v>Arndt, Torsten</v>
      </c>
      <c r="G1429" s="6" t="str">
        <f t="shared" si="44"/>
        <v>Arndt Torsten</v>
      </c>
      <c r="H1429" s="22" t="str">
        <f>IFERROR(VLOOKUP(VLOOKUP(A1429,'Sales Order'!A:C,3,FALSE),Employee!A:E,5,FALSE)&amp;" "&amp;VLOOKUP(VLOOKUP(A1429,'Sales Order'!A:C,3,FALSE),Employee!A:C,3,FALSE)&amp;" "&amp;VLOOKUP(VLOOKUP(A1429,'Sales Order'!A:C,3,FALSE),Employee!A:B,2,FALSE),"Not Specified")</f>
        <v>Ms. Judy Lew</v>
      </c>
      <c r="I1429" t="str">
        <f>IFERROR(VLOOKUP(VLOOKUP(A1429,'Sales Order'!A:C,3,FALSE),Employee!A:J,10,FALSE),"Not Specified")</f>
        <v>WA</v>
      </c>
      <c r="J1429" t="str">
        <f>VLOOKUP(B1429,Product!A:B,2,FALSE)</f>
        <v>Product TTEEX</v>
      </c>
      <c r="K1429" t="str">
        <f>VLOOKUP(VLOOKUP(B1429,Product!A:D,4,FALSE),Category!A:B,2,FALSE)</f>
        <v>Seafood</v>
      </c>
      <c r="L1429" s="24">
        <f>IFERROR(VLOOKUP(A1429,'Sales Order'!A:D,4,FALSE),"")</f>
        <v>39440</v>
      </c>
      <c r="M1429" s="24">
        <f>IFERROR(VLOOKUP(A1429,'Sales Order'!A:F,6,FALSE),"")</f>
        <v>39455</v>
      </c>
      <c r="N1429" t="str">
        <f>IFERROR(VLOOKUP(VLOOKUP(A1429,'Sales Order'!A:G,7,FALSE),Shipper!A:B,2,FALSE),"Not Specified")</f>
        <v>Shipper ZHISN</v>
      </c>
      <c r="O1429" t="str">
        <f>IFERROR(VLOOKUP(A1429,'Sales Order'!A:I,9,FALSE),"Not Specified")</f>
        <v>Ship to 4-B</v>
      </c>
      <c r="P1429" t="str">
        <f>IFERROR(VLOOKUP(A1429,'Sales Order'!A:N,14,FALSE),"Not Specified")</f>
        <v>UK</v>
      </c>
      <c r="Q1429" t="str">
        <f>VLOOKUP(VLOOKUP(B1429,Product!A:C,3,FALSE),Supplier!A:B,2,FALSE)</f>
        <v>Supplier JDNUG</v>
      </c>
      <c r="R1429" t="str">
        <f>VLOOKUP(VLOOKUP(B1429,Product!A:C,3,FALSE),Supplier!A:I,9,FALSE)</f>
        <v>USA</v>
      </c>
      <c r="S1429" t="str">
        <f>IFERROR(IF(VLOOKUP(A1429,'Sales Order'!A:H,8,FALSE)&gt;100,"High Freight","Low Freight"),"Not Specified")</f>
        <v>Low Freight</v>
      </c>
      <c r="T1429">
        <f t="shared" si="45"/>
        <v>135.1</v>
      </c>
    </row>
    <row r="1430" spans="1:20">
      <c r="A1430" s="9">
        <v>10793</v>
      </c>
      <c r="B1430" s="6">
        <v>52</v>
      </c>
      <c r="C1430" s="6">
        <v>7</v>
      </c>
      <c r="D1430" s="6">
        <v>8</v>
      </c>
      <c r="E1430" s="18">
        <v>0</v>
      </c>
      <c r="F1430" s="6" t="str">
        <f>IFERROR(VLOOKUP(VLOOKUP(A1430,'Sales Order'!A:B,2,FALSE),Customer!A:C,3,FALSE),"Not Specified")</f>
        <v>Arndt, Torsten</v>
      </c>
      <c r="G1430" s="6" t="str">
        <f t="shared" si="44"/>
        <v>Arndt Torsten</v>
      </c>
      <c r="H1430" s="22" t="str">
        <f>IFERROR(VLOOKUP(VLOOKUP(A1430,'Sales Order'!A:C,3,FALSE),Employee!A:E,5,FALSE)&amp;" "&amp;VLOOKUP(VLOOKUP(A1430,'Sales Order'!A:C,3,FALSE),Employee!A:C,3,FALSE)&amp;" "&amp;VLOOKUP(VLOOKUP(A1430,'Sales Order'!A:C,3,FALSE),Employee!A:B,2,FALSE),"Not Specified")</f>
        <v>Ms. Judy Lew</v>
      </c>
      <c r="I1430" t="str">
        <f>IFERROR(VLOOKUP(VLOOKUP(A1430,'Sales Order'!A:C,3,FALSE),Employee!A:J,10,FALSE),"Not Specified")</f>
        <v>WA</v>
      </c>
      <c r="J1430" t="str">
        <f>VLOOKUP(B1430,Product!A:B,2,FALSE)</f>
        <v>Product QSRXF</v>
      </c>
      <c r="K1430" t="str">
        <f>VLOOKUP(VLOOKUP(B1430,Product!A:D,4,FALSE),Category!A:B,2,FALSE)</f>
        <v>Grains/Cereals</v>
      </c>
      <c r="L1430" s="24">
        <f>IFERROR(VLOOKUP(A1430,'Sales Order'!A:D,4,FALSE),"")</f>
        <v>39440</v>
      </c>
      <c r="M1430" s="24">
        <f>IFERROR(VLOOKUP(A1430,'Sales Order'!A:F,6,FALSE),"")</f>
        <v>39455</v>
      </c>
      <c r="N1430" t="str">
        <f>IFERROR(VLOOKUP(VLOOKUP(A1430,'Sales Order'!A:G,7,FALSE),Shipper!A:B,2,FALSE),"Not Specified")</f>
        <v>Shipper ZHISN</v>
      </c>
      <c r="O1430" t="str">
        <f>IFERROR(VLOOKUP(A1430,'Sales Order'!A:I,9,FALSE),"Not Specified")</f>
        <v>Ship to 4-B</v>
      </c>
      <c r="P1430" t="str">
        <f>IFERROR(VLOOKUP(A1430,'Sales Order'!A:N,14,FALSE),"Not Specified")</f>
        <v>UK</v>
      </c>
      <c r="Q1430" t="str">
        <f>VLOOKUP(VLOOKUP(B1430,Product!A:C,3,FALSE),Supplier!A:B,2,FALSE)</f>
        <v>Supplier JNNES</v>
      </c>
      <c r="R1430" t="str">
        <f>VLOOKUP(VLOOKUP(B1430,Product!A:C,3,FALSE),Supplier!A:I,9,FALSE)</f>
        <v>Australia</v>
      </c>
      <c r="S1430" t="str">
        <f>IFERROR(IF(VLOOKUP(A1430,'Sales Order'!A:H,8,FALSE)&gt;100,"High Freight","Low Freight"),"Not Specified")</f>
        <v>Low Freight</v>
      </c>
      <c r="T1430">
        <f t="shared" si="45"/>
        <v>56</v>
      </c>
    </row>
    <row r="1431" spans="1:20">
      <c r="A1431" s="9">
        <v>10794</v>
      </c>
      <c r="B1431" s="6">
        <v>14</v>
      </c>
      <c r="C1431" s="6">
        <v>23.25</v>
      </c>
      <c r="D1431" s="6">
        <v>15</v>
      </c>
      <c r="E1431" s="18">
        <v>0.2</v>
      </c>
      <c r="F1431" s="6" t="str">
        <f>IFERROR(VLOOKUP(VLOOKUP(A1431,'Sales Order'!A:B,2,FALSE),Customer!A:C,3,FALSE),"Not Specified")</f>
        <v>Florczyk, Krzysztof</v>
      </c>
      <c r="G1431" s="6" t="str">
        <f t="shared" si="44"/>
        <v>Florczyk Krzysztof</v>
      </c>
      <c r="H1431" s="22" t="str">
        <f>IFERROR(VLOOKUP(VLOOKUP(A1431,'Sales Order'!A:C,3,FALSE),Employee!A:E,5,FALSE)&amp;" "&amp;VLOOKUP(VLOOKUP(A1431,'Sales Order'!A:C,3,FALSE),Employee!A:C,3,FALSE)&amp;" "&amp;VLOOKUP(VLOOKUP(A1431,'Sales Order'!A:C,3,FALSE),Employee!A:B,2,FALSE),"Not Specified")</f>
        <v>Mr. Paul Suurs</v>
      </c>
      <c r="I1431">
        <f>IFERROR(VLOOKUP(VLOOKUP(A1431,'Sales Order'!A:C,3,FALSE),Employee!A:J,10,FALSE),"Not Specified")</f>
        <v>0</v>
      </c>
      <c r="J1431" t="str">
        <f>VLOOKUP(B1431,Product!A:B,2,FALSE)</f>
        <v>Product PWCJB</v>
      </c>
      <c r="K1431" t="str">
        <f>VLOOKUP(VLOOKUP(B1431,Product!A:D,4,FALSE),Category!A:B,2,FALSE)</f>
        <v>Produce</v>
      </c>
      <c r="L1431" s="24">
        <f>IFERROR(VLOOKUP(A1431,'Sales Order'!A:D,4,FALSE),"")</f>
        <v>39440</v>
      </c>
      <c r="M1431" s="24">
        <f>IFERROR(VLOOKUP(A1431,'Sales Order'!A:F,6,FALSE),"")</f>
        <v>39449</v>
      </c>
      <c r="N1431" t="str">
        <f>IFERROR(VLOOKUP(VLOOKUP(A1431,'Sales Order'!A:G,7,FALSE),Shipper!A:B,2,FALSE),"Not Specified")</f>
        <v>Shipper GVSUA</v>
      </c>
      <c r="O1431" t="str">
        <f>IFERROR(VLOOKUP(A1431,'Sales Order'!A:I,9,FALSE),"Not Specified")</f>
        <v>Ship to 61-C</v>
      </c>
      <c r="P1431" t="str">
        <f>IFERROR(VLOOKUP(A1431,'Sales Order'!A:N,14,FALSE),"Not Specified")</f>
        <v>Brazil</v>
      </c>
      <c r="Q1431" t="str">
        <f>VLOOKUP(VLOOKUP(B1431,Product!A:C,3,FALSE),Supplier!A:B,2,FALSE)</f>
        <v>Supplier QWUSF</v>
      </c>
      <c r="R1431" t="str">
        <f>VLOOKUP(VLOOKUP(B1431,Product!A:C,3,FALSE),Supplier!A:I,9,FALSE)</f>
        <v>Japan</v>
      </c>
      <c r="S1431" t="str">
        <f>IFERROR(IF(VLOOKUP(A1431,'Sales Order'!A:H,8,FALSE)&gt;100,"High Freight","Low Freight"),"Not Specified")</f>
        <v>Low Freight</v>
      </c>
      <c r="T1431">
        <f t="shared" si="45"/>
        <v>279</v>
      </c>
    </row>
    <row r="1432" spans="1:20">
      <c r="A1432" s="9">
        <v>10794</v>
      </c>
      <c r="B1432" s="6">
        <v>54</v>
      </c>
      <c r="C1432" s="6">
        <v>7.45</v>
      </c>
      <c r="D1432" s="6">
        <v>6</v>
      </c>
      <c r="E1432" s="18">
        <v>0.2</v>
      </c>
      <c r="F1432" s="6" t="str">
        <f>IFERROR(VLOOKUP(VLOOKUP(A1432,'Sales Order'!A:B,2,FALSE),Customer!A:C,3,FALSE),"Not Specified")</f>
        <v>Florczyk, Krzysztof</v>
      </c>
      <c r="G1432" s="6" t="str">
        <f t="shared" si="44"/>
        <v>Florczyk Krzysztof</v>
      </c>
      <c r="H1432" s="22" t="str">
        <f>IFERROR(VLOOKUP(VLOOKUP(A1432,'Sales Order'!A:C,3,FALSE),Employee!A:E,5,FALSE)&amp;" "&amp;VLOOKUP(VLOOKUP(A1432,'Sales Order'!A:C,3,FALSE),Employee!A:C,3,FALSE)&amp;" "&amp;VLOOKUP(VLOOKUP(A1432,'Sales Order'!A:C,3,FALSE),Employee!A:B,2,FALSE),"Not Specified")</f>
        <v>Mr. Paul Suurs</v>
      </c>
      <c r="I1432">
        <f>IFERROR(VLOOKUP(VLOOKUP(A1432,'Sales Order'!A:C,3,FALSE),Employee!A:J,10,FALSE),"Not Specified")</f>
        <v>0</v>
      </c>
      <c r="J1432" t="str">
        <f>VLOOKUP(B1432,Product!A:B,2,FALSE)</f>
        <v>Product QAQRL</v>
      </c>
      <c r="K1432" t="str">
        <f>VLOOKUP(VLOOKUP(B1432,Product!A:D,4,FALSE),Category!A:B,2,FALSE)</f>
        <v>Meat/Poultry</v>
      </c>
      <c r="L1432" s="24">
        <f>IFERROR(VLOOKUP(A1432,'Sales Order'!A:D,4,FALSE),"")</f>
        <v>39440</v>
      </c>
      <c r="M1432" s="24">
        <f>IFERROR(VLOOKUP(A1432,'Sales Order'!A:F,6,FALSE),"")</f>
        <v>39449</v>
      </c>
      <c r="N1432" t="str">
        <f>IFERROR(VLOOKUP(VLOOKUP(A1432,'Sales Order'!A:G,7,FALSE),Shipper!A:B,2,FALSE),"Not Specified")</f>
        <v>Shipper GVSUA</v>
      </c>
      <c r="O1432" t="str">
        <f>IFERROR(VLOOKUP(A1432,'Sales Order'!A:I,9,FALSE),"Not Specified")</f>
        <v>Ship to 61-C</v>
      </c>
      <c r="P1432" t="str">
        <f>IFERROR(VLOOKUP(A1432,'Sales Order'!A:N,14,FALSE),"Not Specified")</f>
        <v>Brazil</v>
      </c>
      <c r="Q1432" t="str">
        <f>VLOOKUP(VLOOKUP(B1432,Product!A:C,3,FALSE),Supplier!A:B,2,FALSE)</f>
        <v>Supplier ERVYZ</v>
      </c>
      <c r="R1432" t="str">
        <f>VLOOKUP(VLOOKUP(B1432,Product!A:C,3,FALSE),Supplier!A:I,9,FALSE)</f>
        <v>Canada</v>
      </c>
      <c r="S1432" t="str">
        <f>IFERROR(IF(VLOOKUP(A1432,'Sales Order'!A:H,8,FALSE)&gt;100,"High Freight","Low Freight"),"Not Specified")</f>
        <v>Low Freight</v>
      </c>
      <c r="T1432">
        <f t="shared" si="45"/>
        <v>35.760000000000005</v>
      </c>
    </row>
    <row r="1433" spans="1:20">
      <c r="A1433" s="9">
        <v>10795</v>
      </c>
      <c r="B1433" s="6">
        <v>16</v>
      </c>
      <c r="C1433" s="6">
        <v>17.45</v>
      </c>
      <c r="D1433" s="6">
        <v>65</v>
      </c>
      <c r="E1433" s="18">
        <v>0</v>
      </c>
      <c r="F1433" s="6" t="str">
        <f>IFERROR(VLOOKUP(VLOOKUP(A1433,'Sales Order'!A:B,2,FALSE),Customer!A:C,3,FALSE),"Not Specified")</f>
        <v>Kane, John</v>
      </c>
      <c r="G1433" s="6" t="str">
        <f t="shared" si="44"/>
        <v>Kane John</v>
      </c>
      <c r="H1433" s="22" t="str">
        <f>IFERROR(VLOOKUP(VLOOKUP(A1433,'Sales Order'!A:C,3,FALSE),Employee!A:E,5,FALSE)&amp;" "&amp;VLOOKUP(VLOOKUP(A1433,'Sales Order'!A:C,3,FALSE),Employee!A:C,3,FALSE)&amp;" "&amp;VLOOKUP(VLOOKUP(A1433,'Sales Order'!A:C,3,FALSE),Employee!A:B,2,FALSE),"Not Specified")</f>
        <v>Ms. Maria Cameron</v>
      </c>
      <c r="I1433" t="str">
        <f>IFERROR(VLOOKUP(VLOOKUP(A1433,'Sales Order'!A:C,3,FALSE),Employee!A:J,10,FALSE),"Not Specified")</f>
        <v>WA</v>
      </c>
      <c r="J1433" t="str">
        <f>VLOOKUP(B1433,Product!A:B,2,FALSE)</f>
        <v>Product PAFRH</v>
      </c>
      <c r="K1433" t="str">
        <f>VLOOKUP(VLOOKUP(B1433,Product!A:D,4,FALSE),Category!A:B,2,FALSE)</f>
        <v>Confections</v>
      </c>
      <c r="L1433" s="24">
        <f>IFERROR(VLOOKUP(A1433,'Sales Order'!A:D,4,FALSE),"")</f>
        <v>39440</v>
      </c>
      <c r="M1433" s="24">
        <f>IFERROR(VLOOKUP(A1433,'Sales Order'!A:F,6,FALSE),"")</f>
        <v>39467</v>
      </c>
      <c r="N1433" t="str">
        <f>IFERROR(VLOOKUP(VLOOKUP(A1433,'Sales Order'!A:G,7,FALSE),Shipper!A:B,2,FALSE),"Not Specified")</f>
        <v>Shipper ETYNR</v>
      </c>
      <c r="O1433" t="str">
        <f>IFERROR(VLOOKUP(A1433,'Sales Order'!A:I,9,FALSE),"Not Specified")</f>
        <v>Destination FFXKT</v>
      </c>
      <c r="P1433" t="str">
        <f>IFERROR(VLOOKUP(A1433,'Sales Order'!A:N,14,FALSE),"Not Specified")</f>
        <v>Austria</v>
      </c>
      <c r="Q1433" t="str">
        <f>VLOOKUP(VLOOKUP(B1433,Product!A:C,3,FALSE),Supplier!A:B,2,FALSE)</f>
        <v>Supplier GQRCV</v>
      </c>
      <c r="R1433" t="str">
        <f>VLOOKUP(VLOOKUP(B1433,Product!A:C,3,FALSE),Supplier!A:I,9,FALSE)</f>
        <v>Australia</v>
      </c>
      <c r="S1433" t="str">
        <f>IFERROR(IF(VLOOKUP(A1433,'Sales Order'!A:H,8,FALSE)&gt;100,"High Freight","Low Freight"),"Not Specified")</f>
        <v>High Freight</v>
      </c>
      <c r="T1433">
        <f t="shared" si="45"/>
        <v>1134.25</v>
      </c>
    </row>
    <row r="1434" spans="1:20">
      <c r="A1434" s="9">
        <v>10795</v>
      </c>
      <c r="B1434" s="6">
        <v>17</v>
      </c>
      <c r="C1434" s="6">
        <v>39</v>
      </c>
      <c r="D1434" s="6">
        <v>35</v>
      </c>
      <c r="E1434" s="18">
        <v>0.25</v>
      </c>
      <c r="F1434" s="6" t="str">
        <f>IFERROR(VLOOKUP(VLOOKUP(A1434,'Sales Order'!A:B,2,FALSE),Customer!A:C,3,FALSE),"Not Specified")</f>
        <v>Kane, John</v>
      </c>
      <c r="G1434" s="6" t="str">
        <f t="shared" si="44"/>
        <v>Kane John</v>
      </c>
      <c r="H1434" s="22" t="str">
        <f>IFERROR(VLOOKUP(VLOOKUP(A1434,'Sales Order'!A:C,3,FALSE),Employee!A:E,5,FALSE)&amp;" "&amp;VLOOKUP(VLOOKUP(A1434,'Sales Order'!A:C,3,FALSE),Employee!A:C,3,FALSE)&amp;" "&amp;VLOOKUP(VLOOKUP(A1434,'Sales Order'!A:C,3,FALSE),Employee!A:B,2,FALSE),"Not Specified")</f>
        <v>Ms. Maria Cameron</v>
      </c>
      <c r="I1434" t="str">
        <f>IFERROR(VLOOKUP(VLOOKUP(A1434,'Sales Order'!A:C,3,FALSE),Employee!A:J,10,FALSE),"Not Specified")</f>
        <v>WA</v>
      </c>
      <c r="J1434" t="str">
        <f>VLOOKUP(B1434,Product!A:B,2,FALSE)</f>
        <v>Product BLCAX</v>
      </c>
      <c r="K1434" t="str">
        <f>VLOOKUP(VLOOKUP(B1434,Product!A:D,4,FALSE),Category!A:B,2,FALSE)</f>
        <v>Meat/Poultry</v>
      </c>
      <c r="L1434" s="24">
        <f>IFERROR(VLOOKUP(A1434,'Sales Order'!A:D,4,FALSE),"")</f>
        <v>39440</v>
      </c>
      <c r="M1434" s="24">
        <f>IFERROR(VLOOKUP(A1434,'Sales Order'!A:F,6,FALSE),"")</f>
        <v>39467</v>
      </c>
      <c r="N1434" t="str">
        <f>IFERROR(VLOOKUP(VLOOKUP(A1434,'Sales Order'!A:G,7,FALSE),Shipper!A:B,2,FALSE),"Not Specified")</f>
        <v>Shipper ETYNR</v>
      </c>
      <c r="O1434" t="str">
        <f>IFERROR(VLOOKUP(A1434,'Sales Order'!A:I,9,FALSE),"Not Specified")</f>
        <v>Destination FFXKT</v>
      </c>
      <c r="P1434" t="str">
        <f>IFERROR(VLOOKUP(A1434,'Sales Order'!A:N,14,FALSE),"Not Specified")</f>
        <v>Austria</v>
      </c>
      <c r="Q1434" t="str">
        <f>VLOOKUP(VLOOKUP(B1434,Product!A:C,3,FALSE),Supplier!A:B,2,FALSE)</f>
        <v>Supplier GQRCV</v>
      </c>
      <c r="R1434" t="str">
        <f>VLOOKUP(VLOOKUP(B1434,Product!A:C,3,FALSE),Supplier!A:I,9,FALSE)</f>
        <v>Australia</v>
      </c>
      <c r="S1434" t="str">
        <f>IFERROR(IF(VLOOKUP(A1434,'Sales Order'!A:H,8,FALSE)&gt;100,"High Freight","Low Freight"),"Not Specified")</f>
        <v>High Freight</v>
      </c>
      <c r="T1434">
        <f t="shared" si="45"/>
        <v>1023.75</v>
      </c>
    </row>
    <row r="1435" spans="1:20">
      <c r="A1435" s="9">
        <v>10796</v>
      </c>
      <c r="B1435" s="6">
        <v>26</v>
      </c>
      <c r="C1435" s="6">
        <v>31.23</v>
      </c>
      <c r="D1435" s="6">
        <v>21</v>
      </c>
      <c r="E1435" s="18">
        <v>0.2</v>
      </c>
      <c r="F1435" s="6" t="str">
        <f>IFERROR(VLOOKUP(VLOOKUP(A1435,'Sales Order'!A:B,2,FALSE),Customer!A:C,3,FALSE),"Not Specified")</f>
        <v>Langohr, Kris</v>
      </c>
      <c r="G1435" s="6" t="str">
        <f t="shared" si="44"/>
        <v>Langohr Kris</v>
      </c>
      <c r="H1435" s="22" t="str">
        <f>IFERROR(VLOOKUP(VLOOKUP(A1435,'Sales Order'!A:C,3,FALSE),Employee!A:E,5,FALSE)&amp;" "&amp;VLOOKUP(VLOOKUP(A1435,'Sales Order'!A:C,3,FALSE),Employee!A:C,3,FALSE)&amp;" "&amp;VLOOKUP(VLOOKUP(A1435,'Sales Order'!A:C,3,FALSE),Employee!A:B,2,FALSE),"Not Specified")</f>
        <v>Ms. Judy Lew</v>
      </c>
      <c r="I1435" t="str">
        <f>IFERROR(VLOOKUP(VLOOKUP(A1435,'Sales Order'!A:C,3,FALSE),Employee!A:J,10,FALSE),"Not Specified")</f>
        <v>WA</v>
      </c>
      <c r="J1435" t="str">
        <f>VLOOKUP(B1435,Product!A:B,2,FALSE)</f>
        <v>Product HLGZA</v>
      </c>
      <c r="K1435" t="str">
        <f>VLOOKUP(VLOOKUP(B1435,Product!A:D,4,FALSE),Category!A:B,2,FALSE)</f>
        <v>Confections</v>
      </c>
      <c r="L1435" s="24">
        <f>IFERROR(VLOOKUP(A1435,'Sales Order'!A:D,4,FALSE),"")</f>
        <v>39441</v>
      </c>
      <c r="M1435" s="24">
        <f>IFERROR(VLOOKUP(A1435,'Sales Order'!A:F,6,FALSE),"")</f>
        <v>39461</v>
      </c>
      <c r="N1435" t="str">
        <f>IFERROR(VLOOKUP(VLOOKUP(A1435,'Sales Order'!A:G,7,FALSE),Shipper!A:B,2,FALSE),"Not Specified")</f>
        <v>Shipper GVSUA</v>
      </c>
      <c r="O1435" t="str">
        <f>IFERROR(VLOOKUP(A1435,'Sales Order'!A:I,9,FALSE),"Not Specified")</f>
        <v>Destination UOUWK</v>
      </c>
      <c r="P1435" t="str">
        <f>IFERROR(VLOOKUP(A1435,'Sales Order'!A:N,14,FALSE),"Not Specified")</f>
        <v>Venezuela</v>
      </c>
      <c r="Q1435" t="str">
        <f>VLOOKUP(VLOOKUP(B1435,Product!A:C,3,FALSE),Supplier!A:B,2,FALSE)</f>
        <v>Supplier ZPYVS</v>
      </c>
      <c r="R1435" t="str">
        <f>VLOOKUP(VLOOKUP(B1435,Product!A:C,3,FALSE),Supplier!A:I,9,FALSE)</f>
        <v>Germany</v>
      </c>
      <c r="S1435" t="str">
        <f>IFERROR(IF(VLOOKUP(A1435,'Sales Order'!A:H,8,FALSE)&gt;100,"High Freight","Low Freight"),"Not Specified")</f>
        <v>Low Freight</v>
      </c>
      <c r="T1435">
        <f t="shared" si="45"/>
        <v>524.6640000000001</v>
      </c>
    </row>
    <row r="1436" spans="1:20">
      <c r="A1436" s="9">
        <v>10796</v>
      </c>
      <c r="B1436" s="6">
        <v>44</v>
      </c>
      <c r="C1436" s="6">
        <v>19.45</v>
      </c>
      <c r="D1436" s="6">
        <v>10</v>
      </c>
      <c r="E1436" s="18">
        <v>0</v>
      </c>
      <c r="F1436" s="6" t="str">
        <f>IFERROR(VLOOKUP(VLOOKUP(A1436,'Sales Order'!A:B,2,FALSE),Customer!A:C,3,FALSE),"Not Specified")</f>
        <v>Langohr, Kris</v>
      </c>
      <c r="G1436" s="6" t="str">
        <f t="shared" si="44"/>
        <v>Langohr Kris</v>
      </c>
      <c r="H1436" s="22" t="str">
        <f>IFERROR(VLOOKUP(VLOOKUP(A1436,'Sales Order'!A:C,3,FALSE),Employee!A:E,5,FALSE)&amp;" "&amp;VLOOKUP(VLOOKUP(A1436,'Sales Order'!A:C,3,FALSE),Employee!A:C,3,FALSE)&amp;" "&amp;VLOOKUP(VLOOKUP(A1436,'Sales Order'!A:C,3,FALSE),Employee!A:B,2,FALSE),"Not Specified")</f>
        <v>Ms. Judy Lew</v>
      </c>
      <c r="I1436" t="str">
        <f>IFERROR(VLOOKUP(VLOOKUP(A1436,'Sales Order'!A:C,3,FALSE),Employee!A:J,10,FALSE),"Not Specified")</f>
        <v>WA</v>
      </c>
      <c r="J1436" t="str">
        <f>VLOOKUP(B1436,Product!A:B,2,FALSE)</f>
        <v>Product VJIEO</v>
      </c>
      <c r="K1436" t="str">
        <f>VLOOKUP(VLOOKUP(B1436,Product!A:D,4,FALSE),Category!A:B,2,FALSE)</f>
        <v>Condiments</v>
      </c>
      <c r="L1436" s="24">
        <f>IFERROR(VLOOKUP(A1436,'Sales Order'!A:D,4,FALSE),"")</f>
        <v>39441</v>
      </c>
      <c r="M1436" s="24">
        <f>IFERROR(VLOOKUP(A1436,'Sales Order'!A:F,6,FALSE),"")</f>
        <v>39461</v>
      </c>
      <c r="N1436" t="str">
        <f>IFERROR(VLOOKUP(VLOOKUP(A1436,'Sales Order'!A:G,7,FALSE),Shipper!A:B,2,FALSE),"Not Specified")</f>
        <v>Shipper GVSUA</v>
      </c>
      <c r="O1436" t="str">
        <f>IFERROR(VLOOKUP(A1436,'Sales Order'!A:I,9,FALSE),"Not Specified")</f>
        <v>Destination UOUWK</v>
      </c>
      <c r="P1436" t="str">
        <f>IFERROR(VLOOKUP(A1436,'Sales Order'!A:N,14,FALSE),"Not Specified")</f>
        <v>Venezuela</v>
      </c>
      <c r="Q1436" t="str">
        <f>VLOOKUP(VLOOKUP(B1436,Product!A:C,3,FALSE),Supplier!A:B,2,FALSE)</f>
        <v>Supplier CIYNM</v>
      </c>
      <c r="R1436" t="str">
        <f>VLOOKUP(VLOOKUP(B1436,Product!A:C,3,FALSE),Supplier!A:I,9,FALSE)</f>
        <v>Singapore</v>
      </c>
      <c r="S1436" t="str">
        <f>IFERROR(IF(VLOOKUP(A1436,'Sales Order'!A:H,8,FALSE)&gt;100,"High Freight","Low Freight"),"Not Specified")</f>
        <v>Low Freight</v>
      </c>
      <c r="T1436">
        <f t="shared" si="45"/>
        <v>194.5</v>
      </c>
    </row>
    <row r="1437" spans="1:20">
      <c r="A1437" s="9">
        <v>10796</v>
      </c>
      <c r="B1437" s="6">
        <v>64</v>
      </c>
      <c r="C1437" s="6">
        <v>33.25</v>
      </c>
      <c r="D1437" s="6">
        <v>35</v>
      </c>
      <c r="E1437" s="18">
        <v>0.2</v>
      </c>
      <c r="F1437" s="6" t="str">
        <f>IFERROR(VLOOKUP(VLOOKUP(A1437,'Sales Order'!A:B,2,FALSE),Customer!A:C,3,FALSE),"Not Specified")</f>
        <v>Langohr, Kris</v>
      </c>
      <c r="G1437" s="6" t="str">
        <f t="shared" si="44"/>
        <v>Langohr Kris</v>
      </c>
      <c r="H1437" s="22" t="str">
        <f>IFERROR(VLOOKUP(VLOOKUP(A1437,'Sales Order'!A:C,3,FALSE),Employee!A:E,5,FALSE)&amp;" "&amp;VLOOKUP(VLOOKUP(A1437,'Sales Order'!A:C,3,FALSE),Employee!A:C,3,FALSE)&amp;" "&amp;VLOOKUP(VLOOKUP(A1437,'Sales Order'!A:C,3,FALSE),Employee!A:B,2,FALSE),"Not Specified")</f>
        <v>Ms. Judy Lew</v>
      </c>
      <c r="I1437" t="str">
        <f>IFERROR(VLOOKUP(VLOOKUP(A1437,'Sales Order'!A:C,3,FALSE),Employee!A:J,10,FALSE),"Not Specified")</f>
        <v>WA</v>
      </c>
      <c r="J1437" t="str">
        <f>VLOOKUP(B1437,Product!A:B,2,FALSE)</f>
        <v>Product HCQDE</v>
      </c>
      <c r="K1437" t="str">
        <f>VLOOKUP(VLOOKUP(B1437,Product!A:D,4,FALSE),Category!A:B,2,FALSE)</f>
        <v>Grains/Cereals</v>
      </c>
      <c r="L1437" s="24">
        <f>IFERROR(VLOOKUP(A1437,'Sales Order'!A:D,4,FALSE),"")</f>
        <v>39441</v>
      </c>
      <c r="M1437" s="24">
        <f>IFERROR(VLOOKUP(A1437,'Sales Order'!A:F,6,FALSE),"")</f>
        <v>39461</v>
      </c>
      <c r="N1437" t="str">
        <f>IFERROR(VLOOKUP(VLOOKUP(A1437,'Sales Order'!A:G,7,FALSE),Shipper!A:B,2,FALSE),"Not Specified")</f>
        <v>Shipper GVSUA</v>
      </c>
      <c r="O1437" t="str">
        <f>IFERROR(VLOOKUP(A1437,'Sales Order'!A:I,9,FALSE),"Not Specified")</f>
        <v>Destination UOUWK</v>
      </c>
      <c r="P1437" t="str">
        <f>IFERROR(VLOOKUP(A1437,'Sales Order'!A:N,14,FALSE),"Not Specified")</f>
        <v>Venezuela</v>
      </c>
      <c r="Q1437" t="str">
        <f>VLOOKUP(VLOOKUP(B1437,Product!A:C,3,FALSE),Supplier!A:B,2,FALSE)</f>
        <v>Supplier SVIYA</v>
      </c>
      <c r="R1437" t="str">
        <f>VLOOKUP(VLOOKUP(B1437,Product!A:C,3,FALSE),Supplier!A:I,9,FALSE)</f>
        <v>Germany</v>
      </c>
      <c r="S1437" t="str">
        <f>IFERROR(IF(VLOOKUP(A1437,'Sales Order'!A:H,8,FALSE)&gt;100,"High Freight","Low Freight"),"Not Specified")</f>
        <v>Low Freight</v>
      </c>
      <c r="T1437">
        <f t="shared" si="45"/>
        <v>931</v>
      </c>
    </row>
    <row r="1438" spans="1:20">
      <c r="A1438" s="9">
        <v>10796</v>
      </c>
      <c r="B1438" s="6">
        <v>69</v>
      </c>
      <c r="C1438" s="6">
        <v>36</v>
      </c>
      <c r="D1438" s="6">
        <v>24</v>
      </c>
      <c r="E1438" s="18">
        <v>0.2</v>
      </c>
      <c r="F1438" s="6" t="str">
        <f>IFERROR(VLOOKUP(VLOOKUP(A1438,'Sales Order'!A:B,2,FALSE),Customer!A:C,3,FALSE),"Not Specified")</f>
        <v>Langohr, Kris</v>
      </c>
      <c r="G1438" s="6" t="str">
        <f t="shared" si="44"/>
        <v>Langohr Kris</v>
      </c>
      <c r="H1438" s="22" t="str">
        <f>IFERROR(VLOOKUP(VLOOKUP(A1438,'Sales Order'!A:C,3,FALSE),Employee!A:E,5,FALSE)&amp;" "&amp;VLOOKUP(VLOOKUP(A1438,'Sales Order'!A:C,3,FALSE),Employee!A:C,3,FALSE)&amp;" "&amp;VLOOKUP(VLOOKUP(A1438,'Sales Order'!A:C,3,FALSE),Employee!A:B,2,FALSE),"Not Specified")</f>
        <v>Ms. Judy Lew</v>
      </c>
      <c r="I1438" t="str">
        <f>IFERROR(VLOOKUP(VLOOKUP(A1438,'Sales Order'!A:C,3,FALSE),Employee!A:J,10,FALSE),"Not Specified")</f>
        <v>WA</v>
      </c>
      <c r="J1438" t="str">
        <f>VLOOKUP(B1438,Product!A:B,2,FALSE)</f>
        <v>Product COAXA</v>
      </c>
      <c r="K1438" t="str">
        <f>VLOOKUP(VLOOKUP(B1438,Product!A:D,4,FALSE),Category!A:B,2,FALSE)</f>
        <v>Dairy Product</v>
      </c>
      <c r="L1438" s="24">
        <f>IFERROR(VLOOKUP(A1438,'Sales Order'!A:D,4,FALSE),"")</f>
        <v>39441</v>
      </c>
      <c r="M1438" s="24">
        <f>IFERROR(VLOOKUP(A1438,'Sales Order'!A:F,6,FALSE),"")</f>
        <v>39461</v>
      </c>
      <c r="N1438" t="str">
        <f>IFERROR(VLOOKUP(VLOOKUP(A1438,'Sales Order'!A:G,7,FALSE),Shipper!A:B,2,FALSE),"Not Specified")</f>
        <v>Shipper GVSUA</v>
      </c>
      <c r="O1438" t="str">
        <f>IFERROR(VLOOKUP(A1438,'Sales Order'!A:I,9,FALSE),"Not Specified")</f>
        <v>Destination UOUWK</v>
      </c>
      <c r="P1438" t="str">
        <f>IFERROR(VLOOKUP(A1438,'Sales Order'!A:N,14,FALSE),"Not Specified")</f>
        <v>Venezuela</v>
      </c>
      <c r="Q1438" t="str">
        <f>VLOOKUP(VLOOKUP(B1438,Product!A:C,3,FALSE),Supplier!A:B,2,FALSE)</f>
        <v>Supplier NZLIF</v>
      </c>
      <c r="R1438" t="str">
        <f>VLOOKUP(VLOOKUP(B1438,Product!A:C,3,FALSE),Supplier!A:I,9,FALSE)</f>
        <v>Norway</v>
      </c>
      <c r="S1438" t="str">
        <f>IFERROR(IF(VLOOKUP(A1438,'Sales Order'!A:H,8,FALSE)&gt;100,"High Freight","Low Freight"),"Not Specified")</f>
        <v>Low Freight</v>
      </c>
      <c r="T1438">
        <f t="shared" si="45"/>
        <v>691.2</v>
      </c>
    </row>
    <row r="1439" spans="1:20">
      <c r="A1439" s="9">
        <v>10797</v>
      </c>
      <c r="B1439" s="6">
        <v>11</v>
      </c>
      <c r="C1439" s="6">
        <v>21</v>
      </c>
      <c r="D1439" s="6">
        <v>20</v>
      </c>
      <c r="E1439" s="18">
        <v>0</v>
      </c>
      <c r="F1439" s="6" t="str">
        <f>IFERROR(VLOOKUP(VLOOKUP(A1439,'Sales Order'!A:B,2,FALSE),Customer!A:C,3,FALSE),"Not Specified")</f>
        <v>Jones, TiAnna</v>
      </c>
      <c r="G1439" s="6" t="str">
        <f t="shared" si="44"/>
        <v>Jones TiAnna</v>
      </c>
      <c r="H1439" s="22" t="str">
        <f>IFERROR(VLOOKUP(VLOOKUP(A1439,'Sales Order'!A:C,3,FALSE),Employee!A:E,5,FALSE)&amp;" "&amp;VLOOKUP(VLOOKUP(A1439,'Sales Order'!A:C,3,FALSE),Employee!A:C,3,FALSE)&amp;" "&amp;VLOOKUP(VLOOKUP(A1439,'Sales Order'!A:C,3,FALSE),Employee!A:B,2,FALSE),"Not Specified")</f>
        <v>Mr. Russell King</v>
      </c>
      <c r="I1439">
        <f>IFERROR(VLOOKUP(VLOOKUP(A1439,'Sales Order'!A:C,3,FALSE),Employee!A:J,10,FALSE),"Not Specified")</f>
        <v>0</v>
      </c>
      <c r="J1439" t="str">
        <f>VLOOKUP(B1439,Product!A:B,2,FALSE)</f>
        <v>Product QMVUN</v>
      </c>
      <c r="K1439" t="str">
        <f>VLOOKUP(VLOOKUP(B1439,Product!A:D,4,FALSE),Category!A:B,2,FALSE)</f>
        <v>Dairy Product</v>
      </c>
      <c r="L1439" s="24">
        <f>IFERROR(VLOOKUP(A1439,'Sales Order'!A:D,4,FALSE),"")</f>
        <v>39441</v>
      </c>
      <c r="M1439" s="24">
        <f>IFERROR(VLOOKUP(A1439,'Sales Order'!A:F,6,FALSE),"")</f>
        <v>39452</v>
      </c>
      <c r="N1439" t="str">
        <f>IFERROR(VLOOKUP(VLOOKUP(A1439,'Sales Order'!A:G,7,FALSE),Shipper!A:B,2,FALSE),"Not Specified")</f>
        <v>Shipper ETYNR</v>
      </c>
      <c r="O1439" t="str">
        <f>IFERROR(VLOOKUP(A1439,'Sales Order'!A:I,9,FALSE),"Not Specified")</f>
        <v>Destination AJTHX</v>
      </c>
      <c r="P1439" t="str">
        <f>IFERROR(VLOOKUP(A1439,'Sales Order'!A:N,14,FALSE),"Not Specified")</f>
        <v>Germany</v>
      </c>
      <c r="Q1439" t="str">
        <f>VLOOKUP(VLOOKUP(B1439,Product!A:C,3,FALSE),Supplier!A:B,2,FALSE)</f>
        <v>Supplier EQPNC</v>
      </c>
      <c r="R1439" t="str">
        <f>VLOOKUP(VLOOKUP(B1439,Product!A:C,3,FALSE),Supplier!A:I,9,FALSE)</f>
        <v>Spain</v>
      </c>
      <c r="S1439" t="str">
        <f>IFERROR(IF(VLOOKUP(A1439,'Sales Order'!A:H,8,FALSE)&gt;100,"High Freight","Low Freight"),"Not Specified")</f>
        <v>Low Freight</v>
      </c>
      <c r="T1439">
        <f t="shared" si="45"/>
        <v>420</v>
      </c>
    </row>
    <row r="1440" spans="1:20">
      <c r="A1440" s="9">
        <v>10798</v>
      </c>
      <c r="B1440" s="6">
        <v>62</v>
      </c>
      <c r="C1440" s="6">
        <v>49.3</v>
      </c>
      <c r="D1440" s="6">
        <v>2</v>
      </c>
      <c r="E1440" s="18">
        <v>0</v>
      </c>
      <c r="F1440" s="6" t="str">
        <f>IFERROR(VLOOKUP(VLOOKUP(A1440,'Sales Order'!A:B,2,FALSE),Customer!A:C,3,FALSE),"Not Specified")</f>
        <v>Lee, Frank</v>
      </c>
      <c r="G1440" s="6" t="str">
        <f t="shared" si="44"/>
        <v>Lee Frank</v>
      </c>
      <c r="H1440" s="22" t="str">
        <f>IFERROR(VLOOKUP(VLOOKUP(A1440,'Sales Order'!A:C,3,FALSE),Employee!A:E,5,FALSE)&amp;" "&amp;VLOOKUP(VLOOKUP(A1440,'Sales Order'!A:C,3,FALSE),Employee!A:C,3,FALSE)&amp;" "&amp;VLOOKUP(VLOOKUP(A1440,'Sales Order'!A:C,3,FALSE),Employee!A:B,2,FALSE),"Not Specified")</f>
        <v>Dr. Don Funk</v>
      </c>
      <c r="I1440" t="str">
        <f>IFERROR(VLOOKUP(VLOOKUP(A1440,'Sales Order'!A:C,3,FALSE),Employee!A:J,10,FALSE),"Not Specified")</f>
        <v>WA</v>
      </c>
      <c r="J1440" t="str">
        <f>VLOOKUP(B1440,Product!A:B,2,FALSE)</f>
        <v>Product WUXYK</v>
      </c>
      <c r="K1440" t="str">
        <f>VLOOKUP(VLOOKUP(B1440,Product!A:D,4,FALSE),Category!A:B,2,FALSE)</f>
        <v>Confections</v>
      </c>
      <c r="L1440" s="24">
        <f>IFERROR(VLOOKUP(A1440,'Sales Order'!A:D,4,FALSE),"")</f>
        <v>39442</v>
      </c>
      <c r="M1440" s="24">
        <f>IFERROR(VLOOKUP(A1440,'Sales Order'!A:F,6,FALSE),"")</f>
        <v>39452</v>
      </c>
      <c r="N1440" t="str">
        <f>IFERROR(VLOOKUP(VLOOKUP(A1440,'Sales Order'!A:G,7,FALSE),Shipper!A:B,2,FALSE),"Not Specified")</f>
        <v>Shipper GVSUA</v>
      </c>
      <c r="O1440" t="str">
        <f>IFERROR(VLOOKUP(A1440,'Sales Order'!A:I,9,FALSE),"Not Specified")</f>
        <v>Destination AXVHD</v>
      </c>
      <c r="P1440" t="str">
        <f>IFERROR(VLOOKUP(A1440,'Sales Order'!A:N,14,FALSE),"Not Specified")</f>
        <v>UK</v>
      </c>
      <c r="Q1440" t="str">
        <f>VLOOKUP(VLOOKUP(B1440,Product!A:C,3,FALSE),Supplier!A:B,2,FALSE)</f>
        <v>Supplier OGLRK</v>
      </c>
      <c r="R1440" t="str">
        <f>VLOOKUP(VLOOKUP(B1440,Product!A:C,3,FALSE),Supplier!A:I,9,FALSE)</f>
        <v>Canada</v>
      </c>
      <c r="S1440" t="str">
        <f>IFERROR(IF(VLOOKUP(A1440,'Sales Order'!A:H,8,FALSE)&gt;100,"High Freight","Low Freight"),"Not Specified")</f>
        <v>Low Freight</v>
      </c>
      <c r="T1440">
        <f t="shared" si="45"/>
        <v>98.6</v>
      </c>
    </row>
    <row r="1441" spans="1:20">
      <c r="A1441" s="9">
        <v>10798</v>
      </c>
      <c r="B1441" s="6">
        <v>72</v>
      </c>
      <c r="C1441" s="6">
        <v>34.799999999999997</v>
      </c>
      <c r="D1441" s="6">
        <v>10</v>
      </c>
      <c r="E1441" s="18">
        <v>0</v>
      </c>
      <c r="F1441" s="6" t="str">
        <f>IFERROR(VLOOKUP(VLOOKUP(A1441,'Sales Order'!A:B,2,FALSE),Customer!A:C,3,FALSE),"Not Specified")</f>
        <v>Lee, Frank</v>
      </c>
      <c r="G1441" s="6" t="str">
        <f t="shared" si="44"/>
        <v>Lee Frank</v>
      </c>
      <c r="H1441" s="22" t="str">
        <f>IFERROR(VLOOKUP(VLOOKUP(A1441,'Sales Order'!A:C,3,FALSE),Employee!A:E,5,FALSE)&amp;" "&amp;VLOOKUP(VLOOKUP(A1441,'Sales Order'!A:C,3,FALSE),Employee!A:C,3,FALSE)&amp;" "&amp;VLOOKUP(VLOOKUP(A1441,'Sales Order'!A:C,3,FALSE),Employee!A:B,2,FALSE),"Not Specified")</f>
        <v>Dr. Don Funk</v>
      </c>
      <c r="I1441" t="str">
        <f>IFERROR(VLOOKUP(VLOOKUP(A1441,'Sales Order'!A:C,3,FALSE),Employee!A:J,10,FALSE),"Not Specified")</f>
        <v>WA</v>
      </c>
      <c r="J1441" t="str">
        <f>VLOOKUP(B1441,Product!A:B,2,FALSE)</f>
        <v>Product GEEOO</v>
      </c>
      <c r="K1441" t="str">
        <f>VLOOKUP(VLOOKUP(B1441,Product!A:D,4,FALSE),Category!A:B,2,FALSE)</f>
        <v>Dairy Product</v>
      </c>
      <c r="L1441" s="24">
        <f>IFERROR(VLOOKUP(A1441,'Sales Order'!A:D,4,FALSE),"")</f>
        <v>39442</v>
      </c>
      <c r="M1441" s="24">
        <f>IFERROR(VLOOKUP(A1441,'Sales Order'!A:F,6,FALSE),"")</f>
        <v>39452</v>
      </c>
      <c r="N1441" t="str">
        <f>IFERROR(VLOOKUP(VLOOKUP(A1441,'Sales Order'!A:G,7,FALSE),Shipper!A:B,2,FALSE),"Not Specified")</f>
        <v>Shipper GVSUA</v>
      </c>
      <c r="O1441" t="str">
        <f>IFERROR(VLOOKUP(A1441,'Sales Order'!A:I,9,FALSE),"Not Specified")</f>
        <v>Destination AXVHD</v>
      </c>
      <c r="P1441" t="str">
        <f>IFERROR(VLOOKUP(A1441,'Sales Order'!A:N,14,FALSE),"Not Specified")</f>
        <v>UK</v>
      </c>
      <c r="Q1441" t="str">
        <f>VLOOKUP(VLOOKUP(B1441,Product!A:C,3,FALSE),Supplier!A:B,2,FALSE)</f>
        <v>Supplier KEREV</v>
      </c>
      <c r="R1441" t="str">
        <f>VLOOKUP(VLOOKUP(B1441,Product!A:C,3,FALSE),Supplier!A:I,9,FALSE)</f>
        <v>Italy</v>
      </c>
      <c r="S1441" t="str">
        <f>IFERROR(IF(VLOOKUP(A1441,'Sales Order'!A:H,8,FALSE)&gt;100,"High Freight","Low Freight"),"Not Specified")</f>
        <v>Low Freight</v>
      </c>
      <c r="T1441">
        <f t="shared" si="45"/>
        <v>348</v>
      </c>
    </row>
    <row r="1442" spans="1:20">
      <c r="A1442" s="9">
        <v>10799</v>
      </c>
      <c r="B1442" s="6">
        <v>13</v>
      </c>
      <c r="C1442" s="6">
        <v>6</v>
      </c>
      <c r="D1442" s="6">
        <v>20</v>
      </c>
      <c r="E1442" s="18">
        <v>0.15</v>
      </c>
      <c r="F1442" s="6" t="str">
        <f>IFERROR(VLOOKUP(VLOOKUP(A1442,'Sales Order'!A:B,2,FALSE),Customer!A:C,3,FALSE),"Not Specified")</f>
        <v>Song, Lolan</v>
      </c>
      <c r="G1442" s="6" t="str">
        <f t="shared" si="44"/>
        <v>Song Lolan</v>
      </c>
      <c r="H1442" s="22" t="str">
        <f>IFERROR(VLOOKUP(VLOOKUP(A1442,'Sales Order'!A:C,3,FALSE),Employee!A:E,5,FALSE)&amp;" "&amp;VLOOKUP(VLOOKUP(A1442,'Sales Order'!A:C,3,FALSE),Employee!A:C,3,FALSE)&amp;" "&amp;VLOOKUP(VLOOKUP(A1442,'Sales Order'!A:C,3,FALSE),Employee!A:B,2,FALSE),"Not Specified")</f>
        <v>Ms. Zoya Dolgopyatova</v>
      </c>
      <c r="I1442">
        <f>IFERROR(VLOOKUP(VLOOKUP(A1442,'Sales Order'!A:C,3,FALSE),Employee!A:J,10,FALSE),"Not Specified")</f>
        <v>0</v>
      </c>
      <c r="J1442" t="str">
        <f>VLOOKUP(B1442,Product!A:B,2,FALSE)</f>
        <v>Product POXFU</v>
      </c>
      <c r="K1442" t="str">
        <f>VLOOKUP(VLOOKUP(B1442,Product!A:D,4,FALSE),Category!A:B,2,FALSE)</f>
        <v>Seafood</v>
      </c>
      <c r="L1442" s="24">
        <f>IFERROR(VLOOKUP(A1442,'Sales Order'!A:D,4,FALSE),"")</f>
        <v>39442</v>
      </c>
      <c r="M1442" s="24">
        <f>IFERROR(VLOOKUP(A1442,'Sales Order'!A:F,6,FALSE),"")</f>
        <v>39452</v>
      </c>
      <c r="N1442" t="str">
        <f>IFERROR(VLOOKUP(VLOOKUP(A1442,'Sales Order'!A:G,7,FALSE),Shipper!A:B,2,FALSE),"Not Specified")</f>
        <v>Shipper ZHISN</v>
      </c>
      <c r="O1442" t="str">
        <f>IFERROR(VLOOKUP(A1442,'Sales Order'!A:I,9,FALSE),"Not Specified")</f>
        <v>Destination DKMQA</v>
      </c>
      <c r="P1442" t="str">
        <f>IFERROR(VLOOKUP(A1442,'Sales Order'!A:N,14,FALSE),"Not Specified")</f>
        <v>Germany</v>
      </c>
      <c r="Q1442" t="str">
        <f>VLOOKUP(VLOOKUP(B1442,Product!A:C,3,FALSE),Supplier!A:B,2,FALSE)</f>
        <v>Supplier QWUSF</v>
      </c>
      <c r="R1442" t="str">
        <f>VLOOKUP(VLOOKUP(B1442,Product!A:C,3,FALSE),Supplier!A:I,9,FALSE)</f>
        <v>Japan</v>
      </c>
      <c r="S1442" t="str">
        <f>IFERROR(IF(VLOOKUP(A1442,'Sales Order'!A:H,8,FALSE)&gt;100,"High Freight","Low Freight"),"Not Specified")</f>
        <v>Low Freight</v>
      </c>
      <c r="T1442">
        <f t="shared" si="45"/>
        <v>102</v>
      </c>
    </row>
    <row r="1443" spans="1:20">
      <c r="A1443" s="9">
        <v>10799</v>
      </c>
      <c r="B1443" s="6">
        <v>24</v>
      </c>
      <c r="C1443" s="6">
        <v>4.5</v>
      </c>
      <c r="D1443" s="6">
        <v>20</v>
      </c>
      <c r="E1443" s="18">
        <v>0.15</v>
      </c>
      <c r="F1443" s="6" t="str">
        <f>IFERROR(VLOOKUP(VLOOKUP(A1443,'Sales Order'!A:B,2,FALSE),Customer!A:C,3,FALSE),"Not Specified")</f>
        <v>Song, Lolan</v>
      </c>
      <c r="G1443" s="6" t="str">
        <f t="shared" si="44"/>
        <v>Song Lolan</v>
      </c>
      <c r="H1443" s="22" t="str">
        <f>IFERROR(VLOOKUP(VLOOKUP(A1443,'Sales Order'!A:C,3,FALSE),Employee!A:E,5,FALSE)&amp;" "&amp;VLOOKUP(VLOOKUP(A1443,'Sales Order'!A:C,3,FALSE),Employee!A:C,3,FALSE)&amp;" "&amp;VLOOKUP(VLOOKUP(A1443,'Sales Order'!A:C,3,FALSE),Employee!A:B,2,FALSE),"Not Specified")</f>
        <v>Ms. Zoya Dolgopyatova</v>
      </c>
      <c r="I1443">
        <f>IFERROR(VLOOKUP(VLOOKUP(A1443,'Sales Order'!A:C,3,FALSE),Employee!A:J,10,FALSE),"Not Specified")</f>
        <v>0</v>
      </c>
      <c r="J1443" t="str">
        <f>VLOOKUP(B1443,Product!A:B,2,FALSE)</f>
        <v>Product QOGNU</v>
      </c>
      <c r="K1443" t="str">
        <f>VLOOKUP(VLOOKUP(B1443,Product!A:D,4,FALSE),Category!A:B,2,FALSE)</f>
        <v>Beverages</v>
      </c>
      <c r="L1443" s="24">
        <f>IFERROR(VLOOKUP(A1443,'Sales Order'!A:D,4,FALSE),"")</f>
        <v>39442</v>
      </c>
      <c r="M1443" s="24">
        <f>IFERROR(VLOOKUP(A1443,'Sales Order'!A:F,6,FALSE),"")</f>
        <v>39452</v>
      </c>
      <c r="N1443" t="str">
        <f>IFERROR(VLOOKUP(VLOOKUP(A1443,'Sales Order'!A:G,7,FALSE),Shipper!A:B,2,FALSE),"Not Specified")</f>
        <v>Shipper ZHISN</v>
      </c>
      <c r="O1443" t="str">
        <f>IFERROR(VLOOKUP(A1443,'Sales Order'!A:I,9,FALSE),"Not Specified")</f>
        <v>Destination DKMQA</v>
      </c>
      <c r="P1443" t="str">
        <f>IFERROR(VLOOKUP(A1443,'Sales Order'!A:N,14,FALSE),"Not Specified")</f>
        <v>Germany</v>
      </c>
      <c r="Q1443" t="str">
        <f>VLOOKUP(VLOOKUP(B1443,Product!A:C,3,FALSE),Supplier!A:B,2,FALSE)</f>
        <v>Supplier UNAHG</v>
      </c>
      <c r="R1443" t="str">
        <f>VLOOKUP(VLOOKUP(B1443,Product!A:C,3,FALSE),Supplier!A:I,9,FALSE)</f>
        <v>Brazil</v>
      </c>
      <c r="S1443" t="str">
        <f>IFERROR(IF(VLOOKUP(A1443,'Sales Order'!A:H,8,FALSE)&gt;100,"High Freight","Low Freight"),"Not Specified")</f>
        <v>Low Freight</v>
      </c>
      <c r="T1443">
        <f t="shared" si="45"/>
        <v>76.5</v>
      </c>
    </row>
    <row r="1444" spans="1:20">
      <c r="A1444" s="9">
        <v>10799</v>
      </c>
      <c r="B1444" s="6">
        <v>59</v>
      </c>
      <c r="C1444" s="6">
        <v>55</v>
      </c>
      <c r="D1444" s="6">
        <v>25</v>
      </c>
      <c r="E1444" s="18">
        <v>0</v>
      </c>
      <c r="F1444" s="6" t="str">
        <f>IFERROR(VLOOKUP(VLOOKUP(A1444,'Sales Order'!A:B,2,FALSE),Customer!A:C,3,FALSE),"Not Specified")</f>
        <v>Song, Lolan</v>
      </c>
      <c r="G1444" s="6" t="str">
        <f t="shared" si="44"/>
        <v>Song Lolan</v>
      </c>
      <c r="H1444" s="22" t="str">
        <f>IFERROR(VLOOKUP(VLOOKUP(A1444,'Sales Order'!A:C,3,FALSE),Employee!A:E,5,FALSE)&amp;" "&amp;VLOOKUP(VLOOKUP(A1444,'Sales Order'!A:C,3,FALSE),Employee!A:C,3,FALSE)&amp;" "&amp;VLOOKUP(VLOOKUP(A1444,'Sales Order'!A:C,3,FALSE),Employee!A:B,2,FALSE),"Not Specified")</f>
        <v>Ms. Zoya Dolgopyatova</v>
      </c>
      <c r="I1444">
        <f>IFERROR(VLOOKUP(VLOOKUP(A1444,'Sales Order'!A:C,3,FALSE),Employee!A:J,10,FALSE),"Not Specified")</f>
        <v>0</v>
      </c>
      <c r="J1444" t="str">
        <f>VLOOKUP(B1444,Product!A:B,2,FALSE)</f>
        <v>Product UKXRI</v>
      </c>
      <c r="K1444" t="str">
        <f>VLOOKUP(VLOOKUP(B1444,Product!A:D,4,FALSE),Category!A:B,2,FALSE)</f>
        <v>Dairy Product</v>
      </c>
      <c r="L1444" s="24">
        <f>IFERROR(VLOOKUP(A1444,'Sales Order'!A:D,4,FALSE),"")</f>
        <v>39442</v>
      </c>
      <c r="M1444" s="24">
        <f>IFERROR(VLOOKUP(A1444,'Sales Order'!A:F,6,FALSE),"")</f>
        <v>39452</v>
      </c>
      <c r="N1444" t="str">
        <f>IFERROR(VLOOKUP(VLOOKUP(A1444,'Sales Order'!A:G,7,FALSE),Shipper!A:B,2,FALSE),"Not Specified")</f>
        <v>Shipper ZHISN</v>
      </c>
      <c r="O1444" t="str">
        <f>IFERROR(VLOOKUP(A1444,'Sales Order'!A:I,9,FALSE),"Not Specified")</f>
        <v>Destination DKMQA</v>
      </c>
      <c r="P1444" t="str">
        <f>IFERROR(VLOOKUP(A1444,'Sales Order'!A:N,14,FALSE),"Not Specified")</f>
        <v>Germany</v>
      </c>
      <c r="Q1444" t="str">
        <f>VLOOKUP(VLOOKUP(B1444,Product!A:C,3,FALSE),Supplier!A:B,2,FALSE)</f>
        <v>Supplier OAVQT</v>
      </c>
      <c r="R1444" t="str">
        <f>VLOOKUP(VLOOKUP(B1444,Product!A:C,3,FALSE),Supplier!A:I,9,FALSE)</f>
        <v>France</v>
      </c>
      <c r="S1444" t="str">
        <f>IFERROR(IF(VLOOKUP(A1444,'Sales Order'!A:H,8,FALSE)&gt;100,"High Freight","Low Freight"),"Not Specified")</f>
        <v>Low Freight</v>
      </c>
      <c r="T1444">
        <f t="shared" si="45"/>
        <v>1375</v>
      </c>
    </row>
    <row r="1445" spans="1:20">
      <c r="A1445" s="9">
        <v>10800</v>
      </c>
      <c r="B1445" s="6">
        <v>11</v>
      </c>
      <c r="C1445" s="6">
        <v>21</v>
      </c>
      <c r="D1445" s="6">
        <v>50</v>
      </c>
      <c r="E1445" s="18">
        <v>0.1</v>
      </c>
      <c r="F1445" s="6" t="str">
        <f>IFERROR(VLOOKUP(VLOOKUP(A1445,'Sales Order'!A:B,2,FALSE),Customer!A:C,3,FALSE),"Not Specified")</f>
        <v>Welcker, Brian</v>
      </c>
      <c r="G1445" s="6" t="str">
        <f t="shared" si="44"/>
        <v>Welcker Brian</v>
      </c>
      <c r="H1445" s="22" t="str">
        <f>IFERROR(VLOOKUP(VLOOKUP(A1445,'Sales Order'!A:C,3,FALSE),Employee!A:E,5,FALSE)&amp;" "&amp;VLOOKUP(VLOOKUP(A1445,'Sales Order'!A:C,3,FALSE),Employee!A:C,3,FALSE)&amp;" "&amp;VLOOKUP(VLOOKUP(A1445,'Sales Order'!A:C,3,FALSE),Employee!A:B,2,FALSE),"Not Specified")</f>
        <v>Ms. Sara Davis</v>
      </c>
      <c r="I1445" t="str">
        <f>IFERROR(VLOOKUP(VLOOKUP(A1445,'Sales Order'!A:C,3,FALSE),Employee!A:J,10,FALSE),"Not Specified")</f>
        <v>WA</v>
      </c>
      <c r="J1445" t="str">
        <f>VLOOKUP(B1445,Product!A:B,2,FALSE)</f>
        <v>Product QMVUN</v>
      </c>
      <c r="K1445" t="str">
        <f>VLOOKUP(VLOOKUP(B1445,Product!A:D,4,FALSE),Category!A:B,2,FALSE)</f>
        <v>Dairy Product</v>
      </c>
      <c r="L1445" s="24">
        <f>IFERROR(VLOOKUP(A1445,'Sales Order'!A:D,4,FALSE),"")</f>
        <v>39442</v>
      </c>
      <c r="M1445" s="24">
        <f>IFERROR(VLOOKUP(A1445,'Sales Order'!A:F,6,FALSE),"")</f>
        <v>39452</v>
      </c>
      <c r="N1445" t="str">
        <f>IFERROR(VLOOKUP(VLOOKUP(A1445,'Sales Order'!A:G,7,FALSE),Shipper!A:B,2,FALSE),"Not Specified")</f>
        <v>Shipper ZHISN</v>
      </c>
      <c r="O1445" t="str">
        <f>IFERROR(VLOOKUP(A1445,'Sales Order'!A:I,9,FALSE),"Not Specified")</f>
        <v>Ship to 72-C</v>
      </c>
      <c r="P1445" t="str">
        <f>IFERROR(VLOOKUP(A1445,'Sales Order'!A:N,14,FALSE),"Not Specified")</f>
        <v>UK</v>
      </c>
      <c r="Q1445" t="str">
        <f>VLOOKUP(VLOOKUP(B1445,Product!A:C,3,FALSE),Supplier!A:B,2,FALSE)</f>
        <v>Supplier EQPNC</v>
      </c>
      <c r="R1445" t="str">
        <f>VLOOKUP(VLOOKUP(B1445,Product!A:C,3,FALSE),Supplier!A:I,9,FALSE)</f>
        <v>Spain</v>
      </c>
      <c r="S1445" t="str">
        <f>IFERROR(IF(VLOOKUP(A1445,'Sales Order'!A:H,8,FALSE)&gt;100,"High Freight","Low Freight"),"Not Specified")</f>
        <v>High Freight</v>
      </c>
      <c r="T1445">
        <f t="shared" si="45"/>
        <v>945</v>
      </c>
    </row>
    <row r="1446" spans="1:20">
      <c r="A1446" s="9">
        <v>10800</v>
      </c>
      <c r="B1446" s="6">
        <v>51</v>
      </c>
      <c r="C1446" s="6">
        <v>53</v>
      </c>
      <c r="D1446" s="6">
        <v>10</v>
      </c>
      <c r="E1446" s="18">
        <v>0.1</v>
      </c>
      <c r="F1446" s="6" t="str">
        <f>IFERROR(VLOOKUP(VLOOKUP(A1446,'Sales Order'!A:B,2,FALSE),Customer!A:C,3,FALSE),"Not Specified")</f>
        <v>Welcker, Brian</v>
      </c>
      <c r="G1446" s="6" t="str">
        <f t="shared" si="44"/>
        <v>Welcker Brian</v>
      </c>
      <c r="H1446" s="22" t="str">
        <f>IFERROR(VLOOKUP(VLOOKUP(A1446,'Sales Order'!A:C,3,FALSE),Employee!A:E,5,FALSE)&amp;" "&amp;VLOOKUP(VLOOKUP(A1446,'Sales Order'!A:C,3,FALSE),Employee!A:C,3,FALSE)&amp;" "&amp;VLOOKUP(VLOOKUP(A1446,'Sales Order'!A:C,3,FALSE),Employee!A:B,2,FALSE),"Not Specified")</f>
        <v>Ms. Sara Davis</v>
      </c>
      <c r="I1446" t="str">
        <f>IFERROR(VLOOKUP(VLOOKUP(A1446,'Sales Order'!A:C,3,FALSE),Employee!A:J,10,FALSE),"Not Specified")</f>
        <v>WA</v>
      </c>
      <c r="J1446" t="str">
        <f>VLOOKUP(B1446,Product!A:B,2,FALSE)</f>
        <v>Product APITJ</v>
      </c>
      <c r="K1446" t="str">
        <f>VLOOKUP(VLOOKUP(B1446,Product!A:D,4,FALSE),Category!A:B,2,FALSE)</f>
        <v>Produce</v>
      </c>
      <c r="L1446" s="24">
        <f>IFERROR(VLOOKUP(A1446,'Sales Order'!A:D,4,FALSE),"")</f>
        <v>39442</v>
      </c>
      <c r="M1446" s="24">
        <f>IFERROR(VLOOKUP(A1446,'Sales Order'!A:F,6,FALSE),"")</f>
        <v>39452</v>
      </c>
      <c r="N1446" t="str">
        <f>IFERROR(VLOOKUP(VLOOKUP(A1446,'Sales Order'!A:G,7,FALSE),Shipper!A:B,2,FALSE),"Not Specified")</f>
        <v>Shipper ZHISN</v>
      </c>
      <c r="O1446" t="str">
        <f>IFERROR(VLOOKUP(A1446,'Sales Order'!A:I,9,FALSE),"Not Specified")</f>
        <v>Ship to 72-C</v>
      </c>
      <c r="P1446" t="str">
        <f>IFERROR(VLOOKUP(A1446,'Sales Order'!A:N,14,FALSE),"Not Specified")</f>
        <v>UK</v>
      </c>
      <c r="Q1446" t="str">
        <f>VLOOKUP(VLOOKUP(B1446,Product!A:C,3,FALSE),Supplier!A:B,2,FALSE)</f>
        <v>Supplier JNNES</v>
      </c>
      <c r="R1446" t="str">
        <f>VLOOKUP(VLOOKUP(B1446,Product!A:C,3,FALSE),Supplier!A:I,9,FALSE)</f>
        <v>Australia</v>
      </c>
      <c r="S1446" t="str">
        <f>IFERROR(IF(VLOOKUP(A1446,'Sales Order'!A:H,8,FALSE)&gt;100,"High Freight","Low Freight"),"Not Specified")</f>
        <v>High Freight</v>
      </c>
      <c r="T1446">
        <f t="shared" si="45"/>
        <v>477</v>
      </c>
    </row>
    <row r="1447" spans="1:20">
      <c r="A1447" s="9">
        <v>10800</v>
      </c>
      <c r="B1447" s="6">
        <v>54</v>
      </c>
      <c r="C1447" s="6">
        <v>7.45</v>
      </c>
      <c r="D1447" s="6">
        <v>7</v>
      </c>
      <c r="E1447" s="18">
        <v>0.1</v>
      </c>
      <c r="F1447" s="6" t="str">
        <f>IFERROR(VLOOKUP(VLOOKUP(A1447,'Sales Order'!A:B,2,FALSE),Customer!A:C,3,FALSE),"Not Specified")</f>
        <v>Welcker, Brian</v>
      </c>
      <c r="G1447" s="6" t="str">
        <f t="shared" si="44"/>
        <v>Welcker Brian</v>
      </c>
      <c r="H1447" s="22" t="str">
        <f>IFERROR(VLOOKUP(VLOOKUP(A1447,'Sales Order'!A:C,3,FALSE),Employee!A:E,5,FALSE)&amp;" "&amp;VLOOKUP(VLOOKUP(A1447,'Sales Order'!A:C,3,FALSE),Employee!A:C,3,FALSE)&amp;" "&amp;VLOOKUP(VLOOKUP(A1447,'Sales Order'!A:C,3,FALSE),Employee!A:B,2,FALSE),"Not Specified")</f>
        <v>Ms. Sara Davis</v>
      </c>
      <c r="I1447" t="str">
        <f>IFERROR(VLOOKUP(VLOOKUP(A1447,'Sales Order'!A:C,3,FALSE),Employee!A:J,10,FALSE),"Not Specified")</f>
        <v>WA</v>
      </c>
      <c r="J1447" t="str">
        <f>VLOOKUP(B1447,Product!A:B,2,FALSE)</f>
        <v>Product QAQRL</v>
      </c>
      <c r="K1447" t="str">
        <f>VLOOKUP(VLOOKUP(B1447,Product!A:D,4,FALSE),Category!A:B,2,FALSE)</f>
        <v>Meat/Poultry</v>
      </c>
      <c r="L1447" s="24">
        <f>IFERROR(VLOOKUP(A1447,'Sales Order'!A:D,4,FALSE),"")</f>
        <v>39442</v>
      </c>
      <c r="M1447" s="24">
        <f>IFERROR(VLOOKUP(A1447,'Sales Order'!A:F,6,FALSE),"")</f>
        <v>39452</v>
      </c>
      <c r="N1447" t="str">
        <f>IFERROR(VLOOKUP(VLOOKUP(A1447,'Sales Order'!A:G,7,FALSE),Shipper!A:B,2,FALSE),"Not Specified")</f>
        <v>Shipper ZHISN</v>
      </c>
      <c r="O1447" t="str">
        <f>IFERROR(VLOOKUP(A1447,'Sales Order'!A:I,9,FALSE),"Not Specified")</f>
        <v>Ship to 72-C</v>
      </c>
      <c r="P1447" t="str">
        <f>IFERROR(VLOOKUP(A1447,'Sales Order'!A:N,14,FALSE),"Not Specified")</f>
        <v>UK</v>
      </c>
      <c r="Q1447" t="str">
        <f>VLOOKUP(VLOOKUP(B1447,Product!A:C,3,FALSE),Supplier!A:B,2,FALSE)</f>
        <v>Supplier ERVYZ</v>
      </c>
      <c r="R1447" t="str">
        <f>VLOOKUP(VLOOKUP(B1447,Product!A:C,3,FALSE),Supplier!A:I,9,FALSE)</f>
        <v>Canada</v>
      </c>
      <c r="S1447" t="str">
        <f>IFERROR(IF(VLOOKUP(A1447,'Sales Order'!A:H,8,FALSE)&gt;100,"High Freight","Low Freight"),"Not Specified")</f>
        <v>High Freight</v>
      </c>
      <c r="T1447">
        <f t="shared" si="45"/>
        <v>46.935000000000002</v>
      </c>
    </row>
    <row r="1448" spans="1:20">
      <c r="A1448" s="9">
        <v>10801</v>
      </c>
      <c r="B1448" s="6">
        <v>17</v>
      </c>
      <c r="C1448" s="6">
        <v>39</v>
      </c>
      <c r="D1448" s="6">
        <v>40</v>
      </c>
      <c r="E1448" s="18">
        <v>0.25</v>
      </c>
      <c r="F1448" s="6" t="str">
        <f>IFERROR(VLOOKUP(VLOOKUP(A1448,'Sales Order'!A:B,2,FALSE),Customer!A:C,3,FALSE),"Not Specified")</f>
        <v>Ilyina, Julia</v>
      </c>
      <c r="G1448" s="6" t="str">
        <f t="shared" si="44"/>
        <v>Ilyina Julia</v>
      </c>
      <c r="H1448" s="22" t="str">
        <f>IFERROR(VLOOKUP(VLOOKUP(A1448,'Sales Order'!A:C,3,FALSE),Employee!A:E,5,FALSE)&amp;" "&amp;VLOOKUP(VLOOKUP(A1448,'Sales Order'!A:C,3,FALSE),Employee!A:C,3,FALSE)&amp;" "&amp;VLOOKUP(VLOOKUP(A1448,'Sales Order'!A:C,3,FALSE),Employee!A:B,2,FALSE),"Not Specified")</f>
        <v>Mrs. Yael Peled</v>
      </c>
      <c r="I1448" t="str">
        <f>IFERROR(VLOOKUP(VLOOKUP(A1448,'Sales Order'!A:C,3,FALSE),Employee!A:J,10,FALSE),"Not Specified")</f>
        <v>WA</v>
      </c>
      <c r="J1448" t="str">
        <f>VLOOKUP(B1448,Product!A:B,2,FALSE)</f>
        <v>Product BLCAX</v>
      </c>
      <c r="K1448" t="str">
        <f>VLOOKUP(VLOOKUP(B1448,Product!A:D,4,FALSE),Category!A:B,2,FALSE)</f>
        <v>Meat/Poultry</v>
      </c>
      <c r="L1448" s="24">
        <f>IFERROR(VLOOKUP(A1448,'Sales Order'!A:D,4,FALSE),"")</f>
        <v>39445</v>
      </c>
      <c r="M1448" s="24">
        <f>IFERROR(VLOOKUP(A1448,'Sales Order'!A:F,6,FALSE),"")</f>
        <v>39447</v>
      </c>
      <c r="N1448" t="str">
        <f>IFERROR(VLOOKUP(VLOOKUP(A1448,'Sales Order'!A:G,7,FALSE),Shipper!A:B,2,FALSE),"Not Specified")</f>
        <v>Shipper ETYNR</v>
      </c>
      <c r="O1448" t="str">
        <f>IFERROR(VLOOKUP(A1448,'Sales Order'!A:I,9,FALSE),"Not Specified")</f>
        <v>Ship to 8-C</v>
      </c>
      <c r="P1448" t="str">
        <f>IFERROR(VLOOKUP(A1448,'Sales Order'!A:N,14,FALSE),"Not Specified")</f>
        <v>Spain</v>
      </c>
      <c r="Q1448" t="str">
        <f>VLOOKUP(VLOOKUP(B1448,Product!A:C,3,FALSE),Supplier!A:B,2,FALSE)</f>
        <v>Supplier GQRCV</v>
      </c>
      <c r="R1448" t="str">
        <f>VLOOKUP(VLOOKUP(B1448,Product!A:C,3,FALSE),Supplier!A:I,9,FALSE)</f>
        <v>Australia</v>
      </c>
      <c r="S1448" t="str">
        <f>IFERROR(IF(VLOOKUP(A1448,'Sales Order'!A:H,8,FALSE)&gt;100,"High Freight","Low Freight"),"Not Specified")</f>
        <v>Low Freight</v>
      </c>
      <c r="T1448">
        <f t="shared" si="45"/>
        <v>1170</v>
      </c>
    </row>
    <row r="1449" spans="1:20">
      <c r="A1449" s="9">
        <v>10801</v>
      </c>
      <c r="B1449" s="6">
        <v>29</v>
      </c>
      <c r="C1449" s="6">
        <v>123.79</v>
      </c>
      <c r="D1449" s="6">
        <v>20</v>
      </c>
      <c r="E1449" s="18">
        <v>0.25</v>
      </c>
      <c r="F1449" s="6" t="str">
        <f>IFERROR(VLOOKUP(VLOOKUP(A1449,'Sales Order'!A:B,2,FALSE),Customer!A:C,3,FALSE),"Not Specified")</f>
        <v>Ilyina, Julia</v>
      </c>
      <c r="G1449" s="6" t="str">
        <f t="shared" si="44"/>
        <v>Ilyina Julia</v>
      </c>
      <c r="H1449" s="22" t="str">
        <f>IFERROR(VLOOKUP(VLOOKUP(A1449,'Sales Order'!A:C,3,FALSE),Employee!A:E,5,FALSE)&amp;" "&amp;VLOOKUP(VLOOKUP(A1449,'Sales Order'!A:C,3,FALSE),Employee!A:C,3,FALSE)&amp;" "&amp;VLOOKUP(VLOOKUP(A1449,'Sales Order'!A:C,3,FALSE),Employee!A:B,2,FALSE),"Not Specified")</f>
        <v>Mrs. Yael Peled</v>
      </c>
      <c r="I1449" t="str">
        <f>IFERROR(VLOOKUP(VLOOKUP(A1449,'Sales Order'!A:C,3,FALSE),Employee!A:J,10,FALSE),"Not Specified")</f>
        <v>WA</v>
      </c>
      <c r="J1449" t="str">
        <f>VLOOKUP(B1449,Product!A:B,2,FALSE)</f>
        <v>Product VJXYN</v>
      </c>
      <c r="K1449" t="str">
        <f>VLOOKUP(VLOOKUP(B1449,Product!A:D,4,FALSE),Category!A:B,2,FALSE)</f>
        <v>Meat/Poultry</v>
      </c>
      <c r="L1449" s="24">
        <f>IFERROR(VLOOKUP(A1449,'Sales Order'!A:D,4,FALSE),"")</f>
        <v>39445</v>
      </c>
      <c r="M1449" s="24">
        <f>IFERROR(VLOOKUP(A1449,'Sales Order'!A:F,6,FALSE),"")</f>
        <v>39447</v>
      </c>
      <c r="N1449" t="str">
        <f>IFERROR(VLOOKUP(VLOOKUP(A1449,'Sales Order'!A:G,7,FALSE),Shipper!A:B,2,FALSE),"Not Specified")</f>
        <v>Shipper ETYNR</v>
      </c>
      <c r="O1449" t="str">
        <f>IFERROR(VLOOKUP(A1449,'Sales Order'!A:I,9,FALSE),"Not Specified")</f>
        <v>Ship to 8-C</v>
      </c>
      <c r="P1449" t="str">
        <f>IFERROR(VLOOKUP(A1449,'Sales Order'!A:N,14,FALSE),"Not Specified")</f>
        <v>Spain</v>
      </c>
      <c r="Q1449" t="str">
        <f>VLOOKUP(VLOOKUP(B1449,Product!A:C,3,FALSE),Supplier!A:B,2,FALSE)</f>
        <v>Supplier SVIYA</v>
      </c>
      <c r="R1449" t="str">
        <f>VLOOKUP(VLOOKUP(B1449,Product!A:C,3,FALSE),Supplier!A:I,9,FALSE)</f>
        <v>Germany</v>
      </c>
      <c r="S1449" t="str">
        <f>IFERROR(IF(VLOOKUP(A1449,'Sales Order'!A:H,8,FALSE)&gt;100,"High Freight","Low Freight"),"Not Specified")</f>
        <v>Low Freight</v>
      </c>
      <c r="T1449">
        <f t="shared" si="45"/>
        <v>1856.8500000000001</v>
      </c>
    </row>
    <row r="1450" spans="1:20">
      <c r="A1450" s="9">
        <v>10802</v>
      </c>
      <c r="B1450" s="6">
        <v>30</v>
      </c>
      <c r="C1450" s="6">
        <v>25.89</v>
      </c>
      <c r="D1450" s="6">
        <v>25</v>
      </c>
      <c r="E1450" s="18">
        <v>0.25</v>
      </c>
      <c r="F1450" s="6" t="str">
        <f>IFERROR(VLOOKUP(VLOOKUP(A1450,'Sales Order'!A:B,2,FALSE),Customer!A:C,3,FALSE),"Not Specified")</f>
        <v>Gonzalez, Nuria</v>
      </c>
      <c r="G1450" s="6" t="str">
        <f t="shared" si="44"/>
        <v>Gonzalez Nuria</v>
      </c>
      <c r="H1450" s="22" t="str">
        <f>IFERROR(VLOOKUP(VLOOKUP(A1450,'Sales Order'!A:C,3,FALSE),Employee!A:E,5,FALSE)&amp;" "&amp;VLOOKUP(VLOOKUP(A1450,'Sales Order'!A:C,3,FALSE),Employee!A:C,3,FALSE)&amp;" "&amp;VLOOKUP(VLOOKUP(A1450,'Sales Order'!A:C,3,FALSE),Employee!A:B,2,FALSE),"Not Specified")</f>
        <v>Mrs. Yael Peled</v>
      </c>
      <c r="I1450" t="str">
        <f>IFERROR(VLOOKUP(VLOOKUP(A1450,'Sales Order'!A:C,3,FALSE),Employee!A:J,10,FALSE),"Not Specified")</f>
        <v>WA</v>
      </c>
      <c r="J1450" t="str">
        <f>VLOOKUP(B1450,Product!A:B,2,FALSE)</f>
        <v>Product LYERX</v>
      </c>
      <c r="K1450" t="str">
        <f>VLOOKUP(VLOOKUP(B1450,Product!A:D,4,FALSE),Category!A:B,2,FALSE)</f>
        <v>Seafood</v>
      </c>
      <c r="L1450" s="24">
        <f>IFERROR(VLOOKUP(A1450,'Sales Order'!A:D,4,FALSE),"")</f>
        <v>39445</v>
      </c>
      <c r="M1450" s="24">
        <f>IFERROR(VLOOKUP(A1450,'Sales Order'!A:F,6,FALSE),"")</f>
        <v>39449</v>
      </c>
      <c r="N1450" t="str">
        <f>IFERROR(VLOOKUP(VLOOKUP(A1450,'Sales Order'!A:G,7,FALSE),Shipper!A:B,2,FALSE),"Not Specified")</f>
        <v>Shipper ETYNR</v>
      </c>
      <c r="O1450" t="str">
        <f>IFERROR(VLOOKUP(A1450,'Sales Order'!A:I,9,FALSE),"Not Specified")</f>
        <v>Ship to 73-A</v>
      </c>
      <c r="P1450" t="str">
        <f>IFERROR(VLOOKUP(A1450,'Sales Order'!A:N,14,FALSE),"Not Specified")</f>
        <v>Denmark</v>
      </c>
      <c r="Q1450" t="str">
        <f>VLOOKUP(VLOOKUP(B1450,Product!A:C,3,FALSE),Supplier!A:B,2,FALSE)</f>
        <v>Supplier TEGSC</v>
      </c>
      <c r="R1450" t="str">
        <f>VLOOKUP(VLOOKUP(B1450,Product!A:C,3,FALSE),Supplier!A:I,9,FALSE)</f>
        <v>Germany</v>
      </c>
      <c r="S1450" t="str">
        <f>IFERROR(IF(VLOOKUP(A1450,'Sales Order'!A:H,8,FALSE)&gt;100,"High Freight","Low Freight"),"Not Specified")</f>
        <v>High Freight</v>
      </c>
      <c r="T1450">
        <f t="shared" si="45"/>
        <v>485.4375</v>
      </c>
    </row>
    <row r="1451" spans="1:20">
      <c r="A1451" s="9">
        <v>10802</v>
      </c>
      <c r="B1451" s="6">
        <v>51</v>
      </c>
      <c r="C1451" s="6">
        <v>53</v>
      </c>
      <c r="D1451" s="6">
        <v>30</v>
      </c>
      <c r="E1451" s="18">
        <v>0.25</v>
      </c>
      <c r="F1451" s="6" t="str">
        <f>IFERROR(VLOOKUP(VLOOKUP(A1451,'Sales Order'!A:B,2,FALSE),Customer!A:C,3,FALSE),"Not Specified")</f>
        <v>Gonzalez, Nuria</v>
      </c>
      <c r="G1451" s="6" t="str">
        <f t="shared" si="44"/>
        <v>Gonzalez Nuria</v>
      </c>
      <c r="H1451" s="22" t="str">
        <f>IFERROR(VLOOKUP(VLOOKUP(A1451,'Sales Order'!A:C,3,FALSE),Employee!A:E,5,FALSE)&amp;" "&amp;VLOOKUP(VLOOKUP(A1451,'Sales Order'!A:C,3,FALSE),Employee!A:C,3,FALSE)&amp;" "&amp;VLOOKUP(VLOOKUP(A1451,'Sales Order'!A:C,3,FALSE),Employee!A:B,2,FALSE),"Not Specified")</f>
        <v>Mrs. Yael Peled</v>
      </c>
      <c r="I1451" t="str">
        <f>IFERROR(VLOOKUP(VLOOKUP(A1451,'Sales Order'!A:C,3,FALSE),Employee!A:J,10,FALSE),"Not Specified")</f>
        <v>WA</v>
      </c>
      <c r="J1451" t="str">
        <f>VLOOKUP(B1451,Product!A:B,2,FALSE)</f>
        <v>Product APITJ</v>
      </c>
      <c r="K1451" t="str">
        <f>VLOOKUP(VLOOKUP(B1451,Product!A:D,4,FALSE),Category!A:B,2,FALSE)</f>
        <v>Produce</v>
      </c>
      <c r="L1451" s="24">
        <f>IFERROR(VLOOKUP(A1451,'Sales Order'!A:D,4,FALSE),"")</f>
        <v>39445</v>
      </c>
      <c r="M1451" s="24">
        <f>IFERROR(VLOOKUP(A1451,'Sales Order'!A:F,6,FALSE),"")</f>
        <v>39449</v>
      </c>
      <c r="N1451" t="str">
        <f>IFERROR(VLOOKUP(VLOOKUP(A1451,'Sales Order'!A:G,7,FALSE),Shipper!A:B,2,FALSE),"Not Specified")</f>
        <v>Shipper ETYNR</v>
      </c>
      <c r="O1451" t="str">
        <f>IFERROR(VLOOKUP(A1451,'Sales Order'!A:I,9,FALSE),"Not Specified")</f>
        <v>Ship to 73-A</v>
      </c>
      <c r="P1451" t="str">
        <f>IFERROR(VLOOKUP(A1451,'Sales Order'!A:N,14,FALSE),"Not Specified")</f>
        <v>Denmark</v>
      </c>
      <c r="Q1451" t="str">
        <f>VLOOKUP(VLOOKUP(B1451,Product!A:C,3,FALSE),Supplier!A:B,2,FALSE)</f>
        <v>Supplier JNNES</v>
      </c>
      <c r="R1451" t="str">
        <f>VLOOKUP(VLOOKUP(B1451,Product!A:C,3,FALSE),Supplier!A:I,9,FALSE)</f>
        <v>Australia</v>
      </c>
      <c r="S1451" t="str">
        <f>IFERROR(IF(VLOOKUP(A1451,'Sales Order'!A:H,8,FALSE)&gt;100,"High Freight","Low Freight"),"Not Specified")</f>
        <v>High Freight</v>
      </c>
      <c r="T1451">
        <f t="shared" si="45"/>
        <v>1192.5</v>
      </c>
    </row>
    <row r="1452" spans="1:20">
      <c r="A1452" s="9">
        <v>10802</v>
      </c>
      <c r="B1452" s="6">
        <v>55</v>
      </c>
      <c r="C1452" s="6">
        <v>24</v>
      </c>
      <c r="D1452" s="6">
        <v>60</v>
      </c>
      <c r="E1452" s="18">
        <v>0.25</v>
      </c>
      <c r="F1452" s="6" t="str">
        <f>IFERROR(VLOOKUP(VLOOKUP(A1452,'Sales Order'!A:B,2,FALSE),Customer!A:C,3,FALSE),"Not Specified")</f>
        <v>Gonzalez, Nuria</v>
      </c>
      <c r="G1452" s="6" t="str">
        <f t="shared" si="44"/>
        <v>Gonzalez Nuria</v>
      </c>
      <c r="H1452" s="22" t="str">
        <f>IFERROR(VLOOKUP(VLOOKUP(A1452,'Sales Order'!A:C,3,FALSE),Employee!A:E,5,FALSE)&amp;" "&amp;VLOOKUP(VLOOKUP(A1452,'Sales Order'!A:C,3,FALSE),Employee!A:C,3,FALSE)&amp;" "&amp;VLOOKUP(VLOOKUP(A1452,'Sales Order'!A:C,3,FALSE),Employee!A:B,2,FALSE),"Not Specified")</f>
        <v>Mrs. Yael Peled</v>
      </c>
      <c r="I1452" t="str">
        <f>IFERROR(VLOOKUP(VLOOKUP(A1452,'Sales Order'!A:C,3,FALSE),Employee!A:J,10,FALSE),"Not Specified")</f>
        <v>WA</v>
      </c>
      <c r="J1452" t="str">
        <f>VLOOKUP(B1452,Product!A:B,2,FALSE)</f>
        <v>Product YYWRT</v>
      </c>
      <c r="K1452" t="str">
        <f>VLOOKUP(VLOOKUP(B1452,Product!A:D,4,FALSE),Category!A:B,2,FALSE)</f>
        <v>Meat/Poultry</v>
      </c>
      <c r="L1452" s="24">
        <f>IFERROR(VLOOKUP(A1452,'Sales Order'!A:D,4,FALSE),"")</f>
        <v>39445</v>
      </c>
      <c r="M1452" s="24">
        <f>IFERROR(VLOOKUP(A1452,'Sales Order'!A:F,6,FALSE),"")</f>
        <v>39449</v>
      </c>
      <c r="N1452" t="str">
        <f>IFERROR(VLOOKUP(VLOOKUP(A1452,'Sales Order'!A:G,7,FALSE),Shipper!A:B,2,FALSE),"Not Specified")</f>
        <v>Shipper ETYNR</v>
      </c>
      <c r="O1452" t="str">
        <f>IFERROR(VLOOKUP(A1452,'Sales Order'!A:I,9,FALSE),"Not Specified")</f>
        <v>Ship to 73-A</v>
      </c>
      <c r="P1452" t="str">
        <f>IFERROR(VLOOKUP(A1452,'Sales Order'!A:N,14,FALSE),"Not Specified")</f>
        <v>Denmark</v>
      </c>
      <c r="Q1452" t="str">
        <f>VLOOKUP(VLOOKUP(B1452,Product!A:C,3,FALSE),Supplier!A:B,2,FALSE)</f>
        <v>Supplier ERVYZ</v>
      </c>
      <c r="R1452" t="str">
        <f>VLOOKUP(VLOOKUP(B1452,Product!A:C,3,FALSE),Supplier!A:I,9,FALSE)</f>
        <v>Canada</v>
      </c>
      <c r="S1452" t="str">
        <f>IFERROR(IF(VLOOKUP(A1452,'Sales Order'!A:H,8,FALSE)&gt;100,"High Freight","Low Freight"),"Not Specified")</f>
        <v>High Freight</v>
      </c>
      <c r="T1452">
        <f t="shared" si="45"/>
        <v>1080</v>
      </c>
    </row>
    <row r="1453" spans="1:20">
      <c r="A1453" s="9">
        <v>10802</v>
      </c>
      <c r="B1453" s="6">
        <v>62</v>
      </c>
      <c r="C1453" s="6">
        <v>49.3</v>
      </c>
      <c r="D1453" s="6">
        <v>5</v>
      </c>
      <c r="E1453" s="18">
        <v>0.25</v>
      </c>
      <c r="F1453" s="6" t="str">
        <f>IFERROR(VLOOKUP(VLOOKUP(A1453,'Sales Order'!A:B,2,FALSE),Customer!A:C,3,FALSE),"Not Specified")</f>
        <v>Gonzalez, Nuria</v>
      </c>
      <c r="G1453" s="6" t="str">
        <f t="shared" si="44"/>
        <v>Gonzalez Nuria</v>
      </c>
      <c r="H1453" s="22" t="str">
        <f>IFERROR(VLOOKUP(VLOOKUP(A1453,'Sales Order'!A:C,3,FALSE),Employee!A:E,5,FALSE)&amp;" "&amp;VLOOKUP(VLOOKUP(A1453,'Sales Order'!A:C,3,FALSE),Employee!A:C,3,FALSE)&amp;" "&amp;VLOOKUP(VLOOKUP(A1453,'Sales Order'!A:C,3,FALSE),Employee!A:B,2,FALSE),"Not Specified")</f>
        <v>Mrs. Yael Peled</v>
      </c>
      <c r="I1453" t="str">
        <f>IFERROR(VLOOKUP(VLOOKUP(A1453,'Sales Order'!A:C,3,FALSE),Employee!A:J,10,FALSE),"Not Specified")</f>
        <v>WA</v>
      </c>
      <c r="J1453" t="str">
        <f>VLOOKUP(B1453,Product!A:B,2,FALSE)</f>
        <v>Product WUXYK</v>
      </c>
      <c r="K1453" t="str">
        <f>VLOOKUP(VLOOKUP(B1453,Product!A:D,4,FALSE),Category!A:B,2,FALSE)</f>
        <v>Confections</v>
      </c>
      <c r="L1453" s="24">
        <f>IFERROR(VLOOKUP(A1453,'Sales Order'!A:D,4,FALSE),"")</f>
        <v>39445</v>
      </c>
      <c r="M1453" s="24">
        <f>IFERROR(VLOOKUP(A1453,'Sales Order'!A:F,6,FALSE),"")</f>
        <v>39449</v>
      </c>
      <c r="N1453" t="str">
        <f>IFERROR(VLOOKUP(VLOOKUP(A1453,'Sales Order'!A:G,7,FALSE),Shipper!A:B,2,FALSE),"Not Specified")</f>
        <v>Shipper ETYNR</v>
      </c>
      <c r="O1453" t="str">
        <f>IFERROR(VLOOKUP(A1453,'Sales Order'!A:I,9,FALSE),"Not Specified")</f>
        <v>Ship to 73-A</v>
      </c>
      <c r="P1453" t="str">
        <f>IFERROR(VLOOKUP(A1453,'Sales Order'!A:N,14,FALSE),"Not Specified")</f>
        <v>Denmark</v>
      </c>
      <c r="Q1453" t="str">
        <f>VLOOKUP(VLOOKUP(B1453,Product!A:C,3,FALSE),Supplier!A:B,2,FALSE)</f>
        <v>Supplier OGLRK</v>
      </c>
      <c r="R1453" t="str">
        <f>VLOOKUP(VLOOKUP(B1453,Product!A:C,3,FALSE),Supplier!A:I,9,FALSE)</f>
        <v>Canada</v>
      </c>
      <c r="S1453" t="str">
        <f>IFERROR(IF(VLOOKUP(A1453,'Sales Order'!A:H,8,FALSE)&gt;100,"High Freight","Low Freight"),"Not Specified")</f>
        <v>High Freight</v>
      </c>
      <c r="T1453">
        <f t="shared" si="45"/>
        <v>184.875</v>
      </c>
    </row>
    <row r="1454" spans="1:20">
      <c r="A1454" s="9">
        <v>10803</v>
      </c>
      <c r="B1454" s="6">
        <v>19</v>
      </c>
      <c r="C1454" s="6">
        <v>9.1999999999999993</v>
      </c>
      <c r="D1454" s="6">
        <v>24</v>
      </c>
      <c r="E1454" s="18">
        <v>0.05</v>
      </c>
      <c r="F1454" s="6" t="str">
        <f>IFERROR(VLOOKUP(VLOOKUP(A1454,'Sales Order'!A:B,2,FALSE),Customer!A:C,3,FALSE),"Not Specified")</f>
        <v>Li, Yan</v>
      </c>
      <c r="G1454" s="6" t="str">
        <f t="shared" si="44"/>
        <v>Li Yan</v>
      </c>
      <c r="H1454" s="22" t="str">
        <f>IFERROR(VLOOKUP(VLOOKUP(A1454,'Sales Order'!A:C,3,FALSE),Employee!A:E,5,FALSE)&amp;" "&amp;VLOOKUP(VLOOKUP(A1454,'Sales Order'!A:C,3,FALSE),Employee!A:C,3,FALSE)&amp;" "&amp;VLOOKUP(VLOOKUP(A1454,'Sales Order'!A:C,3,FALSE),Employee!A:B,2,FALSE),"Not Specified")</f>
        <v>Mrs. Yael Peled</v>
      </c>
      <c r="I1454" t="str">
        <f>IFERROR(VLOOKUP(VLOOKUP(A1454,'Sales Order'!A:C,3,FALSE),Employee!A:J,10,FALSE),"Not Specified")</f>
        <v>WA</v>
      </c>
      <c r="J1454" t="str">
        <f>VLOOKUP(B1454,Product!A:B,2,FALSE)</f>
        <v>Product XKXDO</v>
      </c>
      <c r="K1454" t="str">
        <f>VLOOKUP(VLOOKUP(B1454,Product!A:D,4,FALSE),Category!A:B,2,FALSE)</f>
        <v>Confections</v>
      </c>
      <c r="L1454" s="24">
        <f>IFERROR(VLOOKUP(A1454,'Sales Order'!A:D,4,FALSE),"")</f>
        <v>39446</v>
      </c>
      <c r="M1454" s="24">
        <f>IFERROR(VLOOKUP(A1454,'Sales Order'!A:F,6,FALSE),"")</f>
        <v>39453</v>
      </c>
      <c r="N1454" t="str">
        <f>IFERROR(VLOOKUP(VLOOKUP(A1454,'Sales Order'!A:G,7,FALSE),Shipper!A:B,2,FALSE),"Not Specified")</f>
        <v>Shipper GVSUA</v>
      </c>
      <c r="O1454" t="str">
        <f>IFERROR(VLOOKUP(A1454,'Sales Order'!A:I,9,FALSE),"Not Specified")</f>
        <v>Ship to 88-B</v>
      </c>
      <c r="P1454" t="str">
        <f>IFERROR(VLOOKUP(A1454,'Sales Order'!A:N,14,FALSE),"Not Specified")</f>
        <v>Brazil</v>
      </c>
      <c r="Q1454" t="str">
        <f>VLOOKUP(VLOOKUP(B1454,Product!A:C,3,FALSE),Supplier!A:B,2,FALSE)</f>
        <v>Supplier BWGYE</v>
      </c>
      <c r="R1454" t="str">
        <f>VLOOKUP(VLOOKUP(B1454,Product!A:C,3,FALSE),Supplier!A:I,9,FALSE)</f>
        <v>UK</v>
      </c>
      <c r="S1454" t="str">
        <f>IFERROR(IF(VLOOKUP(A1454,'Sales Order'!A:H,8,FALSE)&gt;100,"High Freight","Low Freight"),"Not Specified")</f>
        <v>Low Freight</v>
      </c>
      <c r="T1454">
        <f t="shared" si="45"/>
        <v>209.75999999999996</v>
      </c>
    </row>
    <row r="1455" spans="1:20">
      <c r="A1455" s="9">
        <v>10803</v>
      </c>
      <c r="B1455" s="6">
        <v>25</v>
      </c>
      <c r="C1455" s="6">
        <v>14</v>
      </c>
      <c r="D1455" s="6">
        <v>15</v>
      </c>
      <c r="E1455" s="18">
        <v>0.05</v>
      </c>
      <c r="F1455" s="6" t="str">
        <f>IFERROR(VLOOKUP(VLOOKUP(A1455,'Sales Order'!A:B,2,FALSE),Customer!A:C,3,FALSE),"Not Specified")</f>
        <v>Li, Yan</v>
      </c>
      <c r="G1455" s="6" t="str">
        <f t="shared" si="44"/>
        <v>Li Yan</v>
      </c>
      <c r="H1455" s="22" t="str">
        <f>IFERROR(VLOOKUP(VLOOKUP(A1455,'Sales Order'!A:C,3,FALSE),Employee!A:E,5,FALSE)&amp;" "&amp;VLOOKUP(VLOOKUP(A1455,'Sales Order'!A:C,3,FALSE),Employee!A:C,3,FALSE)&amp;" "&amp;VLOOKUP(VLOOKUP(A1455,'Sales Order'!A:C,3,FALSE),Employee!A:B,2,FALSE),"Not Specified")</f>
        <v>Mrs. Yael Peled</v>
      </c>
      <c r="I1455" t="str">
        <f>IFERROR(VLOOKUP(VLOOKUP(A1455,'Sales Order'!A:C,3,FALSE),Employee!A:J,10,FALSE),"Not Specified")</f>
        <v>WA</v>
      </c>
      <c r="J1455" t="str">
        <f>VLOOKUP(B1455,Product!A:B,2,FALSE)</f>
        <v>Product LYLNI</v>
      </c>
      <c r="K1455" t="str">
        <f>VLOOKUP(VLOOKUP(B1455,Product!A:D,4,FALSE),Category!A:B,2,FALSE)</f>
        <v>Confections</v>
      </c>
      <c r="L1455" s="24">
        <f>IFERROR(VLOOKUP(A1455,'Sales Order'!A:D,4,FALSE),"")</f>
        <v>39446</v>
      </c>
      <c r="M1455" s="24">
        <f>IFERROR(VLOOKUP(A1455,'Sales Order'!A:F,6,FALSE),"")</f>
        <v>39453</v>
      </c>
      <c r="N1455" t="str">
        <f>IFERROR(VLOOKUP(VLOOKUP(A1455,'Sales Order'!A:G,7,FALSE),Shipper!A:B,2,FALSE),"Not Specified")</f>
        <v>Shipper GVSUA</v>
      </c>
      <c r="O1455" t="str">
        <f>IFERROR(VLOOKUP(A1455,'Sales Order'!A:I,9,FALSE),"Not Specified")</f>
        <v>Ship to 88-B</v>
      </c>
      <c r="P1455" t="str">
        <f>IFERROR(VLOOKUP(A1455,'Sales Order'!A:N,14,FALSE),"Not Specified")</f>
        <v>Brazil</v>
      </c>
      <c r="Q1455" t="str">
        <f>VLOOKUP(VLOOKUP(B1455,Product!A:C,3,FALSE),Supplier!A:B,2,FALSE)</f>
        <v>Supplier ZPYVS</v>
      </c>
      <c r="R1455" t="str">
        <f>VLOOKUP(VLOOKUP(B1455,Product!A:C,3,FALSE),Supplier!A:I,9,FALSE)</f>
        <v>Germany</v>
      </c>
      <c r="S1455" t="str">
        <f>IFERROR(IF(VLOOKUP(A1455,'Sales Order'!A:H,8,FALSE)&gt;100,"High Freight","Low Freight"),"Not Specified")</f>
        <v>Low Freight</v>
      </c>
      <c r="T1455">
        <f t="shared" si="45"/>
        <v>199.5</v>
      </c>
    </row>
    <row r="1456" spans="1:20">
      <c r="A1456" s="9">
        <v>10803</v>
      </c>
      <c r="B1456" s="6">
        <v>59</v>
      </c>
      <c r="C1456" s="6">
        <v>55</v>
      </c>
      <c r="D1456" s="6">
        <v>15</v>
      </c>
      <c r="E1456" s="18">
        <v>0.05</v>
      </c>
      <c r="F1456" s="6" t="str">
        <f>IFERROR(VLOOKUP(VLOOKUP(A1456,'Sales Order'!A:B,2,FALSE),Customer!A:C,3,FALSE),"Not Specified")</f>
        <v>Li, Yan</v>
      </c>
      <c r="G1456" s="6" t="str">
        <f t="shared" si="44"/>
        <v>Li Yan</v>
      </c>
      <c r="H1456" s="22" t="str">
        <f>IFERROR(VLOOKUP(VLOOKUP(A1456,'Sales Order'!A:C,3,FALSE),Employee!A:E,5,FALSE)&amp;" "&amp;VLOOKUP(VLOOKUP(A1456,'Sales Order'!A:C,3,FALSE),Employee!A:C,3,FALSE)&amp;" "&amp;VLOOKUP(VLOOKUP(A1456,'Sales Order'!A:C,3,FALSE),Employee!A:B,2,FALSE),"Not Specified")</f>
        <v>Mrs. Yael Peled</v>
      </c>
      <c r="I1456" t="str">
        <f>IFERROR(VLOOKUP(VLOOKUP(A1456,'Sales Order'!A:C,3,FALSE),Employee!A:J,10,FALSE),"Not Specified")</f>
        <v>WA</v>
      </c>
      <c r="J1456" t="str">
        <f>VLOOKUP(B1456,Product!A:B,2,FALSE)</f>
        <v>Product UKXRI</v>
      </c>
      <c r="K1456" t="str">
        <f>VLOOKUP(VLOOKUP(B1456,Product!A:D,4,FALSE),Category!A:B,2,FALSE)</f>
        <v>Dairy Product</v>
      </c>
      <c r="L1456" s="24">
        <f>IFERROR(VLOOKUP(A1456,'Sales Order'!A:D,4,FALSE),"")</f>
        <v>39446</v>
      </c>
      <c r="M1456" s="24">
        <f>IFERROR(VLOOKUP(A1456,'Sales Order'!A:F,6,FALSE),"")</f>
        <v>39453</v>
      </c>
      <c r="N1456" t="str">
        <f>IFERROR(VLOOKUP(VLOOKUP(A1456,'Sales Order'!A:G,7,FALSE),Shipper!A:B,2,FALSE),"Not Specified")</f>
        <v>Shipper GVSUA</v>
      </c>
      <c r="O1456" t="str">
        <f>IFERROR(VLOOKUP(A1456,'Sales Order'!A:I,9,FALSE),"Not Specified")</f>
        <v>Ship to 88-B</v>
      </c>
      <c r="P1456" t="str">
        <f>IFERROR(VLOOKUP(A1456,'Sales Order'!A:N,14,FALSE),"Not Specified")</f>
        <v>Brazil</v>
      </c>
      <c r="Q1456" t="str">
        <f>VLOOKUP(VLOOKUP(B1456,Product!A:C,3,FALSE),Supplier!A:B,2,FALSE)</f>
        <v>Supplier OAVQT</v>
      </c>
      <c r="R1456" t="str">
        <f>VLOOKUP(VLOOKUP(B1456,Product!A:C,3,FALSE),Supplier!A:I,9,FALSE)</f>
        <v>France</v>
      </c>
      <c r="S1456" t="str">
        <f>IFERROR(IF(VLOOKUP(A1456,'Sales Order'!A:H,8,FALSE)&gt;100,"High Freight","Low Freight"),"Not Specified")</f>
        <v>Low Freight</v>
      </c>
      <c r="T1456">
        <f t="shared" si="45"/>
        <v>783.75</v>
      </c>
    </row>
    <row r="1457" spans="1:20">
      <c r="A1457" s="9">
        <v>10804</v>
      </c>
      <c r="B1457" s="6">
        <v>10</v>
      </c>
      <c r="C1457" s="6">
        <v>31</v>
      </c>
      <c r="D1457" s="6">
        <v>36</v>
      </c>
      <c r="E1457" s="18">
        <v>0</v>
      </c>
      <c r="F1457" s="6" t="str">
        <f>IFERROR(VLOOKUP(VLOOKUP(A1457,'Sales Order'!A:B,2,FALSE),Customer!A:C,3,FALSE),"Not Specified")</f>
        <v>Welcker, Brian</v>
      </c>
      <c r="G1457" s="6" t="str">
        <f t="shared" si="44"/>
        <v>Welcker Brian</v>
      </c>
      <c r="H1457" s="22" t="str">
        <f>IFERROR(VLOOKUP(VLOOKUP(A1457,'Sales Order'!A:C,3,FALSE),Employee!A:E,5,FALSE)&amp;" "&amp;VLOOKUP(VLOOKUP(A1457,'Sales Order'!A:C,3,FALSE),Employee!A:C,3,FALSE)&amp;" "&amp;VLOOKUP(VLOOKUP(A1457,'Sales Order'!A:C,3,FALSE),Employee!A:B,2,FALSE),"Not Specified")</f>
        <v>Mr. Paul Suurs</v>
      </c>
      <c r="I1457">
        <f>IFERROR(VLOOKUP(VLOOKUP(A1457,'Sales Order'!A:C,3,FALSE),Employee!A:J,10,FALSE),"Not Specified")</f>
        <v>0</v>
      </c>
      <c r="J1457" t="str">
        <f>VLOOKUP(B1457,Product!A:B,2,FALSE)</f>
        <v>Product YHXGE</v>
      </c>
      <c r="K1457" t="str">
        <f>VLOOKUP(VLOOKUP(B1457,Product!A:D,4,FALSE),Category!A:B,2,FALSE)</f>
        <v>Seafood</v>
      </c>
      <c r="L1457" s="24">
        <f>IFERROR(VLOOKUP(A1457,'Sales Order'!A:D,4,FALSE),"")</f>
        <v>39446</v>
      </c>
      <c r="M1457" s="24">
        <f>IFERROR(VLOOKUP(A1457,'Sales Order'!A:F,6,FALSE),"")</f>
        <v>39454</v>
      </c>
      <c r="N1457" t="str">
        <f>IFERROR(VLOOKUP(VLOOKUP(A1457,'Sales Order'!A:G,7,FALSE),Shipper!A:B,2,FALSE),"Not Specified")</f>
        <v>Shipper ETYNR</v>
      </c>
      <c r="O1457" t="str">
        <f>IFERROR(VLOOKUP(A1457,'Sales Order'!A:I,9,FALSE),"Not Specified")</f>
        <v>Ship to 72-C</v>
      </c>
      <c r="P1457" t="str">
        <f>IFERROR(VLOOKUP(A1457,'Sales Order'!A:N,14,FALSE),"Not Specified")</f>
        <v>UK</v>
      </c>
      <c r="Q1457" t="str">
        <f>VLOOKUP(VLOOKUP(B1457,Product!A:C,3,FALSE),Supplier!A:B,2,FALSE)</f>
        <v>Supplier QOVFD</v>
      </c>
      <c r="R1457" t="str">
        <f>VLOOKUP(VLOOKUP(B1457,Product!A:C,3,FALSE),Supplier!A:I,9,FALSE)</f>
        <v>Japan</v>
      </c>
      <c r="S1457" t="str">
        <f>IFERROR(IF(VLOOKUP(A1457,'Sales Order'!A:H,8,FALSE)&gt;100,"High Freight","Low Freight"),"Not Specified")</f>
        <v>Low Freight</v>
      </c>
      <c r="T1457">
        <f t="shared" si="45"/>
        <v>1116</v>
      </c>
    </row>
    <row r="1458" spans="1:20">
      <c r="A1458" s="9">
        <v>10804</v>
      </c>
      <c r="B1458" s="6">
        <v>28</v>
      </c>
      <c r="C1458" s="6">
        <v>45.6</v>
      </c>
      <c r="D1458" s="6">
        <v>24</v>
      </c>
      <c r="E1458" s="18">
        <v>0</v>
      </c>
      <c r="F1458" s="6" t="str">
        <f>IFERROR(VLOOKUP(VLOOKUP(A1458,'Sales Order'!A:B,2,FALSE),Customer!A:C,3,FALSE),"Not Specified")</f>
        <v>Welcker, Brian</v>
      </c>
      <c r="G1458" s="6" t="str">
        <f t="shared" si="44"/>
        <v>Welcker Brian</v>
      </c>
      <c r="H1458" s="22" t="str">
        <f>IFERROR(VLOOKUP(VLOOKUP(A1458,'Sales Order'!A:C,3,FALSE),Employee!A:E,5,FALSE)&amp;" "&amp;VLOOKUP(VLOOKUP(A1458,'Sales Order'!A:C,3,FALSE),Employee!A:C,3,FALSE)&amp;" "&amp;VLOOKUP(VLOOKUP(A1458,'Sales Order'!A:C,3,FALSE),Employee!A:B,2,FALSE),"Not Specified")</f>
        <v>Mr. Paul Suurs</v>
      </c>
      <c r="I1458">
        <f>IFERROR(VLOOKUP(VLOOKUP(A1458,'Sales Order'!A:C,3,FALSE),Employee!A:J,10,FALSE),"Not Specified")</f>
        <v>0</v>
      </c>
      <c r="J1458" t="str">
        <f>VLOOKUP(B1458,Product!A:B,2,FALSE)</f>
        <v>Product OFBNT</v>
      </c>
      <c r="K1458" t="str">
        <f>VLOOKUP(VLOOKUP(B1458,Product!A:D,4,FALSE),Category!A:B,2,FALSE)</f>
        <v>Produce</v>
      </c>
      <c r="L1458" s="24">
        <f>IFERROR(VLOOKUP(A1458,'Sales Order'!A:D,4,FALSE),"")</f>
        <v>39446</v>
      </c>
      <c r="M1458" s="24">
        <f>IFERROR(VLOOKUP(A1458,'Sales Order'!A:F,6,FALSE),"")</f>
        <v>39454</v>
      </c>
      <c r="N1458" t="str">
        <f>IFERROR(VLOOKUP(VLOOKUP(A1458,'Sales Order'!A:G,7,FALSE),Shipper!A:B,2,FALSE),"Not Specified")</f>
        <v>Shipper ETYNR</v>
      </c>
      <c r="O1458" t="str">
        <f>IFERROR(VLOOKUP(A1458,'Sales Order'!A:I,9,FALSE),"Not Specified")</f>
        <v>Ship to 72-C</v>
      </c>
      <c r="P1458" t="str">
        <f>IFERROR(VLOOKUP(A1458,'Sales Order'!A:N,14,FALSE),"Not Specified")</f>
        <v>UK</v>
      </c>
      <c r="Q1458" t="str">
        <f>VLOOKUP(VLOOKUP(B1458,Product!A:C,3,FALSE),Supplier!A:B,2,FALSE)</f>
        <v>Supplier SVIYA</v>
      </c>
      <c r="R1458" t="str">
        <f>VLOOKUP(VLOOKUP(B1458,Product!A:C,3,FALSE),Supplier!A:I,9,FALSE)</f>
        <v>Germany</v>
      </c>
      <c r="S1458" t="str">
        <f>IFERROR(IF(VLOOKUP(A1458,'Sales Order'!A:H,8,FALSE)&gt;100,"High Freight","Low Freight"),"Not Specified")</f>
        <v>Low Freight</v>
      </c>
      <c r="T1458">
        <f t="shared" si="45"/>
        <v>1094.4000000000001</v>
      </c>
    </row>
    <row r="1459" spans="1:20">
      <c r="A1459" s="9">
        <v>10804</v>
      </c>
      <c r="B1459" s="6">
        <v>49</v>
      </c>
      <c r="C1459" s="6">
        <v>20</v>
      </c>
      <c r="D1459" s="6">
        <v>4</v>
      </c>
      <c r="E1459" s="18">
        <v>0.15</v>
      </c>
      <c r="F1459" s="6" t="str">
        <f>IFERROR(VLOOKUP(VLOOKUP(A1459,'Sales Order'!A:B,2,FALSE),Customer!A:C,3,FALSE),"Not Specified")</f>
        <v>Welcker, Brian</v>
      </c>
      <c r="G1459" s="6" t="str">
        <f t="shared" si="44"/>
        <v>Welcker Brian</v>
      </c>
      <c r="H1459" s="22" t="str">
        <f>IFERROR(VLOOKUP(VLOOKUP(A1459,'Sales Order'!A:C,3,FALSE),Employee!A:E,5,FALSE)&amp;" "&amp;VLOOKUP(VLOOKUP(A1459,'Sales Order'!A:C,3,FALSE),Employee!A:C,3,FALSE)&amp;" "&amp;VLOOKUP(VLOOKUP(A1459,'Sales Order'!A:C,3,FALSE),Employee!A:B,2,FALSE),"Not Specified")</f>
        <v>Mr. Paul Suurs</v>
      </c>
      <c r="I1459">
        <f>IFERROR(VLOOKUP(VLOOKUP(A1459,'Sales Order'!A:C,3,FALSE),Employee!A:J,10,FALSE),"Not Specified")</f>
        <v>0</v>
      </c>
      <c r="J1459" t="str">
        <f>VLOOKUP(B1459,Product!A:B,2,FALSE)</f>
        <v>Product FPYPN</v>
      </c>
      <c r="K1459" t="str">
        <f>VLOOKUP(VLOOKUP(B1459,Product!A:D,4,FALSE),Category!A:B,2,FALSE)</f>
        <v>Confections</v>
      </c>
      <c r="L1459" s="24">
        <f>IFERROR(VLOOKUP(A1459,'Sales Order'!A:D,4,FALSE),"")</f>
        <v>39446</v>
      </c>
      <c r="M1459" s="24">
        <f>IFERROR(VLOOKUP(A1459,'Sales Order'!A:F,6,FALSE),"")</f>
        <v>39454</v>
      </c>
      <c r="N1459" t="str">
        <f>IFERROR(VLOOKUP(VLOOKUP(A1459,'Sales Order'!A:G,7,FALSE),Shipper!A:B,2,FALSE),"Not Specified")</f>
        <v>Shipper ETYNR</v>
      </c>
      <c r="O1459" t="str">
        <f>IFERROR(VLOOKUP(A1459,'Sales Order'!A:I,9,FALSE),"Not Specified")</f>
        <v>Ship to 72-C</v>
      </c>
      <c r="P1459" t="str">
        <f>IFERROR(VLOOKUP(A1459,'Sales Order'!A:N,14,FALSE),"Not Specified")</f>
        <v>UK</v>
      </c>
      <c r="Q1459" t="str">
        <f>VLOOKUP(VLOOKUP(B1459,Product!A:C,3,FALSE),Supplier!A:B,2,FALSE)</f>
        <v>Supplier ELCRN</v>
      </c>
      <c r="R1459" t="str">
        <f>VLOOKUP(VLOOKUP(B1459,Product!A:C,3,FALSE),Supplier!A:I,9,FALSE)</f>
        <v>Finland</v>
      </c>
      <c r="S1459" t="str">
        <f>IFERROR(IF(VLOOKUP(A1459,'Sales Order'!A:H,8,FALSE)&gt;100,"High Freight","Low Freight"),"Not Specified")</f>
        <v>Low Freight</v>
      </c>
      <c r="T1459">
        <f t="shared" si="45"/>
        <v>68</v>
      </c>
    </row>
    <row r="1460" spans="1:20">
      <c r="A1460" s="9">
        <v>10805</v>
      </c>
      <c r="B1460" s="6">
        <v>34</v>
      </c>
      <c r="C1460" s="6">
        <v>14</v>
      </c>
      <c r="D1460" s="6">
        <v>10</v>
      </c>
      <c r="E1460" s="18">
        <v>0</v>
      </c>
      <c r="F1460" s="6" t="str">
        <f>IFERROR(VLOOKUP(VLOOKUP(A1460,'Sales Order'!A:B,2,FALSE),Customer!A:C,3,FALSE),"Not Specified")</f>
        <v>Osorio, Cristian</v>
      </c>
      <c r="G1460" s="6" t="str">
        <f t="shared" si="44"/>
        <v>Osorio Cristian</v>
      </c>
      <c r="H1460" s="22" t="str">
        <f>IFERROR(VLOOKUP(VLOOKUP(A1460,'Sales Order'!A:C,3,FALSE),Employee!A:E,5,FALSE)&amp;" "&amp;VLOOKUP(VLOOKUP(A1460,'Sales Order'!A:C,3,FALSE),Employee!A:C,3,FALSE)&amp;" "&amp;VLOOKUP(VLOOKUP(A1460,'Sales Order'!A:C,3,FALSE),Employee!A:B,2,FALSE),"Not Specified")</f>
        <v>Dr. Don Funk</v>
      </c>
      <c r="I1460" t="str">
        <f>IFERROR(VLOOKUP(VLOOKUP(A1460,'Sales Order'!A:C,3,FALSE),Employee!A:J,10,FALSE),"Not Specified")</f>
        <v>WA</v>
      </c>
      <c r="J1460" t="str">
        <f>VLOOKUP(B1460,Product!A:B,2,FALSE)</f>
        <v>Product SWNJY</v>
      </c>
      <c r="K1460" t="str">
        <f>VLOOKUP(VLOOKUP(B1460,Product!A:D,4,FALSE),Category!A:B,2,FALSE)</f>
        <v>Beverages</v>
      </c>
      <c r="L1460" s="24">
        <f>IFERROR(VLOOKUP(A1460,'Sales Order'!A:D,4,FALSE),"")</f>
        <v>39446</v>
      </c>
      <c r="M1460" s="24">
        <f>IFERROR(VLOOKUP(A1460,'Sales Order'!A:F,6,FALSE),"")</f>
        <v>39456</v>
      </c>
      <c r="N1460" t="str">
        <f>IFERROR(VLOOKUP(VLOOKUP(A1460,'Sales Order'!A:G,7,FALSE),Shipper!A:B,2,FALSE),"Not Specified")</f>
        <v>Shipper ZHISN</v>
      </c>
      <c r="O1460" t="str">
        <f>IFERROR(VLOOKUP(A1460,'Sales Order'!A:I,9,FALSE),"Not Specified")</f>
        <v>Ship to 77-A</v>
      </c>
      <c r="P1460" t="str">
        <f>IFERROR(VLOOKUP(A1460,'Sales Order'!A:N,14,FALSE),"Not Specified")</f>
        <v>USA</v>
      </c>
      <c r="Q1460" t="str">
        <f>VLOOKUP(VLOOKUP(B1460,Product!A:C,3,FALSE),Supplier!A:B,2,FALSE)</f>
        <v>Supplier UHZRG</v>
      </c>
      <c r="R1460" t="str">
        <f>VLOOKUP(VLOOKUP(B1460,Product!A:C,3,FALSE),Supplier!A:I,9,FALSE)</f>
        <v>USA</v>
      </c>
      <c r="S1460" t="str">
        <f>IFERROR(IF(VLOOKUP(A1460,'Sales Order'!A:H,8,FALSE)&gt;100,"High Freight","Low Freight"),"Not Specified")</f>
        <v>High Freight</v>
      </c>
      <c r="T1460">
        <f t="shared" si="45"/>
        <v>140</v>
      </c>
    </row>
    <row r="1461" spans="1:20">
      <c r="A1461" s="9">
        <v>10805</v>
      </c>
      <c r="B1461" s="6">
        <v>38</v>
      </c>
      <c r="C1461" s="6">
        <v>263.5</v>
      </c>
      <c r="D1461" s="6">
        <v>10</v>
      </c>
      <c r="E1461" s="18">
        <v>0</v>
      </c>
      <c r="F1461" s="6" t="str">
        <f>IFERROR(VLOOKUP(VLOOKUP(A1461,'Sales Order'!A:B,2,FALSE),Customer!A:C,3,FALSE),"Not Specified")</f>
        <v>Osorio, Cristian</v>
      </c>
      <c r="G1461" s="6" t="str">
        <f t="shared" si="44"/>
        <v>Osorio Cristian</v>
      </c>
      <c r="H1461" s="22" t="str">
        <f>IFERROR(VLOOKUP(VLOOKUP(A1461,'Sales Order'!A:C,3,FALSE),Employee!A:E,5,FALSE)&amp;" "&amp;VLOOKUP(VLOOKUP(A1461,'Sales Order'!A:C,3,FALSE),Employee!A:C,3,FALSE)&amp;" "&amp;VLOOKUP(VLOOKUP(A1461,'Sales Order'!A:C,3,FALSE),Employee!A:B,2,FALSE),"Not Specified")</f>
        <v>Dr. Don Funk</v>
      </c>
      <c r="I1461" t="str">
        <f>IFERROR(VLOOKUP(VLOOKUP(A1461,'Sales Order'!A:C,3,FALSE),Employee!A:J,10,FALSE),"Not Specified")</f>
        <v>WA</v>
      </c>
      <c r="J1461" t="str">
        <f>VLOOKUP(B1461,Product!A:B,2,FALSE)</f>
        <v>Product QDOMO</v>
      </c>
      <c r="K1461" t="str">
        <f>VLOOKUP(VLOOKUP(B1461,Product!A:D,4,FALSE),Category!A:B,2,FALSE)</f>
        <v>Beverages</v>
      </c>
      <c r="L1461" s="24">
        <f>IFERROR(VLOOKUP(A1461,'Sales Order'!A:D,4,FALSE),"")</f>
        <v>39446</v>
      </c>
      <c r="M1461" s="24">
        <f>IFERROR(VLOOKUP(A1461,'Sales Order'!A:F,6,FALSE),"")</f>
        <v>39456</v>
      </c>
      <c r="N1461" t="str">
        <f>IFERROR(VLOOKUP(VLOOKUP(A1461,'Sales Order'!A:G,7,FALSE),Shipper!A:B,2,FALSE),"Not Specified")</f>
        <v>Shipper ZHISN</v>
      </c>
      <c r="O1461" t="str">
        <f>IFERROR(VLOOKUP(A1461,'Sales Order'!A:I,9,FALSE),"Not Specified")</f>
        <v>Ship to 77-A</v>
      </c>
      <c r="P1461" t="str">
        <f>IFERROR(VLOOKUP(A1461,'Sales Order'!A:N,14,FALSE),"Not Specified")</f>
        <v>USA</v>
      </c>
      <c r="Q1461" t="str">
        <f>VLOOKUP(VLOOKUP(B1461,Product!A:C,3,FALSE),Supplier!A:B,2,FALSE)</f>
        <v>Supplier LVJUA</v>
      </c>
      <c r="R1461" t="str">
        <f>VLOOKUP(VLOOKUP(B1461,Product!A:C,3,FALSE),Supplier!A:I,9,FALSE)</f>
        <v>France</v>
      </c>
      <c r="S1461" t="str">
        <f>IFERROR(IF(VLOOKUP(A1461,'Sales Order'!A:H,8,FALSE)&gt;100,"High Freight","Low Freight"),"Not Specified")</f>
        <v>High Freight</v>
      </c>
      <c r="T1461">
        <f t="shared" si="45"/>
        <v>2635</v>
      </c>
    </row>
    <row r="1462" spans="1:20">
      <c r="A1462" s="9">
        <v>10806</v>
      </c>
      <c r="B1462" s="6">
        <v>2</v>
      </c>
      <c r="C1462" s="6">
        <v>19</v>
      </c>
      <c r="D1462" s="6">
        <v>20</v>
      </c>
      <c r="E1462" s="18">
        <v>0.25</v>
      </c>
      <c r="F1462" s="6" t="str">
        <f>IFERROR(VLOOKUP(VLOOKUP(A1462,'Sales Order'!A:B,2,FALSE),Customer!A:C,3,FALSE),"Not Specified")</f>
        <v>Tuntisangaroon, Sittichai</v>
      </c>
      <c r="G1462" s="6" t="str">
        <f t="shared" si="44"/>
        <v>Tuntisangaroon Sittichai</v>
      </c>
      <c r="H1462" s="22" t="str">
        <f>IFERROR(VLOOKUP(VLOOKUP(A1462,'Sales Order'!A:C,3,FALSE),Employee!A:E,5,FALSE)&amp;" "&amp;VLOOKUP(VLOOKUP(A1462,'Sales Order'!A:C,3,FALSE),Employee!A:C,3,FALSE)&amp;" "&amp;VLOOKUP(VLOOKUP(A1462,'Sales Order'!A:C,3,FALSE),Employee!A:B,2,FALSE),"Not Specified")</f>
        <v>Ms. Judy Lew</v>
      </c>
      <c r="I1462" t="str">
        <f>IFERROR(VLOOKUP(VLOOKUP(A1462,'Sales Order'!A:C,3,FALSE),Employee!A:J,10,FALSE),"Not Specified")</f>
        <v>WA</v>
      </c>
      <c r="J1462" t="str">
        <f>VLOOKUP(B1462,Product!A:B,2,FALSE)</f>
        <v>Product RECZE</v>
      </c>
      <c r="K1462" t="str">
        <f>VLOOKUP(VLOOKUP(B1462,Product!A:D,4,FALSE),Category!A:B,2,FALSE)</f>
        <v>Beverages</v>
      </c>
      <c r="L1462" s="24">
        <f>IFERROR(VLOOKUP(A1462,'Sales Order'!A:D,4,FALSE),"")</f>
        <v>39447</v>
      </c>
      <c r="M1462" s="24">
        <f>IFERROR(VLOOKUP(A1462,'Sales Order'!A:F,6,FALSE),"")</f>
        <v>39452</v>
      </c>
      <c r="N1462" t="str">
        <f>IFERROR(VLOOKUP(VLOOKUP(A1462,'Sales Order'!A:G,7,FALSE),Shipper!A:B,2,FALSE),"Not Specified")</f>
        <v>Shipper ETYNR</v>
      </c>
      <c r="O1462" t="str">
        <f>IFERROR(VLOOKUP(A1462,'Sales Order'!A:I,9,FALSE),"Not Specified")</f>
        <v>Ship to 84-C</v>
      </c>
      <c r="P1462" t="str">
        <f>IFERROR(VLOOKUP(A1462,'Sales Order'!A:N,14,FALSE),"Not Specified")</f>
        <v>France</v>
      </c>
      <c r="Q1462" t="str">
        <f>VLOOKUP(VLOOKUP(B1462,Product!A:C,3,FALSE),Supplier!A:B,2,FALSE)</f>
        <v>Supplier SWRXU</v>
      </c>
      <c r="R1462" t="str">
        <f>VLOOKUP(VLOOKUP(B1462,Product!A:C,3,FALSE),Supplier!A:I,9,FALSE)</f>
        <v>UK</v>
      </c>
      <c r="S1462" t="str">
        <f>IFERROR(IF(VLOOKUP(A1462,'Sales Order'!A:H,8,FALSE)&gt;100,"High Freight","Low Freight"),"Not Specified")</f>
        <v>Low Freight</v>
      </c>
      <c r="T1462">
        <f t="shared" si="45"/>
        <v>285</v>
      </c>
    </row>
    <row r="1463" spans="1:20">
      <c r="A1463" s="9">
        <v>10806</v>
      </c>
      <c r="B1463" s="6">
        <v>65</v>
      </c>
      <c r="C1463" s="6">
        <v>21.05</v>
      </c>
      <c r="D1463" s="6">
        <v>2</v>
      </c>
      <c r="E1463" s="18">
        <v>0</v>
      </c>
      <c r="F1463" s="6" t="str">
        <f>IFERROR(VLOOKUP(VLOOKUP(A1463,'Sales Order'!A:B,2,FALSE),Customer!A:C,3,FALSE),"Not Specified")</f>
        <v>Tuntisangaroon, Sittichai</v>
      </c>
      <c r="G1463" s="6" t="str">
        <f t="shared" si="44"/>
        <v>Tuntisangaroon Sittichai</v>
      </c>
      <c r="H1463" s="22" t="str">
        <f>IFERROR(VLOOKUP(VLOOKUP(A1463,'Sales Order'!A:C,3,FALSE),Employee!A:E,5,FALSE)&amp;" "&amp;VLOOKUP(VLOOKUP(A1463,'Sales Order'!A:C,3,FALSE),Employee!A:C,3,FALSE)&amp;" "&amp;VLOOKUP(VLOOKUP(A1463,'Sales Order'!A:C,3,FALSE),Employee!A:B,2,FALSE),"Not Specified")</f>
        <v>Ms. Judy Lew</v>
      </c>
      <c r="I1463" t="str">
        <f>IFERROR(VLOOKUP(VLOOKUP(A1463,'Sales Order'!A:C,3,FALSE),Employee!A:J,10,FALSE),"Not Specified")</f>
        <v>WA</v>
      </c>
      <c r="J1463" t="str">
        <f>VLOOKUP(B1463,Product!A:B,2,FALSE)</f>
        <v>Product XYWBZ</v>
      </c>
      <c r="K1463" t="str">
        <f>VLOOKUP(VLOOKUP(B1463,Product!A:D,4,FALSE),Category!A:B,2,FALSE)</f>
        <v>Condiments</v>
      </c>
      <c r="L1463" s="24">
        <f>IFERROR(VLOOKUP(A1463,'Sales Order'!A:D,4,FALSE),"")</f>
        <v>39447</v>
      </c>
      <c r="M1463" s="24">
        <f>IFERROR(VLOOKUP(A1463,'Sales Order'!A:F,6,FALSE),"")</f>
        <v>39452</v>
      </c>
      <c r="N1463" t="str">
        <f>IFERROR(VLOOKUP(VLOOKUP(A1463,'Sales Order'!A:G,7,FALSE),Shipper!A:B,2,FALSE),"Not Specified")</f>
        <v>Shipper ETYNR</v>
      </c>
      <c r="O1463" t="str">
        <f>IFERROR(VLOOKUP(A1463,'Sales Order'!A:I,9,FALSE),"Not Specified")</f>
        <v>Ship to 84-C</v>
      </c>
      <c r="P1463" t="str">
        <f>IFERROR(VLOOKUP(A1463,'Sales Order'!A:N,14,FALSE),"Not Specified")</f>
        <v>France</v>
      </c>
      <c r="Q1463" t="str">
        <f>VLOOKUP(VLOOKUP(B1463,Product!A:C,3,FALSE),Supplier!A:B,2,FALSE)</f>
        <v>Supplier VHQZD</v>
      </c>
      <c r="R1463" t="str">
        <f>VLOOKUP(VLOOKUP(B1463,Product!A:C,3,FALSE),Supplier!A:I,9,FALSE)</f>
        <v>USA</v>
      </c>
      <c r="S1463" t="str">
        <f>IFERROR(IF(VLOOKUP(A1463,'Sales Order'!A:H,8,FALSE)&gt;100,"High Freight","Low Freight"),"Not Specified")</f>
        <v>Low Freight</v>
      </c>
      <c r="T1463">
        <f t="shared" si="45"/>
        <v>42.1</v>
      </c>
    </row>
    <row r="1464" spans="1:20">
      <c r="A1464" s="9">
        <v>10806</v>
      </c>
      <c r="B1464" s="6">
        <v>74</v>
      </c>
      <c r="C1464" s="6">
        <v>10</v>
      </c>
      <c r="D1464" s="6">
        <v>15</v>
      </c>
      <c r="E1464" s="18">
        <v>0.25</v>
      </c>
      <c r="F1464" s="6" t="str">
        <f>IFERROR(VLOOKUP(VLOOKUP(A1464,'Sales Order'!A:B,2,FALSE),Customer!A:C,3,FALSE),"Not Specified")</f>
        <v>Tuntisangaroon, Sittichai</v>
      </c>
      <c r="G1464" s="6" t="str">
        <f t="shared" si="44"/>
        <v>Tuntisangaroon Sittichai</v>
      </c>
      <c r="H1464" s="22" t="str">
        <f>IFERROR(VLOOKUP(VLOOKUP(A1464,'Sales Order'!A:C,3,FALSE),Employee!A:E,5,FALSE)&amp;" "&amp;VLOOKUP(VLOOKUP(A1464,'Sales Order'!A:C,3,FALSE),Employee!A:C,3,FALSE)&amp;" "&amp;VLOOKUP(VLOOKUP(A1464,'Sales Order'!A:C,3,FALSE),Employee!A:B,2,FALSE),"Not Specified")</f>
        <v>Ms. Judy Lew</v>
      </c>
      <c r="I1464" t="str">
        <f>IFERROR(VLOOKUP(VLOOKUP(A1464,'Sales Order'!A:C,3,FALSE),Employee!A:J,10,FALSE),"Not Specified")</f>
        <v>WA</v>
      </c>
      <c r="J1464" t="str">
        <f>VLOOKUP(B1464,Product!A:B,2,FALSE)</f>
        <v>Product BKAZJ</v>
      </c>
      <c r="K1464" t="str">
        <f>VLOOKUP(VLOOKUP(B1464,Product!A:D,4,FALSE),Category!A:B,2,FALSE)</f>
        <v>Produce</v>
      </c>
      <c r="L1464" s="24">
        <f>IFERROR(VLOOKUP(A1464,'Sales Order'!A:D,4,FALSE),"")</f>
        <v>39447</v>
      </c>
      <c r="M1464" s="24">
        <f>IFERROR(VLOOKUP(A1464,'Sales Order'!A:F,6,FALSE),"")</f>
        <v>39452</v>
      </c>
      <c r="N1464" t="str">
        <f>IFERROR(VLOOKUP(VLOOKUP(A1464,'Sales Order'!A:G,7,FALSE),Shipper!A:B,2,FALSE),"Not Specified")</f>
        <v>Shipper ETYNR</v>
      </c>
      <c r="O1464" t="str">
        <f>IFERROR(VLOOKUP(A1464,'Sales Order'!A:I,9,FALSE),"Not Specified")</f>
        <v>Ship to 84-C</v>
      </c>
      <c r="P1464" t="str">
        <f>IFERROR(VLOOKUP(A1464,'Sales Order'!A:N,14,FALSE),"Not Specified")</f>
        <v>France</v>
      </c>
      <c r="Q1464" t="str">
        <f>VLOOKUP(VLOOKUP(B1464,Product!A:C,3,FALSE),Supplier!A:B,2,FALSE)</f>
        <v>Supplier QOVFD</v>
      </c>
      <c r="R1464" t="str">
        <f>VLOOKUP(VLOOKUP(B1464,Product!A:C,3,FALSE),Supplier!A:I,9,FALSE)</f>
        <v>Japan</v>
      </c>
      <c r="S1464" t="str">
        <f>IFERROR(IF(VLOOKUP(A1464,'Sales Order'!A:H,8,FALSE)&gt;100,"High Freight","Low Freight"),"Not Specified")</f>
        <v>Low Freight</v>
      </c>
      <c r="T1464">
        <f t="shared" si="45"/>
        <v>112.5</v>
      </c>
    </row>
    <row r="1465" spans="1:20">
      <c r="A1465" s="9">
        <v>10807</v>
      </c>
      <c r="B1465" s="6">
        <v>40</v>
      </c>
      <c r="C1465" s="6">
        <v>18.399999999999999</v>
      </c>
      <c r="D1465" s="6">
        <v>1</v>
      </c>
      <c r="E1465" s="18">
        <v>0</v>
      </c>
      <c r="F1465" s="6" t="str">
        <f>IFERROR(VLOOKUP(VLOOKUP(A1465,'Sales Order'!A:B,2,FALSE),Customer!A:C,3,FALSE),"Not Specified")</f>
        <v>Schmöllerl, Martin</v>
      </c>
      <c r="G1465" s="6" t="str">
        <f t="shared" si="44"/>
        <v>Schmöllerl Martin</v>
      </c>
      <c r="H1465" s="22" t="str">
        <f>IFERROR(VLOOKUP(VLOOKUP(A1465,'Sales Order'!A:C,3,FALSE),Employee!A:E,5,FALSE)&amp;" "&amp;VLOOKUP(VLOOKUP(A1465,'Sales Order'!A:C,3,FALSE),Employee!A:C,3,FALSE)&amp;" "&amp;VLOOKUP(VLOOKUP(A1465,'Sales Order'!A:C,3,FALSE),Employee!A:B,2,FALSE),"Not Specified")</f>
        <v>Mrs. Yael Peled</v>
      </c>
      <c r="I1465" t="str">
        <f>IFERROR(VLOOKUP(VLOOKUP(A1465,'Sales Order'!A:C,3,FALSE),Employee!A:J,10,FALSE),"Not Specified")</f>
        <v>WA</v>
      </c>
      <c r="J1465" t="str">
        <f>VLOOKUP(B1465,Product!A:B,2,FALSE)</f>
        <v>Product YZIXQ</v>
      </c>
      <c r="K1465" t="str">
        <f>VLOOKUP(VLOOKUP(B1465,Product!A:D,4,FALSE),Category!A:B,2,FALSE)</f>
        <v>Seafood</v>
      </c>
      <c r="L1465" s="24">
        <f>IFERROR(VLOOKUP(A1465,'Sales Order'!A:D,4,FALSE),"")</f>
        <v>39447</v>
      </c>
      <c r="M1465" s="24">
        <f>IFERROR(VLOOKUP(A1465,'Sales Order'!A:F,6,FALSE),"")</f>
        <v>39477</v>
      </c>
      <c r="N1465" t="str">
        <f>IFERROR(VLOOKUP(VLOOKUP(A1465,'Sales Order'!A:G,7,FALSE),Shipper!A:B,2,FALSE),"Not Specified")</f>
        <v>Shipper GVSUA</v>
      </c>
      <c r="O1465" t="str">
        <f>IFERROR(VLOOKUP(A1465,'Sales Order'!A:I,9,FALSE),"Not Specified")</f>
        <v>Destination XNLFB</v>
      </c>
      <c r="P1465" t="str">
        <f>IFERROR(VLOOKUP(A1465,'Sales Order'!A:N,14,FALSE),"Not Specified")</f>
        <v>Italy</v>
      </c>
      <c r="Q1465" t="str">
        <f>VLOOKUP(VLOOKUP(B1465,Product!A:C,3,FALSE),Supplier!A:B,2,FALSE)</f>
        <v>Supplier JDNUG</v>
      </c>
      <c r="R1465" t="str">
        <f>VLOOKUP(VLOOKUP(B1465,Product!A:C,3,FALSE),Supplier!A:I,9,FALSE)</f>
        <v>USA</v>
      </c>
      <c r="S1465" t="str">
        <f>IFERROR(IF(VLOOKUP(A1465,'Sales Order'!A:H,8,FALSE)&gt;100,"High Freight","Low Freight"),"Not Specified")</f>
        <v>Low Freight</v>
      </c>
      <c r="T1465">
        <f t="shared" si="45"/>
        <v>18.399999999999999</v>
      </c>
    </row>
    <row r="1466" spans="1:20">
      <c r="A1466" s="9">
        <v>10808</v>
      </c>
      <c r="B1466" s="6">
        <v>56</v>
      </c>
      <c r="C1466" s="6">
        <v>38</v>
      </c>
      <c r="D1466" s="6">
        <v>20</v>
      </c>
      <c r="E1466" s="18">
        <v>0.15</v>
      </c>
      <c r="F1466" s="6" t="str">
        <f>IFERROR(VLOOKUP(VLOOKUP(A1466,'Sales Order'!A:B,2,FALSE),Customer!A:C,3,FALSE),"Not Specified")</f>
        <v>Egelund-Muller, Anja</v>
      </c>
      <c r="G1466" s="6" t="str">
        <f t="shared" si="44"/>
        <v>Egelund-Muller Anja</v>
      </c>
      <c r="H1466" s="22" t="str">
        <f>IFERROR(VLOOKUP(VLOOKUP(A1466,'Sales Order'!A:C,3,FALSE),Employee!A:E,5,FALSE)&amp;" "&amp;VLOOKUP(VLOOKUP(A1466,'Sales Order'!A:C,3,FALSE),Employee!A:C,3,FALSE)&amp;" "&amp;VLOOKUP(VLOOKUP(A1466,'Sales Order'!A:C,3,FALSE),Employee!A:B,2,FALSE),"Not Specified")</f>
        <v>Dr. Don Funk</v>
      </c>
      <c r="I1466" t="str">
        <f>IFERROR(VLOOKUP(VLOOKUP(A1466,'Sales Order'!A:C,3,FALSE),Employee!A:J,10,FALSE),"Not Specified")</f>
        <v>WA</v>
      </c>
      <c r="J1466" t="str">
        <f>VLOOKUP(B1466,Product!A:B,2,FALSE)</f>
        <v>Product VKCMF</v>
      </c>
      <c r="K1466" t="str">
        <f>VLOOKUP(VLOOKUP(B1466,Product!A:D,4,FALSE),Category!A:B,2,FALSE)</f>
        <v>Grains/Cereals</v>
      </c>
      <c r="L1466" s="24">
        <f>IFERROR(VLOOKUP(A1466,'Sales Order'!A:D,4,FALSE),"")</f>
        <v>39448</v>
      </c>
      <c r="M1466" s="24">
        <f>IFERROR(VLOOKUP(A1466,'Sales Order'!A:F,6,FALSE),"")</f>
        <v>39456</v>
      </c>
      <c r="N1466" t="str">
        <f>IFERROR(VLOOKUP(VLOOKUP(A1466,'Sales Order'!A:G,7,FALSE),Shipper!A:B,2,FALSE),"Not Specified")</f>
        <v>Shipper ZHISN</v>
      </c>
      <c r="O1466" t="str">
        <f>IFERROR(VLOOKUP(A1466,'Sales Order'!A:I,9,FALSE),"Not Specified")</f>
        <v>Ship to 55-B</v>
      </c>
      <c r="P1466" t="str">
        <f>IFERROR(VLOOKUP(A1466,'Sales Order'!A:N,14,FALSE),"Not Specified")</f>
        <v>USA</v>
      </c>
      <c r="Q1466" t="str">
        <f>VLOOKUP(VLOOKUP(B1466,Product!A:C,3,FALSE),Supplier!A:B,2,FALSE)</f>
        <v>Supplier ZWZDM</v>
      </c>
      <c r="R1466" t="str">
        <f>VLOOKUP(VLOOKUP(B1466,Product!A:C,3,FALSE),Supplier!A:I,9,FALSE)</f>
        <v>Italy</v>
      </c>
      <c r="S1466" t="str">
        <f>IFERROR(IF(VLOOKUP(A1466,'Sales Order'!A:H,8,FALSE)&gt;100,"High Freight","Low Freight"),"Not Specified")</f>
        <v>Low Freight</v>
      </c>
      <c r="T1466">
        <f t="shared" si="45"/>
        <v>646</v>
      </c>
    </row>
    <row r="1467" spans="1:20">
      <c r="A1467" s="9">
        <v>10808</v>
      </c>
      <c r="B1467" s="6">
        <v>76</v>
      </c>
      <c r="C1467" s="6">
        <v>18</v>
      </c>
      <c r="D1467" s="6">
        <v>50</v>
      </c>
      <c r="E1467" s="18">
        <v>0.15</v>
      </c>
      <c r="F1467" s="6" t="str">
        <f>IFERROR(VLOOKUP(VLOOKUP(A1467,'Sales Order'!A:B,2,FALSE),Customer!A:C,3,FALSE),"Not Specified")</f>
        <v>Egelund-Muller, Anja</v>
      </c>
      <c r="G1467" s="6" t="str">
        <f t="shared" si="44"/>
        <v>Egelund-Muller Anja</v>
      </c>
      <c r="H1467" s="22" t="str">
        <f>IFERROR(VLOOKUP(VLOOKUP(A1467,'Sales Order'!A:C,3,FALSE),Employee!A:E,5,FALSE)&amp;" "&amp;VLOOKUP(VLOOKUP(A1467,'Sales Order'!A:C,3,FALSE),Employee!A:C,3,FALSE)&amp;" "&amp;VLOOKUP(VLOOKUP(A1467,'Sales Order'!A:C,3,FALSE),Employee!A:B,2,FALSE),"Not Specified")</f>
        <v>Dr. Don Funk</v>
      </c>
      <c r="I1467" t="str">
        <f>IFERROR(VLOOKUP(VLOOKUP(A1467,'Sales Order'!A:C,3,FALSE),Employee!A:J,10,FALSE),"Not Specified")</f>
        <v>WA</v>
      </c>
      <c r="J1467" t="str">
        <f>VLOOKUP(B1467,Product!A:B,2,FALSE)</f>
        <v>Product JYGFE</v>
      </c>
      <c r="K1467" t="str">
        <f>VLOOKUP(VLOOKUP(B1467,Product!A:D,4,FALSE),Category!A:B,2,FALSE)</f>
        <v>Beverages</v>
      </c>
      <c r="L1467" s="24">
        <f>IFERROR(VLOOKUP(A1467,'Sales Order'!A:D,4,FALSE),"")</f>
        <v>39448</v>
      </c>
      <c r="M1467" s="24">
        <f>IFERROR(VLOOKUP(A1467,'Sales Order'!A:F,6,FALSE),"")</f>
        <v>39456</v>
      </c>
      <c r="N1467" t="str">
        <f>IFERROR(VLOOKUP(VLOOKUP(A1467,'Sales Order'!A:G,7,FALSE),Shipper!A:B,2,FALSE),"Not Specified")</f>
        <v>Shipper ZHISN</v>
      </c>
      <c r="O1467" t="str">
        <f>IFERROR(VLOOKUP(A1467,'Sales Order'!A:I,9,FALSE),"Not Specified")</f>
        <v>Ship to 55-B</v>
      </c>
      <c r="P1467" t="str">
        <f>IFERROR(VLOOKUP(A1467,'Sales Order'!A:N,14,FALSE),"Not Specified")</f>
        <v>USA</v>
      </c>
      <c r="Q1467" t="str">
        <f>VLOOKUP(VLOOKUP(B1467,Product!A:C,3,FALSE),Supplier!A:B,2,FALSE)</f>
        <v>Supplier ELCRN</v>
      </c>
      <c r="R1467" t="str">
        <f>VLOOKUP(VLOOKUP(B1467,Product!A:C,3,FALSE),Supplier!A:I,9,FALSE)</f>
        <v>Finland</v>
      </c>
      <c r="S1467" t="str">
        <f>IFERROR(IF(VLOOKUP(A1467,'Sales Order'!A:H,8,FALSE)&gt;100,"High Freight","Low Freight"),"Not Specified")</f>
        <v>Low Freight</v>
      </c>
      <c r="T1467">
        <f t="shared" si="45"/>
        <v>765</v>
      </c>
    </row>
    <row r="1468" spans="1:20">
      <c r="A1468" s="9">
        <v>10809</v>
      </c>
      <c r="B1468" s="6">
        <v>52</v>
      </c>
      <c r="C1468" s="6">
        <v>7</v>
      </c>
      <c r="D1468" s="6">
        <v>20</v>
      </c>
      <c r="E1468" s="18">
        <v>0</v>
      </c>
      <c r="F1468" s="6" t="str">
        <f>IFERROR(VLOOKUP(VLOOKUP(A1468,'Sales Order'!A:B,2,FALSE),Customer!A:C,3,FALSE),"Not Specified")</f>
        <v>Li, Yan</v>
      </c>
      <c r="G1468" s="6" t="str">
        <f t="shared" si="44"/>
        <v>Li Yan</v>
      </c>
      <c r="H1468" s="22" t="str">
        <f>IFERROR(VLOOKUP(VLOOKUP(A1468,'Sales Order'!A:C,3,FALSE),Employee!A:E,5,FALSE)&amp;" "&amp;VLOOKUP(VLOOKUP(A1468,'Sales Order'!A:C,3,FALSE),Employee!A:C,3,FALSE)&amp;" "&amp;VLOOKUP(VLOOKUP(A1468,'Sales Order'!A:C,3,FALSE),Employee!A:B,2,FALSE),"Not Specified")</f>
        <v>Mr. Russell King</v>
      </c>
      <c r="I1468">
        <f>IFERROR(VLOOKUP(VLOOKUP(A1468,'Sales Order'!A:C,3,FALSE),Employee!A:J,10,FALSE),"Not Specified")</f>
        <v>0</v>
      </c>
      <c r="J1468" t="str">
        <f>VLOOKUP(B1468,Product!A:B,2,FALSE)</f>
        <v>Product QSRXF</v>
      </c>
      <c r="K1468" t="str">
        <f>VLOOKUP(VLOOKUP(B1468,Product!A:D,4,FALSE),Category!A:B,2,FALSE)</f>
        <v>Grains/Cereals</v>
      </c>
      <c r="L1468" s="24">
        <f>IFERROR(VLOOKUP(A1468,'Sales Order'!A:D,4,FALSE),"")</f>
        <v>39448</v>
      </c>
      <c r="M1468" s="24">
        <f>IFERROR(VLOOKUP(A1468,'Sales Order'!A:F,6,FALSE),"")</f>
        <v>39454</v>
      </c>
      <c r="N1468" t="str">
        <f>IFERROR(VLOOKUP(VLOOKUP(A1468,'Sales Order'!A:G,7,FALSE),Shipper!A:B,2,FALSE),"Not Specified")</f>
        <v>Shipper GVSUA</v>
      </c>
      <c r="O1468" t="str">
        <f>IFERROR(VLOOKUP(A1468,'Sales Order'!A:I,9,FALSE),"Not Specified")</f>
        <v>Ship to 88-C</v>
      </c>
      <c r="P1468" t="str">
        <f>IFERROR(VLOOKUP(A1468,'Sales Order'!A:N,14,FALSE),"Not Specified")</f>
        <v>Brazil</v>
      </c>
      <c r="Q1468" t="str">
        <f>VLOOKUP(VLOOKUP(B1468,Product!A:C,3,FALSE),Supplier!A:B,2,FALSE)</f>
        <v>Supplier JNNES</v>
      </c>
      <c r="R1468" t="str">
        <f>VLOOKUP(VLOOKUP(B1468,Product!A:C,3,FALSE),Supplier!A:I,9,FALSE)</f>
        <v>Australia</v>
      </c>
      <c r="S1468" t="str">
        <f>IFERROR(IF(VLOOKUP(A1468,'Sales Order'!A:H,8,FALSE)&gt;100,"High Freight","Low Freight"),"Not Specified")</f>
        <v>Low Freight</v>
      </c>
      <c r="T1468">
        <f t="shared" si="45"/>
        <v>140</v>
      </c>
    </row>
    <row r="1469" spans="1:20">
      <c r="A1469" s="9">
        <v>10810</v>
      </c>
      <c r="B1469" s="6">
        <v>13</v>
      </c>
      <c r="C1469" s="6">
        <v>6</v>
      </c>
      <c r="D1469" s="6">
        <v>7</v>
      </c>
      <c r="E1469" s="18">
        <v>0</v>
      </c>
      <c r="F1469" s="6" t="str">
        <f>IFERROR(VLOOKUP(VLOOKUP(A1469,'Sales Order'!A:B,2,FALSE),Customer!A:C,3,FALSE),"Not Specified")</f>
        <v>Steiner, Dominik</v>
      </c>
      <c r="G1469" s="6" t="str">
        <f t="shared" si="44"/>
        <v>Steiner Dominik</v>
      </c>
      <c r="H1469" s="22" t="str">
        <f>IFERROR(VLOOKUP(VLOOKUP(A1469,'Sales Order'!A:C,3,FALSE),Employee!A:E,5,FALSE)&amp;" "&amp;VLOOKUP(VLOOKUP(A1469,'Sales Order'!A:C,3,FALSE),Employee!A:C,3,FALSE)&amp;" "&amp;VLOOKUP(VLOOKUP(A1469,'Sales Order'!A:C,3,FALSE),Employee!A:B,2,FALSE),"Not Specified")</f>
        <v>Dr. Don Funk</v>
      </c>
      <c r="I1469" t="str">
        <f>IFERROR(VLOOKUP(VLOOKUP(A1469,'Sales Order'!A:C,3,FALSE),Employee!A:J,10,FALSE),"Not Specified")</f>
        <v>WA</v>
      </c>
      <c r="J1469" t="str">
        <f>VLOOKUP(B1469,Product!A:B,2,FALSE)</f>
        <v>Product POXFU</v>
      </c>
      <c r="K1469" t="str">
        <f>VLOOKUP(VLOOKUP(B1469,Product!A:D,4,FALSE),Category!A:B,2,FALSE)</f>
        <v>Seafood</v>
      </c>
      <c r="L1469" s="24">
        <f>IFERROR(VLOOKUP(A1469,'Sales Order'!A:D,4,FALSE),"")</f>
        <v>39448</v>
      </c>
      <c r="M1469" s="24">
        <f>IFERROR(VLOOKUP(A1469,'Sales Order'!A:F,6,FALSE),"")</f>
        <v>39454</v>
      </c>
      <c r="N1469" t="str">
        <f>IFERROR(VLOOKUP(VLOOKUP(A1469,'Sales Order'!A:G,7,FALSE),Shipper!A:B,2,FALSE),"Not Specified")</f>
        <v>Shipper ZHISN</v>
      </c>
      <c r="O1469" t="str">
        <f>IFERROR(VLOOKUP(A1469,'Sales Order'!A:I,9,FALSE),"Not Specified")</f>
        <v>Ship to 42-A</v>
      </c>
      <c r="P1469" t="str">
        <f>IFERROR(VLOOKUP(A1469,'Sales Order'!A:N,14,FALSE),"Not Specified")</f>
        <v>Canada</v>
      </c>
      <c r="Q1469" t="str">
        <f>VLOOKUP(VLOOKUP(B1469,Product!A:C,3,FALSE),Supplier!A:B,2,FALSE)</f>
        <v>Supplier QWUSF</v>
      </c>
      <c r="R1469" t="str">
        <f>VLOOKUP(VLOOKUP(B1469,Product!A:C,3,FALSE),Supplier!A:I,9,FALSE)</f>
        <v>Japan</v>
      </c>
      <c r="S1469" t="str">
        <f>IFERROR(IF(VLOOKUP(A1469,'Sales Order'!A:H,8,FALSE)&gt;100,"High Freight","Low Freight"),"Not Specified")</f>
        <v>Low Freight</v>
      </c>
      <c r="T1469">
        <f t="shared" si="45"/>
        <v>42</v>
      </c>
    </row>
    <row r="1470" spans="1:20">
      <c r="A1470" s="9">
        <v>10810</v>
      </c>
      <c r="B1470" s="6">
        <v>25</v>
      </c>
      <c r="C1470" s="6">
        <v>14</v>
      </c>
      <c r="D1470" s="6">
        <v>5</v>
      </c>
      <c r="E1470" s="18">
        <v>0</v>
      </c>
      <c r="F1470" s="6" t="str">
        <f>IFERROR(VLOOKUP(VLOOKUP(A1470,'Sales Order'!A:B,2,FALSE),Customer!A:C,3,FALSE),"Not Specified")</f>
        <v>Steiner, Dominik</v>
      </c>
      <c r="G1470" s="6" t="str">
        <f t="shared" si="44"/>
        <v>Steiner Dominik</v>
      </c>
      <c r="H1470" s="22" t="str">
        <f>IFERROR(VLOOKUP(VLOOKUP(A1470,'Sales Order'!A:C,3,FALSE),Employee!A:E,5,FALSE)&amp;" "&amp;VLOOKUP(VLOOKUP(A1470,'Sales Order'!A:C,3,FALSE),Employee!A:C,3,FALSE)&amp;" "&amp;VLOOKUP(VLOOKUP(A1470,'Sales Order'!A:C,3,FALSE),Employee!A:B,2,FALSE),"Not Specified")</f>
        <v>Dr. Don Funk</v>
      </c>
      <c r="I1470" t="str">
        <f>IFERROR(VLOOKUP(VLOOKUP(A1470,'Sales Order'!A:C,3,FALSE),Employee!A:J,10,FALSE),"Not Specified")</f>
        <v>WA</v>
      </c>
      <c r="J1470" t="str">
        <f>VLOOKUP(B1470,Product!A:B,2,FALSE)</f>
        <v>Product LYLNI</v>
      </c>
      <c r="K1470" t="str">
        <f>VLOOKUP(VLOOKUP(B1470,Product!A:D,4,FALSE),Category!A:B,2,FALSE)</f>
        <v>Confections</v>
      </c>
      <c r="L1470" s="24">
        <f>IFERROR(VLOOKUP(A1470,'Sales Order'!A:D,4,FALSE),"")</f>
        <v>39448</v>
      </c>
      <c r="M1470" s="24">
        <f>IFERROR(VLOOKUP(A1470,'Sales Order'!A:F,6,FALSE),"")</f>
        <v>39454</v>
      </c>
      <c r="N1470" t="str">
        <f>IFERROR(VLOOKUP(VLOOKUP(A1470,'Sales Order'!A:G,7,FALSE),Shipper!A:B,2,FALSE),"Not Specified")</f>
        <v>Shipper ZHISN</v>
      </c>
      <c r="O1470" t="str">
        <f>IFERROR(VLOOKUP(A1470,'Sales Order'!A:I,9,FALSE),"Not Specified")</f>
        <v>Ship to 42-A</v>
      </c>
      <c r="P1470" t="str">
        <f>IFERROR(VLOOKUP(A1470,'Sales Order'!A:N,14,FALSE),"Not Specified")</f>
        <v>Canada</v>
      </c>
      <c r="Q1470" t="str">
        <f>VLOOKUP(VLOOKUP(B1470,Product!A:C,3,FALSE),Supplier!A:B,2,FALSE)</f>
        <v>Supplier ZPYVS</v>
      </c>
      <c r="R1470" t="str">
        <f>VLOOKUP(VLOOKUP(B1470,Product!A:C,3,FALSE),Supplier!A:I,9,FALSE)</f>
        <v>Germany</v>
      </c>
      <c r="S1470" t="str">
        <f>IFERROR(IF(VLOOKUP(A1470,'Sales Order'!A:H,8,FALSE)&gt;100,"High Freight","Low Freight"),"Not Specified")</f>
        <v>Low Freight</v>
      </c>
      <c r="T1470">
        <f t="shared" si="45"/>
        <v>70</v>
      </c>
    </row>
    <row r="1471" spans="1:20">
      <c r="A1471" s="9">
        <v>10810</v>
      </c>
      <c r="B1471" s="6">
        <v>70</v>
      </c>
      <c r="C1471" s="6">
        <v>15</v>
      </c>
      <c r="D1471" s="6">
        <v>5</v>
      </c>
      <c r="E1471" s="18">
        <v>0</v>
      </c>
      <c r="F1471" s="6" t="str">
        <f>IFERROR(VLOOKUP(VLOOKUP(A1471,'Sales Order'!A:B,2,FALSE),Customer!A:C,3,FALSE),"Not Specified")</f>
        <v>Steiner, Dominik</v>
      </c>
      <c r="G1471" s="6" t="str">
        <f t="shared" si="44"/>
        <v>Steiner Dominik</v>
      </c>
      <c r="H1471" s="22" t="str">
        <f>IFERROR(VLOOKUP(VLOOKUP(A1471,'Sales Order'!A:C,3,FALSE),Employee!A:E,5,FALSE)&amp;" "&amp;VLOOKUP(VLOOKUP(A1471,'Sales Order'!A:C,3,FALSE),Employee!A:C,3,FALSE)&amp;" "&amp;VLOOKUP(VLOOKUP(A1471,'Sales Order'!A:C,3,FALSE),Employee!A:B,2,FALSE),"Not Specified")</f>
        <v>Dr. Don Funk</v>
      </c>
      <c r="I1471" t="str">
        <f>IFERROR(VLOOKUP(VLOOKUP(A1471,'Sales Order'!A:C,3,FALSE),Employee!A:J,10,FALSE),"Not Specified")</f>
        <v>WA</v>
      </c>
      <c r="J1471" t="str">
        <f>VLOOKUP(B1471,Product!A:B,2,FALSE)</f>
        <v>Product TOONT</v>
      </c>
      <c r="K1471" t="str">
        <f>VLOOKUP(VLOOKUP(B1471,Product!A:D,4,FALSE),Category!A:B,2,FALSE)</f>
        <v>Beverages</v>
      </c>
      <c r="L1471" s="24">
        <f>IFERROR(VLOOKUP(A1471,'Sales Order'!A:D,4,FALSE),"")</f>
        <v>39448</v>
      </c>
      <c r="M1471" s="24">
        <f>IFERROR(VLOOKUP(A1471,'Sales Order'!A:F,6,FALSE),"")</f>
        <v>39454</v>
      </c>
      <c r="N1471" t="str">
        <f>IFERROR(VLOOKUP(VLOOKUP(A1471,'Sales Order'!A:G,7,FALSE),Shipper!A:B,2,FALSE),"Not Specified")</f>
        <v>Shipper ZHISN</v>
      </c>
      <c r="O1471" t="str">
        <f>IFERROR(VLOOKUP(A1471,'Sales Order'!A:I,9,FALSE),"Not Specified")</f>
        <v>Ship to 42-A</v>
      </c>
      <c r="P1471" t="str">
        <f>IFERROR(VLOOKUP(A1471,'Sales Order'!A:N,14,FALSE),"Not Specified")</f>
        <v>Canada</v>
      </c>
      <c r="Q1471" t="str">
        <f>VLOOKUP(VLOOKUP(B1471,Product!A:C,3,FALSE),Supplier!A:B,2,FALSE)</f>
        <v>Supplier GQRCV</v>
      </c>
      <c r="R1471" t="str">
        <f>VLOOKUP(VLOOKUP(B1471,Product!A:C,3,FALSE),Supplier!A:I,9,FALSE)</f>
        <v>Australia</v>
      </c>
      <c r="S1471" t="str">
        <f>IFERROR(IF(VLOOKUP(A1471,'Sales Order'!A:H,8,FALSE)&gt;100,"High Freight","Low Freight"),"Not Specified")</f>
        <v>Low Freight</v>
      </c>
      <c r="T1471">
        <f t="shared" si="45"/>
        <v>75</v>
      </c>
    </row>
    <row r="1472" spans="1:20">
      <c r="A1472" s="9">
        <v>10811</v>
      </c>
      <c r="B1472" s="6">
        <v>19</v>
      </c>
      <c r="C1472" s="6">
        <v>9.1999999999999993</v>
      </c>
      <c r="D1472" s="6">
        <v>15</v>
      </c>
      <c r="E1472" s="18">
        <v>0</v>
      </c>
      <c r="F1472" s="6" t="str">
        <f>IFERROR(VLOOKUP(VLOOKUP(A1472,'Sales Order'!A:B,2,FALSE),Customer!A:C,3,FALSE),"Not Specified")</f>
        <v>Lupu, Cornel</v>
      </c>
      <c r="G1472" s="6" t="str">
        <f t="shared" si="44"/>
        <v>Lupu Cornel</v>
      </c>
      <c r="H1472" s="22" t="str">
        <f>IFERROR(VLOOKUP(VLOOKUP(A1472,'Sales Order'!A:C,3,FALSE),Employee!A:E,5,FALSE)&amp;" "&amp;VLOOKUP(VLOOKUP(A1472,'Sales Order'!A:C,3,FALSE),Employee!A:C,3,FALSE)&amp;" "&amp;VLOOKUP(VLOOKUP(A1472,'Sales Order'!A:C,3,FALSE),Employee!A:B,2,FALSE),"Not Specified")</f>
        <v>Ms. Maria Cameron</v>
      </c>
      <c r="I1472" t="str">
        <f>IFERROR(VLOOKUP(VLOOKUP(A1472,'Sales Order'!A:C,3,FALSE),Employee!A:J,10,FALSE),"Not Specified")</f>
        <v>WA</v>
      </c>
      <c r="J1472" t="str">
        <f>VLOOKUP(B1472,Product!A:B,2,FALSE)</f>
        <v>Product XKXDO</v>
      </c>
      <c r="K1472" t="str">
        <f>VLOOKUP(VLOOKUP(B1472,Product!A:D,4,FALSE),Category!A:B,2,FALSE)</f>
        <v>Confections</v>
      </c>
      <c r="L1472" s="24">
        <f>IFERROR(VLOOKUP(A1472,'Sales Order'!A:D,4,FALSE),"")</f>
        <v>39449</v>
      </c>
      <c r="M1472" s="24">
        <f>IFERROR(VLOOKUP(A1472,'Sales Order'!A:F,6,FALSE),"")</f>
        <v>39455</v>
      </c>
      <c r="N1472" t="str">
        <f>IFERROR(VLOOKUP(VLOOKUP(A1472,'Sales Order'!A:G,7,FALSE),Shipper!A:B,2,FALSE),"Not Specified")</f>
        <v>Shipper GVSUA</v>
      </c>
      <c r="O1472" t="str">
        <f>IFERROR(VLOOKUP(A1472,'Sales Order'!A:I,9,FALSE),"Not Specified")</f>
        <v>Ship to 47-B</v>
      </c>
      <c r="P1472" t="str">
        <f>IFERROR(VLOOKUP(A1472,'Sales Order'!A:N,14,FALSE),"Not Specified")</f>
        <v>Venezuela</v>
      </c>
      <c r="Q1472" t="str">
        <f>VLOOKUP(VLOOKUP(B1472,Product!A:C,3,FALSE),Supplier!A:B,2,FALSE)</f>
        <v>Supplier BWGYE</v>
      </c>
      <c r="R1472" t="str">
        <f>VLOOKUP(VLOOKUP(B1472,Product!A:C,3,FALSE),Supplier!A:I,9,FALSE)</f>
        <v>UK</v>
      </c>
      <c r="S1472" t="str">
        <f>IFERROR(IF(VLOOKUP(A1472,'Sales Order'!A:H,8,FALSE)&gt;100,"High Freight","Low Freight"),"Not Specified")</f>
        <v>Low Freight</v>
      </c>
      <c r="T1472">
        <f t="shared" si="45"/>
        <v>138</v>
      </c>
    </row>
    <row r="1473" spans="1:20">
      <c r="A1473" s="9">
        <v>10811</v>
      </c>
      <c r="B1473" s="6">
        <v>23</v>
      </c>
      <c r="C1473" s="6">
        <v>9</v>
      </c>
      <c r="D1473" s="6">
        <v>18</v>
      </c>
      <c r="E1473" s="18">
        <v>0</v>
      </c>
      <c r="F1473" s="6" t="str">
        <f>IFERROR(VLOOKUP(VLOOKUP(A1473,'Sales Order'!A:B,2,FALSE),Customer!A:C,3,FALSE),"Not Specified")</f>
        <v>Lupu, Cornel</v>
      </c>
      <c r="G1473" s="6" t="str">
        <f t="shared" si="44"/>
        <v>Lupu Cornel</v>
      </c>
      <c r="H1473" s="22" t="str">
        <f>IFERROR(VLOOKUP(VLOOKUP(A1473,'Sales Order'!A:C,3,FALSE),Employee!A:E,5,FALSE)&amp;" "&amp;VLOOKUP(VLOOKUP(A1473,'Sales Order'!A:C,3,FALSE),Employee!A:C,3,FALSE)&amp;" "&amp;VLOOKUP(VLOOKUP(A1473,'Sales Order'!A:C,3,FALSE),Employee!A:B,2,FALSE),"Not Specified")</f>
        <v>Ms. Maria Cameron</v>
      </c>
      <c r="I1473" t="str">
        <f>IFERROR(VLOOKUP(VLOOKUP(A1473,'Sales Order'!A:C,3,FALSE),Employee!A:J,10,FALSE),"Not Specified")</f>
        <v>WA</v>
      </c>
      <c r="J1473" t="str">
        <f>VLOOKUP(B1473,Product!A:B,2,FALSE)</f>
        <v>Product JLUDZ</v>
      </c>
      <c r="K1473" t="str">
        <f>VLOOKUP(VLOOKUP(B1473,Product!A:D,4,FALSE),Category!A:B,2,FALSE)</f>
        <v>Grains/Cereals</v>
      </c>
      <c r="L1473" s="24">
        <f>IFERROR(VLOOKUP(A1473,'Sales Order'!A:D,4,FALSE),"")</f>
        <v>39449</v>
      </c>
      <c r="M1473" s="24">
        <f>IFERROR(VLOOKUP(A1473,'Sales Order'!A:F,6,FALSE),"")</f>
        <v>39455</v>
      </c>
      <c r="N1473" t="str">
        <f>IFERROR(VLOOKUP(VLOOKUP(A1473,'Sales Order'!A:G,7,FALSE),Shipper!A:B,2,FALSE),"Not Specified")</f>
        <v>Shipper GVSUA</v>
      </c>
      <c r="O1473" t="str">
        <f>IFERROR(VLOOKUP(A1473,'Sales Order'!A:I,9,FALSE),"Not Specified")</f>
        <v>Ship to 47-B</v>
      </c>
      <c r="P1473" t="str">
        <f>IFERROR(VLOOKUP(A1473,'Sales Order'!A:N,14,FALSE),"Not Specified")</f>
        <v>Venezuela</v>
      </c>
      <c r="Q1473" t="str">
        <f>VLOOKUP(VLOOKUP(B1473,Product!A:C,3,FALSE),Supplier!A:B,2,FALSE)</f>
        <v>Supplier QQYEU</v>
      </c>
      <c r="R1473" t="str">
        <f>VLOOKUP(VLOOKUP(B1473,Product!A:C,3,FALSE),Supplier!A:I,9,FALSE)</f>
        <v>Sweden</v>
      </c>
      <c r="S1473" t="str">
        <f>IFERROR(IF(VLOOKUP(A1473,'Sales Order'!A:H,8,FALSE)&gt;100,"High Freight","Low Freight"),"Not Specified")</f>
        <v>Low Freight</v>
      </c>
      <c r="T1473">
        <f t="shared" si="45"/>
        <v>162</v>
      </c>
    </row>
    <row r="1474" spans="1:20">
      <c r="A1474" s="9">
        <v>10811</v>
      </c>
      <c r="B1474" s="6">
        <v>40</v>
      </c>
      <c r="C1474" s="6">
        <v>18.399999999999999</v>
      </c>
      <c r="D1474" s="6">
        <v>30</v>
      </c>
      <c r="E1474" s="18">
        <v>0</v>
      </c>
      <c r="F1474" s="6" t="str">
        <f>IFERROR(VLOOKUP(VLOOKUP(A1474,'Sales Order'!A:B,2,FALSE),Customer!A:C,3,FALSE),"Not Specified")</f>
        <v>Lupu, Cornel</v>
      </c>
      <c r="G1474" s="6" t="str">
        <f t="shared" si="44"/>
        <v>Lupu Cornel</v>
      </c>
      <c r="H1474" s="22" t="str">
        <f>IFERROR(VLOOKUP(VLOOKUP(A1474,'Sales Order'!A:C,3,FALSE),Employee!A:E,5,FALSE)&amp;" "&amp;VLOOKUP(VLOOKUP(A1474,'Sales Order'!A:C,3,FALSE),Employee!A:C,3,FALSE)&amp;" "&amp;VLOOKUP(VLOOKUP(A1474,'Sales Order'!A:C,3,FALSE),Employee!A:B,2,FALSE),"Not Specified")</f>
        <v>Ms. Maria Cameron</v>
      </c>
      <c r="I1474" t="str">
        <f>IFERROR(VLOOKUP(VLOOKUP(A1474,'Sales Order'!A:C,3,FALSE),Employee!A:J,10,FALSE),"Not Specified")</f>
        <v>WA</v>
      </c>
      <c r="J1474" t="str">
        <f>VLOOKUP(B1474,Product!A:B,2,FALSE)</f>
        <v>Product YZIXQ</v>
      </c>
      <c r="K1474" t="str">
        <f>VLOOKUP(VLOOKUP(B1474,Product!A:D,4,FALSE),Category!A:B,2,FALSE)</f>
        <v>Seafood</v>
      </c>
      <c r="L1474" s="24">
        <f>IFERROR(VLOOKUP(A1474,'Sales Order'!A:D,4,FALSE),"")</f>
        <v>39449</v>
      </c>
      <c r="M1474" s="24">
        <f>IFERROR(VLOOKUP(A1474,'Sales Order'!A:F,6,FALSE),"")</f>
        <v>39455</v>
      </c>
      <c r="N1474" t="str">
        <f>IFERROR(VLOOKUP(VLOOKUP(A1474,'Sales Order'!A:G,7,FALSE),Shipper!A:B,2,FALSE),"Not Specified")</f>
        <v>Shipper GVSUA</v>
      </c>
      <c r="O1474" t="str">
        <f>IFERROR(VLOOKUP(A1474,'Sales Order'!A:I,9,FALSE),"Not Specified")</f>
        <v>Ship to 47-B</v>
      </c>
      <c r="P1474" t="str">
        <f>IFERROR(VLOOKUP(A1474,'Sales Order'!A:N,14,FALSE),"Not Specified")</f>
        <v>Venezuela</v>
      </c>
      <c r="Q1474" t="str">
        <f>VLOOKUP(VLOOKUP(B1474,Product!A:C,3,FALSE),Supplier!A:B,2,FALSE)</f>
        <v>Supplier JDNUG</v>
      </c>
      <c r="R1474" t="str">
        <f>VLOOKUP(VLOOKUP(B1474,Product!A:C,3,FALSE),Supplier!A:I,9,FALSE)</f>
        <v>USA</v>
      </c>
      <c r="S1474" t="str">
        <f>IFERROR(IF(VLOOKUP(A1474,'Sales Order'!A:H,8,FALSE)&gt;100,"High Freight","Low Freight"),"Not Specified")</f>
        <v>Low Freight</v>
      </c>
      <c r="T1474">
        <f t="shared" si="45"/>
        <v>552</v>
      </c>
    </row>
    <row r="1475" spans="1:20">
      <c r="A1475" s="9">
        <v>10812</v>
      </c>
      <c r="B1475" s="6">
        <v>31</v>
      </c>
      <c r="C1475" s="6">
        <v>12.5</v>
      </c>
      <c r="D1475" s="6">
        <v>16</v>
      </c>
      <c r="E1475" s="18">
        <v>0.1</v>
      </c>
      <c r="F1475" s="6" t="str">
        <f>IFERROR(VLOOKUP(VLOOKUP(A1475,'Sales Order'!A:B,2,FALSE),Customer!A:C,3,FALSE),"Not Specified")</f>
        <v>Voss, Florian</v>
      </c>
      <c r="G1475" s="6" t="str">
        <f t="shared" ref="G1475:G1538" si="46">SUBSTITUTE(F1475,",","",1)</f>
        <v>Voss Florian</v>
      </c>
      <c r="H1475" s="22" t="str">
        <f>IFERROR(VLOOKUP(VLOOKUP(A1475,'Sales Order'!A:C,3,FALSE),Employee!A:E,5,FALSE)&amp;" "&amp;VLOOKUP(VLOOKUP(A1475,'Sales Order'!A:C,3,FALSE),Employee!A:C,3,FALSE)&amp;" "&amp;VLOOKUP(VLOOKUP(A1475,'Sales Order'!A:C,3,FALSE),Employee!A:B,2,FALSE),"Not Specified")</f>
        <v>Mr. Sven Buck</v>
      </c>
      <c r="I1475">
        <f>IFERROR(VLOOKUP(VLOOKUP(A1475,'Sales Order'!A:C,3,FALSE),Employee!A:J,10,FALSE),"Not Specified")</f>
        <v>0</v>
      </c>
      <c r="J1475" t="str">
        <f>VLOOKUP(B1475,Product!A:B,2,FALSE)</f>
        <v>Product XWOXC</v>
      </c>
      <c r="K1475" t="str">
        <f>VLOOKUP(VLOOKUP(B1475,Product!A:D,4,FALSE),Category!A:B,2,FALSE)</f>
        <v>Dairy Product</v>
      </c>
      <c r="L1475" s="24">
        <f>IFERROR(VLOOKUP(A1475,'Sales Order'!A:D,4,FALSE),"")</f>
        <v>39449</v>
      </c>
      <c r="M1475" s="24">
        <f>IFERROR(VLOOKUP(A1475,'Sales Order'!A:F,6,FALSE),"")</f>
        <v>39459</v>
      </c>
      <c r="N1475" t="str">
        <f>IFERROR(VLOOKUP(VLOOKUP(A1475,'Sales Order'!A:G,7,FALSE),Shipper!A:B,2,FALSE),"Not Specified")</f>
        <v>Shipper GVSUA</v>
      </c>
      <c r="O1475" t="str">
        <f>IFERROR(VLOOKUP(A1475,'Sales Order'!A:I,9,FALSE),"Not Specified")</f>
        <v>Ship to 66-B</v>
      </c>
      <c r="P1475" t="str">
        <f>IFERROR(VLOOKUP(A1475,'Sales Order'!A:N,14,FALSE),"Not Specified")</f>
        <v>Italy</v>
      </c>
      <c r="Q1475" t="str">
        <f>VLOOKUP(VLOOKUP(B1475,Product!A:C,3,FALSE),Supplier!A:B,2,FALSE)</f>
        <v>Supplier KEREV</v>
      </c>
      <c r="R1475" t="str">
        <f>VLOOKUP(VLOOKUP(B1475,Product!A:C,3,FALSE),Supplier!A:I,9,FALSE)</f>
        <v>Italy</v>
      </c>
      <c r="S1475" t="str">
        <f>IFERROR(IF(VLOOKUP(A1475,'Sales Order'!A:H,8,FALSE)&gt;100,"High Freight","Low Freight"),"Not Specified")</f>
        <v>Low Freight</v>
      </c>
      <c r="T1475">
        <f t="shared" ref="T1475:T1538" si="47">C1475*D1475*(1-E1475)</f>
        <v>180</v>
      </c>
    </row>
    <row r="1476" spans="1:20">
      <c r="A1476" s="9">
        <v>10812</v>
      </c>
      <c r="B1476" s="6">
        <v>72</v>
      </c>
      <c r="C1476" s="6">
        <v>34.799999999999997</v>
      </c>
      <c r="D1476" s="6">
        <v>40</v>
      </c>
      <c r="E1476" s="18">
        <v>0.1</v>
      </c>
      <c r="F1476" s="6" t="str">
        <f>IFERROR(VLOOKUP(VLOOKUP(A1476,'Sales Order'!A:B,2,FALSE),Customer!A:C,3,FALSE),"Not Specified")</f>
        <v>Voss, Florian</v>
      </c>
      <c r="G1476" s="6" t="str">
        <f t="shared" si="46"/>
        <v>Voss Florian</v>
      </c>
      <c r="H1476" s="22" t="str">
        <f>IFERROR(VLOOKUP(VLOOKUP(A1476,'Sales Order'!A:C,3,FALSE),Employee!A:E,5,FALSE)&amp;" "&amp;VLOOKUP(VLOOKUP(A1476,'Sales Order'!A:C,3,FALSE),Employee!A:C,3,FALSE)&amp;" "&amp;VLOOKUP(VLOOKUP(A1476,'Sales Order'!A:C,3,FALSE),Employee!A:B,2,FALSE),"Not Specified")</f>
        <v>Mr. Sven Buck</v>
      </c>
      <c r="I1476">
        <f>IFERROR(VLOOKUP(VLOOKUP(A1476,'Sales Order'!A:C,3,FALSE),Employee!A:J,10,FALSE),"Not Specified")</f>
        <v>0</v>
      </c>
      <c r="J1476" t="str">
        <f>VLOOKUP(B1476,Product!A:B,2,FALSE)</f>
        <v>Product GEEOO</v>
      </c>
      <c r="K1476" t="str">
        <f>VLOOKUP(VLOOKUP(B1476,Product!A:D,4,FALSE),Category!A:B,2,FALSE)</f>
        <v>Dairy Product</v>
      </c>
      <c r="L1476" s="24">
        <f>IFERROR(VLOOKUP(A1476,'Sales Order'!A:D,4,FALSE),"")</f>
        <v>39449</v>
      </c>
      <c r="M1476" s="24">
        <f>IFERROR(VLOOKUP(A1476,'Sales Order'!A:F,6,FALSE),"")</f>
        <v>39459</v>
      </c>
      <c r="N1476" t="str">
        <f>IFERROR(VLOOKUP(VLOOKUP(A1476,'Sales Order'!A:G,7,FALSE),Shipper!A:B,2,FALSE),"Not Specified")</f>
        <v>Shipper GVSUA</v>
      </c>
      <c r="O1476" t="str">
        <f>IFERROR(VLOOKUP(A1476,'Sales Order'!A:I,9,FALSE),"Not Specified")</f>
        <v>Ship to 66-B</v>
      </c>
      <c r="P1476" t="str">
        <f>IFERROR(VLOOKUP(A1476,'Sales Order'!A:N,14,FALSE),"Not Specified")</f>
        <v>Italy</v>
      </c>
      <c r="Q1476" t="str">
        <f>VLOOKUP(VLOOKUP(B1476,Product!A:C,3,FALSE),Supplier!A:B,2,FALSE)</f>
        <v>Supplier KEREV</v>
      </c>
      <c r="R1476" t="str">
        <f>VLOOKUP(VLOOKUP(B1476,Product!A:C,3,FALSE),Supplier!A:I,9,FALSE)</f>
        <v>Italy</v>
      </c>
      <c r="S1476" t="str">
        <f>IFERROR(IF(VLOOKUP(A1476,'Sales Order'!A:H,8,FALSE)&gt;100,"High Freight","Low Freight"),"Not Specified")</f>
        <v>Low Freight</v>
      </c>
      <c r="T1476">
        <f t="shared" si="47"/>
        <v>1252.8</v>
      </c>
    </row>
    <row r="1477" spans="1:20">
      <c r="A1477" s="9">
        <v>10812</v>
      </c>
      <c r="B1477" s="6">
        <v>77</v>
      </c>
      <c r="C1477" s="6">
        <v>13</v>
      </c>
      <c r="D1477" s="6">
        <v>20</v>
      </c>
      <c r="E1477" s="18">
        <v>0</v>
      </c>
      <c r="F1477" s="6" t="str">
        <f>IFERROR(VLOOKUP(VLOOKUP(A1477,'Sales Order'!A:B,2,FALSE),Customer!A:C,3,FALSE),"Not Specified")</f>
        <v>Voss, Florian</v>
      </c>
      <c r="G1477" s="6" t="str">
        <f t="shared" si="46"/>
        <v>Voss Florian</v>
      </c>
      <c r="H1477" s="22" t="str">
        <f>IFERROR(VLOOKUP(VLOOKUP(A1477,'Sales Order'!A:C,3,FALSE),Employee!A:E,5,FALSE)&amp;" "&amp;VLOOKUP(VLOOKUP(A1477,'Sales Order'!A:C,3,FALSE),Employee!A:C,3,FALSE)&amp;" "&amp;VLOOKUP(VLOOKUP(A1477,'Sales Order'!A:C,3,FALSE),Employee!A:B,2,FALSE),"Not Specified")</f>
        <v>Mr. Sven Buck</v>
      </c>
      <c r="I1477">
        <f>IFERROR(VLOOKUP(VLOOKUP(A1477,'Sales Order'!A:C,3,FALSE),Employee!A:J,10,FALSE),"Not Specified")</f>
        <v>0</v>
      </c>
      <c r="J1477" t="str">
        <f>VLOOKUP(B1477,Product!A:B,2,FALSE)</f>
        <v>Product LUNZZ</v>
      </c>
      <c r="K1477" t="str">
        <f>VLOOKUP(VLOOKUP(B1477,Product!A:D,4,FALSE),Category!A:B,2,FALSE)</f>
        <v>Condiments</v>
      </c>
      <c r="L1477" s="24">
        <f>IFERROR(VLOOKUP(A1477,'Sales Order'!A:D,4,FALSE),"")</f>
        <v>39449</v>
      </c>
      <c r="M1477" s="24">
        <f>IFERROR(VLOOKUP(A1477,'Sales Order'!A:F,6,FALSE),"")</f>
        <v>39459</v>
      </c>
      <c r="N1477" t="str">
        <f>IFERROR(VLOOKUP(VLOOKUP(A1477,'Sales Order'!A:G,7,FALSE),Shipper!A:B,2,FALSE),"Not Specified")</f>
        <v>Shipper GVSUA</v>
      </c>
      <c r="O1477" t="str">
        <f>IFERROR(VLOOKUP(A1477,'Sales Order'!A:I,9,FALSE),"Not Specified")</f>
        <v>Ship to 66-B</v>
      </c>
      <c r="P1477" t="str">
        <f>IFERROR(VLOOKUP(A1477,'Sales Order'!A:N,14,FALSE),"Not Specified")</f>
        <v>Italy</v>
      </c>
      <c r="Q1477" t="str">
        <f>VLOOKUP(VLOOKUP(B1477,Product!A:C,3,FALSE),Supplier!A:B,2,FALSE)</f>
        <v>Supplier SVIYA</v>
      </c>
      <c r="R1477" t="str">
        <f>VLOOKUP(VLOOKUP(B1477,Product!A:C,3,FALSE),Supplier!A:I,9,FALSE)</f>
        <v>Germany</v>
      </c>
      <c r="S1477" t="str">
        <f>IFERROR(IF(VLOOKUP(A1477,'Sales Order'!A:H,8,FALSE)&gt;100,"High Freight","Low Freight"),"Not Specified")</f>
        <v>Low Freight</v>
      </c>
      <c r="T1477">
        <f t="shared" si="47"/>
        <v>260</v>
      </c>
    </row>
    <row r="1478" spans="1:20">
      <c r="A1478" s="9">
        <v>10813</v>
      </c>
      <c r="B1478" s="6">
        <v>2</v>
      </c>
      <c r="C1478" s="6">
        <v>19</v>
      </c>
      <c r="D1478" s="6">
        <v>12</v>
      </c>
      <c r="E1478" s="18">
        <v>0.2</v>
      </c>
      <c r="F1478" s="6" t="str">
        <f>IFERROR(VLOOKUP(VLOOKUP(A1478,'Sales Order'!A:B,2,FALSE),Customer!A:C,3,FALSE),"Not Specified")</f>
        <v>Garden, Euan</v>
      </c>
      <c r="G1478" s="6" t="str">
        <f t="shared" si="46"/>
        <v>Garden Euan</v>
      </c>
      <c r="H1478" s="22" t="str">
        <f>IFERROR(VLOOKUP(VLOOKUP(A1478,'Sales Order'!A:C,3,FALSE),Employee!A:E,5,FALSE)&amp;" "&amp;VLOOKUP(VLOOKUP(A1478,'Sales Order'!A:C,3,FALSE),Employee!A:C,3,FALSE)&amp;" "&amp;VLOOKUP(VLOOKUP(A1478,'Sales Order'!A:C,3,FALSE),Employee!A:B,2,FALSE),"Not Specified")</f>
        <v>Ms. Sara Davis</v>
      </c>
      <c r="I1478" t="str">
        <f>IFERROR(VLOOKUP(VLOOKUP(A1478,'Sales Order'!A:C,3,FALSE),Employee!A:J,10,FALSE),"Not Specified")</f>
        <v>WA</v>
      </c>
      <c r="J1478" t="str">
        <f>VLOOKUP(B1478,Product!A:B,2,FALSE)</f>
        <v>Product RECZE</v>
      </c>
      <c r="K1478" t="str">
        <f>VLOOKUP(VLOOKUP(B1478,Product!A:D,4,FALSE),Category!A:B,2,FALSE)</f>
        <v>Beverages</v>
      </c>
      <c r="L1478" s="24">
        <f>IFERROR(VLOOKUP(A1478,'Sales Order'!A:D,4,FALSE),"")</f>
        <v>39452</v>
      </c>
      <c r="M1478" s="24">
        <f>IFERROR(VLOOKUP(A1478,'Sales Order'!A:F,6,FALSE),"")</f>
        <v>39456</v>
      </c>
      <c r="N1478" t="str">
        <f>IFERROR(VLOOKUP(VLOOKUP(A1478,'Sales Order'!A:G,7,FALSE),Shipper!A:B,2,FALSE),"Not Specified")</f>
        <v>Shipper GVSUA</v>
      </c>
      <c r="O1478" t="str">
        <f>IFERROR(VLOOKUP(A1478,'Sales Order'!A:I,9,FALSE),"Not Specified")</f>
        <v>Ship to 67-C</v>
      </c>
      <c r="P1478" t="str">
        <f>IFERROR(VLOOKUP(A1478,'Sales Order'!A:N,14,FALSE),"Not Specified")</f>
        <v>Brazil</v>
      </c>
      <c r="Q1478" t="str">
        <f>VLOOKUP(VLOOKUP(B1478,Product!A:C,3,FALSE),Supplier!A:B,2,FALSE)</f>
        <v>Supplier SWRXU</v>
      </c>
      <c r="R1478" t="str">
        <f>VLOOKUP(VLOOKUP(B1478,Product!A:C,3,FALSE),Supplier!A:I,9,FALSE)</f>
        <v>UK</v>
      </c>
      <c r="S1478" t="str">
        <f>IFERROR(IF(VLOOKUP(A1478,'Sales Order'!A:H,8,FALSE)&gt;100,"High Freight","Low Freight"),"Not Specified")</f>
        <v>Low Freight</v>
      </c>
      <c r="T1478">
        <f t="shared" si="47"/>
        <v>182.4</v>
      </c>
    </row>
    <row r="1479" spans="1:20">
      <c r="A1479" s="9">
        <v>10813</v>
      </c>
      <c r="B1479" s="6">
        <v>46</v>
      </c>
      <c r="C1479" s="6">
        <v>12</v>
      </c>
      <c r="D1479" s="6">
        <v>35</v>
      </c>
      <c r="E1479" s="18">
        <v>0</v>
      </c>
      <c r="F1479" s="6" t="str">
        <f>IFERROR(VLOOKUP(VLOOKUP(A1479,'Sales Order'!A:B,2,FALSE),Customer!A:C,3,FALSE),"Not Specified")</f>
        <v>Garden, Euan</v>
      </c>
      <c r="G1479" s="6" t="str">
        <f t="shared" si="46"/>
        <v>Garden Euan</v>
      </c>
      <c r="H1479" s="22" t="str">
        <f>IFERROR(VLOOKUP(VLOOKUP(A1479,'Sales Order'!A:C,3,FALSE),Employee!A:E,5,FALSE)&amp;" "&amp;VLOOKUP(VLOOKUP(A1479,'Sales Order'!A:C,3,FALSE),Employee!A:C,3,FALSE)&amp;" "&amp;VLOOKUP(VLOOKUP(A1479,'Sales Order'!A:C,3,FALSE),Employee!A:B,2,FALSE),"Not Specified")</f>
        <v>Ms. Sara Davis</v>
      </c>
      <c r="I1479" t="str">
        <f>IFERROR(VLOOKUP(VLOOKUP(A1479,'Sales Order'!A:C,3,FALSE),Employee!A:J,10,FALSE),"Not Specified")</f>
        <v>WA</v>
      </c>
      <c r="J1479" t="str">
        <f>VLOOKUP(B1479,Product!A:B,2,FALSE)</f>
        <v>Product CBRRL</v>
      </c>
      <c r="K1479" t="str">
        <f>VLOOKUP(VLOOKUP(B1479,Product!A:D,4,FALSE),Category!A:B,2,FALSE)</f>
        <v>Seafood</v>
      </c>
      <c r="L1479" s="24">
        <f>IFERROR(VLOOKUP(A1479,'Sales Order'!A:D,4,FALSE),"")</f>
        <v>39452</v>
      </c>
      <c r="M1479" s="24">
        <f>IFERROR(VLOOKUP(A1479,'Sales Order'!A:F,6,FALSE),"")</f>
        <v>39456</v>
      </c>
      <c r="N1479" t="str">
        <f>IFERROR(VLOOKUP(VLOOKUP(A1479,'Sales Order'!A:G,7,FALSE),Shipper!A:B,2,FALSE),"Not Specified")</f>
        <v>Shipper GVSUA</v>
      </c>
      <c r="O1479" t="str">
        <f>IFERROR(VLOOKUP(A1479,'Sales Order'!A:I,9,FALSE),"Not Specified")</f>
        <v>Ship to 67-C</v>
      </c>
      <c r="P1479" t="str">
        <f>IFERROR(VLOOKUP(A1479,'Sales Order'!A:N,14,FALSE),"Not Specified")</f>
        <v>Brazil</v>
      </c>
      <c r="Q1479" t="str">
        <f>VLOOKUP(VLOOKUP(B1479,Product!A:C,3,FALSE),Supplier!A:B,2,FALSE)</f>
        <v>Supplier XOXZA</v>
      </c>
      <c r="R1479" t="str">
        <f>VLOOKUP(VLOOKUP(B1479,Product!A:C,3,FALSE),Supplier!A:I,9,FALSE)</f>
        <v>Denmark</v>
      </c>
      <c r="S1479" t="str">
        <f>IFERROR(IF(VLOOKUP(A1479,'Sales Order'!A:H,8,FALSE)&gt;100,"High Freight","Low Freight"),"Not Specified")</f>
        <v>Low Freight</v>
      </c>
      <c r="T1479">
        <f t="shared" si="47"/>
        <v>420</v>
      </c>
    </row>
    <row r="1480" spans="1:20">
      <c r="A1480" s="9">
        <v>10814</v>
      </c>
      <c r="B1480" s="6">
        <v>41</v>
      </c>
      <c r="C1480" s="6">
        <v>9.65</v>
      </c>
      <c r="D1480" s="6">
        <v>20</v>
      </c>
      <c r="E1480" s="18">
        <v>0</v>
      </c>
      <c r="F1480" s="6" t="str">
        <f>IFERROR(VLOOKUP(VLOOKUP(A1480,'Sales Order'!A:B,2,FALSE),Customer!A:C,3,FALSE),"Not Specified")</f>
        <v>Tuntisangaroon, Sittichai</v>
      </c>
      <c r="G1480" s="6" t="str">
        <f t="shared" si="46"/>
        <v>Tuntisangaroon Sittichai</v>
      </c>
      <c r="H1480" s="22" t="str">
        <f>IFERROR(VLOOKUP(VLOOKUP(A1480,'Sales Order'!A:C,3,FALSE),Employee!A:E,5,FALSE)&amp;" "&amp;VLOOKUP(VLOOKUP(A1480,'Sales Order'!A:C,3,FALSE),Employee!A:C,3,FALSE)&amp;" "&amp;VLOOKUP(VLOOKUP(A1480,'Sales Order'!A:C,3,FALSE),Employee!A:B,2,FALSE),"Not Specified")</f>
        <v>Ms. Judy Lew</v>
      </c>
      <c r="I1480" t="str">
        <f>IFERROR(VLOOKUP(VLOOKUP(A1480,'Sales Order'!A:C,3,FALSE),Employee!A:J,10,FALSE),"Not Specified")</f>
        <v>WA</v>
      </c>
      <c r="J1480" t="str">
        <f>VLOOKUP(B1480,Product!A:B,2,FALSE)</f>
        <v>Product TTEEX</v>
      </c>
      <c r="K1480" t="str">
        <f>VLOOKUP(VLOOKUP(B1480,Product!A:D,4,FALSE),Category!A:B,2,FALSE)</f>
        <v>Seafood</v>
      </c>
      <c r="L1480" s="24">
        <f>IFERROR(VLOOKUP(A1480,'Sales Order'!A:D,4,FALSE),"")</f>
        <v>39452</v>
      </c>
      <c r="M1480" s="24">
        <f>IFERROR(VLOOKUP(A1480,'Sales Order'!A:F,6,FALSE),"")</f>
        <v>39461</v>
      </c>
      <c r="N1480" t="str">
        <f>IFERROR(VLOOKUP(VLOOKUP(A1480,'Sales Order'!A:G,7,FALSE),Shipper!A:B,2,FALSE),"Not Specified")</f>
        <v>Shipper ZHISN</v>
      </c>
      <c r="O1480" t="str">
        <f>IFERROR(VLOOKUP(A1480,'Sales Order'!A:I,9,FALSE),"Not Specified")</f>
        <v>Ship to 84-B</v>
      </c>
      <c r="P1480" t="str">
        <f>IFERROR(VLOOKUP(A1480,'Sales Order'!A:N,14,FALSE),"Not Specified")</f>
        <v>France</v>
      </c>
      <c r="Q1480" t="str">
        <f>VLOOKUP(VLOOKUP(B1480,Product!A:C,3,FALSE),Supplier!A:B,2,FALSE)</f>
        <v>Supplier JDNUG</v>
      </c>
      <c r="R1480" t="str">
        <f>VLOOKUP(VLOOKUP(B1480,Product!A:C,3,FALSE),Supplier!A:I,9,FALSE)</f>
        <v>USA</v>
      </c>
      <c r="S1480" t="str">
        <f>IFERROR(IF(VLOOKUP(A1480,'Sales Order'!A:H,8,FALSE)&gt;100,"High Freight","Low Freight"),"Not Specified")</f>
        <v>High Freight</v>
      </c>
      <c r="T1480">
        <f t="shared" si="47"/>
        <v>193</v>
      </c>
    </row>
    <row r="1481" spans="1:20">
      <c r="A1481" s="9">
        <v>10814</v>
      </c>
      <c r="B1481" s="6">
        <v>43</v>
      </c>
      <c r="C1481" s="6">
        <v>46</v>
      </c>
      <c r="D1481" s="6">
        <v>20</v>
      </c>
      <c r="E1481" s="18">
        <v>0.15</v>
      </c>
      <c r="F1481" s="6" t="str">
        <f>IFERROR(VLOOKUP(VLOOKUP(A1481,'Sales Order'!A:B,2,FALSE),Customer!A:C,3,FALSE),"Not Specified")</f>
        <v>Tuntisangaroon, Sittichai</v>
      </c>
      <c r="G1481" s="6" t="str">
        <f t="shared" si="46"/>
        <v>Tuntisangaroon Sittichai</v>
      </c>
      <c r="H1481" s="22" t="str">
        <f>IFERROR(VLOOKUP(VLOOKUP(A1481,'Sales Order'!A:C,3,FALSE),Employee!A:E,5,FALSE)&amp;" "&amp;VLOOKUP(VLOOKUP(A1481,'Sales Order'!A:C,3,FALSE),Employee!A:C,3,FALSE)&amp;" "&amp;VLOOKUP(VLOOKUP(A1481,'Sales Order'!A:C,3,FALSE),Employee!A:B,2,FALSE),"Not Specified")</f>
        <v>Ms. Judy Lew</v>
      </c>
      <c r="I1481" t="str">
        <f>IFERROR(VLOOKUP(VLOOKUP(A1481,'Sales Order'!A:C,3,FALSE),Employee!A:J,10,FALSE),"Not Specified")</f>
        <v>WA</v>
      </c>
      <c r="J1481" t="str">
        <f>VLOOKUP(B1481,Product!A:B,2,FALSE)</f>
        <v>Product ZZZHR</v>
      </c>
      <c r="K1481" t="str">
        <f>VLOOKUP(VLOOKUP(B1481,Product!A:D,4,FALSE),Category!A:B,2,FALSE)</f>
        <v>Beverages</v>
      </c>
      <c r="L1481" s="24">
        <f>IFERROR(VLOOKUP(A1481,'Sales Order'!A:D,4,FALSE),"")</f>
        <v>39452</v>
      </c>
      <c r="M1481" s="24">
        <f>IFERROR(VLOOKUP(A1481,'Sales Order'!A:F,6,FALSE),"")</f>
        <v>39461</v>
      </c>
      <c r="N1481" t="str">
        <f>IFERROR(VLOOKUP(VLOOKUP(A1481,'Sales Order'!A:G,7,FALSE),Shipper!A:B,2,FALSE),"Not Specified")</f>
        <v>Shipper ZHISN</v>
      </c>
      <c r="O1481" t="str">
        <f>IFERROR(VLOOKUP(A1481,'Sales Order'!A:I,9,FALSE),"Not Specified")</f>
        <v>Ship to 84-B</v>
      </c>
      <c r="P1481" t="str">
        <f>IFERROR(VLOOKUP(A1481,'Sales Order'!A:N,14,FALSE),"Not Specified")</f>
        <v>France</v>
      </c>
      <c r="Q1481" t="str">
        <f>VLOOKUP(VLOOKUP(B1481,Product!A:C,3,FALSE),Supplier!A:B,2,FALSE)</f>
        <v>Supplier CIYNM</v>
      </c>
      <c r="R1481" t="str">
        <f>VLOOKUP(VLOOKUP(B1481,Product!A:C,3,FALSE),Supplier!A:I,9,FALSE)</f>
        <v>Singapore</v>
      </c>
      <c r="S1481" t="str">
        <f>IFERROR(IF(VLOOKUP(A1481,'Sales Order'!A:H,8,FALSE)&gt;100,"High Freight","Low Freight"),"Not Specified")</f>
        <v>High Freight</v>
      </c>
      <c r="T1481">
        <f t="shared" si="47"/>
        <v>782</v>
      </c>
    </row>
    <row r="1482" spans="1:20">
      <c r="A1482" s="9">
        <v>10814</v>
      </c>
      <c r="B1482" s="6">
        <v>48</v>
      </c>
      <c r="C1482" s="6">
        <v>12.75</v>
      </c>
      <c r="D1482" s="6">
        <v>8</v>
      </c>
      <c r="E1482" s="18">
        <v>0.15</v>
      </c>
      <c r="F1482" s="6" t="str">
        <f>IFERROR(VLOOKUP(VLOOKUP(A1482,'Sales Order'!A:B,2,FALSE),Customer!A:C,3,FALSE),"Not Specified")</f>
        <v>Tuntisangaroon, Sittichai</v>
      </c>
      <c r="G1482" s="6" t="str">
        <f t="shared" si="46"/>
        <v>Tuntisangaroon Sittichai</v>
      </c>
      <c r="H1482" s="22" t="str">
        <f>IFERROR(VLOOKUP(VLOOKUP(A1482,'Sales Order'!A:C,3,FALSE),Employee!A:E,5,FALSE)&amp;" "&amp;VLOOKUP(VLOOKUP(A1482,'Sales Order'!A:C,3,FALSE),Employee!A:C,3,FALSE)&amp;" "&amp;VLOOKUP(VLOOKUP(A1482,'Sales Order'!A:C,3,FALSE),Employee!A:B,2,FALSE),"Not Specified")</f>
        <v>Ms. Judy Lew</v>
      </c>
      <c r="I1482" t="str">
        <f>IFERROR(VLOOKUP(VLOOKUP(A1482,'Sales Order'!A:C,3,FALSE),Employee!A:J,10,FALSE),"Not Specified")</f>
        <v>WA</v>
      </c>
      <c r="J1482" t="str">
        <f>VLOOKUP(B1482,Product!A:B,2,FALSE)</f>
        <v>Product MYNXN</v>
      </c>
      <c r="K1482" t="str">
        <f>VLOOKUP(VLOOKUP(B1482,Product!A:D,4,FALSE),Category!A:B,2,FALSE)</f>
        <v>Confections</v>
      </c>
      <c r="L1482" s="24">
        <f>IFERROR(VLOOKUP(A1482,'Sales Order'!A:D,4,FALSE),"")</f>
        <v>39452</v>
      </c>
      <c r="M1482" s="24">
        <f>IFERROR(VLOOKUP(A1482,'Sales Order'!A:F,6,FALSE),"")</f>
        <v>39461</v>
      </c>
      <c r="N1482" t="str">
        <f>IFERROR(VLOOKUP(VLOOKUP(A1482,'Sales Order'!A:G,7,FALSE),Shipper!A:B,2,FALSE),"Not Specified")</f>
        <v>Shipper ZHISN</v>
      </c>
      <c r="O1482" t="str">
        <f>IFERROR(VLOOKUP(A1482,'Sales Order'!A:I,9,FALSE),"Not Specified")</f>
        <v>Ship to 84-B</v>
      </c>
      <c r="P1482" t="str">
        <f>IFERROR(VLOOKUP(A1482,'Sales Order'!A:N,14,FALSE),"Not Specified")</f>
        <v>France</v>
      </c>
      <c r="Q1482" t="str">
        <f>VLOOKUP(VLOOKUP(B1482,Product!A:C,3,FALSE),Supplier!A:B,2,FALSE)</f>
        <v>Supplier FNUXM</v>
      </c>
      <c r="R1482" t="str">
        <f>VLOOKUP(VLOOKUP(B1482,Product!A:C,3,FALSE),Supplier!A:I,9,FALSE)</f>
        <v>Netherlands</v>
      </c>
      <c r="S1482" t="str">
        <f>IFERROR(IF(VLOOKUP(A1482,'Sales Order'!A:H,8,FALSE)&gt;100,"High Freight","Low Freight"),"Not Specified")</f>
        <v>High Freight</v>
      </c>
      <c r="T1482">
        <f t="shared" si="47"/>
        <v>86.7</v>
      </c>
    </row>
    <row r="1483" spans="1:20">
      <c r="A1483" s="9">
        <v>10814</v>
      </c>
      <c r="B1483" s="6">
        <v>61</v>
      </c>
      <c r="C1483" s="6">
        <v>28.5</v>
      </c>
      <c r="D1483" s="6">
        <v>30</v>
      </c>
      <c r="E1483" s="18">
        <v>0.15</v>
      </c>
      <c r="F1483" s="6" t="str">
        <f>IFERROR(VLOOKUP(VLOOKUP(A1483,'Sales Order'!A:B,2,FALSE),Customer!A:C,3,FALSE),"Not Specified")</f>
        <v>Tuntisangaroon, Sittichai</v>
      </c>
      <c r="G1483" s="6" t="str">
        <f t="shared" si="46"/>
        <v>Tuntisangaroon Sittichai</v>
      </c>
      <c r="H1483" s="22" t="str">
        <f>IFERROR(VLOOKUP(VLOOKUP(A1483,'Sales Order'!A:C,3,FALSE),Employee!A:E,5,FALSE)&amp;" "&amp;VLOOKUP(VLOOKUP(A1483,'Sales Order'!A:C,3,FALSE),Employee!A:C,3,FALSE)&amp;" "&amp;VLOOKUP(VLOOKUP(A1483,'Sales Order'!A:C,3,FALSE),Employee!A:B,2,FALSE),"Not Specified")</f>
        <v>Ms. Judy Lew</v>
      </c>
      <c r="I1483" t="str">
        <f>IFERROR(VLOOKUP(VLOOKUP(A1483,'Sales Order'!A:C,3,FALSE),Employee!A:J,10,FALSE),"Not Specified")</f>
        <v>WA</v>
      </c>
      <c r="J1483" t="str">
        <f>VLOOKUP(B1483,Product!A:B,2,FALSE)</f>
        <v>Product XYZPE</v>
      </c>
      <c r="K1483" t="str">
        <f>VLOOKUP(VLOOKUP(B1483,Product!A:D,4,FALSE),Category!A:B,2,FALSE)</f>
        <v>Condiments</v>
      </c>
      <c r="L1483" s="24">
        <f>IFERROR(VLOOKUP(A1483,'Sales Order'!A:D,4,FALSE),"")</f>
        <v>39452</v>
      </c>
      <c r="M1483" s="24">
        <f>IFERROR(VLOOKUP(A1483,'Sales Order'!A:F,6,FALSE),"")</f>
        <v>39461</v>
      </c>
      <c r="N1483" t="str">
        <f>IFERROR(VLOOKUP(VLOOKUP(A1483,'Sales Order'!A:G,7,FALSE),Shipper!A:B,2,FALSE),"Not Specified")</f>
        <v>Shipper ZHISN</v>
      </c>
      <c r="O1483" t="str">
        <f>IFERROR(VLOOKUP(A1483,'Sales Order'!A:I,9,FALSE),"Not Specified")</f>
        <v>Ship to 84-B</v>
      </c>
      <c r="P1483" t="str">
        <f>IFERROR(VLOOKUP(A1483,'Sales Order'!A:N,14,FALSE),"Not Specified")</f>
        <v>France</v>
      </c>
      <c r="Q1483" t="str">
        <f>VLOOKUP(VLOOKUP(B1483,Product!A:C,3,FALSE),Supplier!A:B,2,FALSE)</f>
        <v>Supplier OGLRK</v>
      </c>
      <c r="R1483" t="str">
        <f>VLOOKUP(VLOOKUP(B1483,Product!A:C,3,FALSE),Supplier!A:I,9,FALSE)</f>
        <v>Canada</v>
      </c>
      <c r="S1483" t="str">
        <f>IFERROR(IF(VLOOKUP(A1483,'Sales Order'!A:H,8,FALSE)&gt;100,"High Freight","Low Freight"),"Not Specified")</f>
        <v>High Freight</v>
      </c>
      <c r="T1483">
        <f t="shared" si="47"/>
        <v>726.75</v>
      </c>
    </row>
    <row r="1484" spans="1:20">
      <c r="A1484" s="9">
        <v>10815</v>
      </c>
      <c r="B1484" s="6">
        <v>33</v>
      </c>
      <c r="C1484" s="6">
        <v>2.5</v>
      </c>
      <c r="D1484" s="6">
        <v>16</v>
      </c>
      <c r="E1484" s="18">
        <v>0</v>
      </c>
      <c r="F1484" s="6" t="str">
        <f>IFERROR(VLOOKUP(VLOOKUP(A1484,'Sales Order'!A:B,2,FALSE),Customer!A:C,3,FALSE),"Not Specified")</f>
        <v>Navarro, Tomás</v>
      </c>
      <c r="G1484" s="6" t="str">
        <f t="shared" si="46"/>
        <v>Navarro Tomás</v>
      </c>
      <c r="H1484" s="22" t="str">
        <f>IFERROR(VLOOKUP(VLOOKUP(A1484,'Sales Order'!A:C,3,FALSE),Employee!A:E,5,FALSE)&amp;" "&amp;VLOOKUP(VLOOKUP(A1484,'Sales Order'!A:C,3,FALSE),Employee!A:C,3,FALSE)&amp;" "&amp;VLOOKUP(VLOOKUP(A1484,'Sales Order'!A:C,3,FALSE),Employee!A:B,2,FALSE),"Not Specified")</f>
        <v>Dr. Don Funk</v>
      </c>
      <c r="I1484" t="str">
        <f>IFERROR(VLOOKUP(VLOOKUP(A1484,'Sales Order'!A:C,3,FALSE),Employee!A:J,10,FALSE),"Not Specified")</f>
        <v>WA</v>
      </c>
      <c r="J1484" t="str">
        <f>VLOOKUP(B1484,Product!A:B,2,FALSE)</f>
        <v>Product ASTMN</v>
      </c>
      <c r="K1484" t="str">
        <f>VLOOKUP(VLOOKUP(B1484,Product!A:D,4,FALSE),Category!A:B,2,FALSE)</f>
        <v>Dairy Product</v>
      </c>
      <c r="L1484" s="24">
        <f>IFERROR(VLOOKUP(A1484,'Sales Order'!A:D,4,FALSE),"")</f>
        <v>39452</v>
      </c>
      <c r="M1484" s="24">
        <f>IFERROR(VLOOKUP(A1484,'Sales Order'!A:F,6,FALSE),"")</f>
        <v>39461</v>
      </c>
      <c r="N1484" t="str">
        <f>IFERROR(VLOOKUP(VLOOKUP(A1484,'Sales Order'!A:G,7,FALSE),Shipper!A:B,2,FALSE),"Not Specified")</f>
        <v>Shipper ZHISN</v>
      </c>
      <c r="O1484" t="str">
        <f>IFERROR(VLOOKUP(A1484,'Sales Order'!A:I,9,FALSE),"Not Specified")</f>
        <v>Ship to 71-A</v>
      </c>
      <c r="P1484" t="str">
        <f>IFERROR(VLOOKUP(A1484,'Sales Order'!A:N,14,FALSE),"Not Specified")</f>
        <v>USA</v>
      </c>
      <c r="Q1484" t="str">
        <f>VLOOKUP(VLOOKUP(B1484,Product!A:C,3,FALSE),Supplier!A:B,2,FALSE)</f>
        <v>Supplier NZLIF</v>
      </c>
      <c r="R1484" t="str">
        <f>VLOOKUP(VLOOKUP(B1484,Product!A:C,3,FALSE),Supplier!A:I,9,FALSE)</f>
        <v>Norway</v>
      </c>
      <c r="S1484" t="str">
        <f>IFERROR(IF(VLOOKUP(A1484,'Sales Order'!A:H,8,FALSE)&gt;100,"High Freight","Low Freight"),"Not Specified")</f>
        <v>Low Freight</v>
      </c>
      <c r="T1484">
        <f t="shared" si="47"/>
        <v>40</v>
      </c>
    </row>
    <row r="1485" spans="1:20">
      <c r="A1485" s="9">
        <v>10816</v>
      </c>
      <c r="B1485" s="6">
        <v>38</v>
      </c>
      <c r="C1485" s="6">
        <v>263.5</v>
      </c>
      <c r="D1485" s="6">
        <v>30</v>
      </c>
      <c r="E1485" s="18">
        <v>0.05</v>
      </c>
      <c r="F1485" s="6" t="str">
        <f>IFERROR(VLOOKUP(VLOOKUP(A1485,'Sales Order'!A:B,2,FALSE),Customer!A:C,3,FALSE),"Not Specified")</f>
        <v>Krishnan, Venky</v>
      </c>
      <c r="G1485" s="6" t="str">
        <f t="shared" si="46"/>
        <v>Krishnan Venky</v>
      </c>
      <c r="H1485" s="22" t="str">
        <f>IFERROR(VLOOKUP(VLOOKUP(A1485,'Sales Order'!A:C,3,FALSE),Employee!A:E,5,FALSE)&amp;" "&amp;VLOOKUP(VLOOKUP(A1485,'Sales Order'!A:C,3,FALSE),Employee!A:C,3,FALSE)&amp;" "&amp;VLOOKUP(VLOOKUP(A1485,'Sales Order'!A:C,3,FALSE),Employee!A:B,2,FALSE),"Not Specified")</f>
        <v>Mrs. Yael Peled</v>
      </c>
      <c r="I1485" t="str">
        <f>IFERROR(VLOOKUP(VLOOKUP(A1485,'Sales Order'!A:C,3,FALSE),Employee!A:J,10,FALSE),"Not Specified")</f>
        <v>WA</v>
      </c>
      <c r="J1485" t="str">
        <f>VLOOKUP(B1485,Product!A:B,2,FALSE)</f>
        <v>Product QDOMO</v>
      </c>
      <c r="K1485" t="str">
        <f>VLOOKUP(VLOOKUP(B1485,Product!A:D,4,FALSE),Category!A:B,2,FALSE)</f>
        <v>Beverages</v>
      </c>
      <c r="L1485" s="24">
        <f>IFERROR(VLOOKUP(A1485,'Sales Order'!A:D,4,FALSE),"")</f>
        <v>39453</v>
      </c>
      <c r="M1485" s="24">
        <f>IFERROR(VLOOKUP(A1485,'Sales Order'!A:F,6,FALSE),"")</f>
        <v>39482</v>
      </c>
      <c r="N1485" t="str">
        <f>IFERROR(VLOOKUP(VLOOKUP(A1485,'Sales Order'!A:G,7,FALSE),Shipper!A:B,2,FALSE),"Not Specified")</f>
        <v>Shipper ETYNR</v>
      </c>
      <c r="O1485" t="str">
        <f>IFERROR(VLOOKUP(A1485,'Sales Order'!A:I,9,FALSE),"Not Specified")</f>
        <v>Destination AVQUS</v>
      </c>
      <c r="P1485" t="str">
        <f>IFERROR(VLOOKUP(A1485,'Sales Order'!A:N,14,FALSE),"Not Specified")</f>
        <v>USA</v>
      </c>
      <c r="Q1485" t="str">
        <f>VLOOKUP(VLOOKUP(B1485,Product!A:C,3,FALSE),Supplier!A:B,2,FALSE)</f>
        <v>Supplier LVJUA</v>
      </c>
      <c r="R1485" t="str">
        <f>VLOOKUP(VLOOKUP(B1485,Product!A:C,3,FALSE),Supplier!A:I,9,FALSE)</f>
        <v>France</v>
      </c>
      <c r="S1485" t="str">
        <f>IFERROR(IF(VLOOKUP(A1485,'Sales Order'!A:H,8,FALSE)&gt;100,"High Freight","Low Freight"),"Not Specified")</f>
        <v>High Freight</v>
      </c>
      <c r="T1485">
        <f t="shared" si="47"/>
        <v>7509.75</v>
      </c>
    </row>
    <row r="1486" spans="1:20">
      <c r="A1486" s="9">
        <v>10816</v>
      </c>
      <c r="B1486" s="6">
        <v>62</v>
      </c>
      <c r="C1486" s="6">
        <v>49.3</v>
      </c>
      <c r="D1486" s="6">
        <v>20</v>
      </c>
      <c r="E1486" s="18">
        <v>0.05</v>
      </c>
      <c r="F1486" s="6" t="str">
        <f>IFERROR(VLOOKUP(VLOOKUP(A1486,'Sales Order'!A:B,2,FALSE),Customer!A:C,3,FALSE),"Not Specified")</f>
        <v>Krishnan, Venky</v>
      </c>
      <c r="G1486" s="6" t="str">
        <f t="shared" si="46"/>
        <v>Krishnan Venky</v>
      </c>
      <c r="H1486" s="22" t="str">
        <f>IFERROR(VLOOKUP(VLOOKUP(A1486,'Sales Order'!A:C,3,FALSE),Employee!A:E,5,FALSE)&amp;" "&amp;VLOOKUP(VLOOKUP(A1486,'Sales Order'!A:C,3,FALSE),Employee!A:C,3,FALSE)&amp;" "&amp;VLOOKUP(VLOOKUP(A1486,'Sales Order'!A:C,3,FALSE),Employee!A:B,2,FALSE),"Not Specified")</f>
        <v>Mrs. Yael Peled</v>
      </c>
      <c r="I1486" t="str">
        <f>IFERROR(VLOOKUP(VLOOKUP(A1486,'Sales Order'!A:C,3,FALSE),Employee!A:J,10,FALSE),"Not Specified")</f>
        <v>WA</v>
      </c>
      <c r="J1486" t="str">
        <f>VLOOKUP(B1486,Product!A:B,2,FALSE)</f>
        <v>Product WUXYK</v>
      </c>
      <c r="K1486" t="str">
        <f>VLOOKUP(VLOOKUP(B1486,Product!A:D,4,FALSE),Category!A:B,2,FALSE)</f>
        <v>Confections</v>
      </c>
      <c r="L1486" s="24">
        <f>IFERROR(VLOOKUP(A1486,'Sales Order'!A:D,4,FALSE),"")</f>
        <v>39453</v>
      </c>
      <c r="M1486" s="24">
        <f>IFERROR(VLOOKUP(A1486,'Sales Order'!A:F,6,FALSE),"")</f>
        <v>39482</v>
      </c>
      <c r="N1486" t="str">
        <f>IFERROR(VLOOKUP(VLOOKUP(A1486,'Sales Order'!A:G,7,FALSE),Shipper!A:B,2,FALSE),"Not Specified")</f>
        <v>Shipper ETYNR</v>
      </c>
      <c r="O1486" t="str">
        <f>IFERROR(VLOOKUP(A1486,'Sales Order'!A:I,9,FALSE),"Not Specified")</f>
        <v>Destination AVQUS</v>
      </c>
      <c r="P1486" t="str">
        <f>IFERROR(VLOOKUP(A1486,'Sales Order'!A:N,14,FALSE),"Not Specified")</f>
        <v>USA</v>
      </c>
      <c r="Q1486" t="str">
        <f>VLOOKUP(VLOOKUP(B1486,Product!A:C,3,FALSE),Supplier!A:B,2,FALSE)</f>
        <v>Supplier OGLRK</v>
      </c>
      <c r="R1486" t="str">
        <f>VLOOKUP(VLOOKUP(B1486,Product!A:C,3,FALSE),Supplier!A:I,9,FALSE)</f>
        <v>Canada</v>
      </c>
      <c r="S1486" t="str">
        <f>IFERROR(IF(VLOOKUP(A1486,'Sales Order'!A:H,8,FALSE)&gt;100,"High Freight","Low Freight"),"Not Specified")</f>
        <v>High Freight</v>
      </c>
      <c r="T1486">
        <f t="shared" si="47"/>
        <v>936.69999999999993</v>
      </c>
    </row>
    <row r="1487" spans="1:20">
      <c r="A1487" s="9">
        <v>10817</v>
      </c>
      <c r="B1487" s="6">
        <v>26</v>
      </c>
      <c r="C1487" s="6">
        <v>31.23</v>
      </c>
      <c r="D1487" s="6">
        <v>40</v>
      </c>
      <c r="E1487" s="18">
        <v>0.15</v>
      </c>
      <c r="F1487" s="6" t="str">
        <f>IFERROR(VLOOKUP(VLOOKUP(A1487,'Sales Order'!A:B,2,FALSE),Customer!A:C,3,FALSE),"Not Specified")</f>
        <v>Song, Lolan</v>
      </c>
      <c r="G1487" s="6" t="str">
        <f t="shared" si="46"/>
        <v>Song Lolan</v>
      </c>
      <c r="H1487" s="22" t="str">
        <f>IFERROR(VLOOKUP(VLOOKUP(A1487,'Sales Order'!A:C,3,FALSE),Employee!A:E,5,FALSE)&amp;" "&amp;VLOOKUP(VLOOKUP(A1487,'Sales Order'!A:C,3,FALSE),Employee!A:C,3,FALSE)&amp;" "&amp;VLOOKUP(VLOOKUP(A1487,'Sales Order'!A:C,3,FALSE),Employee!A:B,2,FALSE),"Not Specified")</f>
        <v>Ms. Judy Lew</v>
      </c>
      <c r="I1487" t="str">
        <f>IFERROR(VLOOKUP(VLOOKUP(A1487,'Sales Order'!A:C,3,FALSE),Employee!A:J,10,FALSE),"Not Specified")</f>
        <v>WA</v>
      </c>
      <c r="J1487" t="str">
        <f>VLOOKUP(B1487,Product!A:B,2,FALSE)</f>
        <v>Product HLGZA</v>
      </c>
      <c r="K1487" t="str">
        <f>VLOOKUP(VLOOKUP(B1487,Product!A:D,4,FALSE),Category!A:B,2,FALSE)</f>
        <v>Confections</v>
      </c>
      <c r="L1487" s="24">
        <f>IFERROR(VLOOKUP(A1487,'Sales Order'!A:D,4,FALSE),"")</f>
        <v>39453</v>
      </c>
      <c r="M1487" s="24">
        <f>IFERROR(VLOOKUP(A1487,'Sales Order'!A:F,6,FALSE),"")</f>
        <v>39460</v>
      </c>
      <c r="N1487" t="str">
        <f>IFERROR(VLOOKUP(VLOOKUP(A1487,'Sales Order'!A:G,7,FALSE),Shipper!A:B,2,FALSE),"Not Specified")</f>
        <v>Shipper ETYNR</v>
      </c>
      <c r="O1487" t="str">
        <f>IFERROR(VLOOKUP(A1487,'Sales Order'!A:I,9,FALSE),"Not Specified")</f>
        <v>Destination RMBHM</v>
      </c>
      <c r="P1487" t="str">
        <f>IFERROR(VLOOKUP(A1487,'Sales Order'!A:N,14,FALSE),"Not Specified")</f>
        <v>Germany</v>
      </c>
      <c r="Q1487" t="str">
        <f>VLOOKUP(VLOOKUP(B1487,Product!A:C,3,FALSE),Supplier!A:B,2,FALSE)</f>
        <v>Supplier ZPYVS</v>
      </c>
      <c r="R1487" t="str">
        <f>VLOOKUP(VLOOKUP(B1487,Product!A:C,3,FALSE),Supplier!A:I,9,FALSE)</f>
        <v>Germany</v>
      </c>
      <c r="S1487" t="str">
        <f>IFERROR(IF(VLOOKUP(A1487,'Sales Order'!A:H,8,FALSE)&gt;100,"High Freight","Low Freight"),"Not Specified")</f>
        <v>High Freight</v>
      </c>
      <c r="T1487">
        <f t="shared" si="47"/>
        <v>1061.82</v>
      </c>
    </row>
    <row r="1488" spans="1:20">
      <c r="A1488" s="9">
        <v>10817</v>
      </c>
      <c r="B1488" s="6">
        <v>38</v>
      </c>
      <c r="C1488" s="6">
        <v>263.5</v>
      </c>
      <c r="D1488" s="6">
        <v>30</v>
      </c>
      <c r="E1488" s="18">
        <v>0</v>
      </c>
      <c r="F1488" s="6" t="str">
        <f>IFERROR(VLOOKUP(VLOOKUP(A1488,'Sales Order'!A:B,2,FALSE),Customer!A:C,3,FALSE),"Not Specified")</f>
        <v>Song, Lolan</v>
      </c>
      <c r="G1488" s="6" t="str">
        <f t="shared" si="46"/>
        <v>Song Lolan</v>
      </c>
      <c r="H1488" s="22" t="str">
        <f>IFERROR(VLOOKUP(VLOOKUP(A1488,'Sales Order'!A:C,3,FALSE),Employee!A:E,5,FALSE)&amp;" "&amp;VLOOKUP(VLOOKUP(A1488,'Sales Order'!A:C,3,FALSE),Employee!A:C,3,FALSE)&amp;" "&amp;VLOOKUP(VLOOKUP(A1488,'Sales Order'!A:C,3,FALSE),Employee!A:B,2,FALSE),"Not Specified")</f>
        <v>Ms. Judy Lew</v>
      </c>
      <c r="I1488" t="str">
        <f>IFERROR(VLOOKUP(VLOOKUP(A1488,'Sales Order'!A:C,3,FALSE),Employee!A:J,10,FALSE),"Not Specified")</f>
        <v>WA</v>
      </c>
      <c r="J1488" t="str">
        <f>VLOOKUP(B1488,Product!A:B,2,FALSE)</f>
        <v>Product QDOMO</v>
      </c>
      <c r="K1488" t="str">
        <f>VLOOKUP(VLOOKUP(B1488,Product!A:D,4,FALSE),Category!A:B,2,FALSE)</f>
        <v>Beverages</v>
      </c>
      <c r="L1488" s="24">
        <f>IFERROR(VLOOKUP(A1488,'Sales Order'!A:D,4,FALSE),"")</f>
        <v>39453</v>
      </c>
      <c r="M1488" s="24">
        <f>IFERROR(VLOOKUP(A1488,'Sales Order'!A:F,6,FALSE),"")</f>
        <v>39460</v>
      </c>
      <c r="N1488" t="str">
        <f>IFERROR(VLOOKUP(VLOOKUP(A1488,'Sales Order'!A:G,7,FALSE),Shipper!A:B,2,FALSE),"Not Specified")</f>
        <v>Shipper ETYNR</v>
      </c>
      <c r="O1488" t="str">
        <f>IFERROR(VLOOKUP(A1488,'Sales Order'!A:I,9,FALSE),"Not Specified")</f>
        <v>Destination RMBHM</v>
      </c>
      <c r="P1488" t="str">
        <f>IFERROR(VLOOKUP(A1488,'Sales Order'!A:N,14,FALSE),"Not Specified")</f>
        <v>Germany</v>
      </c>
      <c r="Q1488" t="str">
        <f>VLOOKUP(VLOOKUP(B1488,Product!A:C,3,FALSE),Supplier!A:B,2,FALSE)</f>
        <v>Supplier LVJUA</v>
      </c>
      <c r="R1488" t="str">
        <f>VLOOKUP(VLOOKUP(B1488,Product!A:C,3,FALSE),Supplier!A:I,9,FALSE)</f>
        <v>France</v>
      </c>
      <c r="S1488" t="str">
        <f>IFERROR(IF(VLOOKUP(A1488,'Sales Order'!A:H,8,FALSE)&gt;100,"High Freight","Low Freight"),"Not Specified")</f>
        <v>High Freight</v>
      </c>
      <c r="T1488">
        <f t="shared" si="47"/>
        <v>7905</v>
      </c>
    </row>
    <row r="1489" spans="1:20">
      <c r="A1489" s="9">
        <v>10817</v>
      </c>
      <c r="B1489" s="6">
        <v>40</v>
      </c>
      <c r="C1489" s="6">
        <v>18.399999999999999</v>
      </c>
      <c r="D1489" s="6">
        <v>60</v>
      </c>
      <c r="E1489" s="18">
        <v>0.15</v>
      </c>
      <c r="F1489" s="6" t="str">
        <f>IFERROR(VLOOKUP(VLOOKUP(A1489,'Sales Order'!A:B,2,FALSE),Customer!A:C,3,FALSE),"Not Specified")</f>
        <v>Song, Lolan</v>
      </c>
      <c r="G1489" s="6" t="str">
        <f t="shared" si="46"/>
        <v>Song Lolan</v>
      </c>
      <c r="H1489" s="22" t="str">
        <f>IFERROR(VLOOKUP(VLOOKUP(A1489,'Sales Order'!A:C,3,FALSE),Employee!A:E,5,FALSE)&amp;" "&amp;VLOOKUP(VLOOKUP(A1489,'Sales Order'!A:C,3,FALSE),Employee!A:C,3,FALSE)&amp;" "&amp;VLOOKUP(VLOOKUP(A1489,'Sales Order'!A:C,3,FALSE),Employee!A:B,2,FALSE),"Not Specified")</f>
        <v>Ms. Judy Lew</v>
      </c>
      <c r="I1489" t="str">
        <f>IFERROR(VLOOKUP(VLOOKUP(A1489,'Sales Order'!A:C,3,FALSE),Employee!A:J,10,FALSE),"Not Specified")</f>
        <v>WA</v>
      </c>
      <c r="J1489" t="str">
        <f>VLOOKUP(B1489,Product!A:B,2,FALSE)</f>
        <v>Product YZIXQ</v>
      </c>
      <c r="K1489" t="str">
        <f>VLOOKUP(VLOOKUP(B1489,Product!A:D,4,FALSE),Category!A:B,2,FALSE)</f>
        <v>Seafood</v>
      </c>
      <c r="L1489" s="24">
        <f>IFERROR(VLOOKUP(A1489,'Sales Order'!A:D,4,FALSE),"")</f>
        <v>39453</v>
      </c>
      <c r="M1489" s="24">
        <f>IFERROR(VLOOKUP(A1489,'Sales Order'!A:F,6,FALSE),"")</f>
        <v>39460</v>
      </c>
      <c r="N1489" t="str">
        <f>IFERROR(VLOOKUP(VLOOKUP(A1489,'Sales Order'!A:G,7,FALSE),Shipper!A:B,2,FALSE),"Not Specified")</f>
        <v>Shipper ETYNR</v>
      </c>
      <c r="O1489" t="str">
        <f>IFERROR(VLOOKUP(A1489,'Sales Order'!A:I,9,FALSE),"Not Specified")</f>
        <v>Destination RMBHM</v>
      </c>
      <c r="P1489" t="str">
        <f>IFERROR(VLOOKUP(A1489,'Sales Order'!A:N,14,FALSE),"Not Specified")</f>
        <v>Germany</v>
      </c>
      <c r="Q1489" t="str">
        <f>VLOOKUP(VLOOKUP(B1489,Product!A:C,3,FALSE),Supplier!A:B,2,FALSE)</f>
        <v>Supplier JDNUG</v>
      </c>
      <c r="R1489" t="str">
        <f>VLOOKUP(VLOOKUP(B1489,Product!A:C,3,FALSE),Supplier!A:I,9,FALSE)</f>
        <v>USA</v>
      </c>
      <c r="S1489" t="str">
        <f>IFERROR(IF(VLOOKUP(A1489,'Sales Order'!A:H,8,FALSE)&gt;100,"High Freight","Low Freight"),"Not Specified")</f>
        <v>High Freight</v>
      </c>
      <c r="T1489">
        <f t="shared" si="47"/>
        <v>938.4</v>
      </c>
    </row>
    <row r="1490" spans="1:20">
      <c r="A1490" s="9">
        <v>10817</v>
      </c>
      <c r="B1490" s="6">
        <v>62</v>
      </c>
      <c r="C1490" s="6">
        <v>49.3</v>
      </c>
      <c r="D1490" s="6">
        <v>25</v>
      </c>
      <c r="E1490" s="18">
        <v>0.15</v>
      </c>
      <c r="F1490" s="6" t="str">
        <f>IFERROR(VLOOKUP(VLOOKUP(A1490,'Sales Order'!A:B,2,FALSE),Customer!A:C,3,FALSE),"Not Specified")</f>
        <v>Song, Lolan</v>
      </c>
      <c r="G1490" s="6" t="str">
        <f t="shared" si="46"/>
        <v>Song Lolan</v>
      </c>
      <c r="H1490" s="22" t="str">
        <f>IFERROR(VLOOKUP(VLOOKUP(A1490,'Sales Order'!A:C,3,FALSE),Employee!A:E,5,FALSE)&amp;" "&amp;VLOOKUP(VLOOKUP(A1490,'Sales Order'!A:C,3,FALSE),Employee!A:C,3,FALSE)&amp;" "&amp;VLOOKUP(VLOOKUP(A1490,'Sales Order'!A:C,3,FALSE),Employee!A:B,2,FALSE),"Not Specified")</f>
        <v>Ms. Judy Lew</v>
      </c>
      <c r="I1490" t="str">
        <f>IFERROR(VLOOKUP(VLOOKUP(A1490,'Sales Order'!A:C,3,FALSE),Employee!A:J,10,FALSE),"Not Specified")</f>
        <v>WA</v>
      </c>
      <c r="J1490" t="str">
        <f>VLOOKUP(B1490,Product!A:B,2,FALSE)</f>
        <v>Product WUXYK</v>
      </c>
      <c r="K1490" t="str">
        <f>VLOOKUP(VLOOKUP(B1490,Product!A:D,4,FALSE),Category!A:B,2,FALSE)</f>
        <v>Confections</v>
      </c>
      <c r="L1490" s="24">
        <f>IFERROR(VLOOKUP(A1490,'Sales Order'!A:D,4,FALSE),"")</f>
        <v>39453</v>
      </c>
      <c r="M1490" s="24">
        <f>IFERROR(VLOOKUP(A1490,'Sales Order'!A:F,6,FALSE),"")</f>
        <v>39460</v>
      </c>
      <c r="N1490" t="str">
        <f>IFERROR(VLOOKUP(VLOOKUP(A1490,'Sales Order'!A:G,7,FALSE),Shipper!A:B,2,FALSE),"Not Specified")</f>
        <v>Shipper ETYNR</v>
      </c>
      <c r="O1490" t="str">
        <f>IFERROR(VLOOKUP(A1490,'Sales Order'!A:I,9,FALSE),"Not Specified")</f>
        <v>Destination RMBHM</v>
      </c>
      <c r="P1490" t="str">
        <f>IFERROR(VLOOKUP(A1490,'Sales Order'!A:N,14,FALSE),"Not Specified")</f>
        <v>Germany</v>
      </c>
      <c r="Q1490" t="str">
        <f>VLOOKUP(VLOOKUP(B1490,Product!A:C,3,FALSE),Supplier!A:B,2,FALSE)</f>
        <v>Supplier OGLRK</v>
      </c>
      <c r="R1490" t="str">
        <f>VLOOKUP(VLOOKUP(B1490,Product!A:C,3,FALSE),Supplier!A:I,9,FALSE)</f>
        <v>Canada</v>
      </c>
      <c r="S1490" t="str">
        <f>IFERROR(IF(VLOOKUP(A1490,'Sales Order'!A:H,8,FALSE)&gt;100,"High Freight","Low Freight"),"Not Specified")</f>
        <v>High Freight</v>
      </c>
      <c r="T1490">
        <f t="shared" si="47"/>
        <v>1047.625</v>
      </c>
    </row>
    <row r="1491" spans="1:20">
      <c r="A1491" s="9">
        <v>10818</v>
      </c>
      <c r="B1491" s="6">
        <v>32</v>
      </c>
      <c r="C1491" s="6">
        <v>32</v>
      </c>
      <c r="D1491" s="6">
        <v>20</v>
      </c>
      <c r="E1491" s="18">
        <v>0</v>
      </c>
      <c r="F1491" s="6" t="str">
        <f>IFERROR(VLOOKUP(VLOOKUP(A1491,'Sales Order'!A:B,2,FALSE),Customer!A:C,3,FALSE),"Not Specified")</f>
        <v>Duerr, Bernard</v>
      </c>
      <c r="G1491" s="6" t="str">
        <f t="shared" si="46"/>
        <v>Duerr Bernard</v>
      </c>
      <c r="H1491" s="22" t="str">
        <f>IFERROR(VLOOKUP(VLOOKUP(A1491,'Sales Order'!A:C,3,FALSE),Employee!A:E,5,FALSE)&amp;" "&amp;VLOOKUP(VLOOKUP(A1491,'Sales Order'!A:C,3,FALSE),Employee!A:C,3,FALSE)&amp;" "&amp;VLOOKUP(VLOOKUP(A1491,'Sales Order'!A:C,3,FALSE),Employee!A:B,2,FALSE),"Not Specified")</f>
        <v>Mr. Russell King</v>
      </c>
      <c r="I1491">
        <f>IFERROR(VLOOKUP(VLOOKUP(A1491,'Sales Order'!A:C,3,FALSE),Employee!A:J,10,FALSE),"Not Specified")</f>
        <v>0</v>
      </c>
      <c r="J1491" t="str">
        <f>VLOOKUP(B1491,Product!A:B,2,FALSE)</f>
        <v>Product NUNAW</v>
      </c>
      <c r="K1491" t="str">
        <f>VLOOKUP(VLOOKUP(B1491,Product!A:D,4,FALSE),Category!A:B,2,FALSE)</f>
        <v>Dairy Product</v>
      </c>
      <c r="L1491" s="24">
        <f>IFERROR(VLOOKUP(A1491,'Sales Order'!A:D,4,FALSE),"")</f>
        <v>39454</v>
      </c>
      <c r="M1491" s="24">
        <f>IFERROR(VLOOKUP(A1491,'Sales Order'!A:F,6,FALSE),"")</f>
        <v>39459</v>
      </c>
      <c r="N1491" t="str">
        <f>IFERROR(VLOOKUP(VLOOKUP(A1491,'Sales Order'!A:G,7,FALSE),Shipper!A:B,2,FALSE),"Not Specified")</f>
        <v>Shipper ZHISN</v>
      </c>
      <c r="O1491" t="str">
        <f>IFERROR(VLOOKUP(A1491,'Sales Order'!A:I,9,FALSE),"Not Specified")</f>
        <v>Ship to 49-B</v>
      </c>
      <c r="P1491" t="str">
        <f>IFERROR(VLOOKUP(A1491,'Sales Order'!A:N,14,FALSE),"Not Specified")</f>
        <v>Italy</v>
      </c>
      <c r="Q1491" t="str">
        <f>VLOOKUP(VLOOKUP(B1491,Product!A:C,3,FALSE),Supplier!A:B,2,FALSE)</f>
        <v>Supplier KEREV</v>
      </c>
      <c r="R1491" t="str">
        <f>VLOOKUP(VLOOKUP(B1491,Product!A:C,3,FALSE),Supplier!A:I,9,FALSE)</f>
        <v>Italy</v>
      </c>
      <c r="S1491" t="str">
        <f>IFERROR(IF(VLOOKUP(A1491,'Sales Order'!A:H,8,FALSE)&gt;100,"High Freight","Low Freight"),"Not Specified")</f>
        <v>Low Freight</v>
      </c>
      <c r="T1491">
        <f t="shared" si="47"/>
        <v>640</v>
      </c>
    </row>
    <row r="1492" spans="1:20">
      <c r="A1492" s="9">
        <v>10818</v>
      </c>
      <c r="B1492" s="6">
        <v>41</v>
      </c>
      <c r="C1492" s="6">
        <v>9.65</v>
      </c>
      <c r="D1492" s="6">
        <v>20</v>
      </c>
      <c r="E1492" s="18">
        <v>0</v>
      </c>
      <c r="F1492" s="6" t="str">
        <f>IFERROR(VLOOKUP(VLOOKUP(A1492,'Sales Order'!A:B,2,FALSE),Customer!A:C,3,FALSE),"Not Specified")</f>
        <v>Duerr, Bernard</v>
      </c>
      <c r="G1492" s="6" t="str">
        <f t="shared" si="46"/>
        <v>Duerr Bernard</v>
      </c>
      <c r="H1492" s="22" t="str">
        <f>IFERROR(VLOOKUP(VLOOKUP(A1492,'Sales Order'!A:C,3,FALSE),Employee!A:E,5,FALSE)&amp;" "&amp;VLOOKUP(VLOOKUP(A1492,'Sales Order'!A:C,3,FALSE),Employee!A:C,3,FALSE)&amp;" "&amp;VLOOKUP(VLOOKUP(A1492,'Sales Order'!A:C,3,FALSE),Employee!A:B,2,FALSE),"Not Specified")</f>
        <v>Mr. Russell King</v>
      </c>
      <c r="I1492">
        <f>IFERROR(VLOOKUP(VLOOKUP(A1492,'Sales Order'!A:C,3,FALSE),Employee!A:J,10,FALSE),"Not Specified")</f>
        <v>0</v>
      </c>
      <c r="J1492" t="str">
        <f>VLOOKUP(B1492,Product!A:B,2,FALSE)</f>
        <v>Product TTEEX</v>
      </c>
      <c r="K1492" t="str">
        <f>VLOOKUP(VLOOKUP(B1492,Product!A:D,4,FALSE),Category!A:B,2,FALSE)</f>
        <v>Seafood</v>
      </c>
      <c r="L1492" s="24">
        <f>IFERROR(VLOOKUP(A1492,'Sales Order'!A:D,4,FALSE),"")</f>
        <v>39454</v>
      </c>
      <c r="M1492" s="24">
        <f>IFERROR(VLOOKUP(A1492,'Sales Order'!A:F,6,FALSE),"")</f>
        <v>39459</v>
      </c>
      <c r="N1492" t="str">
        <f>IFERROR(VLOOKUP(VLOOKUP(A1492,'Sales Order'!A:G,7,FALSE),Shipper!A:B,2,FALSE),"Not Specified")</f>
        <v>Shipper ZHISN</v>
      </c>
      <c r="O1492" t="str">
        <f>IFERROR(VLOOKUP(A1492,'Sales Order'!A:I,9,FALSE),"Not Specified")</f>
        <v>Ship to 49-B</v>
      </c>
      <c r="P1492" t="str">
        <f>IFERROR(VLOOKUP(A1492,'Sales Order'!A:N,14,FALSE),"Not Specified")</f>
        <v>Italy</v>
      </c>
      <c r="Q1492" t="str">
        <f>VLOOKUP(VLOOKUP(B1492,Product!A:C,3,FALSE),Supplier!A:B,2,FALSE)</f>
        <v>Supplier JDNUG</v>
      </c>
      <c r="R1492" t="str">
        <f>VLOOKUP(VLOOKUP(B1492,Product!A:C,3,FALSE),Supplier!A:I,9,FALSE)</f>
        <v>USA</v>
      </c>
      <c r="S1492" t="str">
        <f>IFERROR(IF(VLOOKUP(A1492,'Sales Order'!A:H,8,FALSE)&gt;100,"High Freight","Low Freight"),"Not Specified")</f>
        <v>Low Freight</v>
      </c>
      <c r="T1492">
        <f t="shared" si="47"/>
        <v>193</v>
      </c>
    </row>
    <row r="1493" spans="1:20">
      <c r="A1493" s="9">
        <v>10819</v>
      </c>
      <c r="B1493" s="6">
        <v>43</v>
      </c>
      <c r="C1493" s="6">
        <v>46</v>
      </c>
      <c r="D1493" s="6">
        <v>7</v>
      </c>
      <c r="E1493" s="18">
        <v>0</v>
      </c>
      <c r="F1493" s="6" t="str">
        <f>IFERROR(VLOOKUP(VLOOKUP(A1493,'Sales Order'!A:B,2,FALSE),Customer!A:C,3,FALSE),"Not Specified")</f>
        <v>Ray, Mike</v>
      </c>
      <c r="G1493" s="6" t="str">
        <f t="shared" si="46"/>
        <v>Ray Mike</v>
      </c>
      <c r="H1493" s="22" t="str">
        <f>IFERROR(VLOOKUP(VLOOKUP(A1493,'Sales Order'!A:C,3,FALSE),Employee!A:E,5,FALSE)&amp;" "&amp;VLOOKUP(VLOOKUP(A1493,'Sales Order'!A:C,3,FALSE),Employee!A:C,3,FALSE)&amp;" "&amp;VLOOKUP(VLOOKUP(A1493,'Sales Order'!A:C,3,FALSE),Employee!A:B,2,FALSE),"Not Specified")</f>
        <v>Dr. Don Funk</v>
      </c>
      <c r="I1493" t="str">
        <f>IFERROR(VLOOKUP(VLOOKUP(A1493,'Sales Order'!A:C,3,FALSE),Employee!A:J,10,FALSE),"Not Specified")</f>
        <v>WA</v>
      </c>
      <c r="J1493" t="str">
        <f>VLOOKUP(B1493,Product!A:B,2,FALSE)</f>
        <v>Product ZZZHR</v>
      </c>
      <c r="K1493" t="str">
        <f>VLOOKUP(VLOOKUP(B1493,Product!A:D,4,FALSE),Category!A:B,2,FALSE)</f>
        <v>Beverages</v>
      </c>
      <c r="L1493" s="24">
        <f>IFERROR(VLOOKUP(A1493,'Sales Order'!A:D,4,FALSE),"")</f>
        <v>39454</v>
      </c>
      <c r="M1493" s="24">
        <f>IFERROR(VLOOKUP(A1493,'Sales Order'!A:F,6,FALSE),"")</f>
        <v>39463</v>
      </c>
      <c r="N1493" t="str">
        <f>IFERROR(VLOOKUP(VLOOKUP(A1493,'Sales Order'!A:G,7,FALSE),Shipper!A:B,2,FALSE),"Not Specified")</f>
        <v>Shipper ZHISN</v>
      </c>
      <c r="O1493" t="str">
        <f>IFERROR(VLOOKUP(A1493,'Sales Order'!A:I,9,FALSE),"Not Specified")</f>
        <v>Destination QTHBC</v>
      </c>
      <c r="P1493" t="str">
        <f>IFERROR(VLOOKUP(A1493,'Sales Order'!A:N,14,FALSE),"Not Specified")</f>
        <v>Argentina</v>
      </c>
      <c r="Q1493" t="str">
        <f>VLOOKUP(VLOOKUP(B1493,Product!A:C,3,FALSE),Supplier!A:B,2,FALSE)</f>
        <v>Supplier CIYNM</v>
      </c>
      <c r="R1493" t="str">
        <f>VLOOKUP(VLOOKUP(B1493,Product!A:C,3,FALSE),Supplier!A:I,9,FALSE)</f>
        <v>Singapore</v>
      </c>
      <c r="S1493" t="str">
        <f>IFERROR(IF(VLOOKUP(A1493,'Sales Order'!A:H,8,FALSE)&gt;100,"High Freight","Low Freight"),"Not Specified")</f>
        <v>Low Freight</v>
      </c>
      <c r="T1493">
        <f t="shared" si="47"/>
        <v>322</v>
      </c>
    </row>
    <row r="1494" spans="1:20">
      <c r="A1494" s="9">
        <v>10819</v>
      </c>
      <c r="B1494" s="6">
        <v>75</v>
      </c>
      <c r="C1494" s="6">
        <v>7.75</v>
      </c>
      <c r="D1494" s="6">
        <v>20</v>
      </c>
      <c r="E1494" s="18">
        <v>0</v>
      </c>
      <c r="F1494" s="6" t="str">
        <f>IFERROR(VLOOKUP(VLOOKUP(A1494,'Sales Order'!A:B,2,FALSE),Customer!A:C,3,FALSE),"Not Specified")</f>
        <v>Ray, Mike</v>
      </c>
      <c r="G1494" s="6" t="str">
        <f t="shared" si="46"/>
        <v>Ray Mike</v>
      </c>
      <c r="H1494" s="22" t="str">
        <f>IFERROR(VLOOKUP(VLOOKUP(A1494,'Sales Order'!A:C,3,FALSE),Employee!A:E,5,FALSE)&amp;" "&amp;VLOOKUP(VLOOKUP(A1494,'Sales Order'!A:C,3,FALSE),Employee!A:C,3,FALSE)&amp;" "&amp;VLOOKUP(VLOOKUP(A1494,'Sales Order'!A:C,3,FALSE),Employee!A:B,2,FALSE),"Not Specified")</f>
        <v>Dr. Don Funk</v>
      </c>
      <c r="I1494" t="str">
        <f>IFERROR(VLOOKUP(VLOOKUP(A1494,'Sales Order'!A:C,3,FALSE),Employee!A:J,10,FALSE),"Not Specified")</f>
        <v>WA</v>
      </c>
      <c r="J1494" t="str">
        <f>VLOOKUP(B1494,Product!A:B,2,FALSE)</f>
        <v>Product BWRLG</v>
      </c>
      <c r="K1494" t="str">
        <f>VLOOKUP(VLOOKUP(B1494,Product!A:D,4,FALSE),Category!A:B,2,FALSE)</f>
        <v>Beverages</v>
      </c>
      <c r="L1494" s="24">
        <f>IFERROR(VLOOKUP(A1494,'Sales Order'!A:D,4,FALSE),"")</f>
        <v>39454</v>
      </c>
      <c r="M1494" s="24">
        <f>IFERROR(VLOOKUP(A1494,'Sales Order'!A:F,6,FALSE),"")</f>
        <v>39463</v>
      </c>
      <c r="N1494" t="str">
        <f>IFERROR(VLOOKUP(VLOOKUP(A1494,'Sales Order'!A:G,7,FALSE),Shipper!A:B,2,FALSE),"Not Specified")</f>
        <v>Shipper ZHISN</v>
      </c>
      <c r="O1494" t="str">
        <f>IFERROR(VLOOKUP(A1494,'Sales Order'!A:I,9,FALSE),"Not Specified")</f>
        <v>Destination QTHBC</v>
      </c>
      <c r="P1494" t="str">
        <f>IFERROR(VLOOKUP(A1494,'Sales Order'!A:N,14,FALSE),"Not Specified")</f>
        <v>Argentina</v>
      </c>
      <c r="Q1494" t="str">
        <f>VLOOKUP(VLOOKUP(B1494,Product!A:C,3,FALSE),Supplier!A:B,2,FALSE)</f>
        <v>Supplier SVIYA</v>
      </c>
      <c r="R1494" t="str">
        <f>VLOOKUP(VLOOKUP(B1494,Product!A:C,3,FALSE),Supplier!A:I,9,FALSE)</f>
        <v>Germany</v>
      </c>
      <c r="S1494" t="str">
        <f>IFERROR(IF(VLOOKUP(A1494,'Sales Order'!A:H,8,FALSE)&gt;100,"High Freight","Low Freight"),"Not Specified")</f>
        <v>Low Freight</v>
      </c>
      <c r="T1494">
        <f t="shared" si="47"/>
        <v>155</v>
      </c>
    </row>
    <row r="1495" spans="1:20">
      <c r="A1495" s="9">
        <v>10820</v>
      </c>
      <c r="B1495" s="6">
        <v>56</v>
      </c>
      <c r="C1495" s="6">
        <v>38</v>
      </c>
      <c r="D1495" s="6">
        <v>30</v>
      </c>
      <c r="E1495" s="18">
        <v>0</v>
      </c>
      <c r="F1495" s="6" t="str">
        <f>IFERROR(VLOOKUP(VLOOKUP(A1495,'Sales Order'!A:B,2,FALSE),Customer!A:C,3,FALSE),"Not Specified")</f>
        <v>Moore, Michael</v>
      </c>
      <c r="G1495" s="6" t="str">
        <f t="shared" si="46"/>
        <v>Moore Michael</v>
      </c>
      <c r="H1495" s="22" t="str">
        <f>IFERROR(VLOOKUP(VLOOKUP(A1495,'Sales Order'!A:C,3,FALSE),Employee!A:E,5,FALSE)&amp;" "&amp;VLOOKUP(VLOOKUP(A1495,'Sales Order'!A:C,3,FALSE),Employee!A:C,3,FALSE)&amp;" "&amp;VLOOKUP(VLOOKUP(A1495,'Sales Order'!A:C,3,FALSE),Employee!A:B,2,FALSE),"Not Specified")</f>
        <v>Ms. Judy Lew</v>
      </c>
      <c r="I1495" t="str">
        <f>IFERROR(VLOOKUP(VLOOKUP(A1495,'Sales Order'!A:C,3,FALSE),Employee!A:J,10,FALSE),"Not Specified")</f>
        <v>WA</v>
      </c>
      <c r="J1495" t="str">
        <f>VLOOKUP(B1495,Product!A:B,2,FALSE)</f>
        <v>Product VKCMF</v>
      </c>
      <c r="K1495" t="str">
        <f>VLOOKUP(VLOOKUP(B1495,Product!A:D,4,FALSE),Category!A:B,2,FALSE)</f>
        <v>Grains/Cereals</v>
      </c>
      <c r="L1495" s="24">
        <f>IFERROR(VLOOKUP(A1495,'Sales Order'!A:D,4,FALSE),"")</f>
        <v>39454</v>
      </c>
      <c r="M1495" s="24">
        <f>IFERROR(VLOOKUP(A1495,'Sales Order'!A:F,6,FALSE),"")</f>
        <v>39460</v>
      </c>
      <c r="N1495" t="str">
        <f>IFERROR(VLOOKUP(VLOOKUP(A1495,'Sales Order'!A:G,7,FALSE),Shipper!A:B,2,FALSE),"Not Specified")</f>
        <v>Shipper ETYNR</v>
      </c>
      <c r="O1495" t="str">
        <f>IFERROR(VLOOKUP(A1495,'Sales Order'!A:I,9,FALSE),"Not Specified")</f>
        <v>Ship to 65-B</v>
      </c>
      <c r="P1495" t="str">
        <f>IFERROR(VLOOKUP(A1495,'Sales Order'!A:N,14,FALSE),"Not Specified")</f>
        <v>USA</v>
      </c>
      <c r="Q1495" t="str">
        <f>VLOOKUP(VLOOKUP(B1495,Product!A:C,3,FALSE),Supplier!A:B,2,FALSE)</f>
        <v>Supplier ZWZDM</v>
      </c>
      <c r="R1495" t="str">
        <f>VLOOKUP(VLOOKUP(B1495,Product!A:C,3,FALSE),Supplier!A:I,9,FALSE)</f>
        <v>Italy</v>
      </c>
      <c r="S1495" t="str">
        <f>IFERROR(IF(VLOOKUP(A1495,'Sales Order'!A:H,8,FALSE)&gt;100,"High Freight","Low Freight"),"Not Specified")</f>
        <v>Low Freight</v>
      </c>
      <c r="T1495">
        <f t="shared" si="47"/>
        <v>1140</v>
      </c>
    </row>
    <row r="1496" spans="1:20">
      <c r="A1496" s="9">
        <v>10821</v>
      </c>
      <c r="B1496" s="6">
        <v>35</v>
      </c>
      <c r="C1496" s="6">
        <v>18</v>
      </c>
      <c r="D1496" s="6">
        <v>20</v>
      </c>
      <c r="E1496" s="18">
        <v>0</v>
      </c>
      <c r="F1496" s="6" t="str">
        <f>IFERROR(VLOOKUP(VLOOKUP(A1496,'Sales Order'!A:B,2,FALSE),Customer!A:C,3,FALSE),"Not Specified")</f>
        <v>Wojciechowska, Agnieszka</v>
      </c>
      <c r="G1496" s="6" t="str">
        <f t="shared" si="46"/>
        <v>Wojciechowska Agnieszka</v>
      </c>
      <c r="H1496" s="22" t="str">
        <f>IFERROR(VLOOKUP(VLOOKUP(A1496,'Sales Order'!A:C,3,FALSE),Employee!A:E,5,FALSE)&amp;" "&amp;VLOOKUP(VLOOKUP(A1496,'Sales Order'!A:C,3,FALSE),Employee!A:C,3,FALSE)&amp;" "&amp;VLOOKUP(VLOOKUP(A1496,'Sales Order'!A:C,3,FALSE),Employee!A:B,2,FALSE),"Not Specified")</f>
        <v>Ms. Sara Davis</v>
      </c>
      <c r="I1496" t="str">
        <f>IFERROR(VLOOKUP(VLOOKUP(A1496,'Sales Order'!A:C,3,FALSE),Employee!A:J,10,FALSE),"Not Specified")</f>
        <v>WA</v>
      </c>
      <c r="J1496" t="str">
        <f>VLOOKUP(B1496,Product!A:B,2,FALSE)</f>
        <v>Product NEVTJ</v>
      </c>
      <c r="K1496" t="str">
        <f>VLOOKUP(VLOOKUP(B1496,Product!A:D,4,FALSE),Category!A:B,2,FALSE)</f>
        <v>Beverages</v>
      </c>
      <c r="L1496" s="24">
        <f>IFERROR(VLOOKUP(A1496,'Sales Order'!A:D,4,FALSE),"")</f>
        <v>39455</v>
      </c>
      <c r="M1496" s="24">
        <f>IFERROR(VLOOKUP(A1496,'Sales Order'!A:F,6,FALSE),"")</f>
        <v>39462</v>
      </c>
      <c r="N1496" t="str">
        <f>IFERROR(VLOOKUP(VLOOKUP(A1496,'Sales Order'!A:G,7,FALSE),Shipper!A:B,2,FALSE),"Not Specified")</f>
        <v>Shipper GVSUA</v>
      </c>
      <c r="O1496" t="str">
        <f>IFERROR(VLOOKUP(A1496,'Sales Order'!A:I,9,FALSE),"Not Specified")</f>
        <v>Ship to 75-A</v>
      </c>
      <c r="P1496" t="str">
        <f>IFERROR(VLOOKUP(A1496,'Sales Order'!A:N,14,FALSE),"Not Specified")</f>
        <v>USA</v>
      </c>
      <c r="Q1496" t="str">
        <f>VLOOKUP(VLOOKUP(B1496,Product!A:C,3,FALSE),Supplier!A:B,2,FALSE)</f>
        <v>Supplier UHZRG</v>
      </c>
      <c r="R1496" t="str">
        <f>VLOOKUP(VLOOKUP(B1496,Product!A:C,3,FALSE),Supplier!A:I,9,FALSE)</f>
        <v>USA</v>
      </c>
      <c r="S1496" t="str">
        <f>IFERROR(IF(VLOOKUP(A1496,'Sales Order'!A:H,8,FALSE)&gt;100,"High Freight","Low Freight"),"Not Specified")</f>
        <v>Low Freight</v>
      </c>
      <c r="T1496">
        <f t="shared" si="47"/>
        <v>360</v>
      </c>
    </row>
    <row r="1497" spans="1:20">
      <c r="A1497" s="9">
        <v>10821</v>
      </c>
      <c r="B1497" s="6">
        <v>51</v>
      </c>
      <c r="C1497" s="6">
        <v>53</v>
      </c>
      <c r="D1497" s="6">
        <v>6</v>
      </c>
      <c r="E1497" s="18">
        <v>0</v>
      </c>
      <c r="F1497" s="6" t="str">
        <f>IFERROR(VLOOKUP(VLOOKUP(A1497,'Sales Order'!A:B,2,FALSE),Customer!A:C,3,FALSE),"Not Specified")</f>
        <v>Wojciechowska, Agnieszka</v>
      </c>
      <c r="G1497" s="6" t="str">
        <f t="shared" si="46"/>
        <v>Wojciechowska Agnieszka</v>
      </c>
      <c r="H1497" s="22" t="str">
        <f>IFERROR(VLOOKUP(VLOOKUP(A1497,'Sales Order'!A:C,3,FALSE),Employee!A:E,5,FALSE)&amp;" "&amp;VLOOKUP(VLOOKUP(A1497,'Sales Order'!A:C,3,FALSE),Employee!A:C,3,FALSE)&amp;" "&amp;VLOOKUP(VLOOKUP(A1497,'Sales Order'!A:C,3,FALSE),Employee!A:B,2,FALSE),"Not Specified")</f>
        <v>Ms. Sara Davis</v>
      </c>
      <c r="I1497" t="str">
        <f>IFERROR(VLOOKUP(VLOOKUP(A1497,'Sales Order'!A:C,3,FALSE),Employee!A:J,10,FALSE),"Not Specified")</f>
        <v>WA</v>
      </c>
      <c r="J1497" t="str">
        <f>VLOOKUP(B1497,Product!A:B,2,FALSE)</f>
        <v>Product APITJ</v>
      </c>
      <c r="K1497" t="str">
        <f>VLOOKUP(VLOOKUP(B1497,Product!A:D,4,FALSE),Category!A:B,2,FALSE)</f>
        <v>Produce</v>
      </c>
      <c r="L1497" s="24">
        <f>IFERROR(VLOOKUP(A1497,'Sales Order'!A:D,4,FALSE),"")</f>
        <v>39455</v>
      </c>
      <c r="M1497" s="24">
        <f>IFERROR(VLOOKUP(A1497,'Sales Order'!A:F,6,FALSE),"")</f>
        <v>39462</v>
      </c>
      <c r="N1497" t="str">
        <f>IFERROR(VLOOKUP(VLOOKUP(A1497,'Sales Order'!A:G,7,FALSE),Shipper!A:B,2,FALSE),"Not Specified")</f>
        <v>Shipper GVSUA</v>
      </c>
      <c r="O1497" t="str">
        <f>IFERROR(VLOOKUP(A1497,'Sales Order'!A:I,9,FALSE),"Not Specified")</f>
        <v>Ship to 75-A</v>
      </c>
      <c r="P1497" t="str">
        <f>IFERROR(VLOOKUP(A1497,'Sales Order'!A:N,14,FALSE),"Not Specified")</f>
        <v>USA</v>
      </c>
      <c r="Q1497" t="str">
        <f>VLOOKUP(VLOOKUP(B1497,Product!A:C,3,FALSE),Supplier!A:B,2,FALSE)</f>
        <v>Supplier JNNES</v>
      </c>
      <c r="R1497" t="str">
        <f>VLOOKUP(VLOOKUP(B1497,Product!A:C,3,FALSE),Supplier!A:I,9,FALSE)</f>
        <v>Australia</v>
      </c>
      <c r="S1497" t="str">
        <f>IFERROR(IF(VLOOKUP(A1497,'Sales Order'!A:H,8,FALSE)&gt;100,"High Freight","Low Freight"),"Not Specified")</f>
        <v>Low Freight</v>
      </c>
      <c r="T1497">
        <f t="shared" si="47"/>
        <v>318</v>
      </c>
    </row>
    <row r="1498" spans="1:20">
      <c r="A1498" s="9">
        <v>10822</v>
      </c>
      <c r="B1498" s="6">
        <v>62</v>
      </c>
      <c r="C1498" s="6">
        <v>49.3</v>
      </c>
      <c r="D1498" s="6">
        <v>3</v>
      </c>
      <c r="E1498" s="18">
        <v>0</v>
      </c>
      <c r="F1498" s="6" t="str">
        <f>IFERROR(VLOOKUP(VLOOKUP(A1498,'Sales Order'!A:B,2,FALSE),Customer!A:C,3,FALSE),"Not Specified")</f>
        <v>Veninga, Tjeerd</v>
      </c>
      <c r="G1498" s="6" t="str">
        <f t="shared" si="46"/>
        <v>Veninga Tjeerd</v>
      </c>
      <c r="H1498" s="22" t="str">
        <f>IFERROR(VLOOKUP(VLOOKUP(A1498,'Sales Order'!A:C,3,FALSE),Employee!A:E,5,FALSE)&amp;" "&amp;VLOOKUP(VLOOKUP(A1498,'Sales Order'!A:C,3,FALSE),Employee!A:C,3,FALSE)&amp;" "&amp;VLOOKUP(VLOOKUP(A1498,'Sales Order'!A:C,3,FALSE),Employee!A:B,2,FALSE),"Not Specified")</f>
        <v>Mr. Paul Suurs</v>
      </c>
      <c r="I1498">
        <f>IFERROR(VLOOKUP(VLOOKUP(A1498,'Sales Order'!A:C,3,FALSE),Employee!A:J,10,FALSE),"Not Specified")</f>
        <v>0</v>
      </c>
      <c r="J1498" t="str">
        <f>VLOOKUP(B1498,Product!A:B,2,FALSE)</f>
        <v>Product WUXYK</v>
      </c>
      <c r="K1498" t="str">
        <f>VLOOKUP(VLOOKUP(B1498,Product!A:D,4,FALSE),Category!A:B,2,FALSE)</f>
        <v>Confections</v>
      </c>
      <c r="L1498" s="24">
        <f>IFERROR(VLOOKUP(A1498,'Sales Order'!A:D,4,FALSE),"")</f>
        <v>39455</v>
      </c>
      <c r="M1498" s="24">
        <f>IFERROR(VLOOKUP(A1498,'Sales Order'!A:F,6,FALSE),"")</f>
        <v>39463</v>
      </c>
      <c r="N1498" t="str">
        <f>IFERROR(VLOOKUP(VLOOKUP(A1498,'Sales Order'!A:G,7,FALSE),Shipper!A:B,2,FALSE),"Not Specified")</f>
        <v>Shipper ZHISN</v>
      </c>
      <c r="O1498" t="str">
        <f>IFERROR(VLOOKUP(A1498,'Sales Order'!A:I,9,FALSE),"Not Specified")</f>
        <v>Ship to 82-B</v>
      </c>
      <c r="P1498" t="str">
        <f>IFERROR(VLOOKUP(A1498,'Sales Order'!A:N,14,FALSE),"Not Specified")</f>
        <v>USA</v>
      </c>
      <c r="Q1498" t="str">
        <f>VLOOKUP(VLOOKUP(B1498,Product!A:C,3,FALSE),Supplier!A:B,2,FALSE)</f>
        <v>Supplier OGLRK</v>
      </c>
      <c r="R1498" t="str">
        <f>VLOOKUP(VLOOKUP(B1498,Product!A:C,3,FALSE),Supplier!A:I,9,FALSE)</f>
        <v>Canada</v>
      </c>
      <c r="S1498" t="str">
        <f>IFERROR(IF(VLOOKUP(A1498,'Sales Order'!A:H,8,FALSE)&gt;100,"High Freight","Low Freight"),"Not Specified")</f>
        <v>Low Freight</v>
      </c>
      <c r="T1498">
        <f t="shared" si="47"/>
        <v>147.89999999999998</v>
      </c>
    </row>
    <row r="1499" spans="1:20">
      <c r="A1499" s="9">
        <v>10822</v>
      </c>
      <c r="B1499" s="6">
        <v>70</v>
      </c>
      <c r="C1499" s="6">
        <v>15</v>
      </c>
      <c r="D1499" s="6">
        <v>6</v>
      </c>
      <c r="E1499" s="18">
        <v>0</v>
      </c>
      <c r="F1499" s="6" t="str">
        <f>IFERROR(VLOOKUP(VLOOKUP(A1499,'Sales Order'!A:B,2,FALSE),Customer!A:C,3,FALSE),"Not Specified")</f>
        <v>Veninga, Tjeerd</v>
      </c>
      <c r="G1499" s="6" t="str">
        <f t="shared" si="46"/>
        <v>Veninga Tjeerd</v>
      </c>
      <c r="H1499" s="22" t="str">
        <f>IFERROR(VLOOKUP(VLOOKUP(A1499,'Sales Order'!A:C,3,FALSE),Employee!A:E,5,FALSE)&amp;" "&amp;VLOOKUP(VLOOKUP(A1499,'Sales Order'!A:C,3,FALSE),Employee!A:C,3,FALSE)&amp;" "&amp;VLOOKUP(VLOOKUP(A1499,'Sales Order'!A:C,3,FALSE),Employee!A:B,2,FALSE),"Not Specified")</f>
        <v>Mr. Paul Suurs</v>
      </c>
      <c r="I1499">
        <f>IFERROR(VLOOKUP(VLOOKUP(A1499,'Sales Order'!A:C,3,FALSE),Employee!A:J,10,FALSE),"Not Specified")</f>
        <v>0</v>
      </c>
      <c r="J1499" t="str">
        <f>VLOOKUP(B1499,Product!A:B,2,FALSE)</f>
        <v>Product TOONT</v>
      </c>
      <c r="K1499" t="str">
        <f>VLOOKUP(VLOOKUP(B1499,Product!A:D,4,FALSE),Category!A:B,2,FALSE)</f>
        <v>Beverages</v>
      </c>
      <c r="L1499" s="24">
        <f>IFERROR(VLOOKUP(A1499,'Sales Order'!A:D,4,FALSE),"")</f>
        <v>39455</v>
      </c>
      <c r="M1499" s="24">
        <f>IFERROR(VLOOKUP(A1499,'Sales Order'!A:F,6,FALSE),"")</f>
        <v>39463</v>
      </c>
      <c r="N1499" t="str">
        <f>IFERROR(VLOOKUP(VLOOKUP(A1499,'Sales Order'!A:G,7,FALSE),Shipper!A:B,2,FALSE),"Not Specified")</f>
        <v>Shipper ZHISN</v>
      </c>
      <c r="O1499" t="str">
        <f>IFERROR(VLOOKUP(A1499,'Sales Order'!A:I,9,FALSE),"Not Specified")</f>
        <v>Ship to 82-B</v>
      </c>
      <c r="P1499" t="str">
        <f>IFERROR(VLOOKUP(A1499,'Sales Order'!A:N,14,FALSE),"Not Specified")</f>
        <v>USA</v>
      </c>
      <c r="Q1499" t="str">
        <f>VLOOKUP(VLOOKUP(B1499,Product!A:C,3,FALSE),Supplier!A:B,2,FALSE)</f>
        <v>Supplier GQRCV</v>
      </c>
      <c r="R1499" t="str">
        <f>VLOOKUP(VLOOKUP(B1499,Product!A:C,3,FALSE),Supplier!A:I,9,FALSE)</f>
        <v>Australia</v>
      </c>
      <c r="S1499" t="str">
        <f>IFERROR(IF(VLOOKUP(A1499,'Sales Order'!A:H,8,FALSE)&gt;100,"High Freight","Low Freight"),"Not Specified")</f>
        <v>Low Freight</v>
      </c>
      <c r="T1499">
        <f t="shared" si="47"/>
        <v>90</v>
      </c>
    </row>
    <row r="1500" spans="1:20">
      <c r="A1500" s="9">
        <v>10823</v>
      </c>
      <c r="B1500" s="6">
        <v>11</v>
      </c>
      <c r="C1500" s="6">
        <v>21</v>
      </c>
      <c r="D1500" s="6">
        <v>20</v>
      </c>
      <c r="E1500" s="18">
        <v>0.1</v>
      </c>
      <c r="F1500" s="6" t="str">
        <f>IFERROR(VLOOKUP(VLOOKUP(A1500,'Sales Order'!A:B,2,FALSE),Customer!A:C,3,FALSE),"Not Specified")</f>
        <v>Dressler, Marlies</v>
      </c>
      <c r="G1500" s="6" t="str">
        <f t="shared" si="46"/>
        <v>Dressler Marlies</v>
      </c>
      <c r="H1500" s="22" t="str">
        <f>IFERROR(VLOOKUP(VLOOKUP(A1500,'Sales Order'!A:C,3,FALSE),Employee!A:E,5,FALSE)&amp;" "&amp;VLOOKUP(VLOOKUP(A1500,'Sales Order'!A:C,3,FALSE),Employee!A:C,3,FALSE)&amp;" "&amp;VLOOKUP(VLOOKUP(A1500,'Sales Order'!A:C,3,FALSE),Employee!A:B,2,FALSE),"Not Specified")</f>
        <v>Mr. Sven Buck</v>
      </c>
      <c r="I1500">
        <f>IFERROR(VLOOKUP(VLOOKUP(A1500,'Sales Order'!A:C,3,FALSE),Employee!A:J,10,FALSE),"Not Specified")</f>
        <v>0</v>
      </c>
      <c r="J1500" t="str">
        <f>VLOOKUP(B1500,Product!A:B,2,FALSE)</f>
        <v>Product QMVUN</v>
      </c>
      <c r="K1500" t="str">
        <f>VLOOKUP(VLOOKUP(B1500,Product!A:D,4,FALSE),Category!A:B,2,FALSE)</f>
        <v>Dairy Product</v>
      </c>
      <c r="L1500" s="24">
        <f>IFERROR(VLOOKUP(A1500,'Sales Order'!A:D,4,FALSE),"")</f>
        <v>39456</v>
      </c>
      <c r="M1500" s="24">
        <f>IFERROR(VLOOKUP(A1500,'Sales Order'!A:F,6,FALSE),"")</f>
        <v>39460</v>
      </c>
      <c r="N1500" t="str">
        <f>IFERROR(VLOOKUP(VLOOKUP(A1500,'Sales Order'!A:G,7,FALSE),Shipper!A:B,2,FALSE),"Not Specified")</f>
        <v>Shipper ETYNR</v>
      </c>
      <c r="O1500" t="str">
        <f>IFERROR(VLOOKUP(A1500,'Sales Order'!A:I,9,FALSE),"Not Specified")</f>
        <v>Ship to 46-A</v>
      </c>
      <c r="P1500" t="str">
        <f>IFERROR(VLOOKUP(A1500,'Sales Order'!A:N,14,FALSE),"Not Specified")</f>
        <v>Venezuela</v>
      </c>
      <c r="Q1500" t="str">
        <f>VLOOKUP(VLOOKUP(B1500,Product!A:C,3,FALSE),Supplier!A:B,2,FALSE)</f>
        <v>Supplier EQPNC</v>
      </c>
      <c r="R1500" t="str">
        <f>VLOOKUP(VLOOKUP(B1500,Product!A:C,3,FALSE),Supplier!A:I,9,FALSE)</f>
        <v>Spain</v>
      </c>
      <c r="S1500" t="str">
        <f>IFERROR(IF(VLOOKUP(A1500,'Sales Order'!A:H,8,FALSE)&gt;100,"High Freight","Low Freight"),"Not Specified")</f>
        <v>High Freight</v>
      </c>
      <c r="T1500">
        <f t="shared" si="47"/>
        <v>378</v>
      </c>
    </row>
    <row r="1501" spans="1:20">
      <c r="A1501" s="9">
        <v>10823</v>
      </c>
      <c r="B1501" s="6">
        <v>57</v>
      </c>
      <c r="C1501" s="6">
        <v>19.5</v>
      </c>
      <c r="D1501" s="6">
        <v>15</v>
      </c>
      <c r="E1501" s="18">
        <v>0</v>
      </c>
      <c r="F1501" s="6" t="str">
        <f>IFERROR(VLOOKUP(VLOOKUP(A1501,'Sales Order'!A:B,2,FALSE),Customer!A:C,3,FALSE),"Not Specified")</f>
        <v>Dressler, Marlies</v>
      </c>
      <c r="G1501" s="6" t="str">
        <f t="shared" si="46"/>
        <v>Dressler Marlies</v>
      </c>
      <c r="H1501" s="22" t="str">
        <f>IFERROR(VLOOKUP(VLOOKUP(A1501,'Sales Order'!A:C,3,FALSE),Employee!A:E,5,FALSE)&amp;" "&amp;VLOOKUP(VLOOKUP(A1501,'Sales Order'!A:C,3,FALSE),Employee!A:C,3,FALSE)&amp;" "&amp;VLOOKUP(VLOOKUP(A1501,'Sales Order'!A:C,3,FALSE),Employee!A:B,2,FALSE),"Not Specified")</f>
        <v>Mr. Sven Buck</v>
      </c>
      <c r="I1501">
        <f>IFERROR(VLOOKUP(VLOOKUP(A1501,'Sales Order'!A:C,3,FALSE),Employee!A:J,10,FALSE),"Not Specified")</f>
        <v>0</v>
      </c>
      <c r="J1501" t="str">
        <f>VLOOKUP(B1501,Product!A:B,2,FALSE)</f>
        <v>Product OVLQI</v>
      </c>
      <c r="K1501" t="str">
        <f>VLOOKUP(VLOOKUP(B1501,Product!A:D,4,FALSE),Category!A:B,2,FALSE)</f>
        <v>Grains/Cereals</v>
      </c>
      <c r="L1501" s="24">
        <f>IFERROR(VLOOKUP(A1501,'Sales Order'!A:D,4,FALSE),"")</f>
        <v>39456</v>
      </c>
      <c r="M1501" s="24">
        <f>IFERROR(VLOOKUP(A1501,'Sales Order'!A:F,6,FALSE),"")</f>
        <v>39460</v>
      </c>
      <c r="N1501" t="str">
        <f>IFERROR(VLOOKUP(VLOOKUP(A1501,'Sales Order'!A:G,7,FALSE),Shipper!A:B,2,FALSE),"Not Specified")</f>
        <v>Shipper ETYNR</v>
      </c>
      <c r="O1501" t="str">
        <f>IFERROR(VLOOKUP(A1501,'Sales Order'!A:I,9,FALSE),"Not Specified")</f>
        <v>Ship to 46-A</v>
      </c>
      <c r="P1501" t="str">
        <f>IFERROR(VLOOKUP(A1501,'Sales Order'!A:N,14,FALSE),"Not Specified")</f>
        <v>Venezuela</v>
      </c>
      <c r="Q1501" t="str">
        <f>VLOOKUP(VLOOKUP(B1501,Product!A:C,3,FALSE),Supplier!A:B,2,FALSE)</f>
        <v>Supplier ZWZDM</v>
      </c>
      <c r="R1501" t="str">
        <f>VLOOKUP(VLOOKUP(B1501,Product!A:C,3,FALSE),Supplier!A:I,9,FALSE)</f>
        <v>Italy</v>
      </c>
      <c r="S1501" t="str">
        <f>IFERROR(IF(VLOOKUP(A1501,'Sales Order'!A:H,8,FALSE)&gt;100,"High Freight","Low Freight"),"Not Specified")</f>
        <v>High Freight</v>
      </c>
      <c r="T1501">
        <f t="shared" si="47"/>
        <v>292.5</v>
      </c>
    </row>
    <row r="1502" spans="1:20">
      <c r="A1502" s="9">
        <v>10823</v>
      </c>
      <c r="B1502" s="6">
        <v>59</v>
      </c>
      <c r="C1502" s="6">
        <v>55</v>
      </c>
      <c r="D1502" s="6">
        <v>40</v>
      </c>
      <c r="E1502" s="18">
        <v>0.1</v>
      </c>
      <c r="F1502" s="6" t="str">
        <f>IFERROR(VLOOKUP(VLOOKUP(A1502,'Sales Order'!A:B,2,FALSE),Customer!A:C,3,FALSE),"Not Specified")</f>
        <v>Dressler, Marlies</v>
      </c>
      <c r="G1502" s="6" t="str">
        <f t="shared" si="46"/>
        <v>Dressler Marlies</v>
      </c>
      <c r="H1502" s="22" t="str">
        <f>IFERROR(VLOOKUP(VLOOKUP(A1502,'Sales Order'!A:C,3,FALSE),Employee!A:E,5,FALSE)&amp;" "&amp;VLOOKUP(VLOOKUP(A1502,'Sales Order'!A:C,3,FALSE),Employee!A:C,3,FALSE)&amp;" "&amp;VLOOKUP(VLOOKUP(A1502,'Sales Order'!A:C,3,FALSE),Employee!A:B,2,FALSE),"Not Specified")</f>
        <v>Mr. Sven Buck</v>
      </c>
      <c r="I1502">
        <f>IFERROR(VLOOKUP(VLOOKUP(A1502,'Sales Order'!A:C,3,FALSE),Employee!A:J,10,FALSE),"Not Specified")</f>
        <v>0</v>
      </c>
      <c r="J1502" t="str">
        <f>VLOOKUP(B1502,Product!A:B,2,FALSE)</f>
        <v>Product UKXRI</v>
      </c>
      <c r="K1502" t="str">
        <f>VLOOKUP(VLOOKUP(B1502,Product!A:D,4,FALSE),Category!A:B,2,FALSE)</f>
        <v>Dairy Product</v>
      </c>
      <c r="L1502" s="24">
        <f>IFERROR(VLOOKUP(A1502,'Sales Order'!A:D,4,FALSE),"")</f>
        <v>39456</v>
      </c>
      <c r="M1502" s="24">
        <f>IFERROR(VLOOKUP(A1502,'Sales Order'!A:F,6,FALSE),"")</f>
        <v>39460</v>
      </c>
      <c r="N1502" t="str">
        <f>IFERROR(VLOOKUP(VLOOKUP(A1502,'Sales Order'!A:G,7,FALSE),Shipper!A:B,2,FALSE),"Not Specified")</f>
        <v>Shipper ETYNR</v>
      </c>
      <c r="O1502" t="str">
        <f>IFERROR(VLOOKUP(A1502,'Sales Order'!A:I,9,FALSE),"Not Specified")</f>
        <v>Ship to 46-A</v>
      </c>
      <c r="P1502" t="str">
        <f>IFERROR(VLOOKUP(A1502,'Sales Order'!A:N,14,FALSE),"Not Specified")</f>
        <v>Venezuela</v>
      </c>
      <c r="Q1502" t="str">
        <f>VLOOKUP(VLOOKUP(B1502,Product!A:C,3,FALSE),Supplier!A:B,2,FALSE)</f>
        <v>Supplier OAVQT</v>
      </c>
      <c r="R1502" t="str">
        <f>VLOOKUP(VLOOKUP(B1502,Product!A:C,3,FALSE),Supplier!A:I,9,FALSE)</f>
        <v>France</v>
      </c>
      <c r="S1502" t="str">
        <f>IFERROR(IF(VLOOKUP(A1502,'Sales Order'!A:H,8,FALSE)&gt;100,"High Freight","Low Freight"),"Not Specified")</f>
        <v>High Freight</v>
      </c>
      <c r="T1502">
        <f t="shared" si="47"/>
        <v>1980</v>
      </c>
    </row>
    <row r="1503" spans="1:20">
      <c r="A1503" s="9">
        <v>10823</v>
      </c>
      <c r="B1503" s="6">
        <v>77</v>
      </c>
      <c r="C1503" s="6">
        <v>13</v>
      </c>
      <c r="D1503" s="6">
        <v>15</v>
      </c>
      <c r="E1503" s="18">
        <v>0.1</v>
      </c>
      <c r="F1503" s="6" t="str">
        <f>IFERROR(VLOOKUP(VLOOKUP(A1503,'Sales Order'!A:B,2,FALSE),Customer!A:C,3,FALSE),"Not Specified")</f>
        <v>Dressler, Marlies</v>
      </c>
      <c r="G1503" s="6" t="str">
        <f t="shared" si="46"/>
        <v>Dressler Marlies</v>
      </c>
      <c r="H1503" s="22" t="str">
        <f>IFERROR(VLOOKUP(VLOOKUP(A1503,'Sales Order'!A:C,3,FALSE),Employee!A:E,5,FALSE)&amp;" "&amp;VLOOKUP(VLOOKUP(A1503,'Sales Order'!A:C,3,FALSE),Employee!A:C,3,FALSE)&amp;" "&amp;VLOOKUP(VLOOKUP(A1503,'Sales Order'!A:C,3,FALSE),Employee!A:B,2,FALSE),"Not Specified")</f>
        <v>Mr. Sven Buck</v>
      </c>
      <c r="I1503">
        <f>IFERROR(VLOOKUP(VLOOKUP(A1503,'Sales Order'!A:C,3,FALSE),Employee!A:J,10,FALSE),"Not Specified")</f>
        <v>0</v>
      </c>
      <c r="J1503" t="str">
        <f>VLOOKUP(B1503,Product!A:B,2,FALSE)</f>
        <v>Product LUNZZ</v>
      </c>
      <c r="K1503" t="str">
        <f>VLOOKUP(VLOOKUP(B1503,Product!A:D,4,FALSE),Category!A:B,2,FALSE)</f>
        <v>Condiments</v>
      </c>
      <c r="L1503" s="24">
        <f>IFERROR(VLOOKUP(A1503,'Sales Order'!A:D,4,FALSE),"")</f>
        <v>39456</v>
      </c>
      <c r="M1503" s="24">
        <f>IFERROR(VLOOKUP(A1503,'Sales Order'!A:F,6,FALSE),"")</f>
        <v>39460</v>
      </c>
      <c r="N1503" t="str">
        <f>IFERROR(VLOOKUP(VLOOKUP(A1503,'Sales Order'!A:G,7,FALSE),Shipper!A:B,2,FALSE),"Not Specified")</f>
        <v>Shipper ETYNR</v>
      </c>
      <c r="O1503" t="str">
        <f>IFERROR(VLOOKUP(A1503,'Sales Order'!A:I,9,FALSE),"Not Specified")</f>
        <v>Ship to 46-A</v>
      </c>
      <c r="P1503" t="str">
        <f>IFERROR(VLOOKUP(A1503,'Sales Order'!A:N,14,FALSE),"Not Specified")</f>
        <v>Venezuela</v>
      </c>
      <c r="Q1503" t="str">
        <f>VLOOKUP(VLOOKUP(B1503,Product!A:C,3,FALSE),Supplier!A:B,2,FALSE)</f>
        <v>Supplier SVIYA</v>
      </c>
      <c r="R1503" t="str">
        <f>VLOOKUP(VLOOKUP(B1503,Product!A:C,3,FALSE),Supplier!A:I,9,FALSE)</f>
        <v>Germany</v>
      </c>
      <c r="S1503" t="str">
        <f>IFERROR(IF(VLOOKUP(A1503,'Sales Order'!A:H,8,FALSE)&gt;100,"High Freight","Low Freight"),"Not Specified")</f>
        <v>High Freight</v>
      </c>
      <c r="T1503">
        <f t="shared" si="47"/>
        <v>175.5</v>
      </c>
    </row>
    <row r="1504" spans="1:20">
      <c r="A1504" s="9">
        <v>10824</v>
      </c>
      <c r="B1504" s="6">
        <v>41</v>
      </c>
      <c r="C1504" s="6">
        <v>9.65</v>
      </c>
      <c r="D1504" s="6">
        <v>12</v>
      </c>
      <c r="E1504" s="18">
        <v>0</v>
      </c>
      <c r="F1504" s="6" t="str">
        <f>IFERROR(VLOOKUP(VLOOKUP(A1504,'Sales Order'!A:B,2,FALSE),Customer!A:C,3,FALSE),"Not Specified")</f>
        <v>San Juan, Patricia</v>
      </c>
      <c r="G1504" s="6" t="str">
        <f t="shared" si="46"/>
        <v>San Juan Patricia</v>
      </c>
      <c r="H1504" s="22" t="str">
        <f>IFERROR(VLOOKUP(VLOOKUP(A1504,'Sales Order'!A:C,3,FALSE),Employee!A:E,5,FALSE)&amp;" "&amp;VLOOKUP(VLOOKUP(A1504,'Sales Order'!A:C,3,FALSE),Employee!A:C,3,FALSE)&amp;" "&amp;VLOOKUP(VLOOKUP(A1504,'Sales Order'!A:C,3,FALSE),Employee!A:B,2,FALSE),"Not Specified")</f>
        <v>Ms. Maria Cameron</v>
      </c>
      <c r="I1504" t="str">
        <f>IFERROR(VLOOKUP(VLOOKUP(A1504,'Sales Order'!A:C,3,FALSE),Employee!A:J,10,FALSE),"Not Specified")</f>
        <v>WA</v>
      </c>
      <c r="J1504" t="str">
        <f>VLOOKUP(B1504,Product!A:B,2,FALSE)</f>
        <v>Product TTEEX</v>
      </c>
      <c r="K1504" t="str">
        <f>VLOOKUP(VLOOKUP(B1504,Product!A:D,4,FALSE),Category!A:B,2,FALSE)</f>
        <v>Seafood</v>
      </c>
      <c r="L1504" s="24">
        <f>IFERROR(VLOOKUP(A1504,'Sales Order'!A:D,4,FALSE),"")</f>
        <v>39456</v>
      </c>
      <c r="M1504" s="24">
        <f>IFERROR(VLOOKUP(A1504,'Sales Order'!A:F,6,FALSE),"")</f>
        <v>39477</v>
      </c>
      <c r="N1504" t="str">
        <f>IFERROR(VLOOKUP(VLOOKUP(A1504,'Sales Order'!A:G,7,FALSE),Shipper!A:B,2,FALSE),"Not Specified")</f>
        <v>Shipper GVSUA</v>
      </c>
      <c r="O1504" t="str">
        <f>IFERROR(VLOOKUP(A1504,'Sales Order'!A:I,9,FALSE),"Not Specified")</f>
        <v>Destination NCKKO</v>
      </c>
      <c r="P1504" t="str">
        <f>IFERROR(VLOOKUP(A1504,'Sales Order'!A:N,14,FALSE),"Not Specified")</f>
        <v>Sweden</v>
      </c>
      <c r="Q1504" t="str">
        <f>VLOOKUP(VLOOKUP(B1504,Product!A:C,3,FALSE),Supplier!A:B,2,FALSE)</f>
        <v>Supplier JDNUG</v>
      </c>
      <c r="R1504" t="str">
        <f>VLOOKUP(VLOOKUP(B1504,Product!A:C,3,FALSE),Supplier!A:I,9,FALSE)</f>
        <v>USA</v>
      </c>
      <c r="S1504" t="str">
        <f>IFERROR(IF(VLOOKUP(A1504,'Sales Order'!A:H,8,FALSE)&gt;100,"High Freight","Low Freight"),"Not Specified")</f>
        <v>Low Freight</v>
      </c>
      <c r="T1504">
        <f t="shared" si="47"/>
        <v>115.80000000000001</v>
      </c>
    </row>
    <row r="1505" spans="1:20">
      <c r="A1505" s="9">
        <v>10824</v>
      </c>
      <c r="B1505" s="6">
        <v>70</v>
      </c>
      <c r="C1505" s="6">
        <v>15</v>
      </c>
      <c r="D1505" s="6">
        <v>9</v>
      </c>
      <c r="E1505" s="18">
        <v>0</v>
      </c>
      <c r="F1505" s="6" t="str">
        <f>IFERROR(VLOOKUP(VLOOKUP(A1505,'Sales Order'!A:B,2,FALSE),Customer!A:C,3,FALSE),"Not Specified")</f>
        <v>San Juan, Patricia</v>
      </c>
      <c r="G1505" s="6" t="str">
        <f t="shared" si="46"/>
        <v>San Juan Patricia</v>
      </c>
      <c r="H1505" s="22" t="str">
        <f>IFERROR(VLOOKUP(VLOOKUP(A1505,'Sales Order'!A:C,3,FALSE),Employee!A:E,5,FALSE)&amp;" "&amp;VLOOKUP(VLOOKUP(A1505,'Sales Order'!A:C,3,FALSE),Employee!A:C,3,FALSE)&amp;" "&amp;VLOOKUP(VLOOKUP(A1505,'Sales Order'!A:C,3,FALSE),Employee!A:B,2,FALSE),"Not Specified")</f>
        <v>Ms. Maria Cameron</v>
      </c>
      <c r="I1505" t="str">
        <f>IFERROR(VLOOKUP(VLOOKUP(A1505,'Sales Order'!A:C,3,FALSE),Employee!A:J,10,FALSE),"Not Specified")</f>
        <v>WA</v>
      </c>
      <c r="J1505" t="str">
        <f>VLOOKUP(B1505,Product!A:B,2,FALSE)</f>
        <v>Product TOONT</v>
      </c>
      <c r="K1505" t="str">
        <f>VLOOKUP(VLOOKUP(B1505,Product!A:D,4,FALSE),Category!A:B,2,FALSE)</f>
        <v>Beverages</v>
      </c>
      <c r="L1505" s="24">
        <f>IFERROR(VLOOKUP(A1505,'Sales Order'!A:D,4,FALSE),"")</f>
        <v>39456</v>
      </c>
      <c r="M1505" s="24">
        <f>IFERROR(VLOOKUP(A1505,'Sales Order'!A:F,6,FALSE),"")</f>
        <v>39477</v>
      </c>
      <c r="N1505" t="str">
        <f>IFERROR(VLOOKUP(VLOOKUP(A1505,'Sales Order'!A:G,7,FALSE),Shipper!A:B,2,FALSE),"Not Specified")</f>
        <v>Shipper GVSUA</v>
      </c>
      <c r="O1505" t="str">
        <f>IFERROR(VLOOKUP(A1505,'Sales Order'!A:I,9,FALSE),"Not Specified")</f>
        <v>Destination NCKKO</v>
      </c>
      <c r="P1505" t="str">
        <f>IFERROR(VLOOKUP(A1505,'Sales Order'!A:N,14,FALSE),"Not Specified")</f>
        <v>Sweden</v>
      </c>
      <c r="Q1505" t="str">
        <f>VLOOKUP(VLOOKUP(B1505,Product!A:C,3,FALSE),Supplier!A:B,2,FALSE)</f>
        <v>Supplier GQRCV</v>
      </c>
      <c r="R1505" t="str">
        <f>VLOOKUP(VLOOKUP(B1505,Product!A:C,3,FALSE),Supplier!A:I,9,FALSE)</f>
        <v>Australia</v>
      </c>
      <c r="S1505" t="str">
        <f>IFERROR(IF(VLOOKUP(A1505,'Sales Order'!A:H,8,FALSE)&gt;100,"High Freight","Low Freight"),"Not Specified")</f>
        <v>Low Freight</v>
      </c>
      <c r="T1505">
        <f t="shared" si="47"/>
        <v>135</v>
      </c>
    </row>
    <row r="1506" spans="1:20">
      <c r="A1506" s="9">
        <v>10825</v>
      </c>
      <c r="B1506" s="6">
        <v>26</v>
      </c>
      <c r="C1506" s="6">
        <v>31.23</v>
      </c>
      <c r="D1506" s="6">
        <v>12</v>
      </c>
      <c r="E1506" s="18">
        <v>0</v>
      </c>
      <c r="F1506" s="6" t="str">
        <f>IFERROR(VLOOKUP(VLOOKUP(A1506,'Sales Order'!A:B,2,FALSE),Customer!A:C,3,FALSE),"Not Specified")</f>
        <v>Jones, TiAnna</v>
      </c>
      <c r="G1506" s="6" t="str">
        <f t="shared" si="46"/>
        <v>Jones TiAnna</v>
      </c>
      <c r="H1506" s="22" t="str">
        <f>IFERROR(VLOOKUP(VLOOKUP(A1506,'Sales Order'!A:C,3,FALSE),Employee!A:E,5,FALSE)&amp;" "&amp;VLOOKUP(VLOOKUP(A1506,'Sales Order'!A:C,3,FALSE),Employee!A:C,3,FALSE)&amp;" "&amp;VLOOKUP(VLOOKUP(A1506,'Sales Order'!A:C,3,FALSE),Employee!A:B,2,FALSE),"Not Specified")</f>
        <v>Ms. Sara Davis</v>
      </c>
      <c r="I1506" t="str">
        <f>IFERROR(VLOOKUP(VLOOKUP(A1506,'Sales Order'!A:C,3,FALSE),Employee!A:J,10,FALSE),"Not Specified")</f>
        <v>WA</v>
      </c>
      <c r="J1506" t="str">
        <f>VLOOKUP(B1506,Product!A:B,2,FALSE)</f>
        <v>Product HLGZA</v>
      </c>
      <c r="K1506" t="str">
        <f>VLOOKUP(VLOOKUP(B1506,Product!A:D,4,FALSE),Category!A:B,2,FALSE)</f>
        <v>Confections</v>
      </c>
      <c r="L1506" s="24">
        <f>IFERROR(VLOOKUP(A1506,'Sales Order'!A:D,4,FALSE),"")</f>
        <v>39456</v>
      </c>
      <c r="M1506" s="24">
        <f>IFERROR(VLOOKUP(A1506,'Sales Order'!A:F,6,FALSE),"")</f>
        <v>39461</v>
      </c>
      <c r="N1506" t="str">
        <f>IFERROR(VLOOKUP(VLOOKUP(A1506,'Sales Order'!A:G,7,FALSE),Shipper!A:B,2,FALSE),"Not Specified")</f>
        <v>Shipper GVSUA</v>
      </c>
      <c r="O1506" t="str">
        <f>IFERROR(VLOOKUP(A1506,'Sales Order'!A:I,9,FALSE),"Not Specified")</f>
        <v>Destination BJCXA</v>
      </c>
      <c r="P1506" t="str">
        <f>IFERROR(VLOOKUP(A1506,'Sales Order'!A:N,14,FALSE),"Not Specified")</f>
        <v>Germany</v>
      </c>
      <c r="Q1506" t="str">
        <f>VLOOKUP(VLOOKUP(B1506,Product!A:C,3,FALSE),Supplier!A:B,2,FALSE)</f>
        <v>Supplier ZPYVS</v>
      </c>
      <c r="R1506" t="str">
        <f>VLOOKUP(VLOOKUP(B1506,Product!A:C,3,FALSE),Supplier!A:I,9,FALSE)</f>
        <v>Germany</v>
      </c>
      <c r="S1506" t="str">
        <f>IFERROR(IF(VLOOKUP(A1506,'Sales Order'!A:H,8,FALSE)&gt;100,"High Freight","Low Freight"),"Not Specified")</f>
        <v>Low Freight</v>
      </c>
      <c r="T1506">
        <f t="shared" si="47"/>
        <v>374.76</v>
      </c>
    </row>
    <row r="1507" spans="1:20">
      <c r="A1507" s="9">
        <v>10825</v>
      </c>
      <c r="B1507" s="6">
        <v>53</v>
      </c>
      <c r="C1507" s="6">
        <v>32.799999999999997</v>
      </c>
      <c r="D1507" s="6">
        <v>20</v>
      </c>
      <c r="E1507" s="18">
        <v>0</v>
      </c>
      <c r="F1507" s="6" t="str">
        <f>IFERROR(VLOOKUP(VLOOKUP(A1507,'Sales Order'!A:B,2,FALSE),Customer!A:C,3,FALSE),"Not Specified")</f>
        <v>Jones, TiAnna</v>
      </c>
      <c r="G1507" s="6" t="str">
        <f t="shared" si="46"/>
        <v>Jones TiAnna</v>
      </c>
      <c r="H1507" s="22" t="str">
        <f>IFERROR(VLOOKUP(VLOOKUP(A1507,'Sales Order'!A:C,3,FALSE),Employee!A:E,5,FALSE)&amp;" "&amp;VLOOKUP(VLOOKUP(A1507,'Sales Order'!A:C,3,FALSE),Employee!A:C,3,FALSE)&amp;" "&amp;VLOOKUP(VLOOKUP(A1507,'Sales Order'!A:C,3,FALSE),Employee!A:B,2,FALSE),"Not Specified")</f>
        <v>Ms. Sara Davis</v>
      </c>
      <c r="I1507" t="str">
        <f>IFERROR(VLOOKUP(VLOOKUP(A1507,'Sales Order'!A:C,3,FALSE),Employee!A:J,10,FALSE),"Not Specified")</f>
        <v>WA</v>
      </c>
      <c r="J1507" t="str">
        <f>VLOOKUP(B1507,Product!A:B,2,FALSE)</f>
        <v>Product BKGEA</v>
      </c>
      <c r="K1507" t="str">
        <f>VLOOKUP(VLOOKUP(B1507,Product!A:D,4,FALSE),Category!A:B,2,FALSE)</f>
        <v>Meat/Poultry</v>
      </c>
      <c r="L1507" s="24">
        <f>IFERROR(VLOOKUP(A1507,'Sales Order'!A:D,4,FALSE),"")</f>
        <v>39456</v>
      </c>
      <c r="M1507" s="24">
        <f>IFERROR(VLOOKUP(A1507,'Sales Order'!A:F,6,FALSE),"")</f>
        <v>39461</v>
      </c>
      <c r="N1507" t="str">
        <f>IFERROR(VLOOKUP(VLOOKUP(A1507,'Sales Order'!A:G,7,FALSE),Shipper!A:B,2,FALSE),"Not Specified")</f>
        <v>Shipper GVSUA</v>
      </c>
      <c r="O1507" t="str">
        <f>IFERROR(VLOOKUP(A1507,'Sales Order'!A:I,9,FALSE),"Not Specified")</f>
        <v>Destination BJCXA</v>
      </c>
      <c r="P1507" t="str">
        <f>IFERROR(VLOOKUP(A1507,'Sales Order'!A:N,14,FALSE),"Not Specified")</f>
        <v>Germany</v>
      </c>
      <c r="Q1507" t="str">
        <f>VLOOKUP(VLOOKUP(B1507,Product!A:C,3,FALSE),Supplier!A:B,2,FALSE)</f>
        <v>Supplier JNNES</v>
      </c>
      <c r="R1507" t="str">
        <f>VLOOKUP(VLOOKUP(B1507,Product!A:C,3,FALSE),Supplier!A:I,9,FALSE)</f>
        <v>Australia</v>
      </c>
      <c r="S1507" t="str">
        <f>IFERROR(IF(VLOOKUP(A1507,'Sales Order'!A:H,8,FALSE)&gt;100,"High Freight","Low Freight"),"Not Specified")</f>
        <v>Low Freight</v>
      </c>
      <c r="T1507">
        <f t="shared" si="47"/>
        <v>656</v>
      </c>
    </row>
    <row r="1508" spans="1:20">
      <c r="A1508" s="9">
        <v>10826</v>
      </c>
      <c r="B1508" s="6">
        <v>31</v>
      </c>
      <c r="C1508" s="6">
        <v>12.5</v>
      </c>
      <c r="D1508" s="6">
        <v>35</v>
      </c>
      <c r="E1508" s="18">
        <v>0</v>
      </c>
      <c r="F1508" s="6" t="str">
        <f>IFERROR(VLOOKUP(VLOOKUP(A1508,'Sales Order'!A:B,2,FALSE),Customer!A:C,3,FALSE),"Not Specified")</f>
        <v>Bansal, Dushyant</v>
      </c>
      <c r="G1508" s="6" t="str">
        <f t="shared" si="46"/>
        <v>Bansal Dushyant</v>
      </c>
      <c r="H1508" s="22" t="str">
        <f>IFERROR(VLOOKUP(VLOOKUP(A1508,'Sales Order'!A:C,3,FALSE),Employee!A:E,5,FALSE)&amp;" "&amp;VLOOKUP(VLOOKUP(A1508,'Sales Order'!A:C,3,FALSE),Employee!A:C,3,FALSE)&amp;" "&amp;VLOOKUP(VLOOKUP(A1508,'Sales Order'!A:C,3,FALSE),Employee!A:B,2,FALSE),"Not Specified")</f>
        <v>Mr. Paul Suurs</v>
      </c>
      <c r="I1508">
        <f>IFERROR(VLOOKUP(VLOOKUP(A1508,'Sales Order'!A:C,3,FALSE),Employee!A:J,10,FALSE),"Not Specified")</f>
        <v>0</v>
      </c>
      <c r="J1508" t="str">
        <f>VLOOKUP(B1508,Product!A:B,2,FALSE)</f>
        <v>Product XWOXC</v>
      </c>
      <c r="K1508" t="str">
        <f>VLOOKUP(VLOOKUP(B1508,Product!A:D,4,FALSE),Category!A:B,2,FALSE)</f>
        <v>Dairy Product</v>
      </c>
      <c r="L1508" s="24">
        <f>IFERROR(VLOOKUP(A1508,'Sales Order'!A:D,4,FALSE),"")</f>
        <v>39459</v>
      </c>
      <c r="M1508" s="24">
        <f>IFERROR(VLOOKUP(A1508,'Sales Order'!A:F,6,FALSE),"")</f>
        <v>39484</v>
      </c>
      <c r="N1508" t="str">
        <f>IFERROR(VLOOKUP(VLOOKUP(A1508,'Sales Order'!A:G,7,FALSE),Shipper!A:B,2,FALSE),"Not Specified")</f>
        <v>Shipper GVSUA</v>
      </c>
      <c r="O1508" t="str">
        <f>IFERROR(VLOOKUP(A1508,'Sales Order'!A:I,9,FALSE),"Not Specified")</f>
        <v>Ship to 7-C</v>
      </c>
      <c r="P1508" t="str">
        <f>IFERROR(VLOOKUP(A1508,'Sales Order'!A:N,14,FALSE),"Not Specified")</f>
        <v>France</v>
      </c>
      <c r="Q1508" t="str">
        <f>VLOOKUP(VLOOKUP(B1508,Product!A:C,3,FALSE),Supplier!A:B,2,FALSE)</f>
        <v>Supplier KEREV</v>
      </c>
      <c r="R1508" t="str">
        <f>VLOOKUP(VLOOKUP(B1508,Product!A:C,3,FALSE),Supplier!A:I,9,FALSE)</f>
        <v>Italy</v>
      </c>
      <c r="S1508" t="str">
        <f>IFERROR(IF(VLOOKUP(A1508,'Sales Order'!A:H,8,FALSE)&gt;100,"High Freight","Low Freight"),"Not Specified")</f>
        <v>Low Freight</v>
      </c>
      <c r="T1508">
        <f t="shared" si="47"/>
        <v>437.5</v>
      </c>
    </row>
    <row r="1509" spans="1:20">
      <c r="A1509" s="9">
        <v>10826</v>
      </c>
      <c r="B1509" s="6">
        <v>57</v>
      </c>
      <c r="C1509" s="6">
        <v>19.5</v>
      </c>
      <c r="D1509" s="6">
        <v>15</v>
      </c>
      <c r="E1509" s="18">
        <v>0</v>
      </c>
      <c r="F1509" s="6" t="str">
        <f>IFERROR(VLOOKUP(VLOOKUP(A1509,'Sales Order'!A:B,2,FALSE),Customer!A:C,3,FALSE),"Not Specified")</f>
        <v>Bansal, Dushyant</v>
      </c>
      <c r="G1509" s="6" t="str">
        <f t="shared" si="46"/>
        <v>Bansal Dushyant</v>
      </c>
      <c r="H1509" s="22" t="str">
        <f>IFERROR(VLOOKUP(VLOOKUP(A1509,'Sales Order'!A:C,3,FALSE),Employee!A:E,5,FALSE)&amp;" "&amp;VLOOKUP(VLOOKUP(A1509,'Sales Order'!A:C,3,FALSE),Employee!A:C,3,FALSE)&amp;" "&amp;VLOOKUP(VLOOKUP(A1509,'Sales Order'!A:C,3,FALSE),Employee!A:B,2,FALSE),"Not Specified")</f>
        <v>Mr. Paul Suurs</v>
      </c>
      <c r="I1509">
        <f>IFERROR(VLOOKUP(VLOOKUP(A1509,'Sales Order'!A:C,3,FALSE),Employee!A:J,10,FALSE),"Not Specified")</f>
        <v>0</v>
      </c>
      <c r="J1509" t="str">
        <f>VLOOKUP(B1509,Product!A:B,2,FALSE)</f>
        <v>Product OVLQI</v>
      </c>
      <c r="K1509" t="str">
        <f>VLOOKUP(VLOOKUP(B1509,Product!A:D,4,FALSE),Category!A:B,2,FALSE)</f>
        <v>Grains/Cereals</v>
      </c>
      <c r="L1509" s="24">
        <f>IFERROR(VLOOKUP(A1509,'Sales Order'!A:D,4,FALSE),"")</f>
        <v>39459</v>
      </c>
      <c r="M1509" s="24">
        <f>IFERROR(VLOOKUP(A1509,'Sales Order'!A:F,6,FALSE),"")</f>
        <v>39484</v>
      </c>
      <c r="N1509" t="str">
        <f>IFERROR(VLOOKUP(VLOOKUP(A1509,'Sales Order'!A:G,7,FALSE),Shipper!A:B,2,FALSE),"Not Specified")</f>
        <v>Shipper GVSUA</v>
      </c>
      <c r="O1509" t="str">
        <f>IFERROR(VLOOKUP(A1509,'Sales Order'!A:I,9,FALSE),"Not Specified")</f>
        <v>Ship to 7-C</v>
      </c>
      <c r="P1509" t="str">
        <f>IFERROR(VLOOKUP(A1509,'Sales Order'!A:N,14,FALSE),"Not Specified")</f>
        <v>France</v>
      </c>
      <c r="Q1509" t="str">
        <f>VLOOKUP(VLOOKUP(B1509,Product!A:C,3,FALSE),Supplier!A:B,2,FALSE)</f>
        <v>Supplier ZWZDM</v>
      </c>
      <c r="R1509" t="str">
        <f>VLOOKUP(VLOOKUP(B1509,Product!A:C,3,FALSE),Supplier!A:I,9,FALSE)</f>
        <v>Italy</v>
      </c>
      <c r="S1509" t="str">
        <f>IFERROR(IF(VLOOKUP(A1509,'Sales Order'!A:H,8,FALSE)&gt;100,"High Freight","Low Freight"),"Not Specified")</f>
        <v>Low Freight</v>
      </c>
      <c r="T1509">
        <f t="shared" si="47"/>
        <v>292.5</v>
      </c>
    </row>
    <row r="1510" spans="1:20">
      <c r="A1510" s="9">
        <v>10827</v>
      </c>
      <c r="B1510" s="6">
        <v>10</v>
      </c>
      <c r="C1510" s="6">
        <v>31</v>
      </c>
      <c r="D1510" s="6">
        <v>15</v>
      </c>
      <c r="E1510" s="18">
        <v>0</v>
      </c>
      <c r="F1510" s="6" t="str">
        <f>IFERROR(VLOOKUP(VLOOKUP(A1510,'Sales Order'!A:B,2,FALSE),Customer!A:C,3,FALSE),"Not Specified")</f>
        <v>Raghav, Amritansh</v>
      </c>
      <c r="G1510" s="6" t="str">
        <f t="shared" si="46"/>
        <v>Raghav Amritansh</v>
      </c>
      <c r="H1510" s="22" t="str">
        <f>IFERROR(VLOOKUP(VLOOKUP(A1510,'Sales Order'!A:C,3,FALSE),Employee!A:E,5,FALSE)&amp;" "&amp;VLOOKUP(VLOOKUP(A1510,'Sales Order'!A:C,3,FALSE),Employee!A:C,3,FALSE)&amp;" "&amp;VLOOKUP(VLOOKUP(A1510,'Sales Order'!A:C,3,FALSE),Employee!A:B,2,FALSE),"Not Specified")</f>
        <v>Ms. Sara Davis</v>
      </c>
      <c r="I1510" t="str">
        <f>IFERROR(VLOOKUP(VLOOKUP(A1510,'Sales Order'!A:C,3,FALSE),Employee!A:J,10,FALSE),"Not Specified")</f>
        <v>WA</v>
      </c>
      <c r="J1510" t="str">
        <f>VLOOKUP(B1510,Product!A:B,2,FALSE)</f>
        <v>Product YHXGE</v>
      </c>
      <c r="K1510" t="str">
        <f>VLOOKUP(VLOOKUP(B1510,Product!A:D,4,FALSE),Category!A:B,2,FALSE)</f>
        <v>Seafood</v>
      </c>
      <c r="L1510" s="24">
        <f>IFERROR(VLOOKUP(A1510,'Sales Order'!A:D,4,FALSE),"")</f>
        <v>39459</v>
      </c>
      <c r="M1510" s="24">
        <f>IFERROR(VLOOKUP(A1510,'Sales Order'!A:F,6,FALSE),"")</f>
        <v>39484</v>
      </c>
      <c r="N1510" t="str">
        <f>IFERROR(VLOOKUP(VLOOKUP(A1510,'Sales Order'!A:G,7,FALSE),Shipper!A:B,2,FALSE),"Not Specified")</f>
        <v>Shipper ETYNR</v>
      </c>
      <c r="O1510" t="str">
        <f>IFERROR(VLOOKUP(A1510,'Sales Order'!A:I,9,FALSE),"Not Specified")</f>
        <v>Ship to 9-B</v>
      </c>
      <c r="P1510" t="str">
        <f>IFERROR(VLOOKUP(A1510,'Sales Order'!A:N,14,FALSE),"Not Specified")</f>
        <v>France</v>
      </c>
      <c r="Q1510" t="str">
        <f>VLOOKUP(VLOOKUP(B1510,Product!A:C,3,FALSE),Supplier!A:B,2,FALSE)</f>
        <v>Supplier QOVFD</v>
      </c>
      <c r="R1510" t="str">
        <f>VLOOKUP(VLOOKUP(B1510,Product!A:C,3,FALSE),Supplier!A:I,9,FALSE)</f>
        <v>Japan</v>
      </c>
      <c r="S1510" t="str">
        <f>IFERROR(IF(VLOOKUP(A1510,'Sales Order'!A:H,8,FALSE)&gt;100,"High Freight","Low Freight"),"Not Specified")</f>
        <v>Low Freight</v>
      </c>
      <c r="T1510">
        <f t="shared" si="47"/>
        <v>465</v>
      </c>
    </row>
    <row r="1511" spans="1:20">
      <c r="A1511" s="9">
        <v>10827</v>
      </c>
      <c r="B1511" s="6">
        <v>39</v>
      </c>
      <c r="C1511" s="6">
        <v>18</v>
      </c>
      <c r="D1511" s="6">
        <v>21</v>
      </c>
      <c r="E1511" s="18">
        <v>0</v>
      </c>
      <c r="F1511" s="6" t="str">
        <f>IFERROR(VLOOKUP(VLOOKUP(A1511,'Sales Order'!A:B,2,FALSE),Customer!A:C,3,FALSE),"Not Specified")</f>
        <v>Raghav, Amritansh</v>
      </c>
      <c r="G1511" s="6" t="str">
        <f t="shared" si="46"/>
        <v>Raghav Amritansh</v>
      </c>
      <c r="H1511" s="22" t="str">
        <f>IFERROR(VLOOKUP(VLOOKUP(A1511,'Sales Order'!A:C,3,FALSE),Employee!A:E,5,FALSE)&amp;" "&amp;VLOOKUP(VLOOKUP(A1511,'Sales Order'!A:C,3,FALSE),Employee!A:C,3,FALSE)&amp;" "&amp;VLOOKUP(VLOOKUP(A1511,'Sales Order'!A:C,3,FALSE),Employee!A:B,2,FALSE),"Not Specified")</f>
        <v>Ms. Sara Davis</v>
      </c>
      <c r="I1511" t="str">
        <f>IFERROR(VLOOKUP(VLOOKUP(A1511,'Sales Order'!A:C,3,FALSE),Employee!A:J,10,FALSE),"Not Specified")</f>
        <v>WA</v>
      </c>
      <c r="J1511" t="str">
        <f>VLOOKUP(B1511,Product!A:B,2,FALSE)</f>
        <v>Product LSOFL</v>
      </c>
      <c r="K1511" t="str">
        <f>VLOOKUP(VLOOKUP(B1511,Product!A:D,4,FALSE),Category!A:B,2,FALSE)</f>
        <v>Beverages</v>
      </c>
      <c r="L1511" s="24">
        <f>IFERROR(VLOOKUP(A1511,'Sales Order'!A:D,4,FALSE),"")</f>
        <v>39459</v>
      </c>
      <c r="M1511" s="24">
        <f>IFERROR(VLOOKUP(A1511,'Sales Order'!A:F,6,FALSE),"")</f>
        <v>39484</v>
      </c>
      <c r="N1511" t="str">
        <f>IFERROR(VLOOKUP(VLOOKUP(A1511,'Sales Order'!A:G,7,FALSE),Shipper!A:B,2,FALSE),"Not Specified")</f>
        <v>Shipper ETYNR</v>
      </c>
      <c r="O1511" t="str">
        <f>IFERROR(VLOOKUP(A1511,'Sales Order'!A:I,9,FALSE),"Not Specified")</f>
        <v>Ship to 9-B</v>
      </c>
      <c r="P1511" t="str">
        <f>IFERROR(VLOOKUP(A1511,'Sales Order'!A:N,14,FALSE),"Not Specified")</f>
        <v>France</v>
      </c>
      <c r="Q1511" t="str">
        <f>VLOOKUP(VLOOKUP(B1511,Product!A:C,3,FALSE),Supplier!A:B,2,FALSE)</f>
        <v>Supplier LVJUA</v>
      </c>
      <c r="R1511" t="str">
        <f>VLOOKUP(VLOOKUP(B1511,Product!A:C,3,FALSE),Supplier!A:I,9,FALSE)</f>
        <v>France</v>
      </c>
      <c r="S1511" t="str">
        <f>IFERROR(IF(VLOOKUP(A1511,'Sales Order'!A:H,8,FALSE)&gt;100,"High Freight","Low Freight"),"Not Specified")</f>
        <v>Low Freight</v>
      </c>
      <c r="T1511">
        <f t="shared" si="47"/>
        <v>378</v>
      </c>
    </row>
    <row r="1512" spans="1:20">
      <c r="A1512" s="9">
        <v>10828</v>
      </c>
      <c r="B1512" s="6">
        <v>20</v>
      </c>
      <c r="C1512" s="6">
        <v>81</v>
      </c>
      <c r="D1512" s="6">
        <v>5</v>
      </c>
      <c r="E1512" s="18">
        <v>0</v>
      </c>
      <c r="F1512" s="6" t="str">
        <f>IFERROR(VLOOKUP(VLOOKUP(A1512,'Sales Order'!A:B,2,FALSE),Customer!A:C,3,FALSE),"Not Specified")</f>
        <v>Gaffney, Lawrie</v>
      </c>
      <c r="G1512" s="6" t="str">
        <f t="shared" si="46"/>
        <v>Gaffney Lawrie</v>
      </c>
      <c r="H1512" s="22" t="str">
        <f>IFERROR(VLOOKUP(VLOOKUP(A1512,'Sales Order'!A:C,3,FALSE),Employee!A:E,5,FALSE)&amp;" "&amp;VLOOKUP(VLOOKUP(A1512,'Sales Order'!A:C,3,FALSE),Employee!A:C,3,FALSE)&amp;" "&amp;VLOOKUP(VLOOKUP(A1512,'Sales Order'!A:C,3,FALSE),Employee!A:B,2,FALSE),"Not Specified")</f>
        <v>Ms. Zoya Dolgopyatova</v>
      </c>
      <c r="I1512">
        <f>IFERROR(VLOOKUP(VLOOKUP(A1512,'Sales Order'!A:C,3,FALSE),Employee!A:J,10,FALSE),"Not Specified")</f>
        <v>0</v>
      </c>
      <c r="J1512" t="str">
        <f>VLOOKUP(B1512,Product!A:B,2,FALSE)</f>
        <v>Product QHFFP</v>
      </c>
      <c r="K1512" t="str">
        <f>VLOOKUP(VLOOKUP(B1512,Product!A:D,4,FALSE),Category!A:B,2,FALSE)</f>
        <v>Confections</v>
      </c>
      <c r="L1512" s="24">
        <f>IFERROR(VLOOKUP(A1512,'Sales Order'!A:D,4,FALSE),"")</f>
        <v>39460</v>
      </c>
      <c r="M1512" s="24">
        <f>IFERROR(VLOOKUP(A1512,'Sales Order'!A:F,6,FALSE),"")</f>
        <v>39482</v>
      </c>
      <c r="N1512" t="str">
        <f>IFERROR(VLOOKUP(VLOOKUP(A1512,'Sales Order'!A:G,7,FALSE),Shipper!A:B,2,FALSE),"Not Specified")</f>
        <v>Shipper GVSUA</v>
      </c>
      <c r="O1512" t="str">
        <f>IFERROR(VLOOKUP(A1512,'Sales Order'!A:I,9,FALSE),"Not Specified")</f>
        <v>Ship to 64-B</v>
      </c>
      <c r="P1512" t="str">
        <f>IFERROR(VLOOKUP(A1512,'Sales Order'!A:N,14,FALSE),"Not Specified")</f>
        <v>Argentina</v>
      </c>
      <c r="Q1512" t="str">
        <f>VLOOKUP(VLOOKUP(B1512,Product!A:C,3,FALSE),Supplier!A:B,2,FALSE)</f>
        <v>Supplier BWGYE</v>
      </c>
      <c r="R1512" t="str">
        <f>VLOOKUP(VLOOKUP(B1512,Product!A:C,3,FALSE),Supplier!A:I,9,FALSE)</f>
        <v>UK</v>
      </c>
      <c r="S1512" t="str">
        <f>IFERROR(IF(VLOOKUP(A1512,'Sales Order'!A:H,8,FALSE)&gt;100,"High Freight","Low Freight"),"Not Specified")</f>
        <v>Low Freight</v>
      </c>
      <c r="T1512">
        <f t="shared" si="47"/>
        <v>405</v>
      </c>
    </row>
    <row r="1513" spans="1:20">
      <c r="A1513" s="9">
        <v>10828</v>
      </c>
      <c r="B1513" s="6">
        <v>38</v>
      </c>
      <c r="C1513" s="6">
        <v>263.5</v>
      </c>
      <c r="D1513" s="6">
        <v>2</v>
      </c>
      <c r="E1513" s="18">
        <v>0</v>
      </c>
      <c r="F1513" s="6" t="str">
        <f>IFERROR(VLOOKUP(VLOOKUP(A1513,'Sales Order'!A:B,2,FALSE),Customer!A:C,3,FALSE),"Not Specified")</f>
        <v>Gaffney, Lawrie</v>
      </c>
      <c r="G1513" s="6" t="str">
        <f t="shared" si="46"/>
        <v>Gaffney Lawrie</v>
      </c>
      <c r="H1513" s="22" t="str">
        <f>IFERROR(VLOOKUP(VLOOKUP(A1513,'Sales Order'!A:C,3,FALSE),Employee!A:E,5,FALSE)&amp;" "&amp;VLOOKUP(VLOOKUP(A1513,'Sales Order'!A:C,3,FALSE),Employee!A:C,3,FALSE)&amp;" "&amp;VLOOKUP(VLOOKUP(A1513,'Sales Order'!A:C,3,FALSE),Employee!A:B,2,FALSE),"Not Specified")</f>
        <v>Ms. Zoya Dolgopyatova</v>
      </c>
      <c r="I1513">
        <f>IFERROR(VLOOKUP(VLOOKUP(A1513,'Sales Order'!A:C,3,FALSE),Employee!A:J,10,FALSE),"Not Specified")</f>
        <v>0</v>
      </c>
      <c r="J1513" t="str">
        <f>VLOOKUP(B1513,Product!A:B,2,FALSE)</f>
        <v>Product QDOMO</v>
      </c>
      <c r="K1513" t="str">
        <f>VLOOKUP(VLOOKUP(B1513,Product!A:D,4,FALSE),Category!A:B,2,FALSE)</f>
        <v>Beverages</v>
      </c>
      <c r="L1513" s="24">
        <f>IFERROR(VLOOKUP(A1513,'Sales Order'!A:D,4,FALSE),"")</f>
        <v>39460</v>
      </c>
      <c r="M1513" s="24">
        <f>IFERROR(VLOOKUP(A1513,'Sales Order'!A:F,6,FALSE),"")</f>
        <v>39482</v>
      </c>
      <c r="N1513" t="str">
        <f>IFERROR(VLOOKUP(VLOOKUP(A1513,'Sales Order'!A:G,7,FALSE),Shipper!A:B,2,FALSE),"Not Specified")</f>
        <v>Shipper GVSUA</v>
      </c>
      <c r="O1513" t="str">
        <f>IFERROR(VLOOKUP(A1513,'Sales Order'!A:I,9,FALSE),"Not Specified")</f>
        <v>Ship to 64-B</v>
      </c>
      <c r="P1513" t="str">
        <f>IFERROR(VLOOKUP(A1513,'Sales Order'!A:N,14,FALSE),"Not Specified")</f>
        <v>Argentina</v>
      </c>
      <c r="Q1513" t="str">
        <f>VLOOKUP(VLOOKUP(B1513,Product!A:C,3,FALSE),Supplier!A:B,2,FALSE)</f>
        <v>Supplier LVJUA</v>
      </c>
      <c r="R1513" t="str">
        <f>VLOOKUP(VLOOKUP(B1513,Product!A:C,3,FALSE),Supplier!A:I,9,FALSE)</f>
        <v>France</v>
      </c>
      <c r="S1513" t="str">
        <f>IFERROR(IF(VLOOKUP(A1513,'Sales Order'!A:H,8,FALSE)&gt;100,"High Freight","Low Freight"),"Not Specified")</f>
        <v>Low Freight</v>
      </c>
      <c r="T1513">
        <f t="shared" si="47"/>
        <v>527</v>
      </c>
    </row>
    <row r="1514" spans="1:20">
      <c r="A1514" s="9">
        <v>10829</v>
      </c>
      <c r="B1514" s="6">
        <v>2</v>
      </c>
      <c r="C1514" s="6">
        <v>19</v>
      </c>
      <c r="D1514" s="6">
        <v>10</v>
      </c>
      <c r="E1514" s="18">
        <v>0</v>
      </c>
      <c r="F1514" s="6" t="str">
        <f>IFERROR(VLOOKUP(VLOOKUP(A1514,'Sales Order'!A:B,2,FALSE),Customer!A:C,3,FALSE),"Not Specified")</f>
        <v>Lee, Frank</v>
      </c>
      <c r="G1514" s="6" t="str">
        <f t="shared" si="46"/>
        <v>Lee Frank</v>
      </c>
      <c r="H1514" s="22" t="str">
        <f>IFERROR(VLOOKUP(VLOOKUP(A1514,'Sales Order'!A:C,3,FALSE),Employee!A:E,5,FALSE)&amp;" "&amp;VLOOKUP(VLOOKUP(A1514,'Sales Order'!A:C,3,FALSE),Employee!A:C,3,FALSE)&amp;" "&amp;VLOOKUP(VLOOKUP(A1514,'Sales Order'!A:C,3,FALSE),Employee!A:B,2,FALSE),"Not Specified")</f>
        <v>Ms. Zoya Dolgopyatova</v>
      </c>
      <c r="I1514">
        <f>IFERROR(VLOOKUP(VLOOKUP(A1514,'Sales Order'!A:C,3,FALSE),Employee!A:J,10,FALSE),"Not Specified")</f>
        <v>0</v>
      </c>
      <c r="J1514" t="str">
        <f>VLOOKUP(B1514,Product!A:B,2,FALSE)</f>
        <v>Product RECZE</v>
      </c>
      <c r="K1514" t="str">
        <f>VLOOKUP(VLOOKUP(B1514,Product!A:D,4,FALSE),Category!A:B,2,FALSE)</f>
        <v>Beverages</v>
      </c>
      <c r="L1514" s="24">
        <f>IFERROR(VLOOKUP(A1514,'Sales Order'!A:D,4,FALSE),"")</f>
        <v>39460</v>
      </c>
      <c r="M1514" s="24">
        <f>IFERROR(VLOOKUP(A1514,'Sales Order'!A:F,6,FALSE),"")</f>
        <v>39470</v>
      </c>
      <c r="N1514" t="str">
        <f>IFERROR(VLOOKUP(VLOOKUP(A1514,'Sales Order'!A:G,7,FALSE),Shipper!A:B,2,FALSE),"Not Specified")</f>
        <v>Shipper GVSUA</v>
      </c>
      <c r="O1514" t="str">
        <f>IFERROR(VLOOKUP(A1514,'Sales Order'!A:I,9,FALSE),"Not Specified")</f>
        <v>Destination QVTLW</v>
      </c>
      <c r="P1514" t="str">
        <f>IFERROR(VLOOKUP(A1514,'Sales Order'!A:N,14,FALSE),"Not Specified")</f>
        <v>UK</v>
      </c>
      <c r="Q1514" t="str">
        <f>VLOOKUP(VLOOKUP(B1514,Product!A:C,3,FALSE),Supplier!A:B,2,FALSE)</f>
        <v>Supplier SWRXU</v>
      </c>
      <c r="R1514" t="str">
        <f>VLOOKUP(VLOOKUP(B1514,Product!A:C,3,FALSE),Supplier!A:I,9,FALSE)</f>
        <v>UK</v>
      </c>
      <c r="S1514" t="str">
        <f>IFERROR(IF(VLOOKUP(A1514,'Sales Order'!A:H,8,FALSE)&gt;100,"High Freight","Low Freight"),"Not Specified")</f>
        <v>High Freight</v>
      </c>
      <c r="T1514">
        <f t="shared" si="47"/>
        <v>190</v>
      </c>
    </row>
    <row r="1515" spans="1:20">
      <c r="A1515" s="9">
        <v>10829</v>
      </c>
      <c r="B1515" s="6">
        <v>8</v>
      </c>
      <c r="C1515" s="6">
        <v>40</v>
      </c>
      <c r="D1515" s="6">
        <v>20</v>
      </c>
      <c r="E1515" s="18">
        <v>0</v>
      </c>
      <c r="F1515" s="6" t="str">
        <f>IFERROR(VLOOKUP(VLOOKUP(A1515,'Sales Order'!A:B,2,FALSE),Customer!A:C,3,FALSE),"Not Specified")</f>
        <v>Lee, Frank</v>
      </c>
      <c r="G1515" s="6" t="str">
        <f t="shared" si="46"/>
        <v>Lee Frank</v>
      </c>
      <c r="H1515" s="22" t="str">
        <f>IFERROR(VLOOKUP(VLOOKUP(A1515,'Sales Order'!A:C,3,FALSE),Employee!A:E,5,FALSE)&amp;" "&amp;VLOOKUP(VLOOKUP(A1515,'Sales Order'!A:C,3,FALSE),Employee!A:C,3,FALSE)&amp;" "&amp;VLOOKUP(VLOOKUP(A1515,'Sales Order'!A:C,3,FALSE),Employee!A:B,2,FALSE),"Not Specified")</f>
        <v>Ms. Zoya Dolgopyatova</v>
      </c>
      <c r="I1515">
        <f>IFERROR(VLOOKUP(VLOOKUP(A1515,'Sales Order'!A:C,3,FALSE),Employee!A:J,10,FALSE),"Not Specified")</f>
        <v>0</v>
      </c>
      <c r="J1515" t="str">
        <f>VLOOKUP(B1515,Product!A:B,2,FALSE)</f>
        <v>Product WVJFP</v>
      </c>
      <c r="K1515" t="str">
        <f>VLOOKUP(VLOOKUP(B1515,Product!A:D,4,FALSE),Category!A:B,2,FALSE)</f>
        <v>Condiments</v>
      </c>
      <c r="L1515" s="24">
        <f>IFERROR(VLOOKUP(A1515,'Sales Order'!A:D,4,FALSE),"")</f>
        <v>39460</v>
      </c>
      <c r="M1515" s="24">
        <f>IFERROR(VLOOKUP(A1515,'Sales Order'!A:F,6,FALSE),"")</f>
        <v>39470</v>
      </c>
      <c r="N1515" t="str">
        <f>IFERROR(VLOOKUP(VLOOKUP(A1515,'Sales Order'!A:G,7,FALSE),Shipper!A:B,2,FALSE),"Not Specified")</f>
        <v>Shipper GVSUA</v>
      </c>
      <c r="O1515" t="str">
        <f>IFERROR(VLOOKUP(A1515,'Sales Order'!A:I,9,FALSE),"Not Specified")</f>
        <v>Destination QVTLW</v>
      </c>
      <c r="P1515" t="str">
        <f>IFERROR(VLOOKUP(A1515,'Sales Order'!A:N,14,FALSE),"Not Specified")</f>
        <v>UK</v>
      </c>
      <c r="Q1515" t="str">
        <f>VLOOKUP(VLOOKUP(B1515,Product!A:C,3,FALSE),Supplier!A:B,2,FALSE)</f>
        <v>Supplier STUAZ</v>
      </c>
      <c r="R1515" t="str">
        <f>VLOOKUP(VLOOKUP(B1515,Product!A:C,3,FALSE),Supplier!A:I,9,FALSE)</f>
        <v>USA</v>
      </c>
      <c r="S1515" t="str">
        <f>IFERROR(IF(VLOOKUP(A1515,'Sales Order'!A:H,8,FALSE)&gt;100,"High Freight","Low Freight"),"Not Specified")</f>
        <v>High Freight</v>
      </c>
      <c r="T1515">
        <f t="shared" si="47"/>
        <v>800</v>
      </c>
    </row>
    <row r="1516" spans="1:20">
      <c r="A1516" s="9">
        <v>10829</v>
      </c>
      <c r="B1516" s="6">
        <v>13</v>
      </c>
      <c r="C1516" s="6">
        <v>6</v>
      </c>
      <c r="D1516" s="6">
        <v>10</v>
      </c>
      <c r="E1516" s="18">
        <v>0</v>
      </c>
      <c r="F1516" s="6" t="str">
        <f>IFERROR(VLOOKUP(VLOOKUP(A1516,'Sales Order'!A:B,2,FALSE),Customer!A:C,3,FALSE),"Not Specified")</f>
        <v>Lee, Frank</v>
      </c>
      <c r="G1516" s="6" t="str">
        <f t="shared" si="46"/>
        <v>Lee Frank</v>
      </c>
      <c r="H1516" s="22" t="str">
        <f>IFERROR(VLOOKUP(VLOOKUP(A1516,'Sales Order'!A:C,3,FALSE),Employee!A:E,5,FALSE)&amp;" "&amp;VLOOKUP(VLOOKUP(A1516,'Sales Order'!A:C,3,FALSE),Employee!A:C,3,FALSE)&amp;" "&amp;VLOOKUP(VLOOKUP(A1516,'Sales Order'!A:C,3,FALSE),Employee!A:B,2,FALSE),"Not Specified")</f>
        <v>Ms. Zoya Dolgopyatova</v>
      </c>
      <c r="I1516">
        <f>IFERROR(VLOOKUP(VLOOKUP(A1516,'Sales Order'!A:C,3,FALSE),Employee!A:J,10,FALSE),"Not Specified")</f>
        <v>0</v>
      </c>
      <c r="J1516" t="str">
        <f>VLOOKUP(B1516,Product!A:B,2,FALSE)</f>
        <v>Product POXFU</v>
      </c>
      <c r="K1516" t="str">
        <f>VLOOKUP(VLOOKUP(B1516,Product!A:D,4,FALSE),Category!A:B,2,FALSE)</f>
        <v>Seafood</v>
      </c>
      <c r="L1516" s="24">
        <f>IFERROR(VLOOKUP(A1516,'Sales Order'!A:D,4,FALSE),"")</f>
        <v>39460</v>
      </c>
      <c r="M1516" s="24">
        <f>IFERROR(VLOOKUP(A1516,'Sales Order'!A:F,6,FALSE),"")</f>
        <v>39470</v>
      </c>
      <c r="N1516" t="str">
        <f>IFERROR(VLOOKUP(VLOOKUP(A1516,'Sales Order'!A:G,7,FALSE),Shipper!A:B,2,FALSE),"Not Specified")</f>
        <v>Shipper GVSUA</v>
      </c>
      <c r="O1516" t="str">
        <f>IFERROR(VLOOKUP(A1516,'Sales Order'!A:I,9,FALSE),"Not Specified")</f>
        <v>Destination QVTLW</v>
      </c>
      <c r="P1516" t="str">
        <f>IFERROR(VLOOKUP(A1516,'Sales Order'!A:N,14,FALSE),"Not Specified")</f>
        <v>UK</v>
      </c>
      <c r="Q1516" t="str">
        <f>VLOOKUP(VLOOKUP(B1516,Product!A:C,3,FALSE),Supplier!A:B,2,FALSE)</f>
        <v>Supplier QWUSF</v>
      </c>
      <c r="R1516" t="str">
        <f>VLOOKUP(VLOOKUP(B1516,Product!A:C,3,FALSE),Supplier!A:I,9,FALSE)</f>
        <v>Japan</v>
      </c>
      <c r="S1516" t="str">
        <f>IFERROR(IF(VLOOKUP(A1516,'Sales Order'!A:H,8,FALSE)&gt;100,"High Freight","Low Freight"),"Not Specified")</f>
        <v>High Freight</v>
      </c>
      <c r="T1516">
        <f t="shared" si="47"/>
        <v>60</v>
      </c>
    </row>
    <row r="1517" spans="1:20">
      <c r="A1517" s="9">
        <v>10829</v>
      </c>
      <c r="B1517" s="6">
        <v>60</v>
      </c>
      <c r="C1517" s="6">
        <v>34</v>
      </c>
      <c r="D1517" s="6">
        <v>21</v>
      </c>
      <c r="E1517" s="18">
        <v>0</v>
      </c>
      <c r="F1517" s="6" t="str">
        <f>IFERROR(VLOOKUP(VLOOKUP(A1517,'Sales Order'!A:B,2,FALSE),Customer!A:C,3,FALSE),"Not Specified")</f>
        <v>Lee, Frank</v>
      </c>
      <c r="G1517" s="6" t="str">
        <f t="shared" si="46"/>
        <v>Lee Frank</v>
      </c>
      <c r="H1517" s="22" t="str">
        <f>IFERROR(VLOOKUP(VLOOKUP(A1517,'Sales Order'!A:C,3,FALSE),Employee!A:E,5,FALSE)&amp;" "&amp;VLOOKUP(VLOOKUP(A1517,'Sales Order'!A:C,3,FALSE),Employee!A:C,3,FALSE)&amp;" "&amp;VLOOKUP(VLOOKUP(A1517,'Sales Order'!A:C,3,FALSE),Employee!A:B,2,FALSE),"Not Specified")</f>
        <v>Ms. Zoya Dolgopyatova</v>
      </c>
      <c r="I1517">
        <f>IFERROR(VLOOKUP(VLOOKUP(A1517,'Sales Order'!A:C,3,FALSE),Employee!A:J,10,FALSE),"Not Specified")</f>
        <v>0</v>
      </c>
      <c r="J1517" t="str">
        <f>VLOOKUP(B1517,Product!A:B,2,FALSE)</f>
        <v>Product WHBYK</v>
      </c>
      <c r="K1517" t="str">
        <f>VLOOKUP(VLOOKUP(B1517,Product!A:D,4,FALSE),Category!A:B,2,FALSE)</f>
        <v>Dairy Product</v>
      </c>
      <c r="L1517" s="24">
        <f>IFERROR(VLOOKUP(A1517,'Sales Order'!A:D,4,FALSE),"")</f>
        <v>39460</v>
      </c>
      <c r="M1517" s="24">
        <f>IFERROR(VLOOKUP(A1517,'Sales Order'!A:F,6,FALSE),"")</f>
        <v>39470</v>
      </c>
      <c r="N1517" t="str">
        <f>IFERROR(VLOOKUP(VLOOKUP(A1517,'Sales Order'!A:G,7,FALSE),Shipper!A:B,2,FALSE),"Not Specified")</f>
        <v>Shipper GVSUA</v>
      </c>
      <c r="O1517" t="str">
        <f>IFERROR(VLOOKUP(A1517,'Sales Order'!A:I,9,FALSE),"Not Specified")</f>
        <v>Destination QVTLW</v>
      </c>
      <c r="P1517" t="str">
        <f>IFERROR(VLOOKUP(A1517,'Sales Order'!A:N,14,FALSE),"Not Specified")</f>
        <v>UK</v>
      </c>
      <c r="Q1517" t="str">
        <f>VLOOKUP(VLOOKUP(B1517,Product!A:C,3,FALSE),Supplier!A:B,2,FALSE)</f>
        <v>Supplier OAVQT</v>
      </c>
      <c r="R1517" t="str">
        <f>VLOOKUP(VLOOKUP(B1517,Product!A:C,3,FALSE),Supplier!A:I,9,FALSE)</f>
        <v>France</v>
      </c>
      <c r="S1517" t="str">
        <f>IFERROR(IF(VLOOKUP(A1517,'Sales Order'!A:H,8,FALSE)&gt;100,"High Freight","Low Freight"),"Not Specified")</f>
        <v>High Freight</v>
      </c>
      <c r="T1517">
        <f t="shared" si="47"/>
        <v>714</v>
      </c>
    </row>
    <row r="1518" spans="1:20">
      <c r="A1518" s="9">
        <v>10830</v>
      </c>
      <c r="B1518" s="6">
        <v>6</v>
      </c>
      <c r="C1518" s="6">
        <v>25</v>
      </c>
      <c r="D1518" s="6">
        <v>6</v>
      </c>
      <c r="E1518" s="18">
        <v>0</v>
      </c>
      <c r="F1518" s="6" t="str">
        <f>IFERROR(VLOOKUP(VLOOKUP(A1518,'Sales Order'!A:B,2,FALSE),Customer!A:C,3,FALSE),"Not Specified")</f>
        <v>Nagel, Jean-Philippe</v>
      </c>
      <c r="G1518" s="6" t="str">
        <f t="shared" si="46"/>
        <v>Nagel Jean-Philippe</v>
      </c>
      <c r="H1518" s="22" t="str">
        <f>IFERROR(VLOOKUP(VLOOKUP(A1518,'Sales Order'!A:C,3,FALSE),Employee!A:E,5,FALSE)&amp;" "&amp;VLOOKUP(VLOOKUP(A1518,'Sales Order'!A:C,3,FALSE),Employee!A:C,3,FALSE)&amp;" "&amp;VLOOKUP(VLOOKUP(A1518,'Sales Order'!A:C,3,FALSE),Employee!A:B,2,FALSE),"Not Specified")</f>
        <v>Mrs. Yael Peled</v>
      </c>
      <c r="I1518" t="str">
        <f>IFERROR(VLOOKUP(VLOOKUP(A1518,'Sales Order'!A:C,3,FALSE),Employee!A:J,10,FALSE),"Not Specified")</f>
        <v>WA</v>
      </c>
      <c r="J1518" t="str">
        <f>VLOOKUP(B1518,Product!A:B,2,FALSE)</f>
        <v>Product VAIIV</v>
      </c>
      <c r="K1518" t="str">
        <f>VLOOKUP(VLOOKUP(B1518,Product!A:D,4,FALSE),Category!A:B,2,FALSE)</f>
        <v>Condiments</v>
      </c>
      <c r="L1518" s="24">
        <f>IFERROR(VLOOKUP(A1518,'Sales Order'!A:D,4,FALSE),"")</f>
        <v>39460</v>
      </c>
      <c r="M1518" s="24">
        <f>IFERROR(VLOOKUP(A1518,'Sales Order'!A:F,6,FALSE),"")</f>
        <v>39468</v>
      </c>
      <c r="N1518" t="str">
        <f>IFERROR(VLOOKUP(VLOOKUP(A1518,'Sales Order'!A:G,7,FALSE),Shipper!A:B,2,FALSE),"Not Specified")</f>
        <v>Shipper ETYNR</v>
      </c>
      <c r="O1518" t="str">
        <f>IFERROR(VLOOKUP(A1518,'Sales Order'!A:I,9,FALSE),"Not Specified")</f>
        <v>Ship to 81-C</v>
      </c>
      <c r="P1518" t="str">
        <f>IFERROR(VLOOKUP(A1518,'Sales Order'!A:N,14,FALSE),"Not Specified")</f>
        <v>Brazil</v>
      </c>
      <c r="Q1518" t="str">
        <f>VLOOKUP(VLOOKUP(B1518,Product!A:C,3,FALSE),Supplier!A:B,2,FALSE)</f>
        <v>Supplier STUAZ</v>
      </c>
      <c r="R1518" t="str">
        <f>VLOOKUP(VLOOKUP(B1518,Product!A:C,3,FALSE),Supplier!A:I,9,FALSE)</f>
        <v>USA</v>
      </c>
      <c r="S1518" t="str">
        <f>IFERROR(IF(VLOOKUP(A1518,'Sales Order'!A:H,8,FALSE)&gt;100,"High Freight","Low Freight"),"Not Specified")</f>
        <v>Low Freight</v>
      </c>
      <c r="T1518">
        <f t="shared" si="47"/>
        <v>150</v>
      </c>
    </row>
    <row r="1519" spans="1:20">
      <c r="A1519" s="9">
        <v>10830</v>
      </c>
      <c r="B1519" s="6">
        <v>39</v>
      </c>
      <c r="C1519" s="6">
        <v>18</v>
      </c>
      <c r="D1519" s="6">
        <v>28</v>
      </c>
      <c r="E1519" s="18">
        <v>0</v>
      </c>
      <c r="F1519" s="6" t="str">
        <f>IFERROR(VLOOKUP(VLOOKUP(A1519,'Sales Order'!A:B,2,FALSE),Customer!A:C,3,FALSE),"Not Specified")</f>
        <v>Nagel, Jean-Philippe</v>
      </c>
      <c r="G1519" s="6" t="str">
        <f t="shared" si="46"/>
        <v>Nagel Jean-Philippe</v>
      </c>
      <c r="H1519" s="22" t="str">
        <f>IFERROR(VLOOKUP(VLOOKUP(A1519,'Sales Order'!A:C,3,FALSE),Employee!A:E,5,FALSE)&amp;" "&amp;VLOOKUP(VLOOKUP(A1519,'Sales Order'!A:C,3,FALSE),Employee!A:C,3,FALSE)&amp;" "&amp;VLOOKUP(VLOOKUP(A1519,'Sales Order'!A:C,3,FALSE),Employee!A:B,2,FALSE),"Not Specified")</f>
        <v>Mrs. Yael Peled</v>
      </c>
      <c r="I1519" t="str">
        <f>IFERROR(VLOOKUP(VLOOKUP(A1519,'Sales Order'!A:C,3,FALSE),Employee!A:J,10,FALSE),"Not Specified")</f>
        <v>WA</v>
      </c>
      <c r="J1519" t="str">
        <f>VLOOKUP(B1519,Product!A:B,2,FALSE)</f>
        <v>Product LSOFL</v>
      </c>
      <c r="K1519" t="str">
        <f>VLOOKUP(VLOOKUP(B1519,Product!A:D,4,FALSE),Category!A:B,2,FALSE)</f>
        <v>Beverages</v>
      </c>
      <c r="L1519" s="24">
        <f>IFERROR(VLOOKUP(A1519,'Sales Order'!A:D,4,FALSE),"")</f>
        <v>39460</v>
      </c>
      <c r="M1519" s="24">
        <f>IFERROR(VLOOKUP(A1519,'Sales Order'!A:F,6,FALSE),"")</f>
        <v>39468</v>
      </c>
      <c r="N1519" t="str">
        <f>IFERROR(VLOOKUP(VLOOKUP(A1519,'Sales Order'!A:G,7,FALSE),Shipper!A:B,2,FALSE),"Not Specified")</f>
        <v>Shipper ETYNR</v>
      </c>
      <c r="O1519" t="str">
        <f>IFERROR(VLOOKUP(A1519,'Sales Order'!A:I,9,FALSE),"Not Specified")</f>
        <v>Ship to 81-C</v>
      </c>
      <c r="P1519" t="str">
        <f>IFERROR(VLOOKUP(A1519,'Sales Order'!A:N,14,FALSE),"Not Specified")</f>
        <v>Brazil</v>
      </c>
      <c r="Q1519" t="str">
        <f>VLOOKUP(VLOOKUP(B1519,Product!A:C,3,FALSE),Supplier!A:B,2,FALSE)</f>
        <v>Supplier LVJUA</v>
      </c>
      <c r="R1519" t="str">
        <f>VLOOKUP(VLOOKUP(B1519,Product!A:C,3,FALSE),Supplier!A:I,9,FALSE)</f>
        <v>France</v>
      </c>
      <c r="S1519" t="str">
        <f>IFERROR(IF(VLOOKUP(A1519,'Sales Order'!A:H,8,FALSE)&gt;100,"High Freight","Low Freight"),"Not Specified")</f>
        <v>Low Freight</v>
      </c>
      <c r="T1519">
        <f t="shared" si="47"/>
        <v>504</v>
      </c>
    </row>
    <row r="1520" spans="1:20">
      <c r="A1520" s="9">
        <v>10830</v>
      </c>
      <c r="B1520" s="6">
        <v>60</v>
      </c>
      <c r="C1520" s="6">
        <v>34</v>
      </c>
      <c r="D1520" s="6">
        <v>30</v>
      </c>
      <c r="E1520" s="18">
        <v>0</v>
      </c>
      <c r="F1520" s="6" t="str">
        <f>IFERROR(VLOOKUP(VLOOKUP(A1520,'Sales Order'!A:B,2,FALSE),Customer!A:C,3,FALSE),"Not Specified")</f>
        <v>Nagel, Jean-Philippe</v>
      </c>
      <c r="G1520" s="6" t="str">
        <f t="shared" si="46"/>
        <v>Nagel Jean-Philippe</v>
      </c>
      <c r="H1520" s="22" t="str">
        <f>IFERROR(VLOOKUP(VLOOKUP(A1520,'Sales Order'!A:C,3,FALSE),Employee!A:E,5,FALSE)&amp;" "&amp;VLOOKUP(VLOOKUP(A1520,'Sales Order'!A:C,3,FALSE),Employee!A:C,3,FALSE)&amp;" "&amp;VLOOKUP(VLOOKUP(A1520,'Sales Order'!A:C,3,FALSE),Employee!A:B,2,FALSE),"Not Specified")</f>
        <v>Mrs. Yael Peled</v>
      </c>
      <c r="I1520" t="str">
        <f>IFERROR(VLOOKUP(VLOOKUP(A1520,'Sales Order'!A:C,3,FALSE),Employee!A:J,10,FALSE),"Not Specified")</f>
        <v>WA</v>
      </c>
      <c r="J1520" t="str">
        <f>VLOOKUP(B1520,Product!A:B,2,FALSE)</f>
        <v>Product WHBYK</v>
      </c>
      <c r="K1520" t="str">
        <f>VLOOKUP(VLOOKUP(B1520,Product!A:D,4,FALSE),Category!A:B,2,FALSE)</f>
        <v>Dairy Product</v>
      </c>
      <c r="L1520" s="24">
        <f>IFERROR(VLOOKUP(A1520,'Sales Order'!A:D,4,FALSE),"")</f>
        <v>39460</v>
      </c>
      <c r="M1520" s="24">
        <f>IFERROR(VLOOKUP(A1520,'Sales Order'!A:F,6,FALSE),"")</f>
        <v>39468</v>
      </c>
      <c r="N1520" t="str">
        <f>IFERROR(VLOOKUP(VLOOKUP(A1520,'Sales Order'!A:G,7,FALSE),Shipper!A:B,2,FALSE),"Not Specified")</f>
        <v>Shipper ETYNR</v>
      </c>
      <c r="O1520" t="str">
        <f>IFERROR(VLOOKUP(A1520,'Sales Order'!A:I,9,FALSE),"Not Specified")</f>
        <v>Ship to 81-C</v>
      </c>
      <c r="P1520" t="str">
        <f>IFERROR(VLOOKUP(A1520,'Sales Order'!A:N,14,FALSE),"Not Specified")</f>
        <v>Brazil</v>
      </c>
      <c r="Q1520" t="str">
        <f>VLOOKUP(VLOOKUP(B1520,Product!A:C,3,FALSE),Supplier!A:B,2,FALSE)</f>
        <v>Supplier OAVQT</v>
      </c>
      <c r="R1520" t="str">
        <f>VLOOKUP(VLOOKUP(B1520,Product!A:C,3,FALSE),Supplier!A:I,9,FALSE)</f>
        <v>France</v>
      </c>
      <c r="S1520" t="str">
        <f>IFERROR(IF(VLOOKUP(A1520,'Sales Order'!A:H,8,FALSE)&gt;100,"High Freight","Low Freight"),"Not Specified")</f>
        <v>Low Freight</v>
      </c>
      <c r="T1520">
        <f t="shared" si="47"/>
        <v>1020</v>
      </c>
    </row>
    <row r="1521" spans="1:20">
      <c r="A1521" s="9">
        <v>10830</v>
      </c>
      <c r="B1521" s="6">
        <v>68</v>
      </c>
      <c r="C1521" s="6">
        <v>12.5</v>
      </c>
      <c r="D1521" s="6">
        <v>24</v>
      </c>
      <c r="E1521" s="18">
        <v>0</v>
      </c>
      <c r="F1521" s="6" t="str">
        <f>IFERROR(VLOOKUP(VLOOKUP(A1521,'Sales Order'!A:B,2,FALSE),Customer!A:C,3,FALSE),"Not Specified")</f>
        <v>Nagel, Jean-Philippe</v>
      </c>
      <c r="G1521" s="6" t="str">
        <f t="shared" si="46"/>
        <v>Nagel Jean-Philippe</v>
      </c>
      <c r="H1521" s="22" t="str">
        <f>IFERROR(VLOOKUP(VLOOKUP(A1521,'Sales Order'!A:C,3,FALSE),Employee!A:E,5,FALSE)&amp;" "&amp;VLOOKUP(VLOOKUP(A1521,'Sales Order'!A:C,3,FALSE),Employee!A:C,3,FALSE)&amp;" "&amp;VLOOKUP(VLOOKUP(A1521,'Sales Order'!A:C,3,FALSE),Employee!A:B,2,FALSE),"Not Specified")</f>
        <v>Mrs. Yael Peled</v>
      </c>
      <c r="I1521" t="str">
        <f>IFERROR(VLOOKUP(VLOOKUP(A1521,'Sales Order'!A:C,3,FALSE),Employee!A:J,10,FALSE),"Not Specified")</f>
        <v>WA</v>
      </c>
      <c r="J1521" t="str">
        <f>VLOOKUP(B1521,Product!A:B,2,FALSE)</f>
        <v>Product TBTBL</v>
      </c>
      <c r="K1521" t="str">
        <f>VLOOKUP(VLOOKUP(B1521,Product!A:D,4,FALSE),Category!A:B,2,FALSE)</f>
        <v>Confections</v>
      </c>
      <c r="L1521" s="24">
        <f>IFERROR(VLOOKUP(A1521,'Sales Order'!A:D,4,FALSE),"")</f>
        <v>39460</v>
      </c>
      <c r="M1521" s="24">
        <f>IFERROR(VLOOKUP(A1521,'Sales Order'!A:F,6,FALSE),"")</f>
        <v>39468</v>
      </c>
      <c r="N1521" t="str">
        <f>IFERROR(VLOOKUP(VLOOKUP(A1521,'Sales Order'!A:G,7,FALSE),Shipper!A:B,2,FALSE),"Not Specified")</f>
        <v>Shipper ETYNR</v>
      </c>
      <c r="O1521" t="str">
        <f>IFERROR(VLOOKUP(A1521,'Sales Order'!A:I,9,FALSE),"Not Specified")</f>
        <v>Ship to 81-C</v>
      </c>
      <c r="P1521" t="str">
        <f>IFERROR(VLOOKUP(A1521,'Sales Order'!A:N,14,FALSE),"Not Specified")</f>
        <v>Brazil</v>
      </c>
      <c r="Q1521" t="str">
        <f>VLOOKUP(VLOOKUP(B1521,Product!A:C,3,FALSE),Supplier!A:B,2,FALSE)</f>
        <v>Supplier BWGYE</v>
      </c>
      <c r="R1521" t="str">
        <f>VLOOKUP(VLOOKUP(B1521,Product!A:C,3,FALSE),Supplier!A:I,9,FALSE)</f>
        <v>UK</v>
      </c>
      <c r="S1521" t="str">
        <f>IFERROR(IF(VLOOKUP(A1521,'Sales Order'!A:H,8,FALSE)&gt;100,"High Freight","Low Freight"),"Not Specified")</f>
        <v>Low Freight</v>
      </c>
      <c r="T1521">
        <f t="shared" si="47"/>
        <v>300</v>
      </c>
    </row>
    <row r="1522" spans="1:20">
      <c r="A1522" s="9">
        <v>10831</v>
      </c>
      <c r="B1522" s="6">
        <v>19</v>
      </c>
      <c r="C1522" s="6">
        <v>9.1999999999999993</v>
      </c>
      <c r="D1522" s="6">
        <v>2</v>
      </c>
      <c r="E1522" s="18">
        <v>0</v>
      </c>
      <c r="F1522" s="6" t="str">
        <f>IFERROR(VLOOKUP(VLOOKUP(A1522,'Sales Order'!A:B,2,FALSE),Customer!A:C,3,FALSE),"Not Specified")</f>
        <v>Ginters, Kaspars</v>
      </c>
      <c r="G1522" s="6" t="str">
        <f t="shared" si="46"/>
        <v>Ginters Kaspars</v>
      </c>
      <c r="H1522" s="22" t="str">
        <f>IFERROR(VLOOKUP(VLOOKUP(A1522,'Sales Order'!A:C,3,FALSE),Employee!A:E,5,FALSE)&amp;" "&amp;VLOOKUP(VLOOKUP(A1522,'Sales Order'!A:C,3,FALSE),Employee!A:C,3,FALSE)&amp;" "&amp;VLOOKUP(VLOOKUP(A1522,'Sales Order'!A:C,3,FALSE),Employee!A:B,2,FALSE),"Not Specified")</f>
        <v>Ms. Judy Lew</v>
      </c>
      <c r="I1522" t="str">
        <f>IFERROR(VLOOKUP(VLOOKUP(A1522,'Sales Order'!A:C,3,FALSE),Employee!A:J,10,FALSE),"Not Specified")</f>
        <v>WA</v>
      </c>
      <c r="J1522" t="str">
        <f>VLOOKUP(B1522,Product!A:B,2,FALSE)</f>
        <v>Product XKXDO</v>
      </c>
      <c r="K1522" t="str">
        <f>VLOOKUP(VLOOKUP(B1522,Product!A:D,4,FALSE),Category!A:B,2,FALSE)</f>
        <v>Confections</v>
      </c>
      <c r="L1522" s="24">
        <f>IFERROR(VLOOKUP(A1522,'Sales Order'!A:D,4,FALSE),"")</f>
        <v>39461</v>
      </c>
      <c r="M1522" s="24">
        <f>IFERROR(VLOOKUP(A1522,'Sales Order'!A:F,6,FALSE),"")</f>
        <v>39470</v>
      </c>
      <c r="N1522" t="str">
        <f>IFERROR(VLOOKUP(VLOOKUP(A1522,'Sales Order'!A:G,7,FALSE),Shipper!A:B,2,FALSE),"Not Specified")</f>
        <v>Shipper ETYNR</v>
      </c>
      <c r="O1522" t="str">
        <f>IFERROR(VLOOKUP(A1522,'Sales Order'!A:I,9,FALSE),"Not Specified")</f>
        <v>Ship to 70-B</v>
      </c>
      <c r="P1522" t="str">
        <f>IFERROR(VLOOKUP(A1522,'Sales Order'!A:N,14,FALSE),"Not Specified")</f>
        <v>Norway</v>
      </c>
      <c r="Q1522" t="str">
        <f>VLOOKUP(VLOOKUP(B1522,Product!A:C,3,FALSE),Supplier!A:B,2,FALSE)</f>
        <v>Supplier BWGYE</v>
      </c>
      <c r="R1522" t="str">
        <f>VLOOKUP(VLOOKUP(B1522,Product!A:C,3,FALSE),Supplier!A:I,9,FALSE)</f>
        <v>UK</v>
      </c>
      <c r="S1522" t="str">
        <f>IFERROR(IF(VLOOKUP(A1522,'Sales Order'!A:H,8,FALSE)&gt;100,"High Freight","Low Freight"),"Not Specified")</f>
        <v>Low Freight</v>
      </c>
      <c r="T1522">
        <f t="shared" si="47"/>
        <v>18.399999999999999</v>
      </c>
    </row>
    <row r="1523" spans="1:20">
      <c r="A1523" s="9">
        <v>10831</v>
      </c>
      <c r="B1523" s="6">
        <v>35</v>
      </c>
      <c r="C1523" s="6">
        <v>18</v>
      </c>
      <c r="D1523" s="6">
        <v>8</v>
      </c>
      <c r="E1523" s="18">
        <v>0</v>
      </c>
      <c r="F1523" s="6" t="str">
        <f>IFERROR(VLOOKUP(VLOOKUP(A1523,'Sales Order'!A:B,2,FALSE),Customer!A:C,3,FALSE),"Not Specified")</f>
        <v>Ginters, Kaspars</v>
      </c>
      <c r="G1523" s="6" t="str">
        <f t="shared" si="46"/>
        <v>Ginters Kaspars</v>
      </c>
      <c r="H1523" s="22" t="str">
        <f>IFERROR(VLOOKUP(VLOOKUP(A1523,'Sales Order'!A:C,3,FALSE),Employee!A:E,5,FALSE)&amp;" "&amp;VLOOKUP(VLOOKUP(A1523,'Sales Order'!A:C,3,FALSE),Employee!A:C,3,FALSE)&amp;" "&amp;VLOOKUP(VLOOKUP(A1523,'Sales Order'!A:C,3,FALSE),Employee!A:B,2,FALSE),"Not Specified")</f>
        <v>Ms. Judy Lew</v>
      </c>
      <c r="I1523" t="str">
        <f>IFERROR(VLOOKUP(VLOOKUP(A1523,'Sales Order'!A:C,3,FALSE),Employee!A:J,10,FALSE),"Not Specified")</f>
        <v>WA</v>
      </c>
      <c r="J1523" t="str">
        <f>VLOOKUP(B1523,Product!A:B,2,FALSE)</f>
        <v>Product NEVTJ</v>
      </c>
      <c r="K1523" t="str">
        <f>VLOOKUP(VLOOKUP(B1523,Product!A:D,4,FALSE),Category!A:B,2,FALSE)</f>
        <v>Beverages</v>
      </c>
      <c r="L1523" s="24">
        <f>IFERROR(VLOOKUP(A1523,'Sales Order'!A:D,4,FALSE),"")</f>
        <v>39461</v>
      </c>
      <c r="M1523" s="24">
        <f>IFERROR(VLOOKUP(A1523,'Sales Order'!A:F,6,FALSE),"")</f>
        <v>39470</v>
      </c>
      <c r="N1523" t="str">
        <f>IFERROR(VLOOKUP(VLOOKUP(A1523,'Sales Order'!A:G,7,FALSE),Shipper!A:B,2,FALSE),"Not Specified")</f>
        <v>Shipper ETYNR</v>
      </c>
      <c r="O1523" t="str">
        <f>IFERROR(VLOOKUP(A1523,'Sales Order'!A:I,9,FALSE),"Not Specified")</f>
        <v>Ship to 70-B</v>
      </c>
      <c r="P1523" t="str">
        <f>IFERROR(VLOOKUP(A1523,'Sales Order'!A:N,14,FALSE),"Not Specified")</f>
        <v>Norway</v>
      </c>
      <c r="Q1523" t="str">
        <f>VLOOKUP(VLOOKUP(B1523,Product!A:C,3,FALSE),Supplier!A:B,2,FALSE)</f>
        <v>Supplier UHZRG</v>
      </c>
      <c r="R1523" t="str">
        <f>VLOOKUP(VLOOKUP(B1523,Product!A:C,3,FALSE),Supplier!A:I,9,FALSE)</f>
        <v>USA</v>
      </c>
      <c r="S1523" t="str">
        <f>IFERROR(IF(VLOOKUP(A1523,'Sales Order'!A:H,8,FALSE)&gt;100,"High Freight","Low Freight"),"Not Specified")</f>
        <v>Low Freight</v>
      </c>
      <c r="T1523">
        <f t="shared" si="47"/>
        <v>144</v>
      </c>
    </row>
    <row r="1524" spans="1:20">
      <c r="A1524" s="9">
        <v>10831</v>
      </c>
      <c r="B1524" s="6">
        <v>38</v>
      </c>
      <c r="C1524" s="6">
        <v>263.5</v>
      </c>
      <c r="D1524" s="6">
        <v>8</v>
      </c>
      <c r="E1524" s="18">
        <v>0</v>
      </c>
      <c r="F1524" s="6" t="str">
        <f>IFERROR(VLOOKUP(VLOOKUP(A1524,'Sales Order'!A:B,2,FALSE),Customer!A:C,3,FALSE),"Not Specified")</f>
        <v>Ginters, Kaspars</v>
      </c>
      <c r="G1524" s="6" t="str">
        <f t="shared" si="46"/>
        <v>Ginters Kaspars</v>
      </c>
      <c r="H1524" s="22" t="str">
        <f>IFERROR(VLOOKUP(VLOOKUP(A1524,'Sales Order'!A:C,3,FALSE),Employee!A:E,5,FALSE)&amp;" "&amp;VLOOKUP(VLOOKUP(A1524,'Sales Order'!A:C,3,FALSE),Employee!A:C,3,FALSE)&amp;" "&amp;VLOOKUP(VLOOKUP(A1524,'Sales Order'!A:C,3,FALSE),Employee!A:B,2,FALSE),"Not Specified")</f>
        <v>Ms. Judy Lew</v>
      </c>
      <c r="I1524" t="str">
        <f>IFERROR(VLOOKUP(VLOOKUP(A1524,'Sales Order'!A:C,3,FALSE),Employee!A:J,10,FALSE),"Not Specified")</f>
        <v>WA</v>
      </c>
      <c r="J1524" t="str">
        <f>VLOOKUP(B1524,Product!A:B,2,FALSE)</f>
        <v>Product QDOMO</v>
      </c>
      <c r="K1524" t="str">
        <f>VLOOKUP(VLOOKUP(B1524,Product!A:D,4,FALSE),Category!A:B,2,FALSE)</f>
        <v>Beverages</v>
      </c>
      <c r="L1524" s="24">
        <f>IFERROR(VLOOKUP(A1524,'Sales Order'!A:D,4,FALSE),"")</f>
        <v>39461</v>
      </c>
      <c r="M1524" s="24">
        <f>IFERROR(VLOOKUP(A1524,'Sales Order'!A:F,6,FALSE),"")</f>
        <v>39470</v>
      </c>
      <c r="N1524" t="str">
        <f>IFERROR(VLOOKUP(VLOOKUP(A1524,'Sales Order'!A:G,7,FALSE),Shipper!A:B,2,FALSE),"Not Specified")</f>
        <v>Shipper ETYNR</v>
      </c>
      <c r="O1524" t="str">
        <f>IFERROR(VLOOKUP(A1524,'Sales Order'!A:I,9,FALSE),"Not Specified")</f>
        <v>Ship to 70-B</v>
      </c>
      <c r="P1524" t="str">
        <f>IFERROR(VLOOKUP(A1524,'Sales Order'!A:N,14,FALSE),"Not Specified")</f>
        <v>Norway</v>
      </c>
      <c r="Q1524" t="str">
        <f>VLOOKUP(VLOOKUP(B1524,Product!A:C,3,FALSE),Supplier!A:B,2,FALSE)</f>
        <v>Supplier LVJUA</v>
      </c>
      <c r="R1524" t="str">
        <f>VLOOKUP(VLOOKUP(B1524,Product!A:C,3,FALSE),Supplier!A:I,9,FALSE)</f>
        <v>France</v>
      </c>
      <c r="S1524" t="str">
        <f>IFERROR(IF(VLOOKUP(A1524,'Sales Order'!A:H,8,FALSE)&gt;100,"High Freight","Low Freight"),"Not Specified")</f>
        <v>Low Freight</v>
      </c>
      <c r="T1524">
        <f t="shared" si="47"/>
        <v>2108</v>
      </c>
    </row>
    <row r="1525" spans="1:20">
      <c r="A1525" s="9">
        <v>10831</v>
      </c>
      <c r="B1525" s="6">
        <v>43</v>
      </c>
      <c r="C1525" s="6">
        <v>46</v>
      </c>
      <c r="D1525" s="6">
        <v>9</v>
      </c>
      <c r="E1525" s="18">
        <v>0</v>
      </c>
      <c r="F1525" s="6" t="str">
        <f>IFERROR(VLOOKUP(VLOOKUP(A1525,'Sales Order'!A:B,2,FALSE),Customer!A:C,3,FALSE),"Not Specified")</f>
        <v>Ginters, Kaspars</v>
      </c>
      <c r="G1525" s="6" t="str">
        <f t="shared" si="46"/>
        <v>Ginters Kaspars</v>
      </c>
      <c r="H1525" s="22" t="str">
        <f>IFERROR(VLOOKUP(VLOOKUP(A1525,'Sales Order'!A:C,3,FALSE),Employee!A:E,5,FALSE)&amp;" "&amp;VLOOKUP(VLOOKUP(A1525,'Sales Order'!A:C,3,FALSE),Employee!A:C,3,FALSE)&amp;" "&amp;VLOOKUP(VLOOKUP(A1525,'Sales Order'!A:C,3,FALSE),Employee!A:B,2,FALSE),"Not Specified")</f>
        <v>Ms. Judy Lew</v>
      </c>
      <c r="I1525" t="str">
        <f>IFERROR(VLOOKUP(VLOOKUP(A1525,'Sales Order'!A:C,3,FALSE),Employee!A:J,10,FALSE),"Not Specified")</f>
        <v>WA</v>
      </c>
      <c r="J1525" t="str">
        <f>VLOOKUP(B1525,Product!A:B,2,FALSE)</f>
        <v>Product ZZZHR</v>
      </c>
      <c r="K1525" t="str">
        <f>VLOOKUP(VLOOKUP(B1525,Product!A:D,4,FALSE),Category!A:B,2,FALSE)</f>
        <v>Beverages</v>
      </c>
      <c r="L1525" s="24">
        <f>IFERROR(VLOOKUP(A1525,'Sales Order'!A:D,4,FALSE),"")</f>
        <v>39461</v>
      </c>
      <c r="M1525" s="24">
        <f>IFERROR(VLOOKUP(A1525,'Sales Order'!A:F,6,FALSE),"")</f>
        <v>39470</v>
      </c>
      <c r="N1525" t="str">
        <f>IFERROR(VLOOKUP(VLOOKUP(A1525,'Sales Order'!A:G,7,FALSE),Shipper!A:B,2,FALSE),"Not Specified")</f>
        <v>Shipper ETYNR</v>
      </c>
      <c r="O1525" t="str">
        <f>IFERROR(VLOOKUP(A1525,'Sales Order'!A:I,9,FALSE),"Not Specified")</f>
        <v>Ship to 70-B</v>
      </c>
      <c r="P1525" t="str">
        <f>IFERROR(VLOOKUP(A1525,'Sales Order'!A:N,14,FALSE),"Not Specified")</f>
        <v>Norway</v>
      </c>
      <c r="Q1525" t="str">
        <f>VLOOKUP(VLOOKUP(B1525,Product!A:C,3,FALSE),Supplier!A:B,2,FALSE)</f>
        <v>Supplier CIYNM</v>
      </c>
      <c r="R1525" t="str">
        <f>VLOOKUP(VLOOKUP(B1525,Product!A:C,3,FALSE),Supplier!A:I,9,FALSE)</f>
        <v>Singapore</v>
      </c>
      <c r="S1525" t="str">
        <f>IFERROR(IF(VLOOKUP(A1525,'Sales Order'!A:H,8,FALSE)&gt;100,"High Freight","Low Freight"),"Not Specified")</f>
        <v>Low Freight</v>
      </c>
      <c r="T1525">
        <f t="shared" si="47"/>
        <v>414</v>
      </c>
    </row>
    <row r="1526" spans="1:20">
      <c r="A1526" s="9">
        <v>10832</v>
      </c>
      <c r="B1526" s="6">
        <v>13</v>
      </c>
      <c r="C1526" s="6">
        <v>6</v>
      </c>
      <c r="D1526" s="6">
        <v>3</v>
      </c>
      <c r="E1526" s="18">
        <v>0.2</v>
      </c>
      <c r="F1526" s="6" t="str">
        <f>IFERROR(VLOOKUP(VLOOKUP(A1526,'Sales Order'!A:B,2,FALSE),Customer!A:C,3,FALSE),"Not Specified")</f>
        <v>Litton, Tim</v>
      </c>
      <c r="G1526" s="6" t="str">
        <f t="shared" si="46"/>
        <v>Litton Tim</v>
      </c>
      <c r="H1526" s="22" t="str">
        <f>IFERROR(VLOOKUP(VLOOKUP(A1526,'Sales Order'!A:C,3,FALSE),Employee!A:E,5,FALSE)&amp;" "&amp;VLOOKUP(VLOOKUP(A1526,'Sales Order'!A:C,3,FALSE),Employee!A:C,3,FALSE)&amp;" "&amp;VLOOKUP(VLOOKUP(A1526,'Sales Order'!A:C,3,FALSE),Employee!A:B,2,FALSE),"Not Specified")</f>
        <v>Dr. Don Funk</v>
      </c>
      <c r="I1526" t="str">
        <f>IFERROR(VLOOKUP(VLOOKUP(A1526,'Sales Order'!A:C,3,FALSE),Employee!A:J,10,FALSE),"Not Specified")</f>
        <v>WA</v>
      </c>
      <c r="J1526" t="str">
        <f>VLOOKUP(B1526,Product!A:B,2,FALSE)</f>
        <v>Product POXFU</v>
      </c>
      <c r="K1526" t="str">
        <f>VLOOKUP(VLOOKUP(B1526,Product!A:D,4,FALSE),Category!A:B,2,FALSE)</f>
        <v>Seafood</v>
      </c>
      <c r="L1526" s="24">
        <f>IFERROR(VLOOKUP(A1526,'Sales Order'!A:D,4,FALSE),"")</f>
        <v>39461</v>
      </c>
      <c r="M1526" s="24">
        <f>IFERROR(VLOOKUP(A1526,'Sales Order'!A:F,6,FALSE),"")</f>
        <v>39466</v>
      </c>
      <c r="N1526" t="str">
        <f>IFERROR(VLOOKUP(VLOOKUP(A1526,'Sales Order'!A:G,7,FALSE),Shipper!A:B,2,FALSE),"Not Specified")</f>
        <v>Shipper ETYNR</v>
      </c>
      <c r="O1526" t="str">
        <f>IFERROR(VLOOKUP(A1526,'Sales Order'!A:I,9,FALSE),"Not Specified")</f>
        <v>Ship to 41-C</v>
      </c>
      <c r="P1526" t="str">
        <f>IFERROR(VLOOKUP(A1526,'Sales Order'!A:N,14,FALSE),"Not Specified")</f>
        <v>France</v>
      </c>
      <c r="Q1526" t="str">
        <f>VLOOKUP(VLOOKUP(B1526,Product!A:C,3,FALSE),Supplier!A:B,2,FALSE)</f>
        <v>Supplier QWUSF</v>
      </c>
      <c r="R1526" t="str">
        <f>VLOOKUP(VLOOKUP(B1526,Product!A:C,3,FALSE),Supplier!A:I,9,FALSE)</f>
        <v>Japan</v>
      </c>
      <c r="S1526" t="str">
        <f>IFERROR(IF(VLOOKUP(A1526,'Sales Order'!A:H,8,FALSE)&gt;100,"High Freight","Low Freight"),"Not Specified")</f>
        <v>Low Freight</v>
      </c>
      <c r="T1526">
        <f t="shared" si="47"/>
        <v>14.4</v>
      </c>
    </row>
    <row r="1527" spans="1:20">
      <c r="A1527" s="9">
        <v>10832</v>
      </c>
      <c r="B1527" s="6">
        <v>25</v>
      </c>
      <c r="C1527" s="6">
        <v>14</v>
      </c>
      <c r="D1527" s="6">
        <v>10</v>
      </c>
      <c r="E1527" s="18">
        <v>0.2</v>
      </c>
      <c r="F1527" s="6" t="str">
        <f>IFERROR(VLOOKUP(VLOOKUP(A1527,'Sales Order'!A:B,2,FALSE),Customer!A:C,3,FALSE),"Not Specified")</f>
        <v>Litton, Tim</v>
      </c>
      <c r="G1527" s="6" t="str">
        <f t="shared" si="46"/>
        <v>Litton Tim</v>
      </c>
      <c r="H1527" s="22" t="str">
        <f>IFERROR(VLOOKUP(VLOOKUP(A1527,'Sales Order'!A:C,3,FALSE),Employee!A:E,5,FALSE)&amp;" "&amp;VLOOKUP(VLOOKUP(A1527,'Sales Order'!A:C,3,FALSE),Employee!A:C,3,FALSE)&amp;" "&amp;VLOOKUP(VLOOKUP(A1527,'Sales Order'!A:C,3,FALSE),Employee!A:B,2,FALSE),"Not Specified")</f>
        <v>Dr. Don Funk</v>
      </c>
      <c r="I1527" t="str">
        <f>IFERROR(VLOOKUP(VLOOKUP(A1527,'Sales Order'!A:C,3,FALSE),Employee!A:J,10,FALSE),"Not Specified")</f>
        <v>WA</v>
      </c>
      <c r="J1527" t="str">
        <f>VLOOKUP(B1527,Product!A:B,2,FALSE)</f>
        <v>Product LYLNI</v>
      </c>
      <c r="K1527" t="str">
        <f>VLOOKUP(VLOOKUP(B1527,Product!A:D,4,FALSE),Category!A:B,2,FALSE)</f>
        <v>Confections</v>
      </c>
      <c r="L1527" s="24">
        <f>IFERROR(VLOOKUP(A1527,'Sales Order'!A:D,4,FALSE),"")</f>
        <v>39461</v>
      </c>
      <c r="M1527" s="24">
        <f>IFERROR(VLOOKUP(A1527,'Sales Order'!A:F,6,FALSE),"")</f>
        <v>39466</v>
      </c>
      <c r="N1527" t="str">
        <f>IFERROR(VLOOKUP(VLOOKUP(A1527,'Sales Order'!A:G,7,FALSE),Shipper!A:B,2,FALSE),"Not Specified")</f>
        <v>Shipper ETYNR</v>
      </c>
      <c r="O1527" t="str">
        <f>IFERROR(VLOOKUP(A1527,'Sales Order'!A:I,9,FALSE),"Not Specified")</f>
        <v>Ship to 41-C</v>
      </c>
      <c r="P1527" t="str">
        <f>IFERROR(VLOOKUP(A1527,'Sales Order'!A:N,14,FALSE),"Not Specified")</f>
        <v>France</v>
      </c>
      <c r="Q1527" t="str">
        <f>VLOOKUP(VLOOKUP(B1527,Product!A:C,3,FALSE),Supplier!A:B,2,FALSE)</f>
        <v>Supplier ZPYVS</v>
      </c>
      <c r="R1527" t="str">
        <f>VLOOKUP(VLOOKUP(B1527,Product!A:C,3,FALSE),Supplier!A:I,9,FALSE)</f>
        <v>Germany</v>
      </c>
      <c r="S1527" t="str">
        <f>IFERROR(IF(VLOOKUP(A1527,'Sales Order'!A:H,8,FALSE)&gt;100,"High Freight","Low Freight"),"Not Specified")</f>
        <v>Low Freight</v>
      </c>
      <c r="T1527">
        <f t="shared" si="47"/>
        <v>112</v>
      </c>
    </row>
    <row r="1528" spans="1:20">
      <c r="A1528" s="9">
        <v>10832</v>
      </c>
      <c r="B1528" s="6">
        <v>44</v>
      </c>
      <c r="C1528" s="6">
        <v>19.45</v>
      </c>
      <c r="D1528" s="6">
        <v>16</v>
      </c>
      <c r="E1528" s="18">
        <v>0.2</v>
      </c>
      <c r="F1528" s="6" t="str">
        <f>IFERROR(VLOOKUP(VLOOKUP(A1528,'Sales Order'!A:B,2,FALSE),Customer!A:C,3,FALSE),"Not Specified")</f>
        <v>Litton, Tim</v>
      </c>
      <c r="G1528" s="6" t="str">
        <f t="shared" si="46"/>
        <v>Litton Tim</v>
      </c>
      <c r="H1528" s="22" t="str">
        <f>IFERROR(VLOOKUP(VLOOKUP(A1528,'Sales Order'!A:C,3,FALSE),Employee!A:E,5,FALSE)&amp;" "&amp;VLOOKUP(VLOOKUP(A1528,'Sales Order'!A:C,3,FALSE),Employee!A:C,3,FALSE)&amp;" "&amp;VLOOKUP(VLOOKUP(A1528,'Sales Order'!A:C,3,FALSE),Employee!A:B,2,FALSE),"Not Specified")</f>
        <v>Dr. Don Funk</v>
      </c>
      <c r="I1528" t="str">
        <f>IFERROR(VLOOKUP(VLOOKUP(A1528,'Sales Order'!A:C,3,FALSE),Employee!A:J,10,FALSE),"Not Specified")</f>
        <v>WA</v>
      </c>
      <c r="J1528" t="str">
        <f>VLOOKUP(B1528,Product!A:B,2,FALSE)</f>
        <v>Product VJIEO</v>
      </c>
      <c r="K1528" t="str">
        <f>VLOOKUP(VLOOKUP(B1528,Product!A:D,4,FALSE),Category!A:B,2,FALSE)</f>
        <v>Condiments</v>
      </c>
      <c r="L1528" s="24">
        <f>IFERROR(VLOOKUP(A1528,'Sales Order'!A:D,4,FALSE),"")</f>
        <v>39461</v>
      </c>
      <c r="M1528" s="24">
        <f>IFERROR(VLOOKUP(A1528,'Sales Order'!A:F,6,FALSE),"")</f>
        <v>39466</v>
      </c>
      <c r="N1528" t="str">
        <f>IFERROR(VLOOKUP(VLOOKUP(A1528,'Sales Order'!A:G,7,FALSE),Shipper!A:B,2,FALSE),"Not Specified")</f>
        <v>Shipper ETYNR</v>
      </c>
      <c r="O1528" t="str">
        <f>IFERROR(VLOOKUP(A1528,'Sales Order'!A:I,9,FALSE),"Not Specified")</f>
        <v>Ship to 41-C</v>
      </c>
      <c r="P1528" t="str">
        <f>IFERROR(VLOOKUP(A1528,'Sales Order'!A:N,14,FALSE),"Not Specified")</f>
        <v>France</v>
      </c>
      <c r="Q1528" t="str">
        <f>VLOOKUP(VLOOKUP(B1528,Product!A:C,3,FALSE),Supplier!A:B,2,FALSE)</f>
        <v>Supplier CIYNM</v>
      </c>
      <c r="R1528" t="str">
        <f>VLOOKUP(VLOOKUP(B1528,Product!A:C,3,FALSE),Supplier!A:I,9,FALSE)</f>
        <v>Singapore</v>
      </c>
      <c r="S1528" t="str">
        <f>IFERROR(IF(VLOOKUP(A1528,'Sales Order'!A:H,8,FALSE)&gt;100,"High Freight","Low Freight"),"Not Specified")</f>
        <v>Low Freight</v>
      </c>
      <c r="T1528">
        <f t="shared" si="47"/>
        <v>248.96</v>
      </c>
    </row>
    <row r="1529" spans="1:20">
      <c r="A1529" s="9">
        <v>10832</v>
      </c>
      <c r="B1529" s="6">
        <v>64</v>
      </c>
      <c r="C1529" s="6">
        <v>33.25</v>
      </c>
      <c r="D1529" s="6">
        <v>3</v>
      </c>
      <c r="E1529" s="18">
        <v>0</v>
      </c>
      <c r="F1529" s="6" t="str">
        <f>IFERROR(VLOOKUP(VLOOKUP(A1529,'Sales Order'!A:B,2,FALSE),Customer!A:C,3,FALSE),"Not Specified")</f>
        <v>Litton, Tim</v>
      </c>
      <c r="G1529" s="6" t="str">
        <f t="shared" si="46"/>
        <v>Litton Tim</v>
      </c>
      <c r="H1529" s="22" t="str">
        <f>IFERROR(VLOOKUP(VLOOKUP(A1529,'Sales Order'!A:C,3,FALSE),Employee!A:E,5,FALSE)&amp;" "&amp;VLOOKUP(VLOOKUP(A1529,'Sales Order'!A:C,3,FALSE),Employee!A:C,3,FALSE)&amp;" "&amp;VLOOKUP(VLOOKUP(A1529,'Sales Order'!A:C,3,FALSE),Employee!A:B,2,FALSE),"Not Specified")</f>
        <v>Dr. Don Funk</v>
      </c>
      <c r="I1529" t="str">
        <f>IFERROR(VLOOKUP(VLOOKUP(A1529,'Sales Order'!A:C,3,FALSE),Employee!A:J,10,FALSE),"Not Specified")</f>
        <v>WA</v>
      </c>
      <c r="J1529" t="str">
        <f>VLOOKUP(B1529,Product!A:B,2,FALSE)</f>
        <v>Product HCQDE</v>
      </c>
      <c r="K1529" t="str">
        <f>VLOOKUP(VLOOKUP(B1529,Product!A:D,4,FALSE),Category!A:B,2,FALSE)</f>
        <v>Grains/Cereals</v>
      </c>
      <c r="L1529" s="24">
        <f>IFERROR(VLOOKUP(A1529,'Sales Order'!A:D,4,FALSE),"")</f>
        <v>39461</v>
      </c>
      <c r="M1529" s="24">
        <f>IFERROR(VLOOKUP(A1529,'Sales Order'!A:F,6,FALSE),"")</f>
        <v>39466</v>
      </c>
      <c r="N1529" t="str">
        <f>IFERROR(VLOOKUP(VLOOKUP(A1529,'Sales Order'!A:G,7,FALSE),Shipper!A:B,2,FALSE),"Not Specified")</f>
        <v>Shipper ETYNR</v>
      </c>
      <c r="O1529" t="str">
        <f>IFERROR(VLOOKUP(A1529,'Sales Order'!A:I,9,FALSE),"Not Specified")</f>
        <v>Ship to 41-C</v>
      </c>
      <c r="P1529" t="str">
        <f>IFERROR(VLOOKUP(A1529,'Sales Order'!A:N,14,FALSE),"Not Specified")</f>
        <v>France</v>
      </c>
      <c r="Q1529" t="str">
        <f>VLOOKUP(VLOOKUP(B1529,Product!A:C,3,FALSE),Supplier!A:B,2,FALSE)</f>
        <v>Supplier SVIYA</v>
      </c>
      <c r="R1529" t="str">
        <f>VLOOKUP(VLOOKUP(B1529,Product!A:C,3,FALSE),Supplier!A:I,9,FALSE)</f>
        <v>Germany</v>
      </c>
      <c r="S1529" t="str">
        <f>IFERROR(IF(VLOOKUP(A1529,'Sales Order'!A:H,8,FALSE)&gt;100,"High Freight","Low Freight"),"Not Specified")</f>
        <v>Low Freight</v>
      </c>
      <c r="T1529">
        <f t="shared" si="47"/>
        <v>99.75</v>
      </c>
    </row>
    <row r="1530" spans="1:20">
      <c r="A1530" s="9">
        <v>10833</v>
      </c>
      <c r="B1530" s="6">
        <v>7</v>
      </c>
      <c r="C1530" s="6">
        <v>30</v>
      </c>
      <c r="D1530" s="6">
        <v>20</v>
      </c>
      <c r="E1530" s="18">
        <v>0.1</v>
      </c>
      <c r="F1530" s="6" t="str">
        <f>IFERROR(VLOOKUP(VLOOKUP(A1530,'Sales Order'!A:B,2,FALSE),Customer!A:C,3,FALSE),"Not Specified")</f>
        <v>Marinova, Nadejda</v>
      </c>
      <c r="G1530" s="6" t="str">
        <f t="shared" si="46"/>
        <v>Marinova Nadejda</v>
      </c>
      <c r="H1530" s="22" t="str">
        <f>IFERROR(VLOOKUP(VLOOKUP(A1530,'Sales Order'!A:C,3,FALSE),Employee!A:E,5,FALSE)&amp;" "&amp;VLOOKUP(VLOOKUP(A1530,'Sales Order'!A:C,3,FALSE),Employee!A:C,3,FALSE)&amp;" "&amp;VLOOKUP(VLOOKUP(A1530,'Sales Order'!A:C,3,FALSE),Employee!A:B,2,FALSE),"Not Specified")</f>
        <v>Mr. Paul Suurs</v>
      </c>
      <c r="I1530">
        <f>IFERROR(VLOOKUP(VLOOKUP(A1530,'Sales Order'!A:C,3,FALSE),Employee!A:J,10,FALSE),"Not Specified")</f>
        <v>0</v>
      </c>
      <c r="J1530" t="str">
        <f>VLOOKUP(B1530,Product!A:B,2,FALSE)</f>
        <v>Product HMLNI</v>
      </c>
      <c r="K1530" t="str">
        <f>VLOOKUP(VLOOKUP(B1530,Product!A:D,4,FALSE),Category!A:B,2,FALSE)</f>
        <v>Produce</v>
      </c>
      <c r="L1530" s="24">
        <f>IFERROR(VLOOKUP(A1530,'Sales Order'!A:D,4,FALSE),"")</f>
        <v>39462</v>
      </c>
      <c r="M1530" s="24">
        <f>IFERROR(VLOOKUP(A1530,'Sales Order'!A:F,6,FALSE),"")</f>
        <v>39470</v>
      </c>
      <c r="N1530" t="str">
        <f>IFERROR(VLOOKUP(VLOOKUP(A1530,'Sales Order'!A:G,7,FALSE),Shipper!A:B,2,FALSE),"Not Specified")</f>
        <v>Shipper ETYNR</v>
      </c>
      <c r="O1530" t="str">
        <f>IFERROR(VLOOKUP(A1530,'Sales Order'!A:I,9,FALSE),"Not Specified")</f>
        <v>Ship to 56-B</v>
      </c>
      <c r="P1530" t="str">
        <f>IFERROR(VLOOKUP(A1530,'Sales Order'!A:N,14,FALSE),"Not Specified")</f>
        <v>Germany</v>
      </c>
      <c r="Q1530" t="str">
        <f>VLOOKUP(VLOOKUP(B1530,Product!A:C,3,FALSE),Supplier!A:B,2,FALSE)</f>
        <v>Supplier STUAZ</v>
      </c>
      <c r="R1530" t="str">
        <f>VLOOKUP(VLOOKUP(B1530,Product!A:C,3,FALSE),Supplier!A:I,9,FALSE)</f>
        <v>USA</v>
      </c>
      <c r="S1530" t="str">
        <f>IFERROR(IF(VLOOKUP(A1530,'Sales Order'!A:H,8,FALSE)&gt;100,"High Freight","Low Freight"),"Not Specified")</f>
        <v>Low Freight</v>
      </c>
      <c r="T1530">
        <f t="shared" si="47"/>
        <v>540</v>
      </c>
    </row>
    <row r="1531" spans="1:20">
      <c r="A1531" s="9">
        <v>10833</v>
      </c>
      <c r="B1531" s="6">
        <v>31</v>
      </c>
      <c r="C1531" s="6">
        <v>12.5</v>
      </c>
      <c r="D1531" s="6">
        <v>9</v>
      </c>
      <c r="E1531" s="18">
        <v>0.1</v>
      </c>
      <c r="F1531" s="6" t="str">
        <f>IFERROR(VLOOKUP(VLOOKUP(A1531,'Sales Order'!A:B,2,FALSE),Customer!A:C,3,FALSE),"Not Specified")</f>
        <v>Marinova, Nadejda</v>
      </c>
      <c r="G1531" s="6" t="str">
        <f t="shared" si="46"/>
        <v>Marinova Nadejda</v>
      </c>
      <c r="H1531" s="22" t="str">
        <f>IFERROR(VLOOKUP(VLOOKUP(A1531,'Sales Order'!A:C,3,FALSE),Employee!A:E,5,FALSE)&amp;" "&amp;VLOOKUP(VLOOKUP(A1531,'Sales Order'!A:C,3,FALSE),Employee!A:C,3,FALSE)&amp;" "&amp;VLOOKUP(VLOOKUP(A1531,'Sales Order'!A:C,3,FALSE),Employee!A:B,2,FALSE),"Not Specified")</f>
        <v>Mr. Paul Suurs</v>
      </c>
      <c r="I1531">
        <f>IFERROR(VLOOKUP(VLOOKUP(A1531,'Sales Order'!A:C,3,FALSE),Employee!A:J,10,FALSE),"Not Specified")</f>
        <v>0</v>
      </c>
      <c r="J1531" t="str">
        <f>VLOOKUP(B1531,Product!A:B,2,FALSE)</f>
        <v>Product XWOXC</v>
      </c>
      <c r="K1531" t="str">
        <f>VLOOKUP(VLOOKUP(B1531,Product!A:D,4,FALSE),Category!A:B,2,FALSE)</f>
        <v>Dairy Product</v>
      </c>
      <c r="L1531" s="24">
        <f>IFERROR(VLOOKUP(A1531,'Sales Order'!A:D,4,FALSE),"")</f>
        <v>39462</v>
      </c>
      <c r="M1531" s="24">
        <f>IFERROR(VLOOKUP(A1531,'Sales Order'!A:F,6,FALSE),"")</f>
        <v>39470</v>
      </c>
      <c r="N1531" t="str">
        <f>IFERROR(VLOOKUP(VLOOKUP(A1531,'Sales Order'!A:G,7,FALSE),Shipper!A:B,2,FALSE),"Not Specified")</f>
        <v>Shipper ETYNR</v>
      </c>
      <c r="O1531" t="str">
        <f>IFERROR(VLOOKUP(A1531,'Sales Order'!A:I,9,FALSE),"Not Specified")</f>
        <v>Ship to 56-B</v>
      </c>
      <c r="P1531" t="str">
        <f>IFERROR(VLOOKUP(A1531,'Sales Order'!A:N,14,FALSE),"Not Specified")</f>
        <v>Germany</v>
      </c>
      <c r="Q1531" t="str">
        <f>VLOOKUP(VLOOKUP(B1531,Product!A:C,3,FALSE),Supplier!A:B,2,FALSE)</f>
        <v>Supplier KEREV</v>
      </c>
      <c r="R1531" t="str">
        <f>VLOOKUP(VLOOKUP(B1531,Product!A:C,3,FALSE),Supplier!A:I,9,FALSE)</f>
        <v>Italy</v>
      </c>
      <c r="S1531" t="str">
        <f>IFERROR(IF(VLOOKUP(A1531,'Sales Order'!A:H,8,FALSE)&gt;100,"High Freight","Low Freight"),"Not Specified")</f>
        <v>Low Freight</v>
      </c>
      <c r="T1531">
        <f t="shared" si="47"/>
        <v>101.25</v>
      </c>
    </row>
    <row r="1532" spans="1:20">
      <c r="A1532" s="9">
        <v>10833</v>
      </c>
      <c r="B1532" s="6">
        <v>53</v>
      </c>
      <c r="C1532" s="6">
        <v>32.799999999999997</v>
      </c>
      <c r="D1532" s="6">
        <v>9</v>
      </c>
      <c r="E1532" s="18">
        <v>0.1</v>
      </c>
      <c r="F1532" s="6" t="str">
        <f>IFERROR(VLOOKUP(VLOOKUP(A1532,'Sales Order'!A:B,2,FALSE),Customer!A:C,3,FALSE),"Not Specified")</f>
        <v>Marinova, Nadejda</v>
      </c>
      <c r="G1532" s="6" t="str">
        <f t="shared" si="46"/>
        <v>Marinova Nadejda</v>
      </c>
      <c r="H1532" s="22" t="str">
        <f>IFERROR(VLOOKUP(VLOOKUP(A1532,'Sales Order'!A:C,3,FALSE),Employee!A:E,5,FALSE)&amp;" "&amp;VLOOKUP(VLOOKUP(A1532,'Sales Order'!A:C,3,FALSE),Employee!A:C,3,FALSE)&amp;" "&amp;VLOOKUP(VLOOKUP(A1532,'Sales Order'!A:C,3,FALSE),Employee!A:B,2,FALSE),"Not Specified")</f>
        <v>Mr. Paul Suurs</v>
      </c>
      <c r="I1532">
        <f>IFERROR(VLOOKUP(VLOOKUP(A1532,'Sales Order'!A:C,3,FALSE),Employee!A:J,10,FALSE),"Not Specified")</f>
        <v>0</v>
      </c>
      <c r="J1532" t="str">
        <f>VLOOKUP(B1532,Product!A:B,2,FALSE)</f>
        <v>Product BKGEA</v>
      </c>
      <c r="K1532" t="str">
        <f>VLOOKUP(VLOOKUP(B1532,Product!A:D,4,FALSE),Category!A:B,2,FALSE)</f>
        <v>Meat/Poultry</v>
      </c>
      <c r="L1532" s="24">
        <f>IFERROR(VLOOKUP(A1532,'Sales Order'!A:D,4,FALSE),"")</f>
        <v>39462</v>
      </c>
      <c r="M1532" s="24">
        <f>IFERROR(VLOOKUP(A1532,'Sales Order'!A:F,6,FALSE),"")</f>
        <v>39470</v>
      </c>
      <c r="N1532" t="str">
        <f>IFERROR(VLOOKUP(VLOOKUP(A1532,'Sales Order'!A:G,7,FALSE),Shipper!A:B,2,FALSE),"Not Specified")</f>
        <v>Shipper ETYNR</v>
      </c>
      <c r="O1532" t="str">
        <f>IFERROR(VLOOKUP(A1532,'Sales Order'!A:I,9,FALSE),"Not Specified")</f>
        <v>Ship to 56-B</v>
      </c>
      <c r="P1532" t="str">
        <f>IFERROR(VLOOKUP(A1532,'Sales Order'!A:N,14,FALSE),"Not Specified")</f>
        <v>Germany</v>
      </c>
      <c r="Q1532" t="str">
        <f>VLOOKUP(VLOOKUP(B1532,Product!A:C,3,FALSE),Supplier!A:B,2,FALSE)</f>
        <v>Supplier JNNES</v>
      </c>
      <c r="R1532" t="str">
        <f>VLOOKUP(VLOOKUP(B1532,Product!A:C,3,FALSE),Supplier!A:I,9,FALSE)</f>
        <v>Australia</v>
      </c>
      <c r="S1532" t="str">
        <f>IFERROR(IF(VLOOKUP(A1532,'Sales Order'!A:H,8,FALSE)&gt;100,"High Freight","Low Freight"),"Not Specified")</f>
        <v>Low Freight</v>
      </c>
      <c r="T1532">
        <f t="shared" si="47"/>
        <v>265.68</v>
      </c>
    </row>
    <row r="1533" spans="1:20">
      <c r="A1533" s="9">
        <v>10834</v>
      </c>
      <c r="B1533" s="6">
        <v>29</v>
      </c>
      <c r="C1533" s="6">
        <v>123.79</v>
      </c>
      <c r="D1533" s="6">
        <v>8</v>
      </c>
      <c r="E1533" s="18">
        <v>0.05</v>
      </c>
      <c r="F1533" s="6" t="str">
        <f>IFERROR(VLOOKUP(VLOOKUP(A1533,'Sales Order'!A:B,2,FALSE),Customer!A:C,3,FALSE),"Not Specified")</f>
        <v>Nagel, Jean-Philippe</v>
      </c>
      <c r="G1533" s="6" t="str">
        <f t="shared" si="46"/>
        <v>Nagel Jean-Philippe</v>
      </c>
      <c r="H1533" s="22" t="str">
        <f>IFERROR(VLOOKUP(VLOOKUP(A1533,'Sales Order'!A:C,3,FALSE),Employee!A:E,5,FALSE)&amp;" "&amp;VLOOKUP(VLOOKUP(A1533,'Sales Order'!A:C,3,FALSE),Employee!A:C,3,FALSE)&amp;" "&amp;VLOOKUP(VLOOKUP(A1533,'Sales Order'!A:C,3,FALSE),Employee!A:B,2,FALSE),"Not Specified")</f>
        <v>Ms. Sara Davis</v>
      </c>
      <c r="I1533" t="str">
        <f>IFERROR(VLOOKUP(VLOOKUP(A1533,'Sales Order'!A:C,3,FALSE),Employee!A:J,10,FALSE),"Not Specified")</f>
        <v>WA</v>
      </c>
      <c r="J1533" t="str">
        <f>VLOOKUP(B1533,Product!A:B,2,FALSE)</f>
        <v>Product VJXYN</v>
      </c>
      <c r="K1533" t="str">
        <f>VLOOKUP(VLOOKUP(B1533,Product!A:D,4,FALSE),Category!A:B,2,FALSE)</f>
        <v>Meat/Poultry</v>
      </c>
      <c r="L1533" s="24">
        <f>IFERROR(VLOOKUP(A1533,'Sales Order'!A:D,4,FALSE),"")</f>
        <v>39462</v>
      </c>
      <c r="M1533" s="24">
        <f>IFERROR(VLOOKUP(A1533,'Sales Order'!A:F,6,FALSE),"")</f>
        <v>39466</v>
      </c>
      <c r="N1533" t="str">
        <f>IFERROR(VLOOKUP(VLOOKUP(A1533,'Sales Order'!A:G,7,FALSE),Shipper!A:B,2,FALSE),"Not Specified")</f>
        <v>Shipper ZHISN</v>
      </c>
      <c r="O1533" t="str">
        <f>IFERROR(VLOOKUP(A1533,'Sales Order'!A:I,9,FALSE),"Not Specified")</f>
        <v>Ship to 81-A</v>
      </c>
      <c r="P1533" t="str">
        <f>IFERROR(VLOOKUP(A1533,'Sales Order'!A:N,14,FALSE),"Not Specified")</f>
        <v>Brazil</v>
      </c>
      <c r="Q1533" t="str">
        <f>VLOOKUP(VLOOKUP(B1533,Product!A:C,3,FALSE),Supplier!A:B,2,FALSE)</f>
        <v>Supplier SVIYA</v>
      </c>
      <c r="R1533" t="str">
        <f>VLOOKUP(VLOOKUP(B1533,Product!A:C,3,FALSE),Supplier!A:I,9,FALSE)</f>
        <v>Germany</v>
      </c>
      <c r="S1533" t="str">
        <f>IFERROR(IF(VLOOKUP(A1533,'Sales Order'!A:H,8,FALSE)&gt;100,"High Freight","Low Freight"),"Not Specified")</f>
        <v>Low Freight</v>
      </c>
      <c r="T1533">
        <f t="shared" si="47"/>
        <v>940.80399999999997</v>
      </c>
    </row>
    <row r="1534" spans="1:20">
      <c r="A1534" s="9">
        <v>10834</v>
      </c>
      <c r="B1534" s="6">
        <v>30</v>
      </c>
      <c r="C1534" s="6">
        <v>25.89</v>
      </c>
      <c r="D1534" s="6">
        <v>20</v>
      </c>
      <c r="E1534" s="18">
        <v>0.05</v>
      </c>
      <c r="F1534" s="6" t="str">
        <f>IFERROR(VLOOKUP(VLOOKUP(A1534,'Sales Order'!A:B,2,FALSE),Customer!A:C,3,FALSE),"Not Specified")</f>
        <v>Nagel, Jean-Philippe</v>
      </c>
      <c r="G1534" s="6" t="str">
        <f t="shared" si="46"/>
        <v>Nagel Jean-Philippe</v>
      </c>
      <c r="H1534" s="22" t="str">
        <f>IFERROR(VLOOKUP(VLOOKUP(A1534,'Sales Order'!A:C,3,FALSE),Employee!A:E,5,FALSE)&amp;" "&amp;VLOOKUP(VLOOKUP(A1534,'Sales Order'!A:C,3,FALSE),Employee!A:C,3,FALSE)&amp;" "&amp;VLOOKUP(VLOOKUP(A1534,'Sales Order'!A:C,3,FALSE),Employee!A:B,2,FALSE),"Not Specified")</f>
        <v>Ms. Sara Davis</v>
      </c>
      <c r="I1534" t="str">
        <f>IFERROR(VLOOKUP(VLOOKUP(A1534,'Sales Order'!A:C,3,FALSE),Employee!A:J,10,FALSE),"Not Specified")</f>
        <v>WA</v>
      </c>
      <c r="J1534" t="str">
        <f>VLOOKUP(B1534,Product!A:B,2,FALSE)</f>
        <v>Product LYERX</v>
      </c>
      <c r="K1534" t="str">
        <f>VLOOKUP(VLOOKUP(B1534,Product!A:D,4,FALSE),Category!A:B,2,FALSE)</f>
        <v>Seafood</v>
      </c>
      <c r="L1534" s="24">
        <f>IFERROR(VLOOKUP(A1534,'Sales Order'!A:D,4,FALSE),"")</f>
        <v>39462</v>
      </c>
      <c r="M1534" s="24">
        <f>IFERROR(VLOOKUP(A1534,'Sales Order'!A:F,6,FALSE),"")</f>
        <v>39466</v>
      </c>
      <c r="N1534" t="str">
        <f>IFERROR(VLOOKUP(VLOOKUP(A1534,'Sales Order'!A:G,7,FALSE),Shipper!A:B,2,FALSE),"Not Specified")</f>
        <v>Shipper ZHISN</v>
      </c>
      <c r="O1534" t="str">
        <f>IFERROR(VLOOKUP(A1534,'Sales Order'!A:I,9,FALSE),"Not Specified")</f>
        <v>Ship to 81-A</v>
      </c>
      <c r="P1534" t="str">
        <f>IFERROR(VLOOKUP(A1534,'Sales Order'!A:N,14,FALSE),"Not Specified")</f>
        <v>Brazil</v>
      </c>
      <c r="Q1534" t="str">
        <f>VLOOKUP(VLOOKUP(B1534,Product!A:C,3,FALSE),Supplier!A:B,2,FALSE)</f>
        <v>Supplier TEGSC</v>
      </c>
      <c r="R1534" t="str">
        <f>VLOOKUP(VLOOKUP(B1534,Product!A:C,3,FALSE),Supplier!A:I,9,FALSE)</f>
        <v>Germany</v>
      </c>
      <c r="S1534" t="str">
        <f>IFERROR(IF(VLOOKUP(A1534,'Sales Order'!A:H,8,FALSE)&gt;100,"High Freight","Low Freight"),"Not Specified")</f>
        <v>Low Freight</v>
      </c>
      <c r="T1534">
        <f t="shared" si="47"/>
        <v>491.90999999999991</v>
      </c>
    </row>
    <row r="1535" spans="1:20">
      <c r="A1535" s="9">
        <v>10835</v>
      </c>
      <c r="B1535" s="6">
        <v>59</v>
      </c>
      <c r="C1535" s="6">
        <v>55</v>
      </c>
      <c r="D1535" s="6">
        <v>15</v>
      </c>
      <c r="E1535" s="18">
        <v>0</v>
      </c>
      <c r="F1535" s="6" t="str">
        <f>IFERROR(VLOOKUP(VLOOKUP(A1535,'Sales Order'!A:B,2,FALSE),Customer!A:C,3,FALSE),"Not Specified")</f>
        <v>Allen, Michael</v>
      </c>
      <c r="G1535" s="6" t="str">
        <f t="shared" si="46"/>
        <v>Allen Michael</v>
      </c>
      <c r="H1535" s="22" t="str">
        <f>IFERROR(VLOOKUP(VLOOKUP(A1535,'Sales Order'!A:C,3,FALSE),Employee!A:E,5,FALSE)&amp;" "&amp;VLOOKUP(VLOOKUP(A1535,'Sales Order'!A:C,3,FALSE),Employee!A:C,3,FALSE)&amp;" "&amp;VLOOKUP(VLOOKUP(A1535,'Sales Order'!A:C,3,FALSE),Employee!A:B,2,FALSE),"Not Specified")</f>
        <v>Ms. Sara Davis</v>
      </c>
      <c r="I1535" t="str">
        <f>IFERROR(VLOOKUP(VLOOKUP(A1535,'Sales Order'!A:C,3,FALSE),Employee!A:J,10,FALSE),"Not Specified")</f>
        <v>WA</v>
      </c>
      <c r="J1535" t="str">
        <f>VLOOKUP(B1535,Product!A:B,2,FALSE)</f>
        <v>Product UKXRI</v>
      </c>
      <c r="K1535" t="str">
        <f>VLOOKUP(VLOOKUP(B1535,Product!A:D,4,FALSE),Category!A:B,2,FALSE)</f>
        <v>Dairy Product</v>
      </c>
      <c r="L1535" s="24">
        <f>IFERROR(VLOOKUP(A1535,'Sales Order'!A:D,4,FALSE),"")</f>
        <v>39462</v>
      </c>
      <c r="M1535" s="24">
        <f>IFERROR(VLOOKUP(A1535,'Sales Order'!A:F,6,FALSE),"")</f>
        <v>39468</v>
      </c>
      <c r="N1535" t="str">
        <f>IFERROR(VLOOKUP(VLOOKUP(A1535,'Sales Order'!A:G,7,FALSE),Shipper!A:B,2,FALSE),"Not Specified")</f>
        <v>Shipper ZHISN</v>
      </c>
      <c r="O1535" t="str">
        <f>IFERROR(VLOOKUP(A1535,'Sales Order'!A:I,9,FALSE),"Not Specified")</f>
        <v>Destination LOUIE</v>
      </c>
      <c r="P1535" t="str">
        <f>IFERROR(VLOOKUP(A1535,'Sales Order'!A:N,14,FALSE),"Not Specified")</f>
        <v>Germany</v>
      </c>
      <c r="Q1535" t="str">
        <f>VLOOKUP(VLOOKUP(B1535,Product!A:C,3,FALSE),Supplier!A:B,2,FALSE)</f>
        <v>Supplier OAVQT</v>
      </c>
      <c r="R1535" t="str">
        <f>VLOOKUP(VLOOKUP(B1535,Product!A:C,3,FALSE),Supplier!A:I,9,FALSE)</f>
        <v>France</v>
      </c>
      <c r="S1535" t="str">
        <f>IFERROR(IF(VLOOKUP(A1535,'Sales Order'!A:H,8,FALSE)&gt;100,"High Freight","Low Freight"),"Not Specified")</f>
        <v>Low Freight</v>
      </c>
      <c r="T1535">
        <f t="shared" si="47"/>
        <v>825</v>
      </c>
    </row>
    <row r="1536" spans="1:20">
      <c r="A1536" s="9">
        <v>10835</v>
      </c>
      <c r="B1536" s="6">
        <v>77</v>
      </c>
      <c r="C1536" s="6">
        <v>13</v>
      </c>
      <c r="D1536" s="6">
        <v>2</v>
      </c>
      <c r="E1536" s="18">
        <v>0.2</v>
      </c>
      <c r="F1536" s="6" t="str">
        <f>IFERROR(VLOOKUP(VLOOKUP(A1536,'Sales Order'!A:B,2,FALSE),Customer!A:C,3,FALSE),"Not Specified")</f>
        <v>Allen, Michael</v>
      </c>
      <c r="G1536" s="6" t="str">
        <f t="shared" si="46"/>
        <v>Allen Michael</v>
      </c>
      <c r="H1536" s="22" t="str">
        <f>IFERROR(VLOOKUP(VLOOKUP(A1536,'Sales Order'!A:C,3,FALSE),Employee!A:E,5,FALSE)&amp;" "&amp;VLOOKUP(VLOOKUP(A1536,'Sales Order'!A:C,3,FALSE),Employee!A:C,3,FALSE)&amp;" "&amp;VLOOKUP(VLOOKUP(A1536,'Sales Order'!A:C,3,FALSE),Employee!A:B,2,FALSE),"Not Specified")</f>
        <v>Ms. Sara Davis</v>
      </c>
      <c r="I1536" t="str">
        <f>IFERROR(VLOOKUP(VLOOKUP(A1536,'Sales Order'!A:C,3,FALSE),Employee!A:J,10,FALSE),"Not Specified")</f>
        <v>WA</v>
      </c>
      <c r="J1536" t="str">
        <f>VLOOKUP(B1536,Product!A:B,2,FALSE)</f>
        <v>Product LUNZZ</v>
      </c>
      <c r="K1536" t="str">
        <f>VLOOKUP(VLOOKUP(B1536,Product!A:D,4,FALSE),Category!A:B,2,FALSE)</f>
        <v>Condiments</v>
      </c>
      <c r="L1536" s="24">
        <f>IFERROR(VLOOKUP(A1536,'Sales Order'!A:D,4,FALSE),"")</f>
        <v>39462</v>
      </c>
      <c r="M1536" s="24">
        <f>IFERROR(VLOOKUP(A1536,'Sales Order'!A:F,6,FALSE),"")</f>
        <v>39468</v>
      </c>
      <c r="N1536" t="str">
        <f>IFERROR(VLOOKUP(VLOOKUP(A1536,'Sales Order'!A:G,7,FALSE),Shipper!A:B,2,FALSE),"Not Specified")</f>
        <v>Shipper ZHISN</v>
      </c>
      <c r="O1536" t="str">
        <f>IFERROR(VLOOKUP(A1536,'Sales Order'!A:I,9,FALSE),"Not Specified")</f>
        <v>Destination LOUIE</v>
      </c>
      <c r="P1536" t="str">
        <f>IFERROR(VLOOKUP(A1536,'Sales Order'!A:N,14,FALSE),"Not Specified")</f>
        <v>Germany</v>
      </c>
      <c r="Q1536" t="str">
        <f>VLOOKUP(VLOOKUP(B1536,Product!A:C,3,FALSE),Supplier!A:B,2,FALSE)</f>
        <v>Supplier SVIYA</v>
      </c>
      <c r="R1536" t="str">
        <f>VLOOKUP(VLOOKUP(B1536,Product!A:C,3,FALSE),Supplier!A:I,9,FALSE)</f>
        <v>Germany</v>
      </c>
      <c r="S1536" t="str">
        <f>IFERROR(IF(VLOOKUP(A1536,'Sales Order'!A:H,8,FALSE)&gt;100,"High Freight","Low Freight"),"Not Specified")</f>
        <v>Low Freight</v>
      </c>
      <c r="T1536">
        <f t="shared" si="47"/>
        <v>20.8</v>
      </c>
    </row>
    <row r="1537" spans="1:20">
      <c r="A1537" s="9">
        <v>10836</v>
      </c>
      <c r="B1537" s="6">
        <v>22</v>
      </c>
      <c r="C1537" s="6">
        <v>21</v>
      </c>
      <c r="D1537" s="6">
        <v>52</v>
      </c>
      <c r="E1537" s="18">
        <v>0</v>
      </c>
      <c r="F1537" s="6" t="str">
        <f>IFERROR(VLOOKUP(VLOOKUP(A1537,'Sales Order'!A:B,2,FALSE),Customer!A:C,3,FALSE),"Not Specified")</f>
        <v>Kane, John</v>
      </c>
      <c r="G1537" s="6" t="str">
        <f t="shared" si="46"/>
        <v>Kane John</v>
      </c>
      <c r="H1537" s="22" t="str">
        <f>IFERROR(VLOOKUP(VLOOKUP(A1537,'Sales Order'!A:C,3,FALSE),Employee!A:E,5,FALSE)&amp;" "&amp;VLOOKUP(VLOOKUP(A1537,'Sales Order'!A:C,3,FALSE),Employee!A:C,3,FALSE)&amp;" "&amp;VLOOKUP(VLOOKUP(A1537,'Sales Order'!A:C,3,FALSE),Employee!A:B,2,FALSE),"Not Specified")</f>
        <v>Mr. Russell King</v>
      </c>
      <c r="I1537">
        <f>IFERROR(VLOOKUP(VLOOKUP(A1537,'Sales Order'!A:C,3,FALSE),Employee!A:J,10,FALSE),"Not Specified")</f>
        <v>0</v>
      </c>
      <c r="J1537" t="str">
        <f>VLOOKUP(B1537,Product!A:B,2,FALSE)</f>
        <v>Product CPHFY</v>
      </c>
      <c r="K1537" t="str">
        <f>VLOOKUP(VLOOKUP(B1537,Product!A:D,4,FALSE),Category!A:B,2,FALSE)</f>
        <v>Grains/Cereals</v>
      </c>
      <c r="L1537" s="24">
        <f>IFERROR(VLOOKUP(A1537,'Sales Order'!A:D,4,FALSE),"")</f>
        <v>39463</v>
      </c>
      <c r="M1537" s="24">
        <f>IFERROR(VLOOKUP(A1537,'Sales Order'!A:F,6,FALSE),"")</f>
        <v>39468</v>
      </c>
      <c r="N1537" t="str">
        <f>IFERROR(VLOOKUP(VLOOKUP(A1537,'Sales Order'!A:G,7,FALSE),Shipper!A:B,2,FALSE),"Not Specified")</f>
        <v>Shipper GVSUA</v>
      </c>
      <c r="O1537" t="str">
        <f>IFERROR(VLOOKUP(A1537,'Sales Order'!A:I,9,FALSE),"Not Specified")</f>
        <v>Destination CUVPF</v>
      </c>
      <c r="P1537" t="str">
        <f>IFERROR(VLOOKUP(A1537,'Sales Order'!A:N,14,FALSE),"Not Specified")</f>
        <v>Austria</v>
      </c>
      <c r="Q1537" t="str">
        <f>VLOOKUP(VLOOKUP(B1537,Product!A:C,3,FALSE),Supplier!A:B,2,FALSE)</f>
        <v>Supplier QQYEU</v>
      </c>
      <c r="R1537" t="str">
        <f>VLOOKUP(VLOOKUP(B1537,Product!A:C,3,FALSE),Supplier!A:I,9,FALSE)</f>
        <v>Sweden</v>
      </c>
      <c r="S1537" t="str">
        <f>IFERROR(IF(VLOOKUP(A1537,'Sales Order'!A:H,8,FALSE)&gt;100,"High Freight","Low Freight"),"Not Specified")</f>
        <v>High Freight</v>
      </c>
      <c r="T1537">
        <f t="shared" si="47"/>
        <v>1092</v>
      </c>
    </row>
    <row r="1538" spans="1:20">
      <c r="A1538" s="9">
        <v>10836</v>
      </c>
      <c r="B1538" s="6">
        <v>35</v>
      </c>
      <c r="C1538" s="6">
        <v>18</v>
      </c>
      <c r="D1538" s="6">
        <v>6</v>
      </c>
      <c r="E1538" s="18">
        <v>0</v>
      </c>
      <c r="F1538" s="6" t="str">
        <f>IFERROR(VLOOKUP(VLOOKUP(A1538,'Sales Order'!A:B,2,FALSE),Customer!A:C,3,FALSE),"Not Specified")</f>
        <v>Kane, John</v>
      </c>
      <c r="G1538" s="6" t="str">
        <f t="shared" si="46"/>
        <v>Kane John</v>
      </c>
      <c r="H1538" s="22" t="str">
        <f>IFERROR(VLOOKUP(VLOOKUP(A1538,'Sales Order'!A:C,3,FALSE),Employee!A:E,5,FALSE)&amp;" "&amp;VLOOKUP(VLOOKUP(A1538,'Sales Order'!A:C,3,FALSE),Employee!A:C,3,FALSE)&amp;" "&amp;VLOOKUP(VLOOKUP(A1538,'Sales Order'!A:C,3,FALSE),Employee!A:B,2,FALSE),"Not Specified")</f>
        <v>Mr. Russell King</v>
      </c>
      <c r="I1538">
        <f>IFERROR(VLOOKUP(VLOOKUP(A1538,'Sales Order'!A:C,3,FALSE),Employee!A:J,10,FALSE),"Not Specified")</f>
        <v>0</v>
      </c>
      <c r="J1538" t="str">
        <f>VLOOKUP(B1538,Product!A:B,2,FALSE)</f>
        <v>Product NEVTJ</v>
      </c>
      <c r="K1538" t="str">
        <f>VLOOKUP(VLOOKUP(B1538,Product!A:D,4,FALSE),Category!A:B,2,FALSE)</f>
        <v>Beverages</v>
      </c>
      <c r="L1538" s="24">
        <f>IFERROR(VLOOKUP(A1538,'Sales Order'!A:D,4,FALSE),"")</f>
        <v>39463</v>
      </c>
      <c r="M1538" s="24">
        <f>IFERROR(VLOOKUP(A1538,'Sales Order'!A:F,6,FALSE),"")</f>
        <v>39468</v>
      </c>
      <c r="N1538" t="str">
        <f>IFERROR(VLOOKUP(VLOOKUP(A1538,'Sales Order'!A:G,7,FALSE),Shipper!A:B,2,FALSE),"Not Specified")</f>
        <v>Shipper GVSUA</v>
      </c>
      <c r="O1538" t="str">
        <f>IFERROR(VLOOKUP(A1538,'Sales Order'!A:I,9,FALSE),"Not Specified")</f>
        <v>Destination CUVPF</v>
      </c>
      <c r="P1538" t="str">
        <f>IFERROR(VLOOKUP(A1538,'Sales Order'!A:N,14,FALSE),"Not Specified")</f>
        <v>Austria</v>
      </c>
      <c r="Q1538" t="str">
        <f>VLOOKUP(VLOOKUP(B1538,Product!A:C,3,FALSE),Supplier!A:B,2,FALSE)</f>
        <v>Supplier UHZRG</v>
      </c>
      <c r="R1538" t="str">
        <f>VLOOKUP(VLOOKUP(B1538,Product!A:C,3,FALSE),Supplier!A:I,9,FALSE)</f>
        <v>USA</v>
      </c>
      <c r="S1538" t="str">
        <f>IFERROR(IF(VLOOKUP(A1538,'Sales Order'!A:H,8,FALSE)&gt;100,"High Freight","Low Freight"),"Not Specified")</f>
        <v>High Freight</v>
      </c>
      <c r="T1538">
        <f t="shared" si="47"/>
        <v>108</v>
      </c>
    </row>
    <row r="1539" spans="1:20">
      <c r="A1539" s="9">
        <v>10836</v>
      </c>
      <c r="B1539" s="6">
        <v>57</v>
      </c>
      <c r="C1539" s="6">
        <v>19.5</v>
      </c>
      <c r="D1539" s="6">
        <v>24</v>
      </c>
      <c r="E1539" s="18">
        <v>0</v>
      </c>
      <c r="F1539" s="6" t="str">
        <f>IFERROR(VLOOKUP(VLOOKUP(A1539,'Sales Order'!A:B,2,FALSE),Customer!A:C,3,FALSE),"Not Specified")</f>
        <v>Kane, John</v>
      </c>
      <c r="G1539" s="6" t="str">
        <f t="shared" ref="G1539:G1602" si="48">SUBSTITUTE(F1539,",","",1)</f>
        <v>Kane John</v>
      </c>
      <c r="H1539" s="22" t="str">
        <f>IFERROR(VLOOKUP(VLOOKUP(A1539,'Sales Order'!A:C,3,FALSE),Employee!A:E,5,FALSE)&amp;" "&amp;VLOOKUP(VLOOKUP(A1539,'Sales Order'!A:C,3,FALSE),Employee!A:C,3,FALSE)&amp;" "&amp;VLOOKUP(VLOOKUP(A1539,'Sales Order'!A:C,3,FALSE),Employee!A:B,2,FALSE),"Not Specified")</f>
        <v>Mr. Russell King</v>
      </c>
      <c r="I1539">
        <f>IFERROR(VLOOKUP(VLOOKUP(A1539,'Sales Order'!A:C,3,FALSE),Employee!A:J,10,FALSE),"Not Specified")</f>
        <v>0</v>
      </c>
      <c r="J1539" t="str">
        <f>VLOOKUP(B1539,Product!A:B,2,FALSE)</f>
        <v>Product OVLQI</v>
      </c>
      <c r="K1539" t="str">
        <f>VLOOKUP(VLOOKUP(B1539,Product!A:D,4,FALSE),Category!A:B,2,FALSE)</f>
        <v>Grains/Cereals</v>
      </c>
      <c r="L1539" s="24">
        <f>IFERROR(VLOOKUP(A1539,'Sales Order'!A:D,4,FALSE),"")</f>
        <v>39463</v>
      </c>
      <c r="M1539" s="24">
        <f>IFERROR(VLOOKUP(A1539,'Sales Order'!A:F,6,FALSE),"")</f>
        <v>39468</v>
      </c>
      <c r="N1539" t="str">
        <f>IFERROR(VLOOKUP(VLOOKUP(A1539,'Sales Order'!A:G,7,FALSE),Shipper!A:B,2,FALSE),"Not Specified")</f>
        <v>Shipper GVSUA</v>
      </c>
      <c r="O1539" t="str">
        <f>IFERROR(VLOOKUP(A1539,'Sales Order'!A:I,9,FALSE),"Not Specified")</f>
        <v>Destination CUVPF</v>
      </c>
      <c r="P1539" t="str">
        <f>IFERROR(VLOOKUP(A1539,'Sales Order'!A:N,14,FALSE),"Not Specified")</f>
        <v>Austria</v>
      </c>
      <c r="Q1539" t="str">
        <f>VLOOKUP(VLOOKUP(B1539,Product!A:C,3,FALSE),Supplier!A:B,2,FALSE)</f>
        <v>Supplier ZWZDM</v>
      </c>
      <c r="R1539" t="str">
        <f>VLOOKUP(VLOOKUP(B1539,Product!A:C,3,FALSE),Supplier!A:I,9,FALSE)</f>
        <v>Italy</v>
      </c>
      <c r="S1539" t="str">
        <f>IFERROR(IF(VLOOKUP(A1539,'Sales Order'!A:H,8,FALSE)&gt;100,"High Freight","Low Freight"),"Not Specified")</f>
        <v>High Freight</v>
      </c>
      <c r="T1539">
        <f t="shared" ref="T1539:T1602" si="49">C1539*D1539*(1-E1539)</f>
        <v>468</v>
      </c>
    </row>
    <row r="1540" spans="1:20">
      <c r="A1540" s="9">
        <v>10836</v>
      </c>
      <c r="B1540" s="6">
        <v>60</v>
      </c>
      <c r="C1540" s="6">
        <v>34</v>
      </c>
      <c r="D1540" s="6">
        <v>60</v>
      </c>
      <c r="E1540" s="18">
        <v>0</v>
      </c>
      <c r="F1540" s="6" t="str">
        <f>IFERROR(VLOOKUP(VLOOKUP(A1540,'Sales Order'!A:B,2,FALSE),Customer!A:C,3,FALSE),"Not Specified")</f>
        <v>Kane, John</v>
      </c>
      <c r="G1540" s="6" t="str">
        <f t="shared" si="48"/>
        <v>Kane John</v>
      </c>
      <c r="H1540" s="22" t="str">
        <f>IFERROR(VLOOKUP(VLOOKUP(A1540,'Sales Order'!A:C,3,FALSE),Employee!A:E,5,FALSE)&amp;" "&amp;VLOOKUP(VLOOKUP(A1540,'Sales Order'!A:C,3,FALSE),Employee!A:C,3,FALSE)&amp;" "&amp;VLOOKUP(VLOOKUP(A1540,'Sales Order'!A:C,3,FALSE),Employee!A:B,2,FALSE),"Not Specified")</f>
        <v>Mr. Russell King</v>
      </c>
      <c r="I1540">
        <f>IFERROR(VLOOKUP(VLOOKUP(A1540,'Sales Order'!A:C,3,FALSE),Employee!A:J,10,FALSE),"Not Specified")</f>
        <v>0</v>
      </c>
      <c r="J1540" t="str">
        <f>VLOOKUP(B1540,Product!A:B,2,FALSE)</f>
        <v>Product WHBYK</v>
      </c>
      <c r="K1540" t="str">
        <f>VLOOKUP(VLOOKUP(B1540,Product!A:D,4,FALSE),Category!A:B,2,FALSE)</f>
        <v>Dairy Product</v>
      </c>
      <c r="L1540" s="24">
        <f>IFERROR(VLOOKUP(A1540,'Sales Order'!A:D,4,FALSE),"")</f>
        <v>39463</v>
      </c>
      <c r="M1540" s="24">
        <f>IFERROR(VLOOKUP(A1540,'Sales Order'!A:F,6,FALSE),"")</f>
        <v>39468</v>
      </c>
      <c r="N1540" t="str">
        <f>IFERROR(VLOOKUP(VLOOKUP(A1540,'Sales Order'!A:G,7,FALSE),Shipper!A:B,2,FALSE),"Not Specified")</f>
        <v>Shipper GVSUA</v>
      </c>
      <c r="O1540" t="str">
        <f>IFERROR(VLOOKUP(A1540,'Sales Order'!A:I,9,FALSE),"Not Specified")</f>
        <v>Destination CUVPF</v>
      </c>
      <c r="P1540" t="str">
        <f>IFERROR(VLOOKUP(A1540,'Sales Order'!A:N,14,FALSE),"Not Specified")</f>
        <v>Austria</v>
      </c>
      <c r="Q1540" t="str">
        <f>VLOOKUP(VLOOKUP(B1540,Product!A:C,3,FALSE),Supplier!A:B,2,FALSE)</f>
        <v>Supplier OAVQT</v>
      </c>
      <c r="R1540" t="str">
        <f>VLOOKUP(VLOOKUP(B1540,Product!A:C,3,FALSE),Supplier!A:I,9,FALSE)</f>
        <v>France</v>
      </c>
      <c r="S1540" t="str">
        <f>IFERROR(IF(VLOOKUP(A1540,'Sales Order'!A:H,8,FALSE)&gt;100,"High Freight","Low Freight"),"Not Specified")</f>
        <v>High Freight</v>
      </c>
      <c r="T1540">
        <f t="shared" si="49"/>
        <v>2040</v>
      </c>
    </row>
    <row r="1541" spans="1:20">
      <c r="A1541" s="9">
        <v>10836</v>
      </c>
      <c r="B1541" s="6">
        <v>64</v>
      </c>
      <c r="C1541" s="6">
        <v>33.25</v>
      </c>
      <c r="D1541" s="6">
        <v>30</v>
      </c>
      <c r="E1541" s="18">
        <v>0</v>
      </c>
      <c r="F1541" s="6" t="str">
        <f>IFERROR(VLOOKUP(VLOOKUP(A1541,'Sales Order'!A:B,2,FALSE),Customer!A:C,3,FALSE),"Not Specified")</f>
        <v>Kane, John</v>
      </c>
      <c r="G1541" s="6" t="str">
        <f t="shared" si="48"/>
        <v>Kane John</v>
      </c>
      <c r="H1541" s="22" t="str">
        <f>IFERROR(VLOOKUP(VLOOKUP(A1541,'Sales Order'!A:C,3,FALSE),Employee!A:E,5,FALSE)&amp;" "&amp;VLOOKUP(VLOOKUP(A1541,'Sales Order'!A:C,3,FALSE),Employee!A:C,3,FALSE)&amp;" "&amp;VLOOKUP(VLOOKUP(A1541,'Sales Order'!A:C,3,FALSE),Employee!A:B,2,FALSE),"Not Specified")</f>
        <v>Mr. Russell King</v>
      </c>
      <c r="I1541">
        <f>IFERROR(VLOOKUP(VLOOKUP(A1541,'Sales Order'!A:C,3,FALSE),Employee!A:J,10,FALSE),"Not Specified")</f>
        <v>0</v>
      </c>
      <c r="J1541" t="str">
        <f>VLOOKUP(B1541,Product!A:B,2,FALSE)</f>
        <v>Product HCQDE</v>
      </c>
      <c r="K1541" t="str">
        <f>VLOOKUP(VLOOKUP(B1541,Product!A:D,4,FALSE),Category!A:B,2,FALSE)</f>
        <v>Grains/Cereals</v>
      </c>
      <c r="L1541" s="24">
        <f>IFERROR(VLOOKUP(A1541,'Sales Order'!A:D,4,FALSE),"")</f>
        <v>39463</v>
      </c>
      <c r="M1541" s="24">
        <f>IFERROR(VLOOKUP(A1541,'Sales Order'!A:F,6,FALSE),"")</f>
        <v>39468</v>
      </c>
      <c r="N1541" t="str">
        <f>IFERROR(VLOOKUP(VLOOKUP(A1541,'Sales Order'!A:G,7,FALSE),Shipper!A:B,2,FALSE),"Not Specified")</f>
        <v>Shipper GVSUA</v>
      </c>
      <c r="O1541" t="str">
        <f>IFERROR(VLOOKUP(A1541,'Sales Order'!A:I,9,FALSE),"Not Specified")</f>
        <v>Destination CUVPF</v>
      </c>
      <c r="P1541" t="str">
        <f>IFERROR(VLOOKUP(A1541,'Sales Order'!A:N,14,FALSE),"Not Specified")</f>
        <v>Austria</v>
      </c>
      <c r="Q1541" t="str">
        <f>VLOOKUP(VLOOKUP(B1541,Product!A:C,3,FALSE),Supplier!A:B,2,FALSE)</f>
        <v>Supplier SVIYA</v>
      </c>
      <c r="R1541" t="str">
        <f>VLOOKUP(VLOOKUP(B1541,Product!A:C,3,FALSE),Supplier!A:I,9,FALSE)</f>
        <v>Germany</v>
      </c>
      <c r="S1541" t="str">
        <f>IFERROR(IF(VLOOKUP(A1541,'Sales Order'!A:H,8,FALSE)&gt;100,"High Freight","Low Freight"),"Not Specified")</f>
        <v>High Freight</v>
      </c>
      <c r="T1541">
        <f t="shared" si="49"/>
        <v>997.5</v>
      </c>
    </row>
    <row r="1542" spans="1:20">
      <c r="A1542" s="9">
        <v>10837</v>
      </c>
      <c r="B1542" s="6">
        <v>13</v>
      </c>
      <c r="C1542" s="6">
        <v>6</v>
      </c>
      <c r="D1542" s="6">
        <v>6</v>
      </c>
      <c r="E1542" s="18">
        <v>0</v>
      </c>
      <c r="F1542" s="6" t="str">
        <f>IFERROR(VLOOKUP(VLOOKUP(A1542,'Sales Order'!A:B,2,FALSE),Customer!A:C,3,FALSE),"Not Specified")</f>
        <v>Higginbotham, Tom</v>
      </c>
      <c r="G1542" s="6" t="str">
        <f t="shared" si="48"/>
        <v>Higginbotham Tom</v>
      </c>
      <c r="H1542" s="22" t="str">
        <f>IFERROR(VLOOKUP(VLOOKUP(A1542,'Sales Order'!A:C,3,FALSE),Employee!A:E,5,FALSE)&amp;" "&amp;VLOOKUP(VLOOKUP(A1542,'Sales Order'!A:C,3,FALSE),Employee!A:C,3,FALSE)&amp;" "&amp;VLOOKUP(VLOOKUP(A1542,'Sales Order'!A:C,3,FALSE),Employee!A:B,2,FALSE),"Not Specified")</f>
        <v>Ms. Zoya Dolgopyatova</v>
      </c>
      <c r="I1542">
        <f>IFERROR(VLOOKUP(VLOOKUP(A1542,'Sales Order'!A:C,3,FALSE),Employee!A:J,10,FALSE),"Not Specified")</f>
        <v>0</v>
      </c>
      <c r="J1542" t="str">
        <f>VLOOKUP(B1542,Product!A:B,2,FALSE)</f>
        <v>Product POXFU</v>
      </c>
      <c r="K1542" t="str">
        <f>VLOOKUP(VLOOKUP(B1542,Product!A:D,4,FALSE),Category!A:B,2,FALSE)</f>
        <v>Seafood</v>
      </c>
      <c r="L1542" s="24">
        <f>IFERROR(VLOOKUP(A1542,'Sales Order'!A:D,4,FALSE),"")</f>
        <v>39463</v>
      </c>
      <c r="M1542" s="24">
        <f>IFERROR(VLOOKUP(A1542,'Sales Order'!A:F,6,FALSE),"")</f>
        <v>39470</v>
      </c>
      <c r="N1542" t="str">
        <f>IFERROR(VLOOKUP(VLOOKUP(A1542,'Sales Order'!A:G,7,FALSE),Shipper!A:B,2,FALSE),"Not Specified")</f>
        <v>Shipper ZHISN</v>
      </c>
      <c r="O1542" t="str">
        <f>IFERROR(VLOOKUP(A1542,'Sales Order'!A:I,9,FALSE),"Not Specified")</f>
        <v>Ship to 5-A</v>
      </c>
      <c r="P1542" t="str">
        <f>IFERROR(VLOOKUP(A1542,'Sales Order'!A:N,14,FALSE),"Not Specified")</f>
        <v>Sweden</v>
      </c>
      <c r="Q1542" t="str">
        <f>VLOOKUP(VLOOKUP(B1542,Product!A:C,3,FALSE),Supplier!A:B,2,FALSE)</f>
        <v>Supplier QWUSF</v>
      </c>
      <c r="R1542" t="str">
        <f>VLOOKUP(VLOOKUP(B1542,Product!A:C,3,FALSE),Supplier!A:I,9,FALSE)</f>
        <v>Japan</v>
      </c>
      <c r="S1542" t="str">
        <f>IFERROR(IF(VLOOKUP(A1542,'Sales Order'!A:H,8,FALSE)&gt;100,"High Freight","Low Freight"),"Not Specified")</f>
        <v>Low Freight</v>
      </c>
      <c r="T1542">
        <f t="shared" si="49"/>
        <v>36</v>
      </c>
    </row>
    <row r="1543" spans="1:20">
      <c r="A1543" s="9">
        <v>10837</v>
      </c>
      <c r="B1543" s="6">
        <v>40</v>
      </c>
      <c r="C1543" s="6">
        <v>18.399999999999999</v>
      </c>
      <c r="D1543" s="6">
        <v>25</v>
      </c>
      <c r="E1543" s="18">
        <v>0</v>
      </c>
      <c r="F1543" s="6" t="str">
        <f>IFERROR(VLOOKUP(VLOOKUP(A1543,'Sales Order'!A:B,2,FALSE),Customer!A:C,3,FALSE),"Not Specified")</f>
        <v>Higginbotham, Tom</v>
      </c>
      <c r="G1543" s="6" t="str">
        <f t="shared" si="48"/>
        <v>Higginbotham Tom</v>
      </c>
      <c r="H1543" s="22" t="str">
        <f>IFERROR(VLOOKUP(VLOOKUP(A1543,'Sales Order'!A:C,3,FALSE),Employee!A:E,5,FALSE)&amp;" "&amp;VLOOKUP(VLOOKUP(A1543,'Sales Order'!A:C,3,FALSE),Employee!A:C,3,FALSE)&amp;" "&amp;VLOOKUP(VLOOKUP(A1543,'Sales Order'!A:C,3,FALSE),Employee!A:B,2,FALSE),"Not Specified")</f>
        <v>Ms. Zoya Dolgopyatova</v>
      </c>
      <c r="I1543">
        <f>IFERROR(VLOOKUP(VLOOKUP(A1543,'Sales Order'!A:C,3,FALSE),Employee!A:J,10,FALSE),"Not Specified")</f>
        <v>0</v>
      </c>
      <c r="J1543" t="str">
        <f>VLOOKUP(B1543,Product!A:B,2,FALSE)</f>
        <v>Product YZIXQ</v>
      </c>
      <c r="K1543" t="str">
        <f>VLOOKUP(VLOOKUP(B1543,Product!A:D,4,FALSE),Category!A:B,2,FALSE)</f>
        <v>Seafood</v>
      </c>
      <c r="L1543" s="24">
        <f>IFERROR(VLOOKUP(A1543,'Sales Order'!A:D,4,FALSE),"")</f>
        <v>39463</v>
      </c>
      <c r="M1543" s="24">
        <f>IFERROR(VLOOKUP(A1543,'Sales Order'!A:F,6,FALSE),"")</f>
        <v>39470</v>
      </c>
      <c r="N1543" t="str">
        <f>IFERROR(VLOOKUP(VLOOKUP(A1543,'Sales Order'!A:G,7,FALSE),Shipper!A:B,2,FALSE),"Not Specified")</f>
        <v>Shipper ZHISN</v>
      </c>
      <c r="O1543" t="str">
        <f>IFERROR(VLOOKUP(A1543,'Sales Order'!A:I,9,FALSE),"Not Specified")</f>
        <v>Ship to 5-A</v>
      </c>
      <c r="P1543" t="str">
        <f>IFERROR(VLOOKUP(A1543,'Sales Order'!A:N,14,FALSE),"Not Specified")</f>
        <v>Sweden</v>
      </c>
      <c r="Q1543" t="str">
        <f>VLOOKUP(VLOOKUP(B1543,Product!A:C,3,FALSE),Supplier!A:B,2,FALSE)</f>
        <v>Supplier JDNUG</v>
      </c>
      <c r="R1543" t="str">
        <f>VLOOKUP(VLOOKUP(B1543,Product!A:C,3,FALSE),Supplier!A:I,9,FALSE)</f>
        <v>USA</v>
      </c>
      <c r="S1543" t="str">
        <f>IFERROR(IF(VLOOKUP(A1543,'Sales Order'!A:H,8,FALSE)&gt;100,"High Freight","Low Freight"),"Not Specified")</f>
        <v>Low Freight</v>
      </c>
      <c r="T1543">
        <f t="shared" si="49"/>
        <v>459.99999999999994</v>
      </c>
    </row>
    <row r="1544" spans="1:20">
      <c r="A1544" s="9">
        <v>10837</v>
      </c>
      <c r="B1544" s="6">
        <v>47</v>
      </c>
      <c r="C1544" s="6">
        <v>9.5</v>
      </c>
      <c r="D1544" s="6">
        <v>40</v>
      </c>
      <c r="E1544" s="18">
        <v>0.25</v>
      </c>
      <c r="F1544" s="6" t="str">
        <f>IFERROR(VLOOKUP(VLOOKUP(A1544,'Sales Order'!A:B,2,FALSE),Customer!A:C,3,FALSE),"Not Specified")</f>
        <v>Higginbotham, Tom</v>
      </c>
      <c r="G1544" s="6" t="str">
        <f t="shared" si="48"/>
        <v>Higginbotham Tom</v>
      </c>
      <c r="H1544" s="22" t="str">
        <f>IFERROR(VLOOKUP(VLOOKUP(A1544,'Sales Order'!A:C,3,FALSE),Employee!A:E,5,FALSE)&amp;" "&amp;VLOOKUP(VLOOKUP(A1544,'Sales Order'!A:C,3,FALSE),Employee!A:C,3,FALSE)&amp;" "&amp;VLOOKUP(VLOOKUP(A1544,'Sales Order'!A:C,3,FALSE),Employee!A:B,2,FALSE),"Not Specified")</f>
        <v>Ms. Zoya Dolgopyatova</v>
      </c>
      <c r="I1544">
        <f>IFERROR(VLOOKUP(VLOOKUP(A1544,'Sales Order'!A:C,3,FALSE),Employee!A:J,10,FALSE),"Not Specified")</f>
        <v>0</v>
      </c>
      <c r="J1544" t="str">
        <f>VLOOKUP(B1544,Product!A:B,2,FALSE)</f>
        <v>Product EZZPR</v>
      </c>
      <c r="K1544" t="str">
        <f>VLOOKUP(VLOOKUP(B1544,Product!A:D,4,FALSE),Category!A:B,2,FALSE)</f>
        <v>Confections</v>
      </c>
      <c r="L1544" s="24">
        <f>IFERROR(VLOOKUP(A1544,'Sales Order'!A:D,4,FALSE),"")</f>
        <v>39463</v>
      </c>
      <c r="M1544" s="24">
        <f>IFERROR(VLOOKUP(A1544,'Sales Order'!A:F,6,FALSE),"")</f>
        <v>39470</v>
      </c>
      <c r="N1544" t="str">
        <f>IFERROR(VLOOKUP(VLOOKUP(A1544,'Sales Order'!A:G,7,FALSE),Shipper!A:B,2,FALSE),"Not Specified")</f>
        <v>Shipper ZHISN</v>
      </c>
      <c r="O1544" t="str">
        <f>IFERROR(VLOOKUP(A1544,'Sales Order'!A:I,9,FALSE),"Not Specified")</f>
        <v>Ship to 5-A</v>
      </c>
      <c r="P1544" t="str">
        <f>IFERROR(VLOOKUP(A1544,'Sales Order'!A:N,14,FALSE),"Not Specified")</f>
        <v>Sweden</v>
      </c>
      <c r="Q1544" t="str">
        <f>VLOOKUP(VLOOKUP(B1544,Product!A:C,3,FALSE),Supplier!A:B,2,FALSE)</f>
        <v>Supplier FNUXM</v>
      </c>
      <c r="R1544" t="str">
        <f>VLOOKUP(VLOOKUP(B1544,Product!A:C,3,FALSE),Supplier!A:I,9,FALSE)</f>
        <v>Netherlands</v>
      </c>
      <c r="S1544" t="str">
        <f>IFERROR(IF(VLOOKUP(A1544,'Sales Order'!A:H,8,FALSE)&gt;100,"High Freight","Low Freight"),"Not Specified")</f>
        <v>Low Freight</v>
      </c>
      <c r="T1544">
        <f t="shared" si="49"/>
        <v>285</v>
      </c>
    </row>
    <row r="1545" spans="1:20">
      <c r="A1545" s="9">
        <v>10837</v>
      </c>
      <c r="B1545" s="6">
        <v>76</v>
      </c>
      <c r="C1545" s="6">
        <v>18</v>
      </c>
      <c r="D1545" s="6">
        <v>21</v>
      </c>
      <c r="E1545" s="18">
        <v>0.25</v>
      </c>
      <c r="F1545" s="6" t="str">
        <f>IFERROR(VLOOKUP(VLOOKUP(A1545,'Sales Order'!A:B,2,FALSE),Customer!A:C,3,FALSE),"Not Specified")</f>
        <v>Higginbotham, Tom</v>
      </c>
      <c r="G1545" s="6" t="str">
        <f t="shared" si="48"/>
        <v>Higginbotham Tom</v>
      </c>
      <c r="H1545" s="22" t="str">
        <f>IFERROR(VLOOKUP(VLOOKUP(A1545,'Sales Order'!A:C,3,FALSE),Employee!A:E,5,FALSE)&amp;" "&amp;VLOOKUP(VLOOKUP(A1545,'Sales Order'!A:C,3,FALSE),Employee!A:C,3,FALSE)&amp;" "&amp;VLOOKUP(VLOOKUP(A1545,'Sales Order'!A:C,3,FALSE),Employee!A:B,2,FALSE),"Not Specified")</f>
        <v>Ms. Zoya Dolgopyatova</v>
      </c>
      <c r="I1545">
        <f>IFERROR(VLOOKUP(VLOOKUP(A1545,'Sales Order'!A:C,3,FALSE),Employee!A:J,10,FALSE),"Not Specified")</f>
        <v>0</v>
      </c>
      <c r="J1545" t="str">
        <f>VLOOKUP(B1545,Product!A:B,2,FALSE)</f>
        <v>Product JYGFE</v>
      </c>
      <c r="K1545" t="str">
        <f>VLOOKUP(VLOOKUP(B1545,Product!A:D,4,FALSE),Category!A:B,2,FALSE)</f>
        <v>Beverages</v>
      </c>
      <c r="L1545" s="24">
        <f>IFERROR(VLOOKUP(A1545,'Sales Order'!A:D,4,FALSE),"")</f>
        <v>39463</v>
      </c>
      <c r="M1545" s="24">
        <f>IFERROR(VLOOKUP(A1545,'Sales Order'!A:F,6,FALSE),"")</f>
        <v>39470</v>
      </c>
      <c r="N1545" t="str">
        <f>IFERROR(VLOOKUP(VLOOKUP(A1545,'Sales Order'!A:G,7,FALSE),Shipper!A:B,2,FALSE),"Not Specified")</f>
        <v>Shipper ZHISN</v>
      </c>
      <c r="O1545" t="str">
        <f>IFERROR(VLOOKUP(A1545,'Sales Order'!A:I,9,FALSE),"Not Specified")</f>
        <v>Ship to 5-A</v>
      </c>
      <c r="P1545" t="str">
        <f>IFERROR(VLOOKUP(A1545,'Sales Order'!A:N,14,FALSE),"Not Specified")</f>
        <v>Sweden</v>
      </c>
      <c r="Q1545" t="str">
        <f>VLOOKUP(VLOOKUP(B1545,Product!A:C,3,FALSE),Supplier!A:B,2,FALSE)</f>
        <v>Supplier ELCRN</v>
      </c>
      <c r="R1545" t="str">
        <f>VLOOKUP(VLOOKUP(B1545,Product!A:C,3,FALSE),Supplier!A:I,9,FALSE)</f>
        <v>Finland</v>
      </c>
      <c r="S1545" t="str">
        <f>IFERROR(IF(VLOOKUP(A1545,'Sales Order'!A:H,8,FALSE)&gt;100,"High Freight","Low Freight"),"Not Specified")</f>
        <v>Low Freight</v>
      </c>
      <c r="T1545">
        <f t="shared" si="49"/>
        <v>283.5</v>
      </c>
    </row>
    <row r="1546" spans="1:20">
      <c r="A1546" s="9">
        <v>10838</v>
      </c>
      <c r="B1546" s="6">
        <v>1</v>
      </c>
      <c r="C1546" s="6">
        <v>18</v>
      </c>
      <c r="D1546" s="6">
        <v>4</v>
      </c>
      <c r="E1546" s="18">
        <v>0.25</v>
      </c>
      <c r="F1546" s="6" t="str">
        <f>IFERROR(VLOOKUP(VLOOKUP(A1546,'Sales Order'!A:B,2,FALSE),Customer!A:C,3,FALSE),"Not Specified")</f>
        <v>Lupu, Cornel</v>
      </c>
      <c r="G1546" s="6" t="str">
        <f t="shared" si="48"/>
        <v>Lupu Cornel</v>
      </c>
      <c r="H1546" s="22" t="str">
        <f>IFERROR(VLOOKUP(VLOOKUP(A1546,'Sales Order'!A:C,3,FALSE),Employee!A:E,5,FALSE)&amp;" "&amp;VLOOKUP(VLOOKUP(A1546,'Sales Order'!A:C,3,FALSE),Employee!A:C,3,FALSE)&amp;" "&amp;VLOOKUP(VLOOKUP(A1546,'Sales Order'!A:C,3,FALSE),Employee!A:B,2,FALSE),"Not Specified")</f>
        <v>Ms. Judy Lew</v>
      </c>
      <c r="I1546" t="str">
        <f>IFERROR(VLOOKUP(VLOOKUP(A1546,'Sales Order'!A:C,3,FALSE),Employee!A:J,10,FALSE),"Not Specified")</f>
        <v>WA</v>
      </c>
      <c r="J1546" t="str">
        <f>VLOOKUP(B1546,Product!A:B,2,FALSE)</f>
        <v>Product HHYDP</v>
      </c>
      <c r="K1546" t="str">
        <f>VLOOKUP(VLOOKUP(B1546,Product!A:D,4,FALSE),Category!A:B,2,FALSE)</f>
        <v>Beverages</v>
      </c>
      <c r="L1546" s="24">
        <f>IFERROR(VLOOKUP(A1546,'Sales Order'!A:D,4,FALSE),"")</f>
        <v>39466</v>
      </c>
      <c r="M1546" s="24">
        <f>IFERROR(VLOOKUP(A1546,'Sales Order'!A:F,6,FALSE),"")</f>
        <v>39470</v>
      </c>
      <c r="N1546" t="str">
        <f>IFERROR(VLOOKUP(VLOOKUP(A1546,'Sales Order'!A:G,7,FALSE),Shipper!A:B,2,FALSE),"Not Specified")</f>
        <v>Shipper ZHISN</v>
      </c>
      <c r="O1546" t="str">
        <f>IFERROR(VLOOKUP(A1546,'Sales Order'!A:I,9,FALSE),"Not Specified")</f>
        <v>Ship to 47-A</v>
      </c>
      <c r="P1546" t="str">
        <f>IFERROR(VLOOKUP(A1546,'Sales Order'!A:N,14,FALSE),"Not Specified")</f>
        <v>Venezuela</v>
      </c>
      <c r="Q1546" t="str">
        <f>VLOOKUP(VLOOKUP(B1546,Product!A:C,3,FALSE),Supplier!A:B,2,FALSE)</f>
        <v>Supplier SWRXU</v>
      </c>
      <c r="R1546" t="str">
        <f>VLOOKUP(VLOOKUP(B1546,Product!A:C,3,FALSE),Supplier!A:I,9,FALSE)</f>
        <v>UK</v>
      </c>
      <c r="S1546" t="str">
        <f>IFERROR(IF(VLOOKUP(A1546,'Sales Order'!A:H,8,FALSE)&gt;100,"High Freight","Low Freight"),"Not Specified")</f>
        <v>Low Freight</v>
      </c>
      <c r="T1546">
        <f t="shared" si="49"/>
        <v>54</v>
      </c>
    </row>
    <row r="1547" spans="1:20">
      <c r="A1547" s="9">
        <v>10838</v>
      </c>
      <c r="B1547" s="6">
        <v>18</v>
      </c>
      <c r="C1547" s="6">
        <v>62.5</v>
      </c>
      <c r="D1547" s="6">
        <v>25</v>
      </c>
      <c r="E1547" s="18">
        <v>0.25</v>
      </c>
      <c r="F1547" s="6" t="str">
        <f>IFERROR(VLOOKUP(VLOOKUP(A1547,'Sales Order'!A:B,2,FALSE),Customer!A:C,3,FALSE),"Not Specified")</f>
        <v>Lupu, Cornel</v>
      </c>
      <c r="G1547" s="6" t="str">
        <f t="shared" si="48"/>
        <v>Lupu Cornel</v>
      </c>
      <c r="H1547" s="22" t="str">
        <f>IFERROR(VLOOKUP(VLOOKUP(A1547,'Sales Order'!A:C,3,FALSE),Employee!A:E,5,FALSE)&amp;" "&amp;VLOOKUP(VLOOKUP(A1547,'Sales Order'!A:C,3,FALSE),Employee!A:C,3,FALSE)&amp;" "&amp;VLOOKUP(VLOOKUP(A1547,'Sales Order'!A:C,3,FALSE),Employee!A:B,2,FALSE),"Not Specified")</f>
        <v>Ms. Judy Lew</v>
      </c>
      <c r="I1547" t="str">
        <f>IFERROR(VLOOKUP(VLOOKUP(A1547,'Sales Order'!A:C,3,FALSE),Employee!A:J,10,FALSE),"Not Specified")</f>
        <v>WA</v>
      </c>
      <c r="J1547" t="str">
        <f>VLOOKUP(B1547,Product!A:B,2,FALSE)</f>
        <v>Product CKEDC</v>
      </c>
      <c r="K1547" t="str">
        <f>VLOOKUP(VLOOKUP(B1547,Product!A:D,4,FALSE),Category!A:B,2,FALSE)</f>
        <v>Seafood</v>
      </c>
      <c r="L1547" s="24">
        <f>IFERROR(VLOOKUP(A1547,'Sales Order'!A:D,4,FALSE),"")</f>
        <v>39466</v>
      </c>
      <c r="M1547" s="24">
        <f>IFERROR(VLOOKUP(A1547,'Sales Order'!A:F,6,FALSE),"")</f>
        <v>39470</v>
      </c>
      <c r="N1547" t="str">
        <f>IFERROR(VLOOKUP(VLOOKUP(A1547,'Sales Order'!A:G,7,FALSE),Shipper!A:B,2,FALSE),"Not Specified")</f>
        <v>Shipper ZHISN</v>
      </c>
      <c r="O1547" t="str">
        <f>IFERROR(VLOOKUP(A1547,'Sales Order'!A:I,9,FALSE),"Not Specified")</f>
        <v>Ship to 47-A</v>
      </c>
      <c r="P1547" t="str">
        <f>IFERROR(VLOOKUP(A1547,'Sales Order'!A:N,14,FALSE),"Not Specified")</f>
        <v>Venezuela</v>
      </c>
      <c r="Q1547" t="str">
        <f>VLOOKUP(VLOOKUP(B1547,Product!A:C,3,FALSE),Supplier!A:B,2,FALSE)</f>
        <v>Supplier GQRCV</v>
      </c>
      <c r="R1547" t="str">
        <f>VLOOKUP(VLOOKUP(B1547,Product!A:C,3,FALSE),Supplier!A:I,9,FALSE)</f>
        <v>Australia</v>
      </c>
      <c r="S1547" t="str">
        <f>IFERROR(IF(VLOOKUP(A1547,'Sales Order'!A:H,8,FALSE)&gt;100,"High Freight","Low Freight"),"Not Specified")</f>
        <v>Low Freight</v>
      </c>
      <c r="T1547">
        <f t="shared" si="49"/>
        <v>1171.875</v>
      </c>
    </row>
    <row r="1548" spans="1:20">
      <c r="A1548" s="9">
        <v>10838</v>
      </c>
      <c r="B1548" s="6">
        <v>36</v>
      </c>
      <c r="C1548" s="6">
        <v>19</v>
      </c>
      <c r="D1548" s="6">
        <v>50</v>
      </c>
      <c r="E1548" s="18">
        <v>0.25</v>
      </c>
      <c r="F1548" s="6" t="str">
        <f>IFERROR(VLOOKUP(VLOOKUP(A1548,'Sales Order'!A:B,2,FALSE),Customer!A:C,3,FALSE),"Not Specified")</f>
        <v>Lupu, Cornel</v>
      </c>
      <c r="G1548" s="6" t="str">
        <f t="shared" si="48"/>
        <v>Lupu Cornel</v>
      </c>
      <c r="H1548" s="22" t="str">
        <f>IFERROR(VLOOKUP(VLOOKUP(A1548,'Sales Order'!A:C,3,FALSE),Employee!A:E,5,FALSE)&amp;" "&amp;VLOOKUP(VLOOKUP(A1548,'Sales Order'!A:C,3,FALSE),Employee!A:C,3,FALSE)&amp;" "&amp;VLOOKUP(VLOOKUP(A1548,'Sales Order'!A:C,3,FALSE),Employee!A:B,2,FALSE),"Not Specified")</f>
        <v>Ms. Judy Lew</v>
      </c>
      <c r="I1548" t="str">
        <f>IFERROR(VLOOKUP(VLOOKUP(A1548,'Sales Order'!A:C,3,FALSE),Employee!A:J,10,FALSE),"Not Specified")</f>
        <v>WA</v>
      </c>
      <c r="J1548" t="str">
        <f>VLOOKUP(B1548,Product!A:B,2,FALSE)</f>
        <v>Product GMKIJ</v>
      </c>
      <c r="K1548" t="str">
        <f>VLOOKUP(VLOOKUP(B1548,Product!A:D,4,FALSE),Category!A:B,2,FALSE)</f>
        <v>Seafood</v>
      </c>
      <c r="L1548" s="24">
        <f>IFERROR(VLOOKUP(A1548,'Sales Order'!A:D,4,FALSE),"")</f>
        <v>39466</v>
      </c>
      <c r="M1548" s="24">
        <f>IFERROR(VLOOKUP(A1548,'Sales Order'!A:F,6,FALSE),"")</f>
        <v>39470</v>
      </c>
      <c r="N1548" t="str">
        <f>IFERROR(VLOOKUP(VLOOKUP(A1548,'Sales Order'!A:G,7,FALSE),Shipper!A:B,2,FALSE),"Not Specified")</f>
        <v>Shipper ZHISN</v>
      </c>
      <c r="O1548" t="str">
        <f>IFERROR(VLOOKUP(A1548,'Sales Order'!A:I,9,FALSE),"Not Specified")</f>
        <v>Ship to 47-A</v>
      </c>
      <c r="P1548" t="str">
        <f>IFERROR(VLOOKUP(A1548,'Sales Order'!A:N,14,FALSE),"Not Specified")</f>
        <v>Venezuela</v>
      </c>
      <c r="Q1548" t="str">
        <f>VLOOKUP(VLOOKUP(B1548,Product!A:C,3,FALSE),Supplier!A:B,2,FALSE)</f>
        <v>Supplier QZGUF</v>
      </c>
      <c r="R1548" t="str">
        <f>VLOOKUP(VLOOKUP(B1548,Product!A:C,3,FALSE),Supplier!A:I,9,FALSE)</f>
        <v>Sweden</v>
      </c>
      <c r="S1548" t="str">
        <f>IFERROR(IF(VLOOKUP(A1548,'Sales Order'!A:H,8,FALSE)&gt;100,"High Freight","Low Freight"),"Not Specified")</f>
        <v>Low Freight</v>
      </c>
      <c r="T1548">
        <f t="shared" si="49"/>
        <v>712.5</v>
      </c>
    </row>
    <row r="1549" spans="1:20">
      <c r="A1549" s="9">
        <v>10839</v>
      </c>
      <c r="B1549" s="6">
        <v>58</v>
      </c>
      <c r="C1549" s="6">
        <v>13.25</v>
      </c>
      <c r="D1549" s="6">
        <v>30</v>
      </c>
      <c r="E1549" s="18">
        <v>0.1</v>
      </c>
      <c r="F1549" s="6" t="str">
        <f>IFERROR(VLOOKUP(VLOOKUP(A1549,'Sales Order'!A:B,2,FALSE),Customer!A:C,3,FALSE),"Not Specified")</f>
        <v>Nagel, Jean-Philippe</v>
      </c>
      <c r="G1549" s="6" t="str">
        <f t="shared" si="48"/>
        <v>Nagel Jean-Philippe</v>
      </c>
      <c r="H1549" s="22" t="str">
        <f>IFERROR(VLOOKUP(VLOOKUP(A1549,'Sales Order'!A:C,3,FALSE),Employee!A:E,5,FALSE)&amp;" "&amp;VLOOKUP(VLOOKUP(A1549,'Sales Order'!A:C,3,FALSE),Employee!A:C,3,FALSE)&amp;" "&amp;VLOOKUP(VLOOKUP(A1549,'Sales Order'!A:C,3,FALSE),Employee!A:B,2,FALSE),"Not Specified")</f>
        <v>Ms. Judy Lew</v>
      </c>
      <c r="I1549" t="str">
        <f>IFERROR(VLOOKUP(VLOOKUP(A1549,'Sales Order'!A:C,3,FALSE),Employee!A:J,10,FALSE),"Not Specified")</f>
        <v>WA</v>
      </c>
      <c r="J1549" t="str">
        <f>VLOOKUP(B1549,Product!A:B,2,FALSE)</f>
        <v>Product ACRVI</v>
      </c>
      <c r="K1549" t="str">
        <f>VLOOKUP(VLOOKUP(B1549,Product!A:D,4,FALSE),Category!A:B,2,FALSE)</f>
        <v>Seafood</v>
      </c>
      <c r="L1549" s="24">
        <f>IFERROR(VLOOKUP(A1549,'Sales Order'!A:D,4,FALSE),"")</f>
        <v>39466</v>
      </c>
      <c r="M1549" s="24">
        <f>IFERROR(VLOOKUP(A1549,'Sales Order'!A:F,6,FALSE),"")</f>
        <v>39469</v>
      </c>
      <c r="N1549" t="str">
        <f>IFERROR(VLOOKUP(VLOOKUP(A1549,'Sales Order'!A:G,7,FALSE),Shipper!A:B,2,FALSE),"Not Specified")</f>
        <v>Shipper ZHISN</v>
      </c>
      <c r="O1549" t="str">
        <f>IFERROR(VLOOKUP(A1549,'Sales Order'!A:I,9,FALSE),"Not Specified")</f>
        <v>Ship to 81-C</v>
      </c>
      <c r="P1549" t="str">
        <f>IFERROR(VLOOKUP(A1549,'Sales Order'!A:N,14,FALSE),"Not Specified")</f>
        <v>Brazil</v>
      </c>
      <c r="Q1549" t="str">
        <f>VLOOKUP(VLOOKUP(B1549,Product!A:C,3,FALSE),Supplier!A:B,2,FALSE)</f>
        <v>Supplier ZRYDZ</v>
      </c>
      <c r="R1549" t="str">
        <f>VLOOKUP(VLOOKUP(B1549,Product!A:C,3,FALSE),Supplier!A:I,9,FALSE)</f>
        <v>France</v>
      </c>
      <c r="S1549" t="str">
        <f>IFERROR(IF(VLOOKUP(A1549,'Sales Order'!A:H,8,FALSE)&gt;100,"High Freight","Low Freight"),"Not Specified")</f>
        <v>Low Freight</v>
      </c>
      <c r="T1549">
        <f t="shared" si="49"/>
        <v>357.75</v>
      </c>
    </row>
    <row r="1550" spans="1:20">
      <c r="A1550" s="9">
        <v>10839</v>
      </c>
      <c r="B1550" s="6">
        <v>72</v>
      </c>
      <c r="C1550" s="6">
        <v>34.799999999999997</v>
      </c>
      <c r="D1550" s="6">
        <v>15</v>
      </c>
      <c r="E1550" s="18">
        <v>0.1</v>
      </c>
      <c r="F1550" s="6" t="str">
        <f>IFERROR(VLOOKUP(VLOOKUP(A1550,'Sales Order'!A:B,2,FALSE),Customer!A:C,3,FALSE),"Not Specified")</f>
        <v>Nagel, Jean-Philippe</v>
      </c>
      <c r="G1550" s="6" t="str">
        <f t="shared" si="48"/>
        <v>Nagel Jean-Philippe</v>
      </c>
      <c r="H1550" s="22" t="str">
        <f>IFERROR(VLOOKUP(VLOOKUP(A1550,'Sales Order'!A:C,3,FALSE),Employee!A:E,5,FALSE)&amp;" "&amp;VLOOKUP(VLOOKUP(A1550,'Sales Order'!A:C,3,FALSE),Employee!A:C,3,FALSE)&amp;" "&amp;VLOOKUP(VLOOKUP(A1550,'Sales Order'!A:C,3,FALSE),Employee!A:B,2,FALSE),"Not Specified")</f>
        <v>Ms. Judy Lew</v>
      </c>
      <c r="I1550" t="str">
        <f>IFERROR(VLOOKUP(VLOOKUP(A1550,'Sales Order'!A:C,3,FALSE),Employee!A:J,10,FALSE),"Not Specified")</f>
        <v>WA</v>
      </c>
      <c r="J1550" t="str">
        <f>VLOOKUP(B1550,Product!A:B,2,FALSE)</f>
        <v>Product GEEOO</v>
      </c>
      <c r="K1550" t="str">
        <f>VLOOKUP(VLOOKUP(B1550,Product!A:D,4,FALSE),Category!A:B,2,FALSE)</f>
        <v>Dairy Product</v>
      </c>
      <c r="L1550" s="24">
        <f>IFERROR(VLOOKUP(A1550,'Sales Order'!A:D,4,FALSE),"")</f>
        <v>39466</v>
      </c>
      <c r="M1550" s="24">
        <f>IFERROR(VLOOKUP(A1550,'Sales Order'!A:F,6,FALSE),"")</f>
        <v>39469</v>
      </c>
      <c r="N1550" t="str">
        <f>IFERROR(VLOOKUP(VLOOKUP(A1550,'Sales Order'!A:G,7,FALSE),Shipper!A:B,2,FALSE),"Not Specified")</f>
        <v>Shipper ZHISN</v>
      </c>
      <c r="O1550" t="str">
        <f>IFERROR(VLOOKUP(A1550,'Sales Order'!A:I,9,FALSE),"Not Specified")</f>
        <v>Ship to 81-C</v>
      </c>
      <c r="P1550" t="str">
        <f>IFERROR(VLOOKUP(A1550,'Sales Order'!A:N,14,FALSE),"Not Specified")</f>
        <v>Brazil</v>
      </c>
      <c r="Q1550" t="str">
        <f>VLOOKUP(VLOOKUP(B1550,Product!A:C,3,FALSE),Supplier!A:B,2,FALSE)</f>
        <v>Supplier KEREV</v>
      </c>
      <c r="R1550" t="str">
        <f>VLOOKUP(VLOOKUP(B1550,Product!A:C,3,FALSE),Supplier!A:I,9,FALSE)</f>
        <v>Italy</v>
      </c>
      <c r="S1550" t="str">
        <f>IFERROR(IF(VLOOKUP(A1550,'Sales Order'!A:H,8,FALSE)&gt;100,"High Freight","Low Freight"),"Not Specified")</f>
        <v>Low Freight</v>
      </c>
      <c r="T1550">
        <f t="shared" si="49"/>
        <v>469.8</v>
      </c>
    </row>
    <row r="1551" spans="1:20">
      <c r="A1551" s="9">
        <v>10840</v>
      </c>
      <c r="B1551" s="6">
        <v>25</v>
      </c>
      <c r="C1551" s="6">
        <v>14</v>
      </c>
      <c r="D1551" s="6">
        <v>6</v>
      </c>
      <c r="E1551" s="18">
        <v>0.2</v>
      </c>
      <c r="F1551" s="6" t="str">
        <f>IFERROR(VLOOKUP(VLOOKUP(A1551,'Sales Order'!A:B,2,FALSE),Customer!A:C,3,FALSE),"Not Specified")</f>
        <v>Lupu, Cornel</v>
      </c>
      <c r="G1551" s="6" t="str">
        <f t="shared" si="48"/>
        <v>Lupu Cornel</v>
      </c>
      <c r="H1551" s="22" t="str">
        <f>IFERROR(VLOOKUP(VLOOKUP(A1551,'Sales Order'!A:C,3,FALSE),Employee!A:E,5,FALSE)&amp;" "&amp;VLOOKUP(VLOOKUP(A1551,'Sales Order'!A:C,3,FALSE),Employee!A:C,3,FALSE)&amp;" "&amp;VLOOKUP(VLOOKUP(A1551,'Sales Order'!A:C,3,FALSE),Employee!A:B,2,FALSE),"Not Specified")</f>
        <v>Mrs. Yael Peled</v>
      </c>
      <c r="I1551" t="str">
        <f>IFERROR(VLOOKUP(VLOOKUP(A1551,'Sales Order'!A:C,3,FALSE),Employee!A:J,10,FALSE),"Not Specified")</f>
        <v>WA</v>
      </c>
      <c r="J1551" t="str">
        <f>VLOOKUP(B1551,Product!A:B,2,FALSE)</f>
        <v>Product LYLNI</v>
      </c>
      <c r="K1551" t="str">
        <f>VLOOKUP(VLOOKUP(B1551,Product!A:D,4,FALSE),Category!A:B,2,FALSE)</f>
        <v>Confections</v>
      </c>
      <c r="L1551" s="24">
        <f>IFERROR(VLOOKUP(A1551,'Sales Order'!A:D,4,FALSE),"")</f>
        <v>39466</v>
      </c>
      <c r="M1551" s="24">
        <f>IFERROR(VLOOKUP(A1551,'Sales Order'!A:F,6,FALSE),"")</f>
        <v>39494</v>
      </c>
      <c r="N1551" t="str">
        <f>IFERROR(VLOOKUP(VLOOKUP(A1551,'Sales Order'!A:G,7,FALSE),Shipper!A:B,2,FALSE),"Not Specified")</f>
        <v>Shipper ETYNR</v>
      </c>
      <c r="O1551" t="str">
        <f>IFERROR(VLOOKUP(A1551,'Sales Order'!A:I,9,FALSE),"Not Specified")</f>
        <v>Ship to 47-A</v>
      </c>
      <c r="P1551" t="str">
        <f>IFERROR(VLOOKUP(A1551,'Sales Order'!A:N,14,FALSE),"Not Specified")</f>
        <v>Venezuela</v>
      </c>
      <c r="Q1551" t="str">
        <f>VLOOKUP(VLOOKUP(B1551,Product!A:C,3,FALSE),Supplier!A:B,2,FALSE)</f>
        <v>Supplier ZPYVS</v>
      </c>
      <c r="R1551" t="str">
        <f>VLOOKUP(VLOOKUP(B1551,Product!A:C,3,FALSE),Supplier!A:I,9,FALSE)</f>
        <v>Germany</v>
      </c>
      <c r="S1551" t="str">
        <f>IFERROR(IF(VLOOKUP(A1551,'Sales Order'!A:H,8,FALSE)&gt;100,"High Freight","Low Freight"),"Not Specified")</f>
        <v>Low Freight</v>
      </c>
      <c r="T1551">
        <f t="shared" si="49"/>
        <v>67.2</v>
      </c>
    </row>
    <row r="1552" spans="1:20">
      <c r="A1552" s="9">
        <v>10840</v>
      </c>
      <c r="B1552" s="6">
        <v>39</v>
      </c>
      <c r="C1552" s="6">
        <v>18</v>
      </c>
      <c r="D1552" s="6">
        <v>10</v>
      </c>
      <c r="E1552" s="18">
        <v>0.2</v>
      </c>
      <c r="F1552" s="6" t="str">
        <f>IFERROR(VLOOKUP(VLOOKUP(A1552,'Sales Order'!A:B,2,FALSE),Customer!A:C,3,FALSE),"Not Specified")</f>
        <v>Lupu, Cornel</v>
      </c>
      <c r="G1552" s="6" t="str">
        <f t="shared" si="48"/>
        <v>Lupu Cornel</v>
      </c>
      <c r="H1552" s="22" t="str">
        <f>IFERROR(VLOOKUP(VLOOKUP(A1552,'Sales Order'!A:C,3,FALSE),Employee!A:E,5,FALSE)&amp;" "&amp;VLOOKUP(VLOOKUP(A1552,'Sales Order'!A:C,3,FALSE),Employee!A:C,3,FALSE)&amp;" "&amp;VLOOKUP(VLOOKUP(A1552,'Sales Order'!A:C,3,FALSE),Employee!A:B,2,FALSE),"Not Specified")</f>
        <v>Mrs. Yael Peled</v>
      </c>
      <c r="I1552" t="str">
        <f>IFERROR(VLOOKUP(VLOOKUP(A1552,'Sales Order'!A:C,3,FALSE),Employee!A:J,10,FALSE),"Not Specified")</f>
        <v>WA</v>
      </c>
      <c r="J1552" t="str">
        <f>VLOOKUP(B1552,Product!A:B,2,FALSE)</f>
        <v>Product LSOFL</v>
      </c>
      <c r="K1552" t="str">
        <f>VLOOKUP(VLOOKUP(B1552,Product!A:D,4,FALSE),Category!A:B,2,FALSE)</f>
        <v>Beverages</v>
      </c>
      <c r="L1552" s="24">
        <f>IFERROR(VLOOKUP(A1552,'Sales Order'!A:D,4,FALSE),"")</f>
        <v>39466</v>
      </c>
      <c r="M1552" s="24">
        <f>IFERROR(VLOOKUP(A1552,'Sales Order'!A:F,6,FALSE),"")</f>
        <v>39494</v>
      </c>
      <c r="N1552" t="str">
        <f>IFERROR(VLOOKUP(VLOOKUP(A1552,'Sales Order'!A:G,7,FALSE),Shipper!A:B,2,FALSE),"Not Specified")</f>
        <v>Shipper ETYNR</v>
      </c>
      <c r="O1552" t="str">
        <f>IFERROR(VLOOKUP(A1552,'Sales Order'!A:I,9,FALSE),"Not Specified")</f>
        <v>Ship to 47-A</v>
      </c>
      <c r="P1552" t="str">
        <f>IFERROR(VLOOKUP(A1552,'Sales Order'!A:N,14,FALSE),"Not Specified")</f>
        <v>Venezuela</v>
      </c>
      <c r="Q1552" t="str">
        <f>VLOOKUP(VLOOKUP(B1552,Product!A:C,3,FALSE),Supplier!A:B,2,FALSE)</f>
        <v>Supplier LVJUA</v>
      </c>
      <c r="R1552" t="str">
        <f>VLOOKUP(VLOOKUP(B1552,Product!A:C,3,FALSE),Supplier!A:I,9,FALSE)</f>
        <v>France</v>
      </c>
      <c r="S1552" t="str">
        <f>IFERROR(IF(VLOOKUP(A1552,'Sales Order'!A:H,8,FALSE)&gt;100,"High Freight","Low Freight"),"Not Specified")</f>
        <v>Low Freight</v>
      </c>
      <c r="T1552">
        <f t="shared" si="49"/>
        <v>144</v>
      </c>
    </row>
    <row r="1553" spans="1:20">
      <c r="A1553" s="9">
        <v>10841</v>
      </c>
      <c r="B1553" s="6">
        <v>10</v>
      </c>
      <c r="C1553" s="6">
        <v>31</v>
      </c>
      <c r="D1553" s="6">
        <v>16</v>
      </c>
      <c r="E1553" s="18">
        <v>0</v>
      </c>
      <c r="F1553" s="6" t="str">
        <f>IFERROR(VLOOKUP(VLOOKUP(A1553,'Sales Order'!A:B,2,FALSE),Customer!A:C,3,FALSE),"Not Specified")</f>
        <v>Gulbis, Katrin</v>
      </c>
      <c r="G1553" s="6" t="str">
        <f t="shared" si="48"/>
        <v>Gulbis Katrin</v>
      </c>
      <c r="H1553" s="22" t="str">
        <f>IFERROR(VLOOKUP(VLOOKUP(A1553,'Sales Order'!A:C,3,FALSE),Employee!A:E,5,FALSE)&amp;" "&amp;VLOOKUP(VLOOKUP(A1553,'Sales Order'!A:C,3,FALSE),Employee!A:C,3,FALSE)&amp;" "&amp;VLOOKUP(VLOOKUP(A1553,'Sales Order'!A:C,3,FALSE),Employee!A:B,2,FALSE),"Not Specified")</f>
        <v>Mr. Sven Buck</v>
      </c>
      <c r="I1553">
        <f>IFERROR(VLOOKUP(VLOOKUP(A1553,'Sales Order'!A:C,3,FALSE),Employee!A:J,10,FALSE),"Not Specified")</f>
        <v>0</v>
      </c>
      <c r="J1553" t="str">
        <f>VLOOKUP(B1553,Product!A:B,2,FALSE)</f>
        <v>Product YHXGE</v>
      </c>
      <c r="K1553" t="str">
        <f>VLOOKUP(VLOOKUP(B1553,Product!A:D,4,FALSE),Category!A:B,2,FALSE)</f>
        <v>Seafood</v>
      </c>
      <c r="L1553" s="24">
        <f>IFERROR(VLOOKUP(A1553,'Sales Order'!A:D,4,FALSE),"")</f>
        <v>39467</v>
      </c>
      <c r="M1553" s="24">
        <f>IFERROR(VLOOKUP(A1553,'Sales Order'!A:F,6,FALSE),"")</f>
        <v>39476</v>
      </c>
      <c r="N1553" t="str">
        <f>IFERROR(VLOOKUP(VLOOKUP(A1553,'Sales Order'!A:G,7,FALSE),Shipper!A:B,2,FALSE),"Not Specified")</f>
        <v>Shipper ETYNR</v>
      </c>
      <c r="O1553" t="str">
        <f>IFERROR(VLOOKUP(A1553,'Sales Order'!A:I,9,FALSE),"Not Specified")</f>
        <v>Ship to 76-B</v>
      </c>
      <c r="P1553" t="str">
        <f>IFERROR(VLOOKUP(A1553,'Sales Order'!A:N,14,FALSE),"Not Specified")</f>
        <v>Belgium</v>
      </c>
      <c r="Q1553" t="str">
        <f>VLOOKUP(VLOOKUP(B1553,Product!A:C,3,FALSE),Supplier!A:B,2,FALSE)</f>
        <v>Supplier QOVFD</v>
      </c>
      <c r="R1553" t="str">
        <f>VLOOKUP(VLOOKUP(B1553,Product!A:C,3,FALSE),Supplier!A:I,9,FALSE)</f>
        <v>Japan</v>
      </c>
      <c r="S1553" t="str">
        <f>IFERROR(IF(VLOOKUP(A1553,'Sales Order'!A:H,8,FALSE)&gt;100,"High Freight","Low Freight"),"Not Specified")</f>
        <v>High Freight</v>
      </c>
      <c r="T1553">
        <f t="shared" si="49"/>
        <v>496</v>
      </c>
    </row>
    <row r="1554" spans="1:20">
      <c r="A1554" s="9">
        <v>10841</v>
      </c>
      <c r="B1554" s="6">
        <v>56</v>
      </c>
      <c r="C1554" s="6">
        <v>38</v>
      </c>
      <c r="D1554" s="6">
        <v>30</v>
      </c>
      <c r="E1554" s="18">
        <v>0</v>
      </c>
      <c r="F1554" s="6" t="str">
        <f>IFERROR(VLOOKUP(VLOOKUP(A1554,'Sales Order'!A:B,2,FALSE),Customer!A:C,3,FALSE),"Not Specified")</f>
        <v>Gulbis, Katrin</v>
      </c>
      <c r="G1554" s="6" t="str">
        <f t="shared" si="48"/>
        <v>Gulbis Katrin</v>
      </c>
      <c r="H1554" s="22" t="str">
        <f>IFERROR(VLOOKUP(VLOOKUP(A1554,'Sales Order'!A:C,3,FALSE),Employee!A:E,5,FALSE)&amp;" "&amp;VLOOKUP(VLOOKUP(A1554,'Sales Order'!A:C,3,FALSE),Employee!A:C,3,FALSE)&amp;" "&amp;VLOOKUP(VLOOKUP(A1554,'Sales Order'!A:C,3,FALSE),Employee!A:B,2,FALSE),"Not Specified")</f>
        <v>Mr. Sven Buck</v>
      </c>
      <c r="I1554">
        <f>IFERROR(VLOOKUP(VLOOKUP(A1554,'Sales Order'!A:C,3,FALSE),Employee!A:J,10,FALSE),"Not Specified")</f>
        <v>0</v>
      </c>
      <c r="J1554" t="str">
        <f>VLOOKUP(B1554,Product!A:B,2,FALSE)</f>
        <v>Product VKCMF</v>
      </c>
      <c r="K1554" t="str">
        <f>VLOOKUP(VLOOKUP(B1554,Product!A:D,4,FALSE),Category!A:B,2,FALSE)</f>
        <v>Grains/Cereals</v>
      </c>
      <c r="L1554" s="24">
        <f>IFERROR(VLOOKUP(A1554,'Sales Order'!A:D,4,FALSE),"")</f>
        <v>39467</v>
      </c>
      <c r="M1554" s="24">
        <f>IFERROR(VLOOKUP(A1554,'Sales Order'!A:F,6,FALSE),"")</f>
        <v>39476</v>
      </c>
      <c r="N1554" t="str">
        <f>IFERROR(VLOOKUP(VLOOKUP(A1554,'Sales Order'!A:G,7,FALSE),Shipper!A:B,2,FALSE),"Not Specified")</f>
        <v>Shipper ETYNR</v>
      </c>
      <c r="O1554" t="str">
        <f>IFERROR(VLOOKUP(A1554,'Sales Order'!A:I,9,FALSE),"Not Specified")</f>
        <v>Ship to 76-B</v>
      </c>
      <c r="P1554" t="str">
        <f>IFERROR(VLOOKUP(A1554,'Sales Order'!A:N,14,FALSE),"Not Specified")</f>
        <v>Belgium</v>
      </c>
      <c r="Q1554" t="str">
        <f>VLOOKUP(VLOOKUP(B1554,Product!A:C,3,FALSE),Supplier!A:B,2,FALSE)</f>
        <v>Supplier ZWZDM</v>
      </c>
      <c r="R1554" t="str">
        <f>VLOOKUP(VLOOKUP(B1554,Product!A:C,3,FALSE),Supplier!A:I,9,FALSE)</f>
        <v>Italy</v>
      </c>
      <c r="S1554" t="str">
        <f>IFERROR(IF(VLOOKUP(A1554,'Sales Order'!A:H,8,FALSE)&gt;100,"High Freight","Low Freight"),"Not Specified")</f>
        <v>High Freight</v>
      </c>
      <c r="T1554">
        <f t="shared" si="49"/>
        <v>1140</v>
      </c>
    </row>
    <row r="1555" spans="1:20">
      <c r="A1555" s="9">
        <v>10841</v>
      </c>
      <c r="B1555" s="6">
        <v>59</v>
      </c>
      <c r="C1555" s="6">
        <v>55</v>
      </c>
      <c r="D1555" s="6">
        <v>50</v>
      </c>
      <c r="E1555" s="18">
        <v>0</v>
      </c>
      <c r="F1555" s="6" t="str">
        <f>IFERROR(VLOOKUP(VLOOKUP(A1555,'Sales Order'!A:B,2,FALSE),Customer!A:C,3,FALSE),"Not Specified")</f>
        <v>Gulbis, Katrin</v>
      </c>
      <c r="G1555" s="6" t="str">
        <f t="shared" si="48"/>
        <v>Gulbis Katrin</v>
      </c>
      <c r="H1555" s="22" t="str">
        <f>IFERROR(VLOOKUP(VLOOKUP(A1555,'Sales Order'!A:C,3,FALSE),Employee!A:E,5,FALSE)&amp;" "&amp;VLOOKUP(VLOOKUP(A1555,'Sales Order'!A:C,3,FALSE),Employee!A:C,3,FALSE)&amp;" "&amp;VLOOKUP(VLOOKUP(A1555,'Sales Order'!A:C,3,FALSE),Employee!A:B,2,FALSE),"Not Specified")</f>
        <v>Mr. Sven Buck</v>
      </c>
      <c r="I1555">
        <f>IFERROR(VLOOKUP(VLOOKUP(A1555,'Sales Order'!A:C,3,FALSE),Employee!A:J,10,FALSE),"Not Specified")</f>
        <v>0</v>
      </c>
      <c r="J1555" t="str">
        <f>VLOOKUP(B1555,Product!A:B,2,FALSE)</f>
        <v>Product UKXRI</v>
      </c>
      <c r="K1555" t="str">
        <f>VLOOKUP(VLOOKUP(B1555,Product!A:D,4,FALSE),Category!A:B,2,FALSE)</f>
        <v>Dairy Product</v>
      </c>
      <c r="L1555" s="24">
        <f>IFERROR(VLOOKUP(A1555,'Sales Order'!A:D,4,FALSE),"")</f>
        <v>39467</v>
      </c>
      <c r="M1555" s="24">
        <f>IFERROR(VLOOKUP(A1555,'Sales Order'!A:F,6,FALSE),"")</f>
        <v>39476</v>
      </c>
      <c r="N1555" t="str">
        <f>IFERROR(VLOOKUP(VLOOKUP(A1555,'Sales Order'!A:G,7,FALSE),Shipper!A:B,2,FALSE),"Not Specified")</f>
        <v>Shipper ETYNR</v>
      </c>
      <c r="O1555" t="str">
        <f>IFERROR(VLOOKUP(A1555,'Sales Order'!A:I,9,FALSE),"Not Specified")</f>
        <v>Ship to 76-B</v>
      </c>
      <c r="P1555" t="str">
        <f>IFERROR(VLOOKUP(A1555,'Sales Order'!A:N,14,FALSE),"Not Specified")</f>
        <v>Belgium</v>
      </c>
      <c r="Q1555" t="str">
        <f>VLOOKUP(VLOOKUP(B1555,Product!A:C,3,FALSE),Supplier!A:B,2,FALSE)</f>
        <v>Supplier OAVQT</v>
      </c>
      <c r="R1555" t="str">
        <f>VLOOKUP(VLOOKUP(B1555,Product!A:C,3,FALSE),Supplier!A:I,9,FALSE)</f>
        <v>France</v>
      </c>
      <c r="S1555" t="str">
        <f>IFERROR(IF(VLOOKUP(A1555,'Sales Order'!A:H,8,FALSE)&gt;100,"High Freight","Low Freight"),"Not Specified")</f>
        <v>High Freight</v>
      </c>
      <c r="T1555">
        <f t="shared" si="49"/>
        <v>2750</v>
      </c>
    </row>
    <row r="1556" spans="1:20">
      <c r="A1556" s="9">
        <v>10841</v>
      </c>
      <c r="B1556" s="6">
        <v>77</v>
      </c>
      <c r="C1556" s="6">
        <v>13</v>
      </c>
      <c r="D1556" s="6">
        <v>15</v>
      </c>
      <c r="E1556" s="18">
        <v>0</v>
      </c>
      <c r="F1556" s="6" t="str">
        <f>IFERROR(VLOOKUP(VLOOKUP(A1556,'Sales Order'!A:B,2,FALSE),Customer!A:C,3,FALSE),"Not Specified")</f>
        <v>Gulbis, Katrin</v>
      </c>
      <c r="G1556" s="6" t="str">
        <f t="shared" si="48"/>
        <v>Gulbis Katrin</v>
      </c>
      <c r="H1556" s="22" t="str">
        <f>IFERROR(VLOOKUP(VLOOKUP(A1556,'Sales Order'!A:C,3,FALSE),Employee!A:E,5,FALSE)&amp;" "&amp;VLOOKUP(VLOOKUP(A1556,'Sales Order'!A:C,3,FALSE),Employee!A:C,3,FALSE)&amp;" "&amp;VLOOKUP(VLOOKUP(A1556,'Sales Order'!A:C,3,FALSE),Employee!A:B,2,FALSE),"Not Specified")</f>
        <v>Mr. Sven Buck</v>
      </c>
      <c r="I1556">
        <f>IFERROR(VLOOKUP(VLOOKUP(A1556,'Sales Order'!A:C,3,FALSE),Employee!A:J,10,FALSE),"Not Specified")</f>
        <v>0</v>
      </c>
      <c r="J1556" t="str">
        <f>VLOOKUP(B1556,Product!A:B,2,FALSE)</f>
        <v>Product LUNZZ</v>
      </c>
      <c r="K1556" t="str">
        <f>VLOOKUP(VLOOKUP(B1556,Product!A:D,4,FALSE),Category!A:B,2,FALSE)</f>
        <v>Condiments</v>
      </c>
      <c r="L1556" s="24">
        <f>IFERROR(VLOOKUP(A1556,'Sales Order'!A:D,4,FALSE),"")</f>
        <v>39467</v>
      </c>
      <c r="M1556" s="24">
        <f>IFERROR(VLOOKUP(A1556,'Sales Order'!A:F,6,FALSE),"")</f>
        <v>39476</v>
      </c>
      <c r="N1556" t="str">
        <f>IFERROR(VLOOKUP(VLOOKUP(A1556,'Sales Order'!A:G,7,FALSE),Shipper!A:B,2,FALSE),"Not Specified")</f>
        <v>Shipper ETYNR</v>
      </c>
      <c r="O1556" t="str">
        <f>IFERROR(VLOOKUP(A1556,'Sales Order'!A:I,9,FALSE),"Not Specified")</f>
        <v>Ship to 76-B</v>
      </c>
      <c r="P1556" t="str">
        <f>IFERROR(VLOOKUP(A1556,'Sales Order'!A:N,14,FALSE),"Not Specified")</f>
        <v>Belgium</v>
      </c>
      <c r="Q1556" t="str">
        <f>VLOOKUP(VLOOKUP(B1556,Product!A:C,3,FALSE),Supplier!A:B,2,FALSE)</f>
        <v>Supplier SVIYA</v>
      </c>
      <c r="R1556" t="str">
        <f>VLOOKUP(VLOOKUP(B1556,Product!A:C,3,FALSE),Supplier!A:I,9,FALSE)</f>
        <v>Germany</v>
      </c>
      <c r="S1556" t="str">
        <f>IFERROR(IF(VLOOKUP(A1556,'Sales Order'!A:H,8,FALSE)&gt;100,"High Freight","Low Freight"),"Not Specified")</f>
        <v>High Freight</v>
      </c>
      <c r="T1556">
        <f t="shared" si="49"/>
        <v>195</v>
      </c>
    </row>
    <row r="1557" spans="1:20">
      <c r="A1557" s="9">
        <v>10842</v>
      </c>
      <c r="B1557" s="6">
        <v>11</v>
      </c>
      <c r="C1557" s="6">
        <v>21</v>
      </c>
      <c r="D1557" s="6">
        <v>15</v>
      </c>
      <c r="E1557" s="18">
        <v>0</v>
      </c>
      <c r="F1557" s="6" t="str">
        <f>IFERROR(VLOOKUP(VLOOKUP(A1557,'Sales Order'!A:B,2,FALSE),Customer!A:C,3,FALSE),"Not Specified")</f>
        <v>Geschwandtner, Jens</v>
      </c>
      <c r="G1557" s="6" t="str">
        <f t="shared" si="48"/>
        <v>Geschwandtner Jens</v>
      </c>
      <c r="H1557" s="22" t="str">
        <f>IFERROR(VLOOKUP(VLOOKUP(A1557,'Sales Order'!A:C,3,FALSE),Employee!A:E,5,FALSE)&amp;" "&amp;VLOOKUP(VLOOKUP(A1557,'Sales Order'!A:C,3,FALSE),Employee!A:C,3,FALSE)&amp;" "&amp;VLOOKUP(VLOOKUP(A1557,'Sales Order'!A:C,3,FALSE),Employee!A:B,2,FALSE),"Not Specified")</f>
        <v>Ms. Sara Davis</v>
      </c>
      <c r="I1557" t="str">
        <f>IFERROR(VLOOKUP(VLOOKUP(A1557,'Sales Order'!A:C,3,FALSE),Employee!A:J,10,FALSE),"Not Specified")</f>
        <v>WA</v>
      </c>
      <c r="J1557" t="str">
        <f>VLOOKUP(B1557,Product!A:B,2,FALSE)</f>
        <v>Product QMVUN</v>
      </c>
      <c r="K1557" t="str">
        <f>VLOOKUP(VLOOKUP(B1557,Product!A:D,4,FALSE),Category!A:B,2,FALSE)</f>
        <v>Dairy Product</v>
      </c>
      <c r="L1557" s="24">
        <f>IFERROR(VLOOKUP(A1557,'Sales Order'!A:D,4,FALSE),"")</f>
        <v>39467</v>
      </c>
      <c r="M1557" s="24">
        <f>IFERROR(VLOOKUP(A1557,'Sales Order'!A:F,6,FALSE),"")</f>
        <v>39476</v>
      </c>
      <c r="N1557" t="str">
        <f>IFERROR(VLOOKUP(VLOOKUP(A1557,'Sales Order'!A:G,7,FALSE),Shipper!A:B,2,FALSE),"Not Specified")</f>
        <v>Shipper ZHISN</v>
      </c>
      <c r="O1557" t="str">
        <f>IFERROR(VLOOKUP(A1557,'Sales Order'!A:I,9,FALSE),"Not Specified")</f>
        <v>Ship to 80-A</v>
      </c>
      <c r="P1557" t="str">
        <f>IFERROR(VLOOKUP(A1557,'Sales Order'!A:N,14,FALSE),"Not Specified")</f>
        <v>Mexico</v>
      </c>
      <c r="Q1557" t="str">
        <f>VLOOKUP(VLOOKUP(B1557,Product!A:C,3,FALSE),Supplier!A:B,2,FALSE)</f>
        <v>Supplier EQPNC</v>
      </c>
      <c r="R1557" t="str">
        <f>VLOOKUP(VLOOKUP(B1557,Product!A:C,3,FALSE),Supplier!A:I,9,FALSE)</f>
        <v>Spain</v>
      </c>
      <c r="S1557" t="str">
        <f>IFERROR(IF(VLOOKUP(A1557,'Sales Order'!A:H,8,FALSE)&gt;100,"High Freight","Low Freight"),"Not Specified")</f>
        <v>Low Freight</v>
      </c>
      <c r="T1557">
        <f t="shared" si="49"/>
        <v>315</v>
      </c>
    </row>
    <row r="1558" spans="1:20">
      <c r="A1558" s="9">
        <v>10842</v>
      </c>
      <c r="B1558" s="6">
        <v>43</v>
      </c>
      <c r="C1558" s="6">
        <v>46</v>
      </c>
      <c r="D1558" s="6">
        <v>5</v>
      </c>
      <c r="E1558" s="18">
        <v>0</v>
      </c>
      <c r="F1558" s="6" t="str">
        <f>IFERROR(VLOOKUP(VLOOKUP(A1558,'Sales Order'!A:B,2,FALSE),Customer!A:C,3,FALSE),"Not Specified")</f>
        <v>Geschwandtner, Jens</v>
      </c>
      <c r="G1558" s="6" t="str">
        <f t="shared" si="48"/>
        <v>Geschwandtner Jens</v>
      </c>
      <c r="H1558" s="22" t="str">
        <f>IFERROR(VLOOKUP(VLOOKUP(A1558,'Sales Order'!A:C,3,FALSE),Employee!A:E,5,FALSE)&amp;" "&amp;VLOOKUP(VLOOKUP(A1558,'Sales Order'!A:C,3,FALSE),Employee!A:C,3,FALSE)&amp;" "&amp;VLOOKUP(VLOOKUP(A1558,'Sales Order'!A:C,3,FALSE),Employee!A:B,2,FALSE),"Not Specified")</f>
        <v>Ms. Sara Davis</v>
      </c>
      <c r="I1558" t="str">
        <f>IFERROR(VLOOKUP(VLOOKUP(A1558,'Sales Order'!A:C,3,FALSE),Employee!A:J,10,FALSE),"Not Specified")</f>
        <v>WA</v>
      </c>
      <c r="J1558" t="str">
        <f>VLOOKUP(B1558,Product!A:B,2,FALSE)</f>
        <v>Product ZZZHR</v>
      </c>
      <c r="K1558" t="str">
        <f>VLOOKUP(VLOOKUP(B1558,Product!A:D,4,FALSE),Category!A:B,2,FALSE)</f>
        <v>Beverages</v>
      </c>
      <c r="L1558" s="24">
        <f>IFERROR(VLOOKUP(A1558,'Sales Order'!A:D,4,FALSE),"")</f>
        <v>39467</v>
      </c>
      <c r="M1558" s="24">
        <f>IFERROR(VLOOKUP(A1558,'Sales Order'!A:F,6,FALSE),"")</f>
        <v>39476</v>
      </c>
      <c r="N1558" t="str">
        <f>IFERROR(VLOOKUP(VLOOKUP(A1558,'Sales Order'!A:G,7,FALSE),Shipper!A:B,2,FALSE),"Not Specified")</f>
        <v>Shipper ZHISN</v>
      </c>
      <c r="O1558" t="str">
        <f>IFERROR(VLOOKUP(A1558,'Sales Order'!A:I,9,FALSE),"Not Specified")</f>
        <v>Ship to 80-A</v>
      </c>
      <c r="P1558" t="str">
        <f>IFERROR(VLOOKUP(A1558,'Sales Order'!A:N,14,FALSE),"Not Specified")</f>
        <v>Mexico</v>
      </c>
      <c r="Q1558" t="str">
        <f>VLOOKUP(VLOOKUP(B1558,Product!A:C,3,FALSE),Supplier!A:B,2,FALSE)</f>
        <v>Supplier CIYNM</v>
      </c>
      <c r="R1558" t="str">
        <f>VLOOKUP(VLOOKUP(B1558,Product!A:C,3,FALSE),Supplier!A:I,9,FALSE)</f>
        <v>Singapore</v>
      </c>
      <c r="S1558" t="str">
        <f>IFERROR(IF(VLOOKUP(A1558,'Sales Order'!A:H,8,FALSE)&gt;100,"High Freight","Low Freight"),"Not Specified")</f>
        <v>Low Freight</v>
      </c>
      <c r="T1558">
        <f t="shared" si="49"/>
        <v>230</v>
      </c>
    </row>
    <row r="1559" spans="1:20">
      <c r="A1559" s="9">
        <v>10842</v>
      </c>
      <c r="B1559" s="6">
        <v>68</v>
      </c>
      <c r="C1559" s="6">
        <v>12.5</v>
      </c>
      <c r="D1559" s="6">
        <v>20</v>
      </c>
      <c r="E1559" s="18">
        <v>0</v>
      </c>
      <c r="F1559" s="6" t="str">
        <f>IFERROR(VLOOKUP(VLOOKUP(A1559,'Sales Order'!A:B,2,FALSE),Customer!A:C,3,FALSE),"Not Specified")</f>
        <v>Geschwandtner, Jens</v>
      </c>
      <c r="G1559" s="6" t="str">
        <f t="shared" si="48"/>
        <v>Geschwandtner Jens</v>
      </c>
      <c r="H1559" s="22" t="str">
        <f>IFERROR(VLOOKUP(VLOOKUP(A1559,'Sales Order'!A:C,3,FALSE),Employee!A:E,5,FALSE)&amp;" "&amp;VLOOKUP(VLOOKUP(A1559,'Sales Order'!A:C,3,FALSE),Employee!A:C,3,FALSE)&amp;" "&amp;VLOOKUP(VLOOKUP(A1559,'Sales Order'!A:C,3,FALSE),Employee!A:B,2,FALSE),"Not Specified")</f>
        <v>Ms. Sara Davis</v>
      </c>
      <c r="I1559" t="str">
        <f>IFERROR(VLOOKUP(VLOOKUP(A1559,'Sales Order'!A:C,3,FALSE),Employee!A:J,10,FALSE),"Not Specified")</f>
        <v>WA</v>
      </c>
      <c r="J1559" t="str">
        <f>VLOOKUP(B1559,Product!A:B,2,FALSE)</f>
        <v>Product TBTBL</v>
      </c>
      <c r="K1559" t="str">
        <f>VLOOKUP(VLOOKUP(B1559,Product!A:D,4,FALSE),Category!A:B,2,FALSE)</f>
        <v>Confections</v>
      </c>
      <c r="L1559" s="24">
        <f>IFERROR(VLOOKUP(A1559,'Sales Order'!A:D,4,FALSE),"")</f>
        <v>39467</v>
      </c>
      <c r="M1559" s="24">
        <f>IFERROR(VLOOKUP(A1559,'Sales Order'!A:F,6,FALSE),"")</f>
        <v>39476</v>
      </c>
      <c r="N1559" t="str">
        <f>IFERROR(VLOOKUP(VLOOKUP(A1559,'Sales Order'!A:G,7,FALSE),Shipper!A:B,2,FALSE),"Not Specified")</f>
        <v>Shipper ZHISN</v>
      </c>
      <c r="O1559" t="str">
        <f>IFERROR(VLOOKUP(A1559,'Sales Order'!A:I,9,FALSE),"Not Specified")</f>
        <v>Ship to 80-A</v>
      </c>
      <c r="P1559" t="str">
        <f>IFERROR(VLOOKUP(A1559,'Sales Order'!A:N,14,FALSE),"Not Specified")</f>
        <v>Mexico</v>
      </c>
      <c r="Q1559" t="str">
        <f>VLOOKUP(VLOOKUP(B1559,Product!A:C,3,FALSE),Supplier!A:B,2,FALSE)</f>
        <v>Supplier BWGYE</v>
      </c>
      <c r="R1559" t="str">
        <f>VLOOKUP(VLOOKUP(B1559,Product!A:C,3,FALSE),Supplier!A:I,9,FALSE)</f>
        <v>UK</v>
      </c>
      <c r="S1559" t="str">
        <f>IFERROR(IF(VLOOKUP(A1559,'Sales Order'!A:H,8,FALSE)&gt;100,"High Freight","Low Freight"),"Not Specified")</f>
        <v>Low Freight</v>
      </c>
      <c r="T1559">
        <f t="shared" si="49"/>
        <v>250</v>
      </c>
    </row>
    <row r="1560" spans="1:20">
      <c r="A1560" s="9">
        <v>10842</v>
      </c>
      <c r="B1560" s="6">
        <v>70</v>
      </c>
      <c r="C1560" s="6">
        <v>15</v>
      </c>
      <c r="D1560" s="6">
        <v>12</v>
      </c>
      <c r="E1560" s="18">
        <v>0</v>
      </c>
      <c r="F1560" s="6" t="str">
        <f>IFERROR(VLOOKUP(VLOOKUP(A1560,'Sales Order'!A:B,2,FALSE),Customer!A:C,3,FALSE),"Not Specified")</f>
        <v>Geschwandtner, Jens</v>
      </c>
      <c r="G1560" s="6" t="str">
        <f t="shared" si="48"/>
        <v>Geschwandtner Jens</v>
      </c>
      <c r="H1560" s="22" t="str">
        <f>IFERROR(VLOOKUP(VLOOKUP(A1560,'Sales Order'!A:C,3,FALSE),Employee!A:E,5,FALSE)&amp;" "&amp;VLOOKUP(VLOOKUP(A1560,'Sales Order'!A:C,3,FALSE),Employee!A:C,3,FALSE)&amp;" "&amp;VLOOKUP(VLOOKUP(A1560,'Sales Order'!A:C,3,FALSE),Employee!A:B,2,FALSE),"Not Specified")</f>
        <v>Ms. Sara Davis</v>
      </c>
      <c r="I1560" t="str">
        <f>IFERROR(VLOOKUP(VLOOKUP(A1560,'Sales Order'!A:C,3,FALSE),Employee!A:J,10,FALSE),"Not Specified")</f>
        <v>WA</v>
      </c>
      <c r="J1560" t="str">
        <f>VLOOKUP(B1560,Product!A:B,2,FALSE)</f>
        <v>Product TOONT</v>
      </c>
      <c r="K1560" t="str">
        <f>VLOOKUP(VLOOKUP(B1560,Product!A:D,4,FALSE),Category!A:B,2,FALSE)</f>
        <v>Beverages</v>
      </c>
      <c r="L1560" s="24">
        <f>IFERROR(VLOOKUP(A1560,'Sales Order'!A:D,4,FALSE),"")</f>
        <v>39467</v>
      </c>
      <c r="M1560" s="24">
        <f>IFERROR(VLOOKUP(A1560,'Sales Order'!A:F,6,FALSE),"")</f>
        <v>39476</v>
      </c>
      <c r="N1560" t="str">
        <f>IFERROR(VLOOKUP(VLOOKUP(A1560,'Sales Order'!A:G,7,FALSE),Shipper!A:B,2,FALSE),"Not Specified")</f>
        <v>Shipper ZHISN</v>
      </c>
      <c r="O1560" t="str">
        <f>IFERROR(VLOOKUP(A1560,'Sales Order'!A:I,9,FALSE),"Not Specified")</f>
        <v>Ship to 80-A</v>
      </c>
      <c r="P1560" t="str">
        <f>IFERROR(VLOOKUP(A1560,'Sales Order'!A:N,14,FALSE),"Not Specified")</f>
        <v>Mexico</v>
      </c>
      <c r="Q1560" t="str">
        <f>VLOOKUP(VLOOKUP(B1560,Product!A:C,3,FALSE),Supplier!A:B,2,FALSE)</f>
        <v>Supplier GQRCV</v>
      </c>
      <c r="R1560" t="str">
        <f>VLOOKUP(VLOOKUP(B1560,Product!A:C,3,FALSE),Supplier!A:I,9,FALSE)</f>
        <v>Australia</v>
      </c>
      <c r="S1560" t="str">
        <f>IFERROR(IF(VLOOKUP(A1560,'Sales Order'!A:H,8,FALSE)&gt;100,"High Freight","Low Freight"),"Not Specified")</f>
        <v>Low Freight</v>
      </c>
      <c r="T1560">
        <f t="shared" si="49"/>
        <v>180</v>
      </c>
    </row>
    <row r="1561" spans="1:20">
      <c r="A1561" s="9">
        <v>10843</v>
      </c>
      <c r="B1561" s="6">
        <v>51</v>
      </c>
      <c r="C1561" s="6">
        <v>53</v>
      </c>
      <c r="D1561" s="6">
        <v>4</v>
      </c>
      <c r="E1561" s="18">
        <v>0.25</v>
      </c>
      <c r="F1561" s="6" t="str">
        <f>IFERROR(VLOOKUP(VLOOKUP(A1561,'Sales Order'!A:B,2,FALSE),Customer!A:C,3,FALSE),"Not Specified")</f>
        <v>Tuntisangaroon, Sittichai</v>
      </c>
      <c r="G1561" s="6" t="str">
        <f t="shared" si="48"/>
        <v>Tuntisangaroon Sittichai</v>
      </c>
      <c r="H1561" s="22" t="str">
        <f>IFERROR(VLOOKUP(VLOOKUP(A1561,'Sales Order'!A:C,3,FALSE),Employee!A:E,5,FALSE)&amp;" "&amp;VLOOKUP(VLOOKUP(A1561,'Sales Order'!A:C,3,FALSE),Employee!A:C,3,FALSE)&amp;" "&amp;VLOOKUP(VLOOKUP(A1561,'Sales Order'!A:C,3,FALSE),Employee!A:B,2,FALSE),"Not Specified")</f>
        <v>Mrs. Yael Peled</v>
      </c>
      <c r="I1561" t="str">
        <f>IFERROR(VLOOKUP(VLOOKUP(A1561,'Sales Order'!A:C,3,FALSE),Employee!A:J,10,FALSE),"Not Specified")</f>
        <v>WA</v>
      </c>
      <c r="J1561" t="str">
        <f>VLOOKUP(B1561,Product!A:B,2,FALSE)</f>
        <v>Product APITJ</v>
      </c>
      <c r="K1561" t="str">
        <f>VLOOKUP(VLOOKUP(B1561,Product!A:D,4,FALSE),Category!A:B,2,FALSE)</f>
        <v>Produce</v>
      </c>
      <c r="L1561" s="24">
        <f>IFERROR(VLOOKUP(A1561,'Sales Order'!A:D,4,FALSE),"")</f>
        <v>39468</v>
      </c>
      <c r="M1561" s="24">
        <f>IFERROR(VLOOKUP(A1561,'Sales Order'!A:F,6,FALSE),"")</f>
        <v>39473</v>
      </c>
      <c r="N1561" t="str">
        <f>IFERROR(VLOOKUP(VLOOKUP(A1561,'Sales Order'!A:G,7,FALSE),Shipper!A:B,2,FALSE),"Not Specified")</f>
        <v>Shipper ETYNR</v>
      </c>
      <c r="O1561" t="str">
        <f>IFERROR(VLOOKUP(A1561,'Sales Order'!A:I,9,FALSE),"Not Specified")</f>
        <v>Ship to 84-C</v>
      </c>
      <c r="P1561" t="str">
        <f>IFERROR(VLOOKUP(A1561,'Sales Order'!A:N,14,FALSE),"Not Specified")</f>
        <v>France</v>
      </c>
      <c r="Q1561" t="str">
        <f>VLOOKUP(VLOOKUP(B1561,Product!A:C,3,FALSE),Supplier!A:B,2,FALSE)</f>
        <v>Supplier JNNES</v>
      </c>
      <c r="R1561" t="str">
        <f>VLOOKUP(VLOOKUP(B1561,Product!A:C,3,FALSE),Supplier!A:I,9,FALSE)</f>
        <v>Australia</v>
      </c>
      <c r="S1561" t="str">
        <f>IFERROR(IF(VLOOKUP(A1561,'Sales Order'!A:H,8,FALSE)&gt;100,"High Freight","Low Freight"),"Not Specified")</f>
        <v>Low Freight</v>
      </c>
      <c r="T1561">
        <f t="shared" si="49"/>
        <v>159</v>
      </c>
    </row>
    <row r="1562" spans="1:20">
      <c r="A1562" s="9">
        <v>10844</v>
      </c>
      <c r="B1562" s="6">
        <v>22</v>
      </c>
      <c r="C1562" s="6">
        <v>21</v>
      </c>
      <c r="D1562" s="6">
        <v>35</v>
      </c>
      <c r="E1562" s="18">
        <v>0</v>
      </c>
      <c r="F1562" s="6" t="str">
        <f>IFERROR(VLOOKUP(VLOOKUP(A1562,'Sales Order'!A:B,2,FALSE),Customer!A:C,3,FALSE),"Not Specified")</f>
        <v>Meston, Tosh</v>
      </c>
      <c r="G1562" s="6" t="str">
        <f t="shared" si="48"/>
        <v>Meston Tosh</v>
      </c>
      <c r="H1562" s="22" t="str">
        <f>IFERROR(VLOOKUP(VLOOKUP(A1562,'Sales Order'!A:C,3,FALSE),Employee!A:E,5,FALSE)&amp;" "&amp;VLOOKUP(VLOOKUP(A1562,'Sales Order'!A:C,3,FALSE),Employee!A:C,3,FALSE)&amp;" "&amp;VLOOKUP(VLOOKUP(A1562,'Sales Order'!A:C,3,FALSE),Employee!A:B,2,FALSE),"Not Specified")</f>
        <v>Ms. Maria Cameron</v>
      </c>
      <c r="I1562" t="str">
        <f>IFERROR(VLOOKUP(VLOOKUP(A1562,'Sales Order'!A:C,3,FALSE),Employee!A:J,10,FALSE),"Not Specified")</f>
        <v>WA</v>
      </c>
      <c r="J1562" t="str">
        <f>VLOOKUP(B1562,Product!A:B,2,FALSE)</f>
        <v>Product CPHFY</v>
      </c>
      <c r="K1562" t="str">
        <f>VLOOKUP(VLOOKUP(B1562,Product!A:D,4,FALSE),Category!A:B,2,FALSE)</f>
        <v>Grains/Cereals</v>
      </c>
      <c r="L1562" s="24">
        <f>IFERROR(VLOOKUP(A1562,'Sales Order'!A:D,4,FALSE),"")</f>
        <v>39468</v>
      </c>
      <c r="M1562" s="24">
        <f>IFERROR(VLOOKUP(A1562,'Sales Order'!A:F,6,FALSE),"")</f>
        <v>39473</v>
      </c>
      <c r="N1562" t="str">
        <f>IFERROR(VLOOKUP(VLOOKUP(A1562,'Sales Order'!A:G,7,FALSE),Shipper!A:B,2,FALSE),"Not Specified")</f>
        <v>Shipper ETYNR</v>
      </c>
      <c r="O1562" t="str">
        <f>IFERROR(VLOOKUP(A1562,'Sales Order'!A:I,9,FALSE),"Not Specified")</f>
        <v>Ship to 59-A</v>
      </c>
      <c r="P1562" t="str">
        <f>IFERROR(VLOOKUP(A1562,'Sales Order'!A:N,14,FALSE),"Not Specified")</f>
        <v>Austria</v>
      </c>
      <c r="Q1562" t="str">
        <f>VLOOKUP(VLOOKUP(B1562,Product!A:C,3,FALSE),Supplier!A:B,2,FALSE)</f>
        <v>Supplier QQYEU</v>
      </c>
      <c r="R1562" t="str">
        <f>VLOOKUP(VLOOKUP(B1562,Product!A:C,3,FALSE),Supplier!A:I,9,FALSE)</f>
        <v>Sweden</v>
      </c>
      <c r="S1562" t="str">
        <f>IFERROR(IF(VLOOKUP(A1562,'Sales Order'!A:H,8,FALSE)&gt;100,"High Freight","Low Freight"),"Not Specified")</f>
        <v>Low Freight</v>
      </c>
      <c r="T1562">
        <f t="shared" si="49"/>
        <v>735</v>
      </c>
    </row>
    <row r="1563" spans="1:20">
      <c r="A1563" s="9">
        <v>10845</v>
      </c>
      <c r="B1563" s="6">
        <v>23</v>
      </c>
      <c r="C1563" s="6">
        <v>9</v>
      </c>
      <c r="D1563" s="6">
        <v>70</v>
      </c>
      <c r="E1563" s="18">
        <v>0.1</v>
      </c>
      <c r="F1563" s="6" t="str">
        <f>IFERROR(VLOOKUP(VLOOKUP(A1563,'Sales Order'!A:B,2,FALSE),Customer!A:C,3,FALSE),"Not Specified")</f>
        <v>Veronesi, Giorgio</v>
      </c>
      <c r="G1563" s="6" t="str">
        <f t="shared" si="48"/>
        <v>Veronesi Giorgio</v>
      </c>
      <c r="H1563" s="22" t="str">
        <f>IFERROR(VLOOKUP(VLOOKUP(A1563,'Sales Order'!A:C,3,FALSE),Employee!A:E,5,FALSE)&amp;" "&amp;VLOOKUP(VLOOKUP(A1563,'Sales Order'!A:C,3,FALSE),Employee!A:C,3,FALSE)&amp;" "&amp;VLOOKUP(VLOOKUP(A1563,'Sales Order'!A:C,3,FALSE),Employee!A:B,2,FALSE),"Not Specified")</f>
        <v>Ms. Maria Cameron</v>
      </c>
      <c r="I1563" t="str">
        <f>IFERROR(VLOOKUP(VLOOKUP(A1563,'Sales Order'!A:C,3,FALSE),Employee!A:J,10,FALSE),"Not Specified")</f>
        <v>WA</v>
      </c>
      <c r="J1563" t="str">
        <f>VLOOKUP(B1563,Product!A:B,2,FALSE)</f>
        <v>Product JLUDZ</v>
      </c>
      <c r="K1563" t="str">
        <f>VLOOKUP(VLOOKUP(B1563,Product!A:D,4,FALSE),Category!A:B,2,FALSE)</f>
        <v>Grains/Cereals</v>
      </c>
      <c r="L1563" s="24">
        <f>IFERROR(VLOOKUP(A1563,'Sales Order'!A:D,4,FALSE),"")</f>
        <v>39468</v>
      </c>
      <c r="M1563" s="24">
        <f>IFERROR(VLOOKUP(A1563,'Sales Order'!A:F,6,FALSE),"")</f>
        <v>39477</v>
      </c>
      <c r="N1563" t="str">
        <f>IFERROR(VLOOKUP(VLOOKUP(A1563,'Sales Order'!A:G,7,FALSE),Shipper!A:B,2,FALSE),"Not Specified")</f>
        <v>Shipper GVSUA</v>
      </c>
      <c r="O1563" t="str">
        <f>IFERROR(VLOOKUP(A1563,'Sales Order'!A:I,9,FALSE),"Not Specified")</f>
        <v>Ship to 63-A</v>
      </c>
      <c r="P1563" t="str">
        <f>IFERROR(VLOOKUP(A1563,'Sales Order'!A:N,14,FALSE),"Not Specified")</f>
        <v>Germany</v>
      </c>
      <c r="Q1563" t="str">
        <f>VLOOKUP(VLOOKUP(B1563,Product!A:C,3,FALSE),Supplier!A:B,2,FALSE)</f>
        <v>Supplier QQYEU</v>
      </c>
      <c r="R1563" t="str">
        <f>VLOOKUP(VLOOKUP(B1563,Product!A:C,3,FALSE),Supplier!A:I,9,FALSE)</f>
        <v>Sweden</v>
      </c>
      <c r="S1563" t="str">
        <f>IFERROR(IF(VLOOKUP(A1563,'Sales Order'!A:H,8,FALSE)&gt;100,"High Freight","Low Freight"),"Not Specified")</f>
        <v>High Freight</v>
      </c>
      <c r="T1563">
        <f t="shared" si="49"/>
        <v>567</v>
      </c>
    </row>
    <row r="1564" spans="1:20">
      <c r="A1564" s="9">
        <v>10845</v>
      </c>
      <c r="B1564" s="6">
        <v>35</v>
      </c>
      <c r="C1564" s="6">
        <v>18</v>
      </c>
      <c r="D1564" s="6">
        <v>25</v>
      </c>
      <c r="E1564" s="18">
        <v>0.1</v>
      </c>
      <c r="F1564" s="6" t="str">
        <f>IFERROR(VLOOKUP(VLOOKUP(A1564,'Sales Order'!A:B,2,FALSE),Customer!A:C,3,FALSE),"Not Specified")</f>
        <v>Veronesi, Giorgio</v>
      </c>
      <c r="G1564" s="6" t="str">
        <f t="shared" si="48"/>
        <v>Veronesi Giorgio</v>
      </c>
      <c r="H1564" s="22" t="str">
        <f>IFERROR(VLOOKUP(VLOOKUP(A1564,'Sales Order'!A:C,3,FALSE),Employee!A:E,5,FALSE)&amp;" "&amp;VLOOKUP(VLOOKUP(A1564,'Sales Order'!A:C,3,FALSE),Employee!A:C,3,FALSE)&amp;" "&amp;VLOOKUP(VLOOKUP(A1564,'Sales Order'!A:C,3,FALSE),Employee!A:B,2,FALSE),"Not Specified")</f>
        <v>Ms. Maria Cameron</v>
      </c>
      <c r="I1564" t="str">
        <f>IFERROR(VLOOKUP(VLOOKUP(A1564,'Sales Order'!A:C,3,FALSE),Employee!A:J,10,FALSE),"Not Specified")</f>
        <v>WA</v>
      </c>
      <c r="J1564" t="str">
        <f>VLOOKUP(B1564,Product!A:B,2,FALSE)</f>
        <v>Product NEVTJ</v>
      </c>
      <c r="K1564" t="str">
        <f>VLOOKUP(VLOOKUP(B1564,Product!A:D,4,FALSE),Category!A:B,2,FALSE)</f>
        <v>Beverages</v>
      </c>
      <c r="L1564" s="24">
        <f>IFERROR(VLOOKUP(A1564,'Sales Order'!A:D,4,FALSE),"")</f>
        <v>39468</v>
      </c>
      <c r="M1564" s="24">
        <f>IFERROR(VLOOKUP(A1564,'Sales Order'!A:F,6,FALSE),"")</f>
        <v>39477</v>
      </c>
      <c r="N1564" t="str">
        <f>IFERROR(VLOOKUP(VLOOKUP(A1564,'Sales Order'!A:G,7,FALSE),Shipper!A:B,2,FALSE),"Not Specified")</f>
        <v>Shipper GVSUA</v>
      </c>
      <c r="O1564" t="str">
        <f>IFERROR(VLOOKUP(A1564,'Sales Order'!A:I,9,FALSE),"Not Specified")</f>
        <v>Ship to 63-A</v>
      </c>
      <c r="P1564" t="str">
        <f>IFERROR(VLOOKUP(A1564,'Sales Order'!A:N,14,FALSE),"Not Specified")</f>
        <v>Germany</v>
      </c>
      <c r="Q1564" t="str">
        <f>VLOOKUP(VLOOKUP(B1564,Product!A:C,3,FALSE),Supplier!A:B,2,FALSE)</f>
        <v>Supplier UHZRG</v>
      </c>
      <c r="R1564" t="str">
        <f>VLOOKUP(VLOOKUP(B1564,Product!A:C,3,FALSE),Supplier!A:I,9,FALSE)</f>
        <v>USA</v>
      </c>
      <c r="S1564" t="str">
        <f>IFERROR(IF(VLOOKUP(A1564,'Sales Order'!A:H,8,FALSE)&gt;100,"High Freight","Low Freight"),"Not Specified")</f>
        <v>High Freight</v>
      </c>
      <c r="T1564">
        <f t="shared" si="49"/>
        <v>405</v>
      </c>
    </row>
    <row r="1565" spans="1:20">
      <c r="A1565" s="9">
        <v>10845</v>
      </c>
      <c r="B1565" s="6">
        <v>42</v>
      </c>
      <c r="C1565" s="6">
        <v>14</v>
      </c>
      <c r="D1565" s="6">
        <v>42</v>
      </c>
      <c r="E1565" s="18">
        <v>0.1</v>
      </c>
      <c r="F1565" s="6" t="str">
        <f>IFERROR(VLOOKUP(VLOOKUP(A1565,'Sales Order'!A:B,2,FALSE),Customer!A:C,3,FALSE),"Not Specified")</f>
        <v>Veronesi, Giorgio</v>
      </c>
      <c r="G1565" s="6" t="str">
        <f t="shared" si="48"/>
        <v>Veronesi Giorgio</v>
      </c>
      <c r="H1565" s="22" t="str">
        <f>IFERROR(VLOOKUP(VLOOKUP(A1565,'Sales Order'!A:C,3,FALSE),Employee!A:E,5,FALSE)&amp;" "&amp;VLOOKUP(VLOOKUP(A1565,'Sales Order'!A:C,3,FALSE),Employee!A:C,3,FALSE)&amp;" "&amp;VLOOKUP(VLOOKUP(A1565,'Sales Order'!A:C,3,FALSE),Employee!A:B,2,FALSE),"Not Specified")</f>
        <v>Ms. Maria Cameron</v>
      </c>
      <c r="I1565" t="str">
        <f>IFERROR(VLOOKUP(VLOOKUP(A1565,'Sales Order'!A:C,3,FALSE),Employee!A:J,10,FALSE),"Not Specified")</f>
        <v>WA</v>
      </c>
      <c r="J1565" t="str">
        <f>VLOOKUP(B1565,Product!A:B,2,FALSE)</f>
        <v>Product RJVNM</v>
      </c>
      <c r="K1565" t="str">
        <f>VLOOKUP(VLOOKUP(B1565,Product!A:D,4,FALSE),Category!A:B,2,FALSE)</f>
        <v>Grains/Cereals</v>
      </c>
      <c r="L1565" s="24">
        <f>IFERROR(VLOOKUP(A1565,'Sales Order'!A:D,4,FALSE),"")</f>
        <v>39468</v>
      </c>
      <c r="M1565" s="24">
        <f>IFERROR(VLOOKUP(A1565,'Sales Order'!A:F,6,FALSE),"")</f>
        <v>39477</v>
      </c>
      <c r="N1565" t="str">
        <f>IFERROR(VLOOKUP(VLOOKUP(A1565,'Sales Order'!A:G,7,FALSE),Shipper!A:B,2,FALSE),"Not Specified")</f>
        <v>Shipper GVSUA</v>
      </c>
      <c r="O1565" t="str">
        <f>IFERROR(VLOOKUP(A1565,'Sales Order'!A:I,9,FALSE),"Not Specified")</f>
        <v>Ship to 63-A</v>
      </c>
      <c r="P1565" t="str">
        <f>IFERROR(VLOOKUP(A1565,'Sales Order'!A:N,14,FALSE),"Not Specified")</f>
        <v>Germany</v>
      </c>
      <c r="Q1565" t="str">
        <f>VLOOKUP(VLOOKUP(B1565,Product!A:C,3,FALSE),Supplier!A:B,2,FALSE)</f>
        <v>Supplier CIYNM</v>
      </c>
      <c r="R1565" t="str">
        <f>VLOOKUP(VLOOKUP(B1565,Product!A:C,3,FALSE),Supplier!A:I,9,FALSE)</f>
        <v>Singapore</v>
      </c>
      <c r="S1565" t="str">
        <f>IFERROR(IF(VLOOKUP(A1565,'Sales Order'!A:H,8,FALSE)&gt;100,"High Freight","Low Freight"),"Not Specified")</f>
        <v>High Freight</v>
      </c>
      <c r="T1565">
        <f t="shared" si="49"/>
        <v>529.20000000000005</v>
      </c>
    </row>
    <row r="1566" spans="1:20">
      <c r="A1566" s="9">
        <v>10845</v>
      </c>
      <c r="B1566" s="6">
        <v>58</v>
      </c>
      <c r="C1566" s="6">
        <v>13.25</v>
      </c>
      <c r="D1566" s="6">
        <v>60</v>
      </c>
      <c r="E1566" s="18">
        <v>0.1</v>
      </c>
      <c r="F1566" s="6" t="str">
        <f>IFERROR(VLOOKUP(VLOOKUP(A1566,'Sales Order'!A:B,2,FALSE),Customer!A:C,3,FALSE),"Not Specified")</f>
        <v>Veronesi, Giorgio</v>
      </c>
      <c r="G1566" s="6" t="str">
        <f t="shared" si="48"/>
        <v>Veronesi Giorgio</v>
      </c>
      <c r="H1566" s="22" t="str">
        <f>IFERROR(VLOOKUP(VLOOKUP(A1566,'Sales Order'!A:C,3,FALSE),Employee!A:E,5,FALSE)&amp;" "&amp;VLOOKUP(VLOOKUP(A1566,'Sales Order'!A:C,3,FALSE),Employee!A:C,3,FALSE)&amp;" "&amp;VLOOKUP(VLOOKUP(A1566,'Sales Order'!A:C,3,FALSE),Employee!A:B,2,FALSE),"Not Specified")</f>
        <v>Ms. Maria Cameron</v>
      </c>
      <c r="I1566" t="str">
        <f>IFERROR(VLOOKUP(VLOOKUP(A1566,'Sales Order'!A:C,3,FALSE),Employee!A:J,10,FALSE),"Not Specified")</f>
        <v>WA</v>
      </c>
      <c r="J1566" t="str">
        <f>VLOOKUP(B1566,Product!A:B,2,FALSE)</f>
        <v>Product ACRVI</v>
      </c>
      <c r="K1566" t="str">
        <f>VLOOKUP(VLOOKUP(B1566,Product!A:D,4,FALSE),Category!A:B,2,FALSE)</f>
        <v>Seafood</v>
      </c>
      <c r="L1566" s="24">
        <f>IFERROR(VLOOKUP(A1566,'Sales Order'!A:D,4,FALSE),"")</f>
        <v>39468</v>
      </c>
      <c r="M1566" s="24">
        <f>IFERROR(VLOOKUP(A1566,'Sales Order'!A:F,6,FALSE),"")</f>
        <v>39477</v>
      </c>
      <c r="N1566" t="str">
        <f>IFERROR(VLOOKUP(VLOOKUP(A1566,'Sales Order'!A:G,7,FALSE),Shipper!A:B,2,FALSE),"Not Specified")</f>
        <v>Shipper GVSUA</v>
      </c>
      <c r="O1566" t="str">
        <f>IFERROR(VLOOKUP(A1566,'Sales Order'!A:I,9,FALSE),"Not Specified")</f>
        <v>Ship to 63-A</v>
      </c>
      <c r="P1566" t="str">
        <f>IFERROR(VLOOKUP(A1566,'Sales Order'!A:N,14,FALSE),"Not Specified")</f>
        <v>Germany</v>
      </c>
      <c r="Q1566" t="str">
        <f>VLOOKUP(VLOOKUP(B1566,Product!A:C,3,FALSE),Supplier!A:B,2,FALSE)</f>
        <v>Supplier ZRYDZ</v>
      </c>
      <c r="R1566" t="str">
        <f>VLOOKUP(VLOOKUP(B1566,Product!A:C,3,FALSE),Supplier!A:I,9,FALSE)</f>
        <v>France</v>
      </c>
      <c r="S1566" t="str">
        <f>IFERROR(IF(VLOOKUP(A1566,'Sales Order'!A:H,8,FALSE)&gt;100,"High Freight","Low Freight"),"Not Specified")</f>
        <v>High Freight</v>
      </c>
      <c r="T1566">
        <f t="shared" si="49"/>
        <v>715.5</v>
      </c>
    </row>
    <row r="1567" spans="1:20">
      <c r="A1567" s="9">
        <v>10845</v>
      </c>
      <c r="B1567" s="6">
        <v>64</v>
      </c>
      <c r="C1567" s="6">
        <v>33.25</v>
      </c>
      <c r="D1567" s="6">
        <v>48</v>
      </c>
      <c r="E1567" s="18">
        <v>0</v>
      </c>
      <c r="F1567" s="6" t="str">
        <f>IFERROR(VLOOKUP(VLOOKUP(A1567,'Sales Order'!A:B,2,FALSE),Customer!A:C,3,FALSE),"Not Specified")</f>
        <v>Veronesi, Giorgio</v>
      </c>
      <c r="G1567" s="6" t="str">
        <f t="shared" si="48"/>
        <v>Veronesi Giorgio</v>
      </c>
      <c r="H1567" s="22" t="str">
        <f>IFERROR(VLOOKUP(VLOOKUP(A1567,'Sales Order'!A:C,3,FALSE),Employee!A:E,5,FALSE)&amp;" "&amp;VLOOKUP(VLOOKUP(A1567,'Sales Order'!A:C,3,FALSE),Employee!A:C,3,FALSE)&amp;" "&amp;VLOOKUP(VLOOKUP(A1567,'Sales Order'!A:C,3,FALSE),Employee!A:B,2,FALSE),"Not Specified")</f>
        <v>Ms. Maria Cameron</v>
      </c>
      <c r="I1567" t="str">
        <f>IFERROR(VLOOKUP(VLOOKUP(A1567,'Sales Order'!A:C,3,FALSE),Employee!A:J,10,FALSE),"Not Specified")</f>
        <v>WA</v>
      </c>
      <c r="J1567" t="str">
        <f>VLOOKUP(B1567,Product!A:B,2,FALSE)</f>
        <v>Product HCQDE</v>
      </c>
      <c r="K1567" t="str">
        <f>VLOOKUP(VLOOKUP(B1567,Product!A:D,4,FALSE),Category!A:B,2,FALSE)</f>
        <v>Grains/Cereals</v>
      </c>
      <c r="L1567" s="24">
        <f>IFERROR(VLOOKUP(A1567,'Sales Order'!A:D,4,FALSE),"")</f>
        <v>39468</v>
      </c>
      <c r="M1567" s="24">
        <f>IFERROR(VLOOKUP(A1567,'Sales Order'!A:F,6,FALSE),"")</f>
        <v>39477</v>
      </c>
      <c r="N1567" t="str">
        <f>IFERROR(VLOOKUP(VLOOKUP(A1567,'Sales Order'!A:G,7,FALSE),Shipper!A:B,2,FALSE),"Not Specified")</f>
        <v>Shipper GVSUA</v>
      </c>
      <c r="O1567" t="str">
        <f>IFERROR(VLOOKUP(A1567,'Sales Order'!A:I,9,FALSE),"Not Specified")</f>
        <v>Ship to 63-A</v>
      </c>
      <c r="P1567" t="str">
        <f>IFERROR(VLOOKUP(A1567,'Sales Order'!A:N,14,FALSE),"Not Specified")</f>
        <v>Germany</v>
      </c>
      <c r="Q1567" t="str">
        <f>VLOOKUP(VLOOKUP(B1567,Product!A:C,3,FALSE),Supplier!A:B,2,FALSE)</f>
        <v>Supplier SVIYA</v>
      </c>
      <c r="R1567" t="str">
        <f>VLOOKUP(VLOOKUP(B1567,Product!A:C,3,FALSE),Supplier!A:I,9,FALSE)</f>
        <v>Germany</v>
      </c>
      <c r="S1567" t="str">
        <f>IFERROR(IF(VLOOKUP(A1567,'Sales Order'!A:H,8,FALSE)&gt;100,"High Freight","Low Freight"),"Not Specified")</f>
        <v>High Freight</v>
      </c>
      <c r="T1567">
        <f t="shared" si="49"/>
        <v>1596</v>
      </c>
    </row>
    <row r="1568" spans="1:20">
      <c r="A1568" s="9">
        <v>10846</v>
      </c>
      <c r="B1568" s="6">
        <v>4</v>
      </c>
      <c r="C1568" s="6">
        <v>22</v>
      </c>
      <c r="D1568" s="6">
        <v>21</v>
      </c>
      <c r="E1568" s="18">
        <v>0</v>
      </c>
      <c r="F1568" s="6" t="str">
        <f>IFERROR(VLOOKUP(VLOOKUP(A1568,'Sales Order'!A:B,2,FALSE),Customer!A:C,3,FALSE),"Not Specified")</f>
        <v>Gulbis, Katrin</v>
      </c>
      <c r="G1568" s="6" t="str">
        <f t="shared" si="48"/>
        <v>Gulbis Katrin</v>
      </c>
      <c r="H1568" s="22" t="str">
        <f>IFERROR(VLOOKUP(VLOOKUP(A1568,'Sales Order'!A:C,3,FALSE),Employee!A:E,5,FALSE)&amp;" "&amp;VLOOKUP(VLOOKUP(A1568,'Sales Order'!A:C,3,FALSE),Employee!A:C,3,FALSE)&amp;" "&amp;VLOOKUP(VLOOKUP(A1568,'Sales Order'!A:C,3,FALSE),Employee!A:B,2,FALSE),"Not Specified")</f>
        <v>Dr. Don Funk</v>
      </c>
      <c r="I1568" t="str">
        <f>IFERROR(VLOOKUP(VLOOKUP(A1568,'Sales Order'!A:C,3,FALSE),Employee!A:J,10,FALSE),"Not Specified")</f>
        <v>WA</v>
      </c>
      <c r="J1568" t="str">
        <f>VLOOKUP(B1568,Product!A:B,2,FALSE)</f>
        <v>Product KSBRM</v>
      </c>
      <c r="K1568" t="str">
        <f>VLOOKUP(VLOOKUP(B1568,Product!A:D,4,FALSE),Category!A:B,2,FALSE)</f>
        <v>Condiments</v>
      </c>
      <c r="L1568" s="24">
        <f>IFERROR(VLOOKUP(A1568,'Sales Order'!A:D,4,FALSE),"")</f>
        <v>39469</v>
      </c>
      <c r="M1568" s="24">
        <f>IFERROR(VLOOKUP(A1568,'Sales Order'!A:F,6,FALSE),"")</f>
        <v>39470</v>
      </c>
      <c r="N1568" t="str">
        <f>IFERROR(VLOOKUP(VLOOKUP(A1568,'Sales Order'!A:G,7,FALSE),Shipper!A:B,2,FALSE),"Not Specified")</f>
        <v>Shipper ZHISN</v>
      </c>
      <c r="O1568" t="str">
        <f>IFERROR(VLOOKUP(A1568,'Sales Order'!A:I,9,FALSE),"Not Specified")</f>
        <v>Ship to 76-C</v>
      </c>
      <c r="P1568" t="str">
        <f>IFERROR(VLOOKUP(A1568,'Sales Order'!A:N,14,FALSE),"Not Specified")</f>
        <v>Belgium</v>
      </c>
      <c r="Q1568" t="str">
        <f>VLOOKUP(VLOOKUP(B1568,Product!A:C,3,FALSE),Supplier!A:B,2,FALSE)</f>
        <v>Supplier VHQZD</v>
      </c>
      <c r="R1568" t="str">
        <f>VLOOKUP(VLOOKUP(B1568,Product!A:C,3,FALSE),Supplier!A:I,9,FALSE)</f>
        <v>USA</v>
      </c>
      <c r="S1568" t="str">
        <f>IFERROR(IF(VLOOKUP(A1568,'Sales Order'!A:H,8,FALSE)&gt;100,"High Freight","Low Freight"),"Not Specified")</f>
        <v>Low Freight</v>
      </c>
      <c r="T1568">
        <f t="shared" si="49"/>
        <v>462</v>
      </c>
    </row>
    <row r="1569" spans="1:20">
      <c r="A1569" s="9">
        <v>10846</v>
      </c>
      <c r="B1569" s="6">
        <v>70</v>
      </c>
      <c r="C1569" s="6">
        <v>15</v>
      </c>
      <c r="D1569" s="6">
        <v>30</v>
      </c>
      <c r="E1569" s="18">
        <v>0</v>
      </c>
      <c r="F1569" s="6" t="str">
        <f>IFERROR(VLOOKUP(VLOOKUP(A1569,'Sales Order'!A:B,2,FALSE),Customer!A:C,3,FALSE),"Not Specified")</f>
        <v>Gulbis, Katrin</v>
      </c>
      <c r="G1569" s="6" t="str">
        <f t="shared" si="48"/>
        <v>Gulbis Katrin</v>
      </c>
      <c r="H1569" s="22" t="str">
        <f>IFERROR(VLOOKUP(VLOOKUP(A1569,'Sales Order'!A:C,3,FALSE),Employee!A:E,5,FALSE)&amp;" "&amp;VLOOKUP(VLOOKUP(A1569,'Sales Order'!A:C,3,FALSE),Employee!A:C,3,FALSE)&amp;" "&amp;VLOOKUP(VLOOKUP(A1569,'Sales Order'!A:C,3,FALSE),Employee!A:B,2,FALSE),"Not Specified")</f>
        <v>Dr. Don Funk</v>
      </c>
      <c r="I1569" t="str">
        <f>IFERROR(VLOOKUP(VLOOKUP(A1569,'Sales Order'!A:C,3,FALSE),Employee!A:J,10,FALSE),"Not Specified")</f>
        <v>WA</v>
      </c>
      <c r="J1569" t="str">
        <f>VLOOKUP(B1569,Product!A:B,2,FALSE)</f>
        <v>Product TOONT</v>
      </c>
      <c r="K1569" t="str">
        <f>VLOOKUP(VLOOKUP(B1569,Product!A:D,4,FALSE),Category!A:B,2,FALSE)</f>
        <v>Beverages</v>
      </c>
      <c r="L1569" s="24">
        <f>IFERROR(VLOOKUP(A1569,'Sales Order'!A:D,4,FALSE),"")</f>
        <v>39469</v>
      </c>
      <c r="M1569" s="24">
        <f>IFERROR(VLOOKUP(A1569,'Sales Order'!A:F,6,FALSE),"")</f>
        <v>39470</v>
      </c>
      <c r="N1569" t="str">
        <f>IFERROR(VLOOKUP(VLOOKUP(A1569,'Sales Order'!A:G,7,FALSE),Shipper!A:B,2,FALSE),"Not Specified")</f>
        <v>Shipper ZHISN</v>
      </c>
      <c r="O1569" t="str">
        <f>IFERROR(VLOOKUP(A1569,'Sales Order'!A:I,9,FALSE),"Not Specified")</f>
        <v>Ship to 76-C</v>
      </c>
      <c r="P1569" t="str">
        <f>IFERROR(VLOOKUP(A1569,'Sales Order'!A:N,14,FALSE),"Not Specified")</f>
        <v>Belgium</v>
      </c>
      <c r="Q1569" t="str">
        <f>VLOOKUP(VLOOKUP(B1569,Product!A:C,3,FALSE),Supplier!A:B,2,FALSE)</f>
        <v>Supplier GQRCV</v>
      </c>
      <c r="R1569" t="str">
        <f>VLOOKUP(VLOOKUP(B1569,Product!A:C,3,FALSE),Supplier!A:I,9,FALSE)</f>
        <v>Australia</v>
      </c>
      <c r="S1569" t="str">
        <f>IFERROR(IF(VLOOKUP(A1569,'Sales Order'!A:H,8,FALSE)&gt;100,"High Freight","Low Freight"),"Not Specified")</f>
        <v>Low Freight</v>
      </c>
      <c r="T1569">
        <f t="shared" si="49"/>
        <v>450</v>
      </c>
    </row>
    <row r="1570" spans="1:20">
      <c r="A1570" s="9">
        <v>10846</v>
      </c>
      <c r="B1570" s="6">
        <v>74</v>
      </c>
      <c r="C1570" s="6">
        <v>10</v>
      </c>
      <c r="D1570" s="6">
        <v>20</v>
      </c>
      <c r="E1570" s="18">
        <v>0</v>
      </c>
      <c r="F1570" s="6" t="str">
        <f>IFERROR(VLOOKUP(VLOOKUP(A1570,'Sales Order'!A:B,2,FALSE),Customer!A:C,3,FALSE),"Not Specified")</f>
        <v>Gulbis, Katrin</v>
      </c>
      <c r="G1570" s="6" t="str">
        <f t="shared" si="48"/>
        <v>Gulbis Katrin</v>
      </c>
      <c r="H1570" s="22" t="str">
        <f>IFERROR(VLOOKUP(VLOOKUP(A1570,'Sales Order'!A:C,3,FALSE),Employee!A:E,5,FALSE)&amp;" "&amp;VLOOKUP(VLOOKUP(A1570,'Sales Order'!A:C,3,FALSE),Employee!A:C,3,FALSE)&amp;" "&amp;VLOOKUP(VLOOKUP(A1570,'Sales Order'!A:C,3,FALSE),Employee!A:B,2,FALSE),"Not Specified")</f>
        <v>Dr. Don Funk</v>
      </c>
      <c r="I1570" t="str">
        <f>IFERROR(VLOOKUP(VLOOKUP(A1570,'Sales Order'!A:C,3,FALSE),Employee!A:J,10,FALSE),"Not Specified")</f>
        <v>WA</v>
      </c>
      <c r="J1570" t="str">
        <f>VLOOKUP(B1570,Product!A:B,2,FALSE)</f>
        <v>Product BKAZJ</v>
      </c>
      <c r="K1570" t="str">
        <f>VLOOKUP(VLOOKUP(B1570,Product!A:D,4,FALSE),Category!A:B,2,FALSE)</f>
        <v>Produce</v>
      </c>
      <c r="L1570" s="24">
        <f>IFERROR(VLOOKUP(A1570,'Sales Order'!A:D,4,FALSE),"")</f>
        <v>39469</v>
      </c>
      <c r="M1570" s="24">
        <f>IFERROR(VLOOKUP(A1570,'Sales Order'!A:F,6,FALSE),"")</f>
        <v>39470</v>
      </c>
      <c r="N1570" t="str">
        <f>IFERROR(VLOOKUP(VLOOKUP(A1570,'Sales Order'!A:G,7,FALSE),Shipper!A:B,2,FALSE),"Not Specified")</f>
        <v>Shipper ZHISN</v>
      </c>
      <c r="O1570" t="str">
        <f>IFERROR(VLOOKUP(A1570,'Sales Order'!A:I,9,FALSE),"Not Specified")</f>
        <v>Ship to 76-C</v>
      </c>
      <c r="P1570" t="str">
        <f>IFERROR(VLOOKUP(A1570,'Sales Order'!A:N,14,FALSE),"Not Specified")</f>
        <v>Belgium</v>
      </c>
      <c r="Q1570" t="str">
        <f>VLOOKUP(VLOOKUP(B1570,Product!A:C,3,FALSE),Supplier!A:B,2,FALSE)</f>
        <v>Supplier QOVFD</v>
      </c>
      <c r="R1570" t="str">
        <f>VLOOKUP(VLOOKUP(B1570,Product!A:C,3,FALSE),Supplier!A:I,9,FALSE)</f>
        <v>Japan</v>
      </c>
      <c r="S1570" t="str">
        <f>IFERROR(IF(VLOOKUP(A1570,'Sales Order'!A:H,8,FALSE)&gt;100,"High Freight","Low Freight"),"Not Specified")</f>
        <v>Low Freight</v>
      </c>
      <c r="T1570">
        <f t="shared" si="49"/>
        <v>200</v>
      </c>
    </row>
    <row r="1571" spans="1:20">
      <c r="A1571" s="9">
        <v>10847</v>
      </c>
      <c r="B1571" s="6">
        <v>1</v>
      </c>
      <c r="C1571" s="6">
        <v>18</v>
      </c>
      <c r="D1571" s="6">
        <v>80</v>
      </c>
      <c r="E1571" s="18">
        <v>0.2</v>
      </c>
      <c r="F1571" s="6" t="str">
        <f>IFERROR(VLOOKUP(VLOOKUP(A1571,'Sales Order'!A:B,2,FALSE),Customer!A:C,3,FALSE),"Not Specified")</f>
        <v>Navarro, Tomás</v>
      </c>
      <c r="G1571" s="6" t="str">
        <f t="shared" si="48"/>
        <v>Navarro Tomás</v>
      </c>
      <c r="H1571" s="22" t="str">
        <f>IFERROR(VLOOKUP(VLOOKUP(A1571,'Sales Order'!A:C,3,FALSE),Employee!A:E,5,FALSE)&amp;" "&amp;VLOOKUP(VLOOKUP(A1571,'Sales Order'!A:C,3,FALSE),Employee!A:C,3,FALSE)&amp;" "&amp;VLOOKUP(VLOOKUP(A1571,'Sales Order'!A:C,3,FALSE),Employee!A:B,2,FALSE),"Not Specified")</f>
        <v>Mrs. Yael Peled</v>
      </c>
      <c r="I1571" t="str">
        <f>IFERROR(VLOOKUP(VLOOKUP(A1571,'Sales Order'!A:C,3,FALSE),Employee!A:J,10,FALSE),"Not Specified")</f>
        <v>WA</v>
      </c>
      <c r="J1571" t="str">
        <f>VLOOKUP(B1571,Product!A:B,2,FALSE)</f>
        <v>Product HHYDP</v>
      </c>
      <c r="K1571" t="str">
        <f>VLOOKUP(VLOOKUP(B1571,Product!A:D,4,FALSE),Category!A:B,2,FALSE)</f>
        <v>Beverages</v>
      </c>
      <c r="L1571" s="24">
        <f>IFERROR(VLOOKUP(A1571,'Sales Order'!A:D,4,FALSE),"")</f>
        <v>39469</v>
      </c>
      <c r="M1571" s="24">
        <f>IFERROR(VLOOKUP(A1571,'Sales Order'!A:F,6,FALSE),"")</f>
        <v>39488</v>
      </c>
      <c r="N1571" t="str">
        <f>IFERROR(VLOOKUP(VLOOKUP(A1571,'Sales Order'!A:G,7,FALSE),Shipper!A:B,2,FALSE),"Not Specified")</f>
        <v>Shipper ZHISN</v>
      </c>
      <c r="O1571" t="str">
        <f>IFERROR(VLOOKUP(A1571,'Sales Order'!A:I,9,FALSE),"Not Specified")</f>
        <v>Ship to 71-A</v>
      </c>
      <c r="P1571" t="str">
        <f>IFERROR(VLOOKUP(A1571,'Sales Order'!A:N,14,FALSE),"Not Specified")</f>
        <v>USA</v>
      </c>
      <c r="Q1571" t="str">
        <f>VLOOKUP(VLOOKUP(B1571,Product!A:C,3,FALSE),Supplier!A:B,2,FALSE)</f>
        <v>Supplier SWRXU</v>
      </c>
      <c r="R1571" t="str">
        <f>VLOOKUP(VLOOKUP(B1571,Product!A:C,3,FALSE),Supplier!A:I,9,FALSE)</f>
        <v>UK</v>
      </c>
      <c r="S1571" t="str">
        <f>IFERROR(IF(VLOOKUP(A1571,'Sales Order'!A:H,8,FALSE)&gt;100,"High Freight","Low Freight"),"Not Specified")</f>
        <v>High Freight</v>
      </c>
      <c r="T1571">
        <f t="shared" si="49"/>
        <v>1152</v>
      </c>
    </row>
    <row r="1572" spans="1:20">
      <c r="A1572" s="9">
        <v>10847</v>
      </c>
      <c r="B1572" s="6">
        <v>19</v>
      </c>
      <c r="C1572" s="6">
        <v>9.1999999999999993</v>
      </c>
      <c r="D1572" s="6">
        <v>12</v>
      </c>
      <c r="E1572" s="18">
        <v>0.2</v>
      </c>
      <c r="F1572" s="6" t="str">
        <f>IFERROR(VLOOKUP(VLOOKUP(A1572,'Sales Order'!A:B,2,FALSE),Customer!A:C,3,FALSE),"Not Specified")</f>
        <v>Navarro, Tomás</v>
      </c>
      <c r="G1572" s="6" t="str">
        <f t="shared" si="48"/>
        <v>Navarro Tomás</v>
      </c>
      <c r="H1572" s="22" t="str">
        <f>IFERROR(VLOOKUP(VLOOKUP(A1572,'Sales Order'!A:C,3,FALSE),Employee!A:E,5,FALSE)&amp;" "&amp;VLOOKUP(VLOOKUP(A1572,'Sales Order'!A:C,3,FALSE),Employee!A:C,3,FALSE)&amp;" "&amp;VLOOKUP(VLOOKUP(A1572,'Sales Order'!A:C,3,FALSE),Employee!A:B,2,FALSE),"Not Specified")</f>
        <v>Mrs. Yael Peled</v>
      </c>
      <c r="I1572" t="str">
        <f>IFERROR(VLOOKUP(VLOOKUP(A1572,'Sales Order'!A:C,3,FALSE),Employee!A:J,10,FALSE),"Not Specified")</f>
        <v>WA</v>
      </c>
      <c r="J1572" t="str">
        <f>VLOOKUP(B1572,Product!A:B,2,FALSE)</f>
        <v>Product XKXDO</v>
      </c>
      <c r="K1572" t="str">
        <f>VLOOKUP(VLOOKUP(B1572,Product!A:D,4,FALSE),Category!A:B,2,FALSE)</f>
        <v>Confections</v>
      </c>
      <c r="L1572" s="24">
        <f>IFERROR(VLOOKUP(A1572,'Sales Order'!A:D,4,FALSE),"")</f>
        <v>39469</v>
      </c>
      <c r="M1572" s="24">
        <f>IFERROR(VLOOKUP(A1572,'Sales Order'!A:F,6,FALSE),"")</f>
        <v>39488</v>
      </c>
      <c r="N1572" t="str">
        <f>IFERROR(VLOOKUP(VLOOKUP(A1572,'Sales Order'!A:G,7,FALSE),Shipper!A:B,2,FALSE),"Not Specified")</f>
        <v>Shipper ZHISN</v>
      </c>
      <c r="O1572" t="str">
        <f>IFERROR(VLOOKUP(A1572,'Sales Order'!A:I,9,FALSE),"Not Specified")</f>
        <v>Ship to 71-A</v>
      </c>
      <c r="P1572" t="str">
        <f>IFERROR(VLOOKUP(A1572,'Sales Order'!A:N,14,FALSE),"Not Specified")</f>
        <v>USA</v>
      </c>
      <c r="Q1572" t="str">
        <f>VLOOKUP(VLOOKUP(B1572,Product!A:C,3,FALSE),Supplier!A:B,2,FALSE)</f>
        <v>Supplier BWGYE</v>
      </c>
      <c r="R1572" t="str">
        <f>VLOOKUP(VLOOKUP(B1572,Product!A:C,3,FALSE),Supplier!A:I,9,FALSE)</f>
        <v>UK</v>
      </c>
      <c r="S1572" t="str">
        <f>IFERROR(IF(VLOOKUP(A1572,'Sales Order'!A:H,8,FALSE)&gt;100,"High Freight","Low Freight"),"Not Specified")</f>
        <v>High Freight</v>
      </c>
      <c r="T1572">
        <f t="shared" si="49"/>
        <v>88.32</v>
      </c>
    </row>
    <row r="1573" spans="1:20">
      <c r="A1573" s="9">
        <v>10847</v>
      </c>
      <c r="B1573" s="6">
        <v>37</v>
      </c>
      <c r="C1573" s="6">
        <v>26</v>
      </c>
      <c r="D1573" s="6">
        <v>60</v>
      </c>
      <c r="E1573" s="18">
        <v>0.2</v>
      </c>
      <c r="F1573" s="6" t="str">
        <f>IFERROR(VLOOKUP(VLOOKUP(A1573,'Sales Order'!A:B,2,FALSE),Customer!A:C,3,FALSE),"Not Specified")</f>
        <v>Navarro, Tomás</v>
      </c>
      <c r="G1573" s="6" t="str">
        <f t="shared" si="48"/>
        <v>Navarro Tomás</v>
      </c>
      <c r="H1573" s="22" t="str">
        <f>IFERROR(VLOOKUP(VLOOKUP(A1573,'Sales Order'!A:C,3,FALSE),Employee!A:E,5,FALSE)&amp;" "&amp;VLOOKUP(VLOOKUP(A1573,'Sales Order'!A:C,3,FALSE),Employee!A:C,3,FALSE)&amp;" "&amp;VLOOKUP(VLOOKUP(A1573,'Sales Order'!A:C,3,FALSE),Employee!A:B,2,FALSE),"Not Specified")</f>
        <v>Mrs. Yael Peled</v>
      </c>
      <c r="I1573" t="str">
        <f>IFERROR(VLOOKUP(VLOOKUP(A1573,'Sales Order'!A:C,3,FALSE),Employee!A:J,10,FALSE),"Not Specified")</f>
        <v>WA</v>
      </c>
      <c r="J1573" t="str">
        <f>VLOOKUP(B1573,Product!A:B,2,FALSE)</f>
        <v>Product EVFFA</v>
      </c>
      <c r="K1573" t="str">
        <f>VLOOKUP(VLOOKUP(B1573,Product!A:D,4,FALSE),Category!A:B,2,FALSE)</f>
        <v>Seafood</v>
      </c>
      <c r="L1573" s="24">
        <f>IFERROR(VLOOKUP(A1573,'Sales Order'!A:D,4,FALSE),"")</f>
        <v>39469</v>
      </c>
      <c r="M1573" s="24">
        <f>IFERROR(VLOOKUP(A1573,'Sales Order'!A:F,6,FALSE),"")</f>
        <v>39488</v>
      </c>
      <c r="N1573" t="str">
        <f>IFERROR(VLOOKUP(VLOOKUP(A1573,'Sales Order'!A:G,7,FALSE),Shipper!A:B,2,FALSE),"Not Specified")</f>
        <v>Shipper ZHISN</v>
      </c>
      <c r="O1573" t="str">
        <f>IFERROR(VLOOKUP(A1573,'Sales Order'!A:I,9,FALSE),"Not Specified")</f>
        <v>Ship to 71-A</v>
      </c>
      <c r="P1573" t="str">
        <f>IFERROR(VLOOKUP(A1573,'Sales Order'!A:N,14,FALSE),"Not Specified")</f>
        <v>USA</v>
      </c>
      <c r="Q1573" t="str">
        <f>VLOOKUP(VLOOKUP(B1573,Product!A:C,3,FALSE),Supplier!A:B,2,FALSE)</f>
        <v>Supplier QZGUF</v>
      </c>
      <c r="R1573" t="str">
        <f>VLOOKUP(VLOOKUP(B1573,Product!A:C,3,FALSE),Supplier!A:I,9,FALSE)</f>
        <v>Sweden</v>
      </c>
      <c r="S1573" t="str">
        <f>IFERROR(IF(VLOOKUP(A1573,'Sales Order'!A:H,8,FALSE)&gt;100,"High Freight","Low Freight"),"Not Specified")</f>
        <v>High Freight</v>
      </c>
      <c r="T1573">
        <f t="shared" si="49"/>
        <v>1248</v>
      </c>
    </row>
    <row r="1574" spans="1:20">
      <c r="A1574" s="9">
        <v>10847</v>
      </c>
      <c r="B1574" s="6">
        <v>45</v>
      </c>
      <c r="C1574" s="6">
        <v>9.5</v>
      </c>
      <c r="D1574" s="6">
        <v>36</v>
      </c>
      <c r="E1574" s="18">
        <v>0.2</v>
      </c>
      <c r="F1574" s="6" t="str">
        <f>IFERROR(VLOOKUP(VLOOKUP(A1574,'Sales Order'!A:B,2,FALSE),Customer!A:C,3,FALSE),"Not Specified")</f>
        <v>Navarro, Tomás</v>
      </c>
      <c r="G1574" s="6" t="str">
        <f t="shared" si="48"/>
        <v>Navarro Tomás</v>
      </c>
      <c r="H1574" s="22" t="str">
        <f>IFERROR(VLOOKUP(VLOOKUP(A1574,'Sales Order'!A:C,3,FALSE),Employee!A:E,5,FALSE)&amp;" "&amp;VLOOKUP(VLOOKUP(A1574,'Sales Order'!A:C,3,FALSE),Employee!A:C,3,FALSE)&amp;" "&amp;VLOOKUP(VLOOKUP(A1574,'Sales Order'!A:C,3,FALSE),Employee!A:B,2,FALSE),"Not Specified")</f>
        <v>Mrs. Yael Peled</v>
      </c>
      <c r="I1574" t="str">
        <f>IFERROR(VLOOKUP(VLOOKUP(A1574,'Sales Order'!A:C,3,FALSE),Employee!A:J,10,FALSE),"Not Specified")</f>
        <v>WA</v>
      </c>
      <c r="J1574" t="str">
        <f>VLOOKUP(B1574,Product!A:B,2,FALSE)</f>
        <v>Product AQOKR</v>
      </c>
      <c r="K1574" t="str">
        <f>VLOOKUP(VLOOKUP(B1574,Product!A:D,4,FALSE),Category!A:B,2,FALSE)</f>
        <v>Seafood</v>
      </c>
      <c r="L1574" s="24">
        <f>IFERROR(VLOOKUP(A1574,'Sales Order'!A:D,4,FALSE),"")</f>
        <v>39469</v>
      </c>
      <c r="M1574" s="24">
        <f>IFERROR(VLOOKUP(A1574,'Sales Order'!A:F,6,FALSE),"")</f>
        <v>39488</v>
      </c>
      <c r="N1574" t="str">
        <f>IFERROR(VLOOKUP(VLOOKUP(A1574,'Sales Order'!A:G,7,FALSE),Shipper!A:B,2,FALSE),"Not Specified")</f>
        <v>Shipper ZHISN</v>
      </c>
      <c r="O1574" t="str">
        <f>IFERROR(VLOOKUP(A1574,'Sales Order'!A:I,9,FALSE),"Not Specified")</f>
        <v>Ship to 71-A</v>
      </c>
      <c r="P1574" t="str">
        <f>IFERROR(VLOOKUP(A1574,'Sales Order'!A:N,14,FALSE),"Not Specified")</f>
        <v>USA</v>
      </c>
      <c r="Q1574" t="str">
        <f>VLOOKUP(VLOOKUP(B1574,Product!A:C,3,FALSE),Supplier!A:B,2,FALSE)</f>
        <v>Supplier XOXZA</v>
      </c>
      <c r="R1574" t="str">
        <f>VLOOKUP(VLOOKUP(B1574,Product!A:C,3,FALSE),Supplier!A:I,9,FALSE)</f>
        <v>Denmark</v>
      </c>
      <c r="S1574" t="str">
        <f>IFERROR(IF(VLOOKUP(A1574,'Sales Order'!A:H,8,FALSE)&gt;100,"High Freight","Low Freight"),"Not Specified")</f>
        <v>High Freight</v>
      </c>
      <c r="T1574">
        <f t="shared" si="49"/>
        <v>273.60000000000002</v>
      </c>
    </row>
    <row r="1575" spans="1:20">
      <c r="A1575" s="9">
        <v>10847</v>
      </c>
      <c r="B1575" s="6">
        <v>60</v>
      </c>
      <c r="C1575" s="6">
        <v>34</v>
      </c>
      <c r="D1575" s="6">
        <v>45</v>
      </c>
      <c r="E1575" s="18">
        <v>0.2</v>
      </c>
      <c r="F1575" s="6" t="str">
        <f>IFERROR(VLOOKUP(VLOOKUP(A1575,'Sales Order'!A:B,2,FALSE),Customer!A:C,3,FALSE),"Not Specified")</f>
        <v>Navarro, Tomás</v>
      </c>
      <c r="G1575" s="6" t="str">
        <f t="shared" si="48"/>
        <v>Navarro Tomás</v>
      </c>
      <c r="H1575" s="22" t="str">
        <f>IFERROR(VLOOKUP(VLOOKUP(A1575,'Sales Order'!A:C,3,FALSE),Employee!A:E,5,FALSE)&amp;" "&amp;VLOOKUP(VLOOKUP(A1575,'Sales Order'!A:C,3,FALSE),Employee!A:C,3,FALSE)&amp;" "&amp;VLOOKUP(VLOOKUP(A1575,'Sales Order'!A:C,3,FALSE),Employee!A:B,2,FALSE),"Not Specified")</f>
        <v>Mrs. Yael Peled</v>
      </c>
      <c r="I1575" t="str">
        <f>IFERROR(VLOOKUP(VLOOKUP(A1575,'Sales Order'!A:C,3,FALSE),Employee!A:J,10,FALSE),"Not Specified")</f>
        <v>WA</v>
      </c>
      <c r="J1575" t="str">
        <f>VLOOKUP(B1575,Product!A:B,2,FALSE)</f>
        <v>Product WHBYK</v>
      </c>
      <c r="K1575" t="str">
        <f>VLOOKUP(VLOOKUP(B1575,Product!A:D,4,FALSE),Category!A:B,2,FALSE)</f>
        <v>Dairy Product</v>
      </c>
      <c r="L1575" s="24">
        <f>IFERROR(VLOOKUP(A1575,'Sales Order'!A:D,4,FALSE),"")</f>
        <v>39469</v>
      </c>
      <c r="M1575" s="24">
        <f>IFERROR(VLOOKUP(A1575,'Sales Order'!A:F,6,FALSE),"")</f>
        <v>39488</v>
      </c>
      <c r="N1575" t="str">
        <f>IFERROR(VLOOKUP(VLOOKUP(A1575,'Sales Order'!A:G,7,FALSE),Shipper!A:B,2,FALSE),"Not Specified")</f>
        <v>Shipper ZHISN</v>
      </c>
      <c r="O1575" t="str">
        <f>IFERROR(VLOOKUP(A1575,'Sales Order'!A:I,9,FALSE),"Not Specified")</f>
        <v>Ship to 71-A</v>
      </c>
      <c r="P1575" t="str">
        <f>IFERROR(VLOOKUP(A1575,'Sales Order'!A:N,14,FALSE),"Not Specified")</f>
        <v>USA</v>
      </c>
      <c r="Q1575" t="str">
        <f>VLOOKUP(VLOOKUP(B1575,Product!A:C,3,FALSE),Supplier!A:B,2,FALSE)</f>
        <v>Supplier OAVQT</v>
      </c>
      <c r="R1575" t="str">
        <f>VLOOKUP(VLOOKUP(B1575,Product!A:C,3,FALSE),Supplier!A:I,9,FALSE)</f>
        <v>France</v>
      </c>
      <c r="S1575" t="str">
        <f>IFERROR(IF(VLOOKUP(A1575,'Sales Order'!A:H,8,FALSE)&gt;100,"High Freight","Low Freight"),"Not Specified")</f>
        <v>High Freight</v>
      </c>
      <c r="T1575">
        <f t="shared" si="49"/>
        <v>1224</v>
      </c>
    </row>
    <row r="1576" spans="1:20">
      <c r="A1576" s="9">
        <v>10847</v>
      </c>
      <c r="B1576" s="6">
        <v>71</v>
      </c>
      <c r="C1576" s="6">
        <v>21.5</v>
      </c>
      <c r="D1576" s="6">
        <v>55</v>
      </c>
      <c r="E1576" s="18">
        <v>0.2</v>
      </c>
      <c r="F1576" s="6" t="str">
        <f>IFERROR(VLOOKUP(VLOOKUP(A1576,'Sales Order'!A:B,2,FALSE),Customer!A:C,3,FALSE),"Not Specified")</f>
        <v>Navarro, Tomás</v>
      </c>
      <c r="G1576" s="6" t="str">
        <f t="shared" si="48"/>
        <v>Navarro Tomás</v>
      </c>
      <c r="H1576" s="22" t="str">
        <f>IFERROR(VLOOKUP(VLOOKUP(A1576,'Sales Order'!A:C,3,FALSE),Employee!A:E,5,FALSE)&amp;" "&amp;VLOOKUP(VLOOKUP(A1576,'Sales Order'!A:C,3,FALSE),Employee!A:C,3,FALSE)&amp;" "&amp;VLOOKUP(VLOOKUP(A1576,'Sales Order'!A:C,3,FALSE),Employee!A:B,2,FALSE),"Not Specified")</f>
        <v>Mrs. Yael Peled</v>
      </c>
      <c r="I1576" t="str">
        <f>IFERROR(VLOOKUP(VLOOKUP(A1576,'Sales Order'!A:C,3,FALSE),Employee!A:J,10,FALSE),"Not Specified")</f>
        <v>WA</v>
      </c>
      <c r="J1576" t="str">
        <f>VLOOKUP(B1576,Product!A:B,2,FALSE)</f>
        <v>Product MYMOI</v>
      </c>
      <c r="K1576" t="str">
        <f>VLOOKUP(VLOOKUP(B1576,Product!A:D,4,FALSE),Category!A:B,2,FALSE)</f>
        <v>Dairy Product</v>
      </c>
      <c r="L1576" s="24">
        <f>IFERROR(VLOOKUP(A1576,'Sales Order'!A:D,4,FALSE),"")</f>
        <v>39469</v>
      </c>
      <c r="M1576" s="24">
        <f>IFERROR(VLOOKUP(A1576,'Sales Order'!A:F,6,FALSE),"")</f>
        <v>39488</v>
      </c>
      <c r="N1576" t="str">
        <f>IFERROR(VLOOKUP(VLOOKUP(A1576,'Sales Order'!A:G,7,FALSE),Shipper!A:B,2,FALSE),"Not Specified")</f>
        <v>Shipper ZHISN</v>
      </c>
      <c r="O1576" t="str">
        <f>IFERROR(VLOOKUP(A1576,'Sales Order'!A:I,9,FALSE),"Not Specified")</f>
        <v>Ship to 71-A</v>
      </c>
      <c r="P1576" t="str">
        <f>IFERROR(VLOOKUP(A1576,'Sales Order'!A:N,14,FALSE),"Not Specified")</f>
        <v>USA</v>
      </c>
      <c r="Q1576" t="str">
        <f>VLOOKUP(VLOOKUP(B1576,Product!A:C,3,FALSE),Supplier!A:B,2,FALSE)</f>
        <v>Supplier NZLIF</v>
      </c>
      <c r="R1576" t="str">
        <f>VLOOKUP(VLOOKUP(B1576,Product!A:C,3,FALSE),Supplier!A:I,9,FALSE)</f>
        <v>Norway</v>
      </c>
      <c r="S1576" t="str">
        <f>IFERROR(IF(VLOOKUP(A1576,'Sales Order'!A:H,8,FALSE)&gt;100,"High Freight","Low Freight"),"Not Specified")</f>
        <v>High Freight</v>
      </c>
      <c r="T1576">
        <f t="shared" si="49"/>
        <v>946</v>
      </c>
    </row>
    <row r="1577" spans="1:20">
      <c r="A1577" s="9">
        <v>10848</v>
      </c>
      <c r="B1577" s="6">
        <v>5</v>
      </c>
      <c r="C1577" s="6">
        <v>21.35</v>
      </c>
      <c r="D1577" s="6">
        <v>30</v>
      </c>
      <c r="E1577" s="18">
        <v>0</v>
      </c>
      <c r="F1577" s="6" t="str">
        <f>IFERROR(VLOOKUP(VLOOKUP(A1577,'Sales Order'!A:B,2,FALSE),Customer!A:C,3,FALSE),"Not Specified")</f>
        <v>Birkby, Dana</v>
      </c>
      <c r="G1577" s="6" t="str">
        <f t="shared" si="48"/>
        <v>Birkby Dana</v>
      </c>
      <c r="H1577" s="22" t="str">
        <f>IFERROR(VLOOKUP(VLOOKUP(A1577,'Sales Order'!A:C,3,FALSE),Employee!A:E,5,FALSE)&amp;" "&amp;VLOOKUP(VLOOKUP(A1577,'Sales Order'!A:C,3,FALSE),Employee!A:C,3,FALSE)&amp;" "&amp;VLOOKUP(VLOOKUP(A1577,'Sales Order'!A:C,3,FALSE),Employee!A:B,2,FALSE),"Not Specified")</f>
        <v>Mr. Russell King</v>
      </c>
      <c r="I1577">
        <f>IFERROR(VLOOKUP(VLOOKUP(A1577,'Sales Order'!A:C,3,FALSE),Employee!A:J,10,FALSE),"Not Specified")</f>
        <v>0</v>
      </c>
      <c r="J1577" t="str">
        <f>VLOOKUP(B1577,Product!A:B,2,FALSE)</f>
        <v>Product EPEIM</v>
      </c>
      <c r="K1577" t="str">
        <f>VLOOKUP(VLOOKUP(B1577,Product!A:D,4,FALSE),Category!A:B,2,FALSE)</f>
        <v>Condiments</v>
      </c>
      <c r="L1577" s="24">
        <f>IFERROR(VLOOKUP(A1577,'Sales Order'!A:D,4,FALSE),"")</f>
        <v>39470</v>
      </c>
      <c r="M1577" s="24">
        <f>IFERROR(VLOOKUP(A1577,'Sales Order'!A:F,6,FALSE),"")</f>
        <v>39476</v>
      </c>
      <c r="N1577" t="str">
        <f>IFERROR(VLOOKUP(VLOOKUP(A1577,'Sales Order'!A:G,7,FALSE),Shipper!A:B,2,FALSE),"Not Specified")</f>
        <v>Shipper ETYNR</v>
      </c>
      <c r="O1577" t="str">
        <f>IFERROR(VLOOKUP(A1577,'Sales Order'!A:I,9,FALSE),"Not Specified")</f>
        <v>Destination QKQNB</v>
      </c>
      <c r="P1577" t="str">
        <f>IFERROR(VLOOKUP(A1577,'Sales Order'!A:N,14,FALSE),"Not Specified")</f>
        <v>UK</v>
      </c>
      <c r="Q1577" t="str">
        <f>VLOOKUP(VLOOKUP(B1577,Product!A:C,3,FALSE),Supplier!A:B,2,FALSE)</f>
        <v>Supplier VHQZD</v>
      </c>
      <c r="R1577" t="str">
        <f>VLOOKUP(VLOOKUP(B1577,Product!A:C,3,FALSE),Supplier!A:I,9,FALSE)</f>
        <v>USA</v>
      </c>
      <c r="S1577" t="str">
        <f>IFERROR(IF(VLOOKUP(A1577,'Sales Order'!A:H,8,FALSE)&gt;100,"High Freight","Low Freight"),"Not Specified")</f>
        <v>Low Freight</v>
      </c>
      <c r="T1577">
        <f t="shared" si="49"/>
        <v>640.5</v>
      </c>
    </row>
    <row r="1578" spans="1:20">
      <c r="A1578" s="9">
        <v>10848</v>
      </c>
      <c r="B1578" s="6">
        <v>9</v>
      </c>
      <c r="C1578" s="6">
        <v>97</v>
      </c>
      <c r="D1578" s="6">
        <v>3</v>
      </c>
      <c r="E1578" s="18">
        <v>0</v>
      </c>
      <c r="F1578" s="6" t="str">
        <f>IFERROR(VLOOKUP(VLOOKUP(A1578,'Sales Order'!A:B,2,FALSE),Customer!A:C,3,FALSE),"Not Specified")</f>
        <v>Birkby, Dana</v>
      </c>
      <c r="G1578" s="6" t="str">
        <f t="shared" si="48"/>
        <v>Birkby Dana</v>
      </c>
      <c r="H1578" s="22" t="str">
        <f>IFERROR(VLOOKUP(VLOOKUP(A1578,'Sales Order'!A:C,3,FALSE),Employee!A:E,5,FALSE)&amp;" "&amp;VLOOKUP(VLOOKUP(A1578,'Sales Order'!A:C,3,FALSE),Employee!A:C,3,FALSE)&amp;" "&amp;VLOOKUP(VLOOKUP(A1578,'Sales Order'!A:C,3,FALSE),Employee!A:B,2,FALSE),"Not Specified")</f>
        <v>Mr. Russell King</v>
      </c>
      <c r="I1578">
        <f>IFERROR(VLOOKUP(VLOOKUP(A1578,'Sales Order'!A:C,3,FALSE),Employee!A:J,10,FALSE),"Not Specified")</f>
        <v>0</v>
      </c>
      <c r="J1578" t="str">
        <f>VLOOKUP(B1578,Product!A:B,2,FALSE)</f>
        <v>Product AOZBW</v>
      </c>
      <c r="K1578" t="str">
        <f>VLOOKUP(VLOOKUP(B1578,Product!A:D,4,FALSE),Category!A:B,2,FALSE)</f>
        <v>Meat/Poultry</v>
      </c>
      <c r="L1578" s="24">
        <f>IFERROR(VLOOKUP(A1578,'Sales Order'!A:D,4,FALSE),"")</f>
        <v>39470</v>
      </c>
      <c r="M1578" s="24">
        <f>IFERROR(VLOOKUP(A1578,'Sales Order'!A:F,6,FALSE),"")</f>
        <v>39476</v>
      </c>
      <c r="N1578" t="str">
        <f>IFERROR(VLOOKUP(VLOOKUP(A1578,'Sales Order'!A:G,7,FALSE),Shipper!A:B,2,FALSE),"Not Specified")</f>
        <v>Shipper ETYNR</v>
      </c>
      <c r="O1578" t="str">
        <f>IFERROR(VLOOKUP(A1578,'Sales Order'!A:I,9,FALSE),"Not Specified")</f>
        <v>Destination QKQNB</v>
      </c>
      <c r="P1578" t="str">
        <f>IFERROR(VLOOKUP(A1578,'Sales Order'!A:N,14,FALSE),"Not Specified")</f>
        <v>UK</v>
      </c>
      <c r="Q1578" t="str">
        <f>VLOOKUP(VLOOKUP(B1578,Product!A:C,3,FALSE),Supplier!A:B,2,FALSE)</f>
        <v>Supplier QOVFD</v>
      </c>
      <c r="R1578" t="str">
        <f>VLOOKUP(VLOOKUP(B1578,Product!A:C,3,FALSE),Supplier!A:I,9,FALSE)</f>
        <v>Japan</v>
      </c>
      <c r="S1578" t="str">
        <f>IFERROR(IF(VLOOKUP(A1578,'Sales Order'!A:H,8,FALSE)&gt;100,"High Freight","Low Freight"),"Not Specified")</f>
        <v>Low Freight</v>
      </c>
      <c r="T1578">
        <f t="shared" si="49"/>
        <v>291</v>
      </c>
    </row>
    <row r="1579" spans="1:20">
      <c r="A1579" s="9">
        <v>10849</v>
      </c>
      <c r="B1579" s="6">
        <v>3</v>
      </c>
      <c r="C1579" s="6">
        <v>10</v>
      </c>
      <c r="D1579" s="6">
        <v>49</v>
      </c>
      <c r="E1579" s="18">
        <v>0</v>
      </c>
      <c r="F1579" s="6" t="str">
        <f>IFERROR(VLOOKUP(VLOOKUP(A1579,'Sales Order'!A:B,2,FALSE),Customer!A:C,3,FALSE),"Not Specified")</f>
        <v>Song, Lolan</v>
      </c>
      <c r="G1579" s="6" t="str">
        <f t="shared" si="48"/>
        <v>Song Lolan</v>
      </c>
      <c r="H1579" s="22" t="str">
        <f>IFERROR(VLOOKUP(VLOOKUP(A1579,'Sales Order'!A:C,3,FALSE),Employee!A:E,5,FALSE)&amp;" "&amp;VLOOKUP(VLOOKUP(A1579,'Sales Order'!A:C,3,FALSE),Employee!A:C,3,FALSE)&amp;" "&amp;VLOOKUP(VLOOKUP(A1579,'Sales Order'!A:C,3,FALSE),Employee!A:B,2,FALSE),"Not Specified")</f>
        <v>Ms. Zoya Dolgopyatova</v>
      </c>
      <c r="I1579">
        <f>IFERROR(VLOOKUP(VLOOKUP(A1579,'Sales Order'!A:C,3,FALSE),Employee!A:J,10,FALSE),"Not Specified")</f>
        <v>0</v>
      </c>
      <c r="J1579" t="str">
        <f>VLOOKUP(B1579,Product!A:B,2,FALSE)</f>
        <v>Product IMEHJ</v>
      </c>
      <c r="K1579" t="str">
        <f>VLOOKUP(VLOOKUP(B1579,Product!A:D,4,FALSE),Category!A:B,2,FALSE)</f>
        <v>Condiments</v>
      </c>
      <c r="L1579" s="24">
        <f>IFERROR(VLOOKUP(A1579,'Sales Order'!A:D,4,FALSE),"")</f>
        <v>39470</v>
      </c>
      <c r="M1579" s="24">
        <f>IFERROR(VLOOKUP(A1579,'Sales Order'!A:F,6,FALSE),"")</f>
        <v>39477</v>
      </c>
      <c r="N1579" t="str">
        <f>IFERROR(VLOOKUP(VLOOKUP(A1579,'Sales Order'!A:G,7,FALSE),Shipper!A:B,2,FALSE),"Not Specified")</f>
        <v>Shipper ETYNR</v>
      </c>
      <c r="O1579" t="str">
        <f>IFERROR(VLOOKUP(A1579,'Sales Order'!A:I,9,FALSE),"Not Specified")</f>
        <v>Destination DKMQA</v>
      </c>
      <c r="P1579" t="str">
        <f>IFERROR(VLOOKUP(A1579,'Sales Order'!A:N,14,FALSE),"Not Specified")</f>
        <v>Germany</v>
      </c>
      <c r="Q1579" t="str">
        <f>VLOOKUP(VLOOKUP(B1579,Product!A:C,3,FALSE),Supplier!A:B,2,FALSE)</f>
        <v>Supplier SWRXU</v>
      </c>
      <c r="R1579" t="str">
        <f>VLOOKUP(VLOOKUP(B1579,Product!A:C,3,FALSE),Supplier!A:I,9,FALSE)</f>
        <v>UK</v>
      </c>
      <c r="S1579" t="str">
        <f>IFERROR(IF(VLOOKUP(A1579,'Sales Order'!A:H,8,FALSE)&gt;100,"High Freight","Low Freight"),"Not Specified")</f>
        <v>Low Freight</v>
      </c>
      <c r="T1579">
        <f t="shared" si="49"/>
        <v>490</v>
      </c>
    </row>
    <row r="1580" spans="1:20">
      <c r="A1580" s="9">
        <v>10849</v>
      </c>
      <c r="B1580" s="6">
        <v>26</v>
      </c>
      <c r="C1580" s="6">
        <v>31.23</v>
      </c>
      <c r="D1580" s="6">
        <v>18</v>
      </c>
      <c r="E1580" s="18">
        <v>0.15</v>
      </c>
      <c r="F1580" s="6" t="str">
        <f>IFERROR(VLOOKUP(VLOOKUP(A1580,'Sales Order'!A:B,2,FALSE),Customer!A:C,3,FALSE),"Not Specified")</f>
        <v>Song, Lolan</v>
      </c>
      <c r="G1580" s="6" t="str">
        <f t="shared" si="48"/>
        <v>Song Lolan</v>
      </c>
      <c r="H1580" s="22" t="str">
        <f>IFERROR(VLOOKUP(VLOOKUP(A1580,'Sales Order'!A:C,3,FALSE),Employee!A:E,5,FALSE)&amp;" "&amp;VLOOKUP(VLOOKUP(A1580,'Sales Order'!A:C,3,FALSE),Employee!A:C,3,FALSE)&amp;" "&amp;VLOOKUP(VLOOKUP(A1580,'Sales Order'!A:C,3,FALSE),Employee!A:B,2,FALSE),"Not Specified")</f>
        <v>Ms. Zoya Dolgopyatova</v>
      </c>
      <c r="I1580">
        <f>IFERROR(VLOOKUP(VLOOKUP(A1580,'Sales Order'!A:C,3,FALSE),Employee!A:J,10,FALSE),"Not Specified")</f>
        <v>0</v>
      </c>
      <c r="J1580" t="str">
        <f>VLOOKUP(B1580,Product!A:B,2,FALSE)</f>
        <v>Product HLGZA</v>
      </c>
      <c r="K1580" t="str">
        <f>VLOOKUP(VLOOKUP(B1580,Product!A:D,4,FALSE),Category!A:B,2,FALSE)</f>
        <v>Confections</v>
      </c>
      <c r="L1580" s="24">
        <f>IFERROR(VLOOKUP(A1580,'Sales Order'!A:D,4,FALSE),"")</f>
        <v>39470</v>
      </c>
      <c r="M1580" s="24">
        <f>IFERROR(VLOOKUP(A1580,'Sales Order'!A:F,6,FALSE),"")</f>
        <v>39477</v>
      </c>
      <c r="N1580" t="str">
        <f>IFERROR(VLOOKUP(VLOOKUP(A1580,'Sales Order'!A:G,7,FALSE),Shipper!A:B,2,FALSE),"Not Specified")</f>
        <v>Shipper ETYNR</v>
      </c>
      <c r="O1580" t="str">
        <f>IFERROR(VLOOKUP(A1580,'Sales Order'!A:I,9,FALSE),"Not Specified")</f>
        <v>Destination DKMQA</v>
      </c>
      <c r="P1580" t="str">
        <f>IFERROR(VLOOKUP(A1580,'Sales Order'!A:N,14,FALSE),"Not Specified")</f>
        <v>Germany</v>
      </c>
      <c r="Q1580" t="str">
        <f>VLOOKUP(VLOOKUP(B1580,Product!A:C,3,FALSE),Supplier!A:B,2,FALSE)</f>
        <v>Supplier ZPYVS</v>
      </c>
      <c r="R1580" t="str">
        <f>VLOOKUP(VLOOKUP(B1580,Product!A:C,3,FALSE),Supplier!A:I,9,FALSE)</f>
        <v>Germany</v>
      </c>
      <c r="S1580" t="str">
        <f>IFERROR(IF(VLOOKUP(A1580,'Sales Order'!A:H,8,FALSE)&gt;100,"High Freight","Low Freight"),"Not Specified")</f>
        <v>Low Freight</v>
      </c>
      <c r="T1580">
        <f t="shared" si="49"/>
        <v>477.81899999999996</v>
      </c>
    </row>
    <row r="1581" spans="1:20">
      <c r="A1581" s="9">
        <v>10850</v>
      </c>
      <c r="B1581" s="6">
        <v>25</v>
      </c>
      <c r="C1581" s="6">
        <v>14</v>
      </c>
      <c r="D1581" s="6">
        <v>20</v>
      </c>
      <c r="E1581" s="18">
        <v>0.15</v>
      </c>
      <c r="F1581" s="6" t="str">
        <f>IFERROR(VLOOKUP(VLOOKUP(A1581,'Sales Order'!A:B,2,FALSE),Customer!A:C,3,FALSE),"Not Specified")</f>
        <v>Tuntisangaroon, Sittichai</v>
      </c>
      <c r="G1581" s="6" t="str">
        <f t="shared" si="48"/>
        <v>Tuntisangaroon Sittichai</v>
      </c>
      <c r="H1581" s="22" t="str">
        <f>IFERROR(VLOOKUP(VLOOKUP(A1581,'Sales Order'!A:C,3,FALSE),Employee!A:E,5,FALSE)&amp;" "&amp;VLOOKUP(VLOOKUP(A1581,'Sales Order'!A:C,3,FALSE),Employee!A:C,3,FALSE)&amp;" "&amp;VLOOKUP(VLOOKUP(A1581,'Sales Order'!A:C,3,FALSE),Employee!A:B,2,FALSE),"Not Specified")</f>
        <v>Ms. Sara Davis</v>
      </c>
      <c r="I1581" t="str">
        <f>IFERROR(VLOOKUP(VLOOKUP(A1581,'Sales Order'!A:C,3,FALSE),Employee!A:J,10,FALSE),"Not Specified")</f>
        <v>WA</v>
      </c>
      <c r="J1581" t="str">
        <f>VLOOKUP(B1581,Product!A:B,2,FALSE)</f>
        <v>Product LYLNI</v>
      </c>
      <c r="K1581" t="str">
        <f>VLOOKUP(VLOOKUP(B1581,Product!A:D,4,FALSE),Category!A:B,2,FALSE)</f>
        <v>Confections</v>
      </c>
      <c r="L1581" s="24">
        <f>IFERROR(VLOOKUP(A1581,'Sales Order'!A:D,4,FALSE),"")</f>
        <v>39470</v>
      </c>
      <c r="M1581" s="24">
        <f>IFERROR(VLOOKUP(A1581,'Sales Order'!A:F,6,FALSE),"")</f>
        <v>39477</v>
      </c>
      <c r="N1581" t="str">
        <f>IFERROR(VLOOKUP(VLOOKUP(A1581,'Sales Order'!A:G,7,FALSE),Shipper!A:B,2,FALSE),"Not Specified")</f>
        <v>Shipper GVSUA</v>
      </c>
      <c r="O1581" t="str">
        <f>IFERROR(VLOOKUP(A1581,'Sales Order'!A:I,9,FALSE),"Not Specified")</f>
        <v>Ship to 84-C</v>
      </c>
      <c r="P1581" t="str">
        <f>IFERROR(VLOOKUP(A1581,'Sales Order'!A:N,14,FALSE),"Not Specified")</f>
        <v>France</v>
      </c>
      <c r="Q1581" t="str">
        <f>VLOOKUP(VLOOKUP(B1581,Product!A:C,3,FALSE),Supplier!A:B,2,FALSE)</f>
        <v>Supplier ZPYVS</v>
      </c>
      <c r="R1581" t="str">
        <f>VLOOKUP(VLOOKUP(B1581,Product!A:C,3,FALSE),Supplier!A:I,9,FALSE)</f>
        <v>Germany</v>
      </c>
      <c r="S1581" t="str">
        <f>IFERROR(IF(VLOOKUP(A1581,'Sales Order'!A:H,8,FALSE)&gt;100,"High Freight","Low Freight"),"Not Specified")</f>
        <v>Low Freight</v>
      </c>
      <c r="T1581">
        <f t="shared" si="49"/>
        <v>238</v>
      </c>
    </row>
    <row r="1582" spans="1:20">
      <c r="A1582" s="9">
        <v>10850</v>
      </c>
      <c r="B1582" s="6">
        <v>33</v>
      </c>
      <c r="C1582" s="6">
        <v>2.5</v>
      </c>
      <c r="D1582" s="6">
        <v>4</v>
      </c>
      <c r="E1582" s="18">
        <v>0.15</v>
      </c>
      <c r="F1582" s="6" t="str">
        <f>IFERROR(VLOOKUP(VLOOKUP(A1582,'Sales Order'!A:B,2,FALSE),Customer!A:C,3,FALSE),"Not Specified")</f>
        <v>Tuntisangaroon, Sittichai</v>
      </c>
      <c r="G1582" s="6" t="str">
        <f t="shared" si="48"/>
        <v>Tuntisangaroon Sittichai</v>
      </c>
      <c r="H1582" s="22" t="str">
        <f>IFERROR(VLOOKUP(VLOOKUP(A1582,'Sales Order'!A:C,3,FALSE),Employee!A:E,5,FALSE)&amp;" "&amp;VLOOKUP(VLOOKUP(A1582,'Sales Order'!A:C,3,FALSE),Employee!A:C,3,FALSE)&amp;" "&amp;VLOOKUP(VLOOKUP(A1582,'Sales Order'!A:C,3,FALSE),Employee!A:B,2,FALSE),"Not Specified")</f>
        <v>Ms. Sara Davis</v>
      </c>
      <c r="I1582" t="str">
        <f>IFERROR(VLOOKUP(VLOOKUP(A1582,'Sales Order'!A:C,3,FALSE),Employee!A:J,10,FALSE),"Not Specified")</f>
        <v>WA</v>
      </c>
      <c r="J1582" t="str">
        <f>VLOOKUP(B1582,Product!A:B,2,FALSE)</f>
        <v>Product ASTMN</v>
      </c>
      <c r="K1582" t="str">
        <f>VLOOKUP(VLOOKUP(B1582,Product!A:D,4,FALSE),Category!A:B,2,FALSE)</f>
        <v>Dairy Product</v>
      </c>
      <c r="L1582" s="24">
        <f>IFERROR(VLOOKUP(A1582,'Sales Order'!A:D,4,FALSE),"")</f>
        <v>39470</v>
      </c>
      <c r="M1582" s="24">
        <f>IFERROR(VLOOKUP(A1582,'Sales Order'!A:F,6,FALSE),"")</f>
        <v>39477</v>
      </c>
      <c r="N1582" t="str">
        <f>IFERROR(VLOOKUP(VLOOKUP(A1582,'Sales Order'!A:G,7,FALSE),Shipper!A:B,2,FALSE),"Not Specified")</f>
        <v>Shipper GVSUA</v>
      </c>
      <c r="O1582" t="str">
        <f>IFERROR(VLOOKUP(A1582,'Sales Order'!A:I,9,FALSE),"Not Specified")</f>
        <v>Ship to 84-C</v>
      </c>
      <c r="P1582" t="str">
        <f>IFERROR(VLOOKUP(A1582,'Sales Order'!A:N,14,FALSE),"Not Specified")</f>
        <v>France</v>
      </c>
      <c r="Q1582" t="str">
        <f>VLOOKUP(VLOOKUP(B1582,Product!A:C,3,FALSE),Supplier!A:B,2,FALSE)</f>
        <v>Supplier NZLIF</v>
      </c>
      <c r="R1582" t="str">
        <f>VLOOKUP(VLOOKUP(B1582,Product!A:C,3,FALSE),Supplier!A:I,9,FALSE)</f>
        <v>Norway</v>
      </c>
      <c r="S1582" t="str">
        <f>IFERROR(IF(VLOOKUP(A1582,'Sales Order'!A:H,8,FALSE)&gt;100,"High Freight","Low Freight"),"Not Specified")</f>
        <v>Low Freight</v>
      </c>
      <c r="T1582">
        <f t="shared" si="49"/>
        <v>8.5</v>
      </c>
    </row>
    <row r="1583" spans="1:20">
      <c r="A1583" s="9">
        <v>10850</v>
      </c>
      <c r="B1583" s="6">
        <v>70</v>
      </c>
      <c r="C1583" s="6">
        <v>15</v>
      </c>
      <c r="D1583" s="6">
        <v>30</v>
      </c>
      <c r="E1583" s="18">
        <v>0.15</v>
      </c>
      <c r="F1583" s="6" t="str">
        <f>IFERROR(VLOOKUP(VLOOKUP(A1583,'Sales Order'!A:B,2,FALSE),Customer!A:C,3,FALSE),"Not Specified")</f>
        <v>Tuntisangaroon, Sittichai</v>
      </c>
      <c r="G1583" s="6" t="str">
        <f t="shared" si="48"/>
        <v>Tuntisangaroon Sittichai</v>
      </c>
      <c r="H1583" s="22" t="str">
        <f>IFERROR(VLOOKUP(VLOOKUP(A1583,'Sales Order'!A:C,3,FALSE),Employee!A:E,5,FALSE)&amp;" "&amp;VLOOKUP(VLOOKUP(A1583,'Sales Order'!A:C,3,FALSE),Employee!A:C,3,FALSE)&amp;" "&amp;VLOOKUP(VLOOKUP(A1583,'Sales Order'!A:C,3,FALSE),Employee!A:B,2,FALSE),"Not Specified")</f>
        <v>Ms. Sara Davis</v>
      </c>
      <c r="I1583" t="str">
        <f>IFERROR(VLOOKUP(VLOOKUP(A1583,'Sales Order'!A:C,3,FALSE),Employee!A:J,10,FALSE),"Not Specified")</f>
        <v>WA</v>
      </c>
      <c r="J1583" t="str">
        <f>VLOOKUP(B1583,Product!A:B,2,FALSE)</f>
        <v>Product TOONT</v>
      </c>
      <c r="K1583" t="str">
        <f>VLOOKUP(VLOOKUP(B1583,Product!A:D,4,FALSE),Category!A:B,2,FALSE)</f>
        <v>Beverages</v>
      </c>
      <c r="L1583" s="24">
        <f>IFERROR(VLOOKUP(A1583,'Sales Order'!A:D,4,FALSE),"")</f>
        <v>39470</v>
      </c>
      <c r="M1583" s="24">
        <f>IFERROR(VLOOKUP(A1583,'Sales Order'!A:F,6,FALSE),"")</f>
        <v>39477</v>
      </c>
      <c r="N1583" t="str">
        <f>IFERROR(VLOOKUP(VLOOKUP(A1583,'Sales Order'!A:G,7,FALSE),Shipper!A:B,2,FALSE),"Not Specified")</f>
        <v>Shipper GVSUA</v>
      </c>
      <c r="O1583" t="str">
        <f>IFERROR(VLOOKUP(A1583,'Sales Order'!A:I,9,FALSE),"Not Specified")</f>
        <v>Ship to 84-C</v>
      </c>
      <c r="P1583" t="str">
        <f>IFERROR(VLOOKUP(A1583,'Sales Order'!A:N,14,FALSE),"Not Specified")</f>
        <v>France</v>
      </c>
      <c r="Q1583" t="str">
        <f>VLOOKUP(VLOOKUP(B1583,Product!A:C,3,FALSE),Supplier!A:B,2,FALSE)</f>
        <v>Supplier GQRCV</v>
      </c>
      <c r="R1583" t="str">
        <f>VLOOKUP(VLOOKUP(B1583,Product!A:C,3,FALSE),Supplier!A:I,9,FALSE)</f>
        <v>Australia</v>
      </c>
      <c r="S1583" t="str">
        <f>IFERROR(IF(VLOOKUP(A1583,'Sales Order'!A:H,8,FALSE)&gt;100,"High Freight","Low Freight"),"Not Specified")</f>
        <v>Low Freight</v>
      </c>
      <c r="T1583">
        <f t="shared" si="49"/>
        <v>382.5</v>
      </c>
    </row>
    <row r="1584" spans="1:20">
      <c r="A1584" s="9">
        <v>10851</v>
      </c>
      <c r="B1584" s="6">
        <v>2</v>
      </c>
      <c r="C1584" s="6">
        <v>19</v>
      </c>
      <c r="D1584" s="6">
        <v>5</v>
      </c>
      <c r="E1584" s="18">
        <v>0.05</v>
      </c>
      <c r="F1584" s="6" t="str">
        <f>IFERROR(VLOOKUP(VLOOKUP(A1584,'Sales Order'!A:B,2,FALSE),Customer!A:C,3,FALSE),"Not Specified")</f>
        <v>Garden, Euan</v>
      </c>
      <c r="G1584" s="6" t="str">
        <f t="shared" si="48"/>
        <v>Garden Euan</v>
      </c>
      <c r="H1584" s="22" t="str">
        <f>IFERROR(VLOOKUP(VLOOKUP(A1584,'Sales Order'!A:C,3,FALSE),Employee!A:E,5,FALSE)&amp;" "&amp;VLOOKUP(VLOOKUP(A1584,'Sales Order'!A:C,3,FALSE),Employee!A:C,3,FALSE)&amp;" "&amp;VLOOKUP(VLOOKUP(A1584,'Sales Order'!A:C,3,FALSE),Employee!A:B,2,FALSE),"Not Specified")</f>
        <v>Mr. Sven Buck</v>
      </c>
      <c r="I1584">
        <f>IFERROR(VLOOKUP(VLOOKUP(A1584,'Sales Order'!A:C,3,FALSE),Employee!A:J,10,FALSE),"Not Specified")</f>
        <v>0</v>
      </c>
      <c r="J1584" t="str">
        <f>VLOOKUP(B1584,Product!A:B,2,FALSE)</f>
        <v>Product RECZE</v>
      </c>
      <c r="K1584" t="str">
        <f>VLOOKUP(VLOOKUP(B1584,Product!A:D,4,FALSE),Category!A:B,2,FALSE)</f>
        <v>Beverages</v>
      </c>
      <c r="L1584" s="24">
        <f>IFERROR(VLOOKUP(A1584,'Sales Order'!A:D,4,FALSE),"")</f>
        <v>39473</v>
      </c>
      <c r="M1584" s="24">
        <f>IFERROR(VLOOKUP(A1584,'Sales Order'!A:F,6,FALSE),"")</f>
        <v>39480</v>
      </c>
      <c r="N1584" t="str">
        <f>IFERROR(VLOOKUP(VLOOKUP(A1584,'Sales Order'!A:G,7,FALSE),Shipper!A:B,2,FALSE),"Not Specified")</f>
        <v>Shipper GVSUA</v>
      </c>
      <c r="O1584" t="str">
        <f>IFERROR(VLOOKUP(A1584,'Sales Order'!A:I,9,FALSE),"Not Specified")</f>
        <v>Ship to 67-C</v>
      </c>
      <c r="P1584" t="str">
        <f>IFERROR(VLOOKUP(A1584,'Sales Order'!A:N,14,FALSE),"Not Specified")</f>
        <v>Brazil</v>
      </c>
      <c r="Q1584" t="str">
        <f>VLOOKUP(VLOOKUP(B1584,Product!A:C,3,FALSE),Supplier!A:B,2,FALSE)</f>
        <v>Supplier SWRXU</v>
      </c>
      <c r="R1584" t="str">
        <f>VLOOKUP(VLOOKUP(B1584,Product!A:C,3,FALSE),Supplier!A:I,9,FALSE)</f>
        <v>UK</v>
      </c>
      <c r="S1584" t="str">
        <f>IFERROR(IF(VLOOKUP(A1584,'Sales Order'!A:H,8,FALSE)&gt;100,"High Freight","Low Freight"),"Not Specified")</f>
        <v>High Freight</v>
      </c>
      <c r="T1584">
        <f t="shared" si="49"/>
        <v>90.25</v>
      </c>
    </row>
    <row r="1585" spans="1:20">
      <c r="A1585" s="9">
        <v>10851</v>
      </c>
      <c r="B1585" s="6">
        <v>25</v>
      </c>
      <c r="C1585" s="6">
        <v>14</v>
      </c>
      <c r="D1585" s="6">
        <v>10</v>
      </c>
      <c r="E1585" s="18">
        <v>0.05</v>
      </c>
      <c r="F1585" s="6" t="str">
        <f>IFERROR(VLOOKUP(VLOOKUP(A1585,'Sales Order'!A:B,2,FALSE),Customer!A:C,3,FALSE),"Not Specified")</f>
        <v>Garden, Euan</v>
      </c>
      <c r="G1585" s="6" t="str">
        <f t="shared" si="48"/>
        <v>Garden Euan</v>
      </c>
      <c r="H1585" s="22" t="str">
        <f>IFERROR(VLOOKUP(VLOOKUP(A1585,'Sales Order'!A:C,3,FALSE),Employee!A:E,5,FALSE)&amp;" "&amp;VLOOKUP(VLOOKUP(A1585,'Sales Order'!A:C,3,FALSE),Employee!A:C,3,FALSE)&amp;" "&amp;VLOOKUP(VLOOKUP(A1585,'Sales Order'!A:C,3,FALSE),Employee!A:B,2,FALSE),"Not Specified")</f>
        <v>Mr. Sven Buck</v>
      </c>
      <c r="I1585">
        <f>IFERROR(VLOOKUP(VLOOKUP(A1585,'Sales Order'!A:C,3,FALSE),Employee!A:J,10,FALSE),"Not Specified")</f>
        <v>0</v>
      </c>
      <c r="J1585" t="str">
        <f>VLOOKUP(B1585,Product!A:B,2,FALSE)</f>
        <v>Product LYLNI</v>
      </c>
      <c r="K1585" t="str">
        <f>VLOOKUP(VLOOKUP(B1585,Product!A:D,4,FALSE),Category!A:B,2,FALSE)</f>
        <v>Confections</v>
      </c>
      <c r="L1585" s="24">
        <f>IFERROR(VLOOKUP(A1585,'Sales Order'!A:D,4,FALSE),"")</f>
        <v>39473</v>
      </c>
      <c r="M1585" s="24">
        <f>IFERROR(VLOOKUP(A1585,'Sales Order'!A:F,6,FALSE),"")</f>
        <v>39480</v>
      </c>
      <c r="N1585" t="str">
        <f>IFERROR(VLOOKUP(VLOOKUP(A1585,'Sales Order'!A:G,7,FALSE),Shipper!A:B,2,FALSE),"Not Specified")</f>
        <v>Shipper GVSUA</v>
      </c>
      <c r="O1585" t="str">
        <f>IFERROR(VLOOKUP(A1585,'Sales Order'!A:I,9,FALSE),"Not Specified")</f>
        <v>Ship to 67-C</v>
      </c>
      <c r="P1585" t="str">
        <f>IFERROR(VLOOKUP(A1585,'Sales Order'!A:N,14,FALSE),"Not Specified")</f>
        <v>Brazil</v>
      </c>
      <c r="Q1585" t="str">
        <f>VLOOKUP(VLOOKUP(B1585,Product!A:C,3,FALSE),Supplier!A:B,2,FALSE)</f>
        <v>Supplier ZPYVS</v>
      </c>
      <c r="R1585" t="str">
        <f>VLOOKUP(VLOOKUP(B1585,Product!A:C,3,FALSE),Supplier!A:I,9,FALSE)</f>
        <v>Germany</v>
      </c>
      <c r="S1585" t="str">
        <f>IFERROR(IF(VLOOKUP(A1585,'Sales Order'!A:H,8,FALSE)&gt;100,"High Freight","Low Freight"),"Not Specified")</f>
        <v>High Freight</v>
      </c>
      <c r="T1585">
        <f t="shared" si="49"/>
        <v>133</v>
      </c>
    </row>
    <row r="1586" spans="1:20">
      <c r="A1586" s="9">
        <v>10851</v>
      </c>
      <c r="B1586" s="6">
        <v>57</v>
      </c>
      <c r="C1586" s="6">
        <v>19.5</v>
      </c>
      <c r="D1586" s="6">
        <v>10</v>
      </c>
      <c r="E1586" s="18">
        <v>0.05</v>
      </c>
      <c r="F1586" s="6" t="str">
        <f>IFERROR(VLOOKUP(VLOOKUP(A1586,'Sales Order'!A:B,2,FALSE),Customer!A:C,3,FALSE),"Not Specified")</f>
        <v>Garden, Euan</v>
      </c>
      <c r="G1586" s="6" t="str">
        <f t="shared" si="48"/>
        <v>Garden Euan</v>
      </c>
      <c r="H1586" s="22" t="str">
        <f>IFERROR(VLOOKUP(VLOOKUP(A1586,'Sales Order'!A:C,3,FALSE),Employee!A:E,5,FALSE)&amp;" "&amp;VLOOKUP(VLOOKUP(A1586,'Sales Order'!A:C,3,FALSE),Employee!A:C,3,FALSE)&amp;" "&amp;VLOOKUP(VLOOKUP(A1586,'Sales Order'!A:C,3,FALSE),Employee!A:B,2,FALSE),"Not Specified")</f>
        <v>Mr. Sven Buck</v>
      </c>
      <c r="I1586">
        <f>IFERROR(VLOOKUP(VLOOKUP(A1586,'Sales Order'!A:C,3,FALSE),Employee!A:J,10,FALSE),"Not Specified")</f>
        <v>0</v>
      </c>
      <c r="J1586" t="str">
        <f>VLOOKUP(B1586,Product!A:B,2,FALSE)</f>
        <v>Product OVLQI</v>
      </c>
      <c r="K1586" t="str">
        <f>VLOOKUP(VLOOKUP(B1586,Product!A:D,4,FALSE),Category!A:B,2,FALSE)</f>
        <v>Grains/Cereals</v>
      </c>
      <c r="L1586" s="24">
        <f>IFERROR(VLOOKUP(A1586,'Sales Order'!A:D,4,FALSE),"")</f>
        <v>39473</v>
      </c>
      <c r="M1586" s="24">
        <f>IFERROR(VLOOKUP(A1586,'Sales Order'!A:F,6,FALSE),"")</f>
        <v>39480</v>
      </c>
      <c r="N1586" t="str">
        <f>IFERROR(VLOOKUP(VLOOKUP(A1586,'Sales Order'!A:G,7,FALSE),Shipper!A:B,2,FALSE),"Not Specified")</f>
        <v>Shipper GVSUA</v>
      </c>
      <c r="O1586" t="str">
        <f>IFERROR(VLOOKUP(A1586,'Sales Order'!A:I,9,FALSE),"Not Specified")</f>
        <v>Ship to 67-C</v>
      </c>
      <c r="P1586" t="str">
        <f>IFERROR(VLOOKUP(A1586,'Sales Order'!A:N,14,FALSE),"Not Specified")</f>
        <v>Brazil</v>
      </c>
      <c r="Q1586" t="str">
        <f>VLOOKUP(VLOOKUP(B1586,Product!A:C,3,FALSE),Supplier!A:B,2,FALSE)</f>
        <v>Supplier ZWZDM</v>
      </c>
      <c r="R1586" t="str">
        <f>VLOOKUP(VLOOKUP(B1586,Product!A:C,3,FALSE),Supplier!A:I,9,FALSE)</f>
        <v>Italy</v>
      </c>
      <c r="S1586" t="str">
        <f>IFERROR(IF(VLOOKUP(A1586,'Sales Order'!A:H,8,FALSE)&gt;100,"High Freight","Low Freight"),"Not Specified")</f>
        <v>High Freight</v>
      </c>
      <c r="T1586">
        <f t="shared" si="49"/>
        <v>185.25</v>
      </c>
    </row>
    <row r="1587" spans="1:20">
      <c r="A1587" s="9">
        <v>10851</v>
      </c>
      <c r="B1587" s="6">
        <v>59</v>
      </c>
      <c r="C1587" s="6">
        <v>55</v>
      </c>
      <c r="D1587" s="6">
        <v>42</v>
      </c>
      <c r="E1587" s="18">
        <v>0.05</v>
      </c>
      <c r="F1587" s="6" t="str">
        <f>IFERROR(VLOOKUP(VLOOKUP(A1587,'Sales Order'!A:B,2,FALSE),Customer!A:C,3,FALSE),"Not Specified")</f>
        <v>Garden, Euan</v>
      </c>
      <c r="G1587" s="6" t="str">
        <f t="shared" si="48"/>
        <v>Garden Euan</v>
      </c>
      <c r="H1587" s="22" t="str">
        <f>IFERROR(VLOOKUP(VLOOKUP(A1587,'Sales Order'!A:C,3,FALSE),Employee!A:E,5,FALSE)&amp;" "&amp;VLOOKUP(VLOOKUP(A1587,'Sales Order'!A:C,3,FALSE),Employee!A:C,3,FALSE)&amp;" "&amp;VLOOKUP(VLOOKUP(A1587,'Sales Order'!A:C,3,FALSE),Employee!A:B,2,FALSE),"Not Specified")</f>
        <v>Mr. Sven Buck</v>
      </c>
      <c r="I1587">
        <f>IFERROR(VLOOKUP(VLOOKUP(A1587,'Sales Order'!A:C,3,FALSE),Employee!A:J,10,FALSE),"Not Specified")</f>
        <v>0</v>
      </c>
      <c r="J1587" t="str">
        <f>VLOOKUP(B1587,Product!A:B,2,FALSE)</f>
        <v>Product UKXRI</v>
      </c>
      <c r="K1587" t="str">
        <f>VLOOKUP(VLOOKUP(B1587,Product!A:D,4,FALSE),Category!A:B,2,FALSE)</f>
        <v>Dairy Product</v>
      </c>
      <c r="L1587" s="24">
        <f>IFERROR(VLOOKUP(A1587,'Sales Order'!A:D,4,FALSE),"")</f>
        <v>39473</v>
      </c>
      <c r="M1587" s="24">
        <f>IFERROR(VLOOKUP(A1587,'Sales Order'!A:F,6,FALSE),"")</f>
        <v>39480</v>
      </c>
      <c r="N1587" t="str">
        <f>IFERROR(VLOOKUP(VLOOKUP(A1587,'Sales Order'!A:G,7,FALSE),Shipper!A:B,2,FALSE),"Not Specified")</f>
        <v>Shipper GVSUA</v>
      </c>
      <c r="O1587" t="str">
        <f>IFERROR(VLOOKUP(A1587,'Sales Order'!A:I,9,FALSE),"Not Specified")</f>
        <v>Ship to 67-C</v>
      </c>
      <c r="P1587" t="str">
        <f>IFERROR(VLOOKUP(A1587,'Sales Order'!A:N,14,FALSE),"Not Specified")</f>
        <v>Brazil</v>
      </c>
      <c r="Q1587" t="str">
        <f>VLOOKUP(VLOOKUP(B1587,Product!A:C,3,FALSE),Supplier!A:B,2,FALSE)</f>
        <v>Supplier OAVQT</v>
      </c>
      <c r="R1587" t="str">
        <f>VLOOKUP(VLOOKUP(B1587,Product!A:C,3,FALSE),Supplier!A:I,9,FALSE)</f>
        <v>France</v>
      </c>
      <c r="S1587" t="str">
        <f>IFERROR(IF(VLOOKUP(A1587,'Sales Order'!A:H,8,FALSE)&gt;100,"High Freight","Low Freight"),"Not Specified")</f>
        <v>High Freight</v>
      </c>
      <c r="T1587">
        <f t="shared" si="49"/>
        <v>2194.5</v>
      </c>
    </row>
    <row r="1588" spans="1:20">
      <c r="A1588" s="9">
        <v>10852</v>
      </c>
      <c r="B1588" s="6">
        <v>2</v>
      </c>
      <c r="C1588" s="6">
        <v>19</v>
      </c>
      <c r="D1588" s="6">
        <v>15</v>
      </c>
      <c r="E1588" s="18">
        <v>0</v>
      </c>
      <c r="F1588" s="6" t="str">
        <f>IFERROR(VLOOKUP(VLOOKUP(A1588,'Sales Order'!A:B,2,FALSE),Customer!A:C,3,FALSE),"Not Specified")</f>
        <v>Moore, Michael</v>
      </c>
      <c r="G1588" s="6" t="str">
        <f t="shared" si="48"/>
        <v>Moore Michael</v>
      </c>
      <c r="H1588" s="22" t="str">
        <f>IFERROR(VLOOKUP(VLOOKUP(A1588,'Sales Order'!A:C,3,FALSE),Employee!A:E,5,FALSE)&amp;" "&amp;VLOOKUP(VLOOKUP(A1588,'Sales Order'!A:C,3,FALSE),Employee!A:C,3,FALSE)&amp;" "&amp;VLOOKUP(VLOOKUP(A1588,'Sales Order'!A:C,3,FALSE),Employee!A:B,2,FALSE),"Not Specified")</f>
        <v>Ms. Maria Cameron</v>
      </c>
      <c r="I1588" t="str">
        <f>IFERROR(VLOOKUP(VLOOKUP(A1588,'Sales Order'!A:C,3,FALSE),Employee!A:J,10,FALSE),"Not Specified")</f>
        <v>WA</v>
      </c>
      <c r="J1588" t="str">
        <f>VLOOKUP(B1588,Product!A:B,2,FALSE)</f>
        <v>Product RECZE</v>
      </c>
      <c r="K1588" t="str">
        <f>VLOOKUP(VLOOKUP(B1588,Product!A:D,4,FALSE),Category!A:B,2,FALSE)</f>
        <v>Beverages</v>
      </c>
      <c r="L1588" s="24">
        <f>IFERROR(VLOOKUP(A1588,'Sales Order'!A:D,4,FALSE),"")</f>
        <v>39473</v>
      </c>
      <c r="M1588" s="24">
        <f>IFERROR(VLOOKUP(A1588,'Sales Order'!A:F,6,FALSE),"")</f>
        <v>39477</v>
      </c>
      <c r="N1588" t="str">
        <f>IFERROR(VLOOKUP(VLOOKUP(A1588,'Sales Order'!A:G,7,FALSE),Shipper!A:B,2,FALSE),"Not Specified")</f>
        <v>Shipper GVSUA</v>
      </c>
      <c r="O1588" t="str">
        <f>IFERROR(VLOOKUP(A1588,'Sales Order'!A:I,9,FALSE),"Not Specified")</f>
        <v>Ship to 65-A</v>
      </c>
      <c r="P1588" t="str">
        <f>IFERROR(VLOOKUP(A1588,'Sales Order'!A:N,14,FALSE),"Not Specified")</f>
        <v>USA</v>
      </c>
      <c r="Q1588" t="str">
        <f>VLOOKUP(VLOOKUP(B1588,Product!A:C,3,FALSE),Supplier!A:B,2,FALSE)</f>
        <v>Supplier SWRXU</v>
      </c>
      <c r="R1588" t="str">
        <f>VLOOKUP(VLOOKUP(B1588,Product!A:C,3,FALSE),Supplier!A:I,9,FALSE)</f>
        <v>UK</v>
      </c>
      <c r="S1588" t="str">
        <f>IFERROR(IF(VLOOKUP(A1588,'Sales Order'!A:H,8,FALSE)&gt;100,"High Freight","Low Freight"),"Not Specified")</f>
        <v>High Freight</v>
      </c>
      <c r="T1588">
        <f t="shared" si="49"/>
        <v>285</v>
      </c>
    </row>
    <row r="1589" spans="1:20">
      <c r="A1589" s="9">
        <v>10852</v>
      </c>
      <c r="B1589" s="6">
        <v>17</v>
      </c>
      <c r="C1589" s="6">
        <v>39</v>
      </c>
      <c r="D1589" s="6">
        <v>6</v>
      </c>
      <c r="E1589" s="18">
        <v>0</v>
      </c>
      <c r="F1589" s="6" t="str">
        <f>IFERROR(VLOOKUP(VLOOKUP(A1589,'Sales Order'!A:B,2,FALSE),Customer!A:C,3,FALSE),"Not Specified")</f>
        <v>Moore, Michael</v>
      </c>
      <c r="G1589" s="6" t="str">
        <f t="shared" si="48"/>
        <v>Moore Michael</v>
      </c>
      <c r="H1589" s="22" t="str">
        <f>IFERROR(VLOOKUP(VLOOKUP(A1589,'Sales Order'!A:C,3,FALSE),Employee!A:E,5,FALSE)&amp;" "&amp;VLOOKUP(VLOOKUP(A1589,'Sales Order'!A:C,3,FALSE),Employee!A:C,3,FALSE)&amp;" "&amp;VLOOKUP(VLOOKUP(A1589,'Sales Order'!A:C,3,FALSE),Employee!A:B,2,FALSE),"Not Specified")</f>
        <v>Ms. Maria Cameron</v>
      </c>
      <c r="I1589" t="str">
        <f>IFERROR(VLOOKUP(VLOOKUP(A1589,'Sales Order'!A:C,3,FALSE),Employee!A:J,10,FALSE),"Not Specified")</f>
        <v>WA</v>
      </c>
      <c r="J1589" t="str">
        <f>VLOOKUP(B1589,Product!A:B,2,FALSE)</f>
        <v>Product BLCAX</v>
      </c>
      <c r="K1589" t="str">
        <f>VLOOKUP(VLOOKUP(B1589,Product!A:D,4,FALSE),Category!A:B,2,FALSE)</f>
        <v>Meat/Poultry</v>
      </c>
      <c r="L1589" s="24">
        <f>IFERROR(VLOOKUP(A1589,'Sales Order'!A:D,4,FALSE),"")</f>
        <v>39473</v>
      </c>
      <c r="M1589" s="24">
        <f>IFERROR(VLOOKUP(A1589,'Sales Order'!A:F,6,FALSE),"")</f>
        <v>39477</v>
      </c>
      <c r="N1589" t="str">
        <f>IFERROR(VLOOKUP(VLOOKUP(A1589,'Sales Order'!A:G,7,FALSE),Shipper!A:B,2,FALSE),"Not Specified")</f>
        <v>Shipper GVSUA</v>
      </c>
      <c r="O1589" t="str">
        <f>IFERROR(VLOOKUP(A1589,'Sales Order'!A:I,9,FALSE),"Not Specified")</f>
        <v>Ship to 65-A</v>
      </c>
      <c r="P1589" t="str">
        <f>IFERROR(VLOOKUP(A1589,'Sales Order'!A:N,14,FALSE),"Not Specified")</f>
        <v>USA</v>
      </c>
      <c r="Q1589" t="str">
        <f>VLOOKUP(VLOOKUP(B1589,Product!A:C,3,FALSE),Supplier!A:B,2,FALSE)</f>
        <v>Supplier GQRCV</v>
      </c>
      <c r="R1589" t="str">
        <f>VLOOKUP(VLOOKUP(B1589,Product!A:C,3,FALSE),Supplier!A:I,9,FALSE)</f>
        <v>Australia</v>
      </c>
      <c r="S1589" t="str">
        <f>IFERROR(IF(VLOOKUP(A1589,'Sales Order'!A:H,8,FALSE)&gt;100,"High Freight","Low Freight"),"Not Specified")</f>
        <v>High Freight</v>
      </c>
      <c r="T1589">
        <f t="shared" si="49"/>
        <v>234</v>
      </c>
    </row>
    <row r="1590" spans="1:20">
      <c r="A1590" s="9">
        <v>10852</v>
      </c>
      <c r="B1590" s="6">
        <v>62</v>
      </c>
      <c r="C1590" s="6">
        <v>49.3</v>
      </c>
      <c r="D1590" s="6">
        <v>50</v>
      </c>
      <c r="E1590" s="18">
        <v>0</v>
      </c>
      <c r="F1590" s="6" t="str">
        <f>IFERROR(VLOOKUP(VLOOKUP(A1590,'Sales Order'!A:B,2,FALSE),Customer!A:C,3,FALSE),"Not Specified")</f>
        <v>Moore, Michael</v>
      </c>
      <c r="G1590" s="6" t="str">
        <f t="shared" si="48"/>
        <v>Moore Michael</v>
      </c>
      <c r="H1590" s="22" t="str">
        <f>IFERROR(VLOOKUP(VLOOKUP(A1590,'Sales Order'!A:C,3,FALSE),Employee!A:E,5,FALSE)&amp;" "&amp;VLOOKUP(VLOOKUP(A1590,'Sales Order'!A:C,3,FALSE),Employee!A:C,3,FALSE)&amp;" "&amp;VLOOKUP(VLOOKUP(A1590,'Sales Order'!A:C,3,FALSE),Employee!A:B,2,FALSE),"Not Specified")</f>
        <v>Ms. Maria Cameron</v>
      </c>
      <c r="I1590" t="str">
        <f>IFERROR(VLOOKUP(VLOOKUP(A1590,'Sales Order'!A:C,3,FALSE),Employee!A:J,10,FALSE),"Not Specified")</f>
        <v>WA</v>
      </c>
      <c r="J1590" t="str">
        <f>VLOOKUP(B1590,Product!A:B,2,FALSE)</f>
        <v>Product WUXYK</v>
      </c>
      <c r="K1590" t="str">
        <f>VLOOKUP(VLOOKUP(B1590,Product!A:D,4,FALSE),Category!A:B,2,FALSE)</f>
        <v>Confections</v>
      </c>
      <c r="L1590" s="24">
        <f>IFERROR(VLOOKUP(A1590,'Sales Order'!A:D,4,FALSE),"")</f>
        <v>39473</v>
      </c>
      <c r="M1590" s="24">
        <f>IFERROR(VLOOKUP(A1590,'Sales Order'!A:F,6,FALSE),"")</f>
        <v>39477</v>
      </c>
      <c r="N1590" t="str">
        <f>IFERROR(VLOOKUP(VLOOKUP(A1590,'Sales Order'!A:G,7,FALSE),Shipper!A:B,2,FALSE),"Not Specified")</f>
        <v>Shipper GVSUA</v>
      </c>
      <c r="O1590" t="str">
        <f>IFERROR(VLOOKUP(A1590,'Sales Order'!A:I,9,FALSE),"Not Specified")</f>
        <v>Ship to 65-A</v>
      </c>
      <c r="P1590" t="str">
        <f>IFERROR(VLOOKUP(A1590,'Sales Order'!A:N,14,FALSE),"Not Specified")</f>
        <v>USA</v>
      </c>
      <c r="Q1590" t="str">
        <f>VLOOKUP(VLOOKUP(B1590,Product!A:C,3,FALSE),Supplier!A:B,2,FALSE)</f>
        <v>Supplier OGLRK</v>
      </c>
      <c r="R1590" t="str">
        <f>VLOOKUP(VLOOKUP(B1590,Product!A:C,3,FALSE),Supplier!A:I,9,FALSE)</f>
        <v>Canada</v>
      </c>
      <c r="S1590" t="str">
        <f>IFERROR(IF(VLOOKUP(A1590,'Sales Order'!A:H,8,FALSE)&gt;100,"High Freight","Low Freight"),"Not Specified")</f>
        <v>High Freight</v>
      </c>
      <c r="T1590">
        <f t="shared" si="49"/>
        <v>2465</v>
      </c>
    </row>
    <row r="1591" spans="1:20">
      <c r="A1591" s="9">
        <v>10853</v>
      </c>
      <c r="B1591" s="6">
        <v>18</v>
      </c>
      <c r="C1591" s="6">
        <v>62.5</v>
      </c>
      <c r="D1591" s="6">
        <v>10</v>
      </c>
      <c r="E1591" s="18">
        <v>0</v>
      </c>
      <c r="F1591" s="6" t="str">
        <f>IFERROR(VLOOKUP(VLOOKUP(A1591,'Sales Order'!A:B,2,FALSE),Customer!A:C,3,FALSE),"Not Specified")</f>
        <v>Poland, Carole</v>
      </c>
      <c r="G1591" s="6" t="str">
        <f t="shared" si="48"/>
        <v>Poland Carole</v>
      </c>
      <c r="H1591" s="22" t="str">
        <f>IFERROR(VLOOKUP(VLOOKUP(A1591,'Sales Order'!A:C,3,FALSE),Employee!A:E,5,FALSE)&amp;" "&amp;VLOOKUP(VLOOKUP(A1591,'Sales Order'!A:C,3,FALSE),Employee!A:C,3,FALSE)&amp;" "&amp;VLOOKUP(VLOOKUP(A1591,'Sales Order'!A:C,3,FALSE),Employee!A:B,2,FALSE),"Not Specified")</f>
        <v>Ms. Zoya Dolgopyatova</v>
      </c>
      <c r="I1591">
        <f>IFERROR(VLOOKUP(VLOOKUP(A1591,'Sales Order'!A:C,3,FALSE),Employee!A:J,10,FALSE),"Not Specified")</f>
        <v>0</v>
      </c>
      <c r="J1591" t="str">
        <f>VLOOKUP(B1591,Product!A:B,2,FALSE)</f>
        <v>Product CKEDC</v>
      </c>
      <c r="K1591" t="str">
        <f>VLOOKUP(VLOOKUP(B1591,Product!A:D,4,FALSE),Category!A:B,2,FALSE)</f>
        <v>Seafood</v>
      </c>
      <c r="L1591" s="24">
        <f>IFERROR(VLOOKUP(A1591,'Sales Order'!A:D,4,FALSE),"")</f>
        <v>39474</v>
      </c>
      <c r="M1591" s="24">
        <f>IFERROR(VLOOKUP(A1591,'Sales Order'!A:F,6,FALSE),"")</f>
        <v>39481</v>
      </c>
      <c r="N1591" t="str">
        <f>IFERROR(VLOOKUP(VLOOKUP(A1591,'Sales Order'!A:G,7,FALSE),Shipper!A:B,2,FALSE),"Not Specified")</f>
        <v>Shipper ETYNR</v>
      </c>
      <c r="O1591" t="str">
        <f>IFERROR(VLOOKUP(A1591,'Sales Order'!A:I,9,FALSE),"Not Specified")</f>
        <v>Ship to 6-B</v>
      </c>
      <c r="P1591" t="str">
        <f>IFERROR(VLOOKUP(A1591,'Sales Order'!A:N,14,FALSE),"Not Specified")</f>
        <v>Germany</v>
      </c>
      <c r="Q1591" t="str">
        <f>VLOOKUP(VLOOKUP(B1591,Product!A:C,3,FALSE),Supplier!A:B,2,FALSE)</f>
        <v>Supplier GQRCV</v>
      </c>
      <c r="R1591" t="str">
        <f>VLOOKUP(VLOOKUP(B1591,Product!A:C,3,FALSE),Supplier!A:I,9,FALSE)</f>
        <v>Australia</v>
      </c>
      <c r="S1591" t="str">
        <f>IFERROR(IF(VLOOKUP(A1591,'Sales Order'!A:H,8,FALSE)&gt;100,"High Freight","Low Freight"),"Not Specified")</f>
        <v>Low Freight</v>
      </c>
      <c r="T1591">
        <f t="shared" si="49"/>
        <v>625</v>
      </c>
    </row>
    <row r="1592" spans="1:20">
      <c r="A1592" s="9">
        <v>10854</v>
      </c>
      <c r="B1592" s="6">
        <v>10</v>
      </c>
      <c r="C1592" s="6">
        <v>31</v>
      </c>
      <c r="D1592" s="6">
        <v>100</v>
      </c>
      <c r="E1592" s="18">
        <v>0.15</v>
      </c>
      <c r="F1592" s="6" t="str">
        <f>IFERROR(VLOOKUP(VLOOKUP(A1592,'Sales Order'!A:B,2,FALSE),Customer!A:C,3,FALSE),"Not Specified")</f>
        <v>Kane, John</v>
      </c>
      <c r="G1592" s="6" t="str">
        <f t="shared" si="48"/>
        <v>Kane John</v>
      </c>
      <c r="H1592" s="22" t="str">
        <f>IFERROR(VLOOKUP(VLOOKUP(A1592,'Sales Order'!A:C,3,FALSE),Employee!A:E,5,FALSE)&amp;" "&amp;VLOOKUP(VLOOKUP(A1592,'Sales Order'!A:C,3,FALSE),Employee!A:C,3,FALSE)&amp;" "&amp;VLOOKUP(VLOOKUP(A1592,'Sales Order'!A:C,3,FALSE),Employee!A:B,2,FALSE),"Not Specified")</f>
        <v>Ms. Judy Lew</v>
      </c>
      <c r="I1592" t="str">
        <f>IFERROR(VLOOKUP(VLOOKUP(A1592,'Sales Order'!A:C,3,FALSE),Employee!A:J,10,FALSE),"Not Specified")</f>
        <v>WA</v>
      </c>
      <c r="J1592" t="str">
        <f>VLOOKUP(B1592,Product!A:B,2,FALSE)</f>
        <v>Product YHXGE</v>
      </c>
      <c r="K1592" t="str">
        <f>VLOOKUP(VLOOKUP(B1592,Product!A:D,4,FALSE),Category!A:B,2,FALSE)</f>
        <v>Seafood</v>
      </c>
      <c r="L1592" s="24">
        <f>IFERROR(VLOOKUP(A1592,'Sales Order'!A:D,4,FALSE),"")</f>
        <v>39474</v>
      </c>
      <c r="M1592" s="24">
        <f>IFERROR(VLOOKUP(A1592,'Sales Order'!A:F,6,FALSE),"")</f>
        <v>39483</v>
      </c>
      <c r="N1592" t="str">
        <f>IFERROR(VLOOKUP(VLOOKUP(A1592,'Sales Order'!A:G,7,FALSE),Shipper!A:B,2,FALSE),"Not Specified")</f>
        <v>Shipper ETYNR</v>
      </c>
      <c r="O1592" t="str">
        <f>IFERROR(VLOOKUP(A1592,'Sales Order'!A:I,9,FALSE),"Not Specified")</f>
        <v>Destination CUVPF</v>
      </c>
      <c r="P1592" t="str">
        <f>IFERROR(VLOOKUP(A1592,'Sales Order'!A:N,14,FALSE),"Not Specified")</f>
        <v>Austria</v>
      </c>
      <c r="Q1592" t="str">
        <f>VLOOKUP(VLOOKUP(B1592,Product!A:C,3,FALSE),Supplier!A:B,2,FALSE)</f>
        <v>Supplier QOVFD</v>
      </c>
      <c r="R1592" t="str">
        <f>VLOOKUP(VLOOKUP(B1592,Product!A:C,3,FALSE),Supplier!A:I,9,FALSE)</f>
        <v>Japan</v>
      </c>
      <c r="S1592" t="str">
        <f>IFERROR(IF(VLOOKUP(A1592,'Sales Order'!A:H,8,FALSE)&gt;100,"High Freight","Low Freight"),"Not Specified")</f>
        <v>High Freight</v>
      </c>
      <c r="T1592">
        <f t="shared" si="49"/>
        <v>2635</v>
      </c>
    </row>
    <row r="1593" spans="1:20">
      <c r="A1593" s="9">
        <v>10854</v>
      </c>
      <c r="B1593" s="6">
        <v>13</v>
      </c>
      <c r="C1593" s="6">
        <v>6</v>
      </c>
      <c r="D1593" s="6">
        <v>65</v>
      </c>
      <c r="E1593" s="18">
        <v>0.15</v>
      </c>
      <c r="F1593" s="6" t="str">
        <f>IFERROR(VLOOKUP(VLOOKUP(A1593,'Sales Order'!A:B,2,FALSE),Customer!A:C,3,FALSE),"Not Specified")</f>
        <v>Kane, John</v>
      </c>
      <c r="G1593" s="6" t="str">
        <f t="shared" si="48"/>
        <v>Kane John</v>
      </c>
      <c r="H1593" s="22" t="str">
        <f>IFERROR(VLOOKUP(VLOOKUP(A1593,'Sales Order'!A:C,3,FALSE),Employee!A:E,5,FALSE)&amp;" "&amp;VLOOKUP(VLOOKUP(A1593,'Sales Order'!A:C,3,FALSE),Employee!A:C,3,FALSE)&amp;" "&amp;VLOOKUP(VLOOKUP(A1593,'Sales Order'!A:C,3,FALSE),Employee!A:B,2,FALSE),"Not Specified")</f>
        <v>Ms. Judy Lew</v>
      </c>
      <c r="I1593" t="str">
        <f>IFERROR(VLOOKUP(VLOOKUP(A1593,'Sales Order'!A:C,3,FALSE),Employee!A:J,10,FALSE),"Not Specified")</f>
        <v>WA</v>
      </c>
      <c r="J1593" t="str">
        <f>VLOOKUP(B1593,Product!A:B,2,FALSE)</f>
        <v>Product POXFU</v>
      </c>
      <c r="K1593" t="str">
        <f>VLOOKUP(VLOOKUP(B1593,Product!A:D,4,FALSE),Category!A:B,2,FALSE)</f>
        <v>Seafood</v>
      </c>
      <c r="L1593" s="24">
        <f>IFERROR(VLOOKUP(A1593,'Sales Order'!A:D,4,FALSE),"")</f>
        <v>39474</v>
      </c>
      <c r="M1593" s="24">
        <f>IFERROR(VLOOKUP(A1593,'Sales Order'!A:F,6,FALSE),"")</f>
        <v>39483</v>
      </c>
      <c r="N1593" t="str">
        <f>IFERROR(VLOOKUP(VLOOKUP(A1593,'Sales Order'!A:G,7,FALSE),Shipper!A:B,2,FALSE),"Not Specified")</f>
        <v>Shipper ETYNR</v>
      </c>
      <c r="O1593" t="str">
        <f>IFERROR(VLOOKUP(A1593,'Sales Order'!A:I,9,FALSE),"Not Specified")</f>
        <v>Destination CUVPF</v>
      </c>
      <c r="P1593" t="str">
        <f>IFERROR(VLOOKUP(A1593,'Sales Order'!A:N,14,FALSE),"Not Specified")</f>
        <v>Austria</v>
      </c>
      <c r="Q1593" t="str">
        <f>VLOOKUP(VLOOKUP(B1593,Product!A:C,3,FALSE),Supplier!A:B,2,FALSE)</f>
        <v>Supplier QWUSF</v>
      </c>
      <c r="R1593" t="str">
        <f>VLOOKUP(VLOOKUP(B1593,Product!A:C,3,FALSE),Supplier!A:I,9,FALSE)</f>
        <v>Japan</v>
      </c>
      <c r="S1593" t="str">
        <f>IFERROR(IF(VLOOKUP(A1593,'Sales Order'!A:H,8,FALSE)&gt;100,"High Freight","Low Freight"),"Not Specified")</f>
        <v>High Freight</v>
      </c>
      <c r="T1593">
        <f t="shared" si="49"/>
        <v>331.5</v>
      </c>
    </row>
    <row r="1594" spans="1:20">
      <c r="A1594" s="9">
        <v>10855</v>
      </c>
      <c r="B1594" s="6">
        <v>16</v>
      </c>
      <c r="C1594" s="6">
        <v>17.45</v>
      </c>
      <c r="D1594" s="6">
        <v>50</v>
      </c>
      <c r="E1594" s="18">
        <v>0</v>
      </c>
      <c r="F1594" s="6" t="str">
        <f>IFERROR(VLOOKUP(VLOOKUP(A1594,'Sales Order'!A:B,2,FALSE),Customer!A:C,3,FALSE),"Not Specified")</f>
        <v>Egelund-Muller, Anja</v>
      </c>
      <c r="G1594" s="6" t="str">
        <f t="shared" si="48"/>
        <v>Egelund-Muller Anja</v>
      </c>
      <c r="H1594" s="22" t="str">
        <f>IFERROR(VLOOKUP(VLOOKUP(A1594,'Sales Order'!A:C,3,FALSE),Employee!A:E,5,FALSE)&amp;" "&amp;VLOOKUP(VLOOKUP(A1594,'Sales Order'!A:C,3,FALSE),Employee!A:C,3,FALSE)&amp;" "&amp;VLOOKUP(VLOOKUP(A1594,'Sales Order'!A:C,3,FALSE),Employee!A:B,2,FALSE),"Not Specified")</f>
        <v>Ms. Judy Lew</v>
      </c>
      <c r="I1594" t="str">
        <f>IFERROR(VLOOKUP(VLOOKUP(A1594,'Sales Order'!A:C,3,FALSE),Employee!A:J,10,FALSE),"Not Specified")</f>
        <v>WA</v>
      </c>
      <c r="J1594" t="str">
        <f>VLOOKUP(B1594,Product!A:B,2,FALSE)</f>
        <v>Product PAFRH</v>
      </c>
      <c r="K1594" t="str">
        <f>VLOOKUP(VLOOKUP(B1594,Product!A:D,4,FALSE),Category!A:B,2,FALSE)</f>
        <v>Confections</v>
      </c>
      <c r="L1594" s="24">
        <f>IFERROR(VLOOKUP(A1594,'Sales Order'!A:D,4,FALSE),"")</f>
        <v>39474</v>
      </c>
      <c r="M1594" s="24">
        <f>IFERROR(VLOOKUP(A1594,'Sales Order'!A:F,6,FALSE),"")</f>
        <v>39482</v>
      </c>
      <c r="N1594" t="str">
        <f>IFERROR(VLOOKUP(VLOOKUP(A1594,'Sales Order'!A:G,7,FALSE),Shipper!A:B,2,FALSE),"Not Specified")</f>
        <v>Shipper GVSUA</v>
      </c>
      <c r="O1594" t="str">
        <f>IFERROR(VLOOKUP(A1594,'Sales Order'!A:I,9,FALSE),"Not Specified")</f>
        <v>Ship to 55-A</v>
      </c>
      <c r="P1594" t="str">
        <f>IFERROR(VLOOKUP(A1594,'Sales Order'!A:N,14,FALSE),"Not Specified")</f>
        <v>USA</v>
      </c>
      <c r="Q1594" t="str">
        <f>VLOOKUP(VLOOKUP(B1594,Product!A:C,3,FALSE),Supplier!A:B,2,FALSE)</f>
        <v>Supplier GQRCV</v>
      </c>
      <c r="R1594" t="str">
        <f>VLOOKUP(VLOOKUP(B1594,Product!A:C,3,FALSE),Supplier!A:I,9,FALSE)</f>
        <v>Australia</v>
      </c>
      <c r="S1594" t="str">
        <f>IFERROR(IF(VLOOKUP(A1594,'Sales Order'!A:H,8,FALSE)&gt;100,"High Freight","Low Freight"),"Not Specified")</f>
        <v>High Freight</v>
      </c>
      <c r="T1594">
        <f t="shared" si="49"/>
        <v>872.5</v>
      </c>
    </row>
    <row r="1595" spans="1:20">
      <c r="A1595" s="9">
        <v>10855</v>
      </c>
      <c r="B1595" s="6">
        <v>31</v>
      </c>
      <c r="C1595" s="6">
        <v>12.5</v>
      </c>
      <c r="D1595" s="6">
        <v>14</v>
      </c>
      <c r="E1595" s="18">
        <v>0</v>
      </c>
      <c r="F1595" s="6" t="str">
        <f>IFERROR(VLOOKUP(VLOOKUP(A1595,'Sales Order'!A:B,2,FALSE),Customer!A:C,3,FALSE),"Not Specified")</f>
        <v>Egelund-Muller, Anja</v>
      </c>
      <c r="G1595" s="6" t="str">
        <f t="shared" si="48"/>
        <v>Egelund-Muller Anja</v>
      </c>
      <c r="H1595" s="22" t="str">
        <f>IFERROR(VLOOKUP(VLOOKUP(A1595,'Sales Order'!A:C,3,FALSE),Employee!A:E,5,FALSE)&amp;" "&amp;VLOOKUP(VLOOKUP(A1595,'Sales Order'!A:C,3,FALSE),Employee!A:C,3,FALSE)&amp;" "&amp;VLOOKUP(VLOOKUP(A1595,'Sales Order'!A:C,3,FALSE),Employee!A:B,2,FALSE),"Not Specified")</f>
        <v>Ms. Judy Lew</v>
      </c>
      <c r="I1595" t="str">
        <f>IFERROR(VLOOKUP(VLOOKUP(A1595,'Sales Order'!A:C,3,FALSE),Employee!A:J,10,FALSE),"Not Specified")</f>
        <v>WA</v>
      </c>
      <c r="J1595" t="str">
        <f>VLOOKUP(B1595,Product!A:B,2,FALSE)</f>
        <v>Product XWOXC</v>
      </c>
      <c r="K1595" t="str">
        <f>VLOOKUP(VLOOKUP(B1595,Product!A:D,4,FALSE),Category!A:B,2,FALSE)</f>
        <v>Dairy Product</v>
      </c>
      <c r="L1595" s="24">
        <f>IFERROR(VLOOKUP(A1595,'Sales Order'!A:D,4,FALSE),"")</f>
        <v>39474</v>
      </c>
      <c r="M1595" s="24">
        <f>IFERROR(VLOOKUP(A1595,'Sales Order'!A:F,6,FALSE),"")</f>
        <v>39482</v>
      </c>
      <c r="N1595" t="str">
        <f>IFERROR(VLOOKUP(VLOOKUP(A1595,'Sales Order'!A:G,7,FALSE),Shipper!A:B,2,FALSE),"Not Specified")</f>
        <v>Shipper GVSUA</v>
      </c>
      <c r="O1595" t="str">
        <f>IFERROR(VLOOKUP(A1595,'Sales Order'!A:I,9,FALSE),"Not Specified")</f>
        <v>Ship to 55-A</v>
      </c>
      <c r="P1595" t="str">
        <f>IFERROR(VLOOKUP(A1595,'Sales Order'!A:N,14,FALSE),"Not Specified")</f>
        <v>USA</v>
      </c>
      <c r="Q1595" t="str">
        <f>VLOOKUP(VLOOKUP(B1595,Product!A:C,3,FALSE),Supplier!A:B,2,FALSE)</f>
        <v>Supplier KEREV</v>
      </c>
      <c r="R1595" t="str">
        <f>VLOOKUP(VLOOKUP(B1595,Product!A:C,3,FALSE),Supplier!A:I,9,FALSE)</f>
        <v>Italy</v>
      </c>
      <c r="S1595" t="str">
        <f>IFERROR(IF(VLOOKUP(A1595,'Sales Order'!A:H,8,FALSE)&gt;100,"High Freight","Low Freight"),"Not Specified")</f>
        <v>High Freight</v>
      </c>
      <c r="T1595">
        <f t="shared" si="49"/>
        <v>175</v>
      </c>
    </row>
    <row r="1596" spans="1:20">
      <c r="A1596" s="9">
        <v>10855</v>
      </c>
      <c r="B1596" s="6">
        <v>56</v>
      </c>
      <c r="C1596" s="6">
        <v>38</v>
      </c>
      <c r="D1596" s="6">
        <v>24</v>
      </c>
      <c r="E1596" s="18">
        <v>0</v>
      </c>
      <c r="F1596" s="6" t="str">
        <f>IFERROR(VLOOKUP(VLOOKUP(A1596,'Sales Order'!A:B,2,FALSE),Customer!A:C,3,FALSE),"Not Specified")</f>
        <v>Egelund-Muller, Anja</v>
      </c>
      <c r="G1596" s="6" t="str">
        <f t="shared" si="48"/>
        <v>Egelund-Muller Anja</v>
      </c>
      <c r="H1596" s="22" t="str">
        <f>IFERROR(VLOOKUP(VLOOKUP(A1596,'Sales Order'!A:C,3,FALSE),Employee!A:E,5,FALSE)&amp;" "&amp;VLOOKUP(VLOOKUP(A1596,'Sales Order'!A:C,3,FALSE),Employee!A:C,3,FALSE)&amp;" "&amp;VLOOKUP(VLOOKUP(A1596,'Sales Order'!A:C,3,FALSE),Employee!A:B,2,FALSE),"Not Specified")</f>
        <v>Ms. Judy Lew</v>
      </c>
      <c r="I1596" t="str">
        <f>IFERROR(VLOOKUP(VLOOKUP(A1596,'Sales Order'!A:C,3,FALSE),Employee!A:J,10,FALSE),"Not Specified")</f>
        <v>WA</v>
      </c>
      <c r="J1596" t="str">
        <f>VLOOKUP(B1596,Product!A:B,2,FALSE)</f>
        <v>Product VKCMF</v>
      </c>
      <c r="K1596" t="str">
        <f>VLOOKUP(VLOOKUP(B1596,Product!A:D,4,FALSE),Category!A:B,2,FALSE)</f>
        <v>Grains/Cereals</v>
      </c>
      <c r="L1596" s="24">
        <f>IFERROR(VLOOKUP(A1596,'Sales Order'!A:D,4,FALSE),"")</f>
        <v>39474</v>
      </c>
      <c r="M1596" s="24">
        <f>IFERROR(VLOOKUP(A1596,'Sales Order'!A:F,6,FALSE),"")</f>
        <v>39482</v>
      </c>
      <c r="N1596" t="str">
        <f>IFERROR(VLOOKUP(VLOOKUP(A1596,'Sales Order'!A:G,7,FALSE),Shipper!A:B,2,FALSE),"Not Specified")</f>
        <v>Shipper GVSUA</v>
      </c>
      <c r="O1596" t="str">
        <f>IFERROR(VLOOKUP(A1596,'Sales Order'!A:I,9,FALSE),"Not Specified")</f>
        <v>Ship to 55-A</v>
      </c>
      <c r="P1596" t="str">
        <f>IFERROR(VLOOKUP(A1596,'Sales Order'!A:N,14,FALSE),"Not Specified")</f>
        <v>USA</v>
      </c>
      <c r="Q1596" t="str">
        <f>VLOOKUP(VLOOKUP(B1596,Product!A:C,3,FALSE),Supplier!A:B,2,FALSE)</f>
        <v>Supplier ZWZDM</v>
      </c>
      <c r="R1596" t="str">
        <f>VLOOKUP(VLOOKUP(B1596,Product!A:C,3,FALSE),Supplier!A:I,9,FALSE)</f>
        <v>Italy</v>
      </c>
      <c r="S1596" t="str">
        <f>IFERROR(IF(VLOOKUP(A1596,'Sales Order'!A:H,8,FALSE)&gt;100,"High Freight","Low Freight"),"Not Specified")</f>
        <v>High Freight</v>
      </c>
      <c r="T1596">
        <f t="shared" si="49"/>
        <v>912</v>
      </c>
    </row>
    <row r="1597" spans="1:20">
      <c r="A1597" s="9">
        <v>10855</v>
      </c>
      <c r="B1597" s="6">
        <v>65</v>
      </c>
      <c r="C1597" s="6">
        <v>21.05</v>
      </c>
      <c r="D1597" s="6">
        <v>15</v>
      </c>
      <c r="E1597" s="18">
        <v>0.15</v>
      </c>
      <c r="F1597" s="6" t="str">
        <f>IFERROR(VLOOKUP(VLOOKUP(A1597,'Sales Order'!A:B,2,FALSE),Customer!A:C,3,FALSE),"Not Specified")</f>
        <v>Egelund-Muller, Anja</v>
      </c>
      <c r="G1597" s="6" t="str">
        <f t="shared" si="48"/>
        <v>Egelund-Muller Anja</v>
      </c>
      <c r="H1597" s="22" t="str">
        <f>IFERROR(VLOOKUP(VLOOKUP(A1597,'Sales Order'!A:C,3,FALSE),Employee!A:E,5,FALSE)&amp;" "&amp;VLOOKUP(VLOOKUP(A1597,'Sales Order'!A:C,3,FALSE),Employee!A:C,3,FALSE)&amp;" "&amp;VLOOKUP(VLOOKUP(A1597,'Sales Order'!A:C,3,FALSE),Employee!A:B,2,FALSE),"Not Specified")</f>
        <v>Ms. Judy Lew</v>
      </c>
      <c r="I1597" t="str">
        <f>IFERROR(VLOOKUP(VLOOKUP(A1597,'Sales Order'!A:C,3,FALSE),Employee!A:J,10,FALSE),"Not Specified")</f>
        <v>WA</v>
      </c>
      <c r="J1597" t="str">
        <f>VLOOKUP(B1597,Product!A:B,2,FALSE)</f>
        <v>Product XYWBZ</v>
      </c>
      <c r="K1597" t="str">
        <f>VLOOKUP(VLOOKUP(B1597,Product!A:D,4,FALSE),Category!A:B,2,FALSE)</f>
        <v>Condiments</v>
      </c>
      <c r="L1597" s="24">
        <f>IFERROR(VLOOKUP(A1597,'Sales Order'!A:D,4,FALSE),"")</f>
        <v>39474</v>
      </c>
      <c r="M1597" s="24">
        <f>IFERROR(VLOOKUP(A1597,'Sales Order'!A:F,6,FALSE),"")</f>
        <v>39482</v>
      </c>
      <c r="N1597" t="str">
        <f>IFERROR(VLOOKUP(VLOOKUP(A1597,'Sales Order'!A:G,7,FALSE),Shipper!A:B,2,FALSE),"Not Specified")</f>
        <v>Shipper GVSUA</v>
      </c>
      <c r="O1597" t="str">
        <f>IFERROR(VLOOKUP(A1597,'Sales Order'!A:I,9,FALSE),"Not Specified")</f>
        <v>Ship to 55-A</v>
      </c>
      <c r="P1597" t="str">
        <f>IFERROR(VLOOKUP(A1597,'Sales Order'!A:N,14,FALSE),"Not Specified")</f>
        <v>USA</v>
      </c>
      <c r="Q1597" t="str">
        <f>VLOOKUP(VLOOKUP(B1597,Product!A:C,3,FALSE),Supplier!A:B,2,FALSE)</f>
        <v>Supplier VHQZD</v>
      </c>
      <c r="R1597" t="str">
        <f>VLOOKUP(VLOOKUP(B1597,Product!A:C,3,FALSE),Supplier!A:I,9,FALSE)</f>
        <v>USA</v>
      </c>
      <c r="S1597" t="str">
        <f>IFERROR(IF(VLOOKUP(A1597,'Sales Order'!A:H,8,FALSE)&gt;100,"High Freight","Low Freight"),"Not Specified")</f>
        <v>High Freight</v>
      </c>
      <c r="T1597">
        <f t="shared" si="49"/>
        <v>268.38749999999999</v>
      </c>
    </row>
    <row r="1598" spans="1:20">
      <c r="A1598" s="9">
        <v>10856</v>
      </c>
      <c r="B1598" s="6">
        <v>2</v>
      </c>
      <c r="C1598" s="6">
        <v>19</v>
      </c>
      <c r="D1598" s="6">
        <v>20</v>
      </c>
      <c r="E1598" s="18">
        <v>0</v>
      </c>
      <c r="F1598" s="6" t="str">
        <f>IFERROR(VLOOKUP(VLOOKUP(A1598,'Sales Order'!A:B,2,FALSE),Customer!A:C,3,FALSE),"Not Specified")</f>
        <v>Peoples, John</v>
      </c>
      <c r="G1598" s="6" t="str">
        <f t="shared" si="48"/>
        <v>Peoples John</v>
      </c>
      <c r="H1598" s="22" t="str">
        <f>IFERROR(VLOOKUP(VLOOKUP(A1598,'Sales Order'!A:C,3,FALSE),Employee!A:E,5,FALSE)&amp;" "&amp;VLOOKUP(VLOOKUP(A1598,'Sales Order'!A:C,3,FALSE),Employee!A:C,3,FALSE)&amp;" "&amp;VLOOKUP(VLOOKUP(A1598,'Sales Order'!A:C,3,FALSE),Employee!A:B,2,FALSE),"Not Specified")</f>
        <v>Ms. Judy Lew</v>
      </c>
      <c r="I1598" t="str">
        <f>IFERROR(VLOOKUP(VLOOKUP(A1598,'Sales Order'!A:C,3,FALSE),Employee!A:J,10,FALSE),"Not Specified")</f>
        <v>WA</v>
      </c>
      <c r="J1598" t="str">
        <f>VLOOKUP(B1598,Product!A:B,2,FALSE)</f>
        <v>Product RECZE</v>
      </c>
      <c r="K1598" t="str">
        <f>VLOOKUP(VLOOKUP(B1598,Product!A:D,4,FALSE),Category!A:B,2,FALSE)</f>
        <v>Beverages</v>
      </c>
      <c r="L1598" s="24">
        <f>IFERROR(VLOOKUP(A1598,'Sales Order'!A:D,4,FALSE),"")</f>
        <v>39475</v>
      </c>
      <c r="M1598" s="24">
        <f>IFERROR(VLOOKUP(A1598,'Sales Order'!A:F,6,FALSE),"")</f>
        <v>39488</v>
      </c>
      <c r="N1598" t="str">
        <f>IFERROR(VLOOKUP(VLOOKUP(A1598,'Sales Order'!A:G,7,FALSE),Shipper!A:B,2,FALSE),"Not Specified")</f>
        <v>Shipper ETYNR</v>
      </c>
      <c r="O1598" t="str">
        <f>IFERROR(VLOOKUP(A1598,'Sales Order'!A:I,9,FALSE),"Not Specified")</f>
        <v>Destination FQFLS</v>
      </c>
      <c r="P1598" t="str">
        <f>IFERROR(VLOOKUP(A1598,'Sales Order'!A:N,14,FALSE),"Not Specified")</f>
        <v>Mexico</v>
      </c>
      <c r="Q1598" t="str">
        <f>VLOOKUP(VLOOKUP(B1598,Product!A:C,3,FALSE),Supplier!A:B,2,FALSE)</f>
        <v>Supplier SWRXU</v>
      </c>
      <c r="R1598" t="str">
        <f>VLOOKUP(VLOOKUP(B1598,Product!A:C,3,FALSE),Supplier!A:I,9,FALSE)</f>
        <v>UK</v>
      </c>
      <c r="S1598" t="str">
        <f>IFERROR(IF(VLOOKUP(A1598,'Sales Order'!A:H,8,FALSE)&gt;100,"High Freight","Low Freight"),"Not Specified")</f>
        <v>Low Freight</v>
      </c>
      <c r="T1598">
        <f t="shared" si="49"/>
        <v>380</v>
      </c>
    </row>
    <row r="1599" spans="1:20">
      <c r="A1599" s="9">
        <v>10856</v>
      </c>
      <c r="B1599" s="6">
        <v>42</v>
      </c>
      <c r="C1599" s="6">
        <v>14</v>
      </c>
      <c r="D1599" s="6">
        <v>20</v>
      </c>
      <c r="E1599" s="18">
        <v>0</v>
      </c>
      <c r="F1599" s="6" t="str">
        <f>IFERROR(VLOOKUP(VLOOKUP(A1599,'Sales Order'!A:B,2,FALSE),Customer!A:C,3,FALSE),"Not Specified")</f>
        <v>Peoples, John</v>
      </c>
      <c r="G1599" s="6" t="str">
        <f t="shared" si="48"/>
        <v>Peoples John</v>
      </c>
      <c r="H1599" s="22" t="str">
        <f>IFERROR(VLOOKUP(VLOOKUP(A1599,'Sales Order'!A:C,3,FALSE),Employee!A:E,5,FALSE)&amp;" "&amp;VLOOKUP(VLOOKUP(A1599,'Sales Order'!A:C,3,FALSE),Employee!A:C,3,FALSE)&amp;" "&amp;VLOOKUP(VLOOKUP(A1599,'Sales Order'!A:C,3,FALSE),Employee!A:B,2,FALSE),"Not Specified")</f>
        <v>Ms. Judy Lew</v>
      </c>
      <c r="I1599" t="str">
        <f>IFERROR(VLOOKUP(VLOOKUP(A1599,'Sales Order'!A:C,3,FALSE),Employee!A:J,10,FALSE),"Not Specified")</f>
        <v>WA</v>
      </c>
      <c r="J1599" t="str">
        <f>VLOOKUP(B1599,Product!A:B,2,FALSE)</f>
        <v>Product RJVNM</v>
      </c>
      <c r="K1599" t="str">
        <f>VLOOKUP(VLOOKUP(B1599,Product!A:D,4,FALSE),Category!A:B,2,FALSE)</f>
        <v>Grains/Cereals</v>
      </c>
      <c r="L1599" s="24">
        <f>IFERROR(VLOOKUP(A1599,'Sales Order'!A:D,4,FALSE),"")</f>
        <v>39475</v>
      </c>
      <c r="M1599" s="24">
        <f>IFERROR(VLOOKUP(A1599,'Sales Order'!A:F,6,FALSE),"")</f>
        <v>39488</v>
      </c>
      <c r="N1599" t="str">
        <f>IFERROR(VLOOKUP(VLOOKUP(A1599,'Sales Order'!A:G,7,FALSE),Shipper!A:B,2,FALSE),"Not Specified")</f>
        <v>Shipper ETYNR</v>
      </c>
      <c r="O1599" t="str">
        <f>IFERROR(VLOOKUP(A1599,'Sales Order'!A:I,9,FALSE),"Not Specified")</f>
        <v>Destination FQFLS</v>
      </c>
      <c r="P1599" t="str">
        <f>IFERROR(VLOOKUP(A1599,'Sales Order'!A:N,14,FALSE),"Not Specified")</f>
        <v>Mexico</v>
      </c>
      <c r="Q1599" t="str">
        <f>VLOOKUP(VLOOKUP(B1599,Product!A:C,3,FALSE),Supplier!A:B,2,FALSE)</f>
        <v>Supplier CIYNM</v>
      </c>
      <c r="R1599" t="str">
        <f>VLOOKUP(VLOOKUP(B1599,Product!A:C,3,FALSE),Supplier!A:I,9,FALSE)</f>
        <v>Singapore</v>
      </c>
      <c r="S1599" t="str">
        <f>IFERROR(IF(VLOOKUP(A1599,'Sales Order'!A:H,8,FALSE)&gt;100,"High Freight","Low Freight"),"Not Specified")</f>
        <v>Low Freight</v>
      </c>
      <c r="T1599">
        <f t="shared" si="49"/>
        <v>280</v>
      </c>
    </row>
    <row r="1600" spans="1:20">
      <c r="A1600" s="9">
        <v>10857</v>
      </c>
      <c r="B1600" s="6">
        <v>3</v>
      </c>
      <c r="C1600" s="6">
        <v>10</v>
      </c>
      <c r="D1600" s="6">
        <v>30</v>
      </c>
      <c r="E1600" s="18">
        <v>0</v>
      </c>
      <c r="F1600" s="6" t="str">
        <f>IFERROR(VLOOKUP(VLOOKUP(A1600,'Sales Order'!A:B,2,FALSE),Customer!A:C,3,FALSE),"Not Specified")</f>
        <v>Higginbotham, Tom</v>
      </c>
      <c r="G1600" s="6" t="str">
        <f t="shared" si="48"/>
        <v>Higginbotham Tom</v>
      </c>
      <c r="H1600" s="22" t="str">
        <f>IFERROR(VLOOKUP(VLOOKUP(A1600,'Sales Order'!A:C,3,FALSE),Employee!A:E,5,FALSE)&amp;" "&amp;VLOOKUP(VLOOKUP(A1600,'Sales Order'!A:C,3,FALSE),Employee!A:C,3,FALSE)&amp;" "&amp;VLOOKUP(VLOOKUP(A1600,'Sales Order'!A:C,3,FALSE),Employee!A:B,2,FALSE),"Not Specified")</f>
        <v>Ms. Maria Cameron</v>
      </c>
      <c r="I1600" t="str">
        <f>IFERROR(VLOOKUP(VLOOKUP(A1600,'Sales Order'!A:C,3,FALSE),Employee!A:J,10,FALSE),"Not Specified")</f>
        <v>WA</v>
      </c>
      <c r="J1600" t="str">
        <f>VLOOKUP(B1600,Product!A:B,2,FALSE)</f>
        <v>Product IMEHJ</v>
      </c>
      <c r="K1600" t="str">
        <f>VLOOKUP(VLOOKUP(B1600,Product!A:D,4,FALSE),Category!A:B,2,FALSE)</f>
        <v>Condiments</v>
      </c>
      <c r="L1600" s="24">
        <f>IFERROR(VLOOKUP(A1600,'Sales Order'!A:D,4,FALSE),"")</f>
        <v>39475</v>
      </c>
      <c r="M1600" s="24">
        <f>IFERROR(VLOOKUP(A1600,'Sales Order'!A:F,6,FALSE),"")</f>
        <v>39484</v>
      </c>
      <c r="N1600" t="str">
        <f>IFERROR(VLOOKUP(VLOOKUP(A1600,'Sales Order'!A:G,7,FALSE),Shipper!A:B,2,FALSE),"Not Specified")</f>
        <v>Shipper ETYNR</v>
      </c>
      <c r="O1600" t="str">
        <f>IFERROR(VLOOKUP(A1600,'Sales Order'!A:I,9,FALSE),"Not Specified")</f>
        <v>Ship to 5-B</v>
      </c>
      <c r="P1600" t="str">
        <f>IFERROR(VLOOKUP(A1600,'Sales Order'!A:N,14,FALSE),"Not Specified")</f>
        <v>Sweden</v>
      </c>
      <c r="Q1600" t="str">
        <f>VLOOKUP(VLOOKUP(B1600,Product!A:C,3,FALSE),Supplier!A:B,2,FALSE)</f>
        <v>Supplier SWRXU</v>
      </c>
      <c r="R1600" t="str">
        <f>VLOOKUP(VLOOKUP(B1600,Product!A:C,3,FALSE),Supplier!A:I,9,FALSE)</f>
        <v>UK</v>
      </c>
      <c r="S1600" t="str">
        <f>IFERROR(IF(VLOOKUP(A1600,'Sales Order'!A:H,8,FALSE)&gt;100,"High Freight","Low Freight"),"Not Specified")</f>
        <v>High Freight</v>
      </c>
      <c r="T1600">
        <f t="shared" si="49"/>
        <v>300</v>
      </c>
    </row>
    <row r="1601" spans="1:20">
      <c r="A1601" s="9">
        <v>10857</v>
      </c>
      <c r="B1601" s="6">
        <v>26</v>
      </c>
      <c r="C1601" s="6">
        <v>31.23</v>
      </c>
      <c r="D1601" s="6">
        <v>35</v>
      </c>
      <c r="E1601" s="18">
        <v>0.25</v>
      </c>
      <c r="F1601" s="6" t="str">
        <f>IFERROR(VLOOKUP(VLOOKUP(A1601,'Sales Order'!A:B,2,FALSE),Customer!A:C,3,FALSE),"Not Specified")</f>
        <v>Higginbotham, Tom</v>
      </c>
      <c r="G1601" s="6" t="str">
        <f t="shared" si="48"/>
        <v>Higginbotham Tom</v>
      </c>
      <c r="H1601" s="22" t="str">
        <f>IFERROR(VLOOKUP(VLOOKUP(A1601,'Sales Order'!A:C,3,FALSE),Employee!A:E,5,FALSE)&amp;" "&amp;VLOOKUP(VLOOKUP(A1601,'Sales Order'!A:C,3,FALSE),Employee!A:C,3,FALSE)&amp;" "&amp;VLOOKUP(VLOOKUP(A1601,'Sales Order'!A:C,3,FALSE),Employee!A:B,2,FALSE),"Not Specified")</f>
        <v>Ms. Maria Cameron</v>
      </c>
      <c r="I1601" t="str">
        <f>IFERROR(VLOOKUP(VLOOKUP(A1601,'Sales Order'!A:C,3,FALSE),Employee!A:J,10,FALSE),"Not Specified")</f>
        <v>WA</v>
      </c>
      <c r="J1601" t="str">
        <f>VLOOKUP(B1601,Product!A:B,2,FALSE)</f>
        <v>Product HLGZA</v>
      </c>
      <c r="K1601" t="str">
        <f>VLOOKUP(VLOOKUP(B1601,Product!A:D,4,FALSE),Category!A:B,2,FALSE)</f>
        <v>Confections</v>
      </c>
      <c r="L1601" s="24">
        <f>IFERROR(VLOOKUP(A1601,'Sales Order'!A:D,4,FALSE),"")</f>
        <v>39475</v>
      </c>
      <c r="M1601" s="24">
        <f>IFERROR(VLOOKUP(A1601,'Sales Order'!A:F,6,FALSE),"")</f>
        <v>39484</v>
      </c>
      <c r="N1601" t="str">
        <f>IFERROR(VLOOKUP(VLOOKUP(A1601,'Sales Order'!A:G,7,FALSE),Shipper!A:B,2,FALSE),"Not Specified")</f>
        <v>Shipper ETYNR</v>
      </c>
      <c r="O1601" t="str">
        <f>IFERROR(VLOOKUP(A1601,'Sales Order'!A:I,9,FALSE),"Not Specified")</f>
        <v>Ship to 5-B</v>
      </c>
      <c r="P1601" t="str">
        <f>IFERROR(VLOOKUP(A1601,'Sales Order'!A:N,14,FALSE),"Not Specified")</f>
        <v>Sweden</v>
      </c>
      <c r="Q1601" t="str">
        <f>VLOOKUP(VLOOKUP(B1601,Product!A:C,3,FALSE),Supplier!A:B,2,FALSE)</f>
        <v>Supplier ZPYVS</v>
      </c>
      <c r="R1601" t="str">
        <f>VLOOKUP(VLOOKUP(B1601,Product!A:C,3,FALSE),Supplier!A:I,9,FALSE)</f>
        <v>Germany</v>
      </c>
      <c r="S1601" t="str">
        <f>IFERROR(IF(VLOOKUP(A1601,'Sales Order'!A:H,8,FALSE)&gt;100,"High Freight","Low Freight"),"Not Specified")</f>
        <v>High Freight</v>
      </c>
      <c r="T1601">
        <f t="shared" si="49"/>
        <v>819.78749999999991</v>
      </c>
    </row>
    <row r="1602" spans="1:20">
      <c r="A1602" s="9">
        <v>10857</v>
      </c>
      <c r="B1602" s="6">
        <v>29</v>
      </c>
      <c r="C1602" s="6">
        <v>123.79</v>
      </c>
      <c r="D1602" s="6">
        <v>10</v>
      </c>
      <c r="E1602" s="18">
        <v>0.25</v>
      </c>
      <c r="F1602" s="6" t="str">
        <f>IFERROR(VLOOKUP(VLOOKUP(A1602,'Sales Order'!A:B,2,FALSE),Customer!A:C,3,FALSE),"Not Specified")</f>
        <v>Higginbotham, Tom</v>
      </c>
      <c r="G1602" s="6" t="str">
        <f t="shared" si="48"/>
        <v>Higginbotham Tom</v>
      </c>
      <c r="H1602" s="22" t="str">
        <f>IFERROR(VLOOKUP(VLOOKUP(A1602,'Sales Order'!A:C,3,FALSE),Employee!A:E,5,FALSE)&amp;" "&amp;VLOOKUP(VLOOKUP(A1602,'Sales Order'!A:C,3,FALSE),Employee!A:C,3,FALSE)&amp;" "&amp;VLOOKUP(VLOOKUP(A1602,'Sales Order'!A:C,3,FALSE),Employee!A:B,2,FALSE),"Not Specified")</f>
        <v>Ms. Maria Cameron</v>
      </c>
      <c r="I1602" t="str">
        <f>IFERROR(VLOOKUP(VLOOKUP(A1602,'Sales Order'!A:C,3,FALSE),Employee!A:J,10,FALSE),"Not Specified")</f>
        <v>WA</v>
      </c>
      <c r="J1602" t="str">
        <f>VLOOKUP(B1602,Product!A:B,2,FALSE)</f>
        <v>Product VJXYN</v>
      </c>
      <c r="K1602" t="str">
        <f>VLOOKUP(VLOOKUP(B1602,Product!A:D,4,FALSE),Category!A:B,2,FALSE)</f>
        <v>Meat/Poultry</v>
      </c>
      <c r="L1602" s="24">
        <f>IFERROR(VLOOKUP(A1602,'Sales Order'!A:D,4,FALSE),"")</f>
        <v>39475</v>
      </c>
      <c r="M1602" s="24">
        <f>IFERROR(VLOOKUP(A1602,'Sales Order'!A:F,6,FALSE),"")</f>
        <v>39484</v>
      </c>
      <c r="N1602" t="str">
        <f>IFERROR(VLOOKUP(VLOOKUP(A1602,'Sales Order'!A:G,7,FALSE),Shipper!A:B,2,FALSE),"Not Specified")</f>
        <v>Shipper ETYNR</v>
      </c>
      <c r="O1602" t="str">
        <f>IFERROR(VLOOKUP(A1602,'Sales Order'!A:I,9,FALSE),"Not Specified")</f>
        <v>Ship to 5-B</v>
      </c>
      <c r="P1602" t="str">
        <f>IFERROR(VLOOKUP(A1602,'Sales Order'!A:N,14,FALSE),"Not Specified")</f>
        <v>Sweden</v>
      </c>
      <c r="Q1602" t="str">
        <f>VLOOKUP(VLOOKUP(B1602,Product!A:C,3,FALSE),Supplier!A:B,2,FALSE)</f>
        <v>Supplier SVIYA</v>
      </c>
      <c r="R1602" t="str">
        <f>VLOOKUP(VLOOKUP(B1602,Product!A:C,3,FALSE),Supplier!A:I,9,FALSE)</f>
        <v>Germany</v>
      </c>
      <c r="S1602" t="str">
        <f>IFERROR(IF(VLOOKUP(A1602,'Sales Order'!A:H,8,FALSE)&gt;100,"High Freight","Low Freight"),"Not Specified")</f>
        <v>High Freight</v>
      </c>
      <c r="T1602">
        <f t="shared" si="49"/>
        <v>928.42500000000007</v>
      </c>
    </row>
    <row r="1603" spans="1:20">
      <c r="A1603" s="9">
        <v>10858</v>
      </c>
      <c r="B1603" s="6">
        <v>7</v>
      </c>
      <c r="C1603" s="6">
        <v>30</v>
      </c>
      <c r="D1603" s="6">
        <v>5</v>
      </c>
      <c r="E1603" s="18">
        <v>0</v>
      </c>
      <c r="F1603" s="6" t="str">
        <f>IFERROR(VLOOKUP(VLOOKUP(A1603,'Sales Order'!A:B,2,FALSE),Customer!A:C,3,FALSE),"Not Specified")</f>
        <v>De Oliveira, Jose</v>
      </c>
      <c r="G1603" s="6" t="str">
        <f t="shared" ref="G1603:G1666" si="50">SUBSTITUTE(F1603,",","",1)</f>
        <v>De Oliveira Jose</v>
      </c>
      <c r="H1603" s="22" t="str">
        <f>IFERROR(VLOOKUP(VLOOKUP(A1603,'Sales Order'!A:C,3,FALSE),Employee!A:E,5,FALSE)&amp;" "&amp;VLOOKUP(VLOOKUP(A1603,'Sales Order'!A:C,3,FALSE),Employee!A:C,3,FALSE)&amp;" "&amp;VLOOKUP(VLOOKUP(A1603,'Sales Order'!A:C,3,FALSE),Employee!A:B,2,FALSE),"Not Specified")</f>
        <v>Dr. Don Funk</v>
      </c>
      <c r="I1603" t="str">
        <f>IFERROR(VLOOKUP(VLOOKUP(A1603,'Sales Order'!A:C,3,FALSE),Employee!A:J,10,FALSE),"Not Specified")</f>
        <v>WA</v>
      </c>
      <c r="J1603" t="str">
        <f>VLOOKUP(B1603,Product!A:B,2,FALSE)</f>
        <v>Product HMLNI</v>
      </c>
      <c r="K1603" t="str">
        <f>VLOOKUP(VLOOKUP(B1603,Product!A:D,4,FALSE),Category!A:B,2,FALSE)</f>
        <v>Produce</v>
      </c>
      <c r="L1603" s="24">
        <f>IFERROR(VLOOKUP(A1603,'Sales Order'!A:D,4,FALSE),"")</f>
        <v>39476</v>
      </c>
      <c r="M1603" s="24">
        <f>IFERROR(VLOOKUP(A1603,'Sales Order'!A:F,6,FALSE),"")</f>
        <v>39481</v>
      </c>
      <c r="N1603" t="str">
        <f>IFERROR(VLOOKUP(VLOOKUP(A1603,'Sales Order'!A:G,7,FALSE),Shipper!A:B,2,FALSE),"Not Specified")</f>
        <v>Shipper GVSUA</v>
      </c>
      <c r="O1603" t="str">
        <f>IFERROR(VLOOKUP(A1603,'Sales Order'!A:I,9,FALSE),"Not Specified")</f>
        <v>Destination POAEW</v>
      </c>
      <c r="P1603" t="str">
        <f>IFERROR(VLOOKUP(A1603,'Sales Order'!A:N,14,FALSE),"Not Specified")</f>
        <v>France</v>
      </c>
      <c r="Q1603" t="str">
        <f>VLOOKUP(VLOOKUP(B1603,Product!A:C,3,FALSE),Supplier!A:B,2,FALSE)</f>
        <v>Supplier STUAZ</v>
      </c>
      <c r="R1603" t="str">
        <f>VLOOKUP(VLOOKUP(B1603,Product!A:C,3,FALSE),Supplier!A:I,9,FALSE)</f>
        <v>USA</v>
      </c>
      <c r="S1603" t="str">
        <f>IFERROR(IF(VLOOKUP(A1603,'Sales Order'!A:H,8,FALSE)&gt;100,"High Freight","Low Freight"),"Not Specified")</f>
        <v>Low Freight</v>
      </c>
      <c r="T1603">
        <f t="shared" ref="T1603:T1666" si="51">C1603*D1603*(1-E1603)</f>
        <v>150</v>
      </c>
    </row>
    <row r="1604" spans="1:20">
      <c r="A1604" s="9">
        <v>10858</v>
      </c>
      <c r="B1604" s="6">
        <v>27</v>
      </c>
      <c r="C1604" s="6">
        <v>43.9</v>
      </c>
      <c r="D1604" s="6">
        <v>10</v>
      </c>
      <c r="E1604" s="18">
        <v>0</v>
      </c>
      <c r="F1604" s="6" t="str">
        <f>IFERROR(VLOOKUP(VLOOKUP(A1604,'Sales Order'!A:B,2,FALSE),Customer!A:C,3,FALSE),"Not Specified")</f>
        <v>De Oliveira, Jose</v>
      </c>
      <c r="G1604" s="6" t="str">
        <f t="shared" si="50"/>
        <v>De Oliveira Jose</v>
      </c>
      <c r="H1604" s="22" t="str">
        <f>IFERROR(VLOOKUP(VLOOKUP(A1604,'Sales Order'!A:C,3,FALSE),Employee!A:E,5,FALSE)&amp;" "&amp;VLOOKUP(VLOOKUP(A1604,'Sales Order'!A:C,3,FALSE),Employee!A:C,3,FALSE)&amp;" "&amp;VLOOKUP(VLOOKUP(A1604,'Sales Order'!A:C,3,FALSE),Employee!A:B,2,FALSE),"Not Specified")</f>
        <v>Dr. Don Funk</v>
      </c>
      <c r="I1604" t="str">
        <f>IFERROR(VLOOKUP(VLOOKUP(A1604,'Sales Order'!A:C,3,FALSE),Employee!A:J,10,FALSE),"Not Specified")</f>
        <v>WA</v>
      </c>
      <c r="J1604" t="str">
        <f>VLOOKUP(B1604,Product!A:B,2,FALSE)</f>
        <v>Product SMIOH</v>
      </c>
      <c r="K1604" t="str">
        <f>VLOOKUP(VLOOKUP(B1604,Product!A:D,4,FALSE),Category!A:B,2,FALSE)</f>
        <v>Confections</v>
      </c>
      <c r="L1604" s="24">
        <f>IFERROR(VLOOKUP(A1604,'Sales Order'!A:D,4,FALSE),"")</f>
        <v>39476</v>
      </c>
      <c r="M1604" s="24">
        <f>IFERROR(VLOOKUP(A1604,'Sales Order'!A:F,6,FALSE),"")</f>
        <v>39481</v>
      </c>
      <c r="N1604" t="str">
        <f>IFERROR(VLOOKUP(VLOOKUP(A1604,'Sales Order'!A:G,7,FALSE),Shipper!A:B,2,FALSE),"Not Specified")</f>
        <v>Shipper GVSUA</v>
      </c>
      <c r="O1604" t="str">
        <f>IFERROR(VLOOKUP(A1604,'Sales Order'!A:I,9,FALSE),"Not Specified")</f>
        <v>Destination POAEW</v>
      </c>
      <c r="P1604" t="str">
        <f>IFERROR(VLOOKUP(A1604,'Sales Order'!A:N,14,FALSE),"Not Specified")</f>
        <v>France</v>
      </c>
      <c r="Q1604" t="str">
        <f>VLOOKUP(VLOOKUP(B1604,Product!A:C,3,FALSE),Supplier!A:B,2,FALSE)</f>
        <v>Supplier ZPYVS</v>
      </c>
      <c r="R1604" t="str">
        <f>VLOOKUP(VLOOKUP(B1604,Product!A:C,3,FALSE),Supplier!A:I,9,FALSE)</f>
        <v>Germany</v>
      </c>
      <c r="S1604" t="str">
        <f>IFERROR(IF(VLOOKUP(A1604,'Sales Order'!A:H,8,FALSE)&gt;100,"High Freight","Low Freight"),"Not Specified")</f>
        <v>Low Freight</v>
      </c>
      <c r="T1604">
        <f t="shared" si="51"/>
        <v>439</v>
      </c>
    </row>
    <row r="1605" spans="1:20">
      <c r="A1605" s="9">
        <v>10858</v>
      </c>
      <c r="B1605" s="6">
        <v>70</v>
      </c>
      <c r="C1605" s="6">
        <v>15</v>
      </c>
      <c r="D1605" s="6">
        <v>4</v>
      </c>
      <c r="E1605" s="18">
        <v>0</v>
      </c>
      <c r="F1605" s="6" t="str">
        <f>IFERROR(VLOOKUP(VLOOKUP(A1605,'Sales Order'!A:B,2,FALSE),Customer!A:C,3,FALSE),"Not Specified")</f>
        <v>De Oliveira, Jose</v>
      </c>
      <c r="G1605" s="6" t="str">
        <f t="shared" si="50"/>
        <v>De Oliveira Jose</v>
      </c>
      <c r="H1605" s="22" t="str">
        <f>IFERROR(VLOOKUP(VLOOKUP(A1605,'Sales Order'!A:C,3,FALSE),Employee!A:E,5,FALSE)&amp;" "&amp;VLOOKUP(VLOOKUP(A1605,'Sales Order'!A:C,3,FALSE),Employee!A:C,3,FALSE)&amp;" "&amp;VLOOKUP(VLOOKUP(A1605,'Sales Order'!A:C,3,FALSE),Employee!A:B,2,FALSE),"Not Specified")</f>
        <v>Dr. Don Funk</v>
      </c>
      <c r="I1605" t="str">
        <f>IFERROR(VLOOKUP(VLOOKUP(A1605,'Sales Order'!A:C,3,FALSE),Employee!A:J,10,FALSE),"Not Specified")</f>
        <v>WA</v>
      </c>
      <c r="J1605" t="str">
        <f>VLOOKUP(B1605,Product!A:B,2,FALSE)</f>
        <v>Product TOONT</v>
      </c>
      <c r="K1605" t="str">
        <f>VLOOKUP(VLOOKUP(B1605,Product!A:D,4,FALSE),Category!A:B,2,FALSE)</f>
        <v>Beverages</v>
      </c>
      <c r="L1605" s="24">
        <f>IFERROR(VLOOKUP(A1605,'Sales Order'!A:D,4,FALSE),"")</f>
        <v>39476</v>
      </c>
      <c r="M1605" s="24">
        <f>IFERROR(VLOOKUP(A1605,'Sales Order'!A:F,6,FALSE),"")</f>
        <v>39481</v>
      </c>
      <c r="N1605" t="str">
        <f>IFERROR(VLOOKUP(VLOOKUP(A1605,'Sales Order'!A:G,7,FALSE),Shipper!A:B,2,FALSE),"Not Specified")</f>
        <v>Shipper GVSUA</v>
      </c>
      <c r="O1605" t="str">
        <f>IFERROR(VLOOKUP(A1605,'Sales Order'!A:I,9,FALSE),"Not Specified")</f>
        <v>Destination POAEW</v>
      </c>
      <c r="P1605" t="str">
        <f>IFERROR(VLOOKUP(A1605,'Sales Order'!A:N,14,FALSE),"Not Specified")</f>
        <v>France</v>
      </c>
      <c r="Q1605" t="str">
        <f>VLOOKUP(VLOOKUP(B1605,Product!A:C,3,FALSE),Supplier!A:B,2,FALSE)</f>
        <v>Supplier GQRCV</v>
      </c>
      <c r="R1605" t="str">
        <f>VLOOKUP(VLOOKUP(B1605,Product!A:C,3,FALSE),Supplier!A:I,9,FALSE)</f>
        <v>Australia</v>
      </c>
      <c r="S1605" t="str">
        <f>IFERROR(IF(VLOOKUP(A1605,'Sales Order'!A:H,8,FALSE)&gt;100,"High Freight","Low Freight"),"Not Specified")</f>
        <v>Low Freight</v>
      </c>
      <c r="T1605">
        <f t="shared" si="51"/>
        <v>60</v>
      </c>
    </row>
    <row r="1606" spans="1:20">
      <c r="A1606" s="9">
        <v>10859</v>
      </c>
      <c r="B1606" s="6">
        <v>24</v>
      </c>
      <c r="C1606" s="6">
        <v>4.5</v>
      </c>
      <c r="D1606" s="6">
        <v>40</v>
      </c>
      <c r="E1606" s="18">
        <v>0.25</v>
      </c>
      <c r="F1606" s="6" t="str">
        <f>IFERROR(VLOOKUP(VLOOKUP(A1606,'Sales Order'!A:B,2,FALSE),Customer!A:C,3,FALSE),"Not Specified")</f>
        <v>Carlson, Jason</v>
      </c>
      <c r="G1606" s="6" t="str">
        <f t="shared" si="50"/>
        <v>Carlson Jason</v>
      </c>
      <c r="H1606" s="22" t="str">
        <f>IFERROR(VLOOKUP(VLOOKUP(A1606,'Sales Order'!A:C,3,FALSE),Employee!A:E,5,FALSE)&amp;" "&amp;VLOOKUP(VLOOKUP(A1606,'Sales Order'!A:C,3,FALSE),Employee!A:C,3,FALSE)&amp;" "&amp;VLOOKUP(VLOOKUP(A1606,'Sales Order'!A:C,3,FALSE),Employee!A:B,2,FALSE),"Not Specified")</f>
        <v>Ms. Sara Davis</v>
      </c>
      <c r="I1606" t="str">
        <f>IFERROR(VLOOKUP(VLOOKUP(A1606,'Sales Order'!A:C,3,FALSE),Employee!A:J,10,FALSE),"Not Specified")</f>
        <v>WA</v>
      </c>
      <c r="J1606" t="str">
        <f>VLOOKUP(B1606,Product!A:B,2,FALSE)</f>
        <v>Product QOGNU</v>
      </c>
      <c r="K1606" t="str">
        <f>VLOOKUP(VLOOKUP(B1606,Product!A:D,4,FALSE),Category!A:B,2,FALSE)</f>
        <v>Beverages</v>
      </c>
      <c r="L1606" s="24">
        <f>IFERROR(VLOOKUP(A1606,'Sales Order'!A:D,4,FALSE),"")</f>
        <v>39476</v>
      </c>
      <c r="M1606" s="24">
        <f>IFERROR(VLOOKUP(A1606,'Sales Order'!A:F,6,FALSE),"")</f>
        <v>39480</v>
      </c>
      <c r="N1606" t="str">
        <f>IFERROR(VLOOKUP(VLOOKUP(A1606,'Sales Order'!A:G,7,FALSE),Shipper!A:B,2,FALSE),"Not Specified")</f>
        <v>Shipper ETYNR</v>
      </c>
      <c r="O1606" t="str">
        <f>IFERROR(VLOOKUP(A1606,'Sales Order'!A:I,9,FALSE),"Not Specified")</f>
        <v>Destination QOCBL</v>
      </c>
      <c r="P1606" t="str">
        <f>IFERROR(VLOOKUP(A1606,'Sales Order'!A:N,14,FALSE),"Not Specified")</f>
        <v>Germany</v>
      </c>
      <c r="Q1606" t="str">
        <f>VLOOKUP(VLOOKUP(B1606,Product!A:C,3,FALSE),Supplier!A:B,2,FALSE)</f>
        <v>Supplier UNAHG</v>
      </c>
      <c r="R1606" t="str">
        <f>VLOOKUP(VLOOKUP(B1606,Product!A:C,3,FALSE),Supplier!A:I,9,FALSE)</f>
        <v>Brazil</v>
      </c>
      <c r="S1606" t="str">
        <f>IFERROR(IF(VLOOKUP(A1606,'Sales Order'!A:H,8,FALSE)&gt;100,"High Freight","Low Freight"),"Not Specified")</f>
        <v>Low Freight</v>
      </c>
      <c r="T1606">
        <f t="shared" si="51"/>
        <v>135</v>
      </c>
    </row>
    <row r="1607" spans="1:20">
      <c r="A1607" s="9">
        <v>10859</v>
      </c>
      <c r="B1607" s="6">
        <v>54</v>
      </c>
      <c r="C1607" s="6">
        <v>7.45</v>
      </c>
      <c r="D1607" s="6">
        <v>35</v>
      </c>
      <c r="E1607" s="18">
        <v>0.25</v>
      </c>
      <c r="F1607" s="6" t="str">
        <f>IFERROR(VLOOKUP(VLOOKUP(A1607,'Sales Order'!A:B,2,FALSE),Customer!A:C,3,FALSE),"Not Specified")</f>
        <v>Carlson, Jason</v>
      </c>
      <c r="G1607" s="6" t="str">
        <f t="shared" si="50"/>
        <v>Carlson Jason</v>
      </c>
      <c r="H1607" s="22" t="str">
        <f>IFERROR(VLOOKUP(VLOOKUP(A1607,'Sales Order'!A:C,3,FALSE),Employee!A:E,5,FALSE)&amp;" "&amp;VLOOKUP(VLOOKUP(A1607,'Sales Order'!A:C,3,FALSE),Employee!A:C,3,FALSE)&amp;" "&amp;VLOOKUP(VLOOKUP(A1607,'Sales Order'!A:C,3,FALSE),Employee!A:B,2,FALSE),"Not Specified")</f>
        <v>Ms. Sara Davis</v>
      </c>
      <c r="I1607" t="str">
        <f>IFERROR(VLOOKUP(VLOOKUP(A1607,'Sales Order'!A:C,3,FALSE),Employee!A:J,10,FALSE),"Not Specified")</f>
        <v>WA</v>
      </c>
      <c r="J1607" t="str">
        <f>VLOOKUP(B1607,Product!A:B,2,FALSE)</f>
        <v>Product QAQRL</v>
      </c>
      <c r="K1607" t="str">
        <f>VLOOKUP(VLOOKUP(B1607,Product!A:D,4,FALSE),Category!A:B,2,FALSE)</f>
        <v>Meat/Poultry</v>
      </c>
      <c r="L1607" s="24">
        <f>IFERROR(VLOOKUP(A1607,'Sales Order'!A:D,4,FALSE),"")</f>
        <v>39476</v>
      </c>
      <c r="M1607" s="24">
        <f>IFERROR(VLOOKUP(A1607,'Sales Order'!A:F,6,FALSE),"")</f>
        <v>39480</v>
      </c>
      <c r="N1607" t="str">
        <f>IFERROR(VLOOKUP(VLOOKUP(A1607,'Sales Order'!A:G,7,FALSE),Shipper!A:B,2,FALSE),"Not Specified")</f>
        <v>Shipper ETYNR</v>
      </c>
      <c r="O1607" t="str">
        <f>IFERROR(VLOOKUP(A1607,'Sales Order'!A:I,9,FALSE),"Not Specified")</f>
        <v>Destination QOCBL</v>
      </c>
      <c r="P1607" t="str">
        <f>IFERROR(VLOOKUP(A1607,'Sales Order'!A:N,14,FALSE),"Not Specified")</f>
        <v>Germany</v>
      </c>
      <c r="Q1607" t="str">
        <f>VLOOKUP(VLOOKUP(B1607,Product!A:C,3,FALSE),Supplier!A:B,2,FALSE)</f>
        <v>Supplier ERVYZ</v>
      </c>
      <c r="R1607" t="str">
        <f>VLOOKUP(VLOOKUP(B1607,Product!A:C,3,FALSE),Supplier!A:I,9,FALSE)</f>
        <v>Canada</v>
      </c>
      <c r="S1607" t="str">
        <f>IFERROR(IF(VLOOKUP(A1607,'Sales Order'!A:H,8,FALSE)&gt;100,"High Freight","Low Freight"),"Not Specified")</f>
        <v>Low Freight</v>
      </c>
      <c r="T1607">
        <f t="shared" si="51"/>
        <v>195.5625</v>
      </c>
    </row>
    <row r="1608" spans="1:20">
      <c r="A1608" s="9">
        <v>10859</v>
      </c>
      <c r="B1608" s="6">
        <v>64</v>
      </c>
      <c r="C1608" s="6">
        <v>33.25</v>
      </c>
      <c r="D1608" s="6">
        <v>30</v>
      </c>
      <c r="E1608" s="18">
        <v>0.25</v>
      </c>
      <c r="F1608" s="6" t="str">
        <f>IFERROR(VLOOKUP(VLOOKUP(A1608,'Sales Order'!A:B,2,FALSE),Customer!A:C,3,FALSE),"Not Specified")</f>
        <v>Carlson, Jason</v>
      </c>
      <c r="G1608" s="6" t="str">
        <f t="shared" si="50"/>
        <v>Carlson Jason</v>
      </c>
      <c r="H1608" s="22" t="str">
        <f>IFERROR(VLOOKUP(VLOOKUP(A1608,'Sales Order'!A:C,3,FALSE),Employee!A:E,5,FALSE)&amp;" "&amp;VLOOKUP(VLOOKUP(A1608,'Sales Order'!A:C,3,FALSE),Employee!A:C,3,FALSE)&amp;" "&amp;VLOOKUP(VLOOKUP(A1608,'Sales Order'!A:C,3,FALSE),Employee!A:B,2,FALSE),"Not Specified")</f>
        <v>Ms. Sara Davis</v>
      </c>
      <c r="I1608" t="str">
        <f>IFERROR(VLOOKUP(VLOOKUP(A1608,'Sales Order'!A:C,3,FALSE),Employee!A:J,10,FALSE),"Not Specified")</f>
        <v>WA</v>
      </c>
      <c r="J1608" t="str">
        <f>VLOOKUP(B1608,Product!A:B,2,FALSE)</f>
        <v>Product HCQDE</v>
      </c>
      <c r="K1608" t="str">
        <f>VLOOKUP(VLOOKUP(B1608,Product!A:D,4,FALSE),Category!A:B,2,FALSE)</f>
        <v>Grains/Cereals</v>
      </c>
      <c r="L1608" s="24">
        <f>IFERROR(VLOOKUP(A1608,'Sales Order'!A:D,4,FALSE),"")</f>
        <v>39476</v>
      </c>
      <c r="M1608" s="24">
        <f>IFERROR(VLOOKUP(A1608,'Sales Order'!A:F,6,FALSE),"")</f>
        <v>39480</v>
      </c>
      <c r="N1608" t="str">
        <f>IFERROR(VLOOKUP(VLOOKUP(A1608,'Sales Order'!A:G,7,FALSE),Shipper!A:B,2,FALSE),"Not Specified")</f>
        <v>Shipper ETYNR</v>
      </c>
      <c r="O1608" t="str">
        <f>IFERROR(VLOOKUP(A1608,'Sales Order'!A:I,9,FALSE),"Not Specified")</f>
        <v>Destination QOCBL</v>
      </c>
      <c r="P1608" t="str">
        <f>IFERROR(VLOOKUP(A1608,'Sales Order'!A:N,14,FALSE),"Not Specified")</f>
        <v>Germany</v>
      </c>
      <c r="Q1608" t="str">
        <f>VLOOKUP(VLOOKUP(B1608,Product!A:C,3,FALSE),Supplier!A:B,2,FALSE)</f>
        <v>Supplier SVIYA</v>
      </c>
      <c r="R1608" t="str">
        <f>VLOOKUP(VLOOKUP(B1608,Product!A:C,3,FALSE),Supplier!A:I,9,FALSE)</f>
        <v>Germany</v>
      </c>
      <c r="S1608" t="str">
        <f>IFERROR(IF(VLOOKUP(A1608,'Sales Order'!A:H,8,FALSE)&gt;100,"High Freight","Low Freight"),"Not Specified")</f>
        <v>Low Freight</v>
      </c>
      <c r="T1608">
        <f t="shared" si="51"/>
        <v>748.125</v>
      </c>
    </row>
    <row r="1609" spans="1:20">
      <c r="A1609" s="9">
        <v>10860</v>
      </c>
      <c r="B1609" s="6">
        <v>51</v>
      </c>
      <c r="C1609" s="6">
        <v>53</v>
      </c>
      <c r="D1609" s="6">
        <v>3</v>
      </c>
      <c r="E1609" s="18">
        <v>0</v>
      </c>
      <c r="F1609" s="6" t="str">
        <f>IFERROR(VLOOKUP(VLOOKUP(A1609,'Sales Order'!A:B,2,FALSE),Customer!A:C,3,FALSE),"Not Specified")</f>
        <v>Koch, Paul</v>
      </c>
      <c r="G1609" s="6" t="str">
        <f t="shared" si="50"/>
        <v>Koch Paul</v>
      </c>
      <c r="H1609" s="22" t="str">
        <f>IFERROR(VLOOKUP(VLOOKUP(A1609,'Sales Order'!A:C,3,FALSE),Employee!A:E,5,FALSE)&amp;" "&amp;VLOOKUP(VLOOKUP(A1609,'Sales Order'!A:C,3,FALSE),Employee!A:C,3,FALSE)&amp;" "&amp;VLOOKUP(VLOOKUP(A1609,'Sales Order'!A:C,3,FALSE),Employee!A:B,2,FALSE),"Not Specified")</f>
        <v>Ms. Judy Lew</v>
      </c>
      <c r="I1609" t="str">
        <f>IFERROR(VLOOKUP(VLOOKUP(A1609,'Sales Order'!A:C,3,FALSE),Employee!A:J,10,FALSE),"Not Specified")</f>
        <v>WA</v>
      </c>
      <c r="J1609" t="str">
        <f>VLOOKUP(B1609,Product!A:B,2,FALSE)</f>
        <v>Product APITJ</v>
      </c>
      <c r="K1609" t="str">
        <f>VLOOKUP(VLOOKUP(B1609,Product!A:D,4,FALSE),Category!A:B,2,FALSE)</f>
        <v>Produce</v>
      </c>
      <c r="L1609" s="24">
        <f>IFERROR(VLOOKUP(A1609,'Sales Order'!A:D,4,FALSE),"")</f>
        <v>39476</v>
      </c>
      <c r="M1609" s="24">
        <f>IFERROR(VLOOKUP(A1609,'Sales Order'!A:F,6,FALSE),"")</f>
        <v>39482</v>
      </c>
      <c r="N1609" t="str">
        <f>IFERROR(VLOOKUP(VLOOKUP(A1609,'Sales Order'!A:G,7,FALSE),Shipper!A:B,2,FALSE),"Not Specified")</f>
        <v>Shipper ZHISN</v>
      </c>
      <c r="O1609" t="str">
        <f>IFERROR(VLOOKUP(A1609,'Sales Order'!A:I,9,FALSE),"Not Specified")</f>
        <v>Destination XBVKN</v>
      </c>
      <c r="P1609" t="str">
        <f>IFERROR(VLOOKUP(A1609,'Sales Order'!A:N,14,FALSE),"Not Specified")</f>
        <v>France</v>
      </c>
      <c r="Q1609" t="str">
        <f>VLOOKUP(VLOOKUP(B1609,Product!A:C,3,FALSE),Supplier!A:B,2,FALSE)</f>
        <v>Supplier JNNES</v>
      </c>
      <c r="R1609" t="str">
        <f>VLOOKUP(VLOOKUP(B1609,Product!A:C,3,FALSE),Supplier!A:I,9,FALSE)</f>
        <v>Australia</v>
      </c>
      <c r="S1609" t="str">
        <f>IFERROR(IF(VLOOKUP(A1609,'Sales Order'!A:H,8,FALSE)&gt;100,"High Freight","Low Freight"),"Not Specified")</f>
        <v>Low Freight</v>
      </c>
      <c r="T1609">
        <f t="shared" si="51"/>
        <v>159</v>
      </c>
    </row>
    <row r="1610" spans="1:20">
      <c r="A1610" s="9">
        <v>10860</v>
      </c>
      <c r="B1610" s="6">
        <v>76</v>
      </c>
      <c r="C1610" s="6">
        <v>18</v>
      </c>
      <c r="D1610" s="6">
        <v>20</v>
      </c>
      <c r="E1610" s="18">
        <v>0</v>
      </c>
      <c r="F1610" s="6" t="str">
        <f>IFERROR(VLOOKUP(VLOOKUP(A1610,'Sales Order'!A:B,2,FALSE),Customer!A:C,3,FALSE),"Not Specified")</f>
        <v>Koch, Paul</v>
      </c>
      <c r="G1610" s="6" t="str">
        <f t="shared" si="50"/>
        <v>Koch Paul</v>
      </c>
      <c r="H1610" s="22" t="str">
        <f>IFERROR(VLOOKUP(VLOOKUP(A1610,'Sales Order'!A:C,3,FALSE),Employee!A:E,5,FALSE)&amp;" "&amp;VLOOKUP(VLOOKUP(A1610,'Sales Order'!A:C,3,FALSE),Employee!A:C,3,FALSE)&amp;" "&amp;VLOOKUP(VLOOKUP(A1610,'Sales Order'!A:C,3,FALSE),Employee!A:B,2,FALSE),"Not Specified")</f>
        <v>Ms. Judy Lew</v>
      </c>
      <c r="I1610" t="str">
        <f>IFERROR(VLOOKUP(VLOOKUP(A1610,'Sales Order'!A:C,3,FALSE),Employee!A:J,10,FALSE),"Not Specified")</f>
        <v>WA</v>
      </c>
      <c r="J1610" t="str">
        <f>VLOOKUP(B1610,Product!A:B,2,FALSE)</f>
        <v>Product JYGFE</v>
      </c>
      <c r="K1610" t="str">
        <f>VLOOKUP(VLOOKUP(B1610,Product!A:D,4,FALSE),Category!A:B,2,FALSE)</f>
        <v>Beverages</v>
      </c>
      <c r="L1610" s="24">
        <f>IFERROR(VLOOKUP(A1610,'Sales Order'!A:D,4,FALSE),"")</f>
        <v>39476</v>
      </c>
      <c r="M1610" s="24">
        <f>IFERROR(VLOOKUP(A1610,'Sales Order'!A:F,6,FALSE),"")</f>
        <v>39482</v>
      </c>
      <c r="N1610" t="str">
        <f>IFERROR(VLOOKUP(VLOOKUP(A1610,'Sales Order'!A:G,7,FALSE),Shipper!A:B,2,FALSE),"Not Specified")</f>
        <v>Shipper ZHISN</v>
      </c>
      <c r="O1610" t="str">
        <f>IFERROR(VLOOKUP(A1610,'Sales Order'!A:I,9,FALSE),"Not Specified")</f>
        <v>Destination XBVKN</v>
      </c>
      <c r="P1610" t="str">
        <f>IFERROR(VLOOKUP(A1610,'Sales Order'!A:N,14,FALSE),"Not Specified")</f>
        <v>France</v>
      </c>
      <c r="Q1610" t="str">
        <f>VLOOKUP(VLOOKUP(B1610,Product!A:C,3,FALSE),Supplier!A:B,2,FALSE)</f>
        <v>Supplier ELCRN</v>
      </c>
      <c r="R1610" t="str">
        <f>VLOOKUP(VLOOKUP(B1610,Product!A:C,3,FALSE),Supplier!A:I,9,FALSE)</f>
        <v>Finland</v>
      </c>
      <c r="S1610" t="str">
        <f>IFERROR(IF(VLOOKUP(A1610,'Sales Order'!A:H,8,FALSE)&gt;100,"High Freight","Low Freight"),"Not Specified")</f>
        <v>Low Freight</v>
      </c>
      <c r="T1610">
        <f t="shared" si="51"/>
        <v>360</v>
      </c>
    </row>
    <row r="1611" spans="1:20">
      <c r="A1611" s="9">
        <v>10861</v>
      </c>
      <c r="B1611" s="6">
        <v>17</v>
      </c>
      <c r="C1611" s="6">
        <v>39</v>
      </c>
      <c r="D1611" s="6">
        <v>42</v>
      </c>
      <c r="E1611" s="18">
        <v>0</v>
      </c>
      <c r="F1611" s="6" t="str">
        <f>IFERROR(VLOOKUP(VLOOKUP(A1611,'Sales Order'!A:B,2,FALSE),Customer!A:C,3,FALSE),"Not Specified")</f>
        <v>Smith Jr., Ronaldo</v>
      </c>
      <c r="G1611" s="6" t="str">
        <f t="shared" si="50"/>
        <v>Smith Jr. Ronaldo</v>
      </c>
      <c r="H1611" s="22" t="str">
        <f>IFERROR(VLOOKUP(VLOOKUP(A1611,'Sales Order'!A:C,3,FALSE),Employee!A:E,5,FALSE)&amp;" "&amp;VLOOKUP(VLOOKUP(A1611,'Sales Order'!A:C,3,FALSE),Employee!A:C,3,FALSE)&amp;" "&amp;VLOOKUP(VLOOKUP(A1611,'Sales Order'!A:C,3,FALSE),Employee!A:B,2,FALSE),"Not Specified")</f>
        <v>Mrs. Yael Peled</v>
      </c>
      <c r="I1611" t="str">
        <f>IFERROR(VLOOKUP(VLOOKUP(A1611,'Sales Order'!A:C,3,FALSE),Employee!A:J,10,FALSE),"Not Specified")</f>
        <v>WA</v>
      </c>
      <c r="J1611" t="str">
        <f>VLOOKUP(B1611,Product!A:B,2,FALSE)</f>
        <v>Product BLCAX</v>
      </c>
      <c r="K1611" t="str">
        <f>VLOOKUP(VLOOKUP(B1611,Product!A:D,4,FALSE),Category!A:B,2,FALSE)</f>
        <v>Meat/Poultry</v>
      </c>
      <c r="L1611" s="24">
        <f>IFERROR(VLOOKUP(A1611,'Sales Order'!A:D,4,FALSE),"")</f>
        <v>39477</v>
      </c>
      <c r="M1611" s="24">
        <f>IFERROR(VLOOKUP(A1611,'Sales Order'!A:F,6,FALSE),"")</f>
        <v>39495</v>
      </c>
      <c r="N1611" t="str">
        <f>IFERROR(VLOOKUP(VLOOKUP(A1611,'Sales Order'!A:G,7,FALSE),Shipper!A:B,2,FALSE),"Not Specified")</f>
        <v>Shipper ETYNR</v>
      </c>
      <c r="O1611" t="str">
        <f>IFERROR(VLOOKUP(A1611,'Sales Order'!A:I,9,FALSE),"Not Specified")</f>
        <v>Ship to 89-C</v>
      </c>
      <c r="P1611" t="str">
        <f>IFERROR(VLOOKUP(A1611,'Sales Order'!A:N,14,FALSE),"Not Specified")</f>
        <v>USA</v>
      </c>
      <c r="Q1611" t="str">
        <f>VLOOKUP(VLOOKUP(B1611,Product!A:C,3,FALSE),Supplier!A:B,2,FALSE)</f>
        <v>Supplier GQRCV</v>
      </c>
      <c r="R1611" t="str">
        <f>VLOOKUP(VLOOKUP(B1611,Product!A:C,3,FALSE),Supplier!A:I,9,FALSE)</f>
        <v>Australia</v>
      </c>
      <c r="S1611" t="str">
        <f>IFERROR(IF(VLOOKUP(A1611,'Sales Order'!A:H,8,FALSE)&gt;100,"High Freight","Low Freight"),"Not Specified")</f>
        <v>Low Freight</v>
      </c>
      <c r="T1611">
        <f t="shared" si="51"/>
        <v>1638</v>
      </c>
    </row>
    <row r="1612" spans="1:20">
      <c r="A1612" s="9">
        <v>10861</v>
      </c>
      <c r="B1612" s="6">
        <v>18</v>
      </c>
      <c r="C1612" s="6">
        <v>62.5</v>
      </c>
      <c r="D1612" s="6">
        <v>20</v>
      </c>
      <c r="E1612" s="18">
        <v>0</v>
      </c>
      <c r="F1612" s="6" t="str">
        <f>IFERROR(VLOOKUP(VLOOKUP(A1612,'Sales Order'!A:B,2,FALSE),Customer!A:C,3,FALSE),"Not Specified")</f>
        <v>Smith Jr., Ronaldo</v>
      </c>
      <c r="G1612" s="6" t="str">
        <f t="shared" si="50"/>
        <v>Smith Jr. Ronaldo</v>
      </c>
      <c r="H1612" s="22" t="str">
        <f>IFERROR(VLOOKUP(VLOOKUP(A1612,'Sales Order'!A:C,3,FALSE),Employee!A:E,5,FALSE)&amp;" "&amp;VLOOKUP(VLOOKUP(A1612,'Sales Order'!A:C,3,FALSE),Employee!A:C,3,FALSE)&amp;" "&amp;VLOOKUP(VLOOKUP(A1612,'Sales Order'!A:C,3,FALSE),Employee!A:B,2,FALSE),"Not Specified")</f>
        <v>Mrs. Yael Peled</v>
      </c>
      <c r="I1612" t="str">
        <f>IFERROR(VLOOKUP(VLOOKUP(A1612,'Sales Order'!A:C,3,FALSE),Employee!A:J,10,FALSE),"Not Specified")</f>
        <v>WA</v>
      </c>
      <c r="J1612" t="str">
        <f>VLOOKUP(B1612,Product!A:B,2,FALSE)</f>
        <v>Product CKEDC</v>
      </c>
      <c r="K1612" t="str">
        <f>VLOOKUP(VLOOKUP(B1612,Product!A:D,4,FALSE),Category!A:B,2,FALSE)</f>
        <v>Seafood</v>
      </c>
      <c r="L1612" s="24">
        <f>IFERROR(VLOOKUP(A1612,'Sales Order'!A:D,4,FALSE),"")</f>
        <v>39477</v>
      </c>
      <c r="M1612" s="24">
        <f>IFERROR(VLOOKUP(A1612,'Sales Order'!A:F,6,FALSE),"")</f>
        <v>39495</v>
      </c>
      <c r="N1612" t="str">
        <f>IFERROR(VLOOKUP(VLOOKUP(A1612,'Sales Order'!A:G,7,FALSE),Shipper!A:B,2,FALSE),"Not Specified")</f>
        <v>Shipper ETYNR</v>
      </c>
      <c r="O1612" t="str">
        <f>IFERROR(VLOOKUP(A1612,'Sales Order'!A:I,9,FALSE),"Not Specified")</f>
        <v>Ship to 89-C</v>
      </c>
      <c r="P1612" t="str">
        <f>IFERROR(VLOOKUP(A1612,'Sales Order'!A:N,14,FALSE),"Not Specified")</f>
        <v>USA</v>
      </c>
      <c r="Q1612" t="str">
        <f>VLOOKUP(VLOOKUP(B1612,Product!A:C,3,FALSE),Supplier!A:B,2,FALSE)</f>
        <v>Supplier GQRCV</v>
      </c>
      <c r="R1612" t="str">
        <f>VLOOKUP(VLOOKUP(B1612,Product!A:C,3,FALSE),Supplier!A:I,9,FALSE)</f>
        <v>Australia</v>
      </c>
      <c r="S1612" t="str">
        <f>IFERROR(IF(VLOOKUP(A1612,'Sales Order'!A:H,8,FALSE)&gt;100,"High Freight","Low Freight"),"Not Specified")</f>
        <v>Low Freight</v>
      </c>
      <c r="T1612">
        <f t="shared" si="51"/>
        <v>1250</v>
      </c>
    </row>
    <row r="1613" spans="1:20">
      <c r="A1613" s="9">
        <v>10861</v>
      </c>
      <c r="B1613" s="6">
        <v>21</v>
      </c>
      <c r="C1613" s="6">
        <v>10</v>
      </c>
      <c r="D1613" s="6">
        <v>40</v>
      </c>
      <c r="E1613" s="18">
        <v>0</v>
      </c>
      <c r="F1613" s="6" t="str">
        <f>IFERROR(VLOOKUP(VLOOKUP(A1613,'Sales Order'!A:B,2,FALSE),Customer!A:C,3,FALSE),"Not Specified")</f>
        <v>Smith Jr., Ronaldo</v>
      </c>
      <c r="G1613" s="6" t="str">
        <f t="shared" si="50"/>
        <v>Smith Jr. Ronaldo</v>
      </c>
      <c r="H1613" s="22" t="str">
        <f>IFERROR(VLOOKUP(VLOOKUP(A1613,'Sales Order'!A:C,3,FALSE),Employee!A:E,5,FALSE)&amp;" "&amp;VLOOKUP(VLOOKUP(A1613,'Sales Order'!A:C,3,FALSE),Employee!A:C,3,FALSE)&amp;" "&amp;VLOOKUP(VLOOKUP(A1613,'Sales Order'!A:C,3,FALSE),Employee!A:B,2,FALSE),"Not Specified")</f>
        <v>Mrs. Yael Peled</v>
      </c>
      <c r="I1613" t="str">
        <f>IFERROR(VLOOKUP(VLOOKUP(A1613,'Sales Order'!A:C,3,FALSE),Employee!A:J,10,FALSE),"Not Specified")</f>
        <v>WA</v>
      </c>
      <c r="J1613" t="str">
        <f>VLOOKUP(B1613,Product!A:B,2,FALSE)</f>
        <v>Product VJZZH</v>
      </c>
      <c r="K1613" t="str">
        <f>VLOOKUP(VLOOKUP(B1613,Product!A:D,4,FALSE),Category!A:B,2,FALSE)</f>
        <v>Confections</v>
      </c>
      <c r="L1613" s="24">
        <f>IFERROR(VLOOKUP(A1613,'Sales Order'!A:D,4,FALSE),"")</f>
        <v>39477</v>
      </c>
      <c r="M1613" s="24">
        <f>IFERROR(VLOOKUP(A1613,'Sales Order'!A:F,6,FALSE),"")</f>
        <v>39495</v>
      </c>
      <c r="N1613" t="str">
        <f>IFERROR(VLOOKUP(VLOOKUP(A1613,'Sales Order'!A:G,7,FALSE),Shipper!A:B,2,FALSE),"Not Specified")</f>
        <v>Shipper ETYNR</v>
      </c>
      <c r="O1613" t="str">
        <f>IFERROR(VLOOKUP(A1613,'Sales Order'!A:I,9,FALSE),"Not Specified")</f>
        <v>Ship to 89-C</v>
      </c>
      <c r="P1613" t="str">
        <f>IFERROR(VLOOKUP(A1613,'Sales Order'!A:N,14,FALSE),"Not Specified")</f>
        <v>USA</v>
      </c>
      <c r="Q1613" t="str">
        <f>VLOOKUP(VLOOKUP(B1613,Product!A:C,3,FALSE),Supplier!A:B,2,FALSE)</f>
        <v>Supplier BWGYE</v>
      </c>
      <c r="R1613" t="str">
        <f>VLOOKUP(VLOOKUP(B1613,Product!A:C,3,FALSE),Supplier!A:I,9,FALSE)</f>
        <v>UK</v>
      </c>
      <c r="S1613" t="str">
        <f>IFERROR(IF(VLOOKUP(A1613,'Sales Order'!A:H,8,FALSE)&gt;100,"High Freight","Low Freight"),"Not Specified")</f>
        <v>Low Freight</v>
      </c>
      <c r="T1613">
        <f t="shared" si="51"/>
        <v>400</v>
      </c>
    </row>
    <row r="1614" spans="1:20">
      <c r="A1614" s="9">
        <v>10861</v>
      </c>
      <c r="B1614" s="6">
        <v>33</v>
      </c>
      <c r="C1614" s="6">
        <v>2.5</v>
      </c>
      <c r="D1614" s="6">
        <v>35</v>
      </c>
      <c r="E1614" s="18">
        <v>0</v>
      </c>
      <c r="F1614" s="6" t="str">
        <f>IFERROR(VLOOKUP(VLOOKUP(A1614,'Sales Order'!A:B,2,FALSE),Customer!A:C,3,FALSE),"Not Specified")</f>
        <v>Smith Jr., Ronaldo</v>
      </c>
      <c r="G1614" s="6" t="str">
        <f t="shared" si="50"/>
        <v>Smith Jr. Ronaldo</v>
      </c>
      <c r="H1614" s="22" t="str">
        <f>IFERROR(VLOOKUP(VLOOKUP(A1614,'Sales Order'!A:C,3,FALSE),Employee!A:E,5,FALSE)&amp;" "&amp;VLOOKUP(VLOOKUP(A1614,'Sales Order'!A:C,3,FALSE),Employee!A:C,3,FALSE)&amp;" "&amp;VLOOKUP(VLOOKUP(A1614,'Sales Order'!A:C,3,FALSE),Employee!A:B,2,FALSE),"Not Specified")</f>
        <v>Mrs. Yael Peled</v>
      </c>
      <c r="I1614" t="str">
        <f>IFERROR(VLOOKUP(VLOOKUP(A1614,'Sales Order'!A:C,3,FALSE),Employee!A:J,10,FALSE),"Not Specified")</f>
        <v>WA</v>
      </c>
      <c r="J1614" t="str">
        <f>VLOOKUP(B1614,Product!A:B,2,FALSE)</f>
        <v>Product ASTMN</v>
      </c>
      <c r="K1614" t="str">
        <f>VLOOKUP(VLOOKUP(B1614,Product!A:D,4,FALSE),Category!A:B,2,FALSE)</f>
        <v>Dairy Product</v>
      </c>
      <c r="L1614" s="24">
        <f>IFERROR(VLOOKUP(A1614,'Sales Order'!A:D,4,FALSE),"")</f>
        <v>39477</v>
      </c>
      <c r="M1614" s="24">
        <f>IFERROR(VLOOKUP(A1614,'Sales Order'!A:F,6,FALSE),"")</f>
        <v>39495</v>
      </c>
      <c r="N1614" t="str">
        <f>IFERROR(VLOOKUP(VLOOKUP(A1614,'Sales Order'!A:G,7,FALSE),Shipper!A:B,2,FALSE),"Not Specified")</f>
        <v>Shipper ETYNR</v>
      </c>
      <c r="O1614" t="str">
        <f>IFERROR(VLOOKUP(A1614,'Sales Order'!A:I,9,FALSE),"Not Specified")</f>
        <v>Ship to 89-C</v>
      </c>
      <c r="P1614" t="str">
        <f>IFERROR(VLOOKUP(A1614,'Sales Order'!A:N,14,FALSE),"Not Specified")</f>
        <v>USA</v>
      </c>
      <c r="Q1614" t="str">
        <f>VLOOKUP(VLOOKUP(B1614,Product!A:C,3,FALSE),Supplier!A:B,2,FALSE)</f>
        <v>Supplier NZLIF</v>
      </c>
      <c r="R1614" t="str">
        <f>VLOOKUP(VLOOKUP(B1614,Product!A:C,3,FALSE),Supplier!A:I,9,FALSE)</f>
        <v>Norway</v>
      </c>
      <c r="S1614" t="str">
        <f>IFERROR(IF(VLOOKUP(A1614,'Sales Order'!A:H,8,FALSE)&gt;100,"High Freight","Low Freight"),"Not Specified")</f>
        <v>Low Freight</v>
      </c>
      <c r="T1614">
        <f t="shared" si="51"/>
        <v>87.5</v>
      </c>
    </row>
    <row r="1615" spans="1:20">
      <c r="A1615" s="9">
        <v>10861</v>
      </c>
      <c r="B1615" s="6">
        <v>62</v>
      </c>
      <c r="C1615" s="6">
        <v>49.3</v>
      </c>
      <c r="D1615" s="6">
        <v>3</v>
      </c>
      <c r="E1615" s="18">
        <v>0</v>
      </c>
      <c r="F1615" s="6" t="str">
        <f>IFERROR(VLOOKUP(VLOOKUP(A1615,'Sales Order'!A:B,2,FALSE),Customer!A:C,3,FALSE),"Not Specified")</f>
        <v>Smith Jr., Ronaldo</v>
      </c>
      <c r="G1615" s="6" t="str">
        <f t="shared" si="50"/>
        <v>Smith Jr. Ronaldo</v>
      </c>
      <c r="H1615" s="22" t="str">
        <f>IFERROR(VLOOKUP(VLOOKUP(A1615,'Sales Order'!A:C,3,FALSE),Employee!A:E,5,FALSE)&amp;" "&amp;VLOOKUP(VLOOKUP(A1615,'Sales Order'!A:C,3,FALSE),Employee!A:C,3,FALSE)&amp;" "&amp;VLOOKUP(VLOOKUP(A1615,'Sales Order'!A:C,3,FALSE),Employee!A:B,2,FALSE),"Not Specified")</f>
        <v>Mrs. Yael Peled</v>
      </c>
      <c r="I1615" t="str">
        <f>IFERROR(VLOOKUP(VLOOKUP(A1615,'Sales Order'!A:C,3,FALSE),Employee!A:J,10,FALSE),"Not Specified")</f>
        <v>WA</v>
      </c>
      <c r="J1615" t="str">
        <f>VLOOKUP(B1615,Product!A:B,2,FALSE)</f>
        <v>Product WUXYK</v>
      </c>
      <c r="K1615" t="str">
        <f>VLOOKUP(VLOOKUP(B1615,Product!A:D,4,FALSE),Category!A:B,2,FALSE)</f>
        <v>Confections</v>
      </c>
      <c r="L1615" s="24">
        <f>IFERROR(VLOOKUP(A1615,'Sales Order'!A:D,4,FALSE),"")</f>
        <v>39477</v>
      </c>
      <c r="M1615" s="24">
        <f>IFERROR(VLOOKUP(A1615,'Sales Order'!A:F,6,FALSE),"")</f>
        <v>39495</v>
      </c>
      <c r="N1615" t="str">
        <f>IFERROR(VLOOKUP(VLOOKUP(A1615,'Sales Order'!A:G,7,FALSE),Shipper!A:B,2,FALSE),"Not Specified")</f>
        <v>Shipper ETYNR</v>
      </c>
      <c r="O1615" t="str">
        <f>IFERROR(VLOOKUP(A1615,'Sales Order'!A:I,9,FALSE),"Not Specified")</f>
        <v>Ship to 89-C</v>
      </c>
      <c r="P1615" t="str">
        <f>IFERROR(VLOOKUP(A1615,'Sales Order'!A:N,14,FALSE),"Not Specified")</f>
        <v>USA</v>
      </c>
      <c r="Q1615" t="str">
        <f>VLOOKUP(VLOOKUP(B1615,Product!A:C,3,FALSE),Supplier!A:B,2,FALSE)</f>
        <v>Supplier OGLRK</v>
      </c>
      <c r="R1615" t="str">
        <f>VLOOKUP(VLOOKUP(B1615,Product!A:C,3,FALSE),Supplier!A:I,9,FALSE)</f>
        <v>Canada</v>
      </c>
      <c r="S1615" t="str">
        <f>IFERROR(IF(VLOOKUP(A1615,'Sales Order'!A:H,8,FALSE)&gt;100,"High Freight","Low Freight"),"Not Specified")</f>
        <v>Low Freight</v>
      </c>
      <c r="T1615">
        <f t="shared" si="51"/>
        <v>147.89999999999998</v>
      </c>
    </row>
    <row r="1616" spans="1:20">
      <c r="A1616" s="9">
        <v>10862</v>
      </c>
      <c r="B1616" s="6">
        <v>11</v>
      </c>
      <c r="C1616" s="6">
        <v>21</v>
      </c>
      <c r="D1616" s="6">
        <v>25</v>
      </c>
      <c r="E1616" s="18">
        <v>0</v>
      </c>
      <c r="F1616" s="6" t="str">
        <f>IFERROR(VLOOKUP(VLOOKUP(A1616,'Sales Order'!A:B,2,FALSE),Customer!A:C,3,FALSE),"Not Specified")</f>
        <v>Louverdis, George</v>
      </c>
      <c r="G1616" s="6" t="str">
        <f t="shared" si="50"/>
        <v>Louverdis George</v>
      </c>
      <c r="H1616" s="22" t="str">
        <f>IFERROR(VLOOKUP(VLOOKUP(A1616,'Sales Order'!A:C,3,FALSE),Employee!A:E,5,FALSE)&amp;" "&amp;VLOOKUP(VLOOKUP(A1616,'Sales Order'!A:C,3,FALSE),Employee!A:C,3,FALSE)&amp;" "&amp;VLOOKUP(VLOOKUP(A1616,'Sales Order'!A:C,3,FALSE),Employee!A:B,2,FALSE),"Not Specified")</f>
        <v>Ms. Maria Cameron</v>
      </c>
      <c r="I1616" t="str">
        <f>IFERROR(VLOOKUP(VLOOKUP(A1616,'Sales Order'!A:C,3,FALSE),Employee!A:J,10,FALSE),"Not Specified")</f>
        <v>WA</v>
      </c>
      <c r="J1616" t="str">
        <f>VLOOKUP(B1616,Product!A:B,2,FALSE)</f>
        <v>Product QMVUN</v>
      </c>
      <c r="K1616" t="str">
        <f>VLOOKUP(VLOOKUP(B1616,Product!A:D,4,FALSE),Category!A:B,2,FALSE)</f>
        <v>Dairy Product</v>
      </c>
      <c r="L1616" s="24">
        <f>IFERROR(VLOOKUP(A1616,'Sales Order'!A:D,4,FALSE),"")</f>
        <v>39477</v>
      </c>
      <c r="M1616" s="24">
        <f>IFERROR(VLOOKUP(A1616,'Sales Order'!A:F,6,FALSE),"")</f>
        <v>39480</v>
      </c>
      <c r="N1616" t="str">
        <f>IFERROR(VLOOKUP(VLOOKUP(A1616,'Sales Order'!A:G,7,FALSE),Shipper!A:B,2,FALSE),"Not Specified")</f>
        <v>Shipper ETYNR</v>
      </c>
      <c r="O1616" t="str">
        <f>IFERROR(VLOOKUP(A1616,'Sales Order'!A:I,9,FALSE),"Not Specified")</f>
        <v>Ship to 44-C</v>
      </c>
      <c r="P1616" t="str">
        <f>IFERROR(VLOOKUP(A1616,'Sales Order'!A:N,14,FALSE),"Not Specified")</f>
        <v>Germany</v>
      </c>
      <c r="Q1616" t="str">
        <f>VLOOKUP(VLOOKUP(B1616,Product!A:C,3,FALSE),Supplier!A:B,2,FALSE)</f>
        <v>Supplier EQPNC</v>
      </c>
      <c r="R1616" t="str">
        <f>VLOOKUP(VLOOKUP(B1616,Product!A:C,3,FALSE),Supplier!A:I,9,FALSE)</f>
        <v>Spain</v>
      </c>
      <c r="S1616" t="str">
        <f>IFERROR(IF(VLOOKUP(A1616,'Sales Order'!A:H,8,FALSE)&gt;100,"High Freight","Low Freight"),"Not Specified")</f>
        <v>Low Freight</v>
      </c>
      <c r="T1616">
        <f t="shared" si="51"/>
        <v>525</v>
      </c>
    </row>
    <row r="1617" spans="1:20">
      <c r="A1617" s="9">
        <v>10862</v>
      </c>
      <c r="B1617" s="6">
        <v>52</v>
      </c>
      <c r="C1617" s="6">
        <v>7</v>
      </c>
      <c r="D1617" s="6">
        <v>8</v>
      </c>
      <c r="E1617" s="18">
        <v>0</v>
      </c>
      <c r="F1617" s="6" t="str">
        <f>IFERROR(VLOOKUP(VLOOKUP(A1617,'Sales Order'!A:B,2,FALSE),Customer!A:C,3,FALSE),"Not Specified")</f>
        <v>Louverdis, George</v>
      </c>
      <c r="G1617" s="6" t="str">
        <f t="shared" si="50"/>
        <v>Louverdis George</v>
      </c>
      <c r="H1617" s="22" t="str">
        <f>IFERROR(VLOOKUP(VLOOKUP(A1617,'Sales Order'!A:C,3,FALSE),Employee!A:E,5,FALSE)&amp;" "&amp;VLOOKUP(VLOOKUP(A1617,'Sales Order'!A:C,3,FALSE),Employee!A:C,3,FALSE)&amp;" "&amp;VLOOKUP(VLOOKUP(A1617,'Sales Order'!A:C,3,FALSE),Employee!A:B,2,FALSE),"Not Specified")</f>
        <v>Ms. Maria Cameron</v>
      </c>
      <c r="I1617" t="str">
        <f>IFERROR(VLOOKUP(VLOOKUP(A1617,'Sales Order'!A:C,3,FALSE),Employee!A:J,10,FALSE),"Not Specified")</f>
        <v>WA</v>
      </c>
      <c r="J1617" t="str">
        <f>VLOOKUP(B1617,Product!A:B,2,FALSE)</f>
        <v>Product QSRXF</v>
      </c>
      <c r="K1617" t="str">
        <f>VLOOKUP(VLOOKUP(B1617,Product!A:D,4,FALSE),Category!A:B,2,FALSE)</f>
        <v>Grains/Cereals</v>
      </c>
      <c r="L1617" s="24">
        <f>IFERROR(VLOOKUP(A1617,'Sales Order'!A:D,4,FALSE),"")</f>
        <v>39477</v>
      </c>
      <c r="M1617" s="24">
        <f>IFERROR(VLOOKUP(A1617,'Sales Order'!A:F,6,FALSE),"")</f>
        <v>39480</v>
      </c>
      <c r="N1617" t="str">
        <f>IFERROR(VLOOKUP(VLOOKUP(A1617,'Sales Order'!A:G,7,FALSE),Shipper!A:B,2,FALSE),"Not Specified")</f>
        <v>Shipper ETYNR</v>
      </c>
      <c r="O1617" t="str">
        <f>IFERROR(VLOOKUP(A1617,'Sales Order'!A:I,9,FALSE),"Not Specified")</f>
        <v>Ship to 44-C</v>
      </c>
      <c r="P1617" t="str">
        <f>IFERROR(VLOOKUP(A1617,'Sales Order'!A:N,14,FALSE),"Not Specified")</f>
        <v>Germany</v>
      </c>
      <c r="Q1617" t="str">
        <f>VLOOKUP(VLOOKUP(B1617,Product!A:C,3,FALSE),Supplier!A:B,2,FALSE)</f>
        <v>Supplier JNNES</v>
      </c>
      <c r="R1617" t="str">
        <f>VLOOKUP(VLOOKUP(B1617,Product!A:C,3,FALSE),Supplier!A:I,9,FALSE)</f>
        <v>Australia</v>
      </c>
      <c r="S1617" t="str">
        <f>IFERROR(IF(VLOOKUP(A1617,'Sales Order'!A:H,8,FALSE)&gt;100,"High Freight","Low Freight"),"Not Specified")</f>
        <v>Low Freight</v>
      </c>
      <c r="T1617">
        <f t="shared" si="51"/>
        <v>56</v>
      </c>
    </row>
    <row r="1618" spans="1:20">
      <c r="A1618" s="9">
        <v>10863</v>
      </c>
      <c r="B1618" s="6">
        <v>1</v>
      </c>
      <c r="C1618" s="6">
        <v>18</v>
      </c>
      <c r="D1618" s="6">
        <v>20</v>
      </c>
      <c r="E1618" s="18">
        <v>0.15</v>
      </c>
      <c r="F1618" s="6" t="str">
        <f>IFERROR(VLOOKUP(VLOOKUP(A1618,'Sales Order'!A:B,2,FALSE),Customer!A:C,3,FALSE),"Not Specified")</f>
        <v>Langohr, Kris</v>
      </c>
      <c r="G1618" s="6" t="str">
        <f t="shared" si="50"/>
        <v>Langohr Kris</v>
      </c>
      <c r="H1618" s="22" t="str">
        <f>IFERROR(VLOOKUP(VLOOKUP(A1618,'Sales Order'!A:C,3,FALSE),Employee!A:E,5,FALSE)&amp;" "&amp;VLOOKUP(VLOOKUP(A1618,'Sales Order'!A:C,3,FALSE),Employee!A:C,3,FALSE)&amp;" "&amp;VLOOKUP(VLOOKUP(A1618,'Sales Order'!A:C,3,FALSE),Employee!A:B,2,FALSE),"Not Specified")</f>
        <v>Mrs. Yael Peled</v>
      </c>
      <c r="I1618" t="str">
        <f>IFERROR(VLOOKUP(VLOOKUP(A1618,'Sales Order'!A:C,3,FALSE),Employee!A:J,10,FALSE),"Not Specified")</f>
        <v>WA</v>
      </c>
      <c r="J1618" t="str">
        <f>VLOOKUP(B1618,Product!A:B,2,FALSE)</f>
        <v>Product HHYDP</v>
      </c>
      <c r="K1618" t="str">
        <f>VLOOKUP(VLOOKUP(B1618,Product!A:D,4,FALSE),Category!A:B,2,FALSE)</f>
        <v>Beverages</v>
      </c>
      <c r="L1618" s="24">
        <f>IFERROR(VLOOKUP(A1618,'Sales Order'!A:D,4,FALSE),"")</f>
        <v>39480</v>
      </c>
      <c r="M1618" s="24">
        <f>IFERROR(VLOOKUP(A1618,'Sales Order'!A:F,6,FALSE),"")</f>
        <v>39495</v>
      </c>
      <c r="N1618" t="str">
        <f>IFERROR(VLOOKUP(VLOOKUP(A1618,'Sales Order'!A:G,7,FALSE),Shipper!A:B,2,FALSE),"Not Specified")</f>
        <v>Shipper ETYNR</v>
      </c>
      <c r="O1618" t="str">
        <f>IFERROR(VLOOKUP(A1618,'Sales Order'!A:I,9,FALSE),"Not Specified")</f>
        <v>Destination UOUWK</v>
      </c>
      <c r="P1618" t="str">
        <f>IFERROR(VLOOKUP(A1618,'Sales Order'!A:N,14,FALSE),"Not Specified")</f>
        <v>Venezuela</v>
      </c>
      <c r="Q1618" t="str">
        <f>VLOOKUP(VLOOKUP(B1618,Product!A:C,3,FALSE),Supplier!A:B,2,FALSE)</f>
        <v>Supplier SWRXU</v>
      </c>
      <c r="R1618" t="str">
        <f>VLOOKUP(VLOOKUP(B1618,Product!A:C,3,FALSE),Supplier!A:I,9,FALSE)</f>
        <v>UK</v>
      </c>
      <c r="S1618" t="str">
        <f>IFERROR(IF(VLOOKUP(A1618,'Sales Order'!A:H,8,FALSE)&gt;100,"High Freight","Low Freight"),"Not Specified")</f>
        <v>Low Freight</v>
      </c>
      <c r="T1618">
        <f t="shared" si="51"/>
        <v>306</v>
      </c>
    </row>
    <row r="1619" spans="1:20">
      <c r="A1619" s="9">
        <v>10863</v>
      </c>
      <c r="B1619" s="6">
        <v>58</v>
      </c>
      <c r="C1619" s="6">
        <v>13.25</v>
      </c>
      <c r="D1619" s="6">
        <v>12</v>
      </c>
      <c r="E1619" s="18">
        <v>0.15</v>
      </c>
      <c r="F1619" s="6" t="str">
        <f>IFERROR(VLOOKUP(VLOOKUP(A1619,'Sales Order'!A:B,2,FALSE),Customer!A:C,3,FALSE),"Not Specified")</f>
        <v>Langohr, Kris</v>
      </c>
      <c r="G1619" s="6" t="str">
        <f t="shared" si="50"/>
        <v>Langohr Kris</v>
      </c>
      <c r="H1619" s="22" t="str">
        <f>IFERROR(VLOOKUP(VLOOKUP(A1619,'Sales Order'!A:C,3,FALSE),Employee!A:E,5,FALSE)&amp;" "&amp;VLOOKUP(VLOOKUP(A1619,'Sales Order'!A:C,3,FALSE),Employee!A:C,3,FALSE)&amp;" "&amp;VLOOKUP(VLOOKUP(A1619,'Sales Order'!A:C,3,FALSE),Employee!A:B,2,FALSE),"Not Specified")</f>
        <v>Mrs. Yael Peled</v>
      </c>
      <c r="I1619" t="str">
        <f>IFERROR(VLOOKUP(VLOOKUP(A1619,'Sales Order'!A:C,3,FALSE),Employee!A:J,10,FALSE),"Not Specified")</f>
        <v>WA</v>
      </c>
      <c r="J1619" t="str">
        <f>VLOOKUP(B1619,Product!A:B,2,FALSE)</f>
        <v>Product ACRVI</v>
      </c>
      <c r="K1619" t="str">
        <f>VLOOKUP(VLOOKUP(B1619,Product!A:D,4,FALSE),Category!A:B,2,FALSE)</f>
        <v>Seafood</v>
      </c>
      <c r="L1619" s="24">
        <f>IFERROR(VLOOKUP(A1619,'Sales Order'!A:D,4,FALSE),"")</f>
        <v>39480</v>
      </c>
      <c r="M1619" s="24">
        <f>IFERROR(VLOOKUP(A1619,'Sales Order'!A:F,6,FALSE),"")</f>
        <v>39495</v>
      </c>
      <c r="N1619" t="str">
        <f>IFERROR(VLOOKUP(VLOOKUP(A1619,'Sales Order'!A:G,7,FALSE),Shipper!A:B,2,FALSE),"Not Specified")</f>
        <v>Shipper ETYNR</v>
      </c>
      <c r="O1619" t="str">
        <f>IFERROR(VLOOKUP(A1619,'Sales Order'!A:I,9,FALSE),"Not Specified")</f>
        <v>Destination UOUWK</v>
      </c>
      <c r="P1619" t="str">
        <f>IFERROR(VLOOKUP(A1619,'Sales Order'!A:N,14,FALSE),"Not Specified")</f>
        <v>Venezuela</v>
      </c>
      <c r="Q1619" t="str">
        <f>VLOOKUP(VLOOKUP(B1619,Product!A:C,3,FALSE),Supplier!A:B,2,FALSE)</f>
        <v>Supplier ZRYDZ</v>
      </c>
      <c r="R1619" t="str">
        <f>VLOOKUP(VLOOKUP(B1619,Product!A:C,3,FALSE),Supplier!A:I,9,FALSE)</f>
        <v>France</v>
      </c>
      <c r="S1619" t="str">
        <f>IFERROR(IF(VLOOKUP(A1619,'Sales Order'!A:H,8,FALSE)&gt;100,"High Freight","Low Freight"),"Not Specified")</f>
        <v>Low Freight</v>
      </c>
      <c r="T1619">
        <f t="shared" si="51"/>
        <v>135.15</v>
      </c>
    </row>
    <row r="1620" spans="1:20">
      <c r="A1620" s="9">
        <v>10864</v>
      </c>
      <c r="B1620" s="6">
        <v>35</v>
      </c>
      <c r="C1620" s="6">
        <v>18</v>
      </c>
      <c r="D1620" s="6">
        <v>4</v>
      </c>
      <c r="E1620" s="18">
        <v>0</v>
      </c>
      <c r="F1620" s="6" t="str">
        <f>IFERROR(VLOOKUP(VLOOKUP(A1620,'Sales Order'!A:B,2,FALSE),Customer!A:C,3,FALSE),"Not Specified")</f>
        <v>Arndt, Torsten</v>
      </c>
      <c r="G1620" s="6" t="str">
        <f t="shared" si="50"/>
        <v>Arndt Torsten</v>
      </c>
      <c r="H1620" s="22" t="str">
        <f>IFERROR(VLOOKUP(VLOOKUP(A1620,'Sales Order'!A:C,3,FALSE),Employee!A:E,5,FALSE)&amp;" "&amp;VLOOKUP(VLOOKUP(A1620,'Sales Order'!A:C,3,FALSE),Employee!A:C,3,FALSE)&amp;" "&amp;VLOOKUP(VLOOKUP(A1620,'Sales Order'!A:C,3,FALSE),Employee!A:B,2,FALSE),"Not Specified")</f>
        <v>Mrs. Yael Peled</v>
      </c>
      <c r="I1620" t="str">
        <f>IFERROR(VLOOKUP(VLOOKUP(A1620,'Sales Order'!A:C,3,FALSE),Employee!A:J,10,FALSE),"Not Specified")</f>
        <v>WA</v>
      </c>
      <c r="J1620" t="str">
        <f>VLOOKUP(B1620,Product!A:B,2,FALSE)</f>
        <v>Product NEVTJ</v>
      </c>
      <c r="K1620" t="str">
        <f>VLOOKUP(VLOOKUP(B1620,Product!A:D,4,FALSE),Category!A:B,2,FALSE)</f>
        <v>Beverages</v>
      </c>
      <c r="L1620" s="24">
        <f>IFERROR(VLOOKUP(A1620,'Sales Order'!A:D,4,FALSE),"")</f>
        <v>39480</v>
      </c>
      <c r="M1620" s="24">
        <f>IFERROR(VLOOKUP(A1620,'Sales Order'!A:F,6,FALSE),"")</f>
        <v>39487</v>
      </c>
      <c r="N1620" t="str">
        <f>IFERROR(VLOOKUP(VLOOKUP(A1620,'Sales Order'!A:G,7,FALSE),Shipper!A:B,2,FALSE),"Not Specified")</f>
        <v>Shipper ETYNR</v>
      </c>
      <c r="O1620" t="str">
        <f>IFERROR(VLOOKUP(A1620,'Sales Order'!A:I,9,FALSE),"Not Specified")</f>
        <v>Ship to 4-C</v>
      </c>
      <c r="P1620" t="str">
        <f>IFERROR(VLOOKUP(A1620,'Sales Order'!A:N,14,FALSE),"Not Specified")</f>
        <v>UK</v>
      </c>
      <c r="Q1620" t="str">
        <f>VLOOKUP(VLOOKUP(B1620,Product!A:C,3,FALSE),Supplier!A:B,2,FALSE)</f>
        <v>Supplier UHZRG</v>
      </c>
      <c r="R1620" t="str">
        <f>VLOOKUP(VLOOKUP(B1620,Product!A:C,3,FALSE),Supplier!A:I,9,FALSE)</f>
        <v>USA</v>
      </c>
      <c r="S1620" t="str">
        <f>IFERROR(IF(VLOOKUP(A1620,'Sales Order'!A:H,8,FALSE)&gt;100,"High Freight","Low Freight"),"Not Specified")</f>
        <v>Low Freight</v>
      </c>
      <c r="T1620">
        <f t="shared" si="51"/>
        <v>72</v>
      </c>
    </row>
    <row r="1621" spans="1:20">
      <c r="A1621" s="9">
        <v>10864</v>
      </c>
      <c r="B1621" s="6">
        <v>67</v>
      </c>
      <c r="C1621" s="6">
        <v>14</v>
      </c>
      <c r="D1621" s="6">
        <v>15</v>
      </c>
      <c r="E1621" s="18">
        <v>0</v>
      </c>
      <c r="F1621" s="6" t="str">
        <f>IFERROR(VLOOKUP(VLOOKUP(A1621,'Sales Order'!A:B,2,FALSE),Customer!A:C,3,FALSE),"Not Specified")</f>
        <v>Arndt, Torsten</v>
      </c>
      <c r="G1621" s="6" t="str">
        <f t="shared" si="50"/>
        <v>Arndt Torsten</v>
      </c>
      <c r="H1621" s="22" t="str">
        <f>IFERROR(VLOOKUP(VLOOKUP(A1621,'Sales Order'!A:C,3,FALSE),Employee!A:E,5,FALSE)&amp;" "&amp;VLOOKUP(VLOOKUP(A1621,'Sales Order'!A:C,3,FALSE),Employee!A:C,3,FALSE)&amp;" "&amp;VLOOKUP(VLOOKUP(A1621,'Sales Order'!A:C,3,FALSE),Employee!A:B,2,FALSE),"Not Specified")</f>
        <v>Mrs. Yael Peled</v>
      </c>
      <c r="I1621" t="str">
        <f>IFERROR(VLOOKUP(VLOOKUP(A1621,'Sales Order'!A:C,3,FALSE),Employee!A:J,10,FALSE),"Not Specified")</f>
        <v>WA</v>
      </c>
      <c r="J1621" t="str">
        <f>VLOOKUP(B1621,Product!A:B,2,FALSE)</f>
        <v>Product XLXQF</v>
      </c>
      <c r="K1621" t="str">
        <f>VLOOKUP(VLOOKUP(B1621,Product!A:D,4,FALSE),Category!A:B,2,FALSE)</f>
        <v>Beverages</v>
      </c>
      <c r="L1621" s="24">
        <f>IFERROR(VLOOKUP(A1621,'Sales Order'!A:D,4,FALSE),"")</f>
        <v>39480</v>
      </c>
      <c r="M1621" s="24">
        <f>IFERROR(VLOOKUP(A1621,'Sales Order'!A:F,6,FALSE),"")</f>
        <v>39487</v>
      </c>
      <c r="N1621" t="str">
        <f>IFERROR(VLOOKUP(VLOOKUP(A1621,'Sales Order'!A:G,7,FALSE),Shipper!A:B,2,FALSE),"Not Specified")</f>
        <v>Shipper ETYNR</v>
      </c>
      <c r="O1621" t="str">
        <f>IFERROR(VLOOKUP(A1621,'Sales Order'!A:I,9,FALSE),"Not Specified")</f>
        <v>Ship to 4-C</v>
      </c>
      <c r="P1621" t="str">
        <f>IFERROR(VLOOKUP(A1621,'Sales Order'!A:N,14,FALSE),"Not Specified")</f>
        <v>UK</v>
      </c>
      <c r="Q1621" t="str">
        <f>VLOOKUP(VLOOKUP(B1621,Product!A:C,3,FALSE),Supplier!A:B,2,FALSE)</f>
        <v>Supplier UHZRG</v>
      </c>
      <c r="R1621" t="str">
        <f>VLOOKUP(VLOOKUP(B1621,Product!A:C,3,FALSE),Supplier!A:I,9,FALSE)</f>
        <v>USA</v>
      </c>
      <c r="S1621" t="str">
        <f>IFERROR(IF(VLOOKUP(A1621,'Sales Order'!A:H,8,FALSE)&gt;100,"High Freight","Low Freight"),"Not Specified")</f>
        <v>Low Freight</v>
      </c>
      <c r="T1621">
        <f t="shared" si="51"/>
        <v>210</v>
      </c>
    </row>
    <row r="1622" spans="1:20">
      <c r="A1622" s="9">
        <v>10865</v>
      </c>
      <c r="B1622" s="6">
        <v>38</v>
      </c>
      <c r="C1622" s="6">
        <v>263.5</v>
      </c>
      <c r="D1622" s="6">
        <v>60</v>
      </c>
      <c r="E1622" s="18">
        <v>0.05</v>
      </c>
      <c r="F1622" s="6" t="str">
        <f>IFERROR(VLOOKUP(VLOOKUP(A1622,'Sales Order'!A:B,2,FALSE),Customer!A:C,3,FALSE),"Not Specified")</f>
        <v>Veronesi, Giorgio</v>
      </c>
      <c r="G1622" s="6" t="str">
        <f t="shared" si="50"/>
        <v>Veronesi Giorgio</v>
      </c>
      <c r="H1622" s="22" t="str">
        <f>IFERROR(VLOOKUP(VLOOKUP(A1622,'Sales Order'!A:C,3,FALSE),Employee!A:E,5,FALSE)&amp;" "&amp;VLOOKUP(VLOOKUP(A1622,'Sales Order'!A:C,3,FALSE),Employee!A:C,3,FALSE)&amp;" "&amp;VLOOKUP(VLOOKUP(A1622,'Sales Order'!A:C,3,FALSE),Employee!A:B,2,FALSE),"Not Specified")</f>
        <v>Dr. Don Funk</v>
      </c>
      <c r="I1622" t="str">
        <f>IFERROR(VLOOKUP(VLOOKUP(A1622,'Sales Order'!A:C,3,FALSE),Employee!A:J,10,FALSE),"Not Specified")</f>
        <v>WA</v>
      </c>
      <c r="J1622" t="str">
        <f>VLOOKUP(B1622,Product!A:B,2,FALSE)</f>
        <v>Product QDOMO</v>
      </c>
      <c r="K1622" t="str">
        <f>VLOOKUP(VLOOKUP(B1622,Product!A:D,4,FALSE),Category!A:B,2,FALSE)</f>
        <v>Beverages</v>
      </c>
      <c r="L1622" s="24">
        <f>IFERROR(VLOOKUP(A1622,'Sales Order'!A:D,4,FALSE),"")</f>
        <v>39480</v>
      </c>
      <c r="M1622" s="24">
        <f>IFERROR(VLOOKUP(A1622,'Sales Order'!A:F,6,FALSE),"")</f>
        <v>39490</v>
      </c>
      <c r="N1622" t="str">
        <f>IFERROR(VLOOKUP(VLOOKUP(A1622,'Sales Order'!A:G,7,FALSE),Shipper!A:B,2,FALSE),"Not Specified")</f>
        <v>Shipper GVSUA</v>
      </c>
      <c r="O1622" t="str">
        <f>IFERROR(VLOOKUP(A1622,'Sales Order'!A:I,9,FALSE),"Not Specified")</f>
        <v>Ship to 63-A</v>
      </c>
      <c r="P1622" t="str">
        <f>IFERROR(VLOOKUP(A1622,'Sales Order'!A:N,14,FALSE),"Not Specified")</f>
        <v>Germany</v>
      </c>
      <c r="Q1622" t="str">
        <f>VLOOKUP(VLOOKUP(B1622,Product!A:C,3,FALSE),Supplier!A:B,2,FALSE)</f>
        <v>Supplier LVJUA</v>
      </c>
      <c r="R1622" t="str">
        <f>VLOOKUP(VLOOKUP(B1622,Product!A:C,3,FALSE),Supplier!A:I,9,FALSE)</f>
        <v>France</v>
      </c>
      <c r="S1622" t="str">
        <f>IFERROR(IF(VLOOKUP(A1622,'Sales Order'!A:H,8,FALSE)&gt;100,"High Freight","Low Freight"),"Not Specified")</f>
        <v>High Freight</v>
      </c>
      <c r="T1622">
        <f t="shared" si="51"/>
        <v>15019.5</v>
      </c>
    </row>
    <row r="1623" spans="1:20">
      <c r="A1623" s="9">
        <v>10865</v>
      </c>
      <c r="B1623" s="6">
        <v>39</v>
      </c>
      <c r="C1623" s="6">
        <v>18</v>
      </c>
      <c r="D1623" s="6">
        <v>80</v>
      </c>
      <c r="E1623" s="18">
        <v>0.05</v>
      </c>
      <c r="F1623" s="6" t="str">
        <f>IFERROR(VLOOKUP(VLOOKUP(A1623,'Sales Order'!A:B,2,FALSE),Customer!A:C,3,FALSE),"Not Specified")</f>
        <v>Veronesi, Giorgio</v>
      </c>
      <c r="G1623" s="6" t="str">
        <f t="shared" si="50"/>
        <v>Veronesi Giorgio</v>
      </c>
      <c r="H1623" s="22" t="str">
        <f>IFERROR(VLOOKUP(VLOOKUP(A1623,'Sales Order'!A:C,3,FALSE),Employee!A:E,5,FALSE)&amp;" "&amp;VLOOKUP(VLOOKUP(A1623,'Sales Order'!A:C,3,FALSE),Employee!A:C,3,FALSE)&amp;" "&amp;VLOOKUP(VLOOKUP(A1623,'Sales Order'!A:C,3,FALSE),Employee!A:B,2,FALSE),"Not Specified")</f>
        <v>Dr. Don Funk</v>
      </c>
      <c r="I1623" t="str">
        <f>IFERROR(VLOOKUP(VLOOKUP(A1623,'Sales Order'!A:C,3,FALSE),Employee!A:J,10,FALSE),"Not Specified")</f>
        <v>WA</v>
      </c>
      <c r="J1623" t="str">
        <f>VLOOKUP(B1623,Product!A:B,2,FALSE)</f>
        <v>Product LSOFL</v>
      </c>
      <c r="K1623" t="str">
        <f>VLOOKUP(VLOOKUP(B1623,Product!A:D,4,FALSE),Category!A:B,2,FALSE)</f>
        <v>Beverages</v>
      </c>
      <c r="L1623" s="24">
        <f>IFERROR(VLOOKUP(A1623,'Sales Order'!A:D,4,FALSE),"")</f>
        <v>39480</v>
      </c>
      <c r="M1623" s="24">
        <f>IFERROR(VLOOKUP(A1623,'Sales Order'!A:F,6,FALSE),"")</f>
        <v>39490</v>
      </c>
      <c r="N1623" t="str">
        <f>IFERROR(VLOOKUP(VLOOKUP(A1623,'Sales Order'!A:G,7,FALSE),Shipper!A:B,2,FALSE),"Not Specified")</f>
        <v>Shipper GVSUA</v>
      </c>
      <c r="O1623" t="str">
        <f>IFERROR(VLOOKUP(A1623,'Sales Order'!A:I,9,FALSE),"Not Specified")</f>
        <v>Ship to 63-A</v>
      </c>
      <c r="P1623" t="str">
        <f>IFERROR(VLOOKUP(A1623,'Sales Order'!A:N,14,FALSE),"Not Specified")</f>
        <v>Germany</v>
      </c>
      <c r="Q1623" t="str">
        <f>VLOOKUP(VLOOKUP(B1623,Product!A:C,3,FALSE),Supplier!A:B,2,FALSE)</f>
        <v>Supplier LVJUA</v>
      </c>
      <c r="R1623" t="str">
        <f>VLOOKUP(VLOOKUP(B1623,Product!A:C,3,FALSE),Supplier!A:I,9,FALSE)</f>
        <v>France</v>
      </c>
      <c r="S1623" t="str">
        <f>IFERROR(IF(VLOOKUP(A1623,'Sales Order'!A:H,8,FALSE)&gt;100,"High Freight","Low Freight"),"Not Specified")</f>
        <v>High Freight</v>
      </c>
      <c r="T1623">
        <f t="shared" si="51"/>
        <v>1368</v>
      </c>
    </row>
    <row r="1624" spans="1:20">
      <c r="A1624" s="9">
        <v>10866</v>
      </c>
      <c r="B1624" s="6">
        <v>2</v>
      </c>
      <c r="C1624" s="6">
        <v>19</v>
      </c>
      <c r="D1624" s="6">
        <v>21</v>
      </c>
      <c r="E1624" s="18">
        <v>0.25</v>
      </c>
      <c r="F1624" s="6" t="str">
        <f>IFERROR(VLOOKUP(VLOOKUP(A1624,'Sales Order'!A:B,2,FALSE),Customer!A:C,3,FALSE),"Not Specified")</f>
        <v>Higginbotham, Tom</v>
      </c>
      <c r="G1624" s="6" t="str">
        <f t="shared" si="50"/>
        <v>Higginbotham Tom</v>
      </c>
      <c r="H1624" s="22" t="str">
        <f>IFERROR(VLOOKUP(VLOOKUP(A1624,'Sales Order'!A:C,3,FALSE),Employee!A:E,5,FALSE)&amp;" "&amp;VLOOKUP(VLOOKUP(A1624,'Sales Order'!A:C,3,FALSE),Employee!A:C,3,FALSE)&amp;" "&amp;VLOOKUP(VLOOKUP(A1624,'Sales Order'!A:C,3,FALSE),Employee!A:B,2,FALSE),"Not Specified")</f>
        <v>Mr. Sven Buck</v>
      </c>
      <c r="I1624">
        <f>IFERROR(VLOOKUP(VLOOKUP(A1624,'Sales Order'!A:C,3,FALSE),Employee!A:J,10,FALSE),"Not Specified")</f>
        <v>0</v>
      </c>
      <c r="J1624" t="str">
        <f>VLOOKUP(B1624,Product!A:B,2,FALSE)</f>
        <v>Product RECZE</v>
      </c>
      <c r="K1624" t="str">
        <f>VLOOKUP(VLOOKUP(B1624,Product!A:D,4,FALSE),Category!A:B,2,FALSE)</f>
        <v>Beverages</v>
      </c>
      <c r="L1624" s="24">
        <f>IFERROR(VLOOKUP(A1624,'Sales Order'!A:D,4,FALSE),"")</f>
        <v>39481</v>
      </c>
      <c r="M1624" s="24">
        <f>IFERROR(VLOOKUP(A1624,'Sales Order'!A:F,6,FALSE),"")</f>
        <v>39490</v>
      </c>
      <c r="N1624" t="str">
        <f>IFERROR(VLOOKUP(VLOOKUP(A1624,'Sales Order'!A:G,7,FALSE),Shipper!A:B,2,FALSE),"Not Specified")</f>
        <v>Shipper GVSUA</v>
      </c>
      <c r="O1624" t="str">
        <f>IFERROR(VLOOKUP(A1624,'Sales Order'!A:I,9,FALSE),"Not Specified")</f>
        <v>Ship to 5-B</v>
      </c>
      <c r="P1624" t="str">
        <f>IFERROR(VLOOKUP(A1624,'Sales Order'!A:N,14,FALSE),"Not Specified")</f>
        <v>Sweden</v>
      </c>
      <c r="Q1624" t="str">
        <f>VLOOKUP(VLOOKUP(B1624,Product!A:C,3,FALSE),Supplier!A:B,2,FALSE)</f>
        <v>Supplier SWRXU</v>
      </c>
      <c r="R1624" t="str">
        <f>VLOOKUP(VLOOKUP(B1624,Product!A:C,3,FALSE),Supplier!A:I,9,FALSE)</f>
        <v>UK</v>
      </c>
      <c r="S1624" t="str">
        <f>IFERROR(IF(VLOOKUP(A1624,'Sales Order'!A:H,8,FALSE)&gt;100,"High Freight","Low Freight"),"Not Specified")</f>
        <v>High Freight</v>
      </c>
      <c r="T1624">
        <f t="shared" si="51"/>
        <v>299.25</v>
      </c>
    </row>
    <row r="1625" spans="1:20">
      <c r="A1625" s="9">
        <v>10866</v>
      </c>
      <c r="B1625" s="6">
        <v>24</v>
      </c>
      <c r="C1625" s="6">
        <v>4.5</v>
      </c>
      <c r="D1625" s="6">
        <v>6</v>
      </c>
      <c r="E1625" s="18">
        <v>0.25</v>
      </c>
      <c r="F1625" s="6" t="str">
        <f>IFERROR(VLOOKUP(VLOOKUP(A1625,'Sales Order'!A:B,2,FALSE),Customer!A:C,3,FALSE),"Not Specified")</f>
        <v>Higginbotham, Tom</v>
      </c>
      <c r="G1625" s="6" t="str">
        <f t="shared" si="50"/>
        <v>Higginbotham Tom</v>
      </c>
      <c r="H1625" s="22" t="str">
        <f>IFERROR(VLOOKUP(VLOOKUP(A1625,'Sales Order'!A:C,3,FALSE),Employee!A:E,5,FALSE)&amp;" "&amp;VLOOKUP(VLOOKUP(A1625,'Sales Order'!A:C,3,FALSE),Employee!A:C,3,FALSE)&amp;" "&amp;VLOOKUP(VLOOKUP(A1625,'Sales Order'!A:C,3,FALSE),Employee!A:B,2,FALSE),"Not Specified")</f>
        <v>Mr. Sven Buck</v>
      </c>
      <c r="I1625">
        <f>IFERROR(VLOOKUP(VLOOKUP(A1625,'Sales Order'!A:C,3,FALSE),Employee!A:J,10,FALSE),"Not Specified")</f>
        <v>0</v>
      </c>
      <c r="J1625" t="str">
        <f>VLOOKUP(B1625,Product!A:B,2,FALSE)</f>
        <v>Product QOGNU</v>
      </c>
      <c r="K1625" t="str">
        <f>VLOOKUP(VLOOKUP(B1625,Product!A:D,4,FALSE),Category!A:B,2,FALSE)</f>
        <v>Beverages</v>
      </c>
      <c r="L1625" s="24">
        <f>IFERROR(VLOOKUP(A1625,'Sales Order'!A:D,4,FALSE),"")</f>
        <v>39481</v>
      </c>
      <c r="M1625" s="24">
        <f>IFERROR(VLOOKUP(A1625,'Sales Order'!A:F,6,FALSE),"")</f>
        <v>39490</v>
      </c>
      <c r="N1625" t="str">
        <f>IFERROR(VLOOKUP(VLOOKUP(A1625,'Sales Order'!A:G,7,FALSE),Shipper!A:B,2,FALSE),"Not Specified")</f>
        <v>Shipper GVSUA</v>
      </c>
      <c r="O1625" t="str">
        <f>IFERROR(VLOOKUP(A1625,'Sales Order'!A:I,9,FALSE),"Not Specified")</f>
        <v>Ship to 5-B</v>
      </c>
      <c r="P1625" t="str">
        <f>IFERROR(VLOOKUP(A1625,'Sales Order'!A:N,14,FALSE),"Not Specified")</f>
        <v>Sweden</v>
      </c>
      <c r="Q1625" t="str">
        <f>VLOOKUP(VLOOKUP(B1625,Product!A:C,3,FALSE),Supplier!A:B,2,FALSE)</f>
        <v>Supplier UNAHG</v>
      </c>
      <c r="R1625" t="str">
        <f>VLOOKUP(VLOOKUP(B1625,Product!A:C,3,FALSE),Supplier!A:I,9,FALSE)</f>
        <v>Brazil</v>
      </c>
      <c r="S1625" t="str">
        <f>IFERROR(IF(VLOOKUP(A1625,'Sales Order'!A:H,8,FALSE)&gt;100,"High Freight","Low Freight"),"Not Specified")</f>
        <v>High Freight</v>
      </c>
      <c r="T1625">
        <f t="shared" si="51"/>
        <v>20.25</v>
      </c>
    </row>
    <row r="1626" spans="1:20">
      <c r="A1626" s="9">
        <v>10866</v>
      </c>
      <c r="B1626" s="6">
        <v>30</v>
      </c>
      <c r="C1626" s="6">
        <v>25.89</v>
      </c>
      <c r="D1626" s="6">
        <v>40</v>
      </c>
      <c r="E1626" s="18">
        <v>0.25</v>
      </c>
      <c r="F1626" s="6" t="str">
        <f>IFERROR(VLOOKUP(VLOOKUP(A1626,'Sales Order'!A:B,2,FALSE),Customer!A:C,3,FALSE),"Not Specified")</f>
        <v>Higginbotham, Tom</v>
      </c>
      <c r="G1626" s="6" t="str">
        <f t="shared" si="50"/>
        <v>Higginbotham Tom</v>
      </c>
      <c r="H1626" s="22" t="str">
        <f>IFERROR(VLOOKUP(VLOOKUP(A1626,'Sales Order'!A:C,3,FALSE),Employee!A:E,5,FALSE)&amp;" "&amp;VLOOKUP(VLOOKUP(A1626,'Sales Order'!A:C,3,FALSE),Employee!A:C,3,FALSE)&amp;" "&amp;VLOOKUP(VLOOKUP(A1626,'Sales Order'!A:C,3,FALSE),Employee!A:B,2,FALSE),"Not Specified")</f>
        <v>Mr. Sven Buck</v>
      </c>
      <c r="I1626">
        <f>IFERROR(VLOOKUP(VLOOKUP(A1626,'Sales Order'!A:C,3,FALSE),Employee!A:J,10,FALSE),"Not Specified")</f>
        <v>0</v>
      </c>
      <c r="J1626" t="str">
        <f>VLOOKUP(B1626,Product!A:B,2,FALSE)</f>
        <v>Product LYERX</v>
      </c>
      <c r="K1626" t="str">
        <f>VLOOKUP(VLOOKUP(B1626,Product!A:D,4,FALSE),Category!A:B,2,FALSE)</f>
        <v>Seafood</v>
      </c>
      <c r="L1626" s="24">
        <f>IFERROR(VLOOKUP(A1626,'Sales Order'!A:D,4,FALSE),"")</f>
        <v>39481</v>
      </c>
      <c r="M1626" s="24">
        <f>IFERROR(VLOOKUP(A1626,'Sales Order'!A:F,6,FALSE),"")</f>
        <v>39490</v>
      </c>
      <c r="N1626" t="str">
        <f>IFERROR(VLOOKUP(VLOOKUP(A1626,'Sales Order'!A:G,7,FALSE),Shipper!A:B,2,FALSE),"Not Specified")</f>
        <v>Shipper GVSUA</v>
      </c>
      <c r="O1626" t="str">
        <f>IFERROR(VLOOKUP(A1626,'Sales Order'!A:I,9,FALSE),"Not Specified")</f>
        <v>Ship to 5-B</v>
      </c>
      <c r="P1626" t="str">
        <f>IFERROR(VLOOKUP(A1626,'Sales Order'!A:N,14,FALSE),"Not Specified")</f>
        <v>Sweden</v>
      </c>
      <c r="Q1626" t="str">
        <f>VLOOKUP(VLOOKUP(B1626,Product!A:C,3,FALSE),Supplier!A:B,2,FALSE)</f>
        <v>Supplier TEGSC</v>
      </c>
      <c r="R1626" t="str">
        <f>VLOOKUP(VLOOKUP(B1626,Product!A:C,3,FALSE),Supplier!A:I,9,FALSE)</f>
        <v>Germany</v>
      </c>
      <c r="S1626" t="str">
        <f>IFERROR(IF(VLOOKUP(A1626,'Sales Order'!A:H,8,FALSE)&gt;100,"High Freight","Low Freight"),"Not Specified")</f>
        <v>High Freight</v>
      </c>
      <c r="T1626">
        <f t="shared" si="51"/>
        <v>776.69999999999993</v>
      </c>
    </row>
    <row r="1627" spans="1:20">
      <c r="A1627" s="9">
        <v>10867</v>
      </c>
      <c r="B1627" s="6">
        <v>53</v>
      </c>
      <c r="C1627" s="6">
        <v>32.799999999999997</v>
      </c>
      <c r="D1627" s="6">
        <v>3</v>
      </c>
      <c r="E1627" s="18">
        <v>0</v>
      </c>
      <c r="F1627" s="6" t="str">
        <f>IFERROR(VLOOKUP(VLOOKUP(A1627,'Sales Order'!A:B,2,FALSE),Customer!A:C,3,FALSE),"Not Specified")</f>
        <v>Szymczak, Radosław</v>
      </c>
      <c r="G1627" s="6" t="str">
        <f t="shared" si="50"/>
        <v>Szymczak Radosław</v>
      </c>
      <c r="H1627" s="22" t="str">
        <f>IFERROR(VLOOKUP(VLOOKUP(A1627,'Sales Order'!A:C,3,FALSE),Employee!A:E,5,FALSE)&amp;" "&amp;VLOOKUP(VLOOKUP(A1627,'Sales Order'!A:C,3,FALSE),Employee!A:C,3,FALSE)&amp;" "&amp;VLOOKUP(VLOOKUP(A1627,'Sales Order'!A:C,3,FALSE),Employee!A:B,2,FALSE),"Not Specified")</f>
        <v>Mr. Paul Suurs</v>
      </c>
      <c r="I1627">
        <f>IFERROR(VLOOKUP(VLOOKUP(A1627,'Sales Order'!A:C,3,FALSE),Employee!A:J,10,FALSE),"Not Specified")</f>
        <v>0</v>
      </c>
      <c r="J1627" t="str">
        <f>VLOOKUP(B1627,Product!A:B,2,FALSE)</f>
        <v>Product BKGEA</v>
      </c>
      <c r="K1627" t="str">
        <f>VLOOKUP(VLOOKUP(B1627,Product!A:D,4,FALSE),Category!A:B,2,FALSE)</f>
        <v>Meat/Poultry</v>
      </c>
      <c r="L1627" s="24">
        <f>IFERROR(VLOOKUP(A1627,'Sales Order'!A:D,4,FALSE),"")</f>
        <v>39481</v>
      </c>
      <c r="M1627" s="24">
        <f>IFERROR(VLOOKUP(A1627,'Sales Order'!A:F,6,FALSE),"")</f>
        <v>39489</v>
      </c>
      <c r="N1627" t="str">
        <f>IFERROR(VLOOKUP(VLOOKUP(A1627,'Sales Order'!A:G,7,FALSE),Shipper!A:B,2,FALSE),"Not Specified")</f>
        <v>Shipper GVSUA</v>
      </c>
      <c r="O1627" t="str">
        <f>IFERROR(VLOOKUP(A1627,'Sales Order'!A:I,9,FALSE),"Not Specified")</f>
        <v>Ship to 48-B</v>
      </c>
      <c r="P1627" t="str">
        <f>IFERROR(VLOOKUP(A1627,'Sales Order'!A:N,14,FALSE),"Not Specified")</f>
        <v>USA</v>
      </c>
      <c r="Q1627" t="str">
        <f>VLOOKUP(VLOOKUP(B1627,Product!A:C,3,FALSE),Supplier!A:B,2,FALSE)</f>
        <v>Supplier JNNES</v>
      </c>
      <c r="R1627" t="str">
        <f>VLOOKUP(VLOOKUP(B1627,Product!A:C,3,FALSE),Supplier!A:I,9,FALSE)</f>
        <v>Australia</v>
      </c>
      <c r="S1627" t="str">
        <f>IFERROR(IF(VLOOKUP(A1627,'Sales Order'!A:H,8,FALSE)&gt;100,"High Freight","Low Freight"),"Not Specified")</f>
        <v>Low Freight</v>
      </c>
      <c r="T1627">
        <f t="shared" si="51"/>
        <v>98.399999999999991</v>
      </c>
    </row>
    <row r="1628" spans="1:20">
      <c r="A1628" s="9">
        <v>10868</v>
      </c>
      <c r="B1628" s="6">
        <v>26</v>
      </c>
      <c r="C1628" s="6">
        <v>31.23</v>
      </c>
      <c r="D1628" s="6">
        <v>20</v>
      </c>
      <c r="E1628" s="18">
        <v>0</v>
      </c>
      <c r="F1628" s="6" t="str">
        <f>IFERROR(VLOOKUP(VLOOKUP(A1628,'Sales Order'!A:B,2,FALSE),Customer!A:C,3,FALSE),"Not Specified")</f>
        <v>Misiec, Anna</v>
      </c>
      <c r="G1628" s="6" t="str">
        <f t="shared" si="50"/>
        <v>Misiec Anna</v>
      </c>
      <c r="H1628" s="22" t="str">
        <f>IFERROR(VLOOKUP(VLOOKUP(A1628,'Sales Order'!A:C,3,FALSE),Employee!A:E,5,FALSE)&amp;" "&amp;VLOOKUP(VLOOKUP(A1628,'Sales Order'!A:C,3,FALSE),Employee!A:C,3,FALSE)&amp;" "&amp;VLOOKUP(VLOOKUP(A1628,'Sales Order'!A:C,3,FALSE),Employee!A:B,2,FALSE),"Not Specified")</f>
        <v>Mr. Russell King</v>
      </c>
      <c r="I1628">
        <f>IFERROR(VLOOKUP(VLOOKUP(A1628,'Sales Order'!A:C,3,FALSE),Employee!A:J,10,FALSE),"Not Specified")</f>
        <v>0</v>
      </c>
      <c r="J1628" t="str">
        <f>VLOOKUP(B1628,Product!A:B,2,FALSE)</f>
        <v>Product HLGZA</v>
      </c>
      <c r="K1628" t="str">
        <f>VLOOKUP(VLOOKUP(B1628,Product!A:D,4,FALSE),Category!A:B,2,FALSE)</f>
        <v>Confections</v>
      </c>
      <c r="L1628" s="24">
        <f>IFERROR(VLOOKUP(A1628,'Sales Order'!A:D,4,FALSE),"")</f>
        <v>39482</v>
      </c>
      <c r="M1628" s="24">
        <f>IFERROR(VLOOKUP(A1628,'Sales Order'!A:F,6,FALSE),"")</f>
        <v>39501</v>
      </c>
      <c r="N1628" t="str">
        <f>IFERROR(VLOOKUP(VLOOKUP(A1628,'Sales Order'!A:G,7,FALSE),Shipper!A:B,2,FALSE),"Not Specified")</f>
        <v>Shipper ETYNR</v>
      </c>
      <c r="O1628" t="str">
        <f>IFERROR(VLOOKUP(A1628,'Sales Order'!A:I,9,FALSE),"Not Specified")</f>
        <v>Ship to 62-C</v>
      </c>
      <c r="P1628" t="str">
        <f>IFERROR(VLOOKUP(A1628,'Sales Order'!A:N,14,FALSE),"Not Specified")</f>
        <v>Brazil</v>
      </c>
      <c r="Q1628" t="str">
        <f>VLOOKUP(VLOOKUP(B1628,Product!A:C,3,FALSE),Supplier!A:B,2,FALSE)</f>
        <v>Supplier ZPYVS</v>
      </c>
      <c r="R1628" t="str">
        <f>VLOOKUP(VLOOKUP(B1628,Product!A:C,3,FALSE),Supplier!A:I,9,FALSE)</f>
        <v>Germany</v>
      </c>
      <c r="S1628" t="str">
        <f>IFERROR(IF(VLOOKUP(A1628,'Sales Order'!A:H,8,FALSE)&gt;100,"High Freight","Low Freight"),"Not Specified")</f>
        <v>High Freight</v>
      </c>
      <c r="T1628">
        <f t="shared" si="51"/>
        <v>624.6</v>
      </c>
    </row>
    <row r="1629" spans="1:20">
      <c r="A1629" s="9">
        <v>10868</v>
      </c>
      <c r="B1629" s="6">
        <v>35</v>
      </c>
      <c r="C1629" s="6">
        <v>18</v>
      </c>
      <c r="D1629" s="6">
        <v>30</v>
      </c>
      <c r="E1629" s="18">
        <v>0</v>
      </c>
      <c r="F1629" s="6" t="str">
        <f>IFERROR(VLOOKUP(VLOOKUP(A1629,'Sales Order'!A:B,2,FALSE),Customer!A:C,3,FALSE),"Not Specified")</f>
        <v>Misiec, Anna</v>
      </c>
      <c r="G1629" s="6" t="str">
        <f t="shared" si="50"/>
        <v>Misiec Anna</v>
      </c>
      <c r="H1629" s="22" t="str">
        <f>IFERROR(VLOOKUP(VLOOKUP(A1629,'Sales Order'!A:C,3,FALSE),Employee!A:E,5,FALSE)&amp;" "&amp;VLOOKUP(VLOOKUP(A1629,'Sales Order'!A:C,3,FALSE),Employee!A:C,3,FALSE)&amp;" "&amp;VLOOKUP(VLOOKUP(A1629,'Sales Order'!A:C,3,FALSE),Employee!A:B,2,FALSE),"Not Specified")</f>
        <v>Mr. Russell King</v>
      </c>
      <c r="I1629">
        <f>IFERROR(VLOOKUP(VLOOKUP(A1629,'Sales Order'!A:C,3,FALSE),Employee!A:J,10,FALSE),"Not Specified")</f>
        <v>0</v>
      </c>
      <c r="J1629" t="str">
        <f>VLOOKUP(B1629,Product!A:B,2,FALSE)</f>
        <v>Product NEVTJ</v>
      </c>
      <c r="K1629" t="str">
        <f>VLOOKUP(VLOOKUP(B1629,Product!A:D,4,FALSE),Category!A:B,2,FALSE)</f>
        <v>Beverages</v>
      </c>
      <c r="L1629" s="24">
        <f>IFERROR(VLOOKUP(A1629,'Sales Order'!A:D,4,FALSE),"")</f>
        <v>39482</v>
      </c>
      <c r="M1629" s="24">
        <f>IFERROR(VLOOKUP(A1629,'Sales Order'!A:F,6,FALSE),"")</f>
        <v>39501</v>
      </c>
      <c r="N1629" t="str">
        <f>IFERROR(VLOOKUP(VLOOKUP(A1629,'Sales Order'!A:G,7,FALSE),Shipper!A:B,2,FALSE),"Not Specified")</f>
        <v>Shipper ETYNR</v>
      </c>
      <c r="O1629" t="str">
        <f>IFERROR(VLOOKUP(A1629,'Sales Order'!A:I,9,FALSE),"Not Specified")</f>
        <v>Ship to 62-C</v>
      </c>
      <c r="P1629" t="str">
        <f>IFERROR(VLOOKUP(A1629,'Sales Order'!A:N,14,FALSE),"Not Specified")</f>
        <v>Brazil</v>
      </c>
      <c r="Q1629" t="str">
        <f>VLOOKUP(VLOOKUP(B1629,Product!A:C,3,FALSE),Supplier!A:B,2,FALSE)</f>
        <v>Supplier UHZRG</v>
      </c>
      <c r="R1629" t="str">
        <f>VLOOKUP(VLOOKUP(B1629,Product!A:C,3,FALSE),Supplier!A:I,9,FALSE)</f>
        <v>USA</v>
      </c>
      <c r="S1629" t="str">
        <f>IFERROR(IF(VLOOKUP(A1629,'Sales Order'!A:H,8,FALSE)&gt;100,"High Freight","Low Freight"),"Not Specified")</f>
        <v>High Freight</v>
      </c>
      <c r="T1629">
        <f t="shared" si="51"/>
        <v>540</v>
      </c>
    </row>
    <row r="1630" spans="1:20">
      <c r="A1630" s="9">
        <v>10868</v>
      </c>
      <c r="B1630" s="6">
        <v>49</v>
      </c>
      <c r="C1630" s="6">
        <v>20</v>
      </c>
      <c r="D1630" s="6">
        <v>42</v>
      </c>
      <c r="E1630" s="18">
        <v>0.1</v>
      </c>
      <c r="F1630" s="6" t="str">
        <f>IFERROR(VLOOKUP(VLOOKUP(A1630,'Sales Order'!A:B,2,FALSE),Customer!A:C,3,FALSE),"Not Specified")</f>
        <v>Misiec, Anna</v>
      </c>
      <c r="G1630" s="6" t="str">
        <f t="shared" si="50"/>
        <v>Misiec Anna</v>
      </c>
      <c r="H1630" s="22" t="str">
        <f>IFERROR(VLOOKUP(VLOOKUP(A1630,'Sales Order'!A:C,3,FALSE),Employee!A:E,5,FALSE)&amp;" "&amp;VLOOKUP(VLOOKUP(A1630,'Sales Order'!A:C,3,FALSE),Employee!A:C,3,FALSE)&amp;" "&amp;VLOOKUP(VLOOKUP(A1630,'Sales Order'!A:C,3,FALSE),Employee!A:B,2,FALSE),"Not Specified")</f>
        <v>Mr. Russell King</v>
      </c>
      <c r="I1630">
        <f>IFERROR(VLOOKUP(VLOOKUP(A1630,'Sales Order'!A:C,3,FALSE),Employee!A:J,10,FALSE),"Not Specified")</f>
        <v>0</v>
      </c>
      <c r="J1630" t="str">
        <f>VLOOKUP(B1630,Product!A:B,2,FALSE)</f>
        <v>Product FPYPN</v>
      </c>
      <c r="K1630" t="str">
        <f>VLOOKUP(VLOOKUP(B1630,Product!A:D,4,FALSE),Category!A:B,2,FALSE)</f>
        <v>Confections</v>
      </c>
      <c r="L1630" s="24">
        <f>IFERROR(VLOOKUP(A1630,'Sales Order'!A:D,4,FALSE),"")</f>
        <v>39482</v>
      </c>
      <c r="M1630" s="24">
        <f>IFERROR(VLOOKUP(A1630,'Sales Order'!A:F,6,FALSE),"")</f>
        <v>39501</v>
      </c>
      <c r="N1630" t="str">
        <f>IFERROR(VLOOKUP(VLOOKUP(A1630,'Sales Order'!A:G,7,FALSE),Shipper!A:B,2,FALSE),"Not Specified")</f>
        <v>Shipper ETYNR</v>
      </c>
      <c r="O1630" t="str">
        <f>IFERROR(VLOOKUP(A1630,'Sales Order'!A:I,9,FALSE),"Not Specified")</f>
        <v>Ship to 62-C</v>
      </c>
      <c r="P1630" t="str">
        <f>IFERROR(VLOOKUP(A1630,'Sales Order'!A:N,14,FALSE),"Not Specified")</f>
        <v>Brazil</v>
      </c>
      <c r="Q1630" t="str">
        <f>VLOOKUP(VLOOKUP(B1630,Product!A:C,3,FALSE),Supplier!A:B,2,FALSE)</f>
        <v>Supplier ELCRN</v>
      </c>
      <c r="R1630" t="str">
        <f>VLOOKUP(VLOOKUP(B1630,Product!A:C,3,FALSE),Supplier!A:I,9,FALSE)</f>
        <v>Finland</v>
      </c>
      <c r="S1630" t="str">
        <f>IFERROR(IF(VLOOKUP(A1630,'Sales Order'!A:H,8,FALSE)&gt;100,"High Freight","Low Freight"),"Not Specified")</f>
        <v>High Freight</v>
      </c>
      <c r="T1630">
        <f t="shared" si="51"/>
        <v>756</v>
      </c>
    </row>
    <row r="1631" spans="1:20">
      <c r="A1631" s="9">
        <v>10869</v>
      </c>
      <c r="B1631" s="6">
        <v>1</v>
      </c>
      <c r="C1631" s="6">
        <v>18</v>
      </c>
      <c r="D1631" s="6">
        <v>40</v>
      </c>
      <c r="E1631" s="18">
        <v>0</v>
      </c>
      <c r="F1631" s="6" t="str">
        <f>IFERROR(VLOOKUP(VLOOKUP(A1631,'Sales Order'!A:B,2,FALSE),Customer!A:C,3,FALSE),"Not Specified")</f>
        <v>Welcker, Brian</v>
      </c>
      <c r="G1631" s="6" t="str">
        <f t="shared" si="50"/>
        <v>Welcker Brian</v>
      </c>
      <c r="H1631" s="22" t="str">
        <f>IFERROR(VLOOKUP(VLOOKUP(A1631,'Sales Order'!A:C,3,FALSE),Employee!A:E,5,FALSE)&amp;" "&amp;VLOOKUP(VLOOKUP(A1631,'Sales Order'!A:C,3,FALSE),Employee!A:C,3,FALSE)&amp;" "&amp;VLOOKUP(VLOOKUP(A1631,'Sales Order'!A:C,3,FALSE),Employee!A:B,2,FALSE),"Not Specified")</f>
        <v>Mr. Sven Buck</v>
      </c>
      <c r="I1631">
        <f>IFERROR(VLOOKUP(VLOOKUP(A1631,'Sales Order'!A:C,3,FALSE),Employee!A:J,10,FALSE),"Not Specified")</f>
        <v>0</v>
      </c>
      <c r="J1631" t="str">
        <f>VLOOKUP(B1631,Product!A:B,2,FALSE)</f>
        <v>Product HHYDP</v>
      </c>
      <c r="K1631" t="str">
        <f>VLOOKUP(VLOOKUP(B1631,Product!A:D,4,FALSE),Category!A:B,2,FALSE)</f>
        <v>Beverages</v>
      </c>
      <c r="L1631" s="24">
        <f>IFERROR(VLOOKUP(A1631,'Sales Order'!A:D,4,FALSE),"")</f>
        <v>39482</v>
      </c>
      <c r="M1631" s="24">
        <f>IFERROR(VLOOKUP(A1631,'Sales Order'!A:F,6,FALSE),"")</f>
        <v>39487</v>
      </c>
      <c r="N1631" t="str">
        <f>IFERROR(VLOOKUP(VLOOKUP(A1631,'Sales Order'!A:G,7,FALSE),Shipper!A:B,2,FALSE),"Not Specified")</f>
        <v>Shipper GVSUA</v>
      </c>
      <c r="O1631" t="str">
        <f>IFERROR(VLOOKUP(A1631,'Sales Order'!A:I,9,FALSE),"Not Specified")</f>
        <v>Ship to 72-A</v>
      </c>
      <c r="P1631" t="str">
        <f>IFERROR(VLOOKUP(A1631,'Sales Order'!A:N,14,FALSE),"Not Specified")</f>
        <v>UK</v>
      </c>
      <c r="Q1631" t="str">
        <f>VLOOKUP(VLOOKUP(B1631,Product!A:C,3,FALSE),Supplier!A:B,2,FALSE)</f>
        <v>Supplier SWRXU</v>
      </c>
      <c r="R1631" t="str">
        <f>VLOOKUP(VLOOKUP(B1631,Product!A:C,3,FALSE),Supplier!A:I,9,FALSE)</f>
        <v>UK</v>
      </c>
      <c r="S1631" t="str">
        <f>IFERROR(IF(VLOOKUP(A1631,'Sales Order'!A:H,8,FALSE)&gt;100,"High Freight","Low Freight"),"Not Specified")</f>
        <v>High Freight</v>
      </c>
      <c r="T1631">
        <f t="shared" si="51"/>
        <v>720</v>
      </c>
    </row>
    <row r="1632" spans="1:20">
      <c r="A1632" s="9">
        <v>10869</v>
      </c>
      <c r="B1632" s="6">
        <v>11</v>
      </c>
      <c r="C1632" s="6">
        <v>21</v>
      </c>
      <c r="D1632" s="6">
        <v>10</v>
      </c>
      <c r="E1632" s="18">
        <v>0</v>
      </c>
      <c r="F1632" s="6" t="str">
        <f>IFERROR(VLOOKUP(VLOOKUP(A1632,'Sales Order'!A:B,2,FALSE),Customer!A:C,3,FALSE),"Not Specified")</f>
        <v>Welcker, Brian</v>
      </c>
      <c r="G1632" s="6" t="str">
        <f t="shared" si="50"/>
        <v>Welcker Brian</v>
      </c>
      <c r="H1632" s="22" t="str">
        <f>IFERROR(VLOOKUP(VLOOKUP(A1632,'Sales Order'!A:C,3,FALSE),Employee!A:E,5,FALSE)&amp;" "&amp;VLOOKUP(VLOOKUP(A1632,'Sales Order'!A:C,3,FALSE),Employee!A:C,3,FALSE)&amp;" "&amp;VLOOKUP(VLOOKUP(A1632,'Sales Order'!A:C,3,FALSE),Employee!A:B,2,FALSE),"Not Specified")</f>
        <v>Mr. Sven Buck</v>
      </c>
      <c r="I1632">
        <f>IFERROR(VLOOKUP(VLOOKUP(A1632,'Sales Order'!A:C,3,FALSE),Employee!A:J,10,FALSE),"Not Specified")</f>
        <v>0</v>
      </c>
      <c r="J1632" t="str">
        <f>VLOOKUP(B1632,Product!A:B,2,FALSE)</f>
        <v>Product QMVUN</v>
      </c>
      <c r="K1632" t="str">
        <f>VLOOKUP(VLOOKUP(B1632,Product!A:D,4,FALSE),Category!A:B,2,FALSE)</f>
        <v>Dairy Product</v>
      </c>
      <c r="L1632" s="24">
        <f>IFERROR(VLOOKUP(A1632,'Sales Order'!A:D,4,FALSE),"")</f>
        <v>39482</v>
      </c>
      <c r="M1632" s="24">
        <f>IFERROR(VLOOKUP(A1632,'Sales Order'!A:F,6,FALSE),"")</f>
        <v>39487</v>
      </c>
      <c r="N1632" t="str">
        <f>IFERROR(VLOOKUP(VLOOKUP(A1632,'Sales Order'!A:G,7,FALSE),Shipper!A:B,2,FALSE),"Not Specified")</f>
        <v>Shipper GVSUA</v>
      </c>
      <c r="O1632" t="str">
        <f>IFERROR(VLOOKUP(A1632,'Sales Order'!A:I,9,FALSE),"Not Specified")</f>
        <v>Ship to 72-A</v>
      </c>
      <c r="P1632" t="str">
        <f>IFERROR(VLOOKUP(A1632,'Sales Order'!A:N,14,FALSE),"Not Specified")</f>
        <v>UK</v>
      </c>
      <c r="Q1632" t="str">
        <f>VLOOKUP(VLOOKUP(B1632,Product!A:C,3,FALSE),Supplier!A:B,2,FALSE)</f>
        <v>Supplier EQPNC</v>
      </c>
      <c r="R1632" t="str">
        <f>VLOOKUP(VLOOKUP(B1632,Product!A:C,3,FALSE),Supplier!A:I,9,FALSE)</f>
        <v>Spain</v>
      </c>
      <c r="S1632" t="str">
        <f>IFERROR(IF(VLOOKUP(A1632,'Sales Order'!A:H,8,FALSE)&gt;100,"High Freight","Low Freight"),"Not Specified")</f>
        <v>High Freight</v>
      </c>
      <c r="T1632">
        <f t="shared" si="51"/>
        <v>210</v>
      </c>
    </row>
    <row r="1633" spans="1:20">
      <c r="A1633" s="9">
        <v>10869</v>
      </c>
      <c r="B1633" s="6">
        <v>23</v>
      </c>
      <c r="C1633" s="6">
        <v>9</v>
      </c>
      <c r="D1633" s="6">
        <v>50</v>
      </c>
      <c r="E1633" s="18">
        <v>0</v>
      </c>
      <c r="F1633" s="6" t="str">
        <f>IFERROR(VLOOKUP(VLOOKUP(A1633,'Sales Order'!A:B,2,FALSE),Customer!A:C,3,FALSE),"Not Specified")</f>
        <v>Welcker, Brian</v>
      </c>
      <c r="G1633" s="6" t="str">
        <f t="shared" si="50"/>
        <v>Welcker Brian</v>
      </c>
      <c r="H1633" s="22" t="str">
        <f>IFERROR(VLOOKUP(VLOOKUP(A1633,'Sales Order'!A:C,3,FALSE),Employee!A:E,5,FALSE)&amp;" "&amp;VLOOKUP(VLOOKUP(A1633,'Sales Order'!A:C,3,FALSE),Employee!A:C,3,FALSE)&amp;" "&amp;VLOOKUP(VLOOKUP(A1633,'Sales Order'!A:C,3,FALSE),Employee!A:B,2,FALSE),"Not Specified")</f>
        <v>Mr. Sven Buck</v>
      </c>
      <c r="I1633">
        <f>IFERROR(VLOOKUP(VLOOKUP(A1633,'Sales Order'!A:C,3,FALSE),Employee!A:J,10,FALSE),"Not Specified")</f>
        <v>0</v>
      </c>
      <c r="J1633" t="str">
        <f>VLOOKUP(B1633,Product!A:B,2,FALSE)</f>
        <v>Product JLUDZ</v>
      </c>
      <c r="K1633" t="str">
        <f>VLOOKUP(VLOOKUP(B1633,Product!A:D,4,FALSE),Category!A:B,2,FALSE)</f>
        <v>Grains/Cereals</v>
      </c>
      <c r="L1633" s="24">
        <f>IFERROR(VLOOKUP(A1633,'Sales Order'!A:D,4,FALSE),"")</f>
        <v>39482</v>
      </c>
      <c r="M1633" s="24">
        <f>IFERROR(VLOOKUP(A1633,'Sales Order'!A:F,6,FALSE),"")</f>
        <v>39487</v>
      </c>
      <c r="N1633" t="str">
        <f>IFERROR(VLOOKUP(VLOOKUP(A1633,'Sales Order'!A:G,7,FALSE),Shipper!A:B,2,FALSE),"Not Specified")</f>
        <v>Shipper GVSUA</v>
      </c>
      <c r="O1633" t="str">
        <f>IFERROR(VLOOKUP(A1633,'Sales Order'!A:I,9,FALSE),"Not Specified")</f>
        <v>Ship to 72-A</v>
      </c>
      <c r="P1633" t="str">
        <f>IFERROR(VLOOKUP(A1633,'Sales Order'!A:N,14,FALSE),"Not Specified")</f>
        <v>UK</v>
      </c>
      <c r="Q1633" t="str">
        <f>VLOOKUP(VLOOKUP(B1633,Product!A:C,3,FALSE),Supplier!A:B,2,FALSE)</f>
        <v>Supplier QQYEU</v>
      </c>
      <c r="R1633" t="str">
        <f>VLOOKUP(VLOOKUP(B1633,Product!A:C,3,FALSE),Supplier!A:I,9,FALSE)</f>
        <v>Sweden</v>
      </c>
      <c r="S1633" t="str">
        <f>IFERROR(IF(VLOOKUP(A1633,'Sales Order'!A:H,8,FALSE)&gt;100,"High Freight","Low Freight"),"Not Specified")</f>
        <v>High Freight</v>
      </c>
      <c r="T1633">
        <f t="shared" si="51"/>
        <v>450</v>
      </c>
    </row>
    <row r="1634" spans="1:20">
      <c r="A1634" s="9">
        <v>10869</v>
      </c>
      <c r="B1634" s="6">
        <v>68</v>
      </c>
      <c r="C1634" s="6">
        <v>12.5</v>
      </c>
      <c r="D1634" s="6">
        <v>20</v>
      </c>
      <c r="E1634" s="18">
        <v>0</v>
      </c>
      <c r="F1634" s="6" t="str">
        <f>IFERROR(VLOOKUP(VLOOKUP(A1634,'Sales Order'!A:B,2,FALSE),Customer!A:C,3,FALSE),"Not Specified")</f>
        <v>Welcker, Brian</v>
      </c>
      <c r="G1634" s="6" t="str">
        <f t="shared" si="50"/>
        <v>Welcker Brian</v>
      </c>
      <c r="H1634" s="22" t="str">
        <f>IFERROR(VLOOKUP(VLOOKUP(A1634,'Sales Order'!A:C,3,FALSE),Employee!A:E,5,FALSE)&amp;" "&amp;VLOOKUP(VLOOKUP(A1634,'Sales Order'!A:C,3,FALSE),Employee!A:C,3,FALSE)&amp;" "&amp;VLOOKUP(VLOOKUP(A1634,'Sales Order'!A:C,3,FALSE),Employee!A:B,2,FALSE),"Not Specified")</f>
        <v>Mr. Sven Buck</v>
      </c>
      <c r="I1634">
        <f>IFERROR(VLOOKUP(VLOOKUP(A1634,'Sales Order'!A:C,3,FALSE),Employee!A:J,10,FALSE),"Not Specified")</f>
        <v>0</v>
      </c>
      <c r="J1634" t="str">
        <f>VLOOKUP(B1634,Product!A:B,2,FALSE)</f>
        <v>Product TBTBL</v>
      </c>
      <c r="K1634" t="str">
        <f>VLOOKUP(VLOOKUP(B1634,Product!A:D,4,FALSE),Category!A:B,2,FALSE)</f>
        <v>Confections</v>
      </c>
      <c r="L1634" s="24">
        <f>IFERROR(VLOOKUP(A1634,'Sales Order'!A:D,4,FALSE),"")</f>
        <v>39482</v>
      </c>
      <c r="M1634" s="24">
        <f>IFERROR(VLOOKUP(A1634,'Sales Order'!A:F,6,FALSE),"")</f>
        <v>39487</v>
      </c>
      <c r="N1634" t="str">
        <f>IFERROR(VLOOKUP(VLOOKUP(A1634,'Sales Order'!A:G,7,FALSE),Shipper!A:B,2,FALSE),"Not Specified")</f>
        <v>Shipper GVSUA</v>
      </c>
      <c r="O1634" t="str">
        <f>IFERROR(VLOOKUP(A1634,'Sales Order'!A:I,9,FALSE),"Not Specified")</f>
        <v>Ship to 72-A</v>
      </c>
      <c r="P1634" t="str">
        <f>IFERROR(VLOOKUP(A1634,'Sales Order'!A:N,14,FALSE),"Not Specified")</f>
        <v>UK</v>
      </c>
      <c r="Q1634" t="str">
        <f>VLOOKUP(VLOOKUP(B1634,Product!A:C,3,FALSE),Supplier!A:B,2,FALSE)</f>
        <v>Supplier BWGYE</v>
      </c>
      <c r="R1634" t="str">
        <f>VLOOKUP(VLOOKUP(B1634,Product!A:C,3,FALSE),Supplier!A:I,9,FALSE)</f>
        <v>UK</v>
      </c>
      <c r="S1634" t="str">
        <f>IFERROR(IF(VLOOKUP(A1634,'Sales Order'!A:H,8,FALSE)&gt;100,"High Freight","Low Freight"),"Not Specified")</f>
        <v>High Freight</v>
      </c>
      <c r="T1634">
        <f t="shared" si="51"/>
        <v>250</v>
      </c>
    </row>
    <row r="1635" spans="1:20">
      <c r="A1635" s="9">
        <v>10870</v>
      </c>
      <c r="B1635" s="6">
        <v>35</v>
      </c>
      <c r="C1635" s="6">
        <v>18</v>
      </c>
      <c r="D1635" s="6">
        <v>3</v>
      </c>
      <c r="E1635" s="18">
        <v>0</v>
      </c>
      <c r="F1635" s="6" t="str">
        <f>IFERROR(VLOOKUP(VLOOKUP(A1635,'Sales Order'!A:B,2,FALSE),Customer!A:C,3,FALSE),"Not Specified")</f>
        <v>Conn, Steve</v>
      </c>
      <c r="G1635" s="6" t="str">
        <f t="shared" si="50"/>
        <v>Conn Steve</v>
      </c>
      <c r="H1635" s="22" t="str">
        <f>IFERROR(VLOOKUP(VLOOKUP(A1635,'Sales Order'!A:C,3,FALSE),Employee!A:E,5,FALSE)&amp;" "&amp;VLOOKUP(VLOOKUP(A1635,'Sales Order'!A:C,3,FALSE),Employee!A:C,3,FALSE)&amp;" "&amp;VLOOKUP(VLOOKUP(A1635,'Sales Order'!A:C,3,FALSE),Employee!A:B,2,FALSE),"Not Specified")</f>
        <v>Mr. Sven Buck</v>
      </c>
      <c r="I1635">
        <f>IFERROR(VLOOKUP(VLOOKUP(A1635,'Sales Order'!A:C,3,FALSE),Employee!A:J,10,FALSE),"Not Specified")</f>
        <v>0</v>
      </c>
      <c r="J1635" t="str">
        <f>VLOOKUP(B1635,Product!A:B,2,FALSE)</f>
        <v>Product NEVTJ</v>
      </c>
      <c r="K1635" t="str">
        <f>VLOOKUP(VLOOKUP(B1635,Product!A:D,4,FALSE),Category!A:B,2,FALSE)</f>
        <v>Beverages</v>
      </c>
      <c r="L1635" s="24">
        <f>IFERROR(VLOOKUP(A1635,'Sales Order'!A:D,4,FALSE),"")</f>
        <v>39482</v>
      </c>
      <c r="M1635" s="24">
        <f>IFERROR(VLOOKUP(A1635,'Sales Order'!A:F,6,FALSE),"")</f>
        <v>39491</v>
      </c>
      <c r="N1635" t="str">
        <f>IFERROR(VLOOKUP(VLOOKUP(A1635,'Sales Order'!A:G,7,FALSE),Shipper!A:B,2,FALSE),"Not Specified")</f>
        <v>Shipper ZHISN</v>
      </c>
      <c r="O1635" t="str">
        <f>IFERROR(VLOOKUP(A1635,'Sales Order'!A:I,9,FALSE),"Not Specified")</f>
        <v>Ship to 91-A</v>
      </c>
      <c r="P1635" t="str">
        <f>IFERROR(VLOOKUP(A1635,'Sales Order'!A:N,14,FALSE),"Not Specified")</f>
        <v>Poland</v>
      </c>
      <c r="Q1635" t="str">
        <f>VLOOKUP(VLOOKUP(B1635,Product!A:C,3,FALSE),Supplier!A:B,2,FALSE)</f>
        <v>Supplier UHZRG</v>
      </c>
      <c r="R1635" t="str">
        <f>VLOOKUP(VLOOKUP(B1635,Product!A:C,3,FALSE),Supplier!A:I,9,FALSE)</f>
        <v>USA</v>
      </c>
      <c r="S1635" t="str">
        <f>IFERROR(IF(VLOOKUP(A1635,'Sales Order'!A:H,8,FALSE)&gt;100,"High Freight","Low Freight"),"Not Specified")</f>
        <v>Low Freight</v>
      </c>
      <c r="T1635">
        <f t="shared" si="51"/>
        <v>54</v>
      </c>
    </row>
    <row r="1636" spans="1:20">
      <c r="A1636" s="9">
        <v>10870</v>
      </c>
      <c r="B1636" s="6">
        <v>51</v>
      </c>
      <c r="C1636" s="6">
        <v>53</v>
      </c>
      <c r="D1636" s="6">
        <v>2</v>
      </c>
      <c r="E1636" s="18">
        <v>0</v>
      </c>
      <c r="F1636" s="6" t="str">
        <f>IFERROR(VLOOKUP(VLOOKUP(A1636,'Sales Order'!A:B,2,FALSE),Customer!A:C,3,FALSE),"Not Specified")</f>
        <v>Conn, Steve</v>
      </c>
      <c r="G1636" s="6" t="str">
        <f t="shared" si="50"/>
        <v>Conn Steve</v>
      </c>
      <c r="H1636" s="22" t="str">
        <f>IFERROR(VLOOKUP(VLOOKUP(A1636,'Sales Order'!A:C,3,FALSE),Employee!A:E,5,FALSE)&amp;" "&amp;VLOOKUP(VLOOKUP(A1636,'Sales Order'!A:C,3,FALSE),Employee!A:C,3,FALSE)&amp;" "&amp;VLOOKUP(VLOOKUP(A1636,'Sales Order'!A:C,3,FALSE),Employee!A:B,2,FALSE),"Not Specified")</f>
        <v>Mr. Sven Buck</v>
      </c>
      <c r="I1636">
        <f>IFERROR(VLOOKUP(VLOOKUP(A1636,'Sales Order'!A:C,3,FALSE),Employee!A:J,10,FALSE),"Not Specified")</f>
        <v>0</v>
      </c>
      <c r="J1636" t="str">
        <f>VLOOKUP(B1636,Product!A:B,2,FALSE)</f>
        <v>Product APITJ</v>
      </c>
      <c r="K1636" t="str">
        <f>VLOOKUP(VLOOKUP(B1636,Product!A:D,4,FALSE),Category!A:B,2,FALSE)</f>
        <v>Produce</v>
      </c>
      <c r="L1636" s="24">
        <f>IFERROR(VLOOKUP(A1636,'Sales Order'!A:D,4,FALSE),"")</f>
        <v>39482</v>
      </c>
      <c r="M1636" s="24">
        <f>IFERROR(VLOOKUP(A1636,'Sales Order'!A:F,6,FALSE),"")</f>
        <v>39491</v>
      </c>
      <c r="N1636" t="str">
        <f>IFERROR(VLOOKUP(VLOOKUP(A1636,'Sales Order'!A:G,7,FALSE),Shipper!A:B,2,FALSE),"Not Specified")</f>
        <v>Shipper ZHISN</v>
      </c>
      <c r="O1636" t="str">
        <f>IFERROR(VLOOKUP(A1636,'Sales Order'!A:I,9,FALSE),"Not Specified")</f>
        <v>Ship to 91-A</v>
      </c>
      <c r="P1636" t="str">
        <f>IFERROR(VLOOKUP(A1636,'Sales Order'!A:N,14,FALSE),"Not Specified")</f>
        <v>Poland</v>
      </c>
      <c r="Q1636" t="str">
        <f>VLOOKUP(VLOOKUP(B1636,Product!A:C,3,FALSE),Supplier!A:B,2,FALSE)</f>
        <v>Supplier JNNES</v>
      </c>
      <c r="R1636" t="str">
        <f>VLOOKUP(VLOOKUP(B1636,Product!A:C,3,FALSE),Supplier!A:I,9,FALSE)</f>
        <v>Australia</v>
      </c>
      <c r="S1636" t="str">
        <f>IFERROR(IF(VLOOKUP(A1636,'Sales Order'!A:H,8,FALSE)&gt;100,"High Freight","Low Freight"),"Not Specified")</f>
        <v>Low Freight</v>
      </c>
      <c r="T1636">
        <f t="shared" si="51"/>
        <v>106</v>
      </c>
    </row>
    <row r="1637" spans="1:20">
      <c r="A1637" s="9">
        <v>10871</v>
      </c>
      <c r="B1637" s="6">
        <v>6</v>
      </c>
      <c r="C1637" s="6">
        <v>25</v>
      </c>
      <c r="D1637" s="6">
        <v>50</v>
      </c>
      <c r="E1637" s="18">
        <v>0.05</v>
      </c>
      <c r="F1637" s="6" t="str">
        <f>IFERROR(VLOOKUP(VLOOKUP(A1637,'Sales Order'!A:B,2,FALSE),Customer!A:C,3,FALSE),"Not Specified")</f>
        <v>Raghav, Amritansh</v>
      </c>
      <c r="G1637" s="6" t="str">
        <f t="shared" si="50"/>
        <v>Raghav Amritansh</v>
      </c>
      <c r="H1637" s="22" t="str">
        <f>IFERROR(VLOOKUP(VLOOKUP(A1637,'Sales Order'!A:C,3,FALSE),Employee!A:E,5,FALSE)&amp;" "&amp;VLOOKUP(VLOOKUP(A1637,'Sales Order'!A:C,3,FALSE),Employee!A:C,3,FALSE)&amp;" "&amp;VLOOKUP(VLOOKUP(A1637,'Sales Order'!A:C,3,FALSE),Employee!A:B,2,FALSE),"Not Specified")</f>
        <v>Ms. Zoya Dolgopyatova</v>
      </c>
      <c r="I1637">
        <f>IFERROR(VLOOKUP(VLOOKUP(A1637,'Sales Order'!A:C,3,FALSE),Employee!A:J,10,FALSE),"Not Specified")</f>
        <v>0</v>
      </c>
      <c r="J1637" t="str">
        <f>VLOOKUP(B1637,Product!A:B,2,FALSE)</f>
        <v>Product VAIIV</v>
      </c>
      <c r="K1637" t="str">
        <f>VLOOKUP(VLOOKUP(B1637,Product!A:D,4,FALSE),Category!A:B,2,FALSE)</f>
        <v>Condiments</v>
      </c>
      <c r="L1637" s="24">
        <f>IFERROR(VLOOKUP(A1637,'Sales Order'!A:D,4,FALSE),"")</f>
        <v>39483</v>
      </c>
      <c r="M1637" s="24">
        <f>IFERROR(VLOOKUP(A1637,'Sales Order'!A:F,6,FALSE),"")</f>
        <v>39488</v>
      </c>
      <c r="N1637" t="str">
        <f>IFERROR(VLOOKUP(VLOOKUP(A1637,'Sales Order'!A:G,7,FALSE),Shipper!A:B,2,FALSE),"Not Specified")</f>
        <v>Shipper ETYNR</v>
      </c>
      <c r="O1637" t="str">
        <f>IFERROR(VLOOKUP(A1637,'Sales Order'!A:I,9,FALSE),"Not Specified")</f>
        <v>Ship to 9-B</v>
      </c>
      <c r="P1637" t="str">
        <f>IFERROR(VLOOKUP(A1637,'Sales Order'!A:N,14,FALSE),"Not Specified")</f>
        <v>France</v>
      </c>
      <c r="Q1637" t="str">
        <f>VLOOKUP(VLOOKUP(B1637,Product!A:C,3,FALSE),Supplier!A:B,2,FALSE)</f>
        <v>Supplier STUAZ</v>
      </c>
      <c r="R1637" t="str">
        <f>VLOOKUP(VLOOKUP(B1637,Product!A:C,3,FALSE),Supplier!A:I,9,FALSE)</f>
        <v>USA</v>
      </c>
      <c r="S1637" t="str">
        <f>IFERROR(IF(VLOOKUP(A1637,'Sales Order'!A:H,8,FALSE)&gt;100,"High Freight","Low Freight"),"Not Specified")</f>
        <v>High Freight</v>
      </c>
      <c r="T1637">
        <f t="shared" si="51"/>
        <v>1187.5</v>
      </c>
    </row>
    <row r="1638" spans="1:20">
      <c r="A1638" s="9">
        <v>10871</v>
      </c>
      <c r="B1638" s="6">
        <v>16</v>
      </c>
      <c r="C1638" s="6">
        <v>17.45</v>
      </c>
      <c r="D1638" s="6">
        <v>12</v>
      </c>
      <c r="E1638" s="18">
        <v>0.05</v>
      </c>
      <c r="F1638" s="6" t="str">
        <f>IFERROR(VLOOKUP(VLOOKUP(A1638,'Sales Order'!A:B,2,FALSE),Customer!A:C,3,FALSE),"Not Specified")</f>
        <v>Raghav, Amritansh</v>
      </c>
      <c r="G1638" s="6" t="str">
        <f t="shared" si="50"/>
        <v>Raghav Amritansh</v>
      </c>
      <c r="H1638" s="22" t="str">
        <f>IFERROR(VLOOKUP(VLOOKUP(A1638,'Sales Order'!A:C,3,FALSE),Employee!A:E,5,FALSE)&amp;" "&amp;VLOOKUP(VLOOKUP(A1638,'Sales Order'!A:C,3,FALSE),Employee!A:C,3,FALSE)&amp;" "&amp;VLOOKUP(VLOOKUP(A1638,'Sales Order'!A:C,3,FALSE),Employee!A:B,2,FALSE),"Not Specified")</f>
        <v>Ms. Zoya Dolgopyatova</v>
      </c>
      <c r="I1638">
        <f>IFERROR(VLOOKUP(VLOOKUP(A1638,'Sales Order'!A:C,3,FALSE),Employee!A:J,10,FALSE),"Not Specified")</f>
        <v>0</v>
      </c>
      <c r="J1638" t="str">
        <f>VLOOKUP(B1638,Product!A:B,2,FALSE)</f>
        <v>Product PAFRH</v>
      </c>
      <c r="K1638" t="str">
        <f>VLOOKUP(VLOOKUP(B1638,Product!A:D,4,FALSE),Category!A:B,2,FALSE)</f>
        <v>Confections</v>
      </c>
      <c r="L1638" s="24">
        <f>IFERROR(VLOOKUP(A1638,'Sales Order'!A:D,4,FALSE),"")</f>
        <v>39483</v>
      </c>
      <c r="M1638" s="24">
        <f>IFERROR(VLOOKUP(A1638,'Sales Order'!A:F,6,FALSE),"")</f>
        <v>39488</v>
      </c>
      <c r="N1638" t="str">
        <f>IFERROR(VLOOKUP(VLOOKUP(A1638,'Sales Order'!A:G,7,FALSE),Shipper!A:B,2,FALSE),"Not Specified")</f>
        <v>Shipper ETYNR</v>
      </c>
      <c r="O1638" t="str">
        <f>IFERROR(VLOOKUP(A1638,'Sales Order'!A:I,9,FALSE),"Not Specified")</f>
        <v>Ship to 9-B</v>
      </c>
      <c r="P1638" t="str">
        <f>IFERROR(VLOOKUP(A1638,'Sales Order'!A:N,14,FALSE),"Not Specified")</f>
        <v>France</v>
      </c>
      <c r="Q1638" t="str">
        <f>VLOOKUP(VLOOKUP(B1638,Product!A:C,3,FALSE),Supplier!A:B,2,FALSE)</f>
        <v>Supplier GQRCV</v>
      </c>
      <c r="R1638" t="str">
        <f>VLOOKUP(VLOOKUP(B1638,Product!A:C,3,FALSE),Supplier!A:I,9,FALSE)</f>
        <v>Australia</v>
      </c>
      <c r="S1638" t="str">
        <f>IFERROR(IF(VLOOKUP(A1638,'Sales Order'!A:H,8,FALSE)&gt;100,"High Freight","Low Freight"),"Not Specified")</f>
        <v>High Freight</v>
      </c>
      <c r="T1638">
        <f t="shared" si="51"/>
        <v>198.92999999999998</v>
      </c>
    </row>
    <row r="1639" spans="1:20">
      <c r="A1639" s="9">
        <v>10871</v>
      </c>
      <c r="B1639" s="6">
        <v>17</v>
      </c>
      <c r="C1639" s="6">
        <v>39</v>
      </c>
      <c r="D1639" s="6">
        <v>16</v>
      </c>
      <c r="E1639" s="18">
        <v>0.05</v>
      </c>
      <c r="F1639" s="6" t="str">
        <f>IFERROR(VLOOKUP(VLOOKUP(A1639,'Sales Order'!A:B,2,FALSE),Customer!A:C,3,FALSE),"Not Specified")</f>
        <v>Raghav, Amritansh</v>
      </c>
      <c r="G1639" s="6" t="str">
        <f t="shared" si="50"/>
        <v>Raghav Amritansh</v>
      </c>
      <c r="H1639" s="22" t="str">
        <f>IFERROR(VLOOKUP(VLOOKUP(A1639,'Sales Order'!A:C,3,FALSE),Employee!A:E,5,FALSE)&amp;" "&amp;VLOOKUP(VLOOKUP(A1639,'Sales Order'!A:C,3,FALSE),Employee!A:C,3,FALSE)&amp;" "&amp;VLOOKUP(VLOOKUP(A1639,'Sales Order'!A:C,3,FALSE),Employee!A:B,2,FALSE),"Not Specified")</f>
        <v>Ms. Zoya Dolgopyatova</v>
      </c>
      <c r="I1639">
        <f>IFERROR(VLOOKUP(VLOOKUP(A1639,'Sales Order'!A:C,3,FALSE),Employee!A:J,10,FALSE),"Not Specified")</f>
        <v>0</v>
      </c>
      <c r="J1639" t="str">
        <f>VLOOKUP(B1639,Product!A:B,2,FALSE)</f>
        <v>Product BLCAX</v>
      </c>
      <c r="K1639" t="str">
        <f>VLOOKUP(VLOOKUP(B1639,Product!A:D,4,FALSE),Category!A:B,2,FALSE)</f>
        <v>Meat/Poultry</v>
      </c>
      <c r="L1639" s="24">
        <f>IFERROR(VLOOKUP(A1639,'Sales Order'!A:D,4,FALSE),"")</f>
        <v>39483</v>
      </c>
      <c r="M1639" s="24">
        <f>IFERROR(VLOOKUP(A1639,'Sales Order'!A:F,6,FALSE),"")</f>
        <v>39488</v>
      </c>
      <c r="N1639" t="str">
        <f>IFERROR(VLOOKUP(VLOOKUP(A1639,'Sales Order'!A:G,7,FALSE),Shipper!A:B,2,FALSE),"Not Specified")</f>
        <v>Shipper ETYNR</v>
      </c>
      <c r="O1639" t="str">
        <f>IFERROR(VLOOKUP(A1639,'Sales Order'!A:I,9,FALSE),"Not Specified")</f>
        <v>Ship to 9-B</v>
      </c>
      <c r="P1639" t="str">
        <f>IFERROR(VLOOKUP(A1639,'Sales Order'!A:N,14,FALSE),"Not Specified")</f>
        <v>France</v>
      </c>
      <c r="Q1639" t="str">
        <f>VLOOKUP(VLOOKUP(B1639,Product!A:C,3,FALSE),Supplier!A:B,2,FALSE)</f>
        <v>Supplier GQRCV</v>
      </c>
      <c r="R1639" t="str">
        <f>VLOOKUP(VLOOKUP(B1639,Product!A:C,3,FALSE),Supplier!A:I,9,FALSE)</f>
        <v>Australia</v>
      </c>
      <c r="S1639" t="str">
        <f>IFERROR(IF(VLOOKUP(A1639,'Sales Order'!A:H,8,FALSE)&gt;100,"High Freight","Low Freight"),"Not Specified")</f>
        <v>High Freight</v>
      </c>
      <c r="T1639">
        <f t="shared" si="51"/>
        <v>592.79999999999995</v>
      </c>
    </row>
    <row r="1640" spans="1:20">
      <c r="A1640" s="9">
        <v>10872</v>
      </c>
      <c r="B1640" s="6">
        <v>55</v>
      </c>
      <c r="C1640" s="6">
        <v>24</v>
      </c>
      <c r="D1640" s="6">
        <v>10</v>
      </c>
      <c r="E1640" s="18">
        <v>0.05</v>
      </c>
      <c r="F1640" s="6" t="str">
        <f>IFERROR(VLOOKUP(VLOOKUP(A1640,'Sales Order'!A:B,2,FALSE),Customer!A:C,3,FALSE),"Not Specified")</f>
        <v>Shabalin, Rostislav</v>
      </c>
      <c r="G1640" s="6" t="str">
        <f t="shared" si="50"/>
        <v>Shabalin Rostislav</v>
      </c>
      <c r="H1640" s="22" t="str">
        <f>IFERROR(VLOOKUP(VLOOKUP(A1640,'Sales Order'!A:C,3,FALSE),Employee!A:E,5,FALSE)&amp;" "&amp;VLOOKUP(VLOOKUP(A1640,'Sales Order'!A:C,3,FALSE),Employee!A:C,3,FALSE)&amp;" "&amp;VLOOKUP(VLOOKUP(A1640,'Sales Order'!A:C,3,FALSE),Employee!A:B,2,FALSE),"Not Specified")</f>
        <v>Mr. Sven Buck</v>
      </c>
      <c r="I1640">
        <f>IFERROR(VLOOKUP(VLOOKUP(A1640,'Sales Order'!A:C,3,FALSE),Employee!A:J,10,FALSE),"Not Specified")</f>
        <v>0</v>
      </c>
      <c r="J1640" t="str">
        <f>VLOOKUP(B1640,Product!A:B,2,FALSE)</f>
        <v>Product YYWRT</v>
      </c>
      <c r="K1640" t="str">
        <f>VLOOKUP(VLOOKUP(B1640,Product!A:D,4,FALSE),Category!A:B,2,FALSE)</f>
        <v>Meat/Poultry</v>
      </c>
      <c r="L1640" s="24">
        <f>IFERROR(VLOOKUP(A1640,'Sales Order'!A:D,4,FALSE),"")</f>
        <v>39483</v>
      </c>
      <c r="M1640" s="24">
        <f>IFERROR(VLOOKUP(A1640,'Sales Order'!A:F,6,FALSE),"")</f>
        <v>39487</v>
      </c>
      <c r="N1640" t="str">
        <f>IFERROR(VLOOKUP(VLOOKUP(A1640,'Sales Order'!A:G,7,FALSE),Shipper!A:B,2,FALSE),"Not Specified")</f>
        <v>Shipper ETYNR</v>
      </c>
      <c r="O1640" t="str">
        <f>IFERROR(VLOOKUP(A1640,'Sales Order'!A:I,9,FALSE),"Not Specified")</f>
        <v>Destination GGQIR</v>
      </c>
      <c r="P1640" t="str">
        <f>IFERROR(VLOOKUP(A1640,'Sales Order'!A:N,14,FALSE),"Not Specified")</f>
        <v>Spain</v>
      </c>
      <c r="Q1640" t="str">
        <f>VLOOKUP(VLOOKUP(B1640,Product!A:C,3,FALSE),Supplier!A:B,2,FALSE)</f>
        <v>Supplier ERVYZ</v>
      </c>
      <c r="R1640" t="str">
        <f>VLOOKUP(VLOOKUP(B1640,Product!A:C,3,FALSE),Supplier!A:I,9,FALSE)</f>
        <v>Canada</v>
      </c>
      <c r="S1640" t="str">
        <f>IFERROR(IF(VLOOKUP(A1640,'Sales Order'!A:H,8,FALSE)&gt;100,"High Freight","Low Freight"),"Not Specified")</f>
        <v>High Freight</v>
      </c>
      <c r="T1640">
        <f t="shared" si="51"/>
        <v>228</v>
      </c>
    </row>
    <row r="1641" spans="1:20">
      <c r="A1641" s="9">
        <v>10872</v>
      </c>
      <c r="B1641" s="6">
        <v>62</v>
      </c>
      <c r="C1641" s="6">
        <v>49.3</v>
      </c>
      <c r="D1641" s="6">
        <v>20</v>
      </c>
      <c r="E1641" s="18">
        <v>0.05</v>
      </c>
      <c r="F1641" s="6" t="str">
        <f>IFERROR(VLOOKUP(VLOOKUP(A1641,'Sales Order'!A:B,2,FALSE),Customer!A:C,3,FALSE),"Not Specified")</f>
        <v>Shabalin, Rostislav</v>
      </c>
      <c r="G1641" s="6" t="str">
        <f t="shared" si="50"/>
        <v>Shabalin Rostislav</v>
      </c>
      <c r="H1641" s="22" t="str">
        <f>IFERROR(VLOOKUP(VLOOKUP(A1641,'Sales Order'!A:C,3,FALSE),Employee!A:E,5,FALSE)&amp;" "&amp;VLOOKUP(VLOOKUP(A1641,'Sales Order'!A:C,3,FALSE),Employee!A:C,3,FALSE)&amp;" "&amp;VLOOKUP(VLOOKUP(A1641,'Sales Order'!A:C,3,FALSE),Employee!A:B,2,FALSE),"Not Specified")</f>
        <v>Mr. Sven Buck</v>
      </c>
      <c r="I1641">
        <f>IFERROR(VLOOKUP(VLOOKUP(A1641,'Sales Order'!A:C,3,FALSE),Employee!A:J,10,FALSE),"Not Specified")</f>
        <v>0</v>
      </c>
      <c r="J1641" t="str">
        <f>VLOOKUP(B1641,Product!A:B,2,FALSE)</f>
        <v>Product WUXYK</v>
      </c>
      <c r="K1641" t="str">
        <f>VLOOKUP(VLOOKUP(B1641,Product!A:D,4,FALSE),Category!A:B,2,FALSE)</f>
        <v>Confections</v>
      </c>
      <c r="L1641" s="24">
        <f>IFERROR(VLOOKUP(A1641,'Sales Order'!A:D,4,FALSE),"")</f>
        <v>39483</v>
      </c>
      <c r="M1641" s="24">
        <f>IFERROR(VLOOKUP(A1641,'Sales Order'!A:F,6,FALSE),"")</f>
        <v>39487</v>
      </c>
      <c r="N1641" t="str">
        <f>IFERROR(VLOOKUP(VLOOKUP(A1641,'Sales Order'!A:G,7,FALSE),Shipper!A:B,2,FALSE),"Not Specified")</f>
        <v>Shipper ETYNR</v>
      </c>
      <c r="O1641" t="str">
        <f>IFERROR(VLOOKUP(A1641,'Sales Order'!A:I,9,FALSE),"Not Specified")</f>
        <v>Destination GGQIR</v>
      </c>
      <c r="P1641" t="str">
        <f>IFERROR(VLOOKUP(A1641,'Sales Order'!A:N,14,FALSE),"Not Specified")</f>
        <v>Spain</v>
      </c>
      <c r="Q1641" t="str">
        <f>VLOOKUP(VLOOKUP(B1641,Product!A:C,3,FALSE),Supplier!A:B,2,FALSE)</f>
        <v>Supplier OGLRK</v>
      </c>
      <c r="R1641" t="str">
        <f>VLOOKUP(VLOOKUP(B1641,Product!A:C,3,FALSE),Supplier!A:I,9,FALSE)</f>
        <v>Canada</v>
      </c>
      <c r="S1641" t="str">
        <f>IFERROR(IF(VLOOKUP(A1641,'Sales Order'!A:H,8,FALSE)&gt;100,"High Freight","Low Freight"),"Not Specified")</f>
        <v>High Freight</v>
      </c>
      <c r="T1641">
        <f t="shared" si="51"/>
        <v>936.69999999999993</v>
      </c>
    </row>
    <row r="1642" spans="1:20">
      <c r="A1642" s="9">
        <v>10872</v>
      </c>
      <c r="B1642" s="6">
        <v>64</v>
      </c>
      <c r="C1642" s="6">
        <v>33.25</v>
      </c>
      <c r="D1642" s="6">
        <v>15</v>
      </c>
      <c r="E1642" s="18">
        <v>0.05</v>
      </c>
      <c r="F1642" s="6" t="str">
        <f>IFERROR(VLOOKUP(VLOOKUP(A1642,'Sales Order'!A:B,2,FALSE),Customer!A:C,3,FALSE),"Not Specified")</f>
        <v>Shabalin, Rostislav</v>
      </c>
      <c r="G1642" s="6" t="str">
        <f t="shared" si="50"/>
        <v>Shabalin Rostislav</v>
      </c>
      <c r="H1642" s="22" t="str">
        <f>IFERROR(VLOOKUP(VLOOKUP(A1642,'Sales Order'!A:C,3,FALSE),Employee!A:E,5,FALSE)&amp;" "&amp;VLOOKUP(VLOOKUP(A1642,'Sales Order'!A:C,3,FALSE),Employee!A:C,3,FALSE)&amp;" "&amp;VLOOKUP(VLOOKUP(A1642,'Sales Order'!A:C,3,FALSE),Employee!A:B,2,FALSE),"Not Specified")</f>
        <v>Mr. Sven Buck</v>
      </c>
      <c r="I1642">
        <f>IFERROR(VLOOKUP(VLOOKUP(A1642,'Sales Order'!A:C,3,FALSE),Employee!A:J,10,FALSE),"Not Specified")</f>
        <v>0</v>
      </c>
      <c r="J1642" t="str">
        <f>VLOOKUP(B1642,Product!A:B,2,FALSE)</f>
        <v>Product HCQDE</v>
      </c>
      <c r="K1642" t="str">
        <f>VLOOKUP(VLOOKUP(B1642,Product!A:D,4,FALSE),Category!A:B,2,FALSE)</f>
        <v>Grains/Cereals</v>
      </c>
      <c r="L1642" s="24">
        <f>IFERROR(VLOOKUP(A1642,'Sales Order'!A:D,4,FALSE),"")</f>
        <v>39483</v>
      </c>
      <c r="M1642" s="24">
        <f>IFERROR(VLOOKUP(A1642,'Sales Order'!A:F,6,FALSE),"")</f>
        <v>39487</v>
      </c>
      <c r="N1642" t="str">
        <f>IFERROR(VLOOKUP(VLOOKUP(A1642,'Sales Order'!A:G,7,FALSE),Shipper!A:B,2,FALSE),"Not Specified")</f>
        <v>Shipper ETYNR</v>
      </c>
      <c r="O1642" t="str">
        <f>IFERROR(VLOOKUP(A1642,'Sales Order'!A:I,9,FALSE),"Not Specified")</f>
        <v>Destination GGQIR</v>
      </c>
      <c r="P1642" t="str">
        <f>IFERROR(VLOOKUP(A1642,'Sales Order'!A:N,14,FALSE),"Not Specified")</f>
        <v>Spain</v>
      </c>
      <c r="Q1642" t="str">
        <f>VLOOKUP(VLOOKUP(B1642,Product!A:C,3,FALSE),Supplier!A:B,2,FALSE)</f>
        <v>Supplier SVIYA</v>
      </c>
      <c r="R1642" t="str">
        <f>VLOOKUP(VLOOKUP(B1642,Product!A:C,3,FALSE),Supplier!A:I,9,FALSE)</f>
        <v>Germany</v>
      </c>
      <c r="S1642" t="str">
        <f>IFERROR(IF(VLOOKUP(A1642,'Sales Order'!A:H,8,FALSE)&gt;100,"High Freight","Low Freight"),"Not Specified")</f>
        <v>High Freight</v>
      </c>
      <c r="T1642">
        <f t="shared" si="51"/>
        <v>473.8125</v>
      </c>
    </row>
    <row r="1643" spans="1:20">
      <c r="A1643" s="9">
        <v>10872</v>
      </c>
      <c r="B1643" s="6">
        <v>65</v>
      </c>
      <c r="C1643" s="6">
        <v>21.05</v>
      </c>
      <c r="D1643" s="6">
        <v>21</v>
      </c>
      <c r="E1643" s="18">
        <v>0.05</v>
      </c>
      <c r="F1643" s="6" t="str">
        <f>IFERROR(VLOOKUP(VLOOKUP(A1643,'Sales Order'!A:B,2,FALSE),Customer!A:C,3,FALSE),"Not Specified")</f>
        <v>Shabalin, Rostislav</v>
      </c>
      <c r="G1643" s="6" t="str">
        <f t="shared" si="50"/>
        <v>Shabalin Rostislav</v>
      </c>
      <c r="H1643" s="22" t="str">
        <f>IFERROR(VLOOKUP(VLOOKUP(A1643,'Sales Order'!A:C,3,FALSE),Employee!A:E,5,FALSE)&amp;" "&amp;VLOOKUP(VLOOKUP(A1643,'Sales Order'!A:C,3,FALSE),Employee!A:C,3,FALSE)&amp;" "&amp;VLOOKUP(VLOOKUP(A1643,'Sales Order'!A:C,3,FALSE),Employee!A:B,2,FALSE),"Not Specified")</f>
        <v>Mr. Sven Buck</v>
      </c>
      <c r="I1643">
        <f>IFERROR(VLOOKUP(VLOOKUP(A1643,'Sales Order'!A:C,3,FALSE),Employee!A:J,10,FALSE),"Not Specified")</f>
        <v>0</v>
      </c>
      <c r="J1643" t="str">
        <f>VLOOKUP(B1643,Product!A:B,2,FALSE)</f>
        <v>Product XYWBZ</v>
      </c>
      <c r="K1643" t="str">
        <f>VLOOKUP(VLOOKUP(B1643,Product!A:D,4,FALSE),Category!A:B,2,FALSE)</f>
        <v>Condiments</v>
      </c>
      <c r="L1643" s="24">
        <f>IFERROR(VLOOKUP(A1643,'Sales Order'!A:D,4,FALSE),"")</f>
        <v>39483</v>
      </c>
      <c r="M1643" s="24">
        <f>IFERROR(VLOOKUP(A1643,'Sales Order'!A:F,6,FALSE),"")</f>
        <v>39487</v>
      </c>
      <c r="N1643" t="str">
        <f>IFERROR(VLOOKUP(VLOOKUP(A1643,'Sales Order'!A:G,7,FALSE),Shipper!A:B,2,FALSE),"Not Specified")</f>
        <v>Shipper ETYNR</v>
      </c>
      <c r="O1643" t="str">
        <f>IFERROR(VLOOKUP(A1643,'Sales Order'!A:I,9,FALSE),"Not Specified")</f>
        <v>Destination GGQIR</v>
      </c>
      <c r="P1643" t="str">
        <f>IFERROR(VLOOKUP(A1643,'Sales Order'!A:N,14,FALSE),"Not Specified")</f>
        <v>Spain</v>
      </c>
      <c r="Q1643" t="str">
        <f>VLOOKUP(VLOOKUP(B1643,Product!A:C,3,FALSE),Supplier!A:B,2,FALSE)</f>
        <v>Supplier VHQZD</v>
      </c>
      <c r="R1643" t="str">
        <f>VLOOKUP(VLOOKUP(B1643,Product!A:C,3,FALSE),Supplier!A:I,9,FALSE)</f>
        <v>USA</v>
      </c>
      <c r="S1643" t="str">
        <f>IFERROR(IF(VLOOKUP(A1643,'Sales Order'!A:H,8,FALSE)&gt;100,"High Freight","Low Freight"),"Not Specified")</f>
        <v>High Freight</v>
      </c>
      <c r="T1643">
        <f t="shared" si="51"/>
        <v>419.94749999999999</v>
      </c>
    </row>
    <row r="1644" spans="1:20">
      <c r="A1644" s="9">
        <v>10873</v>
      </c>
      <c r="B1644" s="6">
        <v>21</v>
      </c>
      <c r="C1644" s="6">
        <v>10</v>
      </c>
      <c r="D1644" s="6">
        <v>20</v>
      </c>
      <c r="E1644" s="18">
        <v>0</v>
      </c>
      <c r="F1644" s="6" t="str">
        <f>IFERROR(VLOOKUP(VLOOKUP(A1644,'Sales Order'!A:B,2,FALSE),Customer!A:C,3,FALSE),"Not Specified")</f>
        <v>Larsson, Katarina</v>
      </c>
      <c r="G1644" s="6" t="str">
        <f t="shared" si="50"/>
        <v>Larsson Katarina</v>
      </c>
      <c r="H1644" s="22" t="str">
        <f>IFERROR(VLOOKUP(VLOOKUP(A1644,'Sales Order'!A:C,3,FALSE),Employee!A:E,5,FALSE)&amp;" "&amp;VLOOKUP(VLOOKUP(A1644,'Sales Order'!A:C,3,FALSE),Employee!A:C,3,FALSE)&amp;" "&amp;VLOOKUP(VLOOKUP(A1644,'Sales Order'!A:C,3,FALSE),Employee!A:B,2,FALSE),"Not Specified")</f>
        <v>Mrs. Yael Peled</v>
      </c>
      <c r="I1644" t="str">
        <f>IFERROR(VLOOKUP(VLOOKUP(A1644,'Sales Order'!A:C,3,FALSE),Employee!A:J,10,FALSE),"Not Specified")</f>
        <v>WA</v>
      </c>
      <c r="J1644" t="str">
        <f>VLOOKUP(B1644,Product!A:B,2,FALSE)</f>
        <v>Product VJZZH</v>
      </c>
      <c r="K1644" t="str">
        <f>VLOOKUP(VLOOKUP(B1644,Product!A:D,4,FALSE),Category!A:B,2,FALSE)</f>
        <v>Confections</v>
      </c>
      <c r="L1644" s="24">
        <f>IFERROR(VLOOKUP(A1644,'Sales Order'!A:D,4,FALSE),"")</f>
        <v>39484</v>
      </c>
      <c r="M1644" s="24">
        <f>IFERROR(VLOOKUP(A1644,'Sales Order'!A:F,6,FALSE),"")</f>
        <v>39487</v>
      </c>
      <c r="N1644" t="str">
        <f>IFERROR(VLOOKUP(VLOOKUP(A1644,'Sales Order'!A:G,7,FALSE),Shipper!A:B,2,FALSE),"Not Specified")</f>
        <v>Shipper GVSUA</v>
      </c>
      <c r="O1644" t="str">
        <f>IFERROR(VLOOKUP(A1644,'Sales Order'!A:I,9,FALSE),"Not Specified")</f>
        <v>Ship to 90-B</v>
      </c>
      <c r="P1644" t="str">
        <f>IFERROR(VLOOKUP(A1644,'Sales Order'!A:N,14,FALSE),"Not Specified")</f>
        <v>Finland</v>
      </c>
      <c r="Q1644" t="str">
        <f>VLOOKUP(VLOOKUP(B1644,Product!A:C,3,FALSE),Supplier!A:B,2,FALSE)</f>
        <v>Supplier BWGYE</v>
      </c>
      <c r="R1644" t="str">
        <f>VLOOKUP(VLOOKUP(B1644,Product!A:C,3,FALSE),Supplier!A:I,9,FALSE)</f>
        <v>UK</v>
      </c>
      <c r="S1644" t="str">
        <f>IFERROR(IF(VLOOKUP(A1644,'Sales Order'!A:H,8,FALSE)&gt;100,"High Freight","Low Freight"),"Not Specified")</f>
        <v>Low Freight</v>
      </c>
      <c r="T1644">
        <f t="shared" si="51"/>
        <v>200</v>
      </c>
    </row>
    <row r="1645" spans="1:20">
      <c r="A1645" s="9">
        <v>10873</v>
      </c>
      <c r="B1645" s="6">
        <v>28</v>
      </c>
      <c r="C1645" s="6">
        <v>45.6</v>
      </c>
      <c r="D1645" s="6">
        <v>3</v>
      </c>
      <c r="E1645" s="18">
        <v>0</v>
      </c>
      <c r="F1645" s="6" t="str">
        <f>IFERROR(VLOOKUP(VLOOKUP(A1645,'Sales Order'!A:B,2,FALSE),Customer!A:C,3,FALSE),"Not Specified")</f>
        <v>Larsson, Katarina</v>
      </c>
      <c r="G1645" s="6" t="str">
        <f t="shared" si="50"/>
        <v>Larsson Katarina</v>
      </c>
      <c r="H1645" s="22" t="str">
        <f>IFERROR(VLOOKUP(VLOOKUP(A1645,'Sales Order'!A:C,3,FALSE),Employee!A:E,5,FALSE)&amp;" "&amp;VLOOKUP(VLOOKUP(A1645,'Sales Order'!A:C,3,FALSE),Employee!A:C,3,FALSE)&amp;" "&amp;VLOOKUP(VLOOKUP(A1645,'Sales Order'!A:C,3,FALSE),Employee!A:B,2,FALSE),"Not Specified")</f>
        <v>Mrs. Yael Peled</v>
      </c>
      <c r="I1645" t="str">
        <f>IFERROR(VLOOKUP(VLOOKUP(A1645,'Sales Order'!A:C,3,FALSE),Employee!A:J,10,FALSE),"Not Specified")</f>
        <v>WA</v>
      </c>
      <c r="J1645" t="str">
        <f>VLOOKUP(B1645,Product!A:B,2,FALSE)</f>
        <v>Product OFBNT</v>
      </c>
      <c r="K1645" t="str">
        <f>VLOOKUP(VLOOKUP(B1645,Product!A:D,4,FALSE),Category!A:B,2,FALSE)</f>
        <v>Produce</v>
      </c>
      <c r="L1645" s="24">
        <f>IFERROR(VLOOKUP(A1645,'Sales Order'!A:D,4,FALSE),"")</f>
        <v>39484</v>
      </c>
      <c r="M1645" s="24">
        <f>IFERROR(VLOOKUP(A1645,'Sales Order'!A:F,6,FALSE),"")</f>
        <v>39487</v>
      </c>
      <c r="N1645" t="str">
        <f>IFERROR(VLOOKUP(VLOOKUP(A1645,'Sales Order'!A:G,7,FALSE),Shipper!A:B,2,FALSE),"Not Specified")</f>
        <v>Shipper GVSUA</v>
      </c>
      <c r="O1645" t="str">
        <f>IFERROR(VLOOKUP(A1645,'Sales Order'!A:I,9,FALSE),"Not Specified")</f>
        <v>Ship to 90-B</v>
      </c>
      <c r="P1645" t="str">
        <f>IFERROR(VLOOKUP(A1645,'Sales Order'!A:N,14,FALSE),"Not Specified")</f>
        <v>Finland</v>
      </c>
      <c r="Q1645" t="str">
        <f>VLOOKUP(VLOOKUP(B1645,Product!A:C,3,FALSE),Supplier!A:B,2,FALSE)</f>
        <v>Supplier SVIYA</v>
      </c>
      <c r="R1645" t="str">
        <f>VLOOKUP(VLOOKUP(B1645,Product!A:C,3,FALSE),Supplier!A:I,9,FALSE)</f>
        <v>Germany</v>
      </c>
      <c r="S1645" t="str">
        <f>IFERROR(IF(VLOOKUP(A1645,'Sales Order'!A:H,8,FALSE)&gt;100,"High Freight","Low Freight"),"Not Specified")</f>
        <v>Low Freight</v>
      </c>
      <c r="T1645">
        <f t="shared" si="51"/>
        <v>136.80000000000001</v>
      </c>
    </row>
    <row r="1646" spans="1:20">
      <c r="A1646" s="9">
        <v>10874</v>
      </c>
      <c r="B1646" s="6">
        <v>10</v>
      </c>
      <c r="C1646" s="6">
        <v>31</v>
      </c>
      <c r="D1646" s="6">
        <v>10</v>
      </c>
      <c r="E1646" s="18">
        <v>0</v>
      </c>
      <c r="F1646" s="6" t="str">
        <f>IFERROR(VLOOKUP(VLOOKUP(A1646,'Sales Order'!A:B,2,FALSE),Customer!A:C,3,FALSE),"Not Specified")</f>
        <v>Shabalin, Rostislav</v>
      </c>
      <c r="G1646" s="6" t="str">
        <f t="shared" si="50"/>
        <v>Shabalin Rostislav</v>
      </c>
      <c r="H1646" s="22" t="str">
        <f>IFERROR(VLOOKUP(VLOOKUP(A1646,'Sales Order'!A:C,3,FALSE),Employee!A:E,5,FALSE)&amp;" "&amp;VLOOKUP(VLOOKUP(A1646,'Sales Order'!A:C,3,FALSE),Employee!A:C,3,FALSE)&amp;" "&amp;VLOOKUP(VLOOKUP(A1646,'Sales Order'!A:C,3,FALSE),Employee!A:B,2,FALSE),"Not Specified")</f>
        <v>Mr. Sven Buck</v>
      </c>
      <c r="I1646">
        <f>IFERROR(VLOOKUP(VLOOKUP(A1646,'Sales Order'!A:C,3,FALSE),Employee!A:J,10,FALSE),"Not Specified")</f>
        <v>0</v>
      </c>
      <c r="J1646" t="str">
        <f>VLOOKUP(B1646,Product!A:B,2,FALSE)</f>
        <v>Product YHXGE</v>
      </c>
      <c r="K1646" t="str">
        <f>VLOOKUP(VLOOKUP(B1646,Product!A:D,4,FALSE),Category!A:B,2,FALSE)</f>
        <v>Seafood</v>
      </c>
      <c r="L1646" s="24">
        <f>IFERROR(VLOOKUP(A1646,'Sales Order'!A:D,4,FALSE),"")</f>
        <v>39484</v>
      </c>
      <c r="M1646" s="24">
        <f>IFERROR(VLOOKUP(A1646,'Sales Order'!A:F,6,FALSE),"")</f>
        <v>39489</v>
      </c>
      <c r="N1646" t="str">
        <f>IFERROR(VLOOKUP(VLOOKUP(A1646,'Sales Order'!A:G,7,FALSE),Shipper!A:B,2,FALSE),"Not Specified")</f>
        <v>Shipper ETYNR</v>
      </c>
      <c r="O1646" t="str">
        <f>IFERROR(VLOOKUP(A1646,'Sales Order'!A:I,9,FALSE),"Not Specified")</f>
        <v>Destination IIYDD</v>
      </c>
      <c r="P1646" t="str">
        <f>IFERROR(VLOOKUP(A1646,'Sales Order'!A:N,14,FALSE),"Not Specified")</f>
        <v>Spain</v>
      </c>
      <c r="Q1646" t="str">
        <f>VLOOKUP(VLOOKUP(B1646,Product!A:C,3,FALSE),Supplier!A:B,2,FALSE)</f>
        <v>Supplier QOVFD</v>
      </c>
      <c r="R1646" t="str">
        <f>VLOOKUP(VLOOKUP(B1646,Product!A:C,3,FALSE),Supplier!A:I,9,FALSE)</f>
        <v>Japan</v>
      </c>
      <c r="S1646" t="str">
        <f>IFERROR(IF(VLOOKUP(A1646,'Sales Order'!A:H,8,FALSE)&gt;100,"High Freight","Low Freight"),"Not Specified")</f>
        <v>Low Freight</v>
      </c>
      <c r="T1646">
        <f t="shared" si="51"/>
        <v>310</v>
      </c>
    </row>
    <row r="1647" spans="1:20">
      <c r="A1647" s="9">
        <v>10875</v>
      </c>
      <c r="B1647" s="6">
        <v>19</v>
      </c>
      <c r="C1647" s="6">
        <v>9.1999999999999993</v>
      </c>
      <c r="D1647" s="6">
        <v>25</v>
      </c>
      <c r="E1647" s="18">
        <v>0</v>
      </c>
      <c r="F1647" s="6" t="str">
        <f>IFERROR(VLOOKUP(VLOOKUP(A1647,'Sales Order'!A:B,2,FALSE),Customer!A:C,3,FALSE),"Not Specified")</f>
        <v>Higginbotham, Tom</v>
      </c>
      <c r="G1647" s="6" t="str">
        <f t="shared" si="50"/>
        <v>Higginbotham Tom</v>
      </c>
      <c r="H1647" s="22" t="str">
        <f>IFERROR(VLOOKUP(VLOOKUP(A1647,'Sales Order'!A:C,3,FALSE),Employee!A:E,5,FALSE)&amp;" "&amp;VLOOKUP(VLOOKUP(A1647,'Sales Order'!A:C,3,FALSE),Employee!A:C,3,FALSE)&amp;" "&amp;VLOOKUP(VLOOKUP(A1647,'Sales Order'!A:C,3,FALSE),Employee!A:B,2,FALSE),"Not Specified")</f>
        <v>Mrs. Yael Peled</v>
      </c>
      <c r="I1647" t="str">
        <f>IFERROR(VLOOKUP(VLOOKUP(A1647,'Sales Order'!A:C,3,FALSE),Employee!A:J,10,FALSE),"Not Specified")</f>
        <v>WA</v>
      </c>
      <c r="J1647" t="str">
        <f>VLOOKUP(B1647,Product!A:B,2,FALSE)</f>
        <v>Product XKXDO</v>
      </c>
      <c r="K1647" t="str">
        <f>VLOOKUP(VLOOKUP(B1647,Product!A:D,4,FALSE),Category!A:B,2,FALSE)</f>
        <v>Confections</v>
      </c>
      <c r="L1647" s="24">
        <f>IFERROR(VLOOKUP(A1647,'Sales Order'!A:D,4,FALSE),"")</f>
        <v>39484</v>
      </c>
      <c r="M1647" s="24">
        <f>IFERROR(VLOOKUP(A1647,'Sales Order'!A:F,6,FALSE),"")</f>
        <v>39510</v>
      </c>
      <c r="N1647" t="str">
        <f>IFERROR(VLOOKUP(VLOOKUP(A1647,'Sales Order'!A:G,7,FALSE),Shipper!A:B,2,FALSE),"Not Specified")</f>
        <v>Shipper ETYNR</v>
      </c>
      <c r="O1647" t="str">
        <f>IFERROR(VLOOKUP(A1647,'Sales Order'!A:I,9,FALSE),"Not Specified")</f>
        <v>Ship to 5-A</v>
      </c>
      <c r="P1647" t="str">
        <f>IFERROR(VLOOKUP(A1647,'Sales Order'!A:N,14,FALSE),"Not Specified")</f>
        <v>Sweden</v>
      </c>
      <c r="Q1647" t="str">
        <f>VLOOKUP(VLOOKUP(B1647,Product!A:C,3,FALSE),Supplier!A:B,2,FALSE)</f>
        <v>Supplier BWGYE</v>
      </c>
      <c r="R1647" t="str">
        <f>VLOOKUP(VLOOKUP(B1647,Product!A:C,3,FALSE),Supplier!A:I,9,FALSE)</f>
        <v>UK</v>
      </c>
      <c r="S1647" t="str">
        <f>IFERROR(IF(VLOOKUP(A1647,'Sales Order'!A:H,8,FALSE)&gt;100,"High Freight","Low Freight"),"Not Specified")</f>
        <v>Low Freight</v>
      </c>
      <c r="T1647">
        <f t="shared" si="51"/>
        <v>229.99999999999997</v>
      </c>
    </row>
    <row r="1648" spans="1:20">
      <c r="A1648" s="9">
        <v>10875</v>
      </c>
      <c r="B1648" s="6">
        <v>47</v>
      </c>
      <c r="C1648" s="6">
        <v>9.5</v>
      </c>
      <c r="D1648" s="6">
        <v>21</v>
      </c>
      <c r="E1648" s="18">
        <v>0.1</v>
      </c>
      <c r="F1648" s="6" t="str">
        <f>IFERROR(VLOOKUP(VLOOKUP(A1648,'Sales Order'!A:B,2,FALSE),Customer!A:C,3,FALSE),"Not Specified")</f>
        <v>Higginbotham, Tom</v>
      </c>
      <c r="G1648" s="6" t="str">
        <f t="shared" si="50"/>
        <v>Higginbotham Tom</v>
      </c>
      <c r="H1648" s="22" t="str">
        <f>IFERROR(VLOOKUP(VLOOKUP(A1648,'Sales Order'!A:C,3,FALSE),Employee!A:E,5,FALSE)&amp;" "&amp;VLOOKUP(VLOOKUP(A1648,'Sales Order'!A:C,3,FALSE),Employee!A:C,3,FALSE)&amp;" "&amp;VLOOKUP(VLOOKUP(A1648,'Sales Order'!A:C,3,FALSE),Employee!A:B,2,FALSE),"Not Specified")</f>
        <v>Mrs. Yael Peled</v>
      </c>
      <c r="I1648" t="str">
        <f>IFERROR(VLOOKUP(VLOOKUP(A1648,'Sales Order'!A:C,3,FALSE),Employee!A:J,10,FALSE),"Not Specified")</f>
        <v>WA</v>
      </c>
      <c r="J1648" t="str">
        <f>VLOOKUP(B1648,Product!A:B,2,FALSE)</f>
        <v>Product EZZPR</v>
      </c>
      <c r="K1648" t="str">
        <f>VLOOKUP(VLOOKUP(B1648,Product!A:D,4,FALSE),Category!A:B,2,FALSE)</f>
        <v>Confections</v>
      </c>
      <c r="L1648" s="24">
        <f>IFERROR(VLOOKUP(A1648,'Sales Order'!A:D,4,FALSE),"")</f>
        <v>39484</v>
      </c>
      <c r="M1648" s="24">
        <f>IFERROR(VLOOKUP(A1648,'Sales Order'!A:F,6,FALSE),"")</f>
        <v>39510</v>
      </c>
      <c r="N1648" t="str">
        <f>IFERROR(VLOOKUP(VLOOKUP(A1648,'Sales Order'!A:G,7,FALSE),Shipper!A:B,2,FALSE),"Not Specified")</f>
        <v>Shipper ETYNR</v>
      </c>
      <c r="O1648" t="str">
        <f>IFERROR(VLOOKUP(A1648,'Sales Order'!A:I,9,FALSE),"Not Specified")</f>
        <v>Ship to 5-A</v>
      </c>
      <c r="P1648" t="str">
        <f>IFERROR(VLOOKUP(A1648,'Sales Order'!A:N,14,FALSE),"Not Specified")</f>
        <v>Sweden</v>
      </c>
      <c r="Q1648" t="str">
        <f>VLOOKUP(VLOOKUP(B1648,Product!A:C,3,FALSE),Supplier!A:B,2,FALSE)</f>
        <v>Supplier FNUXM</v>
      </c>
      <c r="R1648" t="str">
        <f>VLOOKUP(VLOOKUP(B1648,Product!A:C,3,FALSE),Supplier!A:I,9,FALSE)</f>
        <v>Netherlands</v>
      </c>
      <c r="S1648" t="str">
        <f>IFERROR(IF(VLOOKUP(A1648,'Sales Order'!A:H,8,FALSE)&gt;100,"High Freight","Low Freight"),"Not Specified")</f>
        <v>Low Freight</v>
      </c>
      <c r="T1648">
        <f t="shared" si="51"/>
        <v>179.55</v>
      </c>
    </row>
    <row r="1649" spans="1:20">
      <c r="A1649" s="9">
        <v>10875</v>
      </c>
      <c r="B1649" s="6">
        <v>49</v>
      </c>
      <c r="C1649" s="6">
        <v>20</v>
      </c>
      <c r="D1649" s="6">
        <v>15</v>
      </c>
      <c r="E1649" s="18">
        <v>0</v>
      </c>
      <c r="F1649" s="6" t="str">
        <f>IFERROR(VLOOKUP(VLOOKUP(A1649,'Sales Order'!A:B,2,FALSE),Customer!A:C,3,FALSE),"Not Specified")</f>
        <v>Higginbotham, Tom</v>
      </c>
      <c r="G1649" s="6" t="str">
        <f t="shared" si="50"/>
        <v>Higginbotham Tom</v>
      </c>
      <c r="H1649" s="22" t="str">
        <f>IFERROR(VLOOKUP(VLOOKUP(A1649,'Sales Order'!A:C,3,FALSE),Employee!A:E,5,FALSE)&amp;" "&amp;VLOOKUP(VLOOKUP(A1649,'Sales Order'!A:C,3,FALSE),Employee!A:C,3,FALSE)&amp;" "&amp;VLOOKUP(VLOOKUP(A1649,'Sales Order'!A:C,3,FALSE),Employee!A:B,2,FALSE),"Not Specified")</f>
        <v>Mrs. Yael Peled</v>
      </c>
      <c r="I1649" t="str">
        <f>IFERROR(VLOOKUP(VLOOKUP(A1649,'Sales Order'!A:C,3,FALSE),Employee!A:J,10,FALSE),"Not Specified")</f>
        <v>WA</v>
      </c>
      <c r="J1649" t="str">
        <f>VLOOKUP(B1649,Product!A:B,2,FALSE)</f>
        <v>Product FPYPN</v>
      </c>
      <c r="K1649" t="str">
        <f>VLOOKUP(VLOOKUP(B1649,Product!A:D,4,FALSE),Category!A:B,2,FALSE)</f>
        <v>Confections</v>
      </c>
      <c r="L1649" s="24">
        <f>IFERROR(VLOOKUP(A1649,'Sales Order'!A:D,4,FALSE),"")</f>
        <v>39484</v>
      </c>
      <c r="M1649" s="24">
        <f>IFERROR(VLOOKUP(A1649,'Sales Order'!A:F,6,FALSE),"")</f>
        <v>39510</v>
      </c>
      <c r="N1649" t="str">
        <f>IFERROR(VLOOKUP(VLOOKUP(A1649,'Sales Order'!A:G,7,FALSE),Shipper!A:B,2,FALSE),"Not Specified")</f>
        <v>Shipper ETYNR</v>
      </c>
      <c r="O1649" t="str">
        <f>IFERROR(VLOOKUP(A1649,'Sales Order'!A:I,9,FALSE),"Not Specified")</f>
        <v>Ship to 5-A</v>
      </c>
      <c r="P1649" t="str">
        <f>IFERROR(VLOOKUP(A1649,'Sales Order'!A:N,14,FALSE),"Not Specified")</f>
        <v>Sweden</v>
      </c>
      <c r="Q1649" t="str">
        <f>VLOOKUP(VLOOKUP(B1649,Product!A:C,3,FALSE),Supplier!A:B,2,FALSE)</f>
        <v>Supplier ELCRN</v>
      </c>
      <c r="R1649" t="str">
        <f>VLOOKUP(VLOOKUP(B1649,Product!A:C,3,FALSE),Supplier!A:I,9,FALSE)</f>
        <v>Finland</v>
      </c>
      <c r="S1649" t="str">
        <f>IFERROR(IF(VLOOKUP(A1649,'Sales Order'!A:H,8,FALSE)&gt;100,"High Freight","Low Freight"),"Not Specified")</f>
        <v>Low Freight</v>
      </c>
      <c r="T1649">
        <f t="shared" si="51"/>
        <v>300</v>
      </c>
    </row>
    <row r="1650" spans="1:20">
      <c r="A1650" s="9">
        <v>10876</v>
      </c>
      <c r="B1650" s="6">
        <v>46</v>
      </c>
      <c r="C1650" s="6">
        <v>12</v>
      </c>
      <c r="D1650" s="6">
        <v>21</v>
      </c>
      <c r="E1650" s="18">
        <v>0</v>
      </c>
      <c r="F1650" s="6" t="str">
        <f>IFERROR(VLOOKUP(VLOOKUP(A1650,'Sales Order'!A:B,2,FALSE),Customer!A:C,3,FALSE),"Not Specified")</f>
        <v>Raghav, Amritansh</v>
      </c>
      <c r="G1650" s="6" t="str">
        <f t="shared" si="50"/>
        <v>Raghav Amritansh</v>
      </c>
      <c r="H1650" s="22" t="str">
        <f>IFERROR(VLOOKUP(VLOOKUP(A1650,'Sales Order'!A:C,3,FALSE),Employee!A:E,5,FALSE)&amp;" "&amp;VLOOKUP(VLOOKUP(A1650,'Sales Order'!A:C,3,FALSE),Employee!A:C,3,FALSE)&amp;" "&amp;VLOOKUP(VLOOKUP(A1650,'Sales Order'!A:C,3,FALSE),Employee!A:B,2,FALSE),"Not Specified")</f>
        <v>Mr. Russell King</v>
      </c>
      <c r="I1650">
        <f>IFERROR(VLOOKUP(VLOOKUP(A1650,'Sales Order'!A:C,3,FALSE),Employee!A:J,10,FALSE),"Not Specified")</f>
        <v>0</v>
      </c>
      <c r="J1650" t="str">
        <f>VLOOKUP(B1650,Product!A:B,2,FALSE)</f>
        <v>Product CBRRL</v>
      </c>
      <c r="K1650" t="str">
        <f>VLOOKUP(VLOOKUP(B1650,Product!A:D,4,FALSE),Category!A:B,2,FALSE)</f>
        <v>Seafood</v>
      </c>
      <c r="L1650" s="24">
        <f>IFERROR(VLOOKUP(A1650,'Sales Order'!A:D,4,FALSE),"")</f>
        <v>39487</v>
      </c>
      <c r="M1650" s="24">
        <f>IFERROR(VLOOKUP(A1650,'Sales Order'!A:F,6,FALSE),"")</f>
        <v>39490</v>
      </c>
      <c r="N1650" t="str">
        <f>IFERROR(VLOOKUP(VLOOKUP(A1650,'Sales Order'!A:G,7,FALSE),Shipper!A:B,2,FALSE),"Not Specified")</f>
        <v>Shipper ZHISN</v>
      </c>
      <c r="O1650" t="str">
        <f>IFERROR(VLOOKUP(A1650,'Sales Order'!A:I,9,FALSE),"Not Specified")</f>
        <v>Ship to 9-A</v>
      </c>
      <c r="P1650" t="str">
        <f>IFERROR(VLOOKUP(A1650,'Sales Order'!A:N,14,FALSE),"Not Specified")</f>
        <v>France</v>
      </c>
      <c r="Q1650" t="str">
        <f>VLOOKUP(VLOOKUP(B1650,Product!A:C,3,FALSE),Supplier!A:B,2,FALSE)</f>
        <v>Supplier XOXZA</v>
      </c>
      <c r="R1650" t="str">
        <f>VLOOKUP(VLOOKUP(B1650,Product!A:C,3,FALSE),Supplier!A:I,9,FALSE)</f>
        <v>Denmark</v>
      </c>
      <c r="S1650" t="str">
        <f>IFERROR(IF(VLOOKUP(A1650,'Sales Order'!A:H,8,FALSE)&gt;100,"High Freight","Low Freight"),"Not Specified")</f>
        <v>Low Freight</v>
      </c>
      <c r="T1650">
        <f t="shared" si="51"/>
        <v>252</v>
      </c>
    </row>
    <row r="1651" spans="1:20">
      <c r="A1651" s="9">
        <v>10876</v>
      </c>
      <c r="B1651" s="6">
        <v>64</v>
      </c>
      <c r="C1651" s="6">
        <v>33.25</v>
      </c>
      <c r="D1651" s="6">
        <v>20</v>
      </c>
      <c r="E1651" s="18">
        <v>0</v>
      </c>
      <c r="F1651" s="6" t="str">
        <f>IFERROR(VLOOKUP(VLOOKUP(A1651,'Sales Order'!A:B,2,FALSE),Customer!A:C,3,FALSE),"Not Specified")</f>
        <v>Raghav, Amritansh</v>
      </c>
      <c r="G1651" s="6" t="str">
        <f t="shared" si="50"/>
        <v>Raghav Amritansh</v>
      </c>
      <c r="H1651" s="22" t="str">
        <f>IFERROR(VLOOKUP(VLOOKUP(A1651,'Sales Order'!A:C,3,FALSE),Employee!A:E,5,FALSE)&amp;" "&amp;VLOOKUP(VLOOKUP(A1651,'Sales Order'!A:C,3,FALSE),Employee!A:C,3,FALSE)&amp;" "&amp;VLOOKUP(VLOOKUP(A1651,'Sales Order'!A:C,3,FALSE),Employee!A:B,2,FALSE),"Not Specified")</f>
        <v>Mr. Russell King</v>
      </c>
      <c r="I1651">
        <f>IFERROR(VLOOKUP(VLOOKUP(A1651,'Sales Order'!A:C,3,FALSE),Employee!A:J,10,FALSE),"Not Specified")</f>
        <v>0</v>
      </c>
      <c r="J1651" t="str">
        <f>VLOOKUP(B1651,Product!A:B,2,FALSE)</f>
        <v>Product HCQDE</v>
      </c>
      <c r="K1651" t="str">
        <f>VLOOKUP(VLOOKUP(B1651,Product!A:D,4,FALSE),Category!A:B,2,FALSE)</f>
        <v>Grains/Cereals</v>
      </c>
      <c r="L1651" s="24">
        <f>IFERROR(VLOOKUP(A1651,'Sales Order'!A:D,4,FALSE),"")</f>
        <v>39487</v>
      </c>
      <c r="M1651" s="24">
        <f>IFERROR(VLOOKUP(A1651,'Sales Order'!A:F,6,FALSE),"")</f>
        <v>39490</v>
      </c>
      <c r="N1651" t="str">
        <f>IFERROR(VLOOKUP(VLOOKUP(A1651,'Sales Order'!A:G,7,FALSE),Shipper!A:B,2,FALSE),"Not Specified")</f>
        <v>Shipper ZHISN</v>
      </c>
      <c r="O1651" t="str">
        <f>IFERROR(VLOOKUP(A1651,'Sales Order'!A:I,9,FALSE),"Not Specified")</f>
        <v>Ship to 9-A</v>
      </c>
      <c r="P1651" t="str">
        <f>IFERROR(VLOOKUP(A1651,'Sales Order'!A:N,14,FALSE),"Not Specified")</f>
        <v>France</v>
      </c>
      <c r="Q1651" t="str">
        <f>VLOOKUP(VLOOKUP(B1651,Product!A:C,3,FALSE),Supplier!A:B,2,FALSE)</f>
        <v>Supplier SVIYA</v>
      </c>
      <c r="R1651" t="str">
        <f>VLOOKUP(VLOOKUP(B1651,Product!A:C,3,FALSE),Supplier!A:I,9,FALSE)</f>
        <v>Germany</v>
      </c>
      <c r="S1651" t="str">
        <f>IFERROR(IF(VLOOKUP(A1651,'Sales Order'!A:H,8,FALSE)&gt;100,"High Freight","Low Freight"),"Not Specified")</f>
        <v>Low Freight</v>
      </c>
      <c r="T1651">
        <f t="shared" si="51"/>
        <v>665</v>
      </c>
    </row>
    <row r="1652" spans="1:20">
      <c r="A1652" s="9">
        <v>10877</v>
      </c>
      <c r="B1652" s="6">
        <v>16</v>
      </c>
      <c r="C1652" s="6">
        <v>17.45</v>
      </c>
      <c r="D1652" s="6">
        <v>30</v>
      </c>
      <c r="E1652" s="18">
        <v>0.25</v>
      </c>
      <c r="F1652" s="6" t="str">
        <f>IFERROR(VLOOKUP(VLOOKUP(A1652,'Sales Order'!A:B,2,FALSE),Customer!A:C,3,FALSE),"Not Specified")</f>
        <v>Garden, Euan</v>
      </c>
      <c r="G1652" s="6" t="str">
        <f t="shared" si="50"/>
        <v>Garden Euan</v>
      </c>
      <c r="H1652" s="22" t="str">
        <f>IFERROR(VLOOKUP(VLOOKUP(A1652,'Sales Order'!A:C,3,FALSE),Employee!A:E,5,FALSE)&amp;" "&amp;VLOOKUP(VLOOKUP(A1652,'Sales Order'!A:C,3,FALSE),Employee!A:C,3,FALSE)&amp;" "&amp;VLOOKUP(VLOOKUP(A1652,'Sales Order'!A:C,3,FALSE),Employee!A:B,2,FALSE),"Not Specified")</f>
        <v>Ms. Sara Davis</v>
      </c>
      <c r="I1652" t="str">
        <f>IFERROR(VLOOKUP(VLOOKUP(A1652,'Sales Order'!A:C,3,FALSE),Employee!A:J,10,FALSE),"Not Specified")</f>
        <v>WA</v>
      </c>
      <c r="J1652" t="str">
        <f>VLOOKUP(B1652,Product!A:B,2,FALSE)</f>
        <v>Product PAFRH</v>
      </c>
      <c r="K1652" t="str">
        <f>VLOOKUP(VLOOKUP(B1652,Product!A:D,4,FALSE),Category!A:B,2,FALSE)</f>
        <v>Confections</v>
      </c>
      <c r="L1652" s="24">
        <f>IFERROR(VLOOKUP(A1652,'Sales Order'!A:D,4,FALSE),"")</f>
        <v>39487</v>
      </c>
      <c r="M1652" s="24">
        <f>IFERROR(VLOOKUP(A1652,'Sales Order'!A:F,6,FALSE),"")</f>
        <v>39497</v>
      </c>
      <c r="N1652" t="str">
        <f>IFERROR(VLOOKUP(VLOOKUP(A1652,'Sales Order'!A:G,7,FALSE),Shipper!A:B,2,FALSE),"Not Specified")</f>
        <v>Shipper GVSUA</v>
      </c>
      <c r="O1652" t="str">
        <f>IFERROR(VLOOKUP(A1652,'Sales Order'!A:I,9,FALSE),"Not Specified")</f>
        <v>Ship to 67-B</v>
      </c>
      <c r="P1652" t="str">
        <f>IFERROR(VLOOKUP(A1652,'Sales Order'!A:N,14,FALSE),"Not Specified")</f>
        <v>Brazil</v>
      </c>
      <c r="Q1652" t="str">
        <f>VLOOKUP(VLOOKUP(B1652,Product!A:C,3,FALSE),Supplier!A:B,2,FALSE)</f>
        <v>Supplier GQRCV</v>
      </c>
      <c r="R1652" t="str">
        <f>VLOOKUP(VLOOKUP(B1652,Product!A:C,3,FALSE),Supplier!A:I,9,FALSE)</f>
        <v>Australia</v>
      </c>
      <c r="S1652" t="str">
        <f>IFERROR(IF(VLOOKUP(A1652,'Sales Order'!A:H,8,FALSE)&gt;100,"High Freight","Low Freight"),"Not Specified")</f>
        <v>Low Freight</v>
      </c>
      <c r="T1652">
        <f t="shared" si="51"/>
        <v>392.625</v>
      </c>
    </row>
    <row r="1653" spans="1:20">
      <c r="A1653" s="9">
        <v>10877</v>
      </c>
      <c r="B1653" s="6">
        <v>18</v>
      </c>
      <c r="C1653" s="6">
        <v>62.5</v>
      </c>
      <c r="D1653" s="6">
        <v>25</v>
      </c>
      <c r="E1653" s="18">
        <v>0</v>
      </c>
      <c r="F1653" s="6" t="str">
        <f>IFERROR(VLOOKUP(VLOOKUP(A1653,'Sales Order'!A:B,2,FALSE),Customer!A:C,3,FALSE),"Not Specified")</f>
        <v>Garden, Euan</v>
      </c>
      <c r="G1653" s="6" t="str">
        <f t="shared" si="50"/>
        <v>Garden Euan</v>
      </c>
      <c r="H1653" s="22" t="str">
        <f>IFERROR(VLOOKUP(VLOOKUP(A1653,'Sales Order'!A:C,3,FALSE),Employee!A:E,5,FALSE)&amp;" "&amp;VLOOKUP(VLOOKUP(A1653,'Sales Order'!A:C,3,FALSE),Employee!A:C,3,FALSE)&amp;" "&amp;VLOOKUP(VLOOKUP(A1653,'Sales Order'!A:C,3,FALSE),Employee!A:B,2,FALSE),"Not Specified")</f>
        <v>Ms. Sara Davis</v>
      </c>
      <c r="I1653" t="str">
        <f>IFERROR(VLOOKUP(VLOOKUP(A1653,'Sales Order'!A:C,3,FALSE),Employee!A:J,10,FALSE),"Not Specified")</f>
        <v>WA</v>
      </c>
      <c r="J1653" t="str">
        <f>VLOOKUP(B1653,Product!A:B,2,FALSE)</f>
        <v>Product CKEDC</v>
      </c>
      <c r="K1653" t="str">
        <f>VLOOKUP(VLOOKUP(B1653,Product!A:D,4,FALSE),Category!A:B,2,FALSE)</f>
        <v>Seafood</v>
      </c>
      <c r="L1653" s="24">
        <f>IFERROR(VLOOKUP(A1653,'Sales Order'!A:D,4,FALSE),"")</f>
        <v>39487</v>
      </c>
      <c r="M1653" s="24">
        <f>IFERROR(VLOOKUP(A1653,'Sales Order'!A:F,6,FALSE),"")</f>
        <v>39497</v>
      </c>
      <c r="N1653" t="str">
        <f>IFERROR(VLOOKUP(VLOOKUP(A1653,'Sales Order'!A:G,7,FALSE),Shipper!A:B,2,FALSE),"Not Specified")</f>
        <v>Shipper GVSUA</v>
      </c>
      <c r="O1653" t="str">
        <f>IFERROR(VLOOKUP(A1653,'Sales Order'!A:I,9,FALSE),"Not Specified")</f>
        <v>Ship to 67-B</v>
      </c>
      <c r="P1653" t="str">
        <f>IFERROR(VLOOKUP(A1653,'Sales Order'!A:N,14,FALSE),"Not Specified")</f>
        <v>Brazil</v>
      </c>
      <c r="Q1653" t="str">
        <f>VLOOKUP(VLOOKUP(B1653,Product!A:C,3,FALSE),Supplier!A:B,2,FALSE)</f>
        <v>Supplier GQRCV</v>
      </c>
      <c r="R1653" t="str">
        <f>VLOOKUP(VLOOKUP(B1653,Product!A:C,3,FALSE),Supplier!A:I,9,FALSE)</f>
        <v>Australia</v>
      </c>
      <c r="S1653" t="str">
        <f>IFERROR(IF(VLOOKUP(A1653,'Sales Order'!A:H,8,FALSE)&gt;100,"High Freight","Low Freight"),"Not Specified")</f>
        <v>Low Freight</v>
      </c>
      <c r="T1653">
        <f t="shared" si="51"/>
        <v>1562.5</v>
      </c>
    </row>
    <row r="1654" spans="1:20">
      <c r="A1654" s="9">
        <v>10878</v>
      </c>
      <c r="B1654" s="6">
        <v>20</v>
      </c>
      <c r="C1654" s="6">
        <v>81</v>
      </c>
      <c r="D1654" s="6">
        <v>20</v>
      </c>
      <c r="E1654" s="18">
        <v>0.05</v>
      </c>
      <c r="F1654" s="6" t="str">
        <f>IFERROR(VLOOKUP(VLOOKUP(A1654,'Sales Order'!A:B,2,FALSE),Customer!A:C,3,FALSE),"Not Specified")</f>
        <v>Veronesi, Giorgio</v>
      </c>
      <c r="G1654" s="6" t="str">
        <f t="shared" si="50"/>
        <v>Veronesi Giorgio</v>
      </c>
      <c r="H1654" s="22" t="str">
        <f>IFERROR(VLOOKUP(VLOOKUP(A1654,'Sales Order'!A:C,3,FALSE),Employee!A:E,5,FALSE)&amp;" "&amp;VLOOKUP(VLOOKUP(A1654,'Sales Order'!A:C,3,FALSE),Employee!A:C,3,FALSE)&amp;" "&amp;VLOOKUP(VLOOKUP(A1654,'Sales Order'!A:C,3,FALSE),Employee!A:B,2,FALSE),"Not Specified")</f>
        <v>Mrs. Yael Peled</v>
      </c>
      <c r="I1654" t="str">
        <f>IFERROR(VLOOKUP(VLOOKUP(A1654,'Sales Order'!A:C,3,FALSE),Employee!A:J,10,FALSE),"Not Specified")</f>
        <v>WA</v>
      </c>
      <c r="J1654" t="str">
        <f>VLOOKUP(B1654,Product!A:B,2,FALSE)</f>
        <v>Product QHFFP</v>
      </c>
      <c r="K1654" t="str">
        <f>VLOOKUP(VLOOKUP(B1654,Product!A:D,4,FALSE),Category!A:B,2,FALSE)</f>
        <v>Confections</v>
      </c>
      <c r="L1654" s="24">
        <f>IFERROR(VLOOKUP(A1654,'Sales Order'!A:D,4,FALSE),"")</f>
        <v>39488</v>
      </c>
      <c r="M1654" s="24">
        <f>IFERROR(VLOOKUP(A1654,'Sales Order'!A:F,6,FALSE),"")</f>
        <v>39490</v>
      </c>
      <c r="N1654" t="str">
        <f>IFERROR(VLOOKUP(VLOOKUP(A1654,'Sales Order'!A:G,7,FALSE),Shipper!A:B,2,FALSE),"Not Specified")</f>
        <v>Shipper GVSUA</v>
      </c>
      <c r="O1654" t="str">
        <f>IFERROR(VLOOKUP(A1654,'Sales Order'!A:I,9,FALSE),"Not Specified")</f>
        <v>Ship to 63-B</v>
      </c>
      <c r="P1654" t="str">
        <f>IFERROR(VLOOKUP(A1654,'Sales Order'!A:N,14,FALSE),"Not Specified")</f>
        <v>Germany</v>
      </c>
      <c r="Q1654" t="str">
        <f>VLOOKUP(VLOOKUP(B1654,Product!A:C,3,FALSE),Supplier!A:B,2,FALSE)</f>
        <v>Supplier BWGYE</v>
      </c>
      <c r="R1654" t="str">
        <f>VLOOKUP(VLOOKUP(B1654,Product!A:C,3,FALSE),Supplier!A:I,9,FALSE)</f>
        <v>UK</v>
      </c>
      <c r="S1654" t="str">
        <f>IFERROR(IF(VLOOKUP(A1654,'Sales Order'!A:H,8,FALSE)&gt;100,"High Freight","Low Freight"),"Not Specified")</f>
        <v>Low Freight</v>
      </c>
      <c r="T1654">
        <f t="shared" si="51"/>
        <v>1539</v>
      </c>
    </row>
    <row r="1655" spans="1:20">
      <c r="A1655" s="9">
        <v>10879</v>
      </c>
      <c r="B1655" s="6">
        <v>40</v>
      </c>
      <c r="C1655" s="6">
        <v>18.399999999999999</v>
      </c>
      <c r="D1655" s="6">
        <v>12</v>
      </c>
      <c r="E1655" s="18">
        <v>0</v>
      </c>
      <c r="F1655" s="6" t="str">
        <f>IFERROR(VLOOKUP(VLOOKUP(A1655,'Sales Order'!A:B,2,FALSE),Customer!A:C,3,FALSE),"Not Specified")</f>
        <v>Larsson, Katarina</v>
      </c>
      <c r="G1655" s="6" t="str">
        <f t="shared" si="50"/>
        <v>Larsson Katarina</v>
      </c>
      <c r="H1655" s="22" t="str">
        <f>IFERROR(VLOOKUP(VLOOKUP(A1655,'Sales Order'!A:C,3,FALSE),Employee!A:E,5,FALSE)&amp;" "&amp;VLOOKUP(VLOOKUP(A1655,'Sales Order'!A:C,3,FALSE),Employee!A:C,3,FALSE)&amp;" "&amp;VLOOKUP(VLOOKUP(A1655,'Sales Order'!A:C,3,FALSE),Employee!A:B,2,FALSE),"Not Specified")</f>
        <v>Ms. Judy Lew</v>
      </c>
      <c r="I1655" t="str">
        <f>IFERROR(VLOOKUP(VLOOKUP(A1655,'Sales Order'!A:C,3,FALSE),Employee!A:J,10,FALSE),"Not Specified")</f>
        <v>WA</v>
      </c>
      <c r="J1655" t="str">
        <f>VLOOKUP(B1655,Product!A:B,2,FALSE)</f>
        <v>Product YZIXQ</v>
      </c>
      <c r="K1655" t="str">
        <f>VLOOKUP(VLOOKUP(B1655,Product!A:D,4,FALSE),Category!A:B,2,FALSE)</f>
        <v>Seafood</v>
      </c>
      <c r="L1655" s="24">
        <f>IFERROR(VLOOKUP(A1655,'Sales Order'!A:D,4,FALSE),"")</f>
        <v>39488</v>
      </c>
      <c r="M1655" s="24">
        <f>IFERROR(VLOOKUP(A1655,'Sales Order'!A:F,6,FALSE),"")</f>
        <v>39490</v>
      </c>
      <c r="N1655" t="str">
        <f>IFERROR(VLOOKUP(VLOOKUP(A1655,'Sales Order'!A:G,7,FALSE),Shipper!A:B,2,FALSE),"Not Specified")</f>
        <v>Shipper ZHISN</v>
      </c>
      <c r="O1655" t="str">
        <f>IFERROR(VLOOKUP(A1655,'Sales Order'!A:I,9,FALSE),"Not Specified")</f>
        <v>Ship to 90-A</v>
      </c>
      <c r="P1655" t="str">
        <f>IFERROR(VLOOKUP(A1655,'Sales Order'!A:N,14,FALSE),"Not Specified")</f>
        <v>Finland</v>
      </c>
      <c r="Q1655" t="str">
        <f>VLOOKUP(VLOOKUP(B1655,Product!A:C,3,FALSE),Supplier!A:B,2,FALSE)</f>
        <v>Supplier JDNUG</v>
      </c>
      <c r="R1655" t="str">
        <f>VLOOKUP(VLOOKUP(B1655,Product!A:C,3,FALSE),Supplier!A:I,9,FALSE)</f>
        <v>USA</v>
      </c>
      <c r="S1655" t="str">
        <f>IFERROR(IF(VLOOKUP(A1655,'Sales Order'!A:H,8,FALSE)&gt;100,"High Freight","Low Freight"),"Not Specified")</f>
        <v>Low Freight</v>
      </c>
      <c r="T1655">
        <f t="shared" si="51"/>
        <v>220.79999999999998</v>
      </c>
    </row>
    <row r="1656" spans="1:20">
      <c r="A1656" s="9">
        <v>10879</v>
      </c>
      <c r="B1656" s="6">
        <v>65</v>
      </c>
      <c r="C1656" s="6">
        <v>21.05</v>
      </c>
      <c r="D1656" s="6">
        <v>10</v>
      </c>
      <c r="E1656" s="18">
        <v>0</v>
      </c>
      <c r="F1656" s="6" t="str">
        <f>IFERROR(VLOOKUP(VLOOKUP(A1656,'Sales Order'!A:B,2,FALSE),Customer!A:C,3,FALSE),"Not Specified")</f>
        <v>Larsson, Katarina</v>
      </c>
      <c r="G1656" s="6" t="str">
        <f t="shared" si="50"/>
        <v>Larsson Katarina</v>
      </c>
      <c r="H1656" s="22" t="str">
        <f>IFERROR(VLOOKUP(VLOOKUP(A1656,'Sales Order'!A:C,3,FALSE),Employee!A:E,5,FALSE)&amp;" "&amp;VLOOKUP(VLOOKUP(A1656,'Sales Order'!A:C,3,FALSE),Employee!A:C,3,FALSE)&amp;" "&amp;VLOOKUP(VLOOKUP(A1656,'Sales Order'!A:C,3,FALSE),Employee!A:B,2,FALSE),"Not Specified")</f>
        <v>Ms. Judy Lew</v>
      </c>
      <c r="I1656" t="str">
        <f>IFERROR(VLOOKUP(VLOOKUP(A1656,'Sales Order'!A:C,3,FALSE),Employee!A:J,10,FALSE),"Not Specified")</f>
        <v>WA</v>
      </c>
      <c r="J1656" t="str">
        <f>VLOOKUP(B1656,Product!A:B,2,FALSE)</f>
        <v>Product XYWBZ</v>
      </c>
      <c r="K1656" t="str">
        <f>VLOOKUP(VLOOKUP(B1656,Product!A:D,4,FALSE),Category!A:B,2,FALSE)</f>
        <v>Condiments</v>
      </c>
      <c r="L1656" s="24">
        <f>IFERROR(VLOOKUP(A1656,'Sales Order'!A:D,4,FALSE),"")</f>
        <v>39488</v>
      </c>
      <c r="M1656" s="24">
        <f>IFERROR(VLOOKUP(A1656,'Sales Order'!A:F,6,FALSE),"")</f>
        <v>39490</v>
      </c>
      <c r="N1656" t="str">
        <f>IFERROR(VLOOKUP(VLOOKUP(A1656,'Sales Order'!A:G,7,FALSE),Shipper!A:B,2,FALSE),"Not Specified")</f>
        <v>Shipper ZHISN</v>
      </c>
      <c r="O1656" t="str">
        <f>IFERROR(VLOOKUP(A1656,'Sales Order'!A:I,9,FALSE),"Not Specified")</f>
        <v>Ship to 90-A</v>
      </c>
      <c r="P1656" t="str">
        <f>IFERROR(VLOOKUP(A1656,'Sales Order'!A:N,14,FALSE),"Not Specified")</f>
        <v>Finland</v>
      </c>
      <c r="Q1656" t="str">
        <f>VLOOKUP(VLOOKUP(B1656,Product!A:C,3,FALSE),Supplier!A:B,2,FALSE)</f>
        <v>Supplier VHQZD</v>
      </c>
      <c r="R1656" t="str">
        <f>VLOOKUP(VLOOKUP(B1656,Product!A:C,3,FALSE),Supplier!A:I,9,FALSE)</f>
        <v>USA</v>
      </c>
      <c r="S1656" t="str">
        <f>IFERROR(IF(VLOOKUP(A1656,'Sales Order'!A:H,8,FALSE)&gt;100,"High Freight","Low Freight"),"Not Specified")</f>
        <v>Low Freight</v>
      </c>
      <c r="T1656">
        <f t="shared" si="51"/>
        <v>210.5</v>
      </c>
    </row>
    <row r="1657" spans="1:20">
      <c r="A1657" s="9">
        <v>10879</v>
      </c>
      <c r="B1657" s="6">
        <v>76</v>
      </c>
      <c r="C1657" s="6">
        <v>18</v>
      </c>
      <c r="D1657" s="6">
        <v>10</v>
      </c>
      <c r="E1657" s="18">
        <v>0</v>
      </c>
      <c r="F1657" s="6" t="str">
        <f>IFERROR(VLOOKUP(VLOOKUP(A1657,'Sales Order'!A:B,2,FALSE),Customer!A:C,3,FALSE),"Not Specified")</f>
        <v>Larsson, Katarina</v>
      </c>
      <c r="G1657" s="6" t="str">
        <f t="shared" si="50"/>
        <v>Larsson Katarina</v>
      </c>
      <c r="H1657" s="22" t="str">
        <f>IFERROR(VLOOKUP(VLOOKUP(A1657,'Sales Order'!A:C,3,FALSE),Employee!A:E,5,FALSE)&amp;" "&amp;VLOOKUP(VLOOKUP(A1657,'Sales Order'!A:C,3,FALSE),Employee!A:C,3,FALSE)&amp;" "&amp;VLOOKUP(VLOOKUP(A1657,'Sales Order'!A:C,3,FALSE),Employee!A:B,2,FALSE),"Not Specified")</f>
        <v>Ms. Judy Lew</v>
      </c>
      <c r="I1657" t="str">
        <f>IFERROR(VLOOKUP(VLOOKUP(A1657,'Sales Order'!A:C,3,FALSE),Employee!A:J,10,FALSE),"Not Specified")</f>
        <v>WA</v>
      </c>
      <c r="J1657" t="str">
        <f>VLOOKUP(B1657,Product!A:B,2,FALSE)</f>
        <v>Product JYGFE</v>
      </c>
      <c r="K1657" t="str">
        <f>VLOOKUP(VLOOKUP(B1657,Product!A:D,4,FALSE),Category!A:B,2,FALSE)</f>
        <v>Beverages</v>
      </c>
      <c r="L1657" s="24">
        <f>IFERROR(VLOOKUP(A1657,'Sales Order'!A:D,4,FALSE),"")</f>
        <v>39488</v>
      </c>
      <c r="M1657" s="24">
        <f>IFERROR(VLOOKUP(A1657,'Sales Order'!A:F,6,FALSE),"")</f>
        <v>39490</v>
      </c>
      <c r="N1657" t="str">
        <f>IFERROR(VLOOKUP(VLOOKUP(A1657,'Sales Order'!A:G,7,FALSE),Shipper!A:B,2,FALSE),"Not Specified")</f>
        <v>Shipper ZHISN</v>
      </c>
      <c r="O1657" t="str">
        <f>IFERROR(VLOOKUP(A1657,'Sales Order'!A:I,9,FALSE),"Not Specified")</f>
        <v>Ship to 90-A</v>
      </c>
      <c r="P1657" t="str">
        <f>IFERROR(VLOOKUP(A1657,'Sales Order'!A:N,14,FALSE),"Not Specified")</f>
        <v>Finland</v>
      </c>
      <c r="Q1657" t="str">
        <f>VLOOKUP(VLOOKUP(B1657,Product!A:C,3,FALSE),Supplier!A:B,2,FALSE)</f>
        <v>Supplier ELCRN</v>
      </c>
      <c r="R1657" t="str">
        <f>VLOOKUP(VLOOKUP(B1657,Product!A:C,3,FALSE),Supplier!A:I,9,FALSE)</f>
        <v>Finland</v>
      </c>
      <c r="S1657" t="str">
        <f>IFERROR(IF(VLOOKUP(A1657,'Sales Order'!A:H,8,FALSE)&gt;100,"High Freight","Low Freight"),"Not Specified")</f>
        <v>Low Freight</v>
      </c>
      <c r="T1657">
        <f t="shared" si="51"/>
        <v>180</v>
      </c>
    </row>
    <row r="1658" spans="1:20">
      <c r="A1658" s="9">
        <v>10880</v>
      </c>
      <c r="B1658" s="6">
        <v>23</v>
      </c>
      <c r="C1658" s="6">
        <v>9</v>
      </c>
      <c r="D1658" s="6">
        <v>30</v>
      </c>
      <c r="E1658" s="18">
        <v>0.2</v>
      </c>
      <c r="F1658" s="6" t="str">
        <f>IFERROR(VLOOKUP(VLOOKUP(A1658,'Sales Order'!A:B,2,FALSE),Customer!A:C,3,FALSE),"Not Specified")</f>
        <v>San Juan, Patricia</v>
      </c>
      <c r="G1658" s="6" t="str">
        <f t="shared" si="50"/>
        <v>San Juan Patricia</v>
      </c>
      <c r="H1658" s="22" t="str">
        <f>IFERROR(VLOOKUP(VLOOKUP(A1658,'Sales Order'!A:C,3,FALSE),Employee!A:E,5,FALSE)&amp;" "&amp;VLOOKUP(VLOOKUP(A1658,'Sales Order'!A:C,3,FALSE),Employee!A:C,3,FALSE)&amp;" "&amp;VLOOKUP(VLOOKUP(A1658,'Sales Order'!A:C,3,FALSE),Employee!A:B,2,FALSE),"Not Specified")</f>
        <v>Mr. Russell King</v>
      </c>
      <c r="I1658">
        <f>IFERROR(VLOOKUP(VLOOKUP(A1658,'Sales Order'!A:C,3,FALSE),Employee!A:J,10,FALSE),"Not Specified")</f>
        <v>0</v>
      </c>
      <c r="J1658" t="str">
        <f>VLOOKUP(B1658,Product!A:B,2,FALSE)</f>
        <v>Product JLUDZ</v>
      </c>
      <c r="K1658" t="str">
        <f>VLOOKUP(VLOOKUP(B1658,Product!A:D,4,FALSE),Category!A:B,2,FALSE)</f>
        <v>Grains/Cereals</v>
      </c>
      <c r="L1658" s="24">
        <f>IFERROR(VLOOKUP(A1658,'Sales Order'!A:D,4,FALSE),"")</f>
        <v>39488</v>
      </c>
      <c r="M1658" s="24">
        <f>IFERROR(VLOOKUP(A1658,'Sales Order'!A:F,6,FALSE),"")</f>
        <v>39496</v>
      </c>
      <c r="N1658" t="str">
        <f>IFERROR(VLOOKUP(VLOOKUP(A1658,'Sales Order'!A:G,7,FALSE),Shipper!A:B,2,FALSE),"Not Specified")</f>
        <v>Shipper GVSUA</v>
      </c>
      <c r="O1658" t="str">
        <f>IFERROR(VLOOKUP(A1658,'Sales Order'!A:I,9,FALSE),"Not Specified")</f>
        <v>Destination KBSBN</v>
      </c>
      <c r="P1658" t="str">
        <f>IFERROR(VLOOKUP(A1658,'Sales Order'!A:N,14,FALSE),"Not Specified")</f>
        <v>Sweden</v>
      </c>
      <c r="Q1658" t="str">
        <f>VLOOKUP(VLOOKUP(B1658,Product!A:C,3,FALSE),Supplier!A:B,2,FALSE)</f>
        <v>Supplier QQYEU</v>
      </c>
      <c r="R1658" t="str">
        <f>VLOOKUP(VLOOKUP(B1658,Product!A:C,3,FALSE),Supplier!A:I,9,FALSE)</f>
        <v>Sweden</v>
      </c>
      <c r="S1658" t="str">
        <f>IFERROR(IF(VLOOKUP(A1658,'Sales Order'!A:H,8,FALSE)&gt;100,"High Freight","Low Freight"),"Not Specified")</f>
        <v>Low Freight</v>
      </c>
      <c r="T1658">
        <f t="shared" si="51"/>
        <v>216</v>
      </c>
    </row>
    <row r="1659" spans="1:20">
      <c r="A1659" s="9">
        <v>10880</v>
      </c>
      <c r="B1659" s="6">
        <v>61</v>
      </c>
      <c r="C1659" s="6">
        <v>28.5</v>
      </c>
      <c r="D1659" s="6">
        <v>30</v>
      </c>
      <c r="E1659" s="18">
        <v>0.2</v>
      </c>
      <c r="F1659" s="6" t="str">
        <f>IFERROR(VLOOKUP(VLOOKUP(A1659,'Sales Order'!A:B,2,FALSE),Customer!A:C,3,FALSE),"Not Specified")</f>
        <v>San Juan, Patricia</v>
      </c>
      <c r="G1659" s="6" t="str">
        <f t="shared" si="50"/>
        <v>San Juan Patricia</v>
      </c>
      <c r="H1659" s="22" t="str">
        <f>IFERROR(VLOOKUP(VLOOKUP(A1659,'Sales Order'!A:C,3,FALSE),Employee!A:E,5,FALSE)&amp;" "&amp;VLOOKUP(VLOOKUP(A1659,'Sales Order'!A:C,3,FALSE),Employee!A:C,3,FALSE)&amp;" "&amp;VLOOKUP(VLOOKUP(A1659,'Sales Order'!A:C,3,FALSE),Employee!A:B,2,FALSE),"Not Specified")</f>
        <v>Mr. Russell King</v>
      </c>
      <c r="I1659">
        <f>IFERROR(VLOOKUP(VLOOKUP(A1659,'Sales Order'!A:C,3,FALSE),Employee!A:J,10,FALSE),"Not Specified")</f>
        <v>0</v>
      </c>
      <c r="J1659" t="str">
        <f>VLOOKUP(B1659,Product!A:B,2,FALSE)</f>
        <v>Product XYZPE</v>
      </c>
      <c r="K1659" t="str">
        <f>VLOOKUP(VLOOKUP(B1659,Product!A:D,4,FALSE),Category!A:B,2,FALSE)</f>
        <v>Condiments</v>
      </c>
      <c r="L1659" s="24">
        <f>IFERROR(VLOOKUP(A1659,'Sales Order'!A:D,4,FALSE),"")</f>
        <v>39488</v>
      </c>
      <c r="M1659" s="24">
        <f>IFERROR(VLOOKUP(A1659,'Sales Order'!A:F,6,FALSE),"")</f>
        <v>39496</v>
      </c>
      <c r="N1659" t="str">
        <f>IFERROR(VLOOKUP(VLOOKUP(A1659,'Sales Order'!A:G,7,FALSE),Shipper!A:B,2,FALSE),"Not Specified")</f>
        <v>Shipper GVSUA</v>
      </c>
      <c r="O1659" t="str">
        <f>IFERROR(VLOOKUP(A1659,'Sales Order'!A:I,9,FALSE),"Not Specified")</f>
        <v>Destination KBSBN</v>
      </c>
      <c r="P1659" t="str">
        <f>IFERROR(VLOOKUP(A1659,'Sales Order'!A:N,14,FALSE),"Not Specified")</f>
        <v>Sweden</v>
      </c>
      <c r="Q1659" t="str">
        <f>VLOOKUP(VLOOKUP(B1659,Product!A:C,3,FALSE),Supplier!A:B,2,FALSE)</f>
        <v>Supplier OGLRK</v>
      </c>
      <c r="R1659" t="str">
        <f>VLOOKUP(VLOOKUP(B1659,Product!A:C,3,FALSE),Supplier!A:I,9,FALSE)</f>
        <v>Canada</v>
      </c>
      <c r="S1659" t="str">
        <f>IFERROR(IF(VLOOKUP(A1659,'Sales Order'!A:H,8,FALSE)&gt;100,"High Freight","Low Freight"),"Not Specified")</f>
        <v>Low Freight</v>
      </c>
      <c r="T1659">
        <f t="shared" si="51"/>
        <v>684</v>
      </c>
    </row>
    <row r="1660" spans="1:20">
      <c r="A1660" s="9">
        <v>10880</v>
      </c>
      <c r="B1660" s="6">
        <v>70</v>
      </c>
      <c r="C1660" s="6">
        <v>15</v>
      </c>
      <c r="D1660" s="6">
        <v>50</v>
      </c>
      <c r="E1660" s="18">
        <v>0.2</v>
      </c>
      <c r="F1660" s="6" t="str">
        <f>IFERROR(VLOOKUP(VLOOKUP(A1660,'Sales Order'!A:B,2,FALSE),Customer!A:C,3,FALSE),"Not Specified")</f>
        <v>San Juan, Patricia</v>
      </c>
      <c r="G1660" s="6" t="str">
        <f t="shared" si="50"/>
        <v>San Juan Patricia</v>
      </c>
      <c r="H1660" s="22" t="str">
        <f>IFERROR(VLOOKUP(VLOOKUP(A1660,'Sales Order'!A:C,3,FALSE),Employee!A:E,5,FALSE)&amp;" "&amp;VLOOKUP(VLOOKUP(A1660,'Sales Order'!A:C,3,FALSE),Employee!A:C,3,FALSE)&amp;" "&amp;VLOOKUP(VLOOKUP(A1660,'Sales Order'!A:C,3,FALSE),Employee!A:B,2,FALSE),"Not Specified")</f>
        <v>Mr. Russell King</v>
      </c>
      <c r="I1660">
        <f>IFERROR(VLOOKUP(VLOOKUP(A1660,'Sales Order'!A:C,3,FALSE),Employee!A:J,10,FALSE),"Not Specified")</f>
        <v>0</v>
      </c>
      <c r="J1660" t="str">
        <f>VLOOKUP(B1660,Product!A:B,2,FALSE)</f>
        <v>Product TOONT</v>
      </c>
      <c r="K1660" t="str">
        <f>VLOOKUP(VLOOKUP(B1660,Product!A:D,4,FALSE),Category!A:B,2,FALSE)</f>
        <v>Beverages</v>
      </c>
      <c r="L1660" s="24">
        <f>IFERROR(VLOOKUP(A1660,'Sales Order'!A:D,4,FALSE),"")</f>
        <v>39488</v>
      </c>
      <c r="M1660" s="24">
        <f>IFERROR(VLOOKUP(A1660,'Sales Order'!A:F,6,FALSE),"")</f>
        <v>39496</v>
      </c>
      <c r="N1660" t="str">
        <f>IFERROR(VLOOKUP(VLOOKUP(A1660,'Sales Order'!A:G,7,FALSE),Shipper!A:B,2,FALSE),"Not Specified")</f>
        <v>Shipper GVSUA</v>
      </c>
      <c r="O1660" t="str">
        <f>IFERROR(VLOOKUP(A1660,'Sales Order'!A:I,9,FALSE),"Not Specified")</f>
        <v>Destination KBSBN</v>
      </c>
      <c r="P1660" t="str">
        <f>IFERROR(VLOOKUP(A1660,'Sales Order'!A:N,14,FALSE),"Not Specified")</f>
        <v>Sweden</v>
      </c>
      <c r="Q1660" t="str">
        <f>VLOOKUP(VLOOKUP(B1660,Product!A:C,3,FALSE),Supplier!A:B,2,FALSE)</f>
        <v>Supplier GQRCV</v>
      </c>
      <c r="R1660" t="str">
        <f>VLOOKUP(VLOOKUP(B1660,Product!A:C,3,FALSE),Supplier!A:I,9,FALSE)</f>
        <v>Australia</v>
      </c>
      <c r="S1660" t="str">
        <f>IFERROR(IF(VLOOKUP(A1660,'Sales Order'!A:H,8,FALSE)&gt;100,"High Freight","Low Freight"),"Not Specified")</f>
        <v>Low Freight</v>
      </c>
      <c r="T1660">
        <f t="shared" si="51"/>
        <v>600</v>
      </c>
    </row>
    <row r="1661" spans="1:20">
      <c r="A1661" s="9">
        <v>10881</v>
      </c>
      <c r="B1661" s="6">
        <v>73</v>
      </c>
      <c r="C1661" s="6">
        <v>15</v>
      </c>
      <c r="D1661" s="6">
        <v>10</v>
      </c>
      <c r="E1661" s="18">
        <v>0</v>
      </c>
      <c r="F1661" s="6" t="str">
        <f>IFERROR(VLOOKUP(VLOOKUP(A1661,'Sales Order'!A:B,2,FALSE),Customer!A:C,3,FALSE),"Not Specified")</f>
        <v>Ray, Mike</v>
      </c>
      <c r="G1661" s="6" t="str">
        <f t="shared" si="50"/>
        <v>Ray Mike</v>
      </c>
      <c r="H1661" s="22" t="str">
        <f>IFERROR(VLOOKUP(VLOOKUP(A1661,'Sales Order'!A:C,3,FALSE),Employee!A:E,5,FALSE)&amp;" "&amp;VLOOKUP(VLOOKUP(A1661,'Sales Order'!A:C,3,FALSE),Employee!A:C,3,FALSE)&amp;" "&amp;VLOOKUP(VLOOKUP(A1661,'Sales Order'!A:C,3,FALSE),Employee!A:B,2,FALSE),"Not Specified")</f>
        <v>Mrs. Yael Peled</v>
      </c>
      <c r="I1661" t="str">
        <f>IFERROR(VLOOKUP(VLOOKUP(A1661,'Sales Order'!A:C,3,FALSE),Employee!A:J,10,FALSE),"Not Specified")</f>
        <v>WA</v>
      </c>
      <c r="J1661" t="str">
        <f>VLOOKUP(B1661,Product!A:B,2,FALSE)</f>
        <v>Product WEUJZ</v>
      </c>
      <c r="K1661" t="str">
        <f>VLOOKUP(VLOOKUP(B1661,Product!A:D,4,FALSE),Category!A:B,2,FALSE)</f>
        <v>Seafood</v>
      </c>
      <c r="L1661" s="24">
        <f>IFERROR(VLOOKUP(A1661,'Sales Order'!A:D,4,FALSE),"")</f>
        <v>39489</v>
      </c>
      <c r="M1661" s="24">
        <f>IFERROR(VLOOKUP(A1661,'Sales Order'!A:F,6,FALSE),"")</f>
        <v>39496</v>
      </c>
      <c r="N1661" t="str">
        <f>IFERROR(VLOOKUP(VLOOKUP(A1661,'Sales Order'!A:G,7,FALSE),Shipper!A:B,2,FALSE),"Not Specified")</f>
        <v>Shipper GVSUA</v>
      </c>
      <c r="O1661" t="str">
        <f>IFERROR(VLOOKUP(A1661,'Sales Order'!A:I,9,FALSE),"Not Specified")</f>
        <v>Destination IGLOB</v>
      </c>
      <c r="P1661" t="str">
        <f>IFERROR(VLOOKUP(A1661,'Sales Order'!A:N,14,FALSE),"Not Specified")</f>
        <v>Argentina</v>
      </c>
      <c r="Q1661" t="str">
        <f>VLOOKUP(VLOOKUP(B1661,Product!A:C,3,FALSE),Supplier!A:B,2,FALSE)</f>
        <v>Supplier QZGUF</v>
      </c>
      <c r="R1661" t="str">
        <f>VLOOKUP(VLOOKUP(B1661,Product!A:C,3,FALSE),Supplier!A:I,9,FALSE)</f>
        <v>Sweden</v>
      </c>
      <c r="S1661" t="str">
        <f>IFERROR(IF(VLOOKUP(A1661,'Sales Order'!A:H,8,FALSE)&gt;100,"High Freight","Low Freight"),"Not Specified")</f>
        <v>Low Freight</v>
      </c>
      <c r="T1661">
        <f t="shared" si="51"/>
        <v>150</v>
      </c>
    </row>
    <row r="1662" spans="1:20">
      <c r="A1662" s="9">
        <v>10882</v>
      </c>
      <c r="B1662" s="6">
        <v>42</v>
      </c>
      <c r="C1662" s="6">
        <v>14</v>
      </c>
      <c r="D1662" s="6">
        <v>25</v>
      </c>
      <c r="E1662" s="18">
        <v>0</v>
      </c>
      <c r="F1662" s="6" t="str">
        <f>IFERROR(VLOOKUP(VLOOKUP(A1662,'Sales Order'!A:B,2,FALSE),Customer!A:C,3,FALSE),"Not Specified")</f>
        <v>Navarro, Tomás</v>
      </c>
      <c r="G1662" s="6" t="str">
        <f t="shared" si="50"/>
        <v>Navarro Tomás</v>
      </c>
      <c r="H1662" s="22" t="str">
        <f>IFERROR(VLOOKUP(VLOOKUP(A1662,'Sales Order'!A:C,3,FALSE),Employee!A:E,5,FALSE)&amp;" "&amp;VLOOKUP(VLOOKUP(A1662,'Sales Order'!A:C,3,FALSE),Employee!A:C,3,FALSE)&amp;" "&amp;VLOOKUP(VLOOKUP(A1662,'Sales Order'!A:C,3,FALSE),Employee!A:B,2,FALSE),"Not Specified")</f>
        <v>Mrs. Yael Peled</v>
      </c>
      <c r="I1662" t="str">
        <f>IFERROR(VLOOKUP(VLOOKUP(A1662,'Sales Order'!A:C,3,FALSE),Employee!A:J,10,FALSE),"Not Specified")</f>
        <v>WA</v>
      </c>
      <c r="J1662" t="str">
        <f>VLOOKUP(B1662,Product!A:B,2,FALSE)</f>
        <v>Product RJVNM</v>
      </c>
      <c r="K1662" t="str">
        <f>VLOOKUP(VLOOKUP(B1662,Product!A:D,4,FALSE),Category!A:B,2,FALSE)</f>
        <v>Grains/Cereals</v>
      </c>
      <c r="L1662" s="24">
        <f>IFERROR(VLOOKUP(A1662,'Sales Order'!A:D,4,FALSE),"")</f>
        <v>39489</v>
      </c>
      <c r="M1662" s="24">
        <f>IFERROR(VLOOKUP(A1662,'Sales Order'!A:F,6,FALSE),"")</f>
        <v>39498</v>
      </c>
      <c r="N1662" t="str">
        <f>IFERROR(VLOOKUP(VLOOKUP(A1662,'Sales Order'!A:G,7,FALSE),Shipper!A:B,2,FALSE),"Not Specified")</f>
        <v>Shipper ZHISN</v>
      </c>
      <c r="O1662" t="str">
        <f>IFERROR(VLOOKUP(A1662,'Sales Order'!A:I,9,FALSE),"Not Specified")</f>
        <v>Ship to 71-B</v>
      </c>
      <c r="P1662" t="str">
        <f>IFERROR(VLOOKUP(A1662,'Sales Order'!A:N,14,FALSE),"Not Specified")</f>
        <v>USA</v>
      </c>
      <c r="Q1662" t="str">
        <f>VLOOKUP(VLOOKUP(B1662,Product!A:C,3,FALSE),Supplier!A:B,2,FALSE)</f>
        <v>Supplier CIYNM</v>
      </c>
      <c r="R1662" t="str">
        <f>VLOOKUP(VLOOKUP(B1662,Product!A:C,3,FALSE),Supplier!A:I,9,FALSE)</f>
        <v>Singapore</v>
      </c>
      <c r="S1662" t="str">
        <f>IFERROR(IF(VLOOKUP(A1662,'Sales Order'!A:H,8,FALSE)&gt;100,"High Freight","Low Freight"),"Not Specified")</f>
        <v>Low Freight</v>
      </c>
      <c r="T1662">
        <f t="shared" si="51"/>
        <v>350</v>
      </c>
    </row>
    <row r="1663" spans="1:20">
      <c r="A1663" s="9">
        <v>10882</v>
      </c>
      <c r="B1663" s="6">
        <v>49</v>
      </c>
      <c r="C1663" s="6">
        <v>20</v>
      </c>
      <c r="D1663" s="6">
        <v>20</v>
      </c>
      <c r="E1663" s="18">
        <v>0.15</v>
      </c>
      <c r="F1663" s="6" t="str">
        <f>IFERROR(VLOOKUP(VLOOKUP(A1663,'Sales Order'!A:B,2,FALSE),Customer!A:C,3,FALSE),"Not Specified")</f>
        <v>Navarro, Tomás</v>
      </c>
      <c r="G1663" s="6" t="str">
        <f t="shared" si="50"/>
        <v>Navarro Tomás</v>
      </c>
      <c r="H1663" s="22" t="str">
        <f>IFERROR(VLOOKUP(VLOOKUP(A1663,'Sales Order'!A:C,3,FALSE),Employee!A:E,5,FALSE)&amp;" "&amp;VLOOKUP(VLOOKUP(A1663,'Sales Order'!A:C,3,FALSE),Employee!A:C,3,FALSE)&amp;" "&amp;VLOOKUP(VLOOKUP(A1663,'Sales Order'!A:C,3,FALSE),Employee!A:B,2,FALSE),"Not Specified")</f>
        <v>Mrs. Yael Peled</v>
      </c>
      <c r="I1663" t="str">
        <f>IFERROR(VLOOKUP(VLOOKUP(A1663,'Sales Order'!A:C,3,FALSE),Employee!A:J,10,FALSE),"Not Specified")</f>
        <v>WA</v>
      </c>
      <c r="J1663" t="str">
        <f>VLOOKUP(B1663,Product!A:B,2,FALSE)</f>
        <v>Product FPYPN</v>
      </c>
      <c r="K1663" t="str">
        <f>VLOOKUP(VLOOKUP(B1663,Product!A:D,4,FALSE),Category!A:B,2,FALSE)</f>
        <v>Confections</v>
      </c>
      <c r="L1663" s="24">
        <f>IFERROR(VLOOKUP(A1663,'Sales Order'!A:D,4,FALSE),"")</f>
        <v>39489</v>
      </c>
      <c r="M1663" s="24">
        <f>IFERROR(VLOOKUP(A1663,'Sales Order'!A:F,6,FALSE),"")</f>
        <v>39498</v>
      </c>
      <c r="N1663" t="str">
        <f>IFERROR(VLOOKUP(VLOOKUP(A1663,'Sales Order'!A:G,7,FALSE),Shipper!A:B,2,FALSE),"Not Specified")</f>
        <v>Shipper ZHISN</v>
      </c>
      <c r="O1663" t="str">
        <f>IFERROR(VLOOKUP(A1663,'Sales Order'!A:I,9,FALSE),"Not Specified")</f>
        <v>Ship to 71-B</v>
      </c>
      <c r="P1663" t="str">
        <f>IFERROR(VLOOKUP(A1663,'Sales Order'!A:N,14,FALSE),"Not Specified")</f>
        <v>USA</v>
      </c>
      <c r="Q1663" t="str">
        <f>VLOOKUP(VLOOKUP(B1663,Product!A:C,3,FALSE),Supplier!A:B,2,FALSE)</f>
        <v>Supplier ELCRN</v>
      </c>
      <c r="R1663" t="str">
        <f>VLOOKUP(VLOOKUP(B1663,Product!A:C,3,FALSE),Supplier!A:I,9,FALSE)</f>
        <v>Finland</v>
      </c>
      <c r="S1663" t="str">
        <f>IFERROR(IF(VLOOKUP(A1663,'Sales Order'!A:H,8,FALSE)&gt;100,"High Freight","Low Freight"),"Not Specified")</f>
        <v>Low Freight</v>
      </c>
      <c r="T1663">
        <f t="shared" si="51"/>
        <v>340</v>
      </c>
    </row>
    <row r="1664" spans="1:20">
      <c r="A1664" s="9">
        <v>10882</v>
      </c>
      <c r="B1664" s="6">
        <v>54</v>
      </c>
      <c r="C1664" s="6">
        <v>7.45</v>
      </c>
      <c r="D1664" s="6">
        <v>32</v>
      </c>
      <c r="E1664" s="18">
        <v>0.15</v>
      </c>
      <c r="F1664" s="6" t="str">
        <f>IFERROR(VLOOKUP(VLOOKUP(A1664,'Sales Order'!A:B,2,FALSE),Customer!A:C,3,FALSE),"Not Specified")</f>
        <v>Navarro, Tomás</v>
      </c>
      <c r="G1664" s="6" t="str">
        <f t="shared" si="50"/>
        <v>Navarro Tomás</v>
      </c>
      <c r="H1664" s="22" t="str">
        <f>IFERROR(VLOOKUP(VLOOKUP(A1664,'Sales Order'!A:C,3,FALSE),Employee!A:E,5,FALSE)&amp;" "&amp;VLOOKUP(VLOOKUP(A1664,'Sales Order'!A:C,3,FALSE),Employee!A:C,3,FALSE)&amp;" "&amp;VLOOKUP(VLOOKUP(A1664,'Sales Order'!A:C,3,FALSE),Employee!A:B,2,FALSE),"Not Specified")</f>
        <v>Mrs. Yael Peled</v>
      </c>
      <c r="I1664" t="str">
        <f>IFERROR(VLOOKUP(VLOOKUP(A1664,'Sales Order'!A:C,3,FALSE),Employee!A:J,10,FALSE),"Not Specified")</f>
        <v>WA</v>
      </c>
      <c r="J1664" t="str">
        <f>VLOOKUP(B1664,Product!A:B,2,FALSE)</f>
        <v>Product QAQRL</v>
      </c>
      <c r="K1664" t="str">
        <f>VLOOKUP(VLOOKUP(B1664,Product!A:D,4,FALSE),Category!A:B,2,FALSE)</f>
        <v>Meat/Poultry</v>
      </c>
      <c r="L1664" s="24">
        <f>IFERROR(VLOOKUP(A1664,'Sales Order'!A:D,4,FALSE),"")</f>
        <v>39489</v>
      </c>
      <c r="M1664" s="24">
        <f>IFERROR(VLOOKUP(A1664,'Sales Order'!A:F,6,FALSE),"")</f>
        <v>39498</v>
      </c>
      <c r="N1664" t="str">
        <f>IFERROR(VLOOKUP(VLOOKUP(A1664,'Sales Order'!A:G,7,FALSE),Shipper!A:B,2,FALSE),"Not Specified")</f>
        <v>Shipper ZHISN</v>
      </c>
      <c r="O1664" t="str">
        <f>IFERROR(VLOOKUP(A1664,'Sales Order'!A:I,9,FALSE),"Not Specified")</f>
        <v>Ship to 71-B</v>
      </c>
      <c r="P1664" t="str">
        <f>IFERROR(VLOOKUP(A1664,'Sales Order'!A:N,14,FALSE),"Not Specified")</f>
        <v>USA</v>
      </c>
      <c r="Q1664" t="str">
        <f>VLOOKUP(VLOOKUP(B1664,Product!A:C,3,FALSE),Supplier!A:B,2,FALSE)</f>
        <v>Supplier ERVYZ</v>
      </c>
      <c r="R1664" t="str">
        <f>VLOOKUP(VLOOKUP(B1664,Product!A:C,3,FALSE),Supplier!A:I,9,FALSE)</f>
        <v>Canada</v>
      </c>
      <c r="S1664" t="str">
        <f>IFERROR(IF(VLOOKUP(A1664,'Sales Order'!A:H,8,FALSE)&gt;100,"High Freight","Low Freight"),"Not Specified")</f>
        <v>Low Freight</v>
      </c>
      <c r="T1664">
        <f t="shared" si="51"/>
        <v>202.64</v>
      </c>
    </row>
    <row r="1665" spans="1:20">
      <c r="A1665" s="9">
        <v>10883</v>
      </c>
      <c r="B1665" s="6">
        <v>24</v>
      </c>
      <c r="C1665" s="6">
        <v>4.5</v>
      </c>
      <c r="D1665" s="6">
        <v>8</v>
      </c>
      <c r="E1665" s="18">
        <v>0</v>
      </c>
      <c r="F1665" s="6" t="str">
        <f>IFERROR(VLOOKUP(VLOOKUP(A1665,'Sales Order'!A:B,2,FALSE),Customer!A:C,3,FALSE),"Not Specified")</f>
        <v>Szymczak, Radosław</v>
      </c>
      <c r="G1665" s="6" t="str">
        <f t="shared" si="50"/>
        <v>Szymczak Radosław</v>
      </c>
      <c r="H1665" s="22" t="str">
        <f>IFERROR(VLOOKUP(VLOOKUP(A1665,'Sales Order'!A:C,3,FALSE),Employee!A:E,5,FALSE)&amp;" "&amp;VLOOKUP(VLOOKUP(A1665,'Sales Order'!A:C,3,FALSE),Employee!A:C,3,FALSE)&amp;" "&amp;VLOOKUP(VLOOKUP(A1665,'Sales Order'!A:C,3,FALSE),Employee!A:B,2,FALSE),"Not Specified")</f>
        <v>Ms. Maria Cameron</v>
      </c>
      <c r="I1665" t="str">
        <f>IFERROR(VLOOKUP(VLOOKUP(A1665,'Sales Order'!A:C,3,FALSE),Employee!A:J,10,FALSE),"Not Specified")</f>
        <v>WA</v>
      </c>
      <c r="J1665" t="str">
        <f>VLOOKUP(B1665,Product!A:B,2,FALSE)</f>
        <v>Product QOGNU</v>
      </c>
      <c r="K1665" t="str">
        <f>VLOOKUP(VLOOKUP(B1665,Product!A:D,4,FALSE),Category!A:B,2,FALSE)</f>
        <v>Beverages</v>
      </c>
      <c r="L1665" s="24">
        <f>IFERROR(VLOOKUP(A1665,'Sales Order'!A:D,4,FALSE),"")</f>
        <v>39490</v>
      </c>
      <c r="M1665" s="24">
        <f>IFERROR(VLOOKUP(A1665,'Sales Order'!A:F,6,FALSE),"")</f>
        <v>39498</v>
      </c>
      <c r="N1665" t="str">
        <f>IFERROR(VLOOKUP(VLOOKUP(A1665,'Sales Order'!A:G,7,FALSE),Shipper!A:B,2,FALSE),"Not Specified")</f>
        <v>Shipper ZHISN</v>
      </c>
      <c r="O1665" t="str">
        <f>IFERROR(VLOOKUP(A1665,'Sales Order'!A:I,9,FALSE),"Not Specified")</f>
        <v>Ship to 48-C</v>
      </c>
      <c r="P1665" t="str">
        <f>IFERROR(VLOOKUP(A1665,'Sales Order'!A:N,14,FALSE),"Not Specified")</f>
        <v>USA</v>
      </c>
      <c r="Q1665" t="str">
        <f>VLOOKUP(VLOOKUP(B1665,Product!A:C,3,FALSE),Supplier!A:B,2,FALSE)</f>
        <v>Supplier UNAHG</v>
      </c>
      <c r="R1665" t="str">
        <f>VLOOKUP(VLOOKUP(B1665,Product!A:C,3,FALSE),Supplier!A:I,9,FALSE)</f>
        <v>Brazil</v>
      </c>
      <c r="S1665" t="str">
        <f>IFERROR(IF(VLOOKUP(A1665,'Sales Order'!A:H,8,FALSE)&gt;100,"High Freight","Low Freight"),"Not Specified")</f>
        <v>Low Freight</v>
      </c>
      <c r="T1665">
        <f t="shared" si="51"/>
        <v>36</v>
      </c>
    </row>
    <row r="1666" spans="1:20">
      <c r="A1666" s="9">
        <v>10884</v>
      </c>
      <c r="B1666" s="6">
        <v>21</v>
      </c>
      <c r="C1666" s="6">
        <v>10</v>
      </c>
      <c r="D1666" s="6">
        <v>40</v>
      </c>
      <c r="E1666" s="18">
        <v>0.05</v>
      </c>
      <c r="F1666" s="6" t="str">
        <f>IFERROR(VLOOKUP(VLOOKUP(A1666,'Sales Order'!A:B,2,FALSE),Customer!A:C,3,FALSE),"Not Specified")</f>
        <v>Sunkammurali, Krishna</v>
      </c>
      <c r="G1666" s="6" t="str">
        <f t="shared" si="50"/>
        <v>Sunkammurali Krishna</v>
      </c>
      <c r="H1666" s="22" t="str">
        <f>IFERROR(VLOOKUP(VLOOKUP(A1666,'Sales Order'!A:C,3,FALSE),Employee!A:E,5,FALSE)&amp;" "&amp;VLOOKUP(VLOOKUP(A1666,'Sales Order'!A:C,3,FALSE),Employee!A:C,3,FALSE)&amp;" "&amp;VLOOKUP(VLOOKUP(A1666,'Sales Order'!A:C,3,FALSE),Employee!A:B,2,FALSE),"Not Specified")</f>
        <v>Mrs. Yael Peled</v>
      </c>
      <c r="I1666" t="str">
        <f>IFERROR(VLOOKUP(VLOOKUP(A1666,'Sales Order'!A:C,3,FALSE),Employee!A:J,10,FALSE),"Not Specified")</f>
        <v>WA</v>
      </c>
      <c r="J1666" t="str">
        <f>VLOOKUP(B1666,Product!A:B,2,FALSE)</f>
        <v>Product VJZZH</v>
      </c>
      <c r="K1666" t="str">
        <f>VLOOKUP(VLOOKUP(B1666,Product!A:D,4,FALSE),Category!A:B,2,FALSE)</f>
        <v>Confections</v>
      </c>
      <c r="L1666" s="24">
        <f>IFERROR(VLOOKUP(A1666,'Sales Order'!A:D,4,FALSE),"")</f>
        <v>39490</v>
      </c>
      <c r="M1666" s="24">
        <f>IFERROR(VLOOKUP(A1666,'Sales Order'!A:F,6,FALSE),"")</f>
        <v>39491</v>
      </c>
      <c r="N1666" t="str">
        <f>IFERROR(VLOOKUP(VLOOKUP(A1666,'Sales Order'!A:G,7,FALSE),Shipper!A:B,2,FALSE),"Not Specified")</f>
        <v>Shipper ETYNR</v>
      </c>
      <c r="O1666" t="str">
        <f>IFERROR(VLOOKUP(A1666,'Sales Order'!A:I,9,FALSE),"Not Specified")</f>
        <v>Ship to 45-C</v>
      </c>
      <c r="P1666" t="str">
        <f>IFERROR(VLOOKUP(A1666,'Sales Order'!A:N,14,FALSE),"Not Specified")</f>
        <v>USA</v>
      </c>
      <c r="Q1666" t="str">
        <f>VLOOKUP(VLOOKUP(B1666,Product!A:C,3,FALSE),Supplier!A:B,2,FALSE)</f>
        <v>Supplier BWGYE</v>
      </c>
      <c r="R1666" t="str">
        <f>VLOOKUP(VLOOKUP(B1666,Product!A:C,3,FALSE),Supplier!A:I,9,FALSE)</f>
        <v>UK</v>
      </c>
      <c r="S1666" t="str">
        <f>IFERROR(IF(VLOOKUP(A1666,'Sales Order'!A:H,8,FALSE)&gt;100,"High Freight","Low Freight"),"Not Specified")</f>
        <v>Low Freight</v>
      </c>
      <c r="T1666">
        <f t="shared" si="51"/>
        <v>380</v>
      </c>
    </row>
    <row r="1667" spans="1:20">
      <c r="A1667" s="9">
        <v>10884</v>
      </c>
      <c r="B1667" s="6">
        <v>56</v>
      </c>
      <c r="C1667" s="6">
        <v>38</v>
      </c>
      <c r="D1667" s="6">
        <v>21</v>
      </c>
      <c r="E1667" s="18">
        <v>0.05</v>
      </c>
      <c r="F1667" s="6" t="str">
        <f>IFERROR(VLOOKUP(VLOOKUP(A1667,'Sales Order'!A:B,2,FALSE),Customer!A:C,3,FALSE),"Not Specified")</f>
        <v>Sunkammurali, Krishna</v>
      </c>
      <c r="G1667" s="6" t="str">
        <f t="shared" ref="G1667:G1730" si="52">SUBSTITUTE(F1667,",","",1)</f>
        <v>Sunkammurali Krishna</v>
      </c>
      <c r="H1667" s="22" t="str">
        <f>IFERROR(VLOOKUP(VLOOKUP(A1667,'Sales Order'!A:C,3,FALSE),Employee!A:E,5,FALSE)&amp;" "&amp;VLOOKUP(VLOOKUP(A1667,'Sales Order'!A:C,3,FALSE),Employee!A:C,3,FALSE)&amp;" "&amp;VLOOKUP(VLOOKUP(A1667,'Sales Order'!A:C,3,FALSE),Employee!A:B,2,FALSE),"Not Specified")</f>
        <v>Mrs. Yael Peled</v>
      </c>
      <c r="I1667" t="str">
        <f>IFERROR(VLOOKUP(VLOOKUP(A1667,'Sales Order'!A:C,3,FALSE),Employee!A:J,10,FALSE),"Not Specified")</f>
        <v>WA</v>
      </c>
      <c r="J1667" t="str">
        <f>VLOOKUP(B1667,Product!A:B,2,FALSE)</f>
        <v>Product VKCMF</v>
      </c>
      <c r="K1667" t="str">
        <f>VLOOKUP(VLOOKUP(B1667,Product!A:D,4,FALSE),Category!A:B,2,FALSE)</f>
        <v>Grains/Cereals</v>
      </c>
      <c r="L1667" s="24">
        <f>IFERROR(VLOOKUP(A1667,'Sales Order'!A:D,4,FALSE),"")</f>
        <v>39490</v>
      </c>
      <c r="M1667" s="24">
        <f>IFERROR(VLOOKUP(A1667,'Sales Order'!A:F,6,FALSE),"")</f>
        <v>39491</v>
      </c>
      <c r="N1667" t="str">
        <f>IFERROR(VLOOKUP(VLOOKUP(A1667,'Sales Order'!A:G,7,FALSE),Shipper!A:B,2,FALSE),"Not Specified")</f>
        <v>Shipper ETYNR</v>
      </c>
      <c r="O1667" t="str">
        <f>IFERROR(VLOOKUP(A1667,'Sales Order'!A:I,9,FALSE),"Not Specified")</f>
        <v>Ship to 45-C</v>
      </c>
      <c r="P1667" t="str">
        <f>IFERROR(VLOOKUP(A1667,'Sales Order'!A:N,14,FALSE),"Not Specified")</f>
        <v>USA</v>
      </c>
      <c r="Q1667" t="str">
        <f>VLOOKUP(VLOOKUP(B1667,Product!A:C,3,FALSE),Supplier!A:B,2,FALSE)</f>
        <v>Supplier ZWZDM</v>
      </c>
      <c r="R1667" t="str">
        <f>VLOOKUP(VLOOKUP(B1667,Product!A:C,3,FALSE),Supplier!A:I,9,FALSE)</f>
        <v>Italy</v>
      </c>
      <c r="S1667" t="str">
        <f>IFERROR(IF(VLOOKUP(A1667,'Sales Order'!A:H,8,FALSE)&gt;100,"High Freight","Low Freight"),"Not Specified")</f>
        <v>Low Freight</v>
      </c>
      <c r="T1667">
        <f t="shared" ref="T1667:T1730" si="53">C1667*D1667*(1-E1667)</f>
        <v>758.09999999999991</v>
      </c>
    </row>
    <row r="1668" spans="1:20">
      <c r="A1668" s="9">
        <v>10884</v>
      </c>
      <c r="B1668" s="6">
        <v>65</v>
      </c>
      <c r="C1668" s="6">
        <v>21.05</v>
      </c>
      <c r="D1668" s="6">
        <v>12</v>
      </c>
      <c r="E1668" s="18">
        <v>0.05</v>
      </c>
      <c r="F1668" s="6" t="str">
        <f>IFERROR(VLOOKUP(VLOOKUP(A1668,'Sales Order'!A:B,2,FALSE),Customer!A:C,3,FALSE),"Not Specified")</f>
        <v>Sunkammurali, Krishna</v>
      </c>
      <c r="G1668" s="6" t="str">
        <f t="shared" si="52"/>
        <v>Sunkammurali Krishna</v>
      </c>
      <c r="H1668" s="22" t="str">
        <f>IFERROR(VLOOKUP(VLOOKUP(A1668,'Sales Order'!A:C,3,FALSE),Employee!A:E,5,FALSE)&amp;" "&amp;VLOOKUP(VLOOKUP(A1668,'Sales Order'!A:C,3,FALSE),Employee!A:C,3,FALSE)&amp;" "&amp;VLOOKUP(VLOOKUP(A1668,'Sales Order'!A:C,3,FALSE),Employee!A:B,2,FALSE),"Not Specified")</f>
        <v>Mrs. Yael Peled</v>
      </c>
      <c r="I1668" t="str">
        <f>IFERROR(VLOOKUP(VLOOKUP(A1668,'Sales Order'!A:C,3,FALSE),Employee!A:J,10,FALSE),"Not Specified")</f>
        <v>WA</v>
      </c>
      <c r="J1668" t="str">
        <f>VLOOKUP(B1668,Product!A:B,2,FALSE)</f>
        <v>Product XYWBZ</v>
      </c>
      <c r="K1668" t="str">
        <f>VLOOKUP(VLOOKUP(B1668,Product!A:D,4,FALSE),Category!A:B,2,FALSE)</f>
        <v>Condiments</v>
      </c>
      <c r="L1668" s="24">
        <f>IFERROR(VLOOKUP(A1668,'Sales Order'!A:D,4,FALSE),"")</f>
        <v>39490</v>
      </c>
      <c r="M1668" s="24">
        <f>IFERROR(VLOOKUP(A1668,'Sales Order'!A:F,6,FALSE),"")</f>
        <v>39491</v>
      </c>
      <c r="N1668" t="str">
        <f>IFERROR(VLOOKUP(VLOOKUP(A1668,'Sales Order'!A:G,7,FALSE),Shipper!A:B,2,FALSE),"Not Specified")</f>
        <v>Shipper ETYNR</v>
      </c>
      <c r="O1668" t="str">
        <f>IFERROR(VLOOKUP(A1668,'Sales Order'!A:I,9,FALSE),"Not Specified")</f>
        <v>Ship to 45-C</v>
      </c>
      <c r="P1668" t="str">
        <f>IFERROR(VLOOKUP(A1668,'Sales Order'!A:N,14,FALSE),"Not Specified")</f>
        <v>USA</v>
      </c>
      <c r="Q1668" t="str">
        <f>VLOOKUP(VLOOKUP(B1668,Product!A:C,3,FALSE),Supplier!A:B,2,FALSE)</f>
        <v>Supplier VHQZD</v>
      </c>
      <c r="R1668" t="str">
        <f>VLOOKUP(VLOOKUP(B1668,Product!A:C,3,FALSE),Supplier!A:I,9,FALSE)</f>
        <v>USA</v>
      </c>
      <c r="S1668" t="str">
        <f>IFERROR(IF(VLOOKUP(A1668,'Sales Order'!A:H,8,FALSE)&gt;100,"High Freight","Low Freight"),"Not Specified")</f>
        <v>Low Freight</v>
      </c>
      <c r="T1668">
        <f t="shared" si="53"/>
        <v>239.97</v>
      </c>
    </row>
    <row r="1669" spans="1:20">
      <c r="A1669" s="9">
        <v>10885</v>
      </c>
      <c r="B1669" s="6">
        <v>2</v>
      </c>
      <c r="C1669" s="6">
        <v>19</v>
      </c>
      <c r="D1669" s="6">
        <v>20</v>
      </c>
      <c r="E1669" s="18">
        <v>0</v>
      </c>
      <c r="F1669" s="6" t="str">
        <f>IFERROR(VLOOKUP(VLOOKUP(A1669,'Sales Order'!A:B,2,FALSE),Customer!A:C,3,FALSE),"Not Specified")</f>
        <v>Gulbis, Katrin</v>
      </c>
      <c r="G1669" s="6" t="str">
        <f t="shared" si="52"/>
        <v>Gulbis Katrin</v>
      </c>
      <c r="H1669" s="22" t="str">
        <f>IFERROR(VLOOKUP(VLOOKUP(A1669,'Sales Order'!A:C,3,FALSE),Employee!A:E,5,FALSE)&amp;" "&amp;VLOOKUP(VLOOKUP(A1669,'Sales Order'!A:C,3,FALSE),Employee!A:C,3,FALSE)&amp;" "&amp;VLOOKUP(VLOOKUP(A1669,'Sales Order'!A:C,3,FALSE),Employee!A:B,2,FALSE),"Not Specified")</f>
        <v>Mr. Paul Suurs</v>
      </c>
      <c r="I1669">
        <f>IFERROR(VLOOKUP(VLOOKUP(A1669,'Sales Order'!A:C,3,FALSE),Employee!A:J,10,FALSE),"Not Specified")</f>
        <v>0</v>
      </c>
      <c r="J1669" t="str">
        <f>VLOOKUP(B1669,Product!A:B,2,FALSE)</f>
        <v>Product RECZE</v>
      </c>
      <c r="K1669" t="str">
        <f>VLOOKUP(VLOOKUP(B1669,Product!A:D,4,FALSE),Category!A:B,2,FALSE)</f>
        <v>Beverages</v>
      </c>
      <c r="L1669" s="24">
        <f>IFERROR(VLOOKUP(A1669,'Sales Order'!A:D,4,FALSE),"")</f>
        <v>39490</v>
      </c>
      <c r="M1669" s="24">
        <f>IFERROR(VLOOKUP(A1669,'Sales Order'!A:F,6,FALSE),"")</f>
        <v>39496</v>
      </c>
      <c r="N1669" t="str">
        <f>IFERROR(VLOOKUP(VLOOKUP(A1669,'Sales Order'!A:G,7,FALSE),Shipper!A:B,2,FALSE),"Not Specified")</f>
        <v>Shipper ZHISN</v>
      </c>
      <c r="O1669" t="str">
        <f>IFERROR(VLOOKUP(A1669,'Sales Order'!A:I,9,FALSE),"Not Specified")</f>
        <v>Ship to 76-B</v>
      </c>
      <c r="P1669" t="str">
        <f>IFERROR(VLOOKUP(A1669,'Sales Order'!A:N,14,FALSE),"Not Specified")</f>
        <v>Belgium</v>
      </c>
      <c r="Q1669" t="str">
        <f>VLOOKUP(VLOOKUP(B1669,Product!A:C,3,FALSE),Supplier!A:B,2,FALSE)</f>
        <v>Supplier SWRXU</v>
      </c>
      <c r="R1669" t="str">
        <f>VLOOKUP(VLOOKUP(B1669,Product!A:C,3,FALSE),Supplier!A:I,9,FALSE)</f>
        <v>UK</v>
      </c>
      <c r="S1669" t="str">
        <f>IFERROR(IF(VLOOKUP(A1669,'Sales Order'!A:H,8,FALSE)&gt;100,"High Freight","Low Freight"),"Not Specified")</f>
        <v>Low Freight</v>
      </c>
      <c r="T1669">
        <f t="shared" si="53"/>
        <v>380</v>
      </c>
    </row>
    <row r="1670" spans="1:20">
      <c r="A1670" s="9">
        <v>10885</v>
      </c>
      <c r="B1670" s="6">
        <v>24</v>
      </c>
      <c r="C1670" s="6">
        <v>4.5</v>
      </c>
      <c r="D1670" s="6">
        <v>12</v>
      </c>
      <c r="E1670" s="18">
        <v>0</v>
      </c>
      <c r="F1670" s="6" t="str">
        <f>IFERROR(VLOOKUP(VLOOKUP(A1670,'Sales Order'!A:B,2,FALSE),Customer!A:C,3,FALSE),"Not Specified")</f>
        <v>Gulbis, Katrin</v>
      </c>
      <c r="G1670" s="6" t="str">
        <f t="shared" si="52"/>
        <v>Gulbis Katrin</v>
      </c>
      <c r="H1670" s="22" t="str">
        <f>IFERROR(VLOOKUP(VLOOKUP(A1670,'Sales Order'!A:C,3,FALSE),Employee!A:E,5,FALSE)&amp;" "&amp;VLOOKUP(VLOOKUP(A1670,'Sales Order'!A:C,3,FALSE),Employee!A:C,3,FALSE)&amp;" "&amp;VLOOKUP(VLOOKUP(A1670,'Sales Order'!A:C,3,FALSE),Employee!A:B,2,FALSE),"Not Specified")</f>
        <v>Mr. Paul Suurs</v>
      </c>
      <c r="I1670">
        <f>IFERROR(VLOOKUP(VLOOKUP(A1670,'Sales Order'!A:C,3,FALSE),Employee!A:J,10,FALSE),"Not Specified")</f>
        <v>0</v>
      </c>
      <c r="J1670" t="str">
        <f>VLOOKUP(B1670,Product!A:B,2,FALSE)</f>
        <v>Product QOGNU</v>
      </c>
      <c r="K1670" t="str">
        <f>VLOOKUP(VLOOKUP(B1670,Product!A:D,4,FALSE),Category!A:B,2,FALSE)</f>
        <v>Beverages</v>
      </c>
      <c r="L1670" s="24">
        <f>IFERROR(VLOOKUP(A1670,'Sales Order'!A:D,4,FALSE),"")</f>
        <v>39490</v>
      </c>
      <c r="M1670" s="24">
        <f>IFERROR(VLOOKUP(A1670,'Sales Order'!A:F,6,FALSE),"")</f>
        <v>39496</v>
      </c>
      <c r="N1670" t="str">
        <f>IFERROR(VLOOKUP(VLOOKUP(A1670,'Sales Order'!A:G,7,FALSE),Shipper!A:B,2,FALSE),"Not Specified")</f>
        <v>Shipper ZHISN</v>
      </c>
      <c r="O1670" t="str">
        <f>IFERROR(VLOOKUP(A1670,'Sales Order'!A:I,9,FALSE),"Not Specified")</f>
        <v>Ship to 76-B</v>
      </c>
      <c r="P1670" t="str">
        <f>IFERROR(VLOOKUP(A1670,'Sales Order'!A:N,14,FALSE),"Not Specified")</f>
        <v>Belgium</v>
      </c>
      <c r="Q1670" t="str">
        <f>VLOOKUP(VLOOKUP(B1670,Product!A:C,3,FALSE),Supplier!A:B,2,FALSE)</f>
        <v>Supplier UNAHG</v>
      </c>
      <c r="R1670" t="str">
        <f>VLOOKUP(VLOOKUP(B1670,Product!A:C,3,FALSE),Supplier!A:I,9,FALSE)</f>
        <v>Brazil</v>
      </c>
      <c r="S1670" t="str">
        <f>IFERROR(IF(VLOOKUP(A1670,'Sales Order'!A:H,8,FALSE)&gt;100,"High Freight","Low Freight"),"Not Specified")</f>
        <v>Low Freight</v>
      </c>
      <c r="T1670">
        <f t="shared" si="53"/>
        <v>54</v>
      </c>
    </row>
    <row r="1671" spans="1:20">
      <c r="A1671" s="9">
        <v>10885</v>
      </c>
      <c r="B1671" s="6">
        <v>70</v>
      </c>
      <c r="C1671" s="6">
        <v>15</v>
      </c>
      <c r="D1671" s="6">
        <v>30</v>
      </c>
      <c r="E1671" s="18">
        <v>0</v>
      </c>
      <c r="F1671" s="6" t="str">
        <f>IFERROR(VLOOKUP(VLOOKUP(A1671,'Sales Order'!A:B,2,FALSE),Customer!A:C,3,FALSE),"Not Specified")</f>
        <v>Gulbis, Katrin</v>
      </c>
      <c r="G1671" s="6" t="str">
        <f t="shared" si="52"/>
        <v>Gulbis Katrin</v>
      </c>
      <c r="H1671" s="22" t="str">
        <f>IFERROR(VLOOKUP(VLOOKUP(A1671,'Sales Order'!A:C,3,FALSE),Employee!A:E,5,FALSE)&amp;" "&amp;VLOOKUP(VLOOKUP(A1671,'Sales Order'!A:C,3,FALSE),Employee!A:C,3,FALSE)&amp;" "&amp;VLOOKUP(VLOOKUP(A1671,'Sales Order'!A:C,3,FALSE),Employee!A:B,2,FALSE),"Not Specified")</f>
        <v>Mr. Paul Suurs</v>
      </c>
      <c r="I1671">
        <f>IFERROR(VLOOKUP(VLOOKUP(A1671,'Sales Order'!A:C,3,FALSE),Employee!A:J,10,FALSE),"Not Specified")</f>
        <v>0</v>
      </c>
      <c r="J1671" t="str">
        <f>VLOOKUP(B1671,Product!A:B,2,FALSE)</f>
        <v>Product TOONT</v>
      </c>
      <c r="K1671" t="str">
        <f>VLOOKUP(VLOOKUP(B1671,Product!A:D,4,FALSE),Category!A:B,2,FALSE)</f>
        <v>Beverages</v>
      </c>
      <c r="L1671" s="24">
        <f>IFERROR(VLOOKUP(A1671,'Sales Order'!A:D,4,FALSE),"")</f>
        <v>39490</v>
      </c>
      <c r="M1671" s="24">
        <f>IFERROR(VLOOKUP(A1671,'Sales Order'!A:F,6,FALSE),"")</f>
        <v>39496</v>
      </c>
      <c r="N1671" t="str">
        <f>IFERROR(VLOOKUP(VLOOKUP(A1671,'Sales Order'!A:G,7,FALSE),Shipper!A:B,2,FALSE),"Not Specified")</f>
        <v>Shipper ZHISN</v>
      </c>
      <c r="O1671" t="str">
        <f>IFERROR(VLOOKUP(A1671,'Sales Order'!A:I,9,FALSE),"Not Specified")</f>
        <v>Ship to 76-B</v>
      </c>
      <c r="P1671" t="str">
        <f>IFERROR(VLOOKUP(A1671,'Sales Order'!A:N,14,FALSE),"Not Specified")</f>
        <v>Belgium</v>
      </c>
      <c r="Q1671" t="str">
        <f>VLOOKUP(VLOOKUP(B1671,Product!A:C,3,FALSE),Supplier!A:B,2,FALSE)</f>
        <v>Supplier GQRCV</v>
      </c>
      <c r="R1671" t="str">
        <f>VLOOKUP(VLOOKUP(B1671,Product!A:C,3,FALSE),Supplier!A:I,9,FALSE)</f>
        <v>Australia</v>
      </c>
      <c r="S1671" t="str">
        <f>IFERROR(IF(VLOOKUP(A1671,'Sales Order'!A:H,8,FALSE)&gt;100,"High Freight","Low Freight"),"Not Specified")</f>
        <v>Low Freight</v>
      </c>
      <c r="T1671">
        <f t="shared" si="53"/>
        <v>450</v>
      </c>
    </row>
    <row r="1672" spans="1:20">
      <c r="A1672" s="9">
        <v>10885</v>
      </c>
      <c r="B1672" s="6">
        <v>77</v>
      </c>
      <c r="C1672" s="6">
        <v>13</v>
      </c>
      <c r="D1672" s="6">
        <v>25</v>
      </c>
      <c r="E1672" s="18">
        <v>0</v>
      </c>
      <c r="F1672" s="6" t="str">
        <f>IFERROR(VLOOKUP(VLOOKUP(A1672,'Sales Order'!A:B,2,FALSE),Customer!A:C,3,FALSE),"Not Specified")</f>
        <v>Gulbis, Katrin</v>
      </c>
      <c r="G1672" s="6" t="str">
        <f t="shared" si="52"/>
        <v>Gulbis Katrin</v>
      </c>
      <c r="H1672" s="22" t="str">
        <f>IFERROR(VLOOKUP(VLOOKUP(A1672,'Sales Order'!A:C,3,FALSE),Employee!A:E,5,FALSE)&amp;" "&amp;VLOOKUP(VLOOKUP(A1672,'Sales Order'!A:C,3,FALSE),Employee!A:C,3,FALSE)&amp;" "&amp;VLOOKUP(VLOOKUP(A1672,'Sales Order'!A:C,3,FALSE),Employee!A:B,2,FALSE),"Not Specified")</f>
        <v>Mr. Paul Suurs</v>
      </c>
      <c r="I1672">
        <f>IFERROR(VLOOKUP(VLOOKUP(A1672,'Sales Order'!A:C,3,FALSE),Employee!A:J,10,FALSE),"Not Specified")</f>
        <v>0</v>
      </c>
      <c r="J1672" t="str">
        <f>VLOOKUP(B1672,Product!A:B,2,FALSE)</f>
        <v>Product LUNZZ</v>
      </c>
      <c r="K1672" t="str">
        <f>VLOOKUP(VLOOKUP(B1672,Product!A:D,4,FALSE),Category!A:B,2,FALSE)</f>
        <v>Condiments</v>
      </c>
      <c r="L1672" s="24">
        <f>IFERROR(VLOOKUP(A1672,'Sales Order'!A:D,4,FALSE),"")</f>
        <v>39490</v>
      </c>
      <c r="M1672" s="24">
        <f>IFERROR(VLOOKUP(A1672,'Sales Order'!A:F,6,FALSE),"")</f>
        <v>39496</v>
      </c>
      <c r="N1672" t="str">
        <f>IFERROR(VLOOKUP(VLOOKUP(A1672,'Sales Order'!A:G,7,FALSE),Shipper!A:B,2,FALSE),"Not Specified")</f>
        <v>Shipper ZHISN</v>
      </c>
      <c r="O1672" t="str">
        <f>IFERROR(VLOOKUP(A1672,'Sales Order'!A:I,9,FALSE),"Not Specified")</f>
        <v>Ship to 76-B</v>
      </c>
      <c r="P1672" t="str">
        <f>IFERROR(VLOOKUP(A1672,'Sales Order'!A:N,14,FALSE),"Not Specified")</f>
        <v>Belgium</v>
      </c>
      <c r="Q1672" t="str">
        <f>VLOOKUP(VLOOKUP(B1672,Product!A:C,3,FALSE),Supplier!A:B,2,FALSE)</f>
        <v>Supplier SVIYA</v>
      </c>
      <c r="R1672" t="str">
        <f>VLOOKUP(VLOOKUP(B1672,Product!A:C,3,FALSE),Supplier!A:I,9,FALSE)</f>
        <v>Germany</v>
      </c>
      <c r="S1672" t="str">
        <f>IFERROR(IF(VLOOKUP(A1672,'Sales Order'!A:H,8,FALSE)&gt;100,"High Freight","Low Freight"),"Not Specified")</f>
        <v>Low Freight</v>
      </c>
      <c r="T1672">
        <f t="shared" si="53"/>
        <v>325</v>
      </c>
    </row>
    <row r="1673" spans="1:20">
      <c r="A1673" s="9">
        <v>10886</v>
      </c>
      <c r="B1673" s="6">
        <v>10</v>
      </c>
      <c r="C1673" s="6">
        <v>31</v>
      </c>
      <c r="D1673" s="6">
        <v>70</v>
      </c>
      <c r="E1673" s="18">
        <v>0</v>
      </c>
      <c r="F1673" s="6" t="str">
        <f>IFERROR(VLOOKUP(VLOOKUP(A1673,'Sales Order'!A:B,2,FALSE),Customer!A:C,3,FALSE),"Not Specified")</f>
        <v>Cohen, Shy</v>
      </c>
      <c r="G1673" s="6" t="str">
        <f t="shared" si="52"/>
        <v>Cohen Shy</v>
      </c>
      <c r="H1673" s="22" t="str">
        <f>IFERROR(VLOOKUP(VLOOKUP(A1673,'Sales Order'!A:C,3,FALSE),Employee!A:E,5,FALSE)&amp;" "&amp;VLOOKUP(VLOOKUP(A1673,'Sales Order'!A:C,3,FALSE),Employee!A:C,3,FALSE)&amp;" "&amp;VLOOKUP(VLOOKUP(A1673,'Sales Order'!A:C,3,FALSE),Employee!A:B,2,FALSE),"Not Specified")</f>
        <v>Ms. Sara Davis</v>
      </c>
      <c r="I1673" t="str">
        <f>IFERROR(VLOOKUP(VLOOKUP(A1673,'Sales Order'!A:C,3,FALSE),Employee!A:J,10,FALSE),"Not Specified")</f>
        <v>WA</v>
      </c>
      <c r="J1673" t="str">
        <f>VLOOKUP(B1673,Product!A:B,2,FALSE)</f>
        <v>Product YHXGE</v>
      </c>
      <c r="K1673" t="str">
        <f>VLOOKUP(VLOOKUP(B1673,Product!A:D,4,FALSE),Category!A:B,2,FALSE)</f>
        <v>Seafood</v>
      </c>
      <c r="L1673" s="24">
        <f>IFERROR(VLOOKUP(A1673,'Sales Order'!A:D,4,FALSE),"")</f>
        <v>39491</v>
      </c>
      <c r="M1673" s="24">
        <f>IFERROR(VLOOKUP(A1673,'Sales Order'!A:F,6,FALSE),"")</f>
        <v>39509</v>
      </c>
      <c r="N1673" t="str">
        <f>IFERROR(VLOOKUP(VLOOKUP(A1673,'Sales Order'!A:G,7,FALSE),Shipper!A:B,2,FALSE),"Not Specified")</f>
        <v>Shipper GVSUA</v>
      </c>
      <c r="O1673" t="str">
        <f>IFERROR(VLOOKUP(A1673,'Sales Order'!A:I,9,FALSE),"Not Specified")</f>
        <v>Destination SCQXA</v>
      </c>
      <c r="P1673" t="str">
        <f>IFERROR(VLOOKUP(A1673,'Sales Order'!A:N,14,FALSE),"Not Specified")</f>
        <v>Brazil</v>
      </c>
      <c r="Q1673" t="str">
        <f>VLOOKUP(VLOOKUP(B1673,Product!A:C,3,FALSE),Supplier!A:B,2,FALSE)</f>
        <v>Supplier QOVFD</v>
      </c>
      <c r="R1673" t="str">
        <f>VLOOKUP(VLOOKUP(B1673,Product!A:C,3,FALSE),Supplier!A:I,9,FALSE)</f>
        <v>Japan</v>
      </c>
      <c r="S1673" t="str">
        <f>IFERROR(IF(VLOOKUP(A1673,'Sales Order'!A:H,8,FALSE)&gt;100,"High Freight","Low Freight"),"Not Specified")</f>
        <v>Low Freight</v>
      </c>
      <c r="T1673">
        <f t="shared" si="53"/>
        <v>2170</v>
      </c>
    </row>
    <row r="1674" spans="1:20">
      <c r="A1674" s="9">
        <v>10886</v>
      </c>
      <c r="B1674" s="6">
        <v>31</v>
      </c>
      <c r="C1674" s="6">
        <v>12.5</v>
      </c>
      <c r="D1674" s="6">
        <v>35</v>
      </c>
      <c r="E1674" s="18">
        <v>0</v>
      </c>
      <c r="F1674" s="6" t="str">
        <f>IFERROR(VLOOKUP(VLOOKUP(A1674,'Sales Order'!A:B,2,FALSE),Customer!A:C,3,FALSE),"Not Specified")</f>
        <v>Cohen, Shy</v>
      </c>
      <c r="G1674" s="6" t="str">
        <f t="shared" si="52"/>
        <v>Cohen Shy</v>
      </c>
      <c r="H1674" s="22" t="str">
        <f>IFERROR(VLOOKUP(VLOOKUP(A1674,'Sales Order'!A:C,3,FALSE),Employee!A:E,5,FALSE)&amp;" "&amp;VLOOKUP(VLOOKUP(A1674,'Sales Order'!A:C,3,FALSE),Employee!A:C,3,FALSE)&amp;" "&amp;VLOOKUP(VLOOKUP(A1674,'Sales Order'!A:C,3,FALSE),Employee!A:B,2,FALSE),"Not Specified")</f>
        <v>Ms. Sara Davis</v>
      </c>
      <c r="I1674" t="str">
        <f>IFERROR(VLOOKUP(VLOOKUP(A1674,'Sales Order'!A:C,3,FALSE),Employee!A:J,10,FALSE),"Not Specified")</f>
        <v>WA</v>
      </c>
      <c r="J1674" t="str">
        <f>VLOOKUP(B1674,Product!A:B,2,FALSE)</f>
        <v>Product XWOXC</v>
      </c>
      <c r="K1674" t="str">
        <f>VLOOKUP(VLOOKUP(B1674,Product!A:D,4,FALSE),Category!A:B,2,FALSE)</f>
        <v>Dairy Product</v>
      </c>
      <c r="L1674" s="24">
        <f>IFERROR(VLOOKUP(A1674,'Sales Order'!A:D,4,FALSE),"")</f>
        <v>39491</v>
      </c>
      <c r="M1674" s="24">
        <f>IFERROR(VLOOKUP(A1674,'Sales Order'!A:F,6,FALSE),"")</f>
        <v>39509</v>
      </c>
      <c r="N1674" t="str">
        <f>IFERROR(VLOOKUP(VLOOKUP(A1674,'Sales Order'!A:G,7,FALSE),Shipper!A:B,2,FALSE),"Not Specified")</f>
        <v>Shipper GVSUA</v>
      </c>
      <c r="O1674" t="str">
        <f>IFERROR(VLOOKUP(A1674,'Sales Order'!A:I,9,FALSE),"Not Specified")</f>
        <v>Destination SCQXA</v>
      </c>
      <c r="P1674" t="str">
        <f>IFERROR(VLOOKUP(A1674,'Sales Order'!A:N,14,FALSE),"Not Specified")</f>
        <v>Brazil</v>
      </c>
      <c r="Q1674" t="str">
        <f>VLOOKUP(VLOOKUP(B1674,Product!A:C,3,FALSE),Supplier!A:B,2,FALSE)</f>
        <v>Supplier KEREV</v>
      </c>
      <c r="R1674" t="str">
        <f>VLOOKUP(VLOOKUP(B1674,Product!A:C,3,FALSE),Supplier!A:I,9,FALSE)</f>
        <v>Italy</v>
      </c>
      <c r="S1674" t="str">
        <f>IFERROR(IF(VLOOKUP(A1674,'Sales Order'!A:H,8,FALSE)&gt;100,"High Freight","Low Freight"),"Not Specified")</f>
        <v>Low Freight</v>
      </c>
      <c r="T1674">
        <f t="shared" si="53"/>
        <v>437.5</v>
      </c>
    </row>
    <row r="1675" spans="1:20">
      <c r="A1675" s="9">
        <v>10886</v>
      </c>
      <c r="B1675" s="6">
        <v>77</v>
      </c>
      <c r="C1675" s="6">
        <v>13</v>
      </c>
      <c r="D1675" s="6">
        <v>40</v>
      </c>
      <c r="E1675" s="18">
        <v>0</v>
      </c>
      <c r="F1675" s="6" t="str">
        <f>IFERROR(VLOOKUP(VLOOKUP(A1675,'Sales Order'!A:B,2,FALSE),Customer!A:C,3,FALSE),"Not Specified")</f>
        <v>Cohen, Shy</v>
      </c>
      <c r="G1675" s="6" t="str">
        <f t="shared" si="52"/>
        <v>Cohen Shy</v>
      </c>
      <c r="H1675" s="22" t="str">
        <f>IFERROR(VLOOKUP(VLOOKUP(A1675,'Sales Order'!A:C,3,FALSE),Employee!A:E,5,FALSE)&amp;" "&amp;VLOOKUP(VLOOKUP(A1675,'Sales Order'!A:C,3,FALSE),Employee!A:C,3,FALSE)&amp;" "&amp;VLOOKUP(VLOOKUP(A1675,'Sales Order'!A:C,3,FALSE),Employee!A:B,2,FALSE),"Not Specified")</f>
        <v>Ms. Sara Davis</v>
      </c>
      <c r="I1675" t="str">
        <f>IFERROR(VLOOKUP(VLOOKUP(A1675,'Sales Order'!A:C,3,FALSE),Employee!A:J,10,FALSE),"Not Specified")</f>
        <v>WA</v>
      </c>
      <c r="J1675" t="str">
        <f>VLOOKUP(B1675,Product!A:B,2,FALSE)</f>
        <v>Product LUNZZ</v>
      </c>
      <c r="K1675" t="str">
        <f>VLOOKUP(VLOOKUP(B1675,Product!A:D,4,FALSE),Category!A:B,2,FALSE)</f>
        <v>Condiments</v>
      </c>
      <c r="L1675" s="24">
        <f>IFERROR(VLOOKUP(A1675,'Sales Order'!A:D,4,FALSE),"")</f>
        <v>39491</v>
      </c>
      <c r="M1675" s="24">
        <f>IFERROR(VLOOKUP(A1675,'Sales Order'!A:F,6,FALSE),"")</f>
        <v>39509</v>
      </c>
      <c r="N1675" t="str">
        <f>IFERROR(VLOOKUP(VLOOKUP(A1675,'Sales Order'!A:G,7,FALSE),Shipper!A:B,2,FALSE),"Not Specified")</f>
        <v>Shipper GVSUA</v>
      </c>
      <c r="O1675" t="str">
        <f>IFERROR(VLOOKUP(A1675,'Sales Order'!A:I,9,FALSE),"Not Specified")</f>
        <v>Destination SCQXA</v>
      </c>
      <c r="P1675" t="str">
        <f>IFERROR(VLOOKUP(A1675,'Sales Order'!A:N,14,FALSE),"Not Specified")</f>
        <v>Brazil</v>
      </c>
      <c r="Q1675" t="str">
        <f>VLOOKUP(VLOOKUP(B1675,Product!A:C,3,FALSE),Supplier!A:B,2,FALSE)</f>
        <v>Supplier SVIYA</v>
      </c>
      <c r="R1675" t="str">
        <f>VLOOKUP(VLOOKUP(B1675,Product!A:C,3,FALSE),Supplier!A:I,9,FALSE)</f>
        <v>Germany</v>
      </c>
      <c r="S1675" t="str">
        <f>IFERROR(IF(VLOOKUP(A1675,'Sales Order'!A:H,8,FALSE)&gt;100,"High Freight","Low Freight"),"Not Specified")</f>
        <v>Low Freight</v>
      </c>
      <c r="T1675">
        <f t="shared" si="53"/>
        <v>520</v>
      </c>
    </row>
    <row r="1676" spans="1:20">
      <c r="A1676" s="9">
        <v>10887</v>
      </c>
      <c r="B1676" s="6">
        <v>25</v>
      </c>
      <c r="C1676" s="6">
        <v>14</v>
      </c>
      <c r="D1676" s="6">
        <v>5</v>
      </c>
      <c r="E1676" s="18">
        <v>0</v>
      </c>
      <c r="F1676" s="6" t="str">
        <f>IFERROR(VLOOKUP(VLOOKUP(A1676,'Sales Order'!A:B,2,FALSE),Customer!A:C,3,FALSE),"Not Specified")</f>
        <v>Kolesnikova, Katerina</v>
      </c>
      <c r="G1676" s="6" t="str">
        <f t="shared" si="52"/>
        <v>Kolesnikova Katerina</v>
      </c>
      <c r="H1676" s="22" t="str">
        <f>IFERROR(VLOOKUP(VLOOKUP(A1676,'Sales Order'!A:C,3,FALSE),Employee!A:E,5,FALSE)&amp;" "&amp;VLOOKUP(VLOOKUP(A1676,'Sales Order'!A:C,3,FALSE),Employee!A:C,3,FALSE)&amp;" "&amp;VLOOKUP(VLOOKUP(A1676,'Sales Order'!A:C,3,FALSE),Employee!A:B,2,FALSE),"Not Specified")</f>
        <v>Ms. Maria Cameron</v>
      </c>
      <c r="I1676" t="str">
        <f>IFERROR(VLOOKUP(VLOOKUP(A1676,'Sales Order'!A:C,3,FALSE),Employee!A:J,10,FALSE),"Not Specified")</f>
        <v>WA</v>
      </c>
      <c r="J1676" t="str">
        <f>VLOOKUP(B1676,Product!A:B,2,FALSE)</f>
        <v>Product LYLNI</v>
      </c>
      <c r="K1676" t="str">
        <f>VLOOKUP(VLOOKUP(B1676,Product!A:D,4,FALSE),Category!A:B,2,FALSE)</f>
        <v>Confections</v>
      </c>
      <c r="L1676" s="24">
        <f>IFERROR(VLOOKUP(A1676,'Sales Order'!A:D,4,FALSE),"")</f>
        <v>39491</v>
      </c>
      <c r="M1676" s="24">
        <f>IFERROR(VLOOKUP(A1676,'Sales Order'!A:F,6,FALSE),"")</f>
        <v>39494</v>
      </c>
      <c r="N1676" t="str">
        <f>IFERROR(VLOOKUP(VLOOKUP(A1676,'Sales Order'!A:G,7,FALSE),Shipper!A:B,2,FALSE),"Not Specified")</f>
        <v>Shipper ZHISN</v>
      </c>
      <c r="O1676" t="str">
        <f>IFERROR(VLOOKUP(A1676,'Sales Order'!A:I,9,FALSE),"Not Specified")</f>
        <v>Destination VPNNG</v>
      </c>
      <c r="P1676" t="str">
        <f>IFERROR(VLOOKUP(A1676,'Sales Order'!A:N,14,FALSE),"Not Specified")</f>
        <v>Spain</v>
      </c>
      <c r="Q1676" t="str">
        <f>VLOOKUP(VLOOKUP(B1676,Product!A:C,3,FALSE),Supplier!A:B,2,FALSE)</f>
        <v>Supplier ZPYVS</v>
      </c>
      <c r="R1676" t="str">
        <f>VLOOKUP(VLOOKUP(B1676,Product!A:C,3,FALSE),Supplier!A:I,9,FALSE)</f>
        <v>Germany</v>
      </c>
      <c r="S1676" t="str">
        <f>IFERROR(IF(VLOOKUP(A1676,'Sales Order'!A:H,8,FALSE)&gt;100,"High Freight","Low Freight"),"Not Specified")</f>
        <v>Low Freight</v>
      </c>
      <c r="T1676">
        <f t="shared" si="53"/>
        <v>70</v>
      </c>
    </row>
    <row r="1677" spans="1:20">
      <c r="A1677" s="9">
        <v>10888</v>
      </c>
      <c r="B1677" s="6">
        <v>2</v>
      </c>
      <c r="C1677" s="6">
        <v>19</v>
      </c>
      <c r="D1677" s="6">
        <v>20</v>
      </c>
      <c r="E1677" s="18">
        <v>0</v>
      </c>
      <c r="F1677" s="6" t="str">
        <f>IFERROR(VLOOKUP(VLOOKUP(A1677,'Sales Order'!A:B,2,FALSE),Customer!A:C,3,FALSE),"Not Specified")</f>
        <v>Shabalin, Rostislav</v>
      </c>
      <c r="G1677" s="6" t="str">
        <f t="shared" si="52"/>
        <v>Shabalin Rostislav</v>
      </c>
      <c r="H1677" s="22" t="str">
        <f>IFERROR(VLOOKUP(VLOOKUP(A1677,'Sales Order'!A:C,3,FALSE),Employee!A:E,5,FALSE)&amp;" "&amp;VLOOKUP(VLOOKUP(A1677,'Sales Order'!A:C,3,FALSE),Employee!A:C,3,FALSE)&amp;" "&amp;VLOOKUP(VLOOKUP(A1677,'Sales Order'!A:C,3,FALSE),Employee!A:B,2,FALSE),"Not Specified")</f>
        <v>Ms. Sara Davis</v>
      </c>
      <c r="I1677" t="str">
        <f>IFERROR(VLOOKUP(VLOOKUP(A1677,'Sales Order'!A:C,3,FALSE),Employee!A:J,10,FALSE),"Not Specified")</f>
        <v>WA</v>
      </c>
      <c r="J1677" t="str">
        <f>VLOOKUP(B1677,Product!A:B,2,FALSE)</f>
        <v>Product RECZE</v>
      </c>
      <c r="K1677" t="str">
        <f>VLOOKUP(VLOOKUP(B1677,Product!A:D,4,FALSE),Category!A:B,2,FALSE)</f>
        <v>Beverages</v>
      </c>
      <c r="L1677" s="24">
        <f>IFERROR(VLOOKUP(A1677,'Sales Order'!A:D,4,FALSE),"")</f>
        <v>39494</v>
      </c>
      <c r="M1677" s="24">
        <f>IFERROR(VLOOKUP(A1677,'Sales Order'!A:F,6,FALSE),"")</f>
        <v>39501</v>
      </c>
      <c r="N1677" t="str">
        <f>IFERROR(VLOOKUP(VLOOKUP(A1677,'Sales Order'!A:G,7,FALSE),Shipper!A:B,2,FALSE),"Not Specified")</f>
        <v>Shipper ETYNR</v>
      </c>
      <c r="O1677" t="str">
        <f>IFERROR(VLOOKUP(A1677,'Sales Order'!A:I,9,FALSE),"Not Specified")</f>
        <v>Destination IIYDD</v>
      </c>
      <c r="P1677" t="str">
        <f>IFERROR(VLOOKUP(A1677,'Sales Order'!A:N,14,FALSE),"Not Specified")</f>
        <v>Spain</v>
      </c>
      <c r="Q1677" t="str">
        <f>VLOOKUP(VLOOKUP(B1677,Product!A:C,3,FALSE),Supplier!A:B,2,FALSE)</f>
        <v>Supplier SWRXU</v>
      </c>
      <c r="R1677" t="str">
        <f>VLOOKUP(VLOOKUP(B1677,Product!A:C,3,FALSE),Supplier!A:I,9,FALSE)</f>
        <v>UK</v>
      </c>
      <c r="S1677" t="str">
        <f>IFERROR(IF(VLOOKUP(A1677,'Sales Order'!A:H,8,FALSE)&gt;100,"High Freight","Low Freight"),"Not Specified")</f>
        <v>Low Freight</v>
      </c>
      <c r="T1677">
        <f t="shared" si="53"/>
        <v>380</v>
      </c>
    </row>
    <row r="1678" spans="1:20">
      <c r="A1678" s="9">
        <v>10888</v>
      </c>
      <c r="B1678" s="6">
        <v>68</v>
      </c>
      <c r="C1678" s="6">
        <v>12.5</v>
      </c>
      <c r="D1678" s="6">
        <v>18</v>
      </c>
      <c r="E1678" s="18">
        <v>0</v>
      </c>
      <c r="F1678" s="6" t="str">
        <f>IFERROR(VLOOKUP(VLOOKUP(A1678,'Sales Order'!A:B,2,FALSE),Customer!A:C,3,FALSE),"Not Specified")</f>
        <v>Shabalin, Rostislav</v>
      </c>
      <c r="G1678" s="6" t="str">
        <f t="shared" si="52"/>
        <v>Shabalin Rostislav</v>
      </c>
      <c r="H1678" s="22" t="str">
        <f>IFERROR(VLOOKUP(VLOOKUP(A1678,'Sales Order'!A:C,3,FALSE),Employee!A:E,5,FALSE)&amp;" "&amp;VLOOKUP(VLOOKUP(A1678,'Sales Order'!A:C,3,FALSE),Employee!A:C,3,FALSE)&amp;" "&amp;VLOOKUP(VLOOKUP(A1678,'Sales Order'!A:C,3,FALSE),Employee!A:B,2,FALSE),"Not Specified")</f>
        <v>Ms. Sara Davis</v>
      </c>
      <c r="I1678" t="str">
        <f>IFERROR(VLOOKUP(VLOOKUP(A1678,'Sales Order'!A:C,3,FALSE),Employee!A:J,10,FALSE),"Not Specified")</f>
        <v>WA</v>
      </c>
      <c r="J1678" t="str">
        <f>VLOOKUP(B1678,Product!A:B,2,FALSE)</f>
        <v>Product TBTBL</v>
      </c>
      <c r="K1678" t="str">
        <f>VLOOKUP(VLOOKUP(B1678,Product!A:D,4,FALSE),Category!A:B,2,FALSE)</f>
        <v>Confections</v>
      </c>
      <c r="L1678" s="24">
        <f>IFERROR(VLOOKUP(A1678,'Sales Order'!A:D,4,FALSE),"")</f>
        <v>39494</v>
      </c>
      <c r="M1678" s="24">
        <f>IFERROR(VLOOKUP(A1678,'Sales Order'!A:F,6,FALSE),"")</f>
        <v>39501</v>
      </c>
      <c r="N1678" t="str">
        <f>IFERROR(VLOOKUP(VLOOKUP(A1678,'Sales Order'!A:G,7,FALSE),Shipper!A:B,2,FALSE),"Not Specified")</f>
        <v>Shipper ETYNR</v>
      </c>
      <c r="O1678" t="str">
        <f>IFERROR(VLOOKUP(A1678,'Sales Order'!A:I,9,FALSE),"Not Specified")</f>
        <v>Destination IIYDD</v>
      </c>
      <c r="P1678" t="str">
        <f>IFERROR(VLOOKUP(A1678,'Sales Order'!A:N,14,FALSE),"Not Specified")</f>
        <v>Spain</v>
      </c>
      <c r="Q1678" t="str">
        <f>VLOOKUP(VLOOKUP(B1678,Product!A:C,3,FALSE),Supplier!A:B,2,FALSE)</f>
        <v>Supplier BWGYE</v>
      </c>
      <c r="R1678" t="str">
        <f>VLOOKUP(VLOOKUP(B1678,Product!A:C,3,FALSE),Supplier!A:I,9,FALSE)</f>
        <v>UK</v>
      </c>
      <c r="S1678" t="str">
        <f>IFERROR(IF(VLOOKUP(A1678,'Sales Order'!A:H,8,FALSE)&gt;100,"High Freight","Low Freight"),"Not Specified")</f>
        <v>Low Freight</v>
      </c>
      <c r="T1678">
        <f t="shared" si="53"/>
        <v>225</v>
      </c>
    </row>
    <row r="1679" spans="1:20">
      <c r="A1679" s="9">
        <v>10889</v>
      </c>
      <c r="B1679" s="6">
        <v>11</v>
      </c>
      <c r="C1679" s="6">
        <v>21</v>
      </c>
      <c r="D1679" s="6">
        <v>40</v>
      </c>
      <c r="E1679" s="18">
        <v>0</v>
      </c>
      <c r="F1679" s="6" t="str">
        <f>IFERROR(VLOOKUP(VLOOKUP(A1679,'Sales Order'!A:B,2,FALSE),Customer!A:C,3,FALSE),"Not Specified")</f>
        <v>Moore, Michael</v>
      </c>
      <c r="G1679" s="6" t="str">
        <f t="shared" si="52"/>
        <v>Moore Michael</v>
      </c>
      <c r="H1679" s="22" t="str">
        <f>IFERROR(VLOOKUP(VLOOKUP(A1679,'Sales Order'!A:C,3,FALSE),Employee!A:E,5,FALSE)&amp;" "&amp;VLOOKUP(VLOOKUP(A1679,'Sales Order'!A:C,3,FALSE),Employee!A:C,3,FALSE)&amp;" "&amp;VLOOKUP(VLOOKUP(A1679,'Sales Order'!A:C,3,FALSE),Employee!A:B,2,FALSE),"Not Specified")</f>
        <v>Ms. Zoya Dolgopyatova</v>
      </c>
      <c r="I1679">
        <f>IFERROR(VLOOKUP(VLOOKUP(A1679,'Sales Order'!A:C,3,FALSE),Employee!A:J,10,FALSE),"Not Specified")</f>
        <v>0</v>
      </c>
      <c r="J1679" t="str">
        <f>VLOOKUP(B1679,Product!A:B,2,FALSE)</f>
        <v>Product QMVUN</v>
      </c>
      <c r="K1679" t="str">
        <f>VLOOKUP(VLOOKUP(B1679,Product!A:D,4,FALSE),Category!A:B,2,FALSE)</f>
        <v>Dairy Product</v>
      </c>
      <c r="L1679" s="24">
        <f>IFERROR(VLOOKUP(A1679,'Sales Order'!A:D,4,FALSE),"")</f>
        <v>39494</v>
      </c>
      <c r="M1679" s="24">
        <f>IFERROR(VLOOKUP(A1679,'Sales Order'!A:F,6,FALSE),"")</f>
        <v>39501</v>
      </c>
      <c r="N1679" t="str">
        <f>IFERROR(VLOOKUP(VLOOKUP(A1679,'Sales Order'!A:G,7,FALSE),Shipper!A:B,2,FALSE),"Not Specified")</f>
        <v>Shipper ZHISN</v>
      </c>
      <c r="O1679" t="str">
        <f>IFERROR(VLOOKUP(A1679,'Sales Order'!A:I,9,FALSE),"Not Specified")</f>
        <v>Ship to 65-C</v>
      </c>
      <c r="P1679" t="str">
        <f>IFERROR(VLOOKUP(A1679,'Sales Order'!A:N,14,FALSE),"Not Specified")</f>
        <v>USA</v>
      </c>
      <c r="Q1679" t="str">
        <f>VLOOKUP(VLOOKUP(B1679,Product!A:C,3,FALSE),Supplier!A:B,2,FALSE)</f>
        <v>Supplier EQPNC</v>
      </c>
      <c r="R1679" t="str">
        <f>VLOOKUP(VLOOKUP(B1679,Product!A:C,3,FALSE),Supplier!A:I,9,FALSE)</f>
        <v>Spain</v>
      </c>
      <c r="S1679" t="str">
        <f>IFERROR(IF(VLOOKUP(A1679,'Sales Order'!A:H,8,FALSE)&gt;100,"High Freight","Low Freight"),"Not Specified")</f>
        <v>High Freight</v>
      </c>
      <c r="T1679">
        <f t="shared" si="53"/>
        <v>840</v>
      </c>
    </row>
    <row r="1680" spans="1:20">
      <c r="A1680" s="9">
        <v>10889</v>
      </c>
      <c r="B1680" s="6">
        <v>38</v>
      </c>
      <c r="C1680" s="6">
        <v>263.5</v>
      </c>
      <c r="D1680" s="6">
        <v>40</v>
      </c>
      <c r="E1680" s="18">
        <v>0</v>
      </c>
      <c r="F1680" s="6" t="str">
        <f>IFERROR(VLOOKUP(VLOOKUP(A1680,'Sales Order'!A:B,2,FALSE),Customer!A:C,3,FALSE),"Not Specified")</f>
        <v>Moore, Michael</v>
      </c>
      <c r="G1680" s="6" t="str">
        <f t="shared" si="52"/>
        <v>Moore Michael</v>
      </c>
      <c r="H1680" s="22" t="str">
        <f>IFERROR(VLOOKUP(VLOOKUP(A1680,'Sales Order'!A:C,3,FALSE),Employee!A:E,5,FALSE)&amp;" "&amp;VLOOKUP(VLOOKUP(A1680,'Sales Order'!A:C,3,FALSE),Employee!A:C,3,FALSE)&amp;" "&amp;VLOOKUP(VLOOKUP(A1680,'Sales Order'!A:C,3,FALSE),Employee!A:B,2,FALSE),"Not Specified")</f>
        <v>Ms. Zoya Dolgopyatova</v>
      </c>
      <c r="I1680">
        <f>IFERROR(VLOOKUP(VLOOKUP(A1680,'Sales Order'!A:C,3,FALSE),Employee!A:J,10,FALSE),"Not Specified")</f>
        <v>0</v>
      </c>
      <c r="J1680" t="str">
        <f>VLOOKUP(B1680,Product!A:B,2,FALSE)</f>
        <v>Product QDOMO</v>
      </c>
      <c r="K1680" t="str">
        <f>VLOOKUP(VLOOKUP(B1680,Product!A:D,4,FALSE),Category!A:B,2,FALSE)</f>
        <v>Beverages</v>
      </c>
      <c r="L1680" s="24">
        <f>IFERROR(VLOOKUP(A1680,'Sales Order'!A:D,4,FALSE),"")</f>
        <v>39494</v>
      </c>
      <c r="M1680" s="24">
        <f>IFERROR(VLOOKUP(A1680,'Sales Order'!A:F,6,FALSE),"")</f>
        <v>39501</v>
      </c>
      <c r="N1680" t="str">
        <f>IFERROR(VLOOKUP(VLOOKUP(A1680,'Sales Order'!A:G,7,FALSE),Shipper!A:B,2,FALSE),"Not Specified")</f>
        <v>Shipper ZHISN</v>
      </c>
      <c r="O1680" t="str">
        <f>IFERROR(VLOOKUP(A1680,'Sales Order'!A:I,9,FALSE),"Not Specified")</f>
        <v>Ship to 65-C</v>
      </c>
      <c r="P1680" t="str">
        <f>IFERROR(VLOOKUP(A1680,'Sales Order'!A:N,14,FALSE),"Not Specified")</f>
        <v>USA</v>
      </c>
      <c r="Q1680" t="str">
        <f>VLOOKUP(VLOOKUP(B1680,Product!A:C,3,FALSE),Supplier!A:B,2,FALSE)</f>
        <v>Supplier LVJUA</v>
      </c>
      <c r="R1680" t="str">
        <f>VLOOKUP(VLOOKUP(B1680,Product!A:C,3,FALSE),Supplier!A:I,9,FALSE)</f>
        <v>France</v>
      </c>
      <c r="S1680" t="str">
        <f>IFERROR(IF(VLOOKUP(A1680,'Sales Order'!A:H,8,FALSE)&gt;100,"High Freight","Low Freight"),"Not Specified")</f>
        <v>High Freight</v>
      </c>
      <c r="T1680">
        <f t="shared" si="53"/>
        <v>10540</v>
      </c>
    </row>
    <row r="1681" spans="1:20">
      <c r="A1681" s="9">
        <v>10890</v>
      </c>
      <c r="B1681" s="6">
        <v>17</v>
      </c>
      <c r="C1681" s="6">
        <v>39</v>
      </c>
      <c r="D1681" s="6">
        <v>15</v>
      </c>
      <c r="E1681" s="18">
        <v>0</v>
      </c>
      <c r="F1681" s="6" t="str">
        <f>IFERROR(VLOOKUP(VLOOKUP(A1681,'Sales Order'!A:B,2,FALSE),Customer!A:C,3,FALSE),"Not Specified")</f>
        <v>Rizaldy, Arif</v>
      </c>
      <c r="G1681" s="6" t="str">
        <f t="shared" si="52"/>
        <v>Rizaldy Arif</v>
      </c>
      <c r="H1681" s="22" t="str">
        <f>IFERROR(VLOOKUP(VLOOKUP(A1681,'Sales Order'!A:C,3,FALSE),Employee!A:E,5,FALSE)&amp;" "&amp;VLOOKUP(VLOOKUP(A1681,'Sales Order'!A:C,3,FALSE),Employee!A:C,3,FALSE)&amp;" "&amp;VLOOKUP(VLOOKUP(A1681,'Sales Order'!A:C,3,FALSE),Employee!A:B,2,FALSE),"Not Specified")</f>
        <v>Mr. Russell King</v>
      </c>
      <c r="I1681">
        <f>IFERROR(VLOOKUP(VLOOKUP(A1681,'Sales Order'!A:C,3,FALSE),Employee!A:J,10,FALSE),"Not Specified")</f>
        <v>0</v>
      </c>
      <c r="J1681" t="str">
        <f>VLOOKUP(B1681,Product!A:B,2,FALSE)</f>
        <v>Product BLCAX</v>
      </c>
      <c r="K1681" t="str">
        <f>VLOOKUP(VLOOKUP(B1681,Product!A:D,4,FALSE),Category!A:B,2,FALSE)</f>
        <v>Meat/Poultry</v>
      </c>
      <c r="L1681" s="24">
        <f>IFERROR(VLOOKUP(A1681,'Sales Order'!A:D,4,FALSE),"")</f>
        <v>39494</v>
      </c>
      <c r="M1681" s="24">
        <f>IFERROR(VLOOKUP(A1681,'Sales Order'!A:F,6,FALSE),"")</f>
        <v>39496</v>
      </c>
      <c r="N1681" t="str">
        <f>IFERROR(VLOOKUP(VLOOKUP(A1681,'Sales Order'!A:G,7,FALSE),Shipper!A:B,2,FALSE),"Not Specified")</f>
        <v>Shipper GVSUA</v>
      </c>
      <c r="O1681" t="str">
        <f>IFERROR(VLOOKUP(A1681,'Sales Order'!A:I,9,FALSE),"Not Specified")</f>
        <v>Destination JNSYI</v>
      </c>
      <c r="P1681" t="str">
        <f>IFERROR(VLOOKUP(A1681,'Sales Order'!A:N,14,FALSE),"Not Specified")</f>
        <v>France</v>
      </c>
      <c r="Q1681" t="str">
        <f>VLOOKUP(VLOOKUP(B1681,Product!A:C,3,FALSE),Supplier!A:B,2,FALSE)</f>
        <v>Supplier GQRCV</v>
      </c>
      <c r="R1681" t="str">
        <f>VLOOKUP(VLOOKUP(B1681,Product!A:C,3,FALSE),Supplier!A:I,9,FALSE)</f>
        <v>Australia</v>
      </c>
      <c r="S1681" t="str">
        <f>IFERROR(IF(VLOOKUP(A1681,'Sales Order'!A:H,8,FALSE)&gt;100,"High Freight","Low Freight"),"Not Specified")</f>
        <v>Low Freight</v>
      </c>
      <c r="T1681">
        <f t="shared" si="53"/>
        <v>585</v>
      </c>
    </row>
    <row r="1682" spans="1:20">
      <c r="A1682" s="9">
        <v>10890</v>
      </c>
      <c r="B1682" s="6">
        <v>34</v>
      </c>
      <c r="C1682" s="6">
        <v>14</v>
      </c>
      <c r="D1682" s="6">
        <v>10</v>
      </c>
      <c r="E1682" s="18">
        <v>0</v>
      </c>
      <c r="F1682" s="6" t="str">
        <f>IFERROR(VLOOKUP(VLOOKUP(A1682,'Sales Order'!A:B,2,FALSE),Customer!A:C,3,FALSE),"Not Specified")</f>
        <v>Rizaldy, Arif</v>
      </c>
      <c r="G1682" s="6" t="str">
        <f t="shared" si="52"/>
        <v>Rizaldy Arif</v>
      </c>
      <c r="H1682" s="22" t="str">
        <f>IFERROR(VLOOKUP(VLOOKUP(A1682,'Sales Order'!A:C,3,FALSE),Employee!A:E,5,FALSE)&amp;" "&amp;VLOOKUP(VLOOKUP(A1682,'Sales Order'!A:C,3,FALSE),Employee!A:C,3,FALSE)&amp;" "&amp;VLOOKUP(VLOOKUP(A1682,'Sales Order'!A:C,3,FALSE),Employee!A:B,2,FALSE),"Not Specified")</f>
        <v>Mr. Russell King</v>
      </c>
      <c r="I1682">
        <f>IFERROR(VLOOKUP(VLOOKUP(A1682,'Sales Order'!A:C,3,FALSE),Employee!A:J,10,FALSE),"Not Specified")</f>
        <v>0</v>
      </c>
      <c r="J1682" t="str">
        <f>VLOOKUP(B1682,Product!A:B,2,FALSE)</f>
        <v>Product SWNJY</v>
      </c>
      <c r="K1682" t="str">
        <f>VLOOKUP(VLOOKUP(B1682,Product!A:D,4,FALSE),Category!A:B,2,FALSE)</f>
        <v>Beverages</v>
      </c>
      <c r="L1682" s="24">
        <f>IFERROR(VLOOKUP(A1682,'Sales Order'!A:D,4,FALSE),"")</f>
        <v>39494</v>
      </c>
      <c r="M1682" s="24">
        <f>IFERROR(VLOOKUP(A1682,'Sales Order'!A:F,6,FALSE),"")</f>
        <v>39496</v>
      </c>
      <c r="N1682" t="str">
        <f>IFERROR(VLOOKUP(VLOOKUP(A1682,'Sales Order'!A:G,7,FALSE),Shipper!A:B,2,FALSE),"Not Specified")</f>
        <v>Shipper GVSUA</v>
      </c>
      <c r="O1682" t="str">
        <f>IFERROR(VLOOKUP(A1682,'Sales Order'!A:I,9,FALSE),"Not Specified")</f>
        <v>Destination JNSYI</v>
      </c>
      <c r="P1682" t="str">
        <f>IFERROR(VLOOKUP(A1682,'Sales Order'!A:N,14,FALSE),"Not Specified")</f>
        <v>France</v>
      </c>
      <c r="Q1682" t="str">
        <f>VLOOKUP(VLOOKUP(B1682,Product!A:C,3,FALSE),Supplier!A:B,2,FALSE)</f>
        <v>Supplier UHZRG</v>
      </c>
      <c r="R1682" t="str">
        <f>VLOOKUP(VLOOKUP(B1682,Product!A:C,3,FALSE),Supplier!A:I,9,FALSE)</f>
        <v>USA</v>
      </c>
      <c r="S1682" t="str">
        <f>IFERROR(IF(VLOOKUP(A1682,'Sales Order'!A:H,8,FALSE)&gt;100,"High Freight","Low Freight"),"Not Specified")</f>
        <v>Low Freight</v>
      </c>
      <c r="T1682">
        <f t="shared" si="53"/>
        <v>140</v>
      </c>
    </row>
    <row r="1683" spans="1:20">
      <c r="A1683" s="9">
        <v>10890</v>
      </c>
      <c r="B1683" s="6">
        <v>41</v>
      </c>
      <c r="C1683" s="6">
        <v>9.65</v>
      </c>
      <c r="D1683" s="6">
        <v>14</v>
      </c>
      <c r="E1683" s="18">
        <v>0</v>
      </c>
      <c r="F1683" s="6" t="str">
        <f>IFERROR(VLOOKUP(VLOOKUP(A1683,'Sales Order'!A:B,2,FALSE),Customer!A:C,3,FALSE),"Not Specified")</f>
        <v>Rizaldy, Arif</v>
      </c>
      <c r="G1683" s="6" t="str">
        <f t="shared" si="52"/>
        <v>Rizaldy Arif</v>
      </c>
      <c r="H1683" s="22" t="str">
        <f>IFERROR(VLOOKUP(VLOOKUP(A1683,'Sales Order'!A:C,3,FALSE),Employee!A:E,5,FALSE)&amp;" "&amp;VLOOKUP(VLOOKUP(A1683,'Sales Order'!A:C,3,FALSE),Employee!A:C,3,FALSE)&amp;" "&amp;VLOOKUP(VLOOKUP(A1683,'Sales Order'!A:C,3,FALSE),Employee!A:B,2,FALSE),"Not Specified")</f>
        <v>Mr. Russell King</v>
      </c>
      <c r="I1683">
        <f>IFERROR(VLOOKUP(VLOOKUP(A1683,'Sales Order'!A:C,3,FALSE),Employee!A:J,10,FALSE),"Not Specified")</f>
        <v>0</v>
      </c>
      <c r="J1683" t="str">
        <f>VLOOKUP(B1683,Product!A:B,2,FALSE)</f>
        <v>Product TTEEX</v>
      </c>
      <c r="K1683" t="str">
        <f>VLOOKUP(VLOOKUP(B1683,Product!A:D,4,FALSE),Category!A:B,2,FALSE)</f>
        <v>Seafood</v>
      </c>
      <c r="L1683" s="24">
        <f>IFERROR(VLOOKUP(A1683,'Sales Order'!A:D,4,FALSE),"")</f>
        <v>39494</v>
      </c>
      <c r="M1683" s="24">
        <f>IFERROR(VLOOKUP(A1683,'Sales Order'!A:F,6,FALSE),"")</f>
        <v>39496</v>
      </c>
      <c r="N1683" t="str">
        <f>IFERROR(VLOOKUP(VLOOKUP(A1683,'Sales Order'!A:G,7,FALSE),Shipper!A:B,2,FALSE),"Not Specified")</f>
        <v>Shipper GVSUA</v>
      </c>
      <c r="O1683" t="str">
        <f>IFERROR(VLOOKUP(A1683,'Sales Order'!A:I,9,FALSE),"Not Specified")</f>
        <v>Destination JNSYI</v>
      </c>
      <c r="P1683" t="str">
        <f>IFERROR(VLOOKUP(A1683,'Sales Order'!A:N,14,FALSE),"Not Specified")</f>
        <v>France</v>
      </c>
      <c r="Q1683" t="str">
        <f>VLOOKUP(VLOOKUP(B1683,Product!A:C,3,FALSE),Supplier!A:B,2,FALSE)</f>
        <v>Supplier JDNUG</v>
      </c>
      <c r="R1683" t="str">
        <f>VLOOKUP(VLOOKUP(B1683,Product!A:C,3,FALSE),Supplier!A:I,9,FALSE)</f>
        <v>USA</v>
      </c>
      <c r="S1683" t="str">
        <f>IFERROR(IF(VLOOKUP(A1683,'Sales Order'!A:H,8,FALSE)&gt;100,"High Freight","Low Freight"),"Not Specified")</f>
        <v>Low Freight</v>
      </c>
      <c r="T1683">
        <f t="shared" si="53"/>
        <v>135.1</v>
      </c>
    </row>
    <row r="1684" spans="1:20">
      <c r="A1684" s="9">
        <v>10891</v>
      </c>
      <c r="B1684" s="6">
        <v>30</v>
      </c>
      <c r="C1684" s="6">
        <v>25.89</v>
      </c>
      <c r="D1684" s="6">
        <v>15</v>
      </c>
      <c r="E1684" s="18">
        <v>0.05</v>
      </c>
      <c r="F1684" s="6" t="str">
        <f>IFERROR(VLOOKUP(VLOOKUP(A1684,'Sales Order'!A:B,2,FALSE),Customer!A:C,3,FALSE),"Not Specified")</f>
        <v>Louverdis, George</v>
      </c>
      <c r="G1684" s="6" t="str">
        <f t="shared" si="52"/>
        <v>Louverdis George</v>
      </c>
      <c r="H1684" s="22" t="str">
        <f>IFERROR(VLOOKUP(VLOOKUP(A1684,'Sales Order'!A:C,3,FALSE),Employee!A:E,5,FALSE)&amp;" "&amp;VLOOKUP(VLOOKUP(A1684,'Sales Order'!A:C,3,FALSE),Employee!A:C,3,FALSE)&amp;" "&amp;VLOOKUP(VLOOKUP(A1684,'Sales Order'!A:C,3,FALSE),Employee!A:B,2,FALSE),"Not Specified")</f>
        <v>Mr. Russell King</v>
      </c>
      <c r="I1684">
        <f>IFERROR(VLOOKUP(VLOOKUP(A1684,'Sales Order'!A:C,3,FALSE),Employee!A:J,10,FALSE),"Not Specified")</f>
        <v>0</v>
      </c>
      <c r="J1684" t="str">
        <f>VLOOKUP(B1684,Product!A:B,2,FALSE)</f>
        <v>Product LYERX</v>
      </c>
      <c r="K1684" t="str">
        <f>VLOOKUP(VLOOKUP(B1684,Product!A:D,4,FALSE),Category!A:B,2,FALSE)</f>
        <v>Seafood</v>
      </c>
      <c r="L1684" s="24">
        <f>IFERROR(VLOOKUP(A1684,'Sales Order'!A:D,4,FALSE),"")</f>
        <v>39495</v>
      </c>
      <c r="M1684" s="24">
        <f>IFERROR(VLOOKUP(A1684,'Sales Order'!A:F,6,FALSE),"")</f>
        <v>39497</v>
      </c>
      <c r="N1684" t="str">
        <f>IFERROR(VLOOKUP(VLOOKUP(A1684,'Sales Order'!A:G,7,FALSE),Shipper!A:B,2,FALSE),"Not Specified")</f>
        <v>Shipper ETYNR</v>
      </c>
      <c r="O1684" t="str">
        <f>IFERROR(VLOOKUP(A1684,'Sales Order'!A:I,9,FALSE),"Not Specified")</f>
        <v>Ship to 44-A</v>
      </c>
      <c r="P1684" t="str">
        <f>IFERROR(VLOOKUP(A1684,'Sales Order'!A:N,14,FALSE),"Not Specified")</f>
        <v>Germany</v>
      </c>
      <c r="Q1684" t="str">
        <f>VLOOKUP(VLOOKUP(B1684,Product!A:C,3,FALSE),Supplier!A:B,2,FALSE)</f>
        <v>Supplier TEGSC</v>
      </c>
      <c r="R1684" t="str">
        <f>VLOOKUP(VLOOKUP(B1684,Product!A:C,3,FALSE),Supplier!A:I,9,FALSE)</f>
        <v>Germany</v>
      </c>
      <c r="S1684" t="str">
        <f>IFERROR(IF(VLOOKUP(A1684,'Sales Order'!A:H,8,FALSE)&gt;100,"High Freight","Low Freight"),"Not Specified")</f>
        <v>Low Freight</v>
      </c>
      <c r="T1684">
        <f t="shared" si="53"/>
        <v>368.9325</v>
      </c>
    </row>
    <row r="1685" spans="1:20">
      <c r="A1685" s="9">
        <v>10892</v>
      </c>
      <c r="B1685" s="6">
        <v>59</v>
      </c>
      <c r="C1685" s="6">
        <v>55</v>
      </c>
      <c r="D1685" s="6">
        <v>40</v>
      </c>
      <c r="E1685" s="18">
        <v>0.05</v>
      </c>
      <c r="F1685" s="6" t="str">
        <f>IFERROR(VLOOKUP(VLOOKUP(A1685,'Sales Order'!A:B,2,FALSE),Customer!A:C,3,FALSE),"Not Specified")</f>
        <v>Mace, Donald</v>
      </c>
      <c r="G1685" s="6" t="str">
        <f t="shared" si="52"/>
        <v>Mace Donald</v>
      </c>
      <c r="H1685" s="22" t="str">
        <f>IFERROR(VLOOKUP(VLOOKUP(A1685,'Sales Order'!A:C,3,FALSE),Employee!A:E,5,FALSE)&amp;" "&amp;VLOOKUP(VLOOKUP(A1685,'Sales Order'!A:C,3,FALSE),Employee!A:C,3,FALSE)&amp;" "&amp;VLOOKUP(VLOOKUP(A1685,'Sales Order'!A:C,3,FALSE),Employee!A:B,2,FALSE),"Not Specified")</f>
        <v>Mrs. Yael Peled</v>
      </c>
      <c r="I1685" t="str">
        <f>IFERROR(VLOOKUP(VLOOKUP(A1685,'Sales Order'!A:C,3,FALSE),Employee!A:J,10,FALSE),"Not Specified")</f>
        <v>WA</v>
      </c>
      <c r="J1685" t="str">
        <f>VLOOKUP(B1685,Product!A:B,2,FALSE)</f>
        <v>Product UKXRI</v>
      </c>
      <c r="K1685" t="str">
        <f>VLOOKUP(VLOOKUP(B1685,Product!A:D,4,FALSE),Category!A:B,2,FALSE)</f>
        <v>Dairy Product</v>
      </c>
      <c r="L1685" s="24">
        <f>IFERROR(VLOOKUP(A1685,'Sales Order'!A:D,4,FALSE),"")</f>
        <v>39495</v>
      </c>
      <c r="M1685" s="24">
        <f>IFERROR(VLOOKUP(A1685,'Sales Order'!A:F,6,FALSE),"")</f>
        <v>39497</v>
      </c>
      <c r="N1685" t="str">
        <f>IFERROR(VLOOKUP(VLOOKUP(A1685,'Sales Order'!A:G,7,FALSE),Shipper!A:B,2,FALSE),"Not Specified")</f>
        <v>Shipper ETYNR</v>
      </c>
      <c r="O1685" t="str">
        <f>IFERROR(VLOOKUP(A1685,'Sales Order'!A:I,9,FALSE),"Not Specified")</f>
        <v>Ship to 50-A</v>
      </c>
      <c r="P1685" t="str">
        <f>IFERROR(VLOOKUP(A1685,'Sales Order'!A:N,14,FALSE),"Not Specified")</f>
        <v>Belgium</v>
      </c>
      <c r="Q1685" t="str">
        <f>VLOOKUP(VLOOKUP(B1685,Product!A:C,3,FALSE),Supplier!A:B,2,FALSE)</f>
        <v>Supplier OAVQT</v>
      </c>
      <c r="R1685" t="str">
        <f>VLOOKUP(VLOOKUP(B1685,Product!A:C,3,FALSE),Supplier!A:I,9,FALSE)</f>
        <v>France</v>
      </c>
      <c r="S1685" t="str">
        <f>IFERROR(IF(VLOOKUP(A1685,'Sales Order'!A:H,8,FALSE)&gt;100,"High Freight","Low Freight"),"Not Specified")</f>
        <v>High Freight</v>
      </c>
      <c r="T1685">
        <f t="shared" si="53"/>
        <v>2090</v>
      </c>
    </row>
    <row r="1686" spans="1:20">
      <c r="A1686" s="9">
        <v>10893</v>
      </c>
      <c r="B1686" s="6">
        <v>8</v>
      </c>
      <c r="C1686" s="6">
        <v>40</v>
      </c>
      <c r="D1686" s="6">
        <v>30</v>
      </c>
      <c r="E1686" s="18">
        <v>0</v>
      </c>
      <c r="F1686" s="6" t="str">
        <f>IFERROR(VLOOKUP(VLOOKUP(A1686,'Sales Order'!A:B,2,FALSE),Customer!A:C,3,FALSE),"Not Specified")</f>
        <v>Song, Lolan</v>
      </c>
      <c r="G1686" s="6" t="str">
        <f t="shared" si="52"/>
        <v>Song Lolan</v>
      </c>
      <c r="H1686" s="22" t="str">
        <f>IFERROR(VLOOKUP(VLOOKUP(A1686,'Sales Order'!A:C,3,FALSE),Employee!A:E,5,FALSE)&amp;" "&amp;VLOOKUP(VLOOKUP(A1686,'Sales Order'!A:C,3,FALSE),Employee!A:C,3,FALSE)&amp;" "&amp;VLOOKUP(VLOOKUP(A1686,'Sales Order'!A:C,3,FALSE),Employee!A:B,2,FALSE),"Not Specified")</f>
        <v>Ms. Zoya Dolgopyatova</v>
      </c>
      <c r="I1686">
        <f>IFERROR(VLOOKUP(VLOOKUP(A1686,'Sales Order'!A:C,3,FALSE),Employee!A:J,10,FALSE),"Not Specified")</f>
        <v>0</v>
      </c>
      <c r="J1686" t="str">
        <f>VLOOKUP(B1686,Product!A:B,2,FALSE)</f>
        <v>Product WVJFP</v>
      </c>
      <c r="K1686" t="str">
        <f>VLOOKUP(VLOOKUP(B1686,Product!A:D,4,FALSE),Category!A:B,2,FALSE)</f>
        <v>Condiments</v>
      </c>
      <c r="L1686" s="24">
        <f>IFERROR(VLOOKUP(A1686,'Sales Order'!A:D,4,FALSE),"")</f>
        <v>39496</v>
      </c>
      <c r="M1686" s="24">
        <f>IFERROR(VLOOKUP(A1686,'Sales Order'!A:F,6,FALSE),"")</f>
        <v>39498</v>
      </c>
      <c r="N1686" t="str">
        <f>IFERROR(VLOOKUP(VLOOKUP(A1686,'Sales Order'!A:G,7,FALSE),Shipper!A:B,2,FALSE),"Not Specified")</f>
        <v>Shipper ETYNR</v>
      </c>
      <c r="O1686" t="str">
        <f>IFERROR(VLOOKUP(A1686,'Sales Order'!A:I,9,FALSE),"Not Specified")</f>
        <v>Destination RMBHM</v>
      </c>
      <c r="P1686" t="str">
        <f>IFERROR(VLOOKUP(A1686,'Sales Order'!A:N,14,FALSE),"Not Specified")</f>
        <v>Germany</v>
      </c>
      <c r="Q1686" t="str">
        <f>VLOOKUP(VLOOKUP(B1686,Product!A:C,3,FALSE),Supplier!A:B,2,FALSE)</f>
        <v>Supplier STUAZ</v>
      </c>
      <c r="R1686" t="str">
        <f>VLOOKUP(VLOOKUP(B1686,Product!A:C,3,FALSE),Supplier!A:I,9,FALSE)</f>
        <v>USA</v>
      </c>
      <c r="S1686" t="str">
        <f>IFERROR(IF(VLOOKUP(A1686,'Sales Order'!A:H,8,FALSE)&gt;100,"High Freight","Low Freight"),"Not Specified")</f>
        <v>Low Freight</v>
      </c>
      <c r="T1686">
        <f t="shared" si="53"/>
        <v>1200</v>
      </c>
    </row>
    <row r="1687" spans="1:20">
      <c r="A1687" s="9">
        <v>10893</v>
      </c>
      <c r="B1687" s="6">
        <v>24</v>
      </c>
      <c r="C1687" s="6">
        <v>4.5</v>
      </c>
      <c r="D1687" s="6">
        <v>10</v>
      </c>
      <c r="E1687" s="18">
        <v>0</v>
      </c>
      <c r="F1687" s="6" t="str">
        <f>IFERROR(VLOOKUP(VLOOKUP(A1687,'Sales Order'!A:B,2,FALSE),Customer!A:C,3,FALSE),"Not Specified")</f>
        <v>Song, Lolan</v>
      </c>
      <c r="G1687" s="6" t="str">
        <f t="shared" si="52"/>
        <v>Song Lolan</v>
      </c>
      <c r="H1687" s="22" t="str">
        <f>IFERROR(VLOOKUP(VLOOKUP(A1687,'Sales Order'!A:C,3,FALSE),Employee!A:E,5,FALSE)&amp;" "&amp;VLOOKUP(VLOOKUP(A1687,'Sales Order'!A:C,3,FALSE),Employee!A:C,3,FALSE)&amp;" "&amp;VLOOKUP(VLOOKUP(A1687,'Sales Order'!A:C,3,FALSE),Employee!A:B,2,FALSE),"Not Specified")</f>
        <v>Ms. Zoya Dolgopyatova</v>
      </c>
      <c r="I1687">
        <f>IFERROR(VLOOKUP(VLOOKUP(A1687,'Sales Order'!A:C,3,FALSE),Employee!A:J,10,FALSE),"Not Specified")</f>
        <v>0</v>
      </c>
      <c r="J1687" t="str">
        <f>VLOOKUP(B1687,Product!A:B,2,FALSE)</f>
        <v>Product QOGNU</v>
      </c>
      <c r="K1687" t="str">
        <f>VLOOKUP(VLOOKUP(B1687,Product!A:D,4,FALSE),Category!A:B,2,FALSE)</f>
        <v>Beverages</v>
      </c>
      <c r="L1687" s="24">
        <f>IFERROR(VLOOKUP(A1687,'Sales Order'!A:D,4,FALSE),"")</f>
        <v>39496</v>
      </c>
      <c r="M1687" s="24">
        <f>IFERROR(VLOOKUP(A1687,'Sales Order'!A:F,6,FALSE),"")</f>
        <v>39498</v>
      </c>
      <c r="N1687" t="str">
        <f>IFERROR(VLOOKUP(VLOOKUP(A1687,'Sales Order'!A:G,7,FALSE),Shipper!A:B,2,FALSE),"Not Specified")</f>
        <v>Shipper ETYNR</v>
      </c>
      <c r="O1687" t="str">
        <f>IFERROR(VLOOKUP(A1687,'Sales Order'!A:I,9,FALSE),"Not Specified")</f>
        <v>Destination RMBHM</v>
      </c>
      <c r="P1687" t="str">
        <f>IFERROR(VLOOKUP(A1687,'Sales Order'!A:N,14,FALSE),"Not Specified")</f>
        <v>Germany</v>
      </c>
      <c r="Q1687" t="str">
        <f>VLOOKUP(VLOOKUP(B1687,Product!A:C,3,FALSE),Supplier!A:B,2,FALSE)</f>
        <v>Supplier UNAHG</v>
      </c>
      <c r="R1687" t="str">
        <f>VLOOKUP(VLOOKUP(B1687,Product!A:C,3,FALSE),Supplier!A:I,9,FALSE)</f>
        <v>Brazil</v>
      </c>
      <c r="S1687" t="str">
        <f>IFERROR(IF(VLOOKUP(A1687,'Sales Order'!A:H,8,FALSE)&gt;100,"High Freight","Low Freight"),"Not Specified")</f>
        <v>Low Freight</v>
      </c>
      <c r="T1687">
        <f t="shared" si="53"/>
        <v>45</v>
      </c>
    </row>
    <row r="1688" spans="1:20">
      <c r="A1688" s="9">
        <v>10893</v>
      </c>
      <c r="B1688" s="6">
        <v>29</v>
      </c>
      <c r="C1688" s="6">
        <v>123.79</v>
      </c>
      <c r="D1688" s="6">
        <v>24</v>
      </c>
      <c r="E1688" s="18">
        <v>0</v>
      </c>
      <c r="F1688" s="6" t="str">
        <f>IFERROR(VLOOKUP(VLOOKUP(A1688,'Sales Order'!A:B,2,FALSE),Customer!A:C,3,FALSE),"Not Specified")</f>
        <v>Song, Lolan</v>
      </c>
      <c r="G1688" s="6" t="str">
        <f t="shared" si="52"/>
        <v>Song Lolan</v>
      </c>
      <c r="H1688" s="22" t="str">
        <f>IFERROR(VLOOKUP(VLOOKUP(A1688,'Sales Order'!A:C,3,FALSE),Employee!A:E,5,FALSE)&amp;" "&amp;VLOOKUP(VLOOKUP(A1688,'Sales Order'!A:C,3,FALSE),Employee!A:C,3,FALSE)&amp;" "&amp;VLOOKUP(VLOOKUP(A1688,'Sales Order'!A:C,3,FALSE),Employee!A:B,2,FALSE),"Not Specified")</f>
        <v>Ms. Zoya Dolgopyatova</v>
      </c>
      <c r="I1688">
        <f>IFERROR(VLOOKUP(VLOOKUP(A1688,'Sales Order'!A:C,3,FALSE),Employee!A:J,10,FALSE),"Not Specified")</f>
        <v>0</v>
      </c>
      <c r="J1688" t="str">
        <f>VLOOKUP(B1688,Product!A:B,2,FALSE)</f>
        <v>Product VJXYN</v>
      </c>
      <c r="K1688" t="str">
        <f>VLOOKUP(VLOOKUP(B1688,Product!A:D,4,FALSE),Category!A:B,2,FALSE)</f>
        <v>Meat/Poultry</v>
      </c>
      <c r="L1688" s="24">
        <f>IFERROR(VLOOKUP(A1688,'Sales Order'!A:D,4,FALSE),"")</f>
        <v>39496</v>
      </c>
      <c r="M1688" s="24">
        <f>IFERROR(VLOOKUP(A1688,'Sales Order'!A:F,6,FALSE),"")</f>
        <v>39498</v>
      </c>
      <c r="N1688" t="str">
        <f>IFERROR(VLOOKUP(VLOOKUP(A1688,'Sales Order'!A:G,7,FALSE),Shipper!A:B,2,FALSE),"Not Specified")</f>
        <v>Shipper ETYNR</v>
      </c>
      <c r="O1688" t="str">
        <f>IFERROR(VLOOKUP(A1688,'Sales Order'!A:I,9,FALSE),"Not Specified")</f>
        <v>Destination RMBHM</v>
      </c>
      <c r="P1688" t="str">
        <f>IFERROR(VLOOKUP(A1688,'Sales Order'!A:N,14,FALSE),"Not Specified")</f>
        <v>Germany</v>
      </c>
      <c r="Q1688" t="str">
        <f>VLOOKUP(VLOOKUP(B1688,Product!A:C,3,FALSE),Supplier!A:B,2,FALSE)</f>
        <v>Supplier SVIYA</v>
      </c>
      <c r="R1688" t="str">
        <f>VLOOKUP(VLOOKUP(B1688,Product!A:C,3,FALSE),Supplier!A:I,9,FALSE)</f>
        <v>Germany</v>
      </c>
      <c r="S1688" t="str">
        <f>IFERROR(IF(VLOOKUP(A1688,'Sales Order'!A:H,8,FALSE)&gt;100,"High Freight","Low Freight"),"Not Specified")</f>
        <v>Low Freight</v>
      </c>
      <c r="T1688">
        <f t="shared" si="53"/>
        <v>2970.96</v>
      </c>
    </row>
    <row r="1689" spans="1:20">
      <c r="A1689" s="9">
        <v>10893</v>
      </c>
      <c r="B1689" s="6">
        <v>30</v>
      </c>
      <c r="C1689" s="6">
        <v>25.89</v>
      </c>
      <c r="D1689" s="6">
        <v>35</v>
      </c>
      <c r="E1689" s="18">
        <v>0</v>
      </c>
      <c r="F1689" s="6" t="str">
        <f>IFERROR(VLOOKUP(VLOOKUP(A1689,'Sales Order'!A:B,2,FALSE),Customer!A:C,3,FALSE),"Not Specified")</f>
        <v>Song, Lolan</v>
      </c>
      <c r="G1689" s="6" t="str">
        <f t="shared" si="52"/>
        <v>Song Lolan</v>
      </c>
      <c r="H1689" s="22" t="str">
        <f>IFERROR(VLOOKUP(VLOOKUP(A1689,'Sales Order'!A:C,3,FALSE),Employee!A:E,5,FALSE)&amp;" "&amp;VLOOKUP(VLOOKUP(A1689,'Sales Order'!A:C,3,FALSE),Employee!A:C,3,FALSE)&amp;" "&amp;VLOOKUP(VLOOKUP(A1689,'Sales Order'!A:C,3,FALSE),Employee!A:B,2,FALSE),"Not Specified")</f>
        <v>Ms. Zoya Dolgopyatova</v>
      </c>
      <c r="I1689">
        <f>IFERROR(VLOOKUP(VLOOKUP(A1689,'Sales Order'!A:C,3,FALSE),Employee!A:J,10,FALSE),"Not Specified")</f>
        <v>0</v>
      </c>
      <c r="J1689" t="str">
        <f>VLOOKUP(B1689,Product!A:B,2,FALSE)</f>
        <v>Product LYERX</v>
      </c>
      <c r="K1689" t="str">
        <f>VLOOKUP(VLOOKUP(B1689,Product!A:D,4,FALSE),Category!A:B,2,FALSE)</f>
        <v>Seafood</v>
      </c>
      <c r="L1689" s="24">
        <f>IFERROR(VLOOKUP(A1689,'Sales Order'!A:D,4,FALSE),"")</f>
        <v>39496</v>
      </c>
      <c r="M1689" s="24">
        <f>IFERROR(VLOOKUP(A1689,'Sales Order'!A:F,6,FALSE),"")</f>
        <v>39498</v>
      </c>
      <c r="N1689" t="str">
        <f>IFERROR(VLOOKUP(VLOOKUP(A1689,'Sales Order'!A:G,7,FALSE),Shipper!A:B,2,FALSE),"Not Specified")</f>
        <v>Shipper ETYNR</v>
      </c>
      <c r="O1689" t="str">
        <f>IFERROR(VLOOKUP(A1689,'Sales Order'!A:I,9,FALSE),"Not Specified")</f>
        <v>Destination RMBHM</v>
      </c>
      <c r="P1689" t="str">
        <f>IFERROR(VLOOKUP(A1689,'Sales Order'!A:N,14,FALSE),"Not Specified")</f>
        <v>Germany</v>
      </c>
      <c r="Q1689" t="str">
        <f>VLOOKUP(VLOOKUP(B1689,Product!A:C,3,FALSE),Supplier!A:B,2,FALSE)</f>
        <v>Supplier TEGSC</v>
      </c>
      <c r="R1689" t="str">
        <f>VLOOKUP(VLOOKUP(B1689,Product!A:C,3,FALSE),Supplier!A:I,9,FALSE)</f>
        <v>Germany</v>
      </c>
      <c r="S1689" t="str">
        <f>IFERROR(IF(VLOOKUP(A1689,'Sales Order'!A:H,8,FALSE)&gt;100,"High Freight","Low Freight"),"Not Specified")</f>
        <v>Low Freight</v>
      </c>
      <c r="T1689">
        <f t="shared" si="53"/>
        <v>906.15</v>
      </c>
    </row>
    <row r="1690" spans="1:20">
      <c r="A1690" s="9">
        <v>10893</v>
      </c>
      <c r="B1690" s="6">
        <v>36</v>
      </c>
      <c r="C1690" s="6">
        <v>19</v>
      </c>
      <c r="D1690" s="6">
        <v>20</v>
      </c>
      <c r="E1690" s="18">
        <v>0</v>
      </c>
      <c r="F1690" s="6" t="str">
        <f>IFERROR(VLOOKUP(VLOOKUP(A1690,'Sales Order'!A:B,2,FALSE),Customer!A:C,3,FALSE),"Not Specified")</f>
        <v>Song, Lolan</v>
      </c>
      <c r="G1690" s="6" t="str">
        <f t="shared" si="52"/>
        <v>Song Lolan</v>
      </c>
      <c r="H1690" s="22" t="str">
        <f>IFERROR(VLOOKUP(VLOOKUP(A1690,'Sales Order'!A:C,3,FALSE),Employee!A:E,5,FALSE)&amp;" "&amp;VLOOKUP(VLOOKUP(A1690,'Sales Order'!A:C,3,FALSE),Employee!A:C,3,FALSE)&amp;" "&amp;VLOOKUP(VLOOKUP(A1690,'Sales Order'!A:C,3,FALSE),Employee!A:B,2,FALSE),"Not Specified")</f>
        <v>Ms. Zoya Dolgopyatova</v>
      </c>
      <c r="I1690">
        <f>IFERROR(VLOOKUP(VLOOKUP(A1690,'Sales Order'!A:C,3,FALSE),Employee!A:J,10,FALSE),"Not Specified")</f>
        <v>0</v>
      </c>
      <c r="J1690" t="str">
        <f>VLOOKUP(B1690,Product!A:B,2,FALSE)</f>
        <v>Product GMKIJ</v>
      </c>
      <c r="K1690" t="str">
        <f>VLOOKUP(VLOOKUP(B1690,Product!A:D,4,FALSE),Category!A:B,2,FALSE)</f>
        <v>Seafood</v>
      </c>
      <c r="L1690" s="24">
        <f>IFERROR(VLOOKUP(A1690,'Sales Order'!A:D,4,FALSE),"")</f>
        <v>39496</v>
      </c>
      <c r="M1690" s="24">
        <f>IFERROR(VLOOKUP(A1690,'Sales Order'!A:F,6,FALSE),"")</f>
        <v>39498</v>
      </c>
      <c r="N1690" t="str">
        <f>IFERROR(VLOOKUP(VLOOKUP(A1690,'Sales Order'!A:G,7,FALSE),Shipper!A:B,2,FALSE),"Not Specified")</f>
        <v>Shipper ETYNR</v>
      </c>
      <c r="O1690" t="str">
        <f>IFERROR(VLOOKUP(A1690,'Sales Order'!A:I,9,FALSE),"Not Specified")</f>
        <v>Destination RMBHM</v>
      </c>
      <c r="P1690" t="str">
        <f>IFERROR(VLOOKUP(A1690,'Sales Order'!A:N,14,FALSE),"Not Specified")</f>
        <v>Germany</v>
      </c>
      <c r="Q1690" t="str">
        <f>VLOOKUP(VLOOKUP(B1690,Product!A:C,3,FALSE),Supplier!A:B,2,FALSE)</f>
        <v>Supplier QZGUF</v>
      </c>
      <c r="R1690" t="str">
        <f>VLOOKUP(VLOOKUP(B1690,Product!A:C,3,FALSE),Supplier!A:I,9,FALSE)</f>
        <v>Sweden</v>
      </c>
      <c r="S1690" t="str">
        <f>IFERROR(IF(VLOOKUP(A1690,'Sales Order'!A:H,8,FALSE)&gt;100,"High Freight","Low Freight"),"Not Specified")</f>
        <v>Low Freight</v>
      </c>
      <c r="T1690">
        <f t="shared" si="53"/>
        <v>380</v>
      </c>
    </row>
    <row r="1691" spans="1:20">
      <c r="A1691" s="9">
        <v>10894</v>
      </c>
      <c r="B1691" s="6">
        <v>13</v>
      </c>
      <c r="C1691" s="6">
        <v>6</v>
      </c>
      <c r="D1691" s="6">
        <v>28</v>
      </c>
      <c r="E1691" s="18">
        <v>0.05</v>
      </c>
      <c r="F1691" s="6" t="str">
        <f>IFERROR(VLOOKUP(VLOOKUP(A1691,'Sales Order'!A:B,2,FALSE),Customer!A:C,3,FALSE),"Not Specified")</f>
        <v>Navarro, Tomás</v>
      </c>
      <c r="G1691" s="6" t="str">
        <f t="shared" si="52"/>
        <v>Navarro Tomás</v>
      </c>
      <c r="H1691" s="22" t="str">
        <f>IFERROR(VLOOKUP(VLOOKUP(A1691,'Sales Order'!A:C,3,FALSE),Employee!A:E,5,FALSE)&amp;" "&amp;VLOOKUP(VLOOKUP(A1691,'Sales Order'!A:C,3,FALSE),Employee!A:C,3,FALSE)&amp;" "&amp;VLOOKUP(VLOOKUP(A1691,'Sales Order'!A:C,3,FALSE),Employee!A:B,2,FALSE),"Not Specified")</f>
        <v>Ms. Sara Davis</v>
      </c>
      <c r="I1691" t="str">
        <f>IFERROR(VLOOKUP(VLOOKUP(A1691,'Sales Order'!A:C,3,FALSE),Employee!A:J,10,FALSE),"Not Specified")</f>
        <v>WA</v>
      </c>
      <c r="J1691" t="str">
        <f>VLOOKUP(B1691,Product!A:B,2,FALSE)</f>
        <v>Product POXFU</v>
      </c>
      <c r="K1691" t="str">
        <f>VLOOKUP(VLOOKUP(B1691,Product!A:D,4,FALSE),Category!A:B,2,FALSE)</f>
        <v>Seafood</v>
      </c>
      <c r="L1691" s="24">
        <f>IFERROR(VLOOKUP(A1691,'Sales Order'!A:D,4,FALSE),"")</f>
        <v>39496</v>
      </c>
      <c r="M1691" s="24">
        <f>IFERROR(VLOOKUP(A1691,'Sales Order'!A:F,6,FALSE),"")</f>
        <v>39498</v>
      </c>
      <c r="N1691" t="str">
        <f>IFERROR(VLOOKUP(VLOOKUP(A1691,'Sales Order'!A:G,7,FALSE),Shipper!A:B,2,FALSE),"Not Specified")</f>
        <v>Shipper GVSUA</v>
      </c>
      <c r="O1691" t="str">
        <f>IFERROR(VLOOKUP(A1691,'Sales Order'!A:I,9,FALSE),"Not Specified")</f>
        <v>Ship to 71-A</v>
      </c>
      <c r="P1691" t="str">
        <f>IFERROR(VLOOKUP(A1691,'Sales Order'!A:N,14,FALSE),"Not Specified")</f>
        <v>USA</v>
      </c>
      <c r="Q1691" t="str">
        <f>VLOOKUP(VLOOKUP(B1691,Product!A:C,3,FALSE),Supplier!A:B,2,FALSE)</f>
        <v>Supplier QWUSF</v>
      </c>
      <c r="R1691" t="str">
        <f>VLOOKUP(VLOOKUP(B1691,Product!A:C,3,FALSE),Supplier!A:I,9,FALSE)</f>
        <v>Japan</v>
      </c>
      <c r="S1691" t="str">
        <f>IFERROR(IF(VLOOKUP(A1691,'Sales Order'!A:H,8,FALSE)&gt;100,"High Freight","Low Freight"),"Not Specified")</f>
        <v>High Freight</v>
      </c>
      <c r="T1691">
        <f t="shared" si="53"/>
        <v>159.6</v>
      </c>
    </row>
    <row r="1692" spans="1:20">
      <c r="A1692" s="9">
        <v>10894</v>
      </c>
      <c r="B1692" s="6">
        <v>69</v>
      </c>
      <c r="C1692" s="6">
        <v>36</v>
      </c>
      <c r="D1692" s="6">
        <v>50</v>
      </c>
      <c r="E1692" s="18">
        <v>0.05</v>
      </c>
      <c r="F1692" s="6" t="str">
        <f>IFERROR(VLOOKUP(VLOOKUP(A1692,'Sales Order'!A:B,2,FALSE),Customer!A:C,3,FALSE),"Not Specified")</f>
        <v>Navarro, Tomás</v>
      </c>
      <c r="G1692" s="6" t="str">
        <f t="shared" si="52"/>
        <v>Navarro Tomás</v>
      </c>
      <c r="H1692" s="22" t="str">
        <f>IFERROR(VLOOKUP(VLOOKUP(A1692,'Sales Order'!A:C,3,FALSE),Employee!A:E,5,FALSE)&amp;" "&amp;VLOOKUP(VLOOKUP(A1692,'Sales Order'!A:C,3,FALSE),Employee!A:C,3,FALSE)&amp;" "&amp;VLOOKUP(VLOOKUP(A1692,'Sales Order'!A:C,3,FALSE),Employee!A:B,2,FALSE),"Not Specified")</f>
        <v>Ms. Sara Davis</v>
      </c>
      <c r="I1692" t="str">
        <f>IFERROR(VLOOKUP(VLOOKUP(A1692,'Sales Order'!A:C,3,FALSE),Employee!A:J,10,FALSE),"Not Specified")</f>
        <v>WA</v>
      </c>
      <c r="J1692" t="str">
        <f>VLOOKUP(B1692,Product!A:B,2,FALSE)</f>
        <v>Product COAXA</v>
      </c>
      <c r="K1692" t="str">
        <f>VLOOKUP(VLOOKUP(B1692,Product!A:D,4,FALSE),Category!A:B,2,FALSE)</f>
        <v>Dairy Product</v>
      </c>
      <c r="L1692" s="24">
        <f>IFERROR(VLOOKUP(A1692,'Sales Order'!A:D,4,FALSE),"")</f>
        <v>39496</v>
      </c>
      <c r="M1692" s="24">
        <f>IFERROR(VLOOKUP(A1692,'Sales Order'!A:F,6,FALSE),"")</f>
        <v>39498</v>
      </c>
      <c r="N1692" t="str">
        <f>IFERROR(VLOOKUP(VLOOKUP(A1692,'Sales Order'!A:G,7,FALSE),Shipper!A:B,2,FALSE),"Not Specified")</f>
        <v>Shipper GVSUA</v>
      </c>
      <c r="O1692" t="str">
        <f>IFERROR(VLOOKUP(A1692,'Sales Order'!A:I,9,FALSE),"Not Specified")</f>
        <v>Ship to 71-A</v>
      </c>
      <c r="P1692" t="str">
        <f>IFERROR(VLOOKUP(A1692,'Sales Order'!A:N,14,FALSE),"Not Specified")</f>
        <v>USA</v>
      </c>
      <c r="Q1692" t="str">
        <f>VLOOKUP(VLOOKUP(B1692,Product!A:C,3,FALSE),Supplier!A:B,2,FALSE)</f>
        <v>Supplier NZLIF</v>
      </c>
      <c r="R1692" t="str">
        <f>VLOOKUP(VLOOKUP(B1692,Product!A:C,3,FALSE),Supplier!A:I,9,FALSE)</f>
        <v>Norway</v>
      </c>
      <c r="S1692" t="str">
        <f>IFERROR(IF(VLOOKUP(A1692,'Sales Order'!A:H,8,FALSE)&gt;100,"High Freight","Low Freight"),"Not Specified")</f>
        <v>High Freight</v>
      </c>
      <c r="T1692">
        <f t="shared" si="53"/>
        <v>1710</v>
      </c>
    </row>
    <row r="1693" spans="1:20">
      <c r="A1693" s="9">
        <v>10894</v>
      </c>
      <c r="B1693" s="6">
        <v>75</v>
      </c>
      <c r="C1693" s="6">
        <v>7.75</v>
      </c>
      <c r="D1693" s="6">
        <v>120</v>
      </c>
      <c r="E1693" s="18">
        <v>0.05</v>
      </c>
      <c r="F1693" s="6" t="str">
        <f>IFERROR(VLOOKUP(VLOOKUP(A1693,'Sales Order'!A:B,2,FALSE),Customer!A:C,3,FALSE),"Not Specified")</f>
        <v>Navarro, Tomás</v>
      </c>
      <c r="G1693" s="6" t="str">
        <f t="shared" si="52"/>
        <v>Navarro Tomás</v>
      </c>
      <c r="H1693" s="22" t="str">
        <f>IFERROR(VLOOKUP(VLOOKUP(A1693,'Sales Order'!A:C,3,FALSE),Employee!A:E,5,FALSE)&amp;" "&amp;VLOOKUP(VLOOKUP(A1693,'Sales Order'!A:C,3,FALSE),Employee!A:C,3,FALSE)&amp;" "&amp;VLOOKUP(VLOOKUP(A1693,'Sales Order'!A:C,3,FALSE),Employee!A:B,2,FALSE),"Not Specified")</f>
        <v>Ms. Sara Davis</v>
      </c>
      <c r="I1693" t="str">
        <f>IFERROR(VLOOKUP(VLOOKUP(A1693,'Sales Order'!A:C,3,FALSE),Employee!A:J,10,FALSE),"Not Specified")</f>
        <v>WA</v>
      </c>
      <c r="J1693" t="str">
        <f>VLOOKUP(B1693,Product!A:B,2,FALSE)</f>
        <v>Product BWRLG</v>
      </c>
      <c r="K1693" t="str">
        <f>VLOOKUP(VLOOKUP(B1693,Product!A:D,4,FALSE),Category!A:B,2,FALSE)</f>
        <v>Beverages</v>
      </c>
      <c r="L1693" s="24">
        <f>IFERROR(VLOOKUP(A1693,'Sales Order'!A:D,4,FALSE),"")</f>
        <v>39496</v>
      </c>
      <c r="M1693" s="24">
        <f>IFERROR(VLOOKUP(A1693,'Sales Order'!A:F,6,FALSE),"")</f>
        <v>39498</v>
      </c>
      <c r="N1693" t="str">
        <f>IFERROR(VLOOKUP(VLOOKUP(A1693,'Sales Order'!A:G,7,FALSE),Shipper!A:B,2,FALSE),"Not Specified")</f>
        <v>Shipper GVSUA</v>
      </c>
      <c r="O1693" t="str">
        <f>IFERROR(VLOOKUP(A1693,'Sales Order'!A:I,9,FALSE),"Not Specified")</f>
        <v>Ship to 71-A</v>
      </c>
      <c r="P1693" t="str">
        <f>IFERROR(VLOOKUP(A1693,'Sales Order'!A:N,14,FALSE),"Not Specified")</f>
        <v>USA</v>
      </c>
      <c r="Q1693" t="str">
        <f>VLOOKUP(VLOOKUP(B1693,Product!A:C,3,FALSE),Supplier!A:B,2,FALSE)</f>
        <v>Supplier SVIYA</v>
      </c>
      <c r="R1693" t="str">
        <f>VLOOKUP(VLOOKUP(B1693,Product!A:C,3,FALSE),Supplier!A:I,9,FALSE)</f>
        <v>Germany</v>
      </c>
      <c r="S1693" t="str">
        <f>IFERROR(IF(VLOOKUP(A1693,'Sales Order'!A:H,8,FALSE)&gt;100,"High Freight","Low Freight"),"Not Specified")</f>
        <v>High Freight</v>
      </c>
      <c r="T1693">
        <f t="shared" si="53"/>
        <v>883.5</v>
      </c>
    </row>
    <row r="1694" spans="1:20">
      <c r="A1694" s="9">
        <v>10895</v>
      </c>
      <c r="B1694" s="6">
        <v>24</v>
      </c>
      <c r="C1694" s="6">
        <v>4.5</v>
      </c>
      <c r="D1694" s="6">
        <v>110</v>
      </c>
      <c r="E1694" s="18">
        <v>0</v>
      </c>
      <c r="F1694" s="6" t="str">
        <f>IFERROR(VLOOKUP(VLOOKUP(A1694,'Sales Order'!A:B,2,FALSE),Customer!A:C,3,FALSE),"Not Specified")</f>
        <v>Kane, John</v>
      </c>
      <c r="G1694" s="6" t="str">
        <f t="shared" si="52"/>
        <v>Kane John</v>
      </c>
      <c r="H1694" s="22" t="str">
        <f>IFERROR(VLOOKUP(VLOOKUP(A1694,'Sales Order'!A:C,3,FALSE),Employee!A:E,5,FALSE)&amp;" "&amp;VLOOKUP(VLOOKUP(A1694,'Sales Order'!A:C,3,FALSE),Employee!A:C,3,FALSE)&amp;" "&amp;VLOOKUP(VLOOKUP(A1694,'Sales Order'!A:C,3,FALSE),Employee!A:B,2,FALSE),"Not Specified")</f>
        <v>Ms. Judy Lew</v>
      </c>
      <c r="I1694" t="str">
        <f>IFERROR(VLOOKUP(VLOOKUP(A1694,'Sales Order'!A:C,3,FALSE),Employee!A:J,10,FALSE),"Not Specified")</f>
        <v>WA</v>
      </c>
      <c r="J1694" t="str">
        <f>VLOOKUP(B1694,Product!A:B,2,FALSE)</f>
        <v>Product QOGNU</v>
      </c>
      <c r="K1694" t="str">
        <f>VLOOKUP(VLOOKUP(B1694,Product!A:D,4,FALSE),Category!A:B,2,FALSE)</f>
        <v>Beverages</v>
      </c>
      <c r="L1694" s="24">
        <f>IFERROR(VLOOKUP(A1694,'Sales Order'!A:D,4,FALSE),"")</f>
        <v>39496</v>
      </c>
      <c r="M1694" s="24">
        <f>IFERROR(VLOOKUP(A1694,'Sales Order'!A:F,6,FALSE),"")</f>
        <v>39501</v>
      </c>
      <c r="N1694" t="str">
        <f>IFERROR(VLOOKUP(VLOOKUP(A1694,'Sales Order'!A:G,7,FALSE),Shipper!A:B,2,FALSE),"Not Specified")</f>
        <v>Shipper GVSUA</v>
      </c>
      <c r="O1694" t="str">
        <f>IFERROR(VLOOKUP(A1694,'Sales Order'!A:I,9,FALSE),"Not Specified")</f>
        <v>Destination CUVPF</v>
      </c>
      <c r="P1694" t="str">
        <f>IFERROR(VLOOKUP(A1694,'Sales Order'!A:N,14,FALSE),"Not Specified")</f>
        <v>Austria</v>
      </c>
      <c r="Q1694" t="str">
        <f>VLOOKUP(VLOOKUP(B1694,Product!A:C,3,FALSE),Supplier!A:B,2,FALSE)</f>
        <v>Supplier UNAHG</v>
      </c>
      <c r="R1694" t="str">
        <f>VLOOKUP(VLOOKUP(B1694,Product!A:C,3,FALSE),Supplier!A:I,9,FALSE)</f>
        <v>Brazil</v>
      </c>
      <c r="S1694" t="str">
        <f>IFERROR(IF(VLOOKUP(A1694,'Sales Order'!A:H,8,FALSE)&gt;100,"High Freight","Low Freight"),"Not Specified")</f>
        <v>High Freight</v>
      </c>
      <c r="T1694">
        <f t="shared" si="53"/>
        <v>495</v>
      </c>
    </row>
    <row r="1695" spans="1:20">
      <c r="A1695" s="9">
        <v>10895</v>
      </c>
      <c r="B1695" s="6">
        <v>39</v>
      </c>
      <c r="C1695" s="6">
        <v>18</v>
      </c>
      <c r="D1695" s="6">
        <v>45</v>
      </c>
      <c r="E1695" s="18">
        <v>0</v>
      </c>
      <c r="F1695" s="6" t="str">
        <f>IFERROR(VLOOKUP(VLOOKUP(A1695,'Sales Order'!A:B,2,FALSE),Customer!A:C,3,FALSE),"Not Specified")</f>
        <v>Kane, John</v>
      </c>
      <c r="G1695" s="6" t="str">
        <f t="shared" si="52"/>
        <v>Kane John</v>
      </c>
      <c r="H1695" s="22" t="str">
        <f>IFERROR(VLOOKUP(VLOOKUP(A1695,'Sales Order'!A:C,3,FALSE),Employee!A:E,5,FALSE)&amp;" "&amp;VLOOKUP(VLOOKUP(A1695,'Sales Order'!A:C,3,FALSE),Employee!A:C,3,FALSE)&amp;" "&amp;VLOOKUP(VLOOKUP(A1695,'Sales Order'!A:C,3,FALSE),Employee!A:B,2,FALSE),"Not Specified")</f>
        <v>Ms. Judy Lew</v>
      </c>
      <c r="I1695" t="str">
        <f>IFERROR(VLOOKUP(VLOOKUP(A1695,'Sales Order'!A:C,3,FALSE),Employee!A:J,10,FALSE),"Not Specified")</f>
        <v>WA</v>
      </c>
      <c r="J1695" t="str">
        <f>VLOOKUP(B1695,Product!A:B,2,FALSE)</f>
        <v>Product LSOFL</v>
      </c>
      <c r="K1695" t="str">
        <f>VLOOKUP(VLOOKUP(B1695,Product!A:D,4,FALSE),Category!A:B,2,FALSE)</f>
        <v>Beverages</v>
      </c>
      <c r="L1695" s="24">
        <f>IFERROR(VLOOKUP(A1695,'Sales Order'!A:D,4,FALSE),"")</f>
        <v>39496</v>
      </c>
      <c r="M1695" s="24">
        <f>IFERROR(VLOOKUP(A1695,'Sales Order'!A:F,6,FALSE),"")</f>
        <v>39501</v>
      </c>
      <c r="N1695" t="str">
        <f>IFERROR(VLOOKUP(VLOOKUP(A1695,'Sales Order'!A:G,7,FALSE),Shipper!A:B,2,FALSE),"Not Specified")</f>
        <v>Shipper GVSUA</v>
      </c>
      <c r="O1695" t="str">
        <f>IFERROR(VLOOKUP(A1695,'Sales Order'!A:I,9,FALSE),"Not Specified")</f>
        <v>Destination CUVPF</v>
      </c>
      <c r="P1695" t="str">
        <f>IFERROR(VLOOKUP(A1695,'Sales Order'!A:N,14,FALSE),"Not Specified")</f>
        <v>Austria</v>
      </c>
      <c r="Q1695" t="str">
        <f>VLOOKUP(VLOOKUP(B1695,Product!A:C,3,FALSE),Supplier!A:B,2,FALSE)</f>
        <v>Supplier LVJUA</v>
      </c>
      <c r="R1695" t="str">
        <f>VLOOKUP(VLOOKUP(B1695,Product!A:C,3,FALSE),Supplier!A:I,9,FALSE)</f>
        <v>France</v>
      </c>
      <c r="S1695" t="str">
        <f>IFERROR(IF(VLOOKUP(A1695,'Sales Order'!A:H,8,FALSE)&gt;100,"High Freight","Low Freight"),"Not Specified")</f>
        <v>High Freight</v>
      </c>
      <c r="T1695">
        <f t="shared" si="53"/>
        <v>810</v>
      </c>
    </row>
    <row r="1696" spans="1:20">
      <c r="A1696" s="9">
        <v>10895</v>
      </c>
      <c r="B1696" s="6">
        <v>40</v>
      </c>
      <c r="C1696" s="6">
        <v>18.399999999999999</v>
      </c>
      <c r="D1696" s="6">
        <v>91</v>
      </c>
      <c r="E1696" s="18">
        <v>0</v>
      </c>
      <c r="F1696" s="6" t="str">
        <f>IFERROR(VLOOKUP(VLOOKUP(A1696,'Sales Order'!A:B,2,FALSE),Customer!A:C,3,FALSE),"Not Specified")</f>
        <v>Kane, John</v>
      </c>
      <c r="G1696" s="6" t="str">
        <f t="shared" si="52"/>
        <v>Kane John</v>
      </c>
      <c r="H1696" s="22" t="str">
        <f>IFERROR(VLOOKUP(VLOOKUP(A1696,'Sales Order'!A:C,3,FALSE),Employee!A:E,5,FALSE)&amp;" "&amp;VLOOKUP(VLOOKUP(A1696,'Sales Order'!A:C,3,FALSE),Employee!A:C,3,FALSE)&amp;" "&amp;VLOOKUP(VLOOKUP(A1696,'Sales Order'!A:C,3,FALSE),Employee!A:B,2,FALSE),"Not Specified")</f>
        <v>Ms. Judy Lew</v>
      </c>
      <c r="I1696" t="str">
        <f>IFERROR(VLOOKUP(VLOOKUP(A1696,'Sales Order'!A:C,3,FALSE),Employee!A:J,10,FALSE),"Not Specified")</f>
        <v>WA</v>
      </c>
      <c r="J1696" t="str">
        <f>VLOOKUP(B1696,Product!A:B,2,FALSE)</f>
        <v>Product YZIXQ</v>
      </c>
      <c r="K1696" t="str">
        <f>VLOOKUP(VLOOKUP(B1696,Product!A:D,4,FALSE),Category!A:B,2,FALSE)</f>
        <v>Seafood</v>
      </c>
      <c r="L1696" s="24">
        <f>IFERROR(VLOOKUP(A1696,'Sales Order'!A:D,4,FALSE),"")</f>
        <v>39496</v>
      </c>
      <c r="M1696" s="24">
        <f>IFERROR(VLOOKUP(A1696,'Sales Order'!A:F,6,FALSE),"")</f>
        <v>39501</v>
      </c>
      <c r="N1696" t="str">
        <f>IFERROR(VLOOKUP(VLOOKUP(A1696,'Sales Order'!A:G,7,FALSE),Shipper!A:B,2,FALSE),"Not Specified")</f>
        <v>Shipper GVSUA</v>
      </c>
      <c r="O1696" t="str">
        <f>IFERROR(VLOOKUP(A1696,'Sales Order'!A:I,9,FALSE),"Not Specified")</f>
        <v>Destination CUVPF</v>
      </c>
      <c r="P1696" t="str">
        <f>IFERROR(VLOOKUP(A1696,'Sales Order'!A:N,14,FALSE),"Not Specified")</f>
        <v>Austria</v>
      </c>
      <c r="Q1696" t="str">
        <f>VLOOKUP(VLOOKUP(B1696,Product!A:C,3,FALSE),Supplier!A:B,2,FALSE)</f>
        <v>Supplier JDNUG</v>
      </c>
      <c r="R1696" t="str">
        <f>VLOOKUP(VLOOKUP(B1696,Product!A:C,3,FALSE),Supplier!A:I,9,FALSE)</f>
        <v>USA</v>
      </c>
      <c r="S1696" t="str">
        <f>IFERROR(IF(VLOOKUP(A1696,'Sales Order'!A:H,8,FALSE)&gt;100,"High Freight","Low Freight"),"Not Specified")</f>
        <v>High Freight</v>
      </c>
      <c r="T1696">
        <f t="shared" si="53"/>
        <v>1674.3999999999999</v>
      </c>
    </row>
    <row r="1697" spans="1:20">
      <c r="A1697" s="9">
        <v>10895</v>
      </c>
      <c r="B1697" s="6">
        <v>60</v>
      </c>
      <c r="C1697" s="6">
        <v>34</v>
      </c>
      <c r="D1697" s="6">
        <v>100</v>
      </c>
      <c r="E1697" s="18">
        <v>0</v>
      </c>
      <c r="F1697" s="6" t="str">
        <f>IFERROR(VLOOKUP(VLOOKUP(A1697,'Sales Order'!A:B,2,FALSE),Customer!A:C,3,FALSE),"Not Specified")</f>
        <v>Kane, John</v>
      </c>
      <c r="G1697" s="6" t="str">
        <f t="shared" si="52"/>
        <v>Kane John</v>
      </c>
      <c r="H1697" s="22" t="str">
        <f>IFERROR(VLOOKUP(VLOOKUP(A1697,'Sales Order'!A:C,3,FALSE),Employee!A:E,5,FALSE)&amp;" "&amp;VLOOKUP(VLOOKUP(A1697,'Sales Order'!A:C,3,FALSE),Employee!A:C,3,FALSE)&amp;" "&amp;VLOOKUP(VLOOKUP(A1697,'Sales Order'!A:C,3,FALSE),Employee!A:B,2,FALSE),"Not Specified")</f>
        <v>Ms. Judy Lew</v>
      </c>
      <c r="I1697" t="str">
        <f>IFERROR(VLOOKUP(VLOOKUP(A1697,'Sales Order'!A:C,3,FALSE),Employee!A:J,10,FALSE),"Not Specified")</f>
        <v>WA</v>
      </c>
      <c r="J1697" t="str">
        <f>VLOOKUP(B1697,Product!A:B,2,FALSE)</f>
        <v>Product WHBYK</v>
      </c>
      <c r="K1697" t="str">
        <f>VLOOKUP(VLOOKUP(B1697,Product!A:D,4,FALSE),Category!A:B,2,FALSE)</f>
        <v>Dairy Product</v>
      </c>
      <c r="L1697" s="24">
        <f>IFERROR(VLOOKUP(A1697,'Sales Order'!A:D,4,FALSE),"")</f>
        <v>39496</v>
      </c>
      <c r="M1697" s="24">
        <f>IFERROR(VLOOKUP(A1697,'Sales Order'!A:F,6,FALSE),"")</f>
        <v>39501</v>
      </c>
      <c r="N1697" t="str">
        <f>IFERROR(VLOOKUP(VLOOKUP(A1697,'Sales Order'!A:G,7,FALSE),Shipper!A:B,2,FALSE),"Not Specified")</f>
        <v>Shipper GVSUA</v>
      </c>
      <c r="O1697" t="str">
        <f>IFERROR(VLOOKUP(A1697,'Sales Order'!A:I,9,FALSE),"Not Specified")</f>
        <v>Destination CUVPF</v>
      </c>
      <c r="P1697" t="str">
        <f>IFERROR(VLOOKUP(A1697,'Sales Order'!A:N,14,FALSE),"Not Specified")</f>
        <v>Austria</v>
      </c>
      <c r="Q1697" t="str">
        <f>VLOOKUP(VLOOKUP(B1697,Product!A:C,3,FALSE),Supplier!A:B,2,FALSE)</f>
        <v>Supplier OAVQT</v>
      </c>
      <c r="R1697" t="str">
        <f>VLOOKUP(VLOOKUP(B1697,Product!A:C,3,FALSE),Supplier!A:I,9,FALSE)</f>
        <v>France</v>
      </c>
      <c r="S1697" t="str">
        <f>IFERROR(IF(VLOOKUP(A1697,'Sales Order'!A:H,8,FALSE)&gt;100,"High Freight","Low Freight"),"Not Specified")</f>
        <v>High Freight</v>
      </c>
      <c r="T1697">
        <f t="shared" si="53"/>
        <v>3400</v>
      </c>
    </row>
    <row r="1698" spans="1:20">
      <c r="A1698" s="9">
        <v>10896</v>
      </c>
      <c r="B1698" s="6">
        <v>45</v>
      </c>
      <c r="C1698" s="6">
        <v>9.5</v>
      </c>
      <c r="D1698" s="6">
        <v>15</v>
      </c>
      <c r="E1698" s="18">
        <v>0</v>
      </c>
      <c r="F1698" s="6" t="str">
        <f>IFERROR(VLOOKUP(VLOOKUP(A1698,'Sales Order'!A:B,2,FALSE),Customer!A:C,3,FALSE),"Not Specified")</f>
        <v>Mace, Donald</v>
      </c>
      <c r="G1698" s="6" t="str">
        <f t="shared" si="52"/>
        <v>Mace Donald</v>
      </c>
      <c r="H1698" s="22" t="str">
        <f>IFERROR(VLOOKUP(VLOOKUP(A1698,'Sales Order'!A:C,3,FALSE),Employee!A:E,5,FALSE)&amp;" "&amp;VLOOKUP(VLOOKUP(A1698,'Sales Order'!A:C,3,FALSE),Employee!A:C,3,FALSE)&amp;" "&amp;VLOOKUP(VLOOKUP(A1698,'Sales Order'!A:C,3,FALSE),Employee!A:B,2,FALSE),"Not Specified")</f>
        <v>Mr. Russell King</v>
      </c>
      <c r="I1698">
        <f>IFERROR(VLOOKUP(VLOOKUP(A1698,'Sales Order'!A:C,3,FALSE),Employee!A:J,10,FALSE),"Not Specified")</f>
        <v>0</v>
      </c>
      <c r="J1698" t="str">
        <f>VLOOKUP(B1698,Product!A:B,2,FALSE)</f>
        <v>Product AQOKR</v>
      </c>
      <c r="K1698" t="str">
        <f>VLOOKUP(VLOOKUP(B1698,Product!A:D,4,FALSE),Category!A:B,2,FALSE)</f>
        <v>Seafood</v>
      </c>
      <c r="L1698" s="24">
        <f>IFERROR(VLOOKUP(A1698,'Sales Order'!A:D,4,FALSE),"")</f>
        <v>39497</v>
      </c>
      <c r="M1698" s="24">
        <f>IFERROR(VLOOKUP(A1698,'Sales Order'!A:F,6,FALSE),"")</f>
        <v>39505</v>
      </c>
      <c r="N1698" t="str">
        <f>IFERROR(VLOOKUP(VLOOKUP(A1698,'Sales Order'!A:G,7,FALSE),Shipper!A:B,2,FALSE),"Not Specified")</f>
        <v>Shipper ZHISN</v>
      </c>
      <c r="O1698" t="str">
        <f>IFERROR(VLOOKUP(A1698,'Sales Order'!A:I,9,FALSE),"Not Specified")</f>
        <v>Ship to 50-A</v>
      </c>
      <c r="P1698" t="str">
        <f>IFERROR(VLOOKUP(A1698,'Sales Order'!A:N,14,FALSE),"Not Specified")</f>
        <v>Belgium</v>
      </c>
      <c r="Q1698" t="str">
        <f>VLOOKUP(VLOOKUP(B1698,Product!A:C,3,FALSE),Supplier!A:B,2,FALSE)</f>
        <v>Supplier XOXZA</v>
      </c>
      <c r="R1698" t="str">
        <f>VLOOKUP(VLOOKUP(B1698,Product!A:C,3,FALSE),Supplier!A:I,9,FALSE)</f>
        <v>Denmark</v>
      </c>
      <c r="S1698" t="str">
        <f>IFERROR(IF(VLOOKUP(A1698,'Sales Order'!A:H,8,FALSE)&gt;100,"High Freight","Low Freight"),"Not Specified")</f>
        <v>Low Freight</v>
      </c>
      <c r="T1698">
        <f t="shared" si="53"/>
        <v>142.5</v>
      </c>
    </row>
    <row r="1699" spans="1:20">
      <c r="A1699" s="9">
        <v>10896</v>
      </c>
      <c r="B1699" s="6">
        <v>56</v>
      </c>
      <c r="C1699" s="6">
        <v>38</v>
      </c>
      <c r="D1699" s="6">
        <v>16</v>
      </c>
      <c r="E1699" s="18">
        <v>0</v>
      </c>
      <c r="F1699" s="6" t="str">
        <f>IFERROR(VLOOKUP(VLOOKUP(A1699,'Sales Order'!A:B,2,FALSE),Customer!A:C,3,FALSE),"Not Specified")</f>
        <v>Mace, Donald</v>
      </c>
      <c r="G1699" s="6" t="str">
        <f t="shared" si="52"/>
        <v>Mace Donald</v>
      </c>
      <c r="H1699" s="22" t="str">
        <f>IFERROR(VLOOKUP(VLOOKUP(A1699,'Sales Order'!A:C,3,FALSE),Employee!A:E,5,FALSE)&amp;" "&amp;VLOOKUP(VLOOKUP(A1699,'Sales Order'!A:C,3,FALSE),Employee!A:C,3,FALSE)&amp;" "&amp;VLOOKUP(VLOOKUP(A1699,'Sales Order'!A:C,3,FALSE),Employee!A:B,2,FALSE),"Not Specified")</f>
        <v>Mr. Russell King</v>
      </c>
      <c r="I1699">
        <f>IFERROR(VLOOKUP(VLOOKUP(A1699,'Sales Order'!A:C,3,FALSE),Employee!A:J,10,FALSE),"Not Specified")</f>
        <v>0</v>
      </c>
      <c r="J1699" t="str">
        <f>VLOOKUP(B1699,Product!A:B,2,FALSE)</f>
        <v>Product VKCMF</v>
      </c>
      <c r="K1699" t="str">
        <f>VLOOKUP(VLOOKUP(B1699,Product!A:D,4,FALSE),Category!A:B,2,FALSE)</f>
        <v>Grains/Cereals</v>
      </c>
      <c r="L1699" s="24">
        <f>IFERROR(VLOOKUP(A1699,'Sales Order'!A:D,4,FALSE),"")</f>
        <v>39497</v>
      </c>
      <c r="M1699" s="24">
        <f>IFERROR(VLOOKUP(A1699,'Sales Order'!A:F,6,FALSE),"")</f>
        <v>39505</v>
      </c>
      <c r="N1699" t="str">
        <f>IFERROR(VLOOKUP(VLOOKUP(A1699,'Sales Order'!A:G,7,FALSE),Shipper!A:B,2,FALSE),"Not Specified")</f>
        <v>Shipper ZHISN</v>
      </c>
      <c r="O1699" t="str">
        <f>IFERROR(VLOOKUP(A1699,'Sales Order'!A:I,9,FALSE),"Not Specified")</f>
        <v>Ship to 50-A</v>
      </c>
      <c r="P1699" t="str">
        <f>IFERROR(VLOOKUP(A1699,'Sales Order'!A:N,14,FALSE),"Not Specified")</f>
        <v>Belgium</v>
      </c>
      <c r="Q1699" t="str">
        <f>VLOOKUP(VLOOKUP(B1699,Product!A:C,3,FALSE),Supplier!A:B,2,FALSE)</f>
        <v>Supplier ZWZDM</v>
      </c>
      <c r="R1699" t="str">
        <f>VLOOKUP(VLOOKUP(B1699,Product!A:C,3,FALSE),Supplier!A:I,9,FALSE)</f>
        <v>Italy</v>
      </c>
      <c r="S1699" t="str">
        <f>IFERROR(IF(VLOOKUP(A1699,'Sales Order'!A:H,8,FALSE)&gt;100,"High Freight","Low Freight"),"Not Specified")</f>
        <v>Low Freight</v>
      </c>
      <c r="T1699">
        <f t="shared" si="53"/>
        <v>608</v>
      </c>
    </row>
    <row r="1700" spans="1:20">
      <c r="A1700" s="9">
        <v>10897</v>
      </c>
      <c r="B1700" s="6">
        <v>29</v>
      </c>
      <c r="C1700" s="6">
        <v>123.79</v>
      </c>
      <c r="D1700" s="6">
        <v>80</v>
      </c>
      <c r="E1700" s="18">
        <v>0</v>
      </c>
      <c r="F1700" s="6" t="str">
        <f>IFERROR(VLOOKUP(VLOOKUP(A1700,'Sales Order'!A:B,2,FALSE),Customer!A:C,3,FALSE),"Not Specified")</f>
        <v>Crăciun, Ovidiu V.</v>
      </c>
      <c r="G1700" s="6" t="str">
        <f t="shared" si="52"/>
        <v>Crăciun Ovidiu V.</v>
      </c>
      <c r="H1700" s="22" t="str">
        <f>IFERROR(VLOOKUP(VLOOKUP(A1700,'Sales Order'!A:C,3,FALSE),Employee!A:E,5,FALSE)&amp;" "&amp;VLOOKUP(VLOOKUP(A1700,'Sales Order'!A:C,3,FALSE),Employee!A:C,3,FALSE)&amp;" "&amp;VLOOKUP(VLOOKUP(A1700,'Sales Order'!A:C,3,FALSE),Employee!A:B,2,FALSE),"Not Specified")</f>
        <v>Ms. Judy Lew</v>
      </c>
      <c r="I1700" t="str">
        <f>IFERROR(VLOOKUP(VLOOKUP(A1700,'Sales Order'!A:C,3,FALSE),Employee!A:J,10,FALSE),"Not Specified")</f>
        <v>WA</v>
      </c>
      <c r="J1700" t="str">
        <f>VLOOKUP(B1700,Product!A:B,2,FALSE)</f>
        <v>Product VJXYN</v>
      </c>
      <c r="K1700" t="str">
        <f>VLOOKUP(VLOOKUP(B1700,Product!A:D,4,FALSE),Category!A:B,2,FALSE)</f>
        <v>Meat/Poultry</v>
      </c>
      <c r="L1700" s="24">
        <f>IFERROR(VLOOKUP(A1700,'Sales Order'!A:D,4,FALSE),"")</f>
        <v>39497</v>
      </c>
      <c r="M1700" s="24">
        <f>IFERROR(VLOOKUP(A1700,'Sales Order'!A:F,6,FALSE),"")</f>
        <v>39503</v>
      </c>
      <c r="N1700" t="str">
        <f>IFERROR(VLOOKUP(VLOOKUP(A1700,'Sales Order'!A:G,7,FALSE),Shipper!A:B,2,FALSE),"Not Specified")</f>
        <v>Shipper ETYNR</v>
      </c>
      <c r="O1700" t="str">
        <f>IFERROR(VLOOKUP(A1700,'Sales Order'!A:I,9,FALSE),"Not Specified")</f>
        <v>Destination DGKOU</v>
      </c>
      <c r="P1700" t="str">
        <f>IFERROR(VLOOKUP(A1700,'Sales Order'!A:N,14,FALSE),"Not Specified")</f>
        <v>Ireland</v>
      </c>
      <c r="Q1700" t="str">
        <f>VLOOKUP(VLOOKUP(B1700,Product!A:C,3,FALSE),Supplier!A:B,2,FALSE)</f>
        <v>Supplier SVIYA</v>
      </c>
      <c r="R1700" t="str">
        <f>VLOOKUP(VLOOKUP(B1700,Product!A:C,3,FALSE),Supplier!A:I,9,FALSE)</f>
        <v>Germany</v>
      </c>
      <c r="S1700" t="str">
        <f>IFERROR(IF(VLOOKUP(A1700,'Sales Order'!A:H,8,FALSE)&gt;100,"High Freight","Low Freight"),"Not Specified")</f>
        <v>High Freight</v>
      </c>
      <c r="T1700">
        <f t="shared" si="53"/>
        <v>9903.2000000000007</v>
      </c>
    </row>
    <row r="1701" spans="1:20">
      <c r="A1701" s="9">
        <v>10897</v>
      </c>
      <c r="B1701" s="6">
        <v>30</v>
      </c>
      <c r="C1701" s="6">
        <v>25.89</v>
      </c>
      <c r="D1701" s="6">
        <v>36</v>
      </c>
      <c r="E1701" s="18">
        <v>0</v>
      </c>
      <c r="F1701" s="6" t="str">
        <f>IFERROR(VLOOKUP(VLOOKUP(A1701,'Sales Order'!A:B,2,FALSE),Customer!A:C,3,FALSE),"Not Specified")</f>
        <v>Crăciun, Ovidiu V.</v>
      </c>
      <c r="G1701" s="6" t="str">
        <f t="shared" si="52"/>
        <v>Crăciun Ovidiu V.</v>
      </c>
      <c r="H1701" s="22" t="str">
        <f>IFERROR(VLOOKUP(VLOOKUP(A1701,'Sales Order'!A:C,3,FALSE),Employee!A:E,5,FALSE)&amp;" "&amp;VLOOKUP(VLOOKUP(A1701,'Sales Order'!A:C,3,FALSE),Employee!A:C,3,FALSE)&amp;" "&amp;VLOOKUP(VLOOKUP(A1701,'Sales Order'!A:C,3,FALSE),Employee!A:B,2,FALSE),"Not Specified")</f>
        <v>Ms. Judy Lew</v>
      </c>
      <c r="I1701" t="str">
        <f>IFERROR(VLOOKUP(VLOOKUP(A1701,'Sales Order'!A:C,3,FALSE),Employee!A:J,10,FALSE),"Not Specified")</f>
        <v>WA</v>
      </c>
      <c r="J1701" t="str">
        <f>VLOOKUP(B1701,Product!A:B,2,FALSE)</f>
        <v>Product LYERX</v>
      </c>
      <c r="K1701" t="str">
        <f>VLOOKUP(VLOOKUP(B1701,Product!A:D,4,FALSE),Category!A:B,2,FALSE)</f>
        <v>Seafood</v>
      </c>
      <c r="L1701" s="24">
        <f>IFERROR(VLOOKUP(A1701,'Sales Order'!A:D,4,FALSE),"")</f>
        <v>39497</v>
      </c>
      <c r="M1701" s="24">
        <f>IFERROR(VLOOKUP(A1701,'Sales Order'!A:F,6,FALSE),"")</f>
        <v>39503</v>
      </c>
      <c r="N1701" t="str">
        <f>IFERROR(VLOOKUP(VLOOKUP(A1701,'Sales Order'!A:G,7,FALSE),Shipper!A:B,2,FALSE),"Not Specified")</f>
        <v>Shipper ETYNR</v>
      </c>
      <c r="O1701" t="str">
        <f>IFERROR(VLOOKUP(A1701,'Sales Order'!A:I,9,FALSE),"Not Specified")</f>
        <v>Destination DGKOU</v>
      </c>
      <c r="P1701" t="str">
        <f>IFERROR(VLOOKUP(A1701,'Sales Order'!A:N,14,FALSE),"Not Specified")</f>
        <v>Ireland</v>
      </c>
      <c r="Q1701" t="str">
        <f>VLOOKUP(VLOOKUP(B1701,Product!A:C,3,FALSE),Supplier!A:B,2,FALSE)</f>
        <v>Supplier TEGSC</v>
      </c>
      <c r="R1701" t="str">
        <f>VLOOKUP(VLOOKUP(B1701,Product!A:C,3,FALSE),Supplier!A:I,9,FALSE)</f>
        <v>Germany</v>
      </c>
      <c r="S1701" t="str">
        <f>IFERROR(IF(VLOOKUP(A1701,'Sales Order'!A:H,8,FALSE)&gt;100,"High Freight","Low Freight"),"Not Specified")</f>
        <v>High Freight</v>
      </c>
      <c r="T1701">
        <f t="shared" si="53"/>
        <v>932.04</v>
      </c>
    </row>
    <row r="1702" spans="1:20">
      <c r="A1702" s="9">
        <v>10898</v>
      </c>
      <c r="B1702" s="6">
        <v>13</v>
      </c>
      <c r="C1702" s="6">
        <v>6</v>
      </c>
      <c r="D1702" s="6">
        <v>5</v>
      </c>
      <c r="E1702" s="18">
        <v>0</v>
      </c>
      <c r="F1702" s="6" t="str">
        <f>IFERROR(VLOOKUP(VLOOKUP(A1702,'Sales Order'!A:B,2,FALSE),Customer!A:C,3,FALSE),"Not Specified")</f>
        <v>Tiano, Mike</v>
      </c>
      <c r="G1702" s="6" t="str">
        <f t="shared" si="52"/>
        <v>Tiano Mike</v>
      </c>
      <c r="H1702" s="22" t="str">
        <f>IFERROR(VLOOKUP(VLOOKUP(A1702,'Sales Order'!A:C,3,FALSE),Employee!A:E,5,FALSE)&amp;" "&amp;VLOOKUP(VLOOKUP(A1702,'Sales Order'!A:C,3,FALSE),Employee!A:C,3,FALSE)&amp;" "&amp;VLOOKUP(VLOOKUP(A1702,'Sales Order'!A:C,3,FALSE),Employee!A:B,2,FALSE),"Not Specified")</f>
        <v>Mrs. Yael Peled</v>
      </c>
      <c r="I1702" t="str">
        <f>IFERROR(VLOOKUP(VLOOKUP(A1702,'Sales Order'!A:C,3,FALSE),Employee!A:J,10,FALSE),"Not Specified")</f>
        <v>WA</v>
      </c>
      <c r="J1702" t="str">
        <f>VLOOKUP(B1702,Product!A:B,2,FALSE)</f>
        <v>Product POXFU</v>
      </c>
      <c r="K1702" t="str">
        <f>VLOOKUP(VLOOKUP(B1702,Product!A:D,4,FALSE),Category!A:B,2,FALSE)</f>
        <v>Seafood</v>
      </c>
      <c r="L1702" s="24">
        <f>IFERROR(VLOOKUP(A1702,'Sales Order'!A:D,4,FALSE),"")</f>
        <v>39498</v>
      </c>
      <c r="M1702" s="24">
        <f>IFERROR(VLOOKUP(A1702,'Sales Order'!A:F,6,FALSE),"")</f>
        <v>39513</v>
      </c>
      <c r="N1702" t="str">
        <f>IFERROR(VLOOKUP(VLOOKUP(A1702,'Sales Order'!A:G,7,FALSE),Shipper!A:B,2,FALSE),"Not Specified")</f>
        <v>Shipper ETYNR</v>
      </c>
      <c r="O1702" t="str">
        <f>IFERROR(VLOOKUP(A1702,'Sales Order'!A:I,9,FALSE),"Not Specified")</f>
        <v>Ship to 54-B</v>
      </c>
      <c r="P1702" t="str">
        <f>IFERROR(VLOOKUP(A1702,'Sales Order'!A:N,14,FALSE),"Not Specified")</f>
        <v>Argentina</v>
      </c>
      <c r="Q1702" t="str">
        <f>VLOOKUP(VLOOKUP(B1702,Product!A:C,3,FALSE),Supplier!A:B,2,FALSE)</f>
        <v>Supplier QWUSF</v>
      </c>
      <c r="R1702" t="str">
        <f>VLOOKUP(VLOOKUP(B1702,Product!A:C,3,FALSE),Supplier!A:I,9,FALSE)</f>
        <v>Japan</v>
      </c>
      <c r="S1702" t="str">
        <f>IFERROR(IF(VLOOKUP(A1702,'Sales Order'!A:H,8,FALSE)&gt;100,"High Freight","Low Freight"),"Not Specified")</f>
        <v>Low Freight</v>
      </c>
      <c r="T1702">
        <f t="shared" si="53"/>
        <v>30</v>
      </c>
    </row>
    <row r="1703" spans="1:20">
      <c r="A1703" s="9">
        <v>10899</v>
      </c>
      <c r="B1703" s="6">
        <v>39</v>
      </c>
      <c r="C1703" s="6">
        <v>18</v>
      </c>
      <c r="D1703" s="6">
        <v>8</v>
      </c>
      <c r="E1703" s="18">
        <v>0.15</v>
      </c>
      <c r="F1703" s="6" t="str">
        <f>IFERROR(VLOOKUP(VLOOKUP(A1703,'Sales Order'!A:B,2,FALSE),Customer!A:C,3,FALSE),"Not Specified")</f>
        <v>Dressler, Marlies</v>
      </c>
      <c r="G1703" s="6" t="str">
        <f t="shared" si="52"/>
        <v>Dressler Marlies</v>
      </c>
      <c r="H1703" s="22" t="str">
        <f>IFERROR(VLOOKUP(VLOOKUP(A1703,'Sales Order'!A:C,3,FALSE),Employee!A:E,5,FALSE)&amp;" "&amp;VLOOKUP(VLOOKUP(A1703,'Sales Order'!A:C,3,FALSE),Employee!A:C,3,FALSE)&amp;" "&amp;VLOOKUP(VLOOKUP(A1703,'Sales Order'!A:C,3,FALSE),Employee!A:B,2,FALSE),"Not Specified")</f>
        <v>Mr. Sven Buck</v>
      </c>
      <c r="I1703">
        <f>IFERROR(VLOOKUP(VLOOKUP(A1703,'Sales Order'!A:C,3,FALSE),Employee!A:J,10,FALSE),"Not Specified")</f>
        <v>0</v>
      </c>
      <c r="J1703" t="str">
        <f>VLOOKUP(B1703,Product!A:B,2,FALSE)</f>
        <v>Product LSOFL</v>
      </c>
      <c r="K1703" t="str">
        <f>VLOOKUP(VLOOKUP(B1703,Product!A:D,4,FALSE),Category!A:B,2,FALSE)</f>
        <v>Beverages</v>
      </c>
      <c r="L1703" s="24">
        <f>IFERROR(VLOOKUP(A1703,'Sales Order'!A:D,4,FALSE),"")</f>
        <v>39498</v>
      </c>
      <c r="M1703" s="24">
        <f>IFERROR(VLOOKUP(A1703,'Sales Order'!A:F,6,FALSE),"")</f>
        <v>39504</v>
      </c>
      <c r="N1703" t="str">
        <f>IFERROR(VLOOKUP(VLOOKUP(A1703,'Sales Order'!A:G,7,FALSE),Shipper!A:B,2,FALSE),"Not Specified")</f>
        <v>Shipper ZHISN</v>
      </c>
      <c r="O1703" t="str">
        <f>IFERROR(VLOOKUP(A1703,'Sales Order'!A:I,9,FALSE),"Not Specified")</f>
        <v>Ship to 46-C</v>
      </c>
      <c r="P1703" t="str">
        <f>IFERROR(VLOOKUP(A1703,'Sales Order'!A:N,14,FALSE),"Not Specified")</f>
        <v>Venezuela</v>
      </c>
      <c r="Q1703" t="str">
        <f>VLOOKUP(VLOOKUP(B1703,Product!A:C,3,FALSE),Supplier!A:B,2,FALSE)</f>
        <v>Supplier LVJUA</v>
      </c>
      <c r="R1703" t="str">
        <f>VLOOKUP(VLOOKUP(B1703,Product!A:C,3,FALSE),Supplier!A:I,9,FALSE)</f>
        <v>France</v>
      </c>
      <c r="S1703" t="str">
        <f>IFERROR(IF(VLOOKUP(A1703,'Sales Order'!A:H,8,FALSE)&gt;100,"High Freight","Low Freight"),"Not Specified")</f>
        <v>Low Freight</v>
      </c>
      <c r="T1703">
        <f t="shared" si="53"/>
        <v>122.39999999999999</v>
      </c>
    </row>
    <row r="1704" spans="1:20">
      <c r="A1704" s="9">
        <v>10900</v>
      </c>
      <c r="B1704" s="6">
        <v>70</v>
      </c>
      <c r="C1704" s="6">
        <v>15</v>
      </c>
      <c r="D1704" s="6">
        <v>3</v>
      </c>
      <c r="E1704" s="18">
        <v>0.25</v>
      </c>
      <c r="F1704" s="6" t="str">
        <f>IFERROR(VLOOKUP(VLOOKUP(A1704,'Sales Order'!A:B,2,FALSE),Customer!A:C,3,FALSE),"Not Specified")</f>
        <v>Li, Yan</v>
      </c>
      <c r="G1704" s="6" t="str">
        <f t="shared" si="52"/>
        <v>Li Yan</v>
      </c>
      <c r="H1704" s="22" t="str">
        <f>IFERROR(VLOOKUP(VLOOKUP(A1704,'Sales Order'!A:C,3,FALSE),Employee!A:E,5,FALSE)&amp;" "&amp;VLOOKUP(VLOOKUP(A1704,'Sales Order'!A:C,3,FALSE),Employee!A:C,3,FALSE)&amp;" "&amp;VLOOKUP(VLOOKUP(A1704,'Sales Order'!A:C,3,FALSE),Employee!A:B,2,FALSE),"Not Specified")</f>
        <v>Ms. Sara Davis</v>
      </c>
      <c r="I1704" t="str">
        <f>IFERROR(VLOOKUP(VLOOKUP(A1704,'Sales Order'!A:C,3,FALSE),Employee!A:J,10,FALSE),"Not Specified")</f>
        <v>WA</v>
      </c>
      <c r="J1704" t="str">
        <f>VLOOKUP(B1704,Product!A:B,2,FALSE)</f>
        <v>Product TOONT</v>
      </c>
      <c r="K1704" t="str">
        <f>VLOOKUP(VLOOKUP(B1704,Product!A:D,4,FALSE),Category!A:B,2,FALSE)</f>
        <v>Beverages</v>
      </c>
      <c r="L1704" s="24">
        <f>IFERROR(VLOOKUP(A1704,'Sales Order'!A:D,4,FALSE),"")</f>
        <v>39498</v>
      </c>
      <c r="M1704" s="24">
        <f>IFERROR(VLOOKUP(A1704,'Sales Order'!A:F,6,FALSE),"")</f>
        <v>39511</v>
      </c>
      <c r="N1704" t="str">
        <f>IFERROR(VLOOKUP(VLOOKUP(A1704,'Sales Order'!A:G,7,FALSE),Shipper!A:B,2,FALSE),"Not Specified")</f>
        <v>Shipper ETYNR</v>
      </c>
      <c r="O1704" t="str">
        <f>IFERROR(VLOOKUP(A1704,'Sales Order'!A:I,9,FALSE),"Not Specified")</f>
        <v>Ship to 88-A</v>
      </c>
      <c r="P1704" t="str">
        <f>IFERROR(VLOOKUP(A1704,'Sales Order'!A:N,14,FALSE),"Not Specified")</f>
        <v>Brazil</v>
      </c>
      <c r="Q1704" t="str">
        <f>VLOOKUP(VLOOKUP(B1704,Product!A:C,3,FALSE),Supplier!A:B,2,FALSE)</f>
        <v>Supplier GQRCV</v>
      </c>
      <c r="R1704" t="str">
        <f>VLOOKUP(VLOOKUP(B1704,Product!A:C,3,FALSE),Supplier!A:I,9,FALSE)</f>
        <v>Australia</v>
      </c>
      <c r="S1704" t="str">
        <f>IFERROR(IF(VLOOKUP(A1704,'Sales Order'!A:H,8,FALSE)&gt;100,"High Freight","Low Freight"),"Not Specified")</f>
        <v>Low Freight</v>
      </c>
      <c r="T1704">
        <f t="shared" si="53"/>
        <v>33.75</v>
      </c>
    </row>
    <row r="1705" spans="1:20">
      <c r="A1705" s="9">
        <v>10901</v>
      </c>
      <c r="B1705" s="6">
        <v>41</v>
      </c>
      <c r="C1705" s="6">
        <v>9.65</v>
      </c>
      <c r="D1705" s="6">
        <v>30</v>
      </c>
      <c r="E1705" s="18">
        <v>0</v>
      </c>
      <c r="F1705" s="6" t="str">
        <f>IFERROR(VLOOKUP(VLOOKUP(A1705,'Sales Order'!A:B,2,FALSE),Customer!A:C,3,FALSE),"Not Specified")</f>
        <v>Langohr, Kris</v>
      </c>
      <c r="G1705" s="6" t="str">
        <f t="shared" si="52"/>
        <v>Langohr Kris</v>
      </c>
      <c r="H1705" s="22" t="str">
        <f>IFERROR(VLOOKUP(VLOOKUP(A1705,'Sales Order'!A:C,3,FALSE),Employee!A:E,5,FALSE)&amp;" "&amp;VLOOKUP(VLOOKUP(A1705,'Sales Order'!A:C,3,FALSE),Employee!A:C,3,FALSE)&amp;" "&amp;VLOOKUP(VLOOKUP(A1705,'Sales Order'!A:C,3,FALSE),Employee!A:B,2,FALSE),"Not Specified")</f>
        <v>Mrs. Yael Peled</v>
      </c>
      <c r="I1705" t="str">
        <f>IFERROR(VLOOKUP(VLOOKUP(A1705,'Sales Order'!A:C,3,FALSE),Employee!A:J,10,FALSE),"Not Specified")</f>
        <v>WA</v>
      </c>
      <c r="J1705" t="str">
        <f>VLOOKUP(B1705,Product!A:B,2,FALSE)</f>
        <v>Product TTEEX</v>
      </c>
      <c r="K1705" t="str">
        <f>VLOOKUP(VLOOKUP(B1705,Product!A:D,4,FALSE),Category!A:B,2,FALSE)</f>
        <v>Seafood</v>
      </c>
      <c r="L1705" s="24">
        <f>IFERROR(VLOOKUP(A1705,'Sales Order'!A:D,4,FALSE),"")</f>
        <v>39501</v>
      </c>
      <c r="M1705" s="24">
        <f>IFERROR(VLOOKUP(A1705,'Sales Order'!A:F,6,FALSE),"")</f>
        <v>39504</v>
      </c>
      <c r="N1705" t="str">
        <f>IFERROR(VLOOKUP(VLOOKUP(A1705,'Sales Order'!A:G,7,FALSE),Shipper!A:B,2,FALSE),"Not Specified")</f>
        <v>Shipper GVSUA</v>
      </c>
      <c r="O1705" t="str">
        <f>IFERROR(VLOOKUP(A1705,'Sales Order'!A:I,9,FALSE),"Not Specified")</f>
        <v>Destination UOUWK</v>
      </c>
      <c r="P1705" t="str">
        <f>IFERROR(VLOOKUP(A1705,'Sales Order'!A:N,14,FALSE),"Not Specified")</f>
        <v>Venezuela</v>
      </c>
      <c r="Q1705" t="str">
        <f>VLOOKUP(VLOOKUP(B1705,Product!A:C,3,FALSE),Supplier!A:B,2,FALSE)</f>
        <v>Supplier JDNUG</v>
      </c>
      <c r="R1705" t="str">
        <f>VLOOKUP(VLOOKUP(B1705,Product!A:C,3,FALSE),Supplier!A:I,9,FALSE)</f>
        <v>USA</v>
      </c>
      <c r="S1705" t="str">
        <f>IFERROR(IF(VLOOKUP(A1705,'Sales Order'!A:H,8,FALSE)&gt;100,"High Freight","Low Freight"),"Not Specified")</f>
        <v>Low Freight</v>
      </c>
      <c r="T1705">
        <f t="shared" si="53"/>
        <v>289.5</v>
      </c>
    </row>
    <row r="1706" spans="1:20">
      <c r="A1706" s="9">
        <v>10901</v>
      </c>
      <c r="B1706" s="6">
        <v>71</v>
      </c>
      <c r="C1706" s="6">
        <v>21.5</v>
      </c>
      <c r="D1706" s="6">
        <v>30</v>
      </c>
      <c r="E1706" s="18">
        <v>0</v>
      </c>
      <c r="F1706" s="6" t="str">
        <f>IFERROR(VLOOKUP(VLOOKUP(A1706,'Sales Order'!A:B,2,FALSE),Customer!A:C,3,FALSE),"Not Specified")</f>
        <v>Langohr, Kris</v>
      </c>
      <c r="G1706" s="6" t="str">
        <f t="shared" si="52"/>
        <v>Langohr Kris</v>
      </c>
      <c r="H1706" s="22" t="str">
        <f>IFERROR(VLOOKUP(VLOOKUP(A1706,'Sales Order'!A:C,3,FALSE),Employee!A:E,5,FALSE)&amp;" "&amp;VLOOKUP(VLOOKUP(A1706,'Sales Order'!A:C,3,FALSE),Employee!A:C,3,FALSE)&amp;" "&amp;VLOOKUP(VLOOKUP(A1706,'Sales Order'!A:C,3,FALSE),Employee!A:B,2,FALSE),"Not Specified")</f>
        <v>Mrs. Yael Peled</v>
      </c>
      <c r="I1706" t="str">
        <f>IFERROR(VLOOKUP(VLOOKUP(A1706,'Sales Order'!A:C,3,FALSE),Employee!A:J,10,FALSE),"Not Specified")</f>
        <v>WA</v>
      </c>
      <c r="J1706" t="str">
        <f>VLOOKUP(B1706,Product!A:B,2,FALSE)</f>
        <v>Product MYMOI</v>
      </c>
      <c r="K1706" t="str">
        <f>VLOOKUP(VLOOKUP(B1706,Product!A:D,4,FALSE),Category!A:B,2,FALSE)</f>
        <v>Dairy Product</v>
      </c>
      <c r="L1706" s="24">
        <f>IFERROR(VLOOKUP(A1706,'Sales Order'!A:D,4,FALSE),"")</f>
        <v>39501</v>
      </c>
      <c r="M1706" s="24">
        <f>IFERROR(VLOOKUP(A1706,'Sales Order'!A:F,6,FALSE),"")</f>
        <v>39504</v>
      </c>
      <c r="N1706" t="str">
        <f>IFERROR(VLOOKUP(VLOOKUP(A1706,'Sales Order'!A:G,7,FALSE),Shipper!A:B,2,FALSE),"Not Specified")</f>
        <v>Shipper GVSUA</v>
      </c>
      <c r="O1706" t="str">
        <f>IFERROR(VLOOKUP(A1706,'Sales Order'!A:I,9,FALSE),"Not Specified")</f>
        <v>Destination UOUWK</v>
      </c>
      <c r="P1706" t="str">
        <f>IFERROR(VLOOKUP(A1706,'Sales Order'!A:N,14,FALSE),"Not Specified")</f>
        <v>Venezuela</v>
      </c>
      <c r="Q1706" t="str">
        <f>VLOOKUP(VLOOKUP(B1706,Product!A:C,3,FALSE),Supplier!A:B,2,FALSE)</f>
        <v>Supplier NZLIF</v>
      </c>
      <c r="R1706" t="str">
        <f>VLOOKUP(VLOOKUP(B1706,Product!A:C,3,FALSE),Supplier!A:I,9,FALSE)</f>
        <v>Norway</v>
      </c>
      <c r="S1706" t="str">
        <f>IFERROR(IF(VLOOKUP(A1706,'Sales Order'!A:H,8,FALSE)&gt;100,"High Freight","Low Freight"),"Not Specified")</f>
        <v>Low Freight</v>
      </c>
      <c r="T1706">
        <f t="shared" si="53"/>
        <v>645</v>
      </c>
    </row>
    <row r="1707" spans="1:20">
      <c r="A1707" s="9">
        <v>10902</v>
      </c>
      <c r="B1707" s="6">
        <v>55</v>
      </c>
      <c r="C1707" s="6">
        <v>24</v>
      </c>
      <c r="D1707" s="6">
        <v>30</v>
      </c>
      <c r="E1707" s="18">
        <v>0.15</v>
      </c>
      <c r="F1707" s="6" t="str">
        <f>IFERROR(VLOOKUP(VLOOKUP(A1707,'Sales Order'!A:B,2,FALSE),Customer!A:C,3,FALSE),"Not Specified")</f>
        <v>San Juan, Patricia</v>
      </c>
      <c r="G1707" s="6" t="str">
        <f t="shared" si="52"/>
        <v>San Juan Patricia</v>
      </c>
      <c r="H1707" s="22" t="str">
        <f>IFERROR(VLOOKUP(VLOOKUP(A1707,'Sales Order'!A:C,3,FALSE),Employee!A:E,5,FALSE)&amp;" "&amp;VLOOKUP(VLOOKUP(A1707,'Sales Order'!A:C,3,FALSE),Employee!A:C,3,FALSE)&amp;" "&amp;VLOOKUP(VLOOKUP(A1707,'Sales Order'!A:C,3,FALSE),Employee!A:B,2,FALSE),"Not Specified")</f>
        <v>Ms. Sara Davis</v>
      </c>
      <c r="I1707" t="str">
        <f>IFERROR(VLOOKUP(VLOOKUP(A1707,'Sales Order'!A:C,3,FALSE),Employee!A:J,10,FALSE),"Not Specified")</f>
        <v>WA</v>
      </c>
      <c r="J1707" t="str">
        <f>VLOOKUP(B1707,Product!A:B,2,FALSE)</f>
        <v>Product YYWRT</v>
      </c>
      <c r="K1707" t="str">
        <f>VLOOKUP(VLOOKUP(B1707,Product!A:D,4,FALSE),Category!A:B,2,FALSE)</f>
        <v>Meat/Poultry</v>
      </c>
      <c r="L1707" s="24">
        <f>IFERROR(VLOOKUP(A1707,'Sales Order'!A:D,4,FALSE),"")</f>
        <v>39501</v>
      </c>
      <c r="M1707" s="24">
        <f>IFERROR(VLOOKUP(A1707,'Sales Order'!A:F,6,FALSE),"")</f>
        <v>39510</v>
      </c>
      <c r="N1707" t="str">
        <f>IFERROR(VLOOKUP(VLOOKUP(A1707,'Sales Order'!A:G,7,FALSE),Shipper!A:B,2,FALSE),"Not Specified")</f>
        <v>Shipper GVSUA</v>
      </c>
      <c r="O1707" t="str">
        <f>IFERROR(VLOOKUP(A1707,'Sales Order'!A:I,9,FALSE),"Not Specified")</f>
        <v>Destination NCKKO</v>
      </c>
      <c r="P1707" t="str">
        <f>IFERROR(VLOOKUP(A1707,'Sales Order'!A:N,14,FALSE),"Not Specified")</f>
        <v>Sweden</v>
      </c>
      <c r="Q1707" t="str">
        <f>VLOOKUP(VLOOKUP(B1707,Product!A:C,3,FALSE),Supplier!A:B,2,FALSE)</f>
        <v>Supplier ERVYZ</v>
      </c>
      <c r="R1707" t="str">
        <f>VLOOKUP(VLOOKUP(B1707,Product!A:C,3,FALSE),Supplier!A:I,9,FALSE)</f>
        <v>Canada</v>
      </c>
      <c r="S1707" t="str">
        <f>IFERROR(IF(VLOOKUP(A1707,'Sales Order'!A:H,8,FALSE)&gt;100,"High Freight","Low Freight"),"Not Specified")</f>
        <v>Low Freight</v>
      </c>
      <c r="T1707">
        <f t="shared" si="53"/>
        <v>612</v>
      </c>
    </row>
    <row r="1708" spans="1:20">
      <c r="A1708" s="9">
        <v>10902</v>
      </c>
      <c r="B1708" s="6">
        <v>62</v>
      </c>
      <c r="C1708" s="6">
        <v>49.3</v>
      </c>
      <c r="D1708" s="6">
        <v>6</v>
      </c>
      <c r="E1708" s="18">
        <v>0.15</v>
      </c>
      <c r="F1708" s="6" t="str">
        <f>IFERROR(VLOOKUP(VLOOKUP(A1708,'Sales Order'!A:B,2,FALSE),Customer!A:C,3,FALSE),"Not Specified")</f>
        <v>San Juan, Patricia</v>
      </c>
      <c r="G1708" s="6" t="str">
        <f t="shared" si="52"/>
        <v>San Juan Patricia</v>
      </c>
      <c r="H1708" s="22" t="str">
        <f>IFERROR(VLOOKUP(VLOOKUP(A1708,'Sales Order'!A:C,3,FALSE),Employee!A:E,5,FALSE)&amp;" "&amp;VLOOKUP(VLOOKUP(A1708,'Sales Order'!A:C,3,FALSE),Employee!A:C,3,FALSE)&amp;" "&amp;VLOOKUP(VLOOKUP(A1708,'Sales Order'!A:C,3,FALSE),Employee!A:B,2,FALSE),"Not Specified")</f>
        <v>Ms. Sara Davis</v>
      </c>
      <c r="I1708" t="str">
        <f>IFERROR(VLOOKUP(VLOOKUP(A1708,'Sales Order'!A:C,3,FALSE),Employee!A:J,10,FALSE),"Not Specified")</f>
        <v>WA</v>
      </c>
      <c r="J1708" t="str">
        <f>VLOOKUP(B1708,Product!A:B,2,FALSE)</f>
        <v>Product WUXYK</v>
      </c>
      <c r="K1708" t="str">
        <f>VLOOKUP(VLOOKUP(B1708,Product!A:D,4,FALSE),Category!A:B,2,FALSE)</f>
        <v>Confections</v>
      </c>
      <c r="L1708" s="24">
        <f>IFERROR(VLOOKUP(A1708,'Sales Order'!A:D,4,FALSE),"")</f>
        <v>39501</v>
      </c>
      <c r="M1708" s="24">
        <f>IFERROR(VLOOKUP(A1708,'Sales Order'!A:F,6,FALSE),"")</f>
        <v>39510</v>
      </c>
      <c r="N1708" t="str">
        <f>IFERROR(VLOOKUP(VLOOKUP(A1708,'Sales Order'!A:G,7,FALSE),Shipper!A:B,2,FALSE),"Not Specified")</f>
        <v>Shipper GVSUA</v>
      </c>
      <c r="O1708" t="str">
        <f>IFERROR(VLOOKUP(A1708,'Sales Order'!A:I,9,FALSE),"Not Specified")</f>
        <v>Destination NCKKO</v>
      </c>
      <c r="P1708" t="str">
        <f>IFERROR(VLOOKUP(A1708,'Sales Order'!A:N,14,FALSE),"Not Specified")</f>
        <v>Sweden</v>
      </c>
      <c r="Q1708" t="str">
        <f>VLOOKUP(VLOOKUP(B1708,Product!A:C,3,FALSE),Supplier!A:B,2,FALSE)</f>
        <v>Supplier OGLRK</v>
      </c>
      <c r="R1708" t="str">
        <f>VLOOKUP(VLOOKUP(B1708,Product!A:C,3,FALSE),Supplier!A:I,9,FALSE)</f>
        <v>Canada</v>
      </c>
      <c r="S1708" t="str">
        <f>IFERROR(IF(VLOOKUP(A1708,'Sales Order'!A:H,8,FALSE)&gt;100,"High Freight","Low Freight"),"Not Specified")</f>
        <v>Low Freight</v>
      </c>
      <c r="T1708">
        <f t="shared" si="53"/>
        <v>251.42999999999995</v>
      </c>
    </row>
    <row r="1709" spans="1:20">
      <c r="A1709" s="9">
        <v>10903</v>
      </c>
      <c r="B1709" s="6">
        <v>13</v>
      </c>
      <c r="C1709" s="6">
        <v>6</v>
      </c>
      <c r="D1709" s="6">
        <v>40</v>
      </c>
      <c r="E1709" s="18">
        <v>0</v>
      </c>
      <c r="F1709" s="6" t="str">
        <f>IFERROR(VLOOKUP(VLOOKUP(A1709,'Sales Order'!A:B,2,FALSE),Customer!A:C,3,FALSE),"Not Specified")</f>
        <v>Cohen, Shy</v>
      </c>
      <c r="G1709" s="6" t="str">
        <f t="shared" si="52"/>
        <v>Cohen Shy</v>
      </c>
      <c r="H1709" s="22" t="str">
        <f>IFERROR(VLOOKUP(VLOOKUP(A1709,'Sales Order'!A:C,3,FALSE),Employee!A:E,5,FALSE)&amp;" "&amp;VLOOKUP(VLOOKUP(A1709,'Sales Order'!A:C,3,FALSE),Employee!A:C,3,FALSE)&amp;" "&amp;VLOOKUP(VLOOKUP(A1709,'Sales Order'!A:C,3,FALSE),Employee!A:B,2,FALSE),"Not Specified")</f>
        <v>Ms. Judy Lew</v>
      </c>
      <c r="I1709" t="str">
        <f>IFERROR(VLOOKUP(VLOOKUP(A1709,'Sales Order'!A:C,3,FALSE),Employee!A:J,10,FALSE),"Not Specified")</f>
        <v>WA</v>
      </c>
      <c r="J1709" t="str">
        <f>VLOOKUP(B1709,Product!A:B,2,FALSE)</f>
        <v>Product POXFU</v>
      </c>
      <c r="K1709" t="str">
        <f>VLOOKUP(VLOOKUP(B1709,Product!A:D,4,FALSE),Category!A:B,2,FALSE)</f>
        <v>Seafood</v>
      </c>
      <c r="L1709" s="24">
        <f>IFERROR(VLOOKUP(A1709,'Sales Order'!A:D,4,FALSE),"")</f>
        <v>39502</v>
      </c>
      <c r="M1709" s="24">
        <f>IFERROR(VLOOKUP(A1709,'Sales Order'!A:F,6,FALSE),"")</f>
        <v>39511</v>
      </c>
      <c r="N1709" t="str">
        <f>IFERROR(VLOOKUP(VLOOKUP(A1709,'Sales Order'!A:G,7,FALSE),Shipper!A:B,2,FALSE),"Not Specified")</f>
        <v>Shipper ZHISN</v>
      </c>
      <c r="O1709" t="str">
        <f>IFERROR(VLOOKUP(A1709,'Sales Order'!A:I,9,FALSE),"Not Specified")</f>
        <v>Destination DPCVR</v>
      </c>
      <c r="P1709" t="str">
        <f>IFERROR(VLOOKUP(A1709,'Sales Order'!A:N,14,FALSE),"Not Specified")</f>
        <v>Brazil</v>
      </c>
      <c r="Q1709" t="str">
        <f>VLOOKUP(VLOOKUP(B1709,Product!A:C,3,FALSE),Supplier!A:B,2,FALSE)</f>
        <v>Supplier QWUSF</v>
      </c>
      <c r="R1709" t="str">
        <f>VLOOKUP(VLOOKUP(B1709,Product!A:C,3,FALSE),Supplier!A:I,9,FALSE)</f>
        <v>Japan</v>
      </c>
      <c r="S1709" t="str">
        <f>IFERROR(IF(VLOOKUP(A1709,'Sales Order'!A:H,8,FALSE)&gt;100,"High Freight","Low Freight"),"Not Specified")</f>
        <v>Low Freight</v>
      </c>
      <c r="T1709">
        <f t="shared" si="53"/>
        <v>240</v>
      </c>
    </row>
    <row r="1710" spans="1:20">
      <c r="A1710" s="9">
        <v>10903</v>
      </c>
      <c r="B1710" s="6">
        <v>65</v>
      </c>
      <c r="C1710" s="6">
        <v>21.05</v>
      </c>
      <c r="D1710" s="6">
        <v>21</v>
      </c>
      <c r="E1710" s="18">
        <v>0</v>
      </c>
      <c r="F1710" s="6" t="str">
        <f>IFERROR(VLOOKUP(VLOOKUP(A1710,'Sales Order'!A:B,2,FALSE),Customer!A:C,3,FALSE),"Not Specified")</f>
        <v>Cohen, Shy</v>
      </c>
      <c r="G1710" s="6" t="str">
        <f t="shared" si="52"/>
        <v>Cohen Shy</v>
      </c>
      <c r="H1710" s="22" t="str">
        <f>IFERROR(VLOOKUP(VLOOKUP(A1710,'Sales Order'!A:C,3,FALSE),Employee!A:E,5,FALSE)&amp;" "&amp;VLOOKUP(VLOOKUP(A1710,'Sales Order'!A:C,3,FALSE),Employee!A:C,3,FALSE)&amp;" "&amp;VLOOKUP(VLOOKUP(A1710,'Sales Order'!A:C,3,FALSE),Employee!A:B,2,FALSE),"Not Specified")</f>
        <v>Ms. Judy Lew</v>
      </c>
      <c r="I1710" t="str">
        <f>IFERROR(VLOOKUP(VLOOKUP(A1710,'Sales Order'!A:C,3,FALSE),Employee!A:J,10,FALSE),"Not Specified")</f>
        <v>WA</v>
      </c>
      <c r="J1710" t="str">
        <f>VLOOKUP(B1710,Product!A:B,2,FALSE)</f>
        <v>Product XYWBZ</v>
      </c>
      <c r="K1710" t="str">
        <f>VLOOKUP(VLOOKUP(B1710,Product!A:D,4,FALSE),Category!A:B,2,FALSE)</f>
        <v>Condiments</v>
      </c>
      <c r="L1710" s="24">
        <f>IFERROR(VLOOKUP(A1710,'Sales Order'!A:D,4,FALSE),"")</f>
        <v>39502</v>
      </c>
      <c r="M1710" s="24">
        <f>IFERROR(VLOOKUP(A1710,'Sales Order'!A:F,6,FALSE),"")</f>
        <v>39511</v>
      </c>
      <c r="N1710" t="str">
        <f>IFERROR(VLOOKUP(VLOOKUP(A1710,'Sales Order'!A:G,7,FALSE),Shipper!A:B,2,FALSE),"Not Specified")</f>
        <v>Shipper ZHISN</v>
      </c>
      <c r="O1710" t="str">
        <f>IFERROR(VLOOKUP(A1710,'Sales Order'!A:I,9,FALSE),"Not Specified")</f>
        <v>Destination DPCVR</v>
      </c>
      <c r="P1710" t="str">
        <f>IFERROR(VLOOKUP(A1710,'Sales Order'!A:N,14,FALSE),"Not Specified")</f>
        <v>Brazil</v>
      </c>
      <c r="Q1710" t="str">
        <f>VLOOKUP(VLOOKUP(B1710,Product!A:C,3,FALSE),Supplier!A:B,2,FALSE)</f>
        <v>Supplier VHQZD</v>
      </c>
      <c r="R1710" t="str">
        <f>VLOOKUP(VLOOKUP(B1710,Product!A:C,3,FALSE),Supplier!A:I,9,FALSE)</f>
        <v>USA</v>
      </c>
      <c r="S1710" t="str">
        <f>IFERROR(IF(VLOOKUP(A1710,'Sales Order'!A:H,8,FALSE)&gt;100,"High Freight","Low Freight"),"Not Specified")</f>
        <v>Low Freight</v>
      </c>
      <c r="T1710">
        <f t="shared" si="53"/>
        <v>442.05</v>
      </c>
    </row>
    <row r="1711" spans="1:20">
      <c r="A1711" s="9">
        <v>10903</v>
      </c>
      <c r="B1711" s="6">
        <v>68</v>
      </c>
      <c r="C1711" s="6">
        <v>12.5</v>
      </c>
      <c r="D1711" s="6">
        <v>20</v>
      </c>
      <c r="E1711" s="18">
        <v>0</v>
      </c>
      <c r="F1711" s="6" t="str">
        <f>IFERROR(VLOOKUP(VLOOKUP(A1711,'Sales Order'!A:B,2,FALSE),Customer!A:C,3,FALSE),"Not Specified")</f>
        <v>Cohen, Shy</v>
      </c>
      <c r="G1711" s="6" t="str">
        <f t="shared" si="52"/>
        <v>Cohen Shy</v>
      </c>
      <c r="H1711" s="22" t="str">
        <f>IFERROR(VLOOKUP(VLOOKUP(A1711,'Sales Order'!A:C,3,FALSE),Employee!A:E,5,FALSE)&amp;" "&amp;VLOOKUP(VLOOKUP(A1711,'Sales Order'!A:C,3,FALSE),Employee!A:C,3,FALSE)&amp;" "&amp;VLOOKUP(VLOOKUP(A1711,'Sales Order'!A:C,3,FALSE),Employee!A:B,2,FALSE),"Not Specified")</f>
        <v>Ms. Judy Lew</v>
      </c>
      <c r="I1711" t="str">
        <f>IFERROR(VLOOKUP(VLOOKUP(A1711,'Sales Order'!A:C,3,FALSE),Employee!A:J,10,FALSE),"Not Specified")</f>
        <v>WA</v>
      </c>
      <c r="J1711" t="str">
        <f>VLOOKUP(B1711,Product!A:B,2,FALSE)</f>
        <v>Product TBTBL</v>
      </c>
      <c r="K1711" t="str">
        <f>VLOOKUP(VLOOKUP(B1711,Product!A:D,4,FALSE),Category!A:B,2,FALSE)</f>
        <v>Confections</v>
      </c>
      <c r="L1711" s="24">
        <f>IFERROR(VLOOKUP(A1711,'Sales Order'!A:D,4,FALSE),"")</f>
        <v>39502</v>
      </c>
      <c r="M1711" s="24">
        <f>IFERROR(VLOOKUP(A1711,'Sales Order'!A:F,6,FALSE),"")</f>
        <v>39511</v>
      </c>
      <c r="N1711" t="str">
        <f>IFERROR(VLOOKUP(VLOOKUP(A1711,'Sales Order'!A:G,7,FALSE),Shipper!A:B,2,FALSE),"Not Specified")</f>
        <v>Shipper ZHISN</v>
      </c>
      <c r="O1711" t="str">
        <f>IFERROR(VLOOKUP(A1711,'Sales Order'!A:I,9,FALSE),"Not Specified")</f>
        <v>Destination DPCVR</v>
      </c>
      <c r="P1711" t="str">
        <f>IFERROR(VLOOKUP(A1711,'Sales Order'!A:N,14,FALSE),"Not Specified")</f>
        <v>Brazil</v>
      </c>
      <c r="Q1711" t="str">
        <f>VLOOKUP(VLOOKUP(B1711,Product!A:C,3,FALSE),Supplier!A:B,2,FALSE)</f>
        <v>Supplier BWGYE</v>
      </c>
      <c r="R1711" t="str">
        <f>VLOOKUP(VLOOKUP(B1711,Product!A:C,3,FALSE),Supplier!A:I,9,FALSE)</f>
        <v>UK</v>
      </c>
      <c r="S1711" t="str">
        <f>IFERROR(IF(VLOOKUP(A1711,'Sales Order'!A:H,8,FALSE)&gt;100,"High Freight","Low Freight"),"Not Specified")</f>
        <v>Low Freight</v>
      </c>
      <c r="T1711">
        <f t="shared" si="53"/>
        <v>250</v>
      </c>
    </row>
    <row r="1712" spans="1:20">
      <c r="A1712" s="9">
        <v>10904</v>
      </c>
      <c r="B1712" s="6">
        <v>58</v>
      </c>
      <c r="C1712" s="6">
        <v>13.25</v>
      </c>
      <c r="D1712" s="6">
        <v>15</v>
      </c>
      <c r="E1712" s="18">
        <v>0</v>
      </c>
      <c r="F1712" s="6" t="str">
        <f>IFERROR(VLOOKUP(VLOOKUP(A1712,'Sales Order'!A:B,2,FALSE),Customer!A:C,3,FALSE),"Not Specified")</f>
        <v>Smith Jr., Ronaldo</v>
      </c>
      <c r="G1712" s="6" t="str">
        <f t="shared" si="52"/>
        <v>Smith Jr. Ronaldo</v>
      </c>
      <c r="H1712" s="22" t="str">
        <f>IFERROR(VLOOKUP(VLOOKUP(A1712,'Sales Order'!A:C,3,FALSE),Employee!A:E,5,FALSE)&amp;" "&amp;VLOOKUP(VLOOKUP(A1712,'Sales Order'!A:C,3,FALSE),Employee!A:C,3,FALSE)&amp;" "&amp;VLOOKUP(VLOOKUP(A1712,'Sales Order'!A:C,3,FALSE),Employee!A:B,2,FALSE),"Not Specified")</f>
        <v>Ms. Judy Lew</v>
      </c>
      <c r="I1712" t="str">
        <f>IFERROR(VLOOKUP(VLOOKUP(A1712,'Sales Order'!A:C,3,FALSE),Employee!A:J,10,FALSE),"Not Specified")</f>
        <v>WA</v>
      </c>
      <c r="J1712" t="str">
        <f>VLOOKUP(B1712,Product!A:B,2,FALSE)</f>
        <v>Product ACRVI</v>
      </c>
      <c r="K1712" t="str">
        <f>VLOOKUP(VLOOKUP(B1712,Product!A:D,4,FALSE),Category!A:B,2,FALSE)</f>
        <v>Seafood</v>
      </c>
      <c r="L1712" s="24">
        <f>IFERROR(VLOOKUP(A1712,'Sales Order'!A:D,4,FALSE),"")</f>
        <v>39502</v>
      </c>
      <c r="M1712" s="24">
        <f>IFERROR(VLOOKUP(A1712,'Sales Order'!A:F,6,FALSE),"")</f>
        <v>39505</v>
      </c>
      <c r="N1712" t="str">
        <f>IFERROR(VLOOKUP(VLOOKUP(A1712,'Sales Order'!A:G,7,FALSE),Shipper!A:B,2,FALSE),"Not Specified")</f>
        <v>Shipper ZHISN</v>
      </c>
      <c r="O1712" t="str">
        <f>IFERROR(VLOOKUP(A1712,'Sales Order'!A:I,9,FALSE),"Not Specified")</f>
        <v>Ship to 89-A</v>
      </c>
      <c r="P1712" t="str">
        <f>IFERROR(VLOOKUP(A1712,'Sales Order'!A:N,14,FALSE),"Not Specified")</f>
        <v>USA</v>
      </c>
      <c r="Q1712" t="str">
        <f>VLOOKUP(VLOOKUP(B1712,Product!A:C,3,FALSE),Supplier!A:B,2,FALSE)</f>
        <v>Supplier ZRYDZ</v>
      </c>
      <c r="R1712" t="str">
        <f>VLOOKUP(VLOOKUP(B1712,Product!A:C,3,FALSE),Supplier!A:I,9,FALSE)</f>
        <v>France</v>
      </c>
      <c r="S1712" t="str">
        <f>IFERROR(IF(VLOOKUP(A1712,'Sales Order'!A:H,8,FALSE)&gt;100,"High Freight","Low Freight"),"Not Specified")</f>
        <v>High Freight</v>
      </c>
      <c r="T1712">
        <f t="shared" si="53"/>
        <v>198.75</v>
      </c>
    </row>
    <row r="1713" spans="1:20">
      <c r="A1713" s="9">
        <v>10904</v>
      </c>
      <c r="B1713" s="6">
        <v>62</v>
      </c>
      <c r="C1713" s="6">
        <v>49.3</v>
      </c>
      <c r="D1713" s="6">
        <v>35</v>
      </c>
      <c r="E1713" s="18">
        <v>0</v>
      </c>
      <c r="F1713" s="6" t="str">
        <f>IFERROR(VLOOKUP(VLOOKUP(A1713,'Sales Order'!A:B,2,FALSE),Customer!A:C,3,FALSE),"Not Specified")</f>
        <v>Smith Jr., Ronaldo</v>
      </c>
      <c r="G1713" s="6" t="str">
        <f t="shared" si="52"/>
        <v>Smith Jr. Ronaldo</v>
      </c>
      <c r="H1713" s="22" t="str">
        <f>IFERROR(VLOOKUP(VLOOKUP(A1713,'Sales Order'!A:C,3,FALSE),Employee!A:E,5,FALSE)&amp;" "&amp;VLOOKUP(VLOOKUP(A1713,'Sales Order'!A:C,3,FALSE),Employee!A:C,3,FALSE)&amp;" "&amp;VLOOKUP(VLOOKUP(A1713,'Sales Order'!A:C,3,FALSE),Employee!A:B,2,FALSE),"Not Specified")</f>
        <v>Ms. Judy Lew</v>
      </c>
      <c r="I1713" t="str">
        <f>IFERROR(VLOOKUP(VLOOKUP(A1713,'Sales Order'!A:C,3,FALSE),Employee!A:J,10,FALSE),"Not Specified")</f>
        <v>WA</v>
      </c>
      <c r="J1713" t="str">
        <f>VLOOKUP(B1713,Product!A:B,2,FALSE)</f>
        <v>Product WUXYK</v>
      </c>
      <c r="K1713" t="str">
        <f>VLOOKUP(VLOOKUP(B1713,Product!A:D,4,FALSE),Category!A:B,2,FALSE)</f>
        <v>Confections</v>
      </c>
      <c r="L1713" s="24">
        <f>IFERROR(VLOOKUP(A1713,'Sales Order'!A:D,4,FALSE),"")</f>
        <v>39502</v>
      </c>
      <c r="M1713" s="24">
        <f>IFERROR(VLOOKUP(A1713,'Sales Order'!A:F,6,FALSE),"")</f>
        <v>39505</v>
      </c>
      <c r="N1713" t="str">
        <f>IFERROR(VLOOKUP(VLOOKUP(A1713,'Sales Order'!A:G,7,FALSE),Shipper!A:B,2,FALSE),"Not Specified")</f>
        <v>Shipper ZHISN</v>
      </c>
      <c r="O1713" t="str">
        <f>IFERROR(VLOOKUP(A1713,'Sales Order'!A:I,9,FALSE),"Not Specified")</f>
        <v>Ship to 89-A</v>
      </c>
      <c r="P1713" t="str">
        <f>IFERROR(VLOOKUP(A1713,'Sales Order'!A:N,14,FALSE),"Not Specified")</f>
        <v>USA</v>
      </c>
      <c r="Q1713" t="str">
        <f>VLOOKUP(VLOOKUP(B1713,Product!A:C,3,FALSE),Supplier!A:B,2,FALSE)</f>
        <v>Supplier OGLRK</v>
      </c>
      <c r="R1713" t="str">
        <f>VLOOKUP(VLOOKUP(B1713,Product!A:C,3,FALSE),Supplier!A:I,9,FALSE)</f>
        <v>Canada</v>
      </c>
      <c r="S1713" t="str">
        <f>IFERROR(IF(VLOOKUP(A1713,'Sales Order'!A:H,8,FALSE)&gt;100,"High Freight","Low Freight"),"Not Specified")</f>
        <v>High Freight</v>
      </c>
      <c r="T1713">
        <f t="shared" si="53"/>
        <v>1725.5</v>
      </c>
    </row>
    <row r="1714" spans="1:20">
      <c r="A1714" s="9">
        <v>10905</v>
      </c>
      <c r="B1714" s="6">
        <v>1</v>
      </c>
      <c r="C1714" s="6">
        <v>18</v>
      </c>
      <c r="D1714" s="6">
        <v>20</v>
      </c>
      <c r="E1714" s="18">
        <v>0.05</v>
      </c>
      <c r="F1714" s="6" t="str">
        <f>IFERROR(VLOOKUP(VLOOKUP(A1714,'Sales Order'!A:B,2,FALSE),Customer!A:C,3,FALSE),"Not Specified")</f>
        <v>Li, Yan</v>
      </c>
      <c r="G1714" s="6" t="str">
        <f t="shared" si="52"/>
        <v>Li Yan</v>
      </c>
      <c r="H1714" s="22" t="str">
        <f>IFERROR(VLOOKUP(VLOOKUP(A1714,'Sales Order'!A:C,3,FALSE),Employee!A:E,5,FALSE)&amp;" "&amp;VLOOKUP(VLOOKUP(A1714,'Sales Order'!A:C,3,FALSE),Employee!A:C,3,FALSE)&amp;" "&amp;VLOOKUP(VLOOKUP(A1714,'Sales Order'!A:C,3,FALSE),Employee!A:B,2,FALSE),"Not Specified")</f>
        <v>Ms. Zoya Dolgopyatova</v>
      </c>
      <c r="I1714">
        <f>IFERROR(VLOOKUP(VLOOKUP(A1714,'Sales Order'!A:C,3,FALSE),Employee!A:J,10,FALSE),"Not Specified")</f>
        <v>0</v>
      </c>
      <c r="J1714" t="str">
        <f>VLOOKUP(B1714,Product!A:B,2,FALSE)</f>
        <v>Product HHYDP</v>
      </c>
      <c r="K1714" t="str">
        <f>VLOOKUP(VLOOKUP(B1714,Product!A:D,4,FALSE),Category!A:B,2,FALSE)</f>
        <v>Beverages</v>
      </c>
      <c r="L1714" s="24">
        <f>IFERROR(VLOOKUP(A1714,'Sales Order'!A:D,4,FALSE),"")</f>
        <v>39502</v>
      </c>
      <c r="M1714" s="24">
        <f>IFERROR(VLOOKUP(A1714,'Sales Order'!A:F,6,FALSE),"")</f>
        <v>39513</v>
      </c>
      <c r="N1714" t="str">
        <f>IFERROR(VLOOKUP(VLOOKUP(A1714,'Sales Order'!A:G,7,FALSE),Shipper!A:B,2,FALSE),"Not Specified")</f>
        <v>Shipper ETYNR</v>
      </c>
      <c r="O1714" t="str">
        <f>IFERROR(VLOOKUP(A1714,'Sales Order'!A:I,9,FALSE),"Not Specified")</f>
        <v>Ship to 88-A</v>
      </c>
      <c r="P1714" t="str">
        <f>IFERROR(VLOOKUP(A1714,'Sales Order'!A:N,14,FALSE),"Not Specified")</f>
        <v>Brazil</v>
      </c>
      <c r="Q1714" t="str">
        <f>VLOOKUP(VLOOKUP(B1714,Product!A:C,3,FALSE),Supplier!A:B,2,FALSE)</f>
        <v>Supplier SWRXU</v>
      </c>
      <c r="R1714" t="str">
        <f>VLOOKUP(VLOOKUP(B1714,Product!A:C,3,FALSE),Supplier!A:I,9,FALSE)</f>
        <v>UK</v>
      </c>
      <c r="S1714" t="str">
        <f>IFERROR(IF(VLOOKUP(A1714,'Sales Order'!A:H,8,FALSE)&gt;100,"High Freight","Low Freight"),"Not Specified")</f>
        <v>Low Freight</v>
      </c>
      <c r="T1714">
        <f t="shared" si="53"/>
        <v>342</v>
      </c>
    </row>
    <row r="1715" spans="1:20">
      <c r="A1715" s="9">
        <v>10906</v>
      </c>
      <c r="B1715" s="6">
        <v>61</v>
      </c>
      <c r="C1715" s="6">
        <v>28.5</v>
      </c>
      <c r="D1715" s="6">
        <v>15</v>
      </c>
      <c r="E1715" s="18">
        <v>0</v>
      </c>
      <c r="F1715" s="6" t="str">
        <f>IFERROR(VLOOKUP(VLOOKUP(A1715,'Sales Order'!A:B,2,FALSE),Customer!A:C,3,FALSE),"Not Specified")</f>
        <v>Conn, Steve</v>
      </c>
      <c r="G1715" s="6" t="str">
        <f t="shared" si="52"/>
        <v>Conn Steve</v>
      </c>
      <c r="H1715" s="22" t="str">
        <f>IFERROR(VLOOKUP(VLOOKUP(A1715,'Sales Order'!A:C,3,FALSE),Employee!A:E,5,FALSE)&amp;" "&amp;VLOOKUP(VLOOKUP(A1715,'Sales Order'!A:C,3,FALSE),Employee!A:C,3,FALSE)&amp;" "&amp;VLOOKUP(VLOOKUP(A1715,'Sales Order'!A:C,3,FALSE),Employee!A:B,2,FALSE),"Not Specified")</f>
        <v>Mrs. Yael Peled</v>
      </c>
      <c r="I1715" t="str">
        <f>IFERROR(VLOOKUP(VLOOKUP(A1715,'Sales Order'!A:C,3,FALSE),Employee!A:J,10,FALSE),"Not Specified")</f>
        <v>WA</v>
      </c>
      <c r="J1715" t="str">
        <f>VLOOKUP(B1715,Product!A:B,2,FALSE)</f>
        <v>Product XYZPE</v>
      </c>
      <c r="K1715" t="str">
        <f>VLOOKUP(VLOOKUP(B1715,Product!A:D,4,FALSE),Category!A:B,2,FALSE)</f>
        <v>Condiments</v>
      </c>
      <c r="L1715" s="24">
        <f>IFERROR(VLOOKUP(A1715,'Sales Order'!A:D,4,FALSE),"")</f>
        <v>39503</v>
      </c>
      <c r="M1715" s="24">
        <f>IFERROR(VLOOKUP(A1715,'Sales Order'!A:F,6,FALSE),"")</f>
        <v>39510</v>
      </c>
      <c r="N1715" t="str">
        <f>IFERROR(VLOOKUP(VLOOKUP(A1715,'Sales Order'!A:G,7,FALSE),Shipper!A:B,2,FALSE),"Not Specified")</f>
        <v>Shipper ZHISN</v>
      </c>
      <c r="O1715" t="str">
        <f>IFERROR(VLOOKUP(A1715,'Sales Order'!A:I,9,FALSE),"Not Specified")</f>
        <v>Ship to 91-B</v>
      </c>
      <c r="P1715" t="str">
        <f>IFERROR(VLOOKUP(A1715,'Sales Order'!A:N,14,FALSE),"Not Specified")</f>
        <v>Poland</v>
      </c>
      <c r="Q1715" t="str">
        <f>VLOOKUP(VLOOKUP(B1715,Product!A:C,3,FALSE),Supplier!A:B,2,FALSE)</f>
        <v>Supplier OGLRK</v>
      </c>
      <c r="R1715" t="str">
        <f>VLOOKUP(VLOOKUP(B1715,Product!A:C,3,FALSE),Supplier!A:I,9,FALSE)</f>
        <v>Canada</v>
      </c>
      <c r="S1715" t="str">
        <f>IFERROR(IF(VLOOKUP(A1715,'Sales Order'!A:H,8,FALSE)&gt;100,"High Freight","Low Freight"),"Not Specified")</f>
        <v>Low Freight</v>
      </c>
      <c r="T1715">
        <f t="shared" si="53"/>
        <v>427.5</v>
      </c>
    </row>
    <row r="1716" spans="1:20">
      <c r="A1716" s="9">
        <v>10907</v>
      </c>
      <c r="B1716" s="6">
        <v>75</v>
      </c>
      <c r="C1716" s="6">
        <v>7.75</v>
      </c>
      <c r="D1716" s="6">
        <v>14</v>
      </c>
      <c r="E1716" s="18">
        <v>0</v>
      </c>
      <c r="F1716" s="6" t="str">
        <f>IFERROR(VLOOKUP(VLOOKUP(A1716,'Sales Order'!A:B,2,FALSE),Customer!A:C,3,FALSE),"Not Specified")</f>
        <v>O’Brien, Dave</v>
      </c>
      <c r="G1716" s="6" t="str">
        <f t="shared" si="52"/>
        <v>O’Brien Dave</v>
      </c>
      <c r="H1716" s="22" t="str">
        <f>IFERROR(VLOOKUP(VLOOKUP(A1716,'Sales Order'!A:C,3,FALSE),Employee!A:E,5,FALSE)&amp;" "&amp;VLOOKUP(VLOOKUP(A1716,'Sales Order'!A:C,3,FALSE),Employee!A:C,3,FALSE)&amp;" "&amp;VLOOKUP(VLOOKUP(A1716,'Sales Order'!A:C,3,FALSE),Employee!A:B,2,FALSE),"Not Specified")</f>
        <v>Mr. Paul Suurs</v>
      </c>
      <c r="I1716">
        <f>IFERROR(VLOOKUP(VLOOKUP(A1716,'Sales Order'!A:C,3,FALSE),Employee!A:J,10,FALSE),"Not Specified")</f>
        <v>0</v>
      </c>
      <c r="J1716" t="str">
        <f>VLOOKUP(B1716,Product!A:B,2,FALSE)</f>
        <v>Product BWRLG</v>
      </c>
      <c r="K1716" t="str">
        <f>VLOOKUP(VLOOKUP(B1716,Product!A:D,4,FALSE),Category!A:B,2,FALSE)</f>
        <v>Beverages</v>
      </c>
      <c r="L1716" s="24">
        <f>IFERROR(VLOOKUP(A1716,'Sales Order'!A:D,4,FALSE),"")</f>
        <v>39503</v>
      </c>
      <c r="M1716" s="24">
        <f>IFERROR(VLOOKUP(A1716,'Sales Order'!A:F,6,FALSE),"")</f>
        <v>39505</v>
      </c>
      <c r="N1716" t="str">
        <f>IFERROR(VLOOKUP(VLOOKUP(A1716,'Sales Order'!A:G,7,FALSE),Shipper!A:B,2,FALSE),"Not Specified")</f>
        <v>Shipper ZHISN</v>
      </c>
      <c r="O1716" t="str">
        <f>IFERROR(VLOOKUP(A1716,'Sales Order'!A:I,9,FALSE),"Not Specified")</f>
        <v>Ship to 74-B</v>
      </c>
      <c r="P1716" t="str">
        <f>IFERROR(VLOOKUP(A1716,'Sales Order'!A:N,14,FALSE),"Not Specified")</f>
        <v>France</v>
      </c>
      <c r="Q1716" t="str">
        <f>VLOOKUP(VLOOKUP(B1716,Product!A:C,3,FALSE),Supplier!A:B,2,FALSE)</f>
        <v>Supplier SVIYA</v>
      </c>
      <c r="R1716" t="str">
        <f>VLOOKUP(VLOOKUP(B1716,Product!A:C,3,FALSE),Supplier!A:I,9,FALSE)</f>
        <v>Germany</v>
      </c>
      <c r="S1716" t="str">
        <f>IFERROR(IF(VLOOKUP(A1716,'Sales Order'!A:H,8,FALSE)&gt;100,"High Freight","Low Freight"),"Not Specified")</f>
        <v>Low Freight</v>
      </c>
      <c r="T1716">
        <f t="shared" si="53"/>
        <v>108.5</v>
      </c>
    </row>
    <row r="1717" spans="1:20">
      <c r="A1717" s="9">
        <v>10908</v>
      </c>
      <c r="B1717" s="6">
        <v>7</v>
      </c>
      <c r="C1717" s="6">
        <v>30</v>
      </c>
      <c r="D1717" s="6">
        <v>20</v>
      </c>
      <c r="E1717" s="18">
        <v>0.05</v>
      </c>
      <c r="F1717" s="6" t="str">
        <f>IFERROR(VLOOKUP(VLOOKUP(A1717,'Sales Order'!A:B,2,FALSE),Customer!A:C,3,FALSE),"Not Specified")</f>
        <v>Voss, Florian</v>
      </c>
      <c r="G1717" s="6" t="str">
        <f t="shared" si="52"/>
        <v>Voss Florian</v>
      </c>
      <c r="H1717" s="22" t="str">
        <f>IFERROR(VLOOKUP(VLOOKUP(A1717,'Sales Order'!A:C,3,FALSE),Employee!A:E,5,FALSE)&amp;" "&amp;VLOOKUP(VLOOKUP(A1717,'Sales Order'!A:C,3,FALSE),Employee!A:C,3,FALSE)&amp;" "&amp;VLOOKUP(VLOOKUP(A1717,'Sales Order'!A:C,3,FALSE),Employee!A:B,2,FALSE),"Not Specified")</f>
        <v>Mrs. Yael Peled</v>
      </c>
      <c r="I1717" t="str">
        <f>IFERROR(VLOOKUP(VLOOKUP(A1717,'Sales Order'!A:C,3,FALSE),Employee!A:J,10,FALSE),"Not Specified")</f>
        <v>WA</v>
      </c>
      <c r="J1717" t="str">
        <f>VLOOKUP(B1717,Product!A:B,2,FALSE)</f>
        <v>Product HMLNI</v>
      </c>
      <c r="K1717" t="str">
        <f>VLOOKUP(VLOOKUP(B1717,Product!A:D,4,FALSE),Category!A:B,2,FALSE)</f>
        <v>Produce</v>
      </c>
      <c r="L1717" s="24">
        <f>IFERROR(VLOOKUP(A1717,'Sales Order'!A:D,4,FALSE),"")</f>
        <v>39504</v>
      </c>
      <c r="M1717" s="24">
        <f>IFERROR(VLOOKUP(A1717,'Sales Order'!A:F,6,FALSE),"")</f>
        <v>39513</v>
      </c>
      <c r="N1717" t="str">
        <f>IFERROR(VLOOKUP(VLOOKUP(A1717,'Sales Order'!A:G,7,FALSE),Shipper!A:B,2,FALSE),"Not Specified")</f>
        <v>Shipper ETYNR</v>
      </c>
      <c r="O1717" t="str">
        <f>IFERROR(VLOOKUP(A1717,'Sales Order'!A:I,9,FALSE),"Not Specified")</f>
        <v>Ship to 66-B</v>
      </c>
      <c r="P1717" t="str">
        <f>IFERROR(VLOOKUP(A1717,'Sales Order'!A:N,14,FALSE),"Not Specified")</f>
        <v>Italy</v>
      </c>
      <c r="Q1717" t="str">
        <f>VLOOKUP(VLOOKUP(B1717,Product!A:C,3,FALSE),Supplier!A:B,2,FALSE)</f>
        <v>Supplier STUAZ</v>
      </c>
      <c r="R1717" t="str">
        <f>VLOOKUP(VLOOKUP(B1717,Product!A:C,3,FALSE),Supplier!A:I,9,FALSE)</f>
        <v>USA</v>
      </c>
      <c r="S1717" t="str">
        <f>IFERROR(IF(VLOOKUP(A1717,'Sales Order'!A:H,8,FALSE)&gt;100,"High Freight","Low Freight"),"Not Specified")</f>
        <v>Low Freight</v>
      </c>
      <c r="T1717">
        <f t="shared" si="53"/>
        <v>570</v>
      </c>
    </row>
    <row r="1718" spans="1:20">
      <c r="A1718" s="9">
        <v>10908</v>
      </c>
      <c r="B1718" s="6">
        <v>52</v>
      </c>
      <c r="C1718" s="6">
        <v>7</v>
      </c>
      <c r="D1718" s="6">
        <v>14</v>
      </c>
      <c r="E1718" s="18">
        <v>0.05</v>
      </c>
      <c r="F1718" s="6" t="str">
        <f>IFERROR(VLOOKUP(VLOOKUP(A1718,'Sales Order'!A:B,2,FALSE),Customer!A:C,3,FALSE),"Not Specified")</f>
        <v>Voss, Florian</v>
      </c>
      <c r="G1718" s="6" t="str">
        <f t="shared" si="52"/>
        <v>Voss Florian</v>
      </c>
      <c r="H1718" s="22" t="str">
        <f>IFERROR(VLOOKUP(VLOOKUP(A1718,'Sales Order'!A:C,3,FALSE),Employee!A:E,5,FALSE)&amp;" "&amp;VLOOKUP(VLOOKUP(A1718,'Sales Order'!A:C,3,FALSE),Employee!A:C,3,FALSE)&amp;" "&amp;VLOOKUP(VLOOKUP(A1718,'Sales Order'!A:C,3,FALSE),Employee!A:B,2,FALSE),"Not Specified")</f>
        <v>Mrs. Yael Peled</v>
      </c>
      <c r="I1718" t="str">
        <f>IFERROR(VLOOKUP(VLOOKUP(A1718,'Sales Order'!A:C,3,FALSE),Employee!A:J,10,FALSE),"Not Specified")</f>
        <v>WA</v>
      </c>
      <c r="J1718" t="str">
        <f>VLOOKUP(B1718,Product!A:B,2,FALSE)</f>
        <v>Product QSRXF</v>
      </c>
      <c r="K1718" t="str">
        <f>VLOOKUP(VLOOKUP(B1718,Product!A:D,4,FALSE),Category!A:B,2,FALSE)</f>
        <v>Grains/Cereals</v>
      </c>
      <c r="L1718" s="24">
        <f>IFERROR(VLOOKUP(A1718,'Sales Order'!A:D,4,FALSE),"")</f>
        <v>39504</v>
      </c>
      <c r="M1718" s="24">
        <f>IFERROR(VLOOKUP(A1718,'Sales Order'!A:F,6,FALSE),"")</f>
        <v>39513</v>
      </c>
      <c r="N1718" t="str">
        <f>IFERROR(VLOOKUP(VLOOKUP(A1718,'Sales Order'!A:G,7,FALSE),Shipper!A:B,2,FALSE),"Not Specified")</f>
        <v>Shipper ETYNR</v>
      </c>
      <c r="O1718" t="str">
        <f>IFERROR(VLOOKUP(A1718,'Sales Order'!A:I,9,FALSE),"Not Specified")</f>
        <v>Ship to 66-B</v>
      </c>
      <c r="P1718" t="str">
        <f>IFERROR(VLOOKUP(A1718,'Sales Order'!A:N,14,FALSE),"Not Specified")</f>
        <v>Italy</v>
      </c>
      <c r="Q1718" t="str">
        <f>VLOOKUP(VLOOKUP(B1718,Product!A:C,3,FALSE),Supplier!A:B,2,FALSE)</f>
        <v>Supplier JNNES</v>
      </c>
      <c r="R1718" t="str">
        <f>VLOOKUP(VLOOKUP(B1718,Product!A:C,3,FALSE),Supplier!A:I,9,FALSE)</f>
        <v>Australia</v>
      </c>
      <c r="S1718" t="str">
        <f>IFERROR(IF(VLOOKUP(A1718,'Sales Order'!A:H,8,FALSE)&gt;100,"High Freight","Low Freight"),"Not Specified")</f>
        <v>Low Freight</v>
      </c>
      <c r="T1718">
        <f t="shared" si="53"/>
        <v>93.1</v>
      </c>
    </row>
    <row r="1719" spans="1:20">
      <c r="A1719" s="9">
        <v>10909</v>
      </c>
      <c r="B1719" s="6">
        <v>7</v>
      </c>
      <c r="C1719" s="6">
        <v>30</v>
      </c>
      <c r="D1719" s="6">
        <v>12</v>
      </c>
      <c r="E1719" s="18">
        <v>0</v>
      </c>
      <c r="F1719" s="6" t="str">
        <f>IFERROR(VLOOKUP(VLOOKUP(A1719,'Sales Order'!A:B,2,FALSE),Customer!A:C,3,FALSE),"Not Specified")</f>
        <v>Ginters, Kaspars</v>
      </c>
      <c r="G1719" s="6" t="str">
        <f t="shared" si="52"/>
        <v>Ginters Kaspars</v>
      </c>
      <c r="H1719" s="22" t="str">
        <f>IFERROR(VLOOKUP(VLOOKUP(A1719,'Sales Order'!A:C,3,FALSE),Employee!A:E,5,FALSE)&amp;" "&amp;VLOOKUP(VLOOKUP(A1719,'Sales Order'!A:C,3,FALSE),Employee!A:C,3,FALSE)&amp;" "&amp;VLOOKUP(VLOOKUP(A1719,'Sales Order'!A:C,3,FALSE),Employee!A:B,2,FALSE),"Not Specified")</f>
        <v>Ms. Sara Davis</v>
      </c>
      <c r="I1719" t="str">
        <f>IFERROR(VLOOKUP(VLOOKUP(A1719,'Sales Order'!A:C,3,FALSE),Employee!A:J,10,FALSE),"Not Specified")</f>
        <v>WA</v>
      </c>
      <c r="J1719" t="str">
        <f>VLOOKUP(B1719,Product!A:B,2,FALSE)</f>
        <v>Product HMLNI</v>
      </c>
      <c r="K1719" t="str">
        <f>VLOOKUP(VLOOKUP(B1719,Product!A:D,4,FALSE),Category!A:B,2,FALSE)</f>
        <v>Produce</v>
      </c>
      <c r="L1719" s="24">
        <f>IFERROR(VLOOKUP(A1719,'Sales Order'!A:D,4,FALSE),"")</f>
        <v>39504</v>
      </c>
      <c r="M1719" s="24">
        <f>IFERROR(VLOOKUP(A1719,'Sales Order'!A:F,6,FALSE),"")</f>
        <v>39517</v>
      </c>
      <c r="N1719" t="str">
        <f>IFERROR(VLOOKUP(VLOOKUP(A1719,'Sales Order'!A:G,7,FALSE),Shipper!A:B,2,FALSE),"Not Specified")</f>
        <v>Shipper ETYNR</v>
      </c>
      <c r="O1719" t="str">
        <f>IFERROR(VLOOKUP(A1719,'Sales Order'!A:I,9,FALSE),"Not Specified")</f>
        <v>Ship to 70-C</v>
      </c>
      <c r="P1719" t="str">
        <f>IFERROR(VLOOKUP(A1719,'Sales Order'!A:N,14,FALSE),"Not Specified")</f>
        <v>Norway</v>
      </c>
      <c r="Q1719" t="str">
        <f>VLOOKUP(VLOOKUP(B1719,Product!A:C,3,FALSE),Supplier!A:B,2,FALSE)</f>
        <v>Supplier STUAZ</v>
      </c>
      <c r="R1719" t="str">
        <f>VLOOKUP(VLOOKUP(B1719,Product!A:C,3,FALSE),Supplier!A:I,9,FALSE)</f>
        <v>USA</v>
      </c>
      <c r="S1719" t="str">
        <f>IFERROR(IF(VLOOKUP(A1719,'Sales Order'!A:H,8,FALSE)&gt;100,"High Freight","Low Freight"),"Not Specified")</f>
        <v>Low Freight</v>
      </c>
      <c r="T1719">
        <f t="shared" si="53"/>
        <v>360</v>
      </c>
    </row>
    <row r="1720" spans="1:20">
      <c r="A1720" s="9">
        <v>10909</v>
      </c>
      <c r="B1720" s="6">
        <v>16</v>
      </c>
      <c r="C1720" s="6">
        <v>17.45</v>
      </c>
      <c r="D1720" s="6">
        <v>15</v>
      </c>
      <c r="E1720" s="18">
        <v>0</v>
      </c>
      <c r="F1720" s="6" t="str">
        <f>IFERROR(VLOOKUP(VLOOKUP(A1720,'Sales Order'!A:B,2,FALSE),Customer!A:C,3,FALSE),"Not Specified")</f>
        <v>Ginters, Kaspars</v>
      </c>
      <c r="G1720" s="6" t="str">
        <f t="shared" si="52"/>
        <v>Ginters Kaspars</v>
      </c>
      <c r="H1720" s="22" t="str">
        <f>IFERROR(VLOOKUP(VLOOKUP(A1720,'Sales Order'!A:C,3,FALSE),Employee!A:E,5,FALSE)&amp;" "&amp;VLOOKUP(VLOOKUP(A1720,'Sales Order'!A:C,3,FALSE),Employee!A:C,3,FALSE)&amp;" "&amp;VLOOKUP(VLOOKUP(A1720,'Sales Order'!A:C,3,FALSE),Employee!A:B,2,FALSE),"Not Specified")</f>
        <v>Ms. Sara Davis</v>
      </c>
      <c r="I1720" t="str">
        <f>IFERROR(VLOOKUP(VLOOKUP(A1720,'Sales Order'!A:C,3,FALSE),Employee!A:J,10,FALSE),"Not Specified")</f>
        <v>WA</v>
      </c>
      <c r="J1720" t="str">
        <f>VLOOKUP(B1720,Product!A:B,2,FALSE)</f>
        <v>Product PAFRH</v>
      </c>
      <c r="K1720" t="str">
        <f>VLOOKUP(VLOOKUP(B1720,Product!A:D,4,FALSE),Category!A:B,2,FALSE)</f>
        <v>Confections</v>
      </c>
      <c r="L1720" s="24">
        <f>IFERROR(VLOOKUP(A1720,'Sales Order'!A:D,4,FALSE),"")</f>
        <v>39504</v>
      </c>
      <c r="M1720" s="24">
        <f>IFERROR(VLOOKUP(A1720,'Sales Order'!A:F,6,FALSE),"")</f>
        <v>39517</v>
      </c>
      <c r="N1720" t="str">
        <f>IFERROR(VLOOKUP(VLOOKUP(A1720,'Sales Order'!A:G,7,FALSE),Shipper!A:B,2,FALSE),"Not Specified")</f>
        <v>Shipper ETYNR</v>
      </c>
      <c r="O1720" t="str">
        <f>IFERROR(VLOOKUP(A1720,'Sales Order'!A:I,9,FALSE),"Not Specified")</f>
        <v>Ship to 70-C</v>
      </c>
      <c r="P1720" t="str">
        <f>IFERROR(VLOOKUP(A1720,'Sales Order'!A:N,14,FALSE),"Not Specified")</f>
        <v>Norway</v>
      </c>
      <c r="Q1720" t="str">
        <f>VLOOKUP(VLOOKUP(B1720,Product!A:C,3,FALSE),Supplier!A:B,2,FALSE)</f>
        <v>Supplier GQRCV</v>
      </c>
      <c r="R1720" t="str">
        <f>VLOOKUP(VLOOKUP(B1720,Product!A:C,3,FALSE),Supplier!A:I,9,FALSE)</f>
        <v>Australia</v>
      </c>
      <c r="S1720" t="str">
        <f>IFERROR(IF(VLOOKUP(A1720,'Sales Order'!A:H,8,FALSE)&gt;100,"High Freight","Low Freight"),"Not Specified")</f>
        <v>Low Freight</v>
      </c>
      <c r="T1720">
        <f t="shared" si="53"/>
        <v>261.75</v>
      </c>
    </row>
    <row r="1721" spans="1:20">
      <c r="A1721" s="9">
        <v>10909</v>
      </c>
      <c r="B1721" s="6">
        <v>41</v>
      </c>
      <c r="C1721" s="6">
        <v>9.65</v>
      </c>
      <c r="D1721" s="6">
        <v>5</v>
      </c>
      <c r="E1721" s="18">
        <v>0</v>
      </c>
      <c r="F1721" s="6" t="str">
        <f>IFERROR(VLOOKUP(VLOOKUP(A1721,'Sales Order'!A:B,2,FALSE),Customer!A:C,3,FALSE),"Not Specified")</f>
        <v>Ginters, Kaspars</v>
      </c>
      <c r="G1721" s="6" t="str">
        <f t="shared" si="52"/>
        <v>Ginters Kaspars</v>
      </c>
      <c r="H1721" s="22" t="str">
        <f>IFERROR(VLOOKUP(VLOOKUP(A1721,'Sales Order'!A:C,3,FALSE),Employee!A:E,5,FALSE)&amp;" "&amp;VLOOKUP(VLOOKUP(A1721,'Sales Order'!A:C,3,FALSE),Employee!A:C,3,FALSE)&amp;" "&amp;VLOOKUP(VLOOKUP(A1721,'Sales Order'!A:C,3,FALSE),Employee!A:B,2,FALSE),"Not Specified")</f>
        <v>Ms. Sara Davis</v>
      </c>
      <c r="I1721" t="str">
        <f>IFERROR(VLOOKUP(VLOOKUP(A1721,'Sales Order'!A:C,3,FALSE),Employee!A:J,10,FALSE),"Not Specified")</f>
        <v>WA</v>
      </c>
      <c r="J1721" t="str">
        <f>VLOOKUP(B1721,Product!A:B,2,FALSE)</f>
        <v>Product TTEEX</v>
      </c>
      <c r="K1721" t="str">
        <f>VLOOKUP(VLOOKUP(B1721,Product!A:D,4,FALSE),Category!A:B,2,FALSE)</f>
        <v>Seafood</v>
      </c>
      <c r="L1721" s="24">
        <f>IFERROR(VLOOKUP(A1721,'Sales Order'!A:D,4,FALSE),"")</f>
        <v>39504</v>
      </c>
      <c r="M1721" s="24">
        <f>IFERROR(VLOOKUP(A1721,'Sales Order'!A:F,6,FALSE),"")</f>
        <v>39517</v>
      </c>
      <c r="N1721" t="str">
        <f>IFERROR(VLOOKUP(VLOOKUP(A1721,'Sales Order'!A:G,7,FALSE),Shipper!A:B,2,FALSE),"Not Specified")</f>
        <v>Shipper ETYNR</v>
      </c>
      <c r="O1721" t="str">
        <f>IFERROR(VLOOKUP(A1721,'Sales Order'!A:I,9,FALSE),"Not Specified")</f>
        <v>Ship to 70-C</v>
      </c>
      <c r="P1721" t="str">
        <f>IFERROR(VLOOKUP(A1721,'Sales Order'!A:N,14,FALSE),"Not Specified")</f>
        <v>Norway</v>
      </c>
      <c r="Q1721" t="str">
        <f>VLOOKUP(VLOOKUP(B1721,Product!A:C,3,FALSE),Supplier!A:B,2,FALSE)</f>
        <v>Supplier JDNUG</v>
      </c>
      <c r="R1721" t="str">
        <f>VLOOKUP(VLOOKUP(B1721,Product!A:C,3,FALSE),Supplier!A:I,9,FALSE)</f>
        <v>USA</v>
      </c>
      <c r="S1721" t="str">
        <f>IFERROR(IF(VLOOKUP(A1721,'Sales Order'!A:H,8,FALSE)&gt;100,"High Freight","Low Freight"),"Not Specified")</f>
        <v>Low Freight</v>
      </c>
      <c r="T1721">
        <f t="shared" si="53"/>
        <v>48.25</v>
      </c>
    </row>
    <row r="1722" spans="1:20">
      <c r="A1722" s="9">
        <v>10910</v>
      </c>
      <c r="B1722" s="6">
        <v>19</v>
      </c>
      <c r="C1722" s="6">
        <v>9.1999999999999993</v>
      </c>
      <c r="D1722" s="6">
        <v>12</v>
      </c>
      <c r="E1722" s="18">
        <v>0</v>
      </c>
      <c r="F1722" s="6" t="str">
        <f>IFERROR(VLOOKUP(VLOOKUP(A1722,'Sales Order'!A:B,2,FALSE),Customer!A:C,3,FALSE),"Not Specified")</f>
        <v>Larsson, Katarina</v>
      </c>
      <c r="G1722" s="6" t="str">
        <f t="shared" si="52"/>
        <v>Larsson Katarina</v>
      </c>
      <c r="H1722" s="22" t="str">
        <f>IFERROR(VLOOKUP(VLOOKUP(A1722,'Sales Order'!A:C,3,FALSE),Employee!A:E,5,FALSE)&amp;" "&amp;VLOOKUP(VLOOKUP(A1722,'Sales Order'!A:C,3,FALSE),Employee!A:C,3,FALSE)&amp;" "&amp;VLOOKUP(VLOOKUP(A1722,'Sales Order'!A:C,3,FALSE),Employee!A:B,2,FALSE),"Not Specified")</f>
        <v>Ms. Sara Davis</v>
      </c>
      <c r="I1722" t="str">
        <f>IFERROR(VLOOKUP(VLOOKUP(A1722,'Sales Order'!A:C,3,FALSE),Employee!A:J,10,FALSE),"Not Specified")</f>
        <v>WA</v>
      </c>
      <c r="J1722" t="str">
        <f>VLOOKUP(B1722,Product!A:B,2,FALSE)</f>
        <v>Product XKXDO</v>
      </c>
      <c r="K1722" t="str">
        <f>VLOOKUP(VLOOKUP(B1722,Product!A:D,4,FALSE),Category!A:B,2,FALSE)</f>
        <v>Confections</v>
      </c>
      <c r="L1722" s="24">
        <f>IFERROR(VLOOKUP(A1722,'Sales Order'!A:D,4,FALSE),"")</f>
        <v>39504</v>
      </c>
      <c r="M1722" s="24">
        <f>IFERROR(VLOOKUP(A1722,'Sales Order'!A:F,6,FALSE),"")</f>
        <v>39511</v>
      </c>
      <c r="N1722" t="str">
        <f>IFERROR(VLOOKUP(VLOOKUP(A1722,'Sales Order'!A:G,7,FALSE),Shipper!A:B,2,FALSE),"Not Specified")</f>
        <v>Shipper ZHISN</v>
      </c>
      <c r="O1722" t="str">
        <f>IFERROR(VLOOKUP(A1722,'Sales Order'!A:I,9,FALSE),"Not Specified")</f>
        <v>Ship to 90-A</v>
      </c>
      <c r="P1722" t="str">
        <f>IFERROR(VLOOKUP(A1722,'Sales Order'!A:N,14,FALSE),"Not Specified")</f>
        <v>Finland</v>
      </c>
      <c r="Q1722" t="str">
        <f>VLOOKUP(VLOOKUP(B1722,Product!A:C,3,FALSE),Supplier!A:B,2,FALSE)</f>
        <v>Supplier BWGYE</v>
      </c>
      <c r="R1722" t="str">
        <f>VLOOKUP(VLOOKUP(B1722,Product!A:C,3,FALSE),Supplier!A:I,9,FALSE)</f>
        <v>UK</v>
      </c>
      <c r="S1722" t="str">
        <f>IFERROR(IF(VLOOKUP(A1722,'Sales Order'!A:H,8,FALSE)&gt;100,"High Freight","Low Freight"),"Not Specified")</f>
        <v>Low Freight</v>
      </c>
      <c r="T1722">
        <f t="shared" si="53"/>
        <v>110.39999999999999</v>
      </c>
    </row>
    <row r="1723" spans="1:20">
      <c r="A1723" s="9">
        <v>10910</v>
      </c>
      <c r="B1723" s="6">
        <v>49</v>
      </c>
      <c r="C1723" s="6">
        <v>20</v>
      </c>
      <c r="D1723" s="6">
        <v>10</v>
      </c>
      <c r="E1723" s="18">
        <v>0</v>
      </c>
      <c r="F1723" s="6" t="str">
        <f>IFERROR(VLOOKUP(VLOOKUP(A1723,'Sales Order'!A:B,2,FALSE),Customer!A:C,3,FALSE),"Not Specified")</f>
        <v>Larsson, Katarina</v>
      </c>
      <c r="G1723" s="6" t="str">
        <f t="shared" si="52"/>
        <v>Larsson Katarina</v>
      </c>
      <c r="H1723" s="22" t="str">
        <f>IFERROR(VLOOKUP(VLOOKUP(A1723,'Sales Order'!A:C,3,FALSE),Employee!A:E,5,FALSE)&amp;" "&amp;VLOOKUP(VLOOKUP(A1723,'Sales Order'!A:C,3,FALSE),Employee!A:C,3,FALSE)&amp;" "&amp;VLOOKUP(VLOOKUP(A1723,'Sales Order'!A:C,3,FALSE),Employee!A:B,2,FALSE),"Not Specified")</f>
        <v>Ms. Sara Davis</v>
      </c>
      <c r="I1723" t="str">
        <f>IFERROR(VLOOKUP(VLOOKUP(A1723,'Sales Order'!A:C,3,FALSE),Employee!A:J,10,FALSE),"Not Specified")</f>
        <v>WA</v>
      </c>
      <c r="J1723" t="str">
        <f>VLOOKUP(B1723,Product!A:B,2,FALSE)</f>
        <v>Product FPYPN</v>
      </c>
      <c r="K1723" t="str">
        <f>VLOOKUP(VLOOKUP(B1723,Product!A:D,4,FALSE),Category!A:B,2,FALSE)</f>
        <v>Confections</v>
      </c>
      <c r="L1723" s="24">
        <f>IFERROR(VLOOKUP(A1723,'Sales Order'!A:D,4,FALSE),"")</f>
        <v>39504</v>
      </c>
      <c r="M1723" s="24">
        <f>IFERROR(VLOOKUP(A1723,'Sales Order'!A:F,6,FALSE),"")</f>
        <v>39511</v>
      </c>
      <c r="N1723" t="str">
        <f>IFERROR(VLOOKUP(VLOOKUP(A1723,'Sales Order'!A:G,7,FALSE),Shipper!A:B,2,FALSE),"Not Specified")</f>
        <v>Shipper ZHISN</v>
      </c>
      <c r="O1723" t="str">
        <f>IFERROR(VLOOKUP(A1723,'Sales Order'!A:I,9,FALSE),"Not Specified")</f>
        <v>Ship to 90-A</v>
      </c>
      <c r="P1723" t="str">
        <f>IFERROR(VLOOKUP(A1723,'Sales Order'!A:N,14,FALSE),"Not Specified")</f>
        <v>Finland</v>
      </c>
      <c r="Q1723" t="str">
        <f>VLOOKUP(VLOOKUP(B1723,Product!A:C,3,FALSE),Supplier!A:B,2,FALSE)</f>
        <v>Supplier ELCRN</v>
      </c>
      <c r="R1723" t="str">
        <f>VLOOKUP(VLOOKUP(B1723,Product!A:C,3,FALSE),Supplier!A:I,9,FALSE)</f>
        <v>Finland</v>
      </c>
      <c r="S1723" t="str">
        <f>IFERROR(IF(VLOOKUP(A1723,'Sales Order'!A:H,8,FALSE)&gt;100,"High Freight","Low Freight"),"Not Specified")</f>
        <v>Low Freight</v>
      </c>
      <c r="T1723">
        <f t="shared" si="53"/>
        <v>200</v>
      </c>
    </row>
    <row r="1724" spans="1:20">
      <c r="A1724" s="9">
        <v>10910</v>
      </c>
      <c r="B1724" s="6">
        <v>61</v>
      </c>
      <c r="C1724" s="6">
        <v>28.5</v>
      </c>
      <c r="D1724" s="6">
        <v>5</v>
      </c>
      <c r="E1724" s="18">
        <v>0</v>
      </c>
      <c r="F1724" s="6" t="str">
        <f>IFERROR(VLOOKUP(VLOOKUP(A1724,'Sales Order'!A:B,2,FALSE),Customer!A:C,3,FALSE),"Not Specified")</f>
        <v>Larsson, Katarina</v>
      </c>
      <c r="G1724" s="6" t="str">
        <f t="shared" si="52"/>
        <v>Larsson Katarina</v>
      </c>
      <c r="H1724" s="22" t="str">
        <f>IFERROR(VLOOKUP(VLOOKUP(A1724,'Sales Order'!A:C,3,FALSE),Employee!A:E,5,FALSE)&amp;" "&amp;VLOOKUP(VLOOKUP(A1724,'Sales Order'!A:C,3,FALSE),Employee!A:C,3,FALSE)&amp;" "&amp;VLOOKUP(VLOOKUP(A1724,'Sales Order'!A:C,3,FALSE),Employee!A:B,2,FALSE),"Not Specified")</f>
        <v>Ms. Sara Davis</v>
      </c>
      <c r="I1724" t="str">
        <f>IFERROR(VLOOKUP(VLOOKUP(A1724,'Sales Order'!A:C,3,FALSE),Employee!A:J,10,FALSE),"Not Specified")</f>
        <v>WA</v>
      </c>
      <c r="J1724" t="str">
        <f>VLOOKUP(B1724,Product!A:B,2,FALSE)</f>
        <v>Product XYZPE</v>
      </c>
      <c r="K1724" t="str">
        <f>VLOOKUP(VLOOKUP(B1724,Product!A:D,4,FALSE),Category!A:B,2,FALSE)</f>
        <v>Condiments</v>
      </c>
      <c r="L1724" s="24">
        <f>IFERROR(VLOOKUP(A1724,'Sales Order'!A:D,4,FALSE),"")</f>
        <v>39504</v>
      </c>
      <c r="M1724" s="24">
        <f>IFERROR(VLOOKUP(A1724,'Sales Order'!A:F,6,FALSE),"")</f>
        <v>39511</v>
      </c>
      <c r="N1724" t="str">
        <f>IFERROR(VLOOKUP(VLOOKUP(A1724,'Sales Order'!A:G,7,FALSE),Shipper!A:B,2,FALSE),"Not Specified")</f>
        <v>Shipper ZHISN</v>
      </c>
      <c r="O1724" t="str">
        <f>IFERROR(VLOOKUP(A1724,'Sales Order'!A:I,9,FALSE),"Not Specified")</f>
        <v>Ship to 90-A</v>
      </c>
      <c r="P1724" t="str">
        <f>IFERROR(VLOOKUP(A1724,'Sales Order'!A:N,14,FALSE),"Not Specified")</f>
        <v>Finland</v>
      </c>
      <c r="Q1724" t="str">
        <f>VLOOKUP(VLOOKUP(B1724,Product!A:C,3,FALSE),Supplier!A:B,2,FALSE)</f>
        <v>Supplier OGLRK</v>
      </c>
      <c r="R1724" t="str">
        <f>VLOOKUP(VLOOKUP(B1724,Product!A:C,3,FALSE),Supplier!A:I,9,FALSE)</f>
        <v>Canada</v>
      </c>
      <c r="S1724" t="str">
        <f>IFERROR(IF(VLOOKUP(A1724,'Sales Order'!A:H,8,FALSE)&gt;100,"High Freight","Low Freight"),"Not Specified")</f>
        <v>Low Freight</v>
      </c>
      <c r="T1724">
        <f t="shared" si="53"/>
        <v>142.5</v>
      </c>
    </row>
    <row r="1725" spans="1:20">
      <c r="A1725" s="9">
        <v>10911</v>
      </c>
      <c r="B1725" s="6">
        <v>1</v>
      </c>
      <c r="C1725" s="6">
        <v>18</v>
      </c>
      <c r="D1725" s="6">
        <v>10</v>
      </c>
      <c r="E1725" s="18">
        <v>0</v>
      </c>
      <c r="F1725" s="6" t="str">
        <f>IFERROR(VLOOKUP(VLOOKUP(A1725,'Sales Order'!A:B,2,FALSE),Customer!A:C,3,FALSE),"Not Specified")</f>
        <v>Shabalin, Rostislav</v>
      </c>
      <c r="G1725" s="6" t="str">
        <f t="shared" si="52"/>
        <v>Shabalin Rostislav</v>
      </c>
      <c r="H1725" s="22" t="str">
        <f>IFERROR(VLOOKUP(VLOOKUP(A1725,'Sales Order'!A:C,3,FALSE),Employee!A:E,5,FALSE)&amp;" "&amp;VLOOKUP(VLOOKUP(A1725,'Sales Order'!A:C,3,FALSE),Employee!A:C,3,FALSE)&amp;" "&amp;VLOOKUP(VLOOKUP(A1725,'Sales Order'!A:C,3,FALSE),Employee!A:B,2,FALSE),"Not Specified")</f>
        <v>Ms. Judy Lew</v>
      </c>
      <c r="I1725" t="str">
        <f>IFERROR(VLOOKUP(VLOOKUP(A1725,'Sales Order'!A:C,3,FALSE),Employee!A:J,10,FALSE),"Not Specified")</f>
        <v>WA</v>
      </c>
      <c r="J1725" t="str">
        <f>VLOOKUP(B1725,Product!A:B,2,FALSE)</f>
        <v>Product HHYDP</v>
      </c>
      <c r="K1725" t="str">
        <f>VLOOKUP(VLOOKUP(B1725,Product!A:D,4,FALSE),Category!A:B,2,FALSE)</f>
        <v>Beverages</v>
      </c>
      <c r="L1725" s="24">
        <f>IFERROR(VLOOKUP(A1725,'Sales Order'!A:D,4,FALSE),"")</f>
        <v>39504</v>
      </c>
      <c r="M1725" s="24">
        <f>IFERROR(VLOOKUP(A1725,'Sales Order'!A:F,6,FALSE),"")</f>
        <v>39512</v>
      </c>
      <c r="N1725" t="str">
        <f>IFERROR(VLOOKUP(VLOOKUP(A1725,'Sales Order'!A:G,7,FALSE),Shipper!A:B,2,FALSE),"Not Specified")</f>
        <v>Shipper GVSUA</v>
      </c>
      <c r="O1725" t="str">
        <f>IFERROR(VLOOKUP(A1725,'Sales Order'!A:I,9,FALSE),"Not Specified")</f>
        <v>Destination IIYDD</v>
      </c>
      <c r="P1725" t="str">
        <f>IFERROR(VLOOKUP(A1725,'Sales Order'!A:N,14,FALSE),"Not Specified")</f>
        <v>Spain</v>
      </c>
      <c r="Q1725" t="str">
        <f>VLOOKUP(VLOOKUP(B1725,Product!A:C,3,FALSE),Supplier!A:B,2,FALSE)</f>
        <v>Supplier SWRXU</v>
      </c>
      <c r="R1725" t="str">
        <f>VLOOKUP(VLOOKUP(B1725,Product!A:C,3,FALSE),Supplier!A:I,9,FALSE)</f>
        <v>UK</v>
      </c>
      <c r="S1725" t="str">
        <f>IFERROR(IF(VLOOKUP(A1725,'Sales Order'!A:H,8,FALSE)&gt;100,"High Freight","Low Freight"),"Not Specified")</f>
        <v>Low Freight</v>
      </c>
      <c r="T1725">
        <f t="shared" si="53"/>
        <v>180</v>
      </c>
    </row>
    <row r="1726" spans="1:20">
      <c r="A1726" s="9">
        <v>10911</v>
      </c>
      <c r="B1726" s="6">
        <v>17</v>
      </c>
      <c r="C1726" s="6">
        <v>39</v>
      </c>
      <c r="D1726" s="6">
        <v>12</v>
      </c>
      <c r="E1726" s="18">
        <v>0</v>
      </c>
      <c r="F1726" s="6" t="str">
        <f>IFERROR(VLOOKUP(VLOOKUP(A1726,'Sales Order'!A:B,2,FALSE),Customer!A:C,3,FALSE),"Not Specified")</f>
        <v>Shabalin, Rostislav</v>
      </c>
      <c r="G1726" s="6" t="str">
        <f t="shared" si="52"/>
        <v>Shabalin Rostislav</v>
      </c>
      <c r="H1726" s="22" t="str">
        <f>IFERROR(VLOOKUP(VLOOKUP(A1726,'Sales Order'!A:C,3,FALSE),Employee!A:E,5,FALSE)&amp;" "&amp;VLOOKUP(VLOOKUP(A1726,'Sales Order'!A:C,3,FALSE),Employee!A:C,3,FALSE)&amp;" "&amp;VLOOKUP(VLOOKUP(A1726,'Sales Order'!A:C,3,FALSE),Employee!A:B,2,FALSE),"Not Specified")</f>
        <v>Ms. Judy Lew</v>
      </c>
      <c r="I1726" t="str">
        <f>IFERROR(VLOOKUP(VLOOKUP(A1726,'Sales Order'!A:C,3,FALSE),Employee!A:J,10,FALSE),"Not Specified")</f>
        <v>WA</v>
      </c>
      <c r="J1726" t="str">
        <f>VLOOKUP(B1726,Product!A:B,2,FALSE)</f>
        <v>Product BLCAX</v>
      </c>
      <c r="K1726" t="str">
        <f>VLOOKUP(VLOOKUP(B1726,Product!A:D,4,FALSE),Category!A:B,2,FALSE)</f>
        <v>Meat/Poultry</v>
      </c>
      <c r="L1726" s="24">
        <f>IFERROR(VLOOKUP(A1726,'Sales Order'!A:D,4,FALSE),"")</f>
        <v>39504</v>
      </c>
      <c r="M1726" s="24">
        <f>IFERROR(VLOOKUP(A1726,'Sales Order'!A:F,6,FALSE),"")</f>
        <v>39512</v>
      </c>
      <c r="N1726" t="str">
        <f>IFERROR(VLOOKUP(VLOOKUP(A1726,'Sales Order'!A:G,7,FALSE),Shipper!A:B,2,FALSE),"Not Specified")</f>
        <v>Shipper GVSUA</v>
      </c>
      <c r="O1726" t="str">
        <f>IFERROR(VLOOKUP(A1726,'Sales Order'!A:I,9,FALSE),"Not Specified")</f>
        <v>Destination IIYDD</v>
      </c>
      <c r="P1726" t="str">
        <f>IFERROR(VLOOKUP(A1726,'Sales Order'!A:N,14,FALSE),"Not Specified")</f>
        <v>Spain</v>
      </c>
      <c r="Q1726" t="str">
        <f>VLOOKUP(VLOOKUP(B1726,Product!A:C,3,FALSE),Supplier!A:B,2,FALSE)</f>
        <v>Supplier GQRCV</v>
      </c>
      <c r="R1726" t="str">
        <f>VLOOKUP(VLOOKUP(B1726,Product!A:C,3,FALSE),Supplier!A:I,9,FALSE)</f>
        <v>Australia</v>
      </c>
      <c r="S1726" t="str">
        <f>IFERROR(IF(VLOOKUP(A1726,'Sales Order'!A:H,8,FALSE)&gt;100,"High Freight","Low Freight"),"Not Specified")</f>
        <v>Low Freight</v>
      </c>
      <c r="T1726">
        <f t="shared" si="53"/>
        <v>468</v>
      </c>
    </row>
    <row r="1727" spans="1:20">
      <c r="A1727" s="9">
        <v>10911</v>
      </c>
      <c r="B1727" s="6">
        <v>67</v>
      </c>
      <c r="C1727" s="6">
        <v>14</v>
      </c>
      <c r="D1727" s="6">
        <v>15</v>
      </c>
      <c r="E1727" s="18">
        <v>0</v>
      </c>
      <c r="F1727" s="6" t="str">
        <f>IFERROR(VLOOKUP(VLOOKUP(A1727,'Sales Order'!A:B,2,FALSE),Customer!A:C,3,FALSE),"Not Specified")</f>
        <v>Shabalin, Rostislav</v>
      </c>
      <c r="G1727" s="6" t="str">
        <f t="shared" si="52"/>
        <v>Shabalin Rostislav</v>
      </c>
      <c r="H1727" s="22" t="str">
        <f>IFERROR(VLOOKUP(VLOOKUP(A1727,'Sales Order'!A:C,3,FALSE),Employee!A:E,5,FALSE)&amp;" "&amp;VLOOKUP(VLOOKUP(A1727,'Sales Order'!A:C,3,FALSE),Employee!A:C,3,FALSE)&amp;" "&amp;VLOOKUP(VLOOKUP(A1727,'Sales Order'!A:C,3,FALSE),Employee!A:B,2,FALSE),"Not Specified")</f>
        <v>Ms. Judy Lew</v>
      </c>
      <c r="I1727" t="str">
        <f>IFERROR(VLOOKUP(VLOOKUP(A1727,'Sales Order'!A:C,3,FALSE),Employee!A:J,10,FALSE),"Not Specified")</f>
        <v>WA</v>
      </c>
      <c r="J1727" t="str">
        <f>VLOOKUP(B1727,Product!A:B,2,FALSE)</f>
        <v>Product XLXQF</v>
      </c>
      <c r="K1727" t="str">
        <f>VLOOKUP(VLOOKUP(B1727,Product!A:D,4,FALSE),Category!A:B,2,FALSE)</f>
        <v>Beverages</v>
      </c>
      <c r="L1727" s="24">
        <f>IFERROR(VLOOKUP(A1727,'Sales Order'!A:D,4,FALSE),"")</f>
        <v>39504</v>
      </c>
      <c r="M1727" s="24">
        <f>IFERROR(VLOOKUP(A1727,'Sales Order'!A:F,6,FALSE),"")</f>
        <v>39512</v>
      </c>
      <c r="N1727" t="str">
        <f>IFERROR(VLOOKUP(VLOOKUP(A1727,'Sales Order'!A:G,7,FALSE),Shipper!A:B,2,FALSE),"Not Specified")</f>
        <v>Shipper GVSUA</v>
      </c>
      <c r="O1727" t="str">
        <f>IFERROR(VLOOKUP(A1727,'Sales Order'!A:I,9,FALSE),"Not Specified")</f>
        <v>Destination IIYDD</v>
      </c>
      <c r="P1727" t="str">
        <f>IFERROR(VLOOKUP(A1727,'Sales Order'!A:N,14,FALSE),"Not Specified")</f>
        <v>Spain</v>
      </c>
      <c r="Q1727" t="str">
        <f>VLOOKUP(VLOOKUP(B1727,Product!A:C,3,FALSE),Supplier!A:B,2,FALSE)</f>
        <v>Supplier UHZRG</v>
      </c>
      <c r="R1727" t="str">
        <f>VLOOKUP(VLOOKUP(B1727,Product!A:C,3,FALSE),Supplier!A:I,9,FALSE)</f>
        <v>USA</v>
      </c>
      <c r="S1727" t="str">
        <f>IFERROR(IF(VLOOKUP(A1727,'Sales Order'!A:H,8,FALSE)&gt;100,"High Freight","Low Freight"),"Not Specified")</f>
        <v>Low Freight</v>
      </c>
      <c r="T1727">
        <f t="shared" si="53"/>
        <v>210</v>
      </c>
    </row>
    <row r="1728" spans="1:20">
      <c r="A1728" s="9">
        <v>10912</v>
      </c>
      <c r="B1728" s="6">
        <v>11</v>
      </c>
      <c r="C1728" s="6">
        <v>21</v>
      </c>
      <c r="D1728" s="6">
        <v>40</v>
      </c>
      <c r="E1728" s="18">
        <v>0.25</v>
      </c>
      <c r="F1728" s="6" t="str">
        <f>IFERROR(VLOOKUP(VLOOKUP(A1728,'Sales Order'!A:B,2,FALSE),Customer!A:C,3,FALSE),"Not Specified")</f>
        <v>Crăciun, Ovidiu V.</v>
      </c>
      <c r="G1728" s="6" t="str">
        <f t="shared" si="52"/>
        <v>Crăciun Ovidiu V.</v>
      </c>
      <c r="H1728" s="22" t="str">
        <f>IFERROR(VLOOKUP(VLOOKUP(A1728,'Sales Order'!A:C,3,FALSE),Employee!A:E,5,FALSE)&amp;" "&amp;VLOOKUP(VLOOKUP(A1728,'Sales Order'!A:C,3,FALSE),Employee!A:C,3,FALSE)&amp;" "&amp;VLOOKUP(VLOOKUP(A1728,'Sales Order'!A:C,3,FALSE),Employee!A:B,2,FALSE),"Not Specified")</f>
        <v>Dr. Don Funk</v>
      </c>
      <c r="I1728" t="str">
        <f>IFERROR(VLOOKUP(VLOOKUP(A1728,'Sales Order'!A:C,3,FALSE),Employee!A:J,10,FALSE),"Not Specified")</f>
        <v>WA</v>
      </c>
      <c r="J1728" t="str">
        <f>VLOOKUP(B1728,Product!A:B,2,FALSE)</f>
        <v>Product QMVUN</v>
      </c>
      <c r="K1728" t="str">
        <f>VLOOKUP(VLOOKUP(B1728,Product!A:D,4,FALSE),Category!A:B,2,FALSE)</f>
        <v>Dairy Product</v>
      </c>
      <c r="L1728" s="24">
        <f>IFERROR(VLOOKUP(A1728,'Sales Order'!A:D,4,FALSE),"")</f>
        <v>39504</v>
      </c>
      <c r="M1728" s="24">
        <f>IFERROR(VLOOKUP(A1728,'Sales Order'!A:F,6,FALSE),"")</f>
        <v>39525</v>
      </c>
      <c r="N1728" t="str">
        <f>IFERROR(VLOOKUP(VLOOKUP(A1728,'Sales Order'!A:G,7,FALSE),Shipper!A:B,2,FALSE),"Not Specified")</f>
        <v>Shipper ETYNR</v>
      </c>
      <c r="O1728" t="str">
        <f>IFERROR(VLOOKUP(A1728,'Sales Order'!A:I,9,FALSE),"Not Specified")</f>
        <v>Destination DGKOU</v>
      </c>
      <c r="P1728" t="str">
        <f>IFERROR(VLOOKUP(A1728,'Sales Order'!A:N,14,FALSE),"Not Specified")</f>
        <v>Ireland</v>
      </c>
      <c r="Q1728" t="str">
        <f>VLOOKUP(VLOOKUP(B1728,Product!A:C,3,FALSE),Supplier!A:B,2,FALSE)</f>
        <v>Supplier EQPNC</v>
      </c>
      <c r="R1728" t="str">
        <f>VLOOKUP(VLOOKUP(B1728,Product!A:C,3,FALSE),Supplier!A:I,9,FALSE)</f>
        <v>Spain</v>
      </c>
      <c r="S1728" t="str">
        <f>IFERROR(IF(VLOOKUP(A1728,'Sales Order'!A:H,8,FALSE)&gt;100,"High Freight","Low Freight"),"Not Specified")</f>
        <v>High Freight</v>
      </c>
      <c r="T1728">
        <f t="shared" si="53"/>
        <v>630</v>
      </c>
    </row>
    <row r="1729" spans="1:20">
      <c r="A1729" s="9">
        <v>10912</v>
      </c>
      <c r="B1729" s="6">
        <v>29</v>
      </c>
      <c r="C1729" s="6">
        <v>123.79</v>
      </c>
      <c r="D1729" s="6">
        <v>60</v>
      </c>
      <c r="E1729" s="18">
        <v>0.25</v>
      </c>
      <c r="F1729" s="6" t="str">
        <f>IFERROR(VLOOKUP(VLOOKUP(A1729,'Sales Order'!A:B,2,FALSE),Customer!A:C,3,FALSE),"Not Specified")</f>
        <v>Crăciun, Ovidiu V.</v>
      </c>
      <c r="G1729" s="6" t="str">
        <f t="shared" si="52"/>
        <v>Crăciun Ovidiu V.</v>
      </c>
      <c r="H1729" s="22" t="str">
        <f>IFERROR(VLOOKUP(VLOOKUP(A1729,'Sales Order'!A:C,3,FALSE),Employee!A:E,5,FALSE)&amp;" "&amp;VLOOKUP(VLOOKUP(A1729,'Sales Order'!A:C,3,FALSE),Employee!A:C,3,FALSE)&amp;" "&amp;VLOOKUP(VLOOKUP(A1729,'Sales Order'!A:C,3,FALSE),Employee!A:B,2,FALSE),"Not Specified")</f>
        <v>Dr. Don Funk</v>
      </c>
      <c r="I1729" t="str">
        <f>IFERROR(VLOOKUP(VLOOKUP(A1729,'Sales Order'!A:C,3,FALSE),Employee!A:J,10,FALSE),"Not Specified")</f>
        <v>WA</v>
      </c>
      <c r="J1729" t="str">
        <f>VLOOKUP(B1729,Product!A:B,2,FALSE)</f>
        <v>Product VJXYN</v>
      </c>
      <c r="K1729" t="str">
        <f>VLOOKUP(VLOOKUP(B1729,Product!A:D,4,FALSE),Category!A:B,2,FALSE)</f>
        <v>Meat/Poultry</v>
      </c>
      <c r="L1729" s="24">
        <f>IFERROR(VLOOKUP(A1729,'Sales Order'!A:D,4,FALSE),"")</f>
        <v>39504</v>
      </c>
      <c r="M1729" s="24">
        <f>IFERROR(VLOOKUP(A1729,'Sales Order'!A:F,6,FALSE),"")</f>
        <v>39525</v>
      </c>
      <c r="N1729" t="str">
        <f>IFERROR(VLOOKUP(VLOOKUP(A1729,'Sales Order'!A:G,7,FALSE),Shipper!A:B,2,FALSE),"Not Specified")</f>
        <v>Shipper ETYNR</v>
      </c>
      <c r="O1729" t="str">
        <f>IFERROR(VLOOKUP(A1729,'Sales Order'!A:I,9,FALSE),"Not Specified")</f>
        <v>Destination DGKOU</v>
      </c>
      <c r="P1729" t="str">
        <f>IFERROR(VLOOKUP(A1729,'Sales Order'!A:N,14,FALSE),"Not Specified")</f>
        <v>Ireland</v>
      </c>
      <c r="Q1729" t="str">
        <f>VLOOKUP(VLOOKUP(B1729,Product!A:C,3,FALSE),Supplier!A:B,2,FALSE)</f>
        <v>Supplier SVIYA</v>
      </c>
      <c r="R1729" t="str">
        <f>VLOOKUP(VLOOKUP(B1729,Product!A:C,3,FALSE),Supplier!A:I,9,FALSE)</f>
        <v>Germany</v>
      </c>
      <c r="S1729" t="str">
        <f>IFERROR(IF(VLOOKUP(A1729,'Sales Order'!A:H,8,FALSE)&gt;100,"High Freight","Low Freight"),"Not Specified")</f>
        <v>High Freight</v>
      </c>
      <c r="T1729">
        <f t="shared" si="53"/>
        <v>5570.55</v>
      </c>
    </row>
    <row r="1730" spans="1:20">
      <c r="A1730" s="9">
        <v>10913</v>
      </c>
      <c r="B1730" s="6">
        <v>4</v>
      </c>
      <c r="C1730" s="6">
        <v>22</v>
      </c>
      <c r="D1730" s="6">
        <v>30</v>
      </c>
      <c r="E1730" s="18">
        <v>0.25</v>
      </c>
      <c r="F1730" s="6" t="str">
        <f>IFERROR(VLOOKUP(VLOOKUP(A1730,'Sales Order'!A:B,2,FALSE),Customer!A:C,3,FALSE),"Not Specified")</f>
        <v>Misiec, Anna</v>
      </c>
      <c r="G1730" s="6" t="str">
        <f t="shared" si="52"/>
        <v>Misiec Anna</v>
      </c>
      <c r="H1730" s="22" t="str">
        <f>IFERROR(VLOOKUP(VLOOKUP(A1730,'Sales Order'!A:C,3,FALSE),Employee!A:E,5,FALSE)&amp;" "&amp;VLOOKUP(VLOOKUP(A1730,'Sales Order'!A:C,3,FALSE),Employee!A:C,3,FALSE)&amp;" "&amp;VLOOKUP(VLOOKUP(A1730,'Sales Order'!A:C,3,FALSE),Employee!A:B,2,FALSE),"Not Specified")</f>
        <v>Mrs. Yael Peled</v>
      </c>
      <c r="I1730" t="str">
        <f>IFERROR(VLOOKUP(VLOOKUP(A1730,'Sales Order'!A:C,3,FALSE),Employee!A:J,10,FALSE),"Not Specified")</f>
        <v>WA</v>
      </c>
      <c r="J1730" t="str">
        <f>VLOOKUP(B1730,Product!A:B,2,FALSE)</f>
        <v>Product KSBRM</v>
      </c>
      <c r="K1730" t="str">
        <f>VLOOKUP(VLOOKUP(B1730,Product!A:D,4,FALSE),Category!A:B,2,FALSE)</f>
        <v>Condiments</v>
      </c>
      <c r="L1730" s="24">
        <f>IFERROR(VLOOKUP(A1730,'Sales Order'!A:D,4,FALSE),"")</f>
        <v>39504</v>
      </c>
      <c r="M1730" s="24">
        <f>IFERROR(VLOOKUP(A1730,'Sales Order'!A:F,6,FALSE),"")</f>
        <v>39511</v>
      </c>
      <c r="N1730" t="str">
        <f>IFERROR(VLOOKUP(VLOOKUP(A1730,'Sales Order'!A:G,7,FALSE),Shipper!A:B,2,FALSE),"Not Specified")</f>
        <v>Shipper GVSUA</v>
      </c>
      <c r="O1730" t="str">
        <f>IFERROR(VLOOKUP(A1730,'Sales Order'!A:I,9,FALSE),"Not Specified")</f>
        <v>Ship to 62-A</v>
      </c>
      <c r="P1730" t="str">
        <f>IFERROR(VLOOKUP(A1730,'Sales Order'!A:N,14,FALSE),"Not Specified")</f>
        <v>Brazil</v>
      </c>
      <c r="Q1730" t="str">
        <f>VLOOKUP(VLOOKUP(B1730,Product!A:C,3,FALSE),Supplier!A:B,2,FALSE)</f>
        <v>Supplier VHQZD</v>
      </c>
      <c r="R1730" t="str">
        <f>VLOOKUP(VLOOKUP(B1730,Product!A:C,3,FALSE),Supplier!A:I,9,FALSE)</f>
        <v>USA</v>
      </c>
      <c r="S1730" t="str">
        <f>IFERROR(IF(VLOOKUP(A1730,'Sales Order'!A:H,8,FALSE)&gt;100,"High Freight","Low Freight"),"Not Specified")</f>
        <v>Low Freight</v>
      </c>
      <c r="T1730">
        <f t="shared" si="53"/>
        <v>495</v>
      </c>
    </row>
    <row r="1731" spans="1:20">
      <c r="A1731" s="9">
        <v>10913</v>
      </c>
      <c r="B1731" s="6">
        <v>33</v>
      </c>
      <c r="C1731" s="6">
        <v>2.5</v>
      </c>
      <c r="D1731" s="6">
        <v>40</v>
      </c>
      <c r="E1731" s="18">
        <v>0.25</v>
      </c>
      <c r="F1731" s="6" t="str">
        <f>IFERROR(VLOOKUP(VLOOKUP(A1731,'Sales Order'!A:B,2,FALSE),Customer!A:C,3,FALSE),"Not Specified")</f>
        <v>Misiec, Anna</v>
      </c>
      <c r="G1731" s="6" t="str">
        <f t="shared" ref="G1731:G1794" si="54">SUBSTITUTE(F1731,",","",1)</f>
        <v>Misiec Anna</v>
      </c>
      <c r="H1731" s="22" t="str">
        <f>IFERROR(VLOOKUP(VLOOKUP(A1731,'Sales Order'!A:C,3,FALSE),Employee!A:E,5,FALSE)&amp;" "&amp;VLOOKUP(VLOOKUP(A1731,'Sales Order'!A:C,3,FALSE),Employee!A:C,3,FALSE)&amp;" "&amp;VLOOKUP(VLOOKUP(A1731,'Sales Order'!A:C,3,FALSE),Employee!A:B,2,FALSE),"Not Specified")</f>
        <v>Mrs. Yael Peled</v>
      </c>
      <c r="I1731" t="str">
        <f>IFERROR(VLOOKUP(VLOOKUP(A1731,'Sales Order'!A:C,3,FALSE),Employee!A:J,10,FALSE),"Not Specified")</f>
        <v>WA</v>
      </c>
      <c r="J1731" t="str">
        <f>VLOOKUP(B1731,Product!A:B,2,FALSE)</f>
        <v>Product ASTMN</v>
      </c>
      <c r="K1731" t="str">
        <f>VLOOKUP(VLOOKUP(B1731,Product!A:D,4,FALSE),Category!A:B,2,FALSE)</f>
        <v>Dairy Product</v>
      </c>
      <c r="L1731" s="24">
        <f>IFERROR(VLOOKUP(A1731,'Sales Order'!A:D,4,FALSE),"")</f>
        <v>39504</v>
      </c>
      <c r="M1731" s="24">
        <f>IFERROR(VLOOKUP(A1731,'Sales Order'!A:F,6,FALSE),"")</f>
        <v>39511</v>
      </c>
      <c r="N1731" t="str">
        <f>IFERROR(VLOOKUP(VLOOKUP(A1731,'Sales Order'!A:G,7,FALSE),Shipper!A:B,2,FALSE),"Not Specified")</f>
        <v>Shipper GVSUA</v>
      </c>
      <c r="O1731" t="str">
        <f>IFERROR(VLOOKUP(A1731,'Sales Order'!A:I,9,FALSE),"Not Specified")</f>
        <v>Ship to 62-A</v>
      </c>
      <c r="P1731" t="str">
        <f>IFERROR(VLOOKUP(A1731,'Sales Order'!A:N,14,FALSE),"Not Specified")</f>
        <v>Brazil</v>
      </c>
      <c r="Q1731" t="str">
        <f>VLOOKUP(VLOOKUP(B1731,Product!A:C,3,FALSE),Supplier!A:B,2,FALSE)</f>
        <v>Supplier NZLIF</v>
      </c>
      <c r="R1731" t="str">
        <f>VLOOKUP(VLOOKUP(B1731,Product!A:C,3,FALSE),Supplier!A:I,9,FALSE)</f>
        <v>Norway</v>
      </c>
      <c r="S1731" t="str">
        <f>IFERROR(IF(VLOOKUP(A1731,'Sales Order'!A:H,8,FALSE)&gt;100,"High Freight","Low Freight"),"Not Specified")</f>
        <v>Low Freight</v>
      </c>
      <c r="T1731">
        <f t="shared" ref="T1731:T1794" si="55">C1731*D1731*(1-E1731)</f>
        <v>75</v>
      </c>
    </row>
    <row r="1732" spans="1:20">
      <c r="A1732" s="9">
        <v>10913</v>
      </c>
      <c r="B1732" s="6">
        <v>58</v>
      </c>
      <c r="C1732" s="6">
        <v>13.25</v>
      </c>
      <c r="D1732" s="6">
        <v>15</v>
      </c>
      <c r="E1732" s="18">
        <v>0</v>
      </c>
      <c r="F1732" s="6" t="str">
        <f>IFERROR(VLOOKUP(VLOOKUP(A1732,'Sales Order'!A:B,2,FALSE),Customer!A:C,3,FALSE),"Not Specified")</f>
        <v>Misiec, Anna</v>
      </c>
      <c r="G1732" s="6" t="str">
        <f t="shared" si="54"/>
        <v>Misiec Anna</v>
      </c>
      <c r="H1732" s="22" t="str">
        <f>IFERROR(VLOOKUP(VLOOKUP(A1732,'Sales Order'!A:C,3,FALSE),Employee!A:E,5,FALSE)&amp;" "&amp;VLOOKUP(VLOOKUP(A1732,'Sales Order'!A:C,3,FALSE),Employee!A:C,3,FALSE)&amp;" "&amp;VLOOKUP(VLOOKUP(A1732,'Sales Order'!A:C,3,FALSE),Employee!A:B,2,FALSE),"Not Specified")</f>
        <v>Mrs. Yael Peled</v>
      </c>
      <c r="I1732" t="str">
        <f>IFERROR(VLOOKUP(VLOOKUP(A1732,'Sales Order'!A:C,3,FALSE),Employee!A:J,10,FALSE),"Not Specified")</f>
        <v>WA</v>
      </c>
      <c r="J1732" t="str">
        <f>VLOOKUP(B1732,Product!A:B,2,FALSE)</f>
        <v>Product ACRVI</v>
      </c>
      <c r="K1732" t="str">
        <f>VLOOKUP(VLOOKUP(B1732,Product!A:D,4,FALSE),Category!A:B,2,FALSE)</f>
        <v>Seafood</v>
      </c>
      <c r="L1732" s="24">
        <f>IFERROR(VLOOKUP(A1732,'Sales Order'!A:D,4,FALSE),"")</f>
        <v>39504</v>
      </c>
      <c r="M1732" s="24">
        <f>IFERROR(VLOOKUP(A1732,'Sales Order'!A:F,6,FALSE),"")</f>
        <v>39511</v>
      </c>
      <c r="N1732" t="str">
        <f>IFERROR(VLOOKUP(VLOOKUP(A1732,'Sales Order'!A:G,7,FALSE),Shipper!A:B,2,FALSE),"Not Specified")</f>
        <v>Shipper GVSUA</v>
      </c>
      <c r="O1732" t="str">
        <f>IFERROR(VLOOKUP(A1732,'Sales Order'!A:I,9,FALSE),"Not Specified")</f>
        <v>Ship to 62-A</v>
      </c>
      <c r="P1732" t="str">
        <f>IFERROR(VLOOKUP(A1732,'Sales Order'!A:N,14,FALSE),"Not Specified")</f>
        <v>Brazil</v>
      </c>
      <c r="Q1732" t="str">
        <f>VLOOKUP(VLOOKUP(B1732,Product!A:C,3,FALSE),Supplier!A:B,2,FALSE)</f>
        <v>Supplier ZRYDZ</v>
      </c>
      <c r="R1732" t="str">
        <f>VLOOKUP(VLOOKUP(B1732,Product!A:C,3,FALSE),Supplier!A:I,9,FALSE)</f>
        <v>France</v>
      </c>
      <c r="S1732" t="str">
        <f>IFERROR(IF(VLOOKUP(A1732,'Sales Order'!A:H,8,FALSE)&gt;100,"High Freight","Low Freight"),"Not Specified")</f>
        <v>Low Freight</v>
      </c>
      <c r="T1732">
        <f t="shared" si="55"/>
        <v>198.75</v>
      </c>
    </row>
    <row r="1733" spans="1:20">
      <c r="A1733" s="9">
        <v>10914</v>
      </c>
      <c r="B1733" s="6">
        <v>71</v>
      </c>
      <c r="C1733" s="6">
        <v>21.5</v>
      </c>
      <c r="D1733" s="6">
        <v>25</v>
      </c>
      <c r="E1733" s="18">
        <v>0</v>
      </c>
      <c r="F1733" s="6" t="str">
        <f>IFERROR(VLOOKUP(VLOOKUP(A1733,'Sales Order'!A:B,2,FALSE),Customer!A:C,3,FALSE),"Not Specified")</f>
        <v>Misiec, Anna</v>
      </c>
      <c r="G1733" s="6" t="str">
        <f t="shared" si="54"/>
        <v>Misiec Anna</v>
      </c>
      <c r="H1733" s="22" t="str">
        <f>IFERROR(VLOOKUP(VLOOKUP(A1733,'Sales Order'!A:C,3,FALSE),Employee!A:E,5,FALSE)&amp;" "&amp;VLOOKUP(VLOOKUP(A1733,'Sales Order'!A:C,3,FALSE),Employee!A:C,3,FALSE)&amp;" "&amp;VLOOKUP(VLOOKUP(A1733,'Sales Order'!A:C,3,FALSE),Employee!A:B,2,FALSE),"Not Specified")</f>
        <v>Mr. Paul Suurs</v>
      </c>
      <c r="I1733">
        <f>IFERROR(VLOOKUP(VLOOKUP(A1733,'Sales Order'!A:C,3,FALSE),Employee!A:J,10,FALSE),"Not Specified")</f>
        <v>0</v>
      </c>
      <c r="J1733" t="str">
        <f>VLOOKUP(B1733,Product!A:B,2,FALSE)</f>
        <v>Product MYMOI</v>
      </c>
      <c r="K1733" t="str">
        <f>VLOOKUP(VLOOKUP(B1733,Product!A:D,4,FALSE),Category!A:B,2,FALSE)</f>
        <v>Dairy Product</v>
      </c>
      <c r="L1733" s="24">
        <f>IFERROR(VLOOKUP(A1733,'Sales Order'!A:D,4,FALSE),"")</f>
        <v>39505</v>
      </c>
      <c r="M1733" s="24">
        <f>IFERROR(VLOOKUP(A1733,'Sales Order'!A:F,6,FALSE),"")</f>
        <v>39509</v>
      </c>
      <c r="N1733" t="str">
        <f>IFERROR(VLOOKUP(VLOOKUP(A1733,'Sales Order'!A:G,7,FALSE),Shipper!A:B,2,FALSE),"Not Specified")</f>
        <v>Shipper GVSUA</v>
      </c>
      <c r="O1733" t="str">
        <f>IFERROR(VLOOKUP(A1733,'Sales Order'!A:I,9,FALSE),"Not Specified")</f>
        <v>Ship to 62-B</v>
      </c>
      <c r="P1733" t="str">
        <f>IFERROR(VLOOKUP(A1733,'Sales Order'!A:N,14,FALSE),"Not Specified")</f>
        <v>Brazil</v>
      </c>
      <c r="Q1733" t="str">
        <f>VLOOKUP(VLOOKUP(B1733,Product!A:C,3,FALSE),Supplier!A:B,2,FALSE)</f>
        <v>Supplier NZLIF</v>
      </c>
      <c r="R1733" t="str">
        <f>VLOOKUP(VLOOKUP(B1733,Product!A:C,3,FALSE),Supplier!A:I,9,FALSE)</f>
        <v>Norway</v>
      </c>
      <c r="S1733" t="str">
        <f>IFERROR(IF(VLOOKUP(A1733,'Sales Order'!A:H,8,FALSE)&gt;100,"High Freight","Low Freight"),"Not Specified")</f>
        <v>Low Freight</v>
      </c>
      <c r="T1733">
        <f t="shared" si="55"/>
        <v>537.5</v>
      </c>
    </row>
    <row r="1734" spans="1:20">
      <c r="A1734" s="9">
        <v>10915</v>
      </c>
      <c r="B1734" s="6">
        <v>17</v>
      </c>
      <c r="C1734" s="6">
        <v>39</v>
      </c>
      <c r="D1734" s="6">
        <v>10</v>
      </c>
      <c r="E1734" s="18">
        <v>0</v>
      </c>
      <c r="F1734" s="6" t="str">
        <f>IFERROR(VLOOKUP(VLOOKUP(A1734,'Sales Order'!A:B,2,FALSE),Customer!A:C,3,FALSE),"Not Specified")</f>
        <v>Geschwandtner, Jens</v>
      </c>
      <c r="G1734" s="6" t="str">
        <f t="shared" si="54"/>
        <v>Geschwandtner Jens</v>
      </c>
      <c r="H1734" s="22" t="str">
        <f>IFERROR(VLOOKUP(VLOOKUP(A1734,'Sales Order'!A:C,3,FALSE),Employee!A:E,5,FALSE)&amp;" "&amp;VLOOKUP(VLOOKUP(A1734,'Sales Order'!A:C,3,FALSE),Employee!A:C,3,FALSE)&amp;" "&amp;VLOOKUP(VLOOKUP(A1734,'Sales Order'!A:C,3,FALSE),Employee!A:B,2,FALSE),"Not Specified")</f>
        <v>Dr. Don Funk</v>
      </c>
      <c r="I1734" t="str">
        <f>IFERROR(VLOOKUP(VLOOKUP(A1734,'Sales Order'!A:C,3,FALSE),Employee!A:J,10,FALSE),"Not Specified")</f>
        <v>WA</v>
      </c>
      <c r="J1734" t="str">
        <f>VLOOKUP(B1734,Product!A:B,2,FALSE)</f>
        <v>Product BLCAX</v>
      </c>
      <c r="K1734" t="str">
        <f>VLOOKUP(VLOOKUP(B1734,Product!A:D,4,FALSE),Category!A:B,2,FALSE)</f>
        <v>Meat/Poultry</v>
      </c>
      <c r="L1734" s="24">
        <f>IFERROR(VLOOKUP(A1734,'Sales Order'!A:D,4,FALSE),"")</f>
        <v>39505</v>
      </c>
      <c r="M1734" s="24">
        <f>IFERROR(VLOOKUP(A1734,'Sales Order'!A:F,6,FALSE),"")</f>
        <v>39509</v>
      </c>
      <c r="N1734" t="str">
        <f>IFERROR(VLOOKUP(VLOOKUP(A1734,'Sales Order'!A:G,7,FALSE),Shipper!A:B,2,FALSE),"Not Specified")</f>
        <v>Shipper ETYNR</v>
      </c>
      <c r="O1734" t="str">
        <f>IFERROR(VLOOKUP(A1734,'Sales Order'!A:I,9,FALSE),"Not Specified")</f>
        <v>Ship to 80-C</v>
      </c>
      <c r="P1734" t="str">
        <f>IFERROR(VLOOKUP(A1734,'Sales Order'!A:N,14,FALSE),"Not Specified")</f>
        <v>Mexico</v>
      </c>
      <c r="Q1734" t="str">
        <f>VLOOKUP(VLOOKUP(B1734,Product!A:C,3,FALSE),Supplier!A:B,2,FALSE)</f>
        <v>Supplier GQRCV</v>
      </c>
      <c r="R1734" t="str">
        <f>VLOOKUP(VLOOKUP(B1734,Product!A:C,3,FALSE),Supplier!A:I,9,FALSE)</f>
        <v>Australia</v>
      </c>
      <c r="S1734" t="str">
        <f>IFERROR(IF(VLOOKUP(A1734,'Sales Order'!A:H,8,FALSE)&gt;100,"High Freight","Low Freight"),"Not Specified")</f>
        <v>Low Freight</v>
      </c>
      <c r="T1734">
        <f t="shared" si="55"/>
        <v>390</v>
      </c>
    </row>
    <row r="1735" spans="1:20">
      <c r="A1735" s="9">
        <v>10915</v>
      </c>
      <c r="B1735" s="6">
        <v>33</v>
      </c>
      <c r="C1735" s="6">
        <v>2.5</v>
      </c>
      <c r="D1735" s="6">
        <v>30</v>
      </c>
      <c r="E1735" s="18">
        <v>0</v>
      </c>
      <c r="F1735" s="6" t="str">
        <f>IFERROR(VLOOKUP(VLOOKUP(A1735,'Sales Order'!A:B,2,FALSE),Customer!A:C,3,FALSE),"Not Specified")</f>
        <v>Geschwandtner, Jens</v>
      </c>
      <c r="G1735" s="6" t="str">
        <f t="shared" si="54"/>
        <v>Geschwandtner Jens</v>
      </c>
      <c r="H1735" s="22" t="str">
        <f>IFERROR(VLOOKUP(VLOOKUP(A1735,'Sales Order'!A:C,3,FALSE),Employee!A:E,5,FALSE)&amp;" "&amp;VLOOKUP(VLOOKUP(A1735,'Sales Order'!A:C,3,FALSE),Employee!A:C,3,FALSE)&amp;" "&amp;VLOOKUP(VLOOKUP(A1735,'Sales Order'!A:C,3,FALSE),Employee!A:B,2,FALSE),"Not Specified")</f>
        <v>Dr. Don Funk</v>
      </c>
      <c r="I1735" t="str">
        <f>IFERROR(VLOOKUP(VLOOKUP(A1735,'Sales Order'!A:C,3,FALSE),Employee!A:J,10,FALSE),"Not Specified")</f>
        <v>WA</v>
      </c>
      <c r="J1735" t="str">
        <f>VLOOKUP(B1735,Product!A:B,2,FALSE)</f>
        <v>Product ASTMN</v>
      </c>
      <c r="K1735" t="str">
        <f>VLOOKUP(VLOOKUP(B1735,Product!A:D,4,FALSE),Category!A:B,2,FALSE)</f>
        <v>Dairy Product</v>
      </c>
      <c r="L1735" s="24">
        <f>IFERROR(VLOOKUP(A1735,'Sales Order'!A:D,4,FALSE),"")</f>
        <v>39505</v>
      </c>
      <c r="M1735" s="24">
        <f>IFERROR(VLOOKUP(A1735,'Sales Order'!A:F,6,FALSE),"")</f>
        <v>39509</v>
      </c>
      <c r="N1735" t="str">
        <f>IFERROR(VLOOKUP(VLOOKUP(A1735,'Sales Order'!A:G,7,FALSE),Shipper!A:B,2,FALSE),"Not Specified")</f>
        <v>Shipper ETYNR</v>
      </c>
      <c r="O1735" t="str">
        <f>IFERROR(VLOOKUP(A1735,'Sales Order'!A:I,9,FALSE),"Not Specified")</f>
        <v>Ship to 80-C</v>
      </c>
      <c r="P1735" t="str">
        <f>IFERROR(VLOOKUP(A1735,'Sales Order'!A:N,14,FALSE),"Not Specified")</f>
        <v>Mexico</v>
      </c>
      <c r="Q1735" t="str">
        <f>VLOOKUP(VLOOKUP(B1735,Product!A:C,3,FALSE),Supplier!A:B,2,FALSE)</f>
        <v>Supplier NZLIF</v>
      </c>
      <c r="R1735" t="str">
        <f>VLOOKUP(VLOOKUP(B1735,Product!A:C,3,FALSE),Supplier!A:I,9,FALSE)</f>
        <v>Norway</v>
      </c>
      <c r="S1735" t="str">
        <f>IFERROR(IF(VLOOKUP(A1735,'Sales Order'!A:H,8,FALSE)&gt;100,"High Freight","Low Freight"),"Not Specified")</f>
        <v>Low Freight</v>
      </c>
      <c r="T1735">
        <f t="shared" si="55"/>
        <v>75</v>
      </c>
    </row>
    <row r="1736" spans="1:20">
      <c r="A1736" s="9">
        <v>10915</v>
      </c>
      <c r="B1736" s="6">
        <v>54</v>
      </c>
      <c r="C1736" s="6">
        <v>7.45</v>
      </c>
      <c r="D1736" s="6">
        <v>10</v>
      </c>
      <c r="E1736" s="18">
        <v>0</v>
      </c>
      <c r="F1736" s="6" t="str">
        <f>IFERROR(VLOOKUP(VLOOKUP(A1736,'Sales Order'!A:B,2,FALSE),Customer!A:C,3,FALSE),"Not Specified")</f>
        <v>Geschwandtner, Jens</v>
      </c>
      <c r="G1736" s="6" t="str">
        <f t="shared" si="54"/>
        <v>Geschwandtner Jens</v>
      </c>
      <c r="H1736" s="22" t="str">
        <f>IFERROR(VLOOKUP(VLOOKUP(A1736,'Sales Order'!A:C,3,FALSE),Employee!A:E,5,FALSE)&amp;" "&amp;VLOOKUP(VLOOKUP(A1736,'Sales Order'!A:C,3,FALSE),Employee!A:C,3,FALSE)&amp;" "&amp;VLOOKUP(VLOOKUP(A1736,'Sales Order'!A:C,3,FALSE),Employee!A:B,2,FALSE),"Not Specified")</f>
        <v>Dr. Don Funk</v>
      </c>
      <c r="I1736" t="str">
        <f>IFERROR(VLOOKUP(VLOOKUP(A1736,'Sales Order'!A:C,3,FALSE),Employee!A:J,10,FALSE),"Not Specified")</f>
        <v>WA</v>
      </c>
      <c r="J1736" t="str">
        <f>VLOOKUP(B1736,Product!A:B,2,FALSE)</f>
        <v>Product QAQRL</v>
      </c>
      <c r="K1736" t="str">
        <f>VLOOKUP(VLOOKUP(B1736,Product!A:D,4,FALSE),Category!A:B,2,FALSE)</f>
        <v>Meat/Poultry</v>
      </c>
      <c r="L1736" s="24">
        <f>IFERROR(VLOOKUP(A1736,'Sales Order'!A:D,4,FALSE),"")</f>
        <v>39505</v>
      </c>
      <c r="M1736" s="24">
        <f>IFERROR(VLOOKUP(A1736,'Sales Order'!A:F,6,FALSE),"")</f>
        <v>39509</v>
      </c>
      <c r="N1736" t="str">
        <f>IFERROR(VLOOKUP(VLOOKUP(A1736,'Sales Order'!A:G,7,FALSE),Shipper!A:B,2,FALSE),"Not Specified")</f>
        <v>Shipper ETYNR</v>
      </c>
      <c r="O1736" t="str">
        <f>IFERROR(VLOOKUP(A1736,'Sales Order'!A:I,9,FALSE),"Not Specified")</f>
        <v>Ship to 80-C</v>
      </c>
      <c r="P1736" t="str">
        <f>IFERROR(VLOOKUP(A1736,'Sales Order'!A:N,14,FALSE),"Not Specified")</f>
        <v>Mexico</v>
      </c>
      <c r="Q1736" t="str">
        <f>VLOOKUP(VLOOKUP(B1736,Product!A:C,3,FALSE),Supplier!A:B,2,FALSE)</f>
        <v>Supplier ERVYZ</v>
      </c>
      <c r="R1736" t="str">
        <f>VLOOKUP(VLOOKUP(B1736,Product!A:C,3,FALSE),Supplier!A:I,9,FALSE)</f>
        <v>Canada</v>
      </c>
      <c r="S1736" t="str">
        <f>IFERROR(IF(VLOOKUP(A1736,'Sales Order'!A:H,8,FALSE)&gt;100,"High Freight","Low Freight"),"Not Specified")</f>
        <v>Low Freight</v>
      </c>
      <c r="T1736">
        <f t="shared" si="55"/>
        <v>74.5</v>
      </c>
    </row>
    <row r="1737" spans="1:20">
      <c r="A1737" s="9">
        <v>10916</v>
      </c>
      <c r="B1737" s="6">
        <v>16</v>
      </c>
      <c r="C1737" s="6">
        <v>17.45</v>
      </c>
      <c r="D1737" s="6">
        <v>6</v>
      </c>
      <c r="E1737" s="18">
        <v>0</v>
      </c>
      <c r="F1737" s="6" t="str">
        <f>IFERROR(VLOOKUP(VLOOKUP(A1737,'Sales Order'!A:B,2,FALSE),Customer!A:C,3,FALSE),"Not Specified")</f>
        <v>Gaffney, Lawrie</v>
      </c>
      <c r="G1737" s="6" t="str">
        <f t="shared" si="54"/>
        <v>Gaffney Lawrie</v>
      </c>
      <c r="H1737" s="22" t="str">
        <f>IFERROR(VLOOKUP(VLOOKUP(A1737,'Sales Order'!A:C,3,FALSE),Employee!A:E,5,FALSE)&amp;" "&amp;VLOOKUP(VLOOKUP(A1737,'Sales Order'!A:C,3,FALSE),Employee!A:C,3,FALSE)&amp;" "&amp;VLOOKUP(VLOOKUP(A1737,'Sales Order'!A:C,3,FALSE),Employee!A:B,2,FALSE),"Not Specified")</f>
        <v>Ms. Sara Davis</v>
      </c>
      <c r="I1737" t="str">
        <f>IFERROR(VLOOKUP(VLOOKUP(A1737,'Sales Order'!A:C,3,FALSE),Employee!A:J,10,FALSE),"Not Specified")</f>
        <v>WA</v>
      </c>
      <c r="J1737" t="str">
        <f>VLOOKUP(B1737,Product!A:B,2,FALSE)</f>
        <v>Product PAFRH</v>
      </c>
      <c r="K1737" t="str">
        <f>VLOOKUP(VLOOKUP(B1737,Product!A:D,4,FALSE),Category!A:B,2,FALSE)</f>
        <v>Confections</v>
      </c>
      <c r="L1737" s="24">
        <f>IFERROR(VLOOKUP(A1737,'Sales Order'!A:D,4,FALSE),"")</f>
        <v>39505</v>
      </c>
      <c r="M1737" s="24">
        <f>IFERROR(VLOOKUP(A1737,'Sales Order'!A:F,6,FALSE),"")</f>
        <v>39516</v>
      </c>
      <c r="N1737" t="str">
        <f>IFERROR(VLOOKUP(VLOOKUP(A1737,'Sales Order'!A:G,7,FALSE),Shipper!A:B,2,FALSE),"Not Specified")</f>
        <v>Shipper ETYNR</v>
      </c>
      <c r="O1737" t="str">
        <f>IFERROR(VLOOKUP(A1737,'Sales Order'!A:I,9,FALSE),"Not Specified")</f>
        <v>Ship to 64-C</v>
      </c>
      <c r="P1737" t="str">
        <f>IFERROR(VLOOKUP(A1737,'Sales Order'!A:N,14,FALSE),"Not Specified")</f>
        <v>Argentina</v>
      </c>
      <c r="Q1737" t="str">
        <f>VLOOKUP(VLOOKUP(B1737,Product!A:C,3,FALSE),Supplier!A:B,2,FALSE)</f>
        <v>Supplier GQRCV</v>
      </c>
      <c r="R1737" t="str">
        <f>VLOOKUP(VLOOKUP(B1737,Product!A:C,3,FALSE),Supplier!A:I,9,FALSE)</f>
        <v>Australia</v>
      </c>
      <c r="S1737" t="str">
        <f>IFERROR(IF(VLOOKUP(A1737,'Sales Order'!A:H,8,FALSE)&gt;100,"High Freight","Low Freight"),"Not Specified")</f>
        <v>Low Freight</v>
      </c>
      <c r="T1737">
        <f t="shared" si="55"/>
        <v>104.69999999999999</v>
      </c>
    </row>
    <row r="1738" spans="1:20">
      <c r="A1738" s="9">
        <v>10916</v>
      </c>
      <c r="B1738" s="6">
        <v>32</v>
      </c>
      <c r="C1738" s="6">
        <v>32</v>
      </c>
      <c r="D1738" s="6">
        <v>6</v>
      </c>
      <c r="E1738" s="18">
        <v>0</v>
      </c>
      <c r="F1738" s="6" t="str">
        <f>IFERROR(VLOOKUP(VLOOKUP(A1738,'Sales Order'!A:B,2,FALSE),Customer!A:C,3,FALSE),"Not Specified")</f>
        <v>Gaffney, Lawrie</v>
      </c>
      <c r="G1738" s="6" t="str">
        <f t="shared" si="54"/>
        <v>Gaffney Lawrie</v>
      </c>
      <c r="H1738" s="22" t="str">
        <f>IFERROR(VLOOKUP(VLOOKUP(A1738,'Sales Order'!A:C,3,FALSE),Employee!A:E,5,FALSE)&amp;" "&amp;VLOOKUP(VLOOKUP(A1738,'Sales Order'!A:C,3,FALSE),Employee!A:C,3,FALSE)&amp;" "&amp;VLOOKUP(VLOOKUP(A1738,'Sales Order'!A:C,3,FALSE),Employee!A:B,2,FALSE),"Not Specified")</f>
        <v>Ms. Sara Davis</v>
      </c>
      <c r="I1738" t="str">
        <f>IFERROR(VLOOKUP(VLOOKUP(A1738,'Sales Order'!A:C,3,FALSE),Employee!A:J,10,FALSE),"Not Specified")</f>
        <v>WA</v>
      </c>
      <c r="J1738" t="str">
        <f>VLOOKUP(B1738,Product!A:B,2,FALSE)</f>
        <v>Product NUNAW</v>
      </c>
      <c r="K1738" t="str">
        <f>VLOOKUP(VLOOKUP(B1738,Product!A:D,4,FALSE),Category!A:B,2,FALSE)</f>
        <v>Dairy Product</v>
      </c>
      <c r="L1738" s="24">
        <f>IFERROR(VLOOKUP(A1738,'Sales Order'!A:D,4,FALSE),"")</f>
        <v>39505</v>
      </c>
      <c r="M1738" s="24">
        <f>IFERROR(VLOOKUP(A1738,'Sales Order'!A:F,6,FALSE),"")</f>
        <v>39516</v>
      </c>
      <c r="N1738" t="str">
        <f>IFERROR(VLOOKUP(VLOOKUP(A1738,'Sales Order'!A:G,7,FALSE),Shipper!A:B,2,FALSE),"Not Specified")</f>
        <v>Shipper ETYNR</v>
      </c>
      <c r="O1738" t="str">
        <f>IFERROR(VLOOKUP(A1738,'Sales Order'!A:I,9,FALSE),"Not Specified")</f>
        <v>Ship to 64-C</v>
      </c>
      <c r="P1738" t="str">
        <f>IFERROR(VLOOKUP(A1738,'Sales Order'!A:N,14,FALSE),"Not Specified")</f>
        <v>Argentina</v>
      </c>
      <c r="Q1738" t="str">
        <f>VLOOKUP(VLOOKUP(B1738,Product!A:C,3,FALSE),Supplier!A:B,2,FALSE)</f>
        <v>Supplier KEREV</v>
      </c>
      <c r="R1738" t="str">
        <f>VLOOKUP(VLOOKUP(B1738,Product!A:C,3,FALSE),Supplier!A:I,9,FALSE)</f>
        <v>Italy</v>
      </c>
      <c r="S1738" t="str">
        <f>IFERROR(IF(VLOOKUP(A1738,'Sales Order'!A:H,8,FALSE)&gt;100,"High Freight","Low Freight"),"Not Specified")</f>
        <v>Low Freight</v>
      </c>
      <c r="T1738">
        <f t="shared" si="55"/>
        <v>192</v>
      </c>
    </row>
    <row r="1739" spans="1:20">
      <c r="A1739" s="9">
        <v>10916</v>
      </c>
      <c r="B1739" s="6">
        <v>57</v>
      </c>
      <c r="C1739" s="6">
        <v>19.5</v>
      </c>
      <c r="D1739" s="6">
        <v>20</v>
      </c>
      <c r="E1739" s="18">
        <v>0</v>
      </c>
      <c r="F1739" s="6" t="str">
        <f>IFERROR(VLOOKUP(VLOOKUP(A1739,'Sales Order'!A:B,2,FALSE),Customer!A:C,3,FALSE),"Not Specified")</f>
        <v>Gaffney, Lawrie</v>
      </c>
      <c r="G1739" s="6" t="str">
        <f t="shared" si="54"/>
        <v>Gaffney Lawrie</v>
      </c>
      <c r="H1739" s="22" t="str">
        <f>IFERROR(VLOOKUP(VLOOKUP(A1739,'Sales Order'!A:C,3,FALSE),Employee!A:E,5,FALSE)&amp;" "&amp;VLOOKUP(VLOOKUP(A1739,'Sales Order'!A:C,3,FALSE),Employee!A:C,3,FALSE)&amp;" "&amp;VLOOKUP(VLOOKUP(A1739,'Sales Order'!A:C,3,FALSE),Employee!A:B,2,FALSE),"Not Specified")</f>
        <v>Ms. Sara Davis</v>
      </c>
      <c r="I1739" t="str">
        <f>IFERROR(VLOOKUP(VLOOKUP(A1739,'Sales Order'!A:C,3,FALSE),Employee!A:J,10,FALSE),"Not Specified")</f>
        <v>WA</v>
      </c>
      <c r="J1739" t="str">
        <f>VLOOKUP(B1739,Product!A:B,2,FALSE)</f>
        <v>Product OVLQI</v>
      </c>
      <c r="K1739" t="str">
        <f>VLOOKUP(VLOOKUP(B1739,Product!A:D,4,FALSE),Category!A:B,2,FALSE)</f>
        <v>Grains/Cereals</v>
      </c>
      <c r="L1739" s="24">
        <f>IFERROR(VLOOKUP(A1739,'Sales Order'!A:D,4,FALSE),"")</f>
        <v>39505</v>
      </c>
      <c r="M1739" s="24">
        <f>IFERROR(VLOOKUP(A1739,'Sales Order'!A:F,6,FALSE),"")</f>
        <v>39516</v>
      </c>
      <c r="N1739" t="str">
        <f>IFERROR(VLOOKUP(VLOOKUP(A1739,'Sales Order'!A:G,7,FALSE),Shipper!A:B,2,FALSE),"Not Specified")</f>
        <v>Shipper ETYNR</v>
      </c>
      <c r="O1739" t="str">
        <f>IFERROR(VLOOKUP(A1739,'Sales Order'!A:I,9,FALSE),"Not Specified")</f>
        <v>Ship to 64-C</v>
      </c>
      <c r="P1739" t="str">
        <f>IFERROR(VLOOKUP(A1739,'Sales Order'!A:N,14,FALSE),"Not Specified")</f>
        <v>Argentina</v>
      </c>
      <c r="Q1739" t="str">
        <f>VLOOKUP(VLOOKUP(B1739,Product!A:C,3,FALSE),Supplier!A:B,2,FALSE)</f>
        <v>Supplier ZWZDM</v>
      </c>
      <c r="R1739" t="str">
        <f>VLOOKUP(VLOOKUP(B1739,Product!A:C,3,FALSE),Supplier!A:I,9,FALSE)</f>
        <v>Italy</v>
      </c>
      <c r="S1739" t="str">
        <f>IFERROR(IF(VLOOKUP(A1739,'Sales Order'!A:H,8,FALSE)&gt;100,"High Freight","Low Freight"),"Not Specified")</f>
        <v>Low Freight</v>
      </c>
      <c r="T1739">
        <f t="shared" si="55"/>
        <v>390</v>
      </c>
    </row>
    <row r="1740" spans="1:20">
      <c r="A1740" s="9">
        <v>10917</v>
      </c>
      <c r="B1740" s="6">
        <v>30</v>
      </c>
      <c r="C1740" s="6">
        <v>25.89</v>
      </c>
      <c r="D1740" s="6">
        <v>1</v>
      </c>
      <c r="E1740" s="18">
        <v>0</v>
      </c>
      <c r="F1740" s="6" t="str">
        <f>IFERROR(VLOOKUP(VLOOKUP(A1740,'Sales Order'!A:B,2,FALSE),Customer!A:C,3,FALSE),"Not Specified")</f>
        <v>Watters, Jason M.</v>
      </c>
      <c r="G1740" s="6" t="str">
        <f t="shared" si="54"/>
        <v>Watters Jason M.</v>
      </c>
      <c r="H1740" s="22" t="str">
        <f>IFERROR(VLOOKUP(VLOOKUP(A1740,'Sales Order'!A:C,3,FALSE),Employee!A:E,5,FALSE)&amp;" "&amp;VLOOKUP(VLOOKUP(A1740,'Sales Order'!A:C,3,FALSE),Employee!A:C,3,FALSE)&amp;" "&amp;VLOOKUP(VLOOKUP(A1740,'Sales Order'!A:C,3,FALSE),Employee!A:B,2,FALSE),"Not Specified")</f>
        <v>Mrs. Yael Peled</v>
      </c>
      <c r="I1740" t="str">
        <f>IFERROR(VLOOKUP(VLOOKUP(A1740,'Sales Order'!A:C,3,FALSE),Employee!A:J,10,FALSE),"Not Specified")</f>
        <v>WA</v>
      </c>
      <c r="J1740" t="str">
        <f>VLOOKUP(B1740,Product!A:B,2,FALSE)</f>
        <v>Product LYERX</v>
      </c>
      <c r="K1740" t="str">
        <f>VLOOKUP(VLOOKUP(B1740,Product!A:D,4,FALSE),Category!A:B,2,FALSE)</f>
        <v>Seafood</v>
      </c>
      <c r="L1740" s="24">
        <f>IFERROR(VLOOKUP(A1740,'Sales Order'!A:D,4,FALSE),"")</f>
        <v>39509</v>
      </c>
      <c r="M1740" s="24">
        <f>IFERROR(VLOOKUP(A1740,'Sales Order'!A:F,6,FALSE),"")</f>
        <v>39518</v>
      </c>
      <c r="N1740" t="str">
        <f>IFERROR(VLOOKUP(VLOOKUP(A1740,'Sales Order'!A:G,7,FALSE),Shipper!A:B,2,FALSE),"Not Specified")</f>
        <v>Shipper ETYNR</v>
      </c>
      <c r="O1740" t="str">
        <f>IFERROR(VLOOKUP(A1740,'Sales Order'!A:I,9,FALSE),"Not Specified")</f>
        <v>Ship to 69-C</v>
      </c>
      <c r="P1740" t="str">
        <f>IFERROR(VLOOKUP(A1740,'Sales Order'!A:N,14,FALSE),"Not Specified")</f>
        <v>Spain</v>
      </c>
      <c r="Q1740" t="str">
        <f>VLOOKUP(VLOOKUP(B1740,Product!A:C,3,FALSE),Supplier!A:B,2,FALSE)</f>
        <v>Supplier TEGSC</v>
      </c>
      <c r="R1740" t="str">
        <f>VLOOKUP(VLOOKUP(B1740,Product!A:C,3,FALSE),Supplier!A:I,9,FALSE)</f>
        <v>Germany</v>
      </c>
      <c r="S1740" t="str">
        <f>IFERROR(IF(VLOOKUP(A1740,'Sales Order'!A:H,8,FALSE)&gt;100,"High Freight","Low Freight"),"Not Specified")</f>
        <v>Low Freight</v>
      </c>
      <c r="T1740">
        <f t="shared" si="55"/>
        <v>25.89</v>
      </c>
    </row>
    <row r="1741" spans="1:20">
      <c r="A1741" s="9">
        <v>10917</v>
      </c>
      <c r="B1741" s="6">
        <v>60</v>
      </c>
      <c r="C1741" s="6">
        <v>34</v>
      </c>
      <c r="D1741" s="6">
        <v>10</v>
      </c>
      <c r="E1741" s="18">
        <v>0</v>
      </c>
      <c r="F1741" s="6" t="str">
        <f>IFERROR(VLOOKUP(VLOOKUP(A1741,'Sales Order'!A:B,2,FALSE),Customer!A:C,3,FALSE),"Not Specified")</f>
        <v>Watters, Jason M.</v>
      </c>
      <c r="G1741" s="6" t="str">
        <f t="shared" si="54"/>
        <v>Watters Jason M.</v>
      </c>
      <c r="H1741" s="22" t="str">
        <f>IFERROR(VLOOKUP(VLOOKUP(A1741,'Sales Order'!A:C,3,FALSE),Employee!A:E,5,FALSE)&amp;" "&amp;VLOOKUP(VLOOKUP(A1741,'Sales Order'!A:C,3,FALSE),Employee!A:C,3,FALSE)&amp;" "&amp;VLOOKUP(VLOOKUP(A1741,'Sales Order'!A:C,3,FALSE),Employee!A:B,2,FALSE),"Not Specified")</f>
        <v>Mrs. Yael Peled</v>
      </c>
      <c r="I1741" t="str">
        <f>IFERROR(VLOOKUP(VLOOKUP(A1741,'Sales Order'!A:C,3,FALSE),Employee!A:J,10,FALSE),"Not Specified")</f>
        <v>WA</v>
      </c>
      <c r="J1741" t="str">
        <f>VLOOKUP(B1741,Product!A:B,2,FALSE)</f>
        <v>Product WHBYK</v>
      </c>
      <c r="K1741" t="str">
        <f>VLOOKUP(VLOOKUP(B1741,Product!A:D,4,FALSE),Category!A:B,2,FALSE)</f>
        <v>Dairy Product</v>
      </c>
      <c r="L1741" s="24">
        <f>IFERROR(VLOOKUP(A1741,'Sales Order'!A:D,4,FALSE),"")</f>
        <v>39509</v>
      </c>
      <c r="M1741" s="24">
        <f>IFERROR(VLOOKUP(A1741,'Sales Order'!A:F,6,FALSE),"")</f>
        <v>39518</v>
      </c>
      <c r="N1741" t="str">
        <f>IFERROR(VLOOKUP(VLOOKUP(A1741,'Sales Order'!A:G,7,FALSE),Shipper!A:B,2,FALSE),"Not Specified")</f>
        <v>Shipper ETYNR</v>
      </c>
      <c r="O1741" t="str">
        <f>IFERROR(VLOOKUP(A1741,'Sales Order'!A:I,9,FALSE),"Not Specified")</f>
        <v>Ship to 69-C</v>
      </c>
      <c r="P1741" t="str">
        <f>IFERROR(VLOOKUP(A1741,'Sales Order'!A:N,14,FALSE),"Not Specified")</f>
        <v>Spain</v>
      </c>
      <c r="Q1741" t="str">
        <f>VLOOKUP(VLOOKUP(B1741,Product!A:C,3,FALSE),Supplier!A:B,2,FALSE)</f>
        <v>Supplier OAVQT</v>
      </c>
      <c r="R1741" t="str">
        <f>VLOOKUP(VLOOKUP(B1741,Product!A:C,3,FALSE),Supplier!A:I,9,FALSE)</f>
        <v>France</v>
      </c>
      <c r="S1741" t="str">
        <f>IFERROR(IF(VLOOKUP(A1741,'Sales Order'!A:H,8,FALSE)&gt;100,"High Freight","Low Freight"),"Not Specified")</f>
        <v>Low Freight</v>
      </c>
      <c r="T1741">
        <f t="shared" si="55"/>
        <v>340</v>
      </c>
    </row>
    <row r="1742" spans="1:20">
      <c r="A1742" s="9">
        <v>10918</v>
      </c>
      <c r="B1742" s="6">
        <v>1</v>
      </c>
      <c r="C1742" s="6">
        <v>18</v>
      </c>
      <c r="D1742" s="6">
        <v>60</v>
      </c>
      <c r="E1742" s="18">
        <v>0.25</v>
      </c>
      <c r="F1742" s="6" t="str">
        <f>IFERROR(VLOOKUP(VLOOKUP(A1742,'Sales Order'!A:B,2,FALSE),Customer!A:C,3,FALSE),"Not Specified")</f>
        <v>Bassols, Pilar Colome</v>
      </c>
      <c r="G1742" s="6" t="str">
        <f t="shared" si="54"/>
        <v>Bassols Pilar Colome</v>
      </c>
      <c r="H1742" s="22" t="str">
        <f>IFERROR(VLOOKUP(VLOOKUP(A1742,'Sales Order'!A:C,3,FALSE),Employee!A:E,5,FALSE)&amp;" "&amp;VLOOKUP(VLOOKUP(A1742,'Sales Order'!A:C,3,FALSE),Employee!A:C,3,FALSE)&amp;" "&amp;VLOOKUP(VLOOKUP(A1742,'Sales Order'!A:C,3,FALSE),Employee!A:B,2,FALSE),"Not Specified")</f>
        <v>Ms. Judy Lew</v>
      </c>
      <c r="I1742" t="str">
        <f>IFERROR(VLOOKUP(VLOOKUP(A1742,'Sales Order'!A:C,3,FALSE),Employee!A:J,10,FALSE),"Not Specified")</f>
        <v>WA</v>
      </c>
      <c r="J1742" t="str">
        <f>VLOOKUP(B1742,Product!A:B,2,FALSE)</f>
        <v>Product HHYDP</v>
      </c>
      <c r="K1742" t="str">
        <f>VLOOKUP(VLOOKUP(B1742,Product!A:D,4,FALSE),Category!A:B,2,FALSE)</f>
        <v>Beverages</v>
      </c>
      <c r="L1742" s="24">
        <f>IFERROR(VLOOKUP(A1742,'Sales Order'!A:D,4,FALSE),"")</f>
        <v>39509</v>
      </c>
      <c r="M1742" s="24">
        <f>IFERROR(VLOOKUP(A1742,'Sales Order'!A:F,6,FALSE),"")</f>
        <v>39518</v>
      </c>
      <c r="N1742" t="str">
        <f>IFERROR(VLOOKUP(VLOOKUP(A1742,'Sales Order'!A:G,7,FALSE),Shipper!A:B,2,FALSE),"Not Specified")</f>
        <v>Shipper ZHISN</v>
      </c>
      <c r="O1742" t="str">
        <f>IFERROR(VLOOKUP(A1742,'Sales Order'!A:I,9,FALSE),"Not Specified")</f>
        <v>Destination OLSSJ</v>
      </c>
      <c r="P1742" t="str">
        <f>IFERROR(VLOOKUP(A1742,'Sales Order'!A:N,14,FALSE),"Not Specified")</f>
        <v>Canada</v>
      </c>
      <c r="Q1742" t="str">
        <f>VLOOKUP(VLOOKUP(B1742,Product!A:C,3,FALSE),Supplier!A:B,2,FALSE)</f>
        <v>Supplier SWRXU</v>
      </c>
      <c r="R1742" t="str">
        <f>VLOOKUP(VLOOKUP(B1742,Product!A:C,3,FALSE),Supplier!A:I,9,FALSE)</f>
        <v>UK</v>
      </c>
      <c r="S1742" t="str">
        <f>IFERROR(IF(VLOOKUP(A1742,'Sales Order'!A:H,8,FALSE)&gt;100,"High Freight","Low Freight"),"Not Specified")</f>
        <v>Low Freight</v>
      </c>
      <c r="T1742">
        <f t="shared" si="55"/>
        <v>810</v>
      </c>
    </row>
    <row r="1743" spans="1:20">
      <c r="A1743" s="9">
        <v>10918</v>
      </c>
      <c r="B1743" s="6">
        <v>60</v>
      </c>
      <c r="C1743" s="6">
        <v>34</v>
      </c>
      <c r="D1743" s="6">
        <v>25</v>
      </c>
      <c r="E1743" s="18">
        <v>0.25</v>
      </c>
      <c r="F1743" s="6" t="str">
        <f>IFERROR(VLOOKUP(VLOOKUP(A1743,'Sales Order'!A:B,2,FALSE),Customer!A:C,3,FALSE),"Not Specified")</f>
        <v>Bassols, Pilar Colome</v>
      </c>
      <c r="G1743" s="6" t="str">
        <f t="shared" si="54"/>
        <v>Bassols Pilar Colome</v>
      </c>
      <c r="H1743" s="22" t="str">
        <f>IFERROR(VLOOKUP(VLOOKUP(A1743,'Sales Order'!A:C,3,FALSE),Employee!A:E,5,FALSE)&amp;" "&amp;VLOOKUP(VLOOKUP(A1743,'Sales Order'!A:C,3,FALSE),Employee!A:C,3,FALSE)&amp;" "&amp;VLOOKUP(VLOOKUP(A1743,'Sales Order'!A:C,3,FALSE),Employee!A:B,2,FALSE),"Not Specified")</f>
        <v>Ms. Judy Lew</v>
      </c>
      <c r="I1743" t="str">
        <f>IFERROR(VLOOKUP(VLOOKUP(A1743,'Sales Order'!A:C,3,FALSE),Employee!A:J,10,FALSE),"Not Specified")</f>
        <v>WA</v>
      </c>
      <c r="J1743" t="str">
        <f>VLOOKUP(B1743,Product!A:B,2,FALSE)</f>
        <v>Product WHBYK</v>
      </c>
      <c r="K1743" t="str">
        <f>VLOOKUP(VLOOKUP(B1743,Product!A:D,4,FALSE),Category!A:B,2,FALSE)</f>
        <v>Dairy Product</v>
      </c>
      <c r="L1743" s="24">
        <f>IFERROR(VLOOKUP(A1743,'Sales Order'!A:D,4,FALSE),"")</f>
        <v>39509</v>
      </c>
      <c r="M1743" s="24">
        <f>IFERROR(VLOOKUP(A1743,'Sales Order'!A:F,6,FALSE),"")</f>
        <v>39518</v>
      </c>
      <c r="N1743" t="str">
        <f>IFERROR(VLOOKUP(VLOOKUP(A1743,'Sales Order'!A:G,7,FALSE),Shipper!A:B,2,FALSE),"Not Specified")</f>
        <v>Shipper ZHISN</v>
      </c>
      <c r="O1743" t="str">
        <f>IFERROR(VLOOKUP(A1743,'Sales Order'!A:I,9,FALSE),"Not Specified")</f>
        <v>Destination OLSSJ</v>
      </c>
      <c r="P1743" t="str">
        <f>IFERROR(VLOOKUP(A1743,'Sales Order'!A:N,14,FALSE),"Not Specified")</f>
        <v>Canada</v>
      </c>
      <c r="Q1743" t="str">
        <f>VLOOKUP(VLOOKUP(B1743,Product!A:C,3,FALSE),Supplier!A:B,2,FALSE)</f>
        <v>Supplier OAVQT</v>
      </c>
      <c r="R1743" t="str">
        <f>VLOOKUP(VLOOKUP(B1743,Product!A:C,3,FALSE),Supplier!A:I,9,FALSE)</f>
        <v>France</v>
      </c>
      <c r="S1743" t="str">
        <f>IFERROR(IF(VLOOKUP(A1743,'Sales Order'!A:H,8,FALSE)&gt;100,"High Freight","Low Freight"),"Not Specified")</f>
        <v>Low Freight</v>
      </c>
      <c r="T1743">
        <f t="shared" si="55"/>
        <v>637.5</v>
      </c>
    </row>
    <row r="1744" spans="1:20">
      <c r="A1744" s="9">
        <v>10919</v>
      </c>
      <c r="B1744" s="6">
        <v>16</v>
      </c>
      <c r="C1744" s="6">
        <v>17.45</v>
      </c>
      <c r="D1744" s="6">
        <v>24</v>
      </c>
      <c r="E1744" s="18">
        <v>0</v>
      </c>
      <c r="F1744" s="6" t="str">
        <f>IFERROR(VLOOKUP(VLOOKUP(A1744,'Sales Order'!A:B,2,FALSE),Customer!A:C,3,FALSE),"Not Specified")</f>
        <v>Lupu, Cornel</v>
      </c>
      <c r="G1744" s="6" t="str">
        <f t="shared" si="54"/>
        <v>Lupu Cornel</v>
      </c>
      <c r="H1744" s="22" t="str">
        <f>IFERROR(VLOOKUP(VLOOKUP(A1744,'Sales Order'!A:C,3,FALSE),Employee!A:E,5,FALSE)&amp;" "&amp;VLOOKUP(VLOOKUP(A1744,'Sales Order'!A:C,3,FALSE),Employee!A:C,3,FALSE)&amp;" "&amp;VLOOKUP(VLOOKUP(A1744,'Sales Order'!A:C,3,FALSE),Employee!A:B,2,FALSE),"Not Specified")</f>
        <v>Dr. Don Funk</v>
      </c>
      <c r="I1744" t="str">
        <f>IFERROR(VLOOKUP(VLOOKUP(A1744,'Sales Order'!A:C,3,FALSE),Employee!A:J,10,FALSE),"Not Specified")</f>
        <v>WA</v>
      </c>
      <c r="J1744" t="str">
        <f>VLOOKUP(B1744,Product!A:B,2,FALSE)</f>
        <v>Product PAFRH</v>
      </c>
      <c r="K1744" t="str">
        <f>VLOOKUP(VLOOKUP(B1744,Product!A:D,4,FALSE),Category!A:B,2,FALSE)</f>
        <v>Confections</v>
      </c>
      <c r="L1744" s="24">
        <f>IFERROR(VLOOKUP(A1744,'Sales Order'!A:D,4,FALSE),"")</f>
        <v>39509</v>
      </c>
      <c r="M1744" s="24">
        <f>IFERROR(VLOOKUP(A1744,'Sales Order'!A:F,6,FALSE),"")</f>
        <v>39511</v>
      </c>
      <c r="N1744" t="str">
        <f>IFERROR(VLOOKUP(VLOOKUP(A1744,'Sales Order'!A:G,7,FALSE),Shipper!A:B,2,FALSE),"Not Specified")</f>
        <v>Shipper ETYNR</v>
      </c>
      <c r="O1744" t="str">
        <f>IFERROR(VLOOKUP(A1744,'Sales Order'!A:I,9,FALSE),"Not Specified")</f>
        <v>Ship to 47-B</v>
      </c>
      <c r="P1744" t="str">
        <f>IFERROR(VLOOKUP(A1744,'Sales Order'!A:N,14,FALSE),"Not Specified")</f>
        <v>Venezuela</v>
      </c>
      <c r="Q1744" t="str">
        <f>VLOOKUP(VLOOKUP(B1744,Product!A:C,3,FALSE),Supplier!A:B,2,FALSE)</f>
        <v>Supplier GQRCV</v>
      </c>
      <c r="R1744" t="str">
        <f>VLOOKUP(VLOOKUP(B1744,Product!A:C,3,FALSE),Supplier!A:I,9,FALSE)</f>
        <v>Australia</v>
      </c>
      <c r="S1744" t="str">
        <f>IFERROR(IF(VLOOKUP(A1744,'Sales Order'!A:H,8,FALSE)&gt;100,"High Freight","Low Freight"),"Not Specified")</f>
        <v>Low Freight</v>
      </c>
      <c r="T1744">
        <f t="shared" si="55"/>
        <v>418.79999999999995</v>
      </c>
    </row>
    <row r="1745" spans="1:20">
      <c r="A1745" s="9">
        <v>10919</v>
      </c>
      <c r="B1745" s="6">
        <v>25</v>
      </c>
      <c r="C1745" s="6">
        <v>14</v>
      </c>
      <c r="D1745" s="6">
        <v>24</v>
      </c>
      <c r="E1745" s="18">
        <v>0</v>
      </c>
      <c r="F1745" s="6" t="str">
        <f>IFERROR(VLOOKUP(VLOOKUP(A1745,'Sales Order'!A:B,2,FALSE),Customer!A:C,3,FALSE),"Not Specified")</f>
        <v>Lupu, Cornel</v>
      </c>
      <c r="G1745" s="6" t="str">
        <f t="shared" si="54"/>
        <v>Lupu Cornel</v>
      </c>
      <c r="H1745" s="22" t="str">
        <f>IFERROR(VLOOKUP(VLOOKUP(A1745,'Sales Order'!A:C,3,FALSE),Employee!A:E,5,FALSE)&amp;" "&amp;VLOOKUP(VLOOKUP(A1745,'Sales Order'!A:C,3,FALSE),Employee!A:C,3,FALSE)&amp;" "&amp;VLOOKUP(VLOOKUP(A1745,'Sales Order'!A:C,3,FALSE),Employee!A:B,2,FALSE),"Not Specified")</f>
        <v>Dr. Don Funk</v>
      </c>
      <c r="I1745" t="str">
        <f>IFERROR(VLOOKUP(VLOOKUP(A1745,'Sales Order'!A:C,3,FALSE),Employee!A:J,10,FALSE),"Not Specified")</f>
        <v>WA</v>
      </c>
      <c r="J1745" t="str">
        <f>VLOOKUP(B1745,Product!A:B,2,FALSE)</f>
        <v>Product LYLNI</v>
      </c>
      <c r="K1745" t="str">
        <f>VLOOKUP(VLOOKUP(B1745,Product!A:D,4,FALSE),Category!A:B,2,FALSE)</f>
        <v>Confections</v>
      </c>
      <c r="L1745" s="24">
        <f>IFERROR(VLOOKUP(A1745,'Sales Order'!A:D,4,FALSE),"")</f>
        <v>39509</v>
      </c>
      <c r="M1745" s="24">
        <f>IFERROR(VLOOKUP(A1745,'Sales Order'!A:F,6,FALSE),"")</f>
        <v>39511</v>
      </c>
      <c r="N1745" t="str">
        <f>IFERROR(VLOOKUP(VLOOKUP(A1745,'Sales Order'!A:G,7,FALSE),Shipper!A:B,2,FALSE),"Not Specified")</f>
        <v>Shipper ETYNR</v>
      </c>
      <c r="O1745" t="str">
        <f>IFERROR(VLOOKUP(A1745,'Sales Order'!A:I,9,FALSE),"Not Specified")</f>
        <v>Ship to 47-B</v>
      </c>
      <c r="P1745" t="str">
        <f>IFERROR(VLOOKUP(A1745,'Sales Order'!A:N,14,FALSE),"Not Specified")</f>
        <v>Venezuela</v>
      </c>
      <c r="Q1745" t="str">
        <f>VLOOKUP(VLOOKUP(B1745,Product!A:C,3,FALSE),Supplier!A:B,2,FALSE)</f>
        <v>Supplier ZPYVS</v>
      </c>
      <c r="R1745" t="str">
        <f>VLOOKUP(VLOOKUP(B1745,Product!A:C,3,FALSE),Supplier!A:I,9,FALSE)</f>
        <v>Germany</v>
      </c>
      <c r="S1745" t="str">
        <f>IFERROR(IF(VLOOKUP(A1745,'Sales Order'!A:H,8,FALSE)&gt;100,"High Freight","Low Freight"),"Not Specified")</f>
        <v>Low Freight</v>
      </c>
      <c r="T1745">
        <f t="shared" si="55"/>
        <v>336</v>
      </c>
    </row>
    <row r="1746" spans="1:20">
      <c r="A1746" s="9">
        <v>10919</v>
      </c>
      <c r="B1746" s="6">
        <v>40</v>
      </c>
      <c r="C1746" s="6">
        <v>18.399999999999999</v>
      </c>
      <c r="D1746" s="6">
        <v>20</v>
      </c>
      <c r="E1746" s="18">
        <v>0</v>
      </c>
      <c r="F1746" s="6" t="str">
        <f>IFERROR(VLOOKUP(VLOOKUP(A1746,'Sales Order'!A:B,2,FALSE),Customer!A:C,3,FALSE),"Not Specified")</f>
        <v>Lupu, Cornel</v>
      </c>
      <c r="G1746" s="6" t="str">
        <f t="shared" si="54"/>
        <v>Lupu Cornel</v>
      </c>
      <c r="H1746" s="22" t="str">
        <f>IFERROR(VLOOKUP(VLOOKUP(A1746,'Sales Order'!A:C,3,FALSE),Employee!A:E,5,FALSE)&amp;" "&amp;VLOOKUP(VLOOKUP(A1746,'Sales Order'!A:C,3,FALSE),Employee!A:C,3,FALSE)&amp;" "&amp;VLOOKUP(VLOOKUP(A1746,'Sales Order'!A:C,3,FALSE),Employee!A:B,2,FALSE),"Not Specified")</f>
        <v>Dr. Don Funk</v>
      </c>
      <c r="I1746" t="str">
        <f>IFERROR(VLOOKUP(VLOOKUP(A1746,'Sales Order'!A:C,3,FALSE),Employee!A:J,10,FALSE),"Not Specified")</f>
        <v>WA</v>
      </c>
      <c r="J1746" t="str">
        <f>VLOOKUP(B1746,Product!A:B,2,FALSE)</f>
        <v>Product YZIXQ</v>
      </c>
      <c r="K1746" t="str">
        <f>VLOOKUP(VLOOKUP(B1746,Product!A:D,4,FALSE),Category!A:B,2,FALSE)</f>
        <v>Seafood</v>
      </c>
      <c r="L1746" s="24">
        <f>IFERROR(VLOOKUP(A1746,'Sales Order'!A:D,4,FALSE),"")</f>
        <v>39509</v>
      </c>
      <c r="M1746" s="24">
        <f>IFERROR(VLOOKUP(A1746,'Sales Order'!A:F,6,FALSE),"")</f>
        <v>39511</v>
      </c>
      <c r="N1746" t="str">
        <f>IFERROR(VLOOKUP(VLOOKUP(A1746,'Sales Order'!A:G,7,FALSE),Shipper!A:B,2,FALSE),"Not Specified")</f>
        <v>Shipper ETYNR</v>
      </c>
      <c r="O1746" t="str">
        <f>IFERROR(VLOOKUP(A1746,'Sales Order'!A:I,9,FALSE),"Not Specified")</f>
        <v>Ship to 47-B</v>
      </c>
      <c r="P1746" t="str">
        <f>IFERROR(VLOOKUP(A1746,'Sales Order'!A:N,14,FALSE),"Not Specified")</f>
        <v>Venezuela</v>
      </c>
      <c r="Q1746" t="str">
        <f>VLOOKUP(VLOOKUP(B1746,Product!A:C,3,FALSE),Supplier!A:B,2,FALSE)</f>
        <v>Supplier JDNUG</v>
      </c>
      <c r="R1746" t="str">
        <f>VLOOKUP(VLOOKUP(B1746,Product!A:C,3,FALSE),Supplier!A:I,9,FALSE)</f>
        <v>USA</v>
      </c>
      <c r="S1746" t="str">
        <f>IFERROR(IF(VLOOKUP(A1746,'Sales Order'!A:H,8,FALSE)&gt;100,"High Freight","Low Freight"),"Not Specified")</f>
        <v>Low Freight</v>
      </c>
      <c r="T1746">
        <f t="shared" si="55"/>
        <v>368</v>
      </c>
    </row>
    <row r="1747" spans="1:20">
      <c r="A1747" s="9">
        <v>10920</v>
      </c>
      <c r="B1747" s="6">
        <v>50</v>
      </c>
      <c r="C1747" s="6">
        <v>16.25</v>
      </c>
      <c r="D1747" s="6">
        <v>24</v>
      </c>
      <c r="E1747" s="18">
        <v>0</v>
      </c>
      <c r="F1747" s="6" t="str">
        <f>IFERROR(VLOOKUP(VLOOKUP(A1747,'Sales Order'!A:B,2,FALSE),Customer!A:C,3,FALSE),"Not Specified")</f>
        <v>Arndt, Torsten</v>
      </c>
      <c r="G1747" s="6" t="str">
        <f t="shared" si="54"/>
        <v>Arndt Torsten</v>
      </c>
      <c r="H1747" s="22" t="str">
        <f>IFERROR(VLOOKUP(VLOOKUP(A1747,'Sales Order'!A:C,3,FALSE),Employee!A:E,5,FALSE)&amp;" "&amp;VLOOKUP(VLOOKUP(A1747,'Sales Order'!A:C,3,FALSE),Employee!A:C,3,FALSE)&amp;" "&amp;VLOOKUP(VLOOKUP(A1747,'Sales Order'!A:C,3,FALSE),Employee!A:B,2,FALSE),"Not Specified")</f>
        <v>Mrs. Yael Peled</v>
      </c>
      <c r="I1747" t="str">
        <f>IFERROR(VLOOKUP(VLOOKUP(A1747,'Sales Order'!A:C,3,FALSE),Employee!A:J,10,FALSE),"Not Specified")</f>
        <v>WA</v>
      </c>
      <c r="J1747" t="str">
        <f>VLOOKUP(B1747,Product!A:B,2,FALSE)</f>
        <v>Product BIUDV</v>
      </c>
      <c r="K1747" t="str">
        <f>VLOOKUP(VLOOKUP(B1747,Product!A:D,4,FALSE),Category!A:B,2,FALSE)</f>
        <v>Confections</v>
      </c>
      <c r="L1747" s="24">
        <f>IFERROR(VLOOKUP(A1747,'Sales Order'!A:D,4,FALSE),"")</f>
        <v>39510</v>
      </c>
      <c r="M1747" s="24">
        <f>IFERROR(VLOOKUP(A1747,'Sales Order'!A:F,6,FALSE),"")</f>
        <v>39516</v>
      </c>
      <c r="N1747" t="str">
        <f>IFERROR(VLOOKUP(VLOOKUP(A1747,'Sales Order'!A:G,7,FALSE),Shipper!A:B,2,FALSE),"Not Specified")</f>
        <v>Shipper ETYNR</v>
      </c>
      <c r="O1747" t="str">
        <f>IFERROR(VLOOKUP(A1747,'Sales Order'!A:I,9,FALSE),"Not Specified")</f>
        <v>Ship to 4-A</v>
      </c>
      <c r="P1747" t="str">
        <f>IFERROR(VLOOKUP(A1747,'Sales Order'!A:N,14,FALSE),"Not Specified")</f>
        <v>UK</v>
      </c>
      <c r="Q1747" t="str">
        <f>VLOOKUP(VLOOKUP(B1747,Product!A:C,3,FALSE),Supplier!A:B,2,FALSE)</f>
        <v>Supplier ELCRN</v>
      </c>
      <c r="R1747" t="str">
        <f>VLOOKUP(VLOOKUP(B1747,Product!A:C,3,FALSE),Supplier!A:I,9,FALSE)</f>
        <v>Finland</v>
      </c>
      <c r="S1747" t="str">
        <f>IFERROR(IF(VLOOKUP(A1747,'Sales Order'!A:H,8,FALSE)&gt;100,"High Freight","Low Freight"),"Not Specified")</f>
        <v>Low Freight</v>
      </c>
      <c r="T1747">
        <f t="shared" si="55"/>
        <v>390</v>
      </c>
    </row>
    <row r="1748" spans="1:20">
      <c r="A1748" s="9">
        <v>10921</v>
      </c>
      <c r="B1748" s="6">
        <v>35</v>
      </c>
      <c r="C1748" s="6">
        <v>18</v>
      </c>
      <c r="D1748" s="6">
        <v>10</v>
      </c>
      <c r="E1748" s="18">
        <v>0</v>
      </c>
      <c r="F1748" s="6" t="str">
        <f>IFERROR(VLOOKUP(VLOOKUP(A1748,'Sales Order'!A:B,2,FALSE),Customer!A:C,3,FALSE),"Not Specified")</f>
        <v>Fonteneau, Karl</v>
      </c>
      <c r="G1748" s="6" t="str">
        <f t="shared" si="54"/>
        <v>Fonteneau Karl</v>
      </c>
      <c r="H1748" s="22" t="str">
        <f>IFERROR(VLOOKUP(VLOOKUP(A1748,'Sales Order'!A:C,3,FALSE),Employee!A:E,5,FALSE)&amp;" "&amp;VLOOKUP(VLOOKUP(A1748,'Sales Order'!A:C,3,FALSE),Employee!A:C,3,FALSE)&amp;" "&amp;VLOOKUP(VLOOKUP(A1748,'Sales Order'!A:C,3,FALSE),Employee!A:B,2,FALSE),"Not Specified")</f>
        <v>Ms. Sara Davis</v>
      </c>
      <c r="I1748" t="str">
        <f>IFERROR(VLOOKUP(VLOOKUP(A1748,'Sales Order'!A:C,3,FALSE),Employee!A:J,10,FALSE),"Not Specified")</f>
        <v>WA</v>
      </c>
      <c r="J1748" t="str">
        <f>VLOOKUP(B1748,Product!A:B,2,FALSE)</f>
        <v>Product NEVTJ</v>
      </c>
      <c r="K1748" t="str">
        <f>VLOOKUP(VLOOKUP(B1748,Product!A:D,4,FALSE),Category!A:B,2,FALSE)</f>
        <v>Beverages</v>
      </c>
      <c r="L1748" s="24">
        <f>IFERROR(VLOOKUP(A1748,'Sales Order'!A:D,4,FALSE),"")</f>
        <v>39510</v>
      </c>
      <c r="M1748" s="24">
        <f>IFERROR(VLOOKUP(A1748,'Sales Order'!A:F,6,FALSE),"")</f>
        <v>39516</v>
      </c>
      <c r="N1748" t="str">
        <f>IFERROR(VLOOKUP(VLOOKUP(A1748,'Sales Order'!A:G,7,FALSE),Shipper!A:B,2,FALSE),"Not Specified")</f>
        <v>Shipper GVSUA</v>
      </c>
      <c r="O1748" t="str">
        <f>IFERROR(VLOOKUP(A1748,'Sales Order'!A:I,9,FALSE),"Not Specified")</f>
        <v>Ship to 83-A</v>
      </c>
      <c r="P1748" t="str">
        <f>IFERROR(VLOOKUP(A1748,'Sales Order'!A:N,14,FALSE),"Not Specified")</f>
        <v>Denmark</v>
      </c>
      <c r="Q1748" t="str">
        <f>VLOOKUP(VLOOKUP(B1748,Product!A:C,3,FALSE),Supplier!A:B,2,FALSE)</f>
        <v>Supplier UHZRG</v>
      </c>
      <c r="R1748" t="str">
        <f>VLOOKUP(VLOOKUP(B1748,Product!A:C,3,FALSE),Supplier!A:I,9,FALSE)</f>
        <v>USA</v>
      </c>
      <c r="S1748" t="str">
        <f>IFERROR(IF(VLOOKUP(A1748,'Sales Order'!A:H,8,FALSE)&gt;100,"High Freight","Low Freight"),"Not Specified")</f>
        <v>High Freight</v>
      </c>
      <c r="T1748">
        <f t="shared" si="55"/>
        <v>180</v>
      </c>
    </row>
    <row r="1749" spans="1:20">
      <c r="A1749" s="9">
        <v>10921</v>
      </c>
      <c r="B1749" s="6">
        <v>63</v>
      </c>
      <c r="C1749" s="6">
        <v>43.9</v>
      </c>
      <c r="D1749" s="6">
        <v>40</v>
      </c>
      <c r="E1749" s="18">
        <v>0</v>
      </c>
      <c r="F1749" s="6" t="str">
        <f>IFERROR(VLOOKUP(VLOOKUP(A1749,'Sales Order'!A:B,2,FALSE),Customer!A:C,3,FALSE),"Not Specified")</f>
        <v>Fonteneau, Karl</v>
      </c>
      <c r="G1749" s="6" t="str">
        <f t="shared" si="54"/>
        <v>Fonteneau Karl</v>
      </c>
      <c r="H1749" s="22" t="str">
        <f>IFERROR(VLOOKUP(VLOOKUP(A1749,'Sales Order'!A:C,3,FALSE),Employee!A:E,5,FALSE)&amp;" "&amp;VLOOKUP(VLOOKUP(A1749,'Sales Order'!A:C,3,FALSE),Employee!A:C,3,FALSE)&amp;" "&amp;VLOOKUP(VLOOKUP(A1749,'Sales Order'!A:C,3,FALSE),Employee!A:B,2,FALSE),"Not Specified")</f>
        <v>Ms. Sara Davis</v>
      </c>
      <c r="I1749" t="str">
        <f>IFERROR(VLOOKUP(VLOOKUP(A1749,'Sales Order'!A:C,3,FALSE),Employee!A:J,10,FALSE),"Not Specified")</f>
        <v>WA</v>
      </c>
      <c r="J1749" t="str">
        <f>VLOOKUP(B1749,Product!A:B,2,FALSE)</f>
        <v>Product ICKNK</v>
      </c>
      <c r="K1749" t="str">
        <f>VLOOKUP(VLOOKUP(B1749,Product!A:D,4,FALSE),Category!A:B,2,FALSE)</f>
        <v>Condiments</v>
      </c>
      <c r="L1749" s="24">
        <f>IFERROR(VLOOKUP(A1749,'Sales Order'!A:D,4,FALSE),"")</f>
        <v>39510</v>
      </c>
      <c r="M1749" s="24">
        <f>IFERROR(VLOOKUP(A1749,'Sales Order'!A:F,6,FALSE),"")</f>
        <v>39516</v>
      </c>
      <c r="N1749" t="str">
        <f>IFERROR(VLOOKUP(VLOOKUP(A1749,'Sales Order'!A:G,7,FALSE),Shipper!A:B,2,FALSE),"Not Specified")</f>
        <v>Shipper GVSUA</v>
      </c>
      <c r="O1749" t="str">
        <f>IFERROR(VLOOKUP(A1749,'Sales Order'!A:I,9,FALSE),"Not Specified")</f>
        <v>Ship to 83-A</v>
      </c>
      <c r="P1749" t="str">
        <f>IFERROR(VLOOKUP(A1749,'Sales Order'!A:N,14,FALSE),"Not Specified")</f>
        <v>Denmark</v>
      </c>
      <c r="Q1749" t="str">
        <f>VLOOKUP(VLOOKUP(B1749,Product!A:C,3,FALSE),Supplier!A:B,2,FALSE)</f>
        <v>Supplier GQRCV</v>
      </c>
      <c r="R1749" t="str">
        <f>VLOOKUP(VLOOKUP(B1749,Product!A:C,3,FALSE),Supplier!A:I,9,FALSE)</f>
        <v>Australia</v>
      </c>
      <c r="S1749" t="str">
        <f>IFERROR(IF(VLOOKUP(A1749,'Sales Order'!A:H,8,FALSE)&gt;100,"High Freight","Low Freight"),"Not Specified")</f>
        <v>High Freight</v>
      </c>
      <c r="T1749">
        <f t="shared" si="55"/>
        <v>1756</v>
      </c>
    </row>
    <row r="1750" spans="1:20">
      <c r="A1750" s="9">
        <v>10922</v>
      </c>
      <c r="B1750" s="6">
        <v>17</v>
      </c>
      <c r="C1750" s="6">
        <v>39</v>
      </c>
      <c r="D1750" s="6">
        <v>15</v>
      </c>
      <c r="E1750" s="18">
        <v>0</v>
      </c>
      <c r="F1750" s="6" t="str">
        <f>IFERROR(VLOOKUP(VLOOKUP(A1750,'Sales Order'!A:B,2,FALSE),Customer!A:C,3,FALSE),"Not Specified")</f>
        <v>Cohen, Shy</v>
      </c>
      <c r="G1750" s="6" t="str">
        <f t="shared" si="54"/>
        <v>Cohen Shy</v>
      </c>
      <c r="H1750" s="22" t="str">
        <f>IFERROR(VLOOKUP(VLOOKUP(A1750,'Sales Order'!A:C,3,FALSE),Employee!A:E,5,FALSE)&amp;" "&amp;VLOOKUP(VLOOKUP(A1750,'Sales Order'!A:C,3,FALSE),Employee!A:C,3,FALSE)&amp;" "&amp;VLOOKUP(VLOOKUP(A1750,'Sales Order'!A:C,3,FALSE),Employee!A:B,2,FALSE),"Not Specified")</f>
        <v>Mr. Sven Buck</v>
      </c>
      <c r="I1750">
        <f>IFERROR(VLOOKUP(VLOOKUP(A1750,'Sales Order'!A:C,3,FALSE),Employee!A:J,10,FALSE),"Not Specified")</f>
        <v>0</v>
      </c>
      <c r="J1750" t="str">
        <f>VLOOKUP(B1750,Product!A:B,2,FALSE)</f>
        <v>Product BLCAX</v>
      </c>
      <c r="K1750" t="str">
        <f>VLOOKUP(VLOOKUP(B1750,Product!A:D,4,FALSE),Category!A:B,2,FALSE)</f>
        <v>Meat/Poultry</v>
      </c>
      <c r="L1750" s="24">
        <f>IFERROR(VLOOKUP(A1750,'Sales Order'!A:D,4,FALSE),"")</f>
        <v>39510</v>
      </c>
      <c r="M1750" s="24">
        <f>IFERROR(VLOOKUP(A1750,'Sales Order'!A:F,6,FALSE),"")</f>
        <v>39512</v>
      </c>
      <c r="N1750" t="str">
        <f>IFERROR(VLOOKUP(VLOOKUP(A1750,'Sales Order'!A:G,7,FALSE),Shipper!A:B,2,FALSE),"Not Specified")</f>
        <v>Shipper ZHISN</v>
      </c>
      <c r="O1750" t="str">
        <f>IFERROR(VLOOKUP(A1750,'Sales Order'!A:I,9,FALSE),"Not Specified")</f>
        <v>Destination DPCVR</v>
      </c>
      <c r="P1750" t="str">
        <f>IFERROR(VLOOKUP(A1750,'Sales Order'!A:N,14,FALSE),"Not Specified")</f>
        <v>Brazil</v>
      </c>
      <c r="Q1750" t="str">
        <f>VLOOKUP(VLOOKUP(B1750,Product!A:C,3,FALSE),Supplier!A:B,2,FALSE)</f>
        <v>Supplier GQRCV</v>
      </c>
      <c r="R1750" t="str">
        <f>VLOOKUP(VLOOKUP(B1750,Product!A:C,3,FALSE),Supplier!A:I,9,FALSE)</f>
        <v>Australia</v>
      </c>
      <c r="S1750" t="str">
        <f>IFERROR(IF(VLOOKUP(A1750,'Sales Order'!A:H,8,FALSE)&gt;100,"High Freight","Low Freight"),"Not Specified")</f>
        <v>Low Freight</v>
      </c>
      <c r="T1750">
        <f t="shared" si="55"/>
        <v>585</v>
      </c>
    </row>
    <row r="1751" spans="1:20">
      <c r="A1751" s="9">
        <v>10922</v>
      </c>
      <c r="B1751" s="6">
        <v>24</v>
      </c>
      <c r="C1751" s="6">
        <v>4.5</v>
      </c>
      <c r="D1751" s="6">
        <v>35</v>
      </c>
      <c r="E1751" s="18">
        <v>0</v>
      </c>
      <c r="F1751" s="6" t="str">
        <f>IFERROR(VLOOKUP(VLOOKUP(A1751,'Sales Order'!A:B,2,FALSE),Customer!A:C,3,FALSE),"Not Specified")</f>
        <v>Cohen, Shy</v>
      </c>
      <c r="G1751" s="6" t="str">
        <f t="shared" si="54"/>
        <v>Cohen Shy</v>
      </c>
      <c r="H1751" s="22" t="str">
        <f>IFERROR(VLOOKUP(VLOOKUP(A1751,'Sales Order'!A:C,3,FALSE),Employee!A:E,5,FALSE)&amp;" "&amp;VLOOKUP(VLOOKUP(A1751,'Sales Order'!A:C,3,FALSE),Employee!A:C,3,FALSE)&amp;" "&amp;VLOOKUP(VLOOKUP(A1751,'Sales Order'!A:C,3,FALSE),Employee!A:B,2,FALSE),"Not Specified")</f>
        <v>Mr. Sven Buck</v>
      </c>
      <c r="I1751">
        <f>IFERROR(VLOOKUP(VLOOKUP(A1751,'Sales Order'!A:C,3,FALSE),Employee!A:J,10,FALSE),"Not Specified")</f>
        <v>0</v>
      </c>
      <c r="J1751" t="str">
        <f>VLOOKUP(B1751,Product!A:B,2,FALSE)</f>
        <v>Product QOGNU</v>
      </c>
      <c r="K1751" t="str">
        <f>VLOOKUP(VLOOKUP(B1751,Product!A:D,4,FALSE),Category!A:B,2,FALSE)</f>
        <v>Beverages</v>
      </c>
      <c r="L1751" s="24">
        <f>IFERROR(VLOOKUP(A1751,'Sales Order'!A:D,4,FALSE),"")</f>
        <v>39510</v>
      </c>
      <c r="M1751" s="24">
        <f>IFERROR(VLOOKUP(A1751,'Sales Order'!A:F,6,FALSE),"")</f>
        <v>39512</v>
      </c>
      <c r="N1751" t="str">
        <f>IFERROR(VLOOKUP(VLOOKUP(A1751,'Sales Order'!A:G,7,FALSE),Shipper!A:B,2,FALSE),"Not Specified")</f>
        <v>Shipper ZHISN</v>
      </c>
      <c r="O1751" t="str">
        <f>IFERROR(VLOOKUP(A1751,'Sales Order'!A:I,9,FALSE),"Not Specified")</f>
        <v>Destination DPCVR</v>
      </c>
      <c r="P1751" t="str">
        <f>IFERROR(VLOOKUP(A1751,'Sales Order'!A:N,14,FALSE),"Not Specified")</f>
        <v>Brazil</v>
      </c>
      <c r="Q1751" t="str">
        <f>VLOOKUP(VLOOKUP(B1751,Product!A:C,3,FALSE),Supplier!A:B,2,FALSE)</f>
        <v>Supplier UNAHG</v>
      </c>
      <c r="R1751" t="str">
        <f>VLOOKUP(VLOOKUP(B1751,Product!A:C,3,FALSE),Supplier!A:I,9,FALSE)</f>
        <v>Brazil</v>
      </c>
      <c r="S1751" t="str">
        <f>IFERROR(IF(VLOOKUP(A1751,'Sales Order'!A:H,8,FALSE)&gt;100,"High Freight","Low Freight"),"Not Specified")</f>
        <v>Low Freight</v>
      </c>
      <c r="T1751">
        <f t="shared" si="55"/>
        <v>157.5</v>
      </c>
    </row>
    <row r="1752" spans="1:20">
      <c r="A1752" s="9">
        <v>10923</v>
      </c>
      <c r="B1752" s="6">
        <v>42</v>
      </c>
      <c r="C1752" s="6">
        <v>14</v>
      </c>
      <c r="D1752" s="6">
        <v>10</v>
      </c>
      <c r="E1752" s="18">
        <v>0.2</v>
      </c>
      <c r="F1752" s="6" t="str">
        <f>IFERROR(VLOOKUP(VLOOKUP(A1752,'Sales Order'!A:B,2,FALSE),Customer!A:C,3,FALSE),"Not Specified")</f>
        <v>Litton, Tim</v>
      </c>
      <c r="G1752" s="6" t="str">
        <f t="shared" si="54"/>
        <v>Litton Tim</v>
      </c>
      <c r="H1752" s="22" t="str">
        <f>IFERROR(VLOOKUP(VLOOKUP(A1752,'Sales Order'!A:C,3,FALSE),Employee!A:E,5,FALSE)&amp;" "&amp;VLOOKUP(VLOOKUP(A1752,'Sales Order'!A:C,3,FALSE),Employee!A:C,3,FALSE)&amp;" "&amp;VLOOKUP(VLOOKUP(A1752,'Sales Order'!A:C,3,FALSE),Employee!A:B,2,FALSE),"Not Specified")</f>
        <v>Mr. Russell King</v>
      </c>
      <c r="I1752">
        <f>IFERROR(VLOOKUP(VLOOKUP(A1752,'Sales Order'!A:C,3,FALSE),Employee!A:J,10,FALSE),"Not Specified")</f>
        <v>0</v>
      </c>
      <c r="J1752" t="str">
        <f>VLOOKUP(B1752,Product!A:B,2,FALSE)</f>
        <v>Product RJVNM</v>
      </c>
      <c r="K1752" t="str">
        <f>VLOOKUP(VLOOKUP(B1752,Product!A:D,4,FALSE),Category!A:B,2,FALSE)</f>
        <v>Grains/Cereals</v>
      </c>
      <c r="L1752" s="24">
        <f>IFERROR(VLOOKUP(A1752,'Sales Order'!A:D,4,FALSE),"")</f>
        <v>39510</v>
      </c>
      <c r="M1752" s="24">
        <f>IFERROR(VLOOKUP(A1752,'Sales Order'!A:F,6,FALSE),"")</f>
        <v>39520</v>
      </c>
      <c r="N1752" t="str">
        <f>IFERROR(VLOOKUP(VLOOKUP(A1752,'Sales Order'!A:G,7,FALSE),Shipper!A:B,2,FALSE),"Not Specified")</f>
        <v>Shipper ZHISN</v>
      </c>
      <c r="O1752" t="str">
        <f>IFERROR(VLOOKUP(A1752,'Sales Order'!A:I,9,FALSE),"Not Specified")</f>
        <v>Destination OLJND</v>
      </c>
      <c r="P1752" t="str">
        <f>IFERROR(VLOOKUP(A1752,'Sales Order'!A:N,14,FALSE),"Not Specified")</f>
        <v>France</v>
      </c>
      <c r="Q1752" t="str">
        <f>VLOOKUP(VLOOKUP(B1752,Product!A:C,3,FALSE),Supplier!A:B,2,FALSE)</f>
        <v>Supplier CIYNM</v>
      </c>
      <c r="R1752" t="str">
        <f>VLOOKUP(VLOOKUP(B1752,Product!A:C,3,FALSE),Supplier!A:I,9,FALSE)</f>
        <v>Singapore</v>
      </c>
      <c r="S1752" t="str">
        <f>IFERROR(IF(VLOOKUP(A1752,'Sales Order'!A:H,8,FALSE)&gt;100,"High Freight","Low Freight"),"Not Specified")</f>
        <v>Low Freight</v>
      </c>
      <c r="T1752">
        <f t="shared" si="55"/>
        <v>112</v>
      </c>
    </row>
    <row r="1753" spans="1:20">
      <c r="A1753" s="9">
        <v>10923</v>
      </c>
      <c r="B1753" s="6">
        <v>43</v>
      </c>
      <c r="C1753" s="6">
        <v>46</v>
      </c>
      <c r="D1753" s="6">
        <v>10</v>
      </c>
      <c r="E1753" s="18">
        <v>0.2</v>
      </c>
      <c r="F1753" s="6" t="str">
        <f>IFERROR(VLOOKUP(VLOOKUP(A1753,'Sales Order'!A:B,2,FALSE),Customer!A:C,3,FALSE),"Not Specified")</f>
        <v>Litton, Tim</v>
      </c>
      <c r="G1753" s="6" t="str">
        <f t="shared" si="54"/>
        <v>Litton Tim</v>
      </c>
      <c r="H1753" s="22" t="str">
        <f>IFERROR(VLOOKUP(VLOOKUP(A1753,'Sales Order'!A:C,3,FALSE),Employee!A:E,5,FALSE)&amp;" "&amp;VLOOKUP(VLOOKUP(A1753,'Sales Order'!A:C,3,FALSE),Employee!A:C,3,FALSE)&amp;" "&amp;VLOOKUP(VLOOKUP(A1753,'Sales Order'!A:C,3,FALSE),Employee!A:B,2,FALSE),"Not Specified")</f>
        <v>Mr. Russell King</v>
      </c>
      <c r="I1753">
        <f>IFERROR(VLOOKUP(VLOOKUP(A1753,'Sales Order'!A:C,3,FALSE),Employee!A:J,10,FALSE),"Not Specified")</f>
        <v>0</v>
      </c>
      <c r="J1753" t="str">
        <f>VLOOKUP(B1753,Product!A:B,2,FALSE)</f>
        <v>Product ZZZHR</v>
      </c>
      <c r="K1753" t="str">
        <f>VLOOKUP(VLOOKUP(B1753,Product!A:D,4,FALSE),Category!A:B,2,FALSE)</f>
        <v>Beverages</v>
      </c>
      <c r="L1753" s="24">
        <f>IFERROR(VLOOKUP(A1753,'Sales Order'!A:D,4,FALSE),"")</f>
        <v>39510</v>
      </c>
      <c r="M1753" s="24">
        <f>IFERROR(VLOOKUP(A1753,'Sales Order'!A:F,6,FALSE),"")</f>
        <v>39520</v>
      </c>
      <c r="N1753" t="str">
        <f>IFERROR(VLOOKUP(VLOOKUP(A1753,'Sales Order'!A:G,7,FALSE),Shipper!A:B,2,FALSE),"Not Specified")</f>
        <v>Shipper ZHISN</v>
      </c>
      <c r="O1753" t="str">
        <f>IFERROR(VLOOKUP(A1753,'Sales Order'!A:I,9,FALSE),"Not Specified")</f>
        <v>Destination OLJND</v>
      </c>
      <c r="P1753" t="str">
        <f>IFERROR(VLOOKUP(A1753,'Sales Order'!A:N,14,FALSE),"Not Specified")</f>
        <v>France</v>
      </c>
      <c r="Q1753" t="str">
        <f>VLOOKUP(VLOOKUP(B1753,Product!A:C,3,FALSE),Supplier!A:B,2,FALSE)</f>
        <v>Supplier CIYNM</v>
      </c>
      <c r="R1753" t="str">
        <f>VLOOKUP(VLOOKUP(B1753,Product!A:C,3,FALSE),Supplier!A:I,9,FALSE)</f>
        <v>Singapore</v>
      </c>
      <c r="S1753" t="str">
        <f>IFERROR(IF(VLOOKUP(A1753,'Sales Order'!A:H,8,FALSE)&gt;100,"High Freight","Low Freight"),"Not Specified")</f>
        <v>Low Freight</v>
      </c>
      <c r="T1753">
        <f t="shared" si="55"/>
        <v>368</v>
      </c>
    </row>
    <row r="1754" spans="1:20">
      <c r="A1754" s="9">
        <v>10923</v>
      </c>
      <c r="B1754" s="6">
        <v>67</v>
      </c>
      <c r="C1754" s="6">
        <v>14</v>
      </c>
      <c r="D1754" s="6">
        <v>24</v>
      </c>
      <c r="E1754" s="18">
        <v>0.2</v>
      </c>
      <c r="F1754" s="6" t="str">
        <f>IFERROR(VLOOKUP(VLOOKUP(A1754,'Sales Order'!A:B,2,FALSE),Customer!A:C,3,FALSE),"Not Specified")</f>
        <v>Litton, Tim</v>
      </c>
      <c r="G1754" s="6" t="str">
        <f t="shared" si="54"/>
        <v>Litton Tim</v>
      </c>
      <c r="H1754" s="22" t="str">
        <f>IFERROR(VLOOKUP(VLOOKUP(A1754,'Sales Order'!A:C,3,FALSE),Employee!A:E,5,FALSE)&amp;" "&amp;VLOOKUP(VLOOKUP(A1754,'Sales Order'!A:C,3,FALSE),Employee!A:C,3,FALSE)&amp;" "&amp;VLOOKUP(VLOOKUP(A1754,'Sales Order'!A:C,3,FALSE),Employee!A:B,2,FALSE),"Not Specified")</f>
        <v>Mr. Russell King</v>
      </c>
      <c r="I1754">
        <f>IFERROR(VLOOKUP(VLOOKUP(A1754,'Sales Order'!A:C,3,FALSE),Employee!A:J,10,FALSE),"Not Specified")</f>
        <v>0</v>
      </c>
      <c r="J1754" t="str">
        <f>VLOOKUP(B1754,Product!A:B,2,FALSE)</f>
        <v>Product XLXQF</v>
      </c>
      <c r="K1754" t="str">
        <f>VLOOKUP(VLOOKUP(B1754,Product!A:D,4,FALSE),Category!A:B,2,FALSE)</f>
        <v>Beverages</v>
      </c>
      <c r="L1754" s="24">
        <f>IFERROR(VLOOKUP(A1754,'Sales Order'!A:D,4,FALSE),"")</f>
        <v>39510</v>
      </c>
      <c r="M1754" s="24">
        <f>IFERROR(VLOOKUP(A1754,'Sales Order'!A:F,6,FALSE),"")</f>
        <v>39520</v>
      </c>
      <c r="N1754" t="str">
        <f>IFERROR(VLOOKUP(VLOOKUP(A1754,'Sales Order'!A:G,7,FALSE),Shipper!A:B,2,FALSE),"Not Specified")</f>
        <v>Shipper ZHISN</v>
      </c>
      <c r="O1754" t="str">
        <f>IFERROR(VLOOKUP(A1754,'Sales Order'!A:I,9,FALSE),"Not Specified")</f>
        <v>Destination OLJND</v>
      </c>
      <c r="P1754" t="str">
        <f>IFERROR(VLOOKUP(A1754,'Sales Order'!A:N,14,FALSE),"Not Specified")</f>
        <v>France</v>
      </c>
      <c r="Q1754" t="str">
        <f>VLOOKUP(VLOOKUP(B1754,Product!A:C,3,FALSE),Supplier!A:B,2,FALSE)</f>
        <v>Supplier UHZRG</v>
      </c>
      <c r="R1754" t="str">
        <f>VLOOKUP(VLOOKUP(B1754,Product!A:C,3,FALSE),Supplier!A:I,9,FALSE)</f>
        <v>USA</v>
      </c>
      <c r="S1754" t="str">
        <f>IFERROR(IF(VLOOKUP(A1754,'Sales Order'!A:H,8,FALSE)&gt;100,"High Freight","Low Freight"),"Not Specified")</f>
        <v>Low Freight</v>
      </c>
      <c r="T1754">
        <f t="shared" si="55"/>
        <v>268.8</v>
      </c>
    </row>
    <row r="1755" spans="1:20">
      <c r="A1755" s="9">
        <v>10924</v>
      </c>
      <c r="B1755" s="6">
        <v>10</v>
      </c>
      <c r="C1755" s="6">
        <v>31</v>
      </c>
      <c r="D1755" s="6">
        <v>20</v>
      </c>
      <c r="E1755" s="18">
        <v>0.1</v>
      </c>
      <c r="F1755" s="6" t="str">
        <f>IFERROR(VLOOKUP(VLOOKUP(A1755,'Sales Order'!A:B,2,FALSE),Customer!A:C,3,FALSE),"Not Specified")</f>
        <v>Higginbotham, Tom</v>
      </c>
      <c r="G1755" s="6" t="str">
        <f t="shared" si="54"/>
        <v>Higginbotham Tom</v>
      </c>
      <c r="H1755" s="22" t="str">
        <f>IFERROR(VLOOKUP(VLOOKUP(A1755,'Sales Order'!A:C,3,FALSE),Employee!A:E,5,FALSE)&amp;" "&amp;VLOOKUP(VLOOKUP(A1755,'Sales Order'!A:C,3,FALSE),Employee!A:C,3,FALSE)&amp;" "&amp;VLOOKUP(VLOOKUP(A1755,'Sales Order'!A:C,3,FALSE),Employee!A:B,2,FALSE),"Not Specified")</f>
        <v>Ms. Judy Lew</v>
      </c>
      <c r="I1755" t="str">
        <f>IFERROR(VLOOKUP(VLOOKUP(A1755,'Sales Order'!A:C,3,FALSE),Employee!A:J,10,FALSE),"Not Specified")</f>
        <v>WA</v>
      </c>
      <c r="J1755" t="str">
        <f>VLOOKUP(B1755,Product!A:B,2,FALSE)</f>
        <v>Product YHXGE</v>
      </c>
      <c r="K1755" t="str">
        <f>VLOOKUP(VLOOKUP(B1755,Product!A:D,4,FALSE),Category!A:B,2,FALSE)</f>
        <v>Seafood</v>
      </c>
      <c r="L1755" s="24">
        <f>IFERROR(VLOOKUP(A1755,'Sales Order'!A:D,4,FALSE),"")</f>
        <v>39511</v>
      </c>
      <c r="M1755" s="24">
        <f>IFERROR(VLOOKUP(A1755,'Sales Order'!A:F,6,FALSE),"")</f>
        <v>39546</v>
      </c>
      <c r="N1755" t="str">
        <f>IFERROR(VLOOKUP(VLOOKUP(A1755,'Sales Order'!A:G,7,FALSE),Shipper!A:B,2,FALSE),"Not Specified")</f>
        <v>Shipper ETYNR</v>
      </c>
      <c r="O1755" t="str">
        <f>IFERROR(VLOOKUP(A1755,'Sales Order'!A:I,9,FALSE),"Not Specified")</f>
        <v>Ship to 5-A</v>
      </c>
      <c r="P1755" t="str">
        <f>IFERROR(VLOOKUP(A1755,'Sales Order'!A:N,14,FALSE),"Not Specified")</f>
        <v>Sweden</v>
      </c>
      <c r="Q1755" t="str">
        <f>VLOOKUP(VLOOKUP(B1755,Product!A:C,3,FALSE),Supplier!A:B,2,FALSE)</f>
        <v>Supplier QOVFD</v>
      </c>
      <c r="R1755" t="str">
        <f>VLOOKUP(VLOOKUP(B1755,Product!A:C,3,FALSE),Supplier!A:I,9,FALSE)</f>
        <v>Japan</v>
      </c>
      <c r="S1755" t="str">
        <f>IFERROR(IF(VLOOKUP(A1755,'Sales Order'!A:H,8,FALSE)&gt;100,"High Freight","Low Freight"),"Not Specified")</f>
        <v>High Freight</v>
      </c>
      <c r="T1755">
        <f t="shared" si="55"/>
        <v>558</v>
      </c>
    </row>
    <row r="1756" spans="1:20">
      <c r="A1756" s="9">
        <v>10924</v>
      </c>
      <c r="B1756" s="6">
        <v>28</v>
      </c>
      <c r="C1756" s="6">
        <v>45.6</v>
      </c>
      <c r="D1756" s="6">
        <v>30</v>
      </c>
      <c r="E1756" s="18">
        <v>0.1</v>
      </c>
      <c r="F1756" s="6" t="str">
        <f>IFERROR(VLOOKUP(VLOOKUP(A1756,'Sales Order'!A:B,2,FALSE),Customer!A:C,3,FALSE),"Not Specified")</f>
        <v>Higginbotham, Tom</v>
      </c>
      <c r="G1756" s="6" t="str">
        <f t="shared" si="54"/>
        <v>Higginbotham Tom</v>
      </c>
      <c r="H1756" s="22" t="str">
        <f>IFERROR(VLOOKUP(VLOOKUP(A1756,'Sales Order'!A:C,3,FALSE),Employee!A:E,5,FALSE)&amp;" "&amp;VLOOKUP(VLOOKUP(A1756,'Sales Order'!A:C,3,FALSE),Employee!A:C,3,FALSE)&amp;" "&amp;VLOOKUP(VLOOKUP(A1756,'Sales Order'!A:C,3,FALSE),Employee!A:B,2,FALSE),"Not Specified")</f>
        <v>Ms. Judy Lew</v>
      </c>
      <c r="I1756" t="str">
        <f>IFERROR(VLOOKUP(VLOOKUP(A1756,'Sales Order'!A:C,3,FALSE),Employee!A:J,10,FALSE),"Not Specified")</f>
        <v>WA</v>
      </c>
      <c r="J1756" t="str">
        <f>VLOOKUP(B1756,Product!A:B,2,FALSE)</f>
        <v>Product OFBNT</v>
      </c>
      <c r="K1756" t="str">
        <f>VLOOKUP(VLOOKUP(B1756,Product!A:D,4,FALSE),Category!A:B,2,FALSE)</f>
        <v>Produce</v>
      </c>
      <c r="L1756" s="24">
        <f>IFERROR(VLOOKUP(A1756,'Sales Order'!A:D,4,FALSE),"")</f>
        <v>39511</v>
      </c>
      <c r="M1756" s="24">
        <f>IFERROR(VLOOKUP(A1756,'Sales Order'!A:F,6,FALSE),"")</f>
        <v>39546</v>
      </c>
      <c r="N1756" t="str">
        <f>IFERROR(VLOOKUP(VLOOKUP(A1756,'Sales Order'!A:G,7,FALSE),Shipper!A:B,2,FALSE),"Not Specified")</f>
        <v>Shipper ETYNR</v>
      </c>
      <c r="O1756" t="str">
        <f>IFERROR(VLOOKUP(A1756,'Sales Order'!A:I,9,FALSE),"Not Specified")</f>
        <v>Ship to 5-A</v>
      </c>
      <c r="P1756" t="str">
        <f>IFERROR(VLOOKUP(A1756,'Sales Order'!A:N,14,FALSE),"Not Specified")</f>
        <v>Sweden</v>
      </c>
      <c r="Q1756" t="str">
        <f>VLOOKUP(VLOOKUP(B1756,Product!A:C,3,FALSE),Supplier!A:B,2,FALSE)</f>
        <v>Supplier SVIYA</v>
      </c>
      <c r="R1756" t="str">
        <f>VLOOKUP(VLOOKUP(B1756,Product!A:C,3,FALSE),Supplier!A:I,9,FALSE)</f>
        <v>Germany</v>
      </c>
      <c r="S1756" t="str">
        <f>IFERROR(IF(VLOOKUP(A1756,'Sales Order'!A:H,8,FALSE)&gt;100,"High Freight","Low Freight"),"Not Specified")</f>
        <v>High Freight</v>
      </c>
      <c r="T1756">
        <f t="shared" si="55"/>
        <v>1231.2</v>
      </c>
    </row>
    <row r="1757" spans="1:20">
      <c r="A1757" s="9">
        <v>10924</v>
      </c>
      <c r="B1757" s="6">
        <v>75</v>
      </c>
      <c r="C1757" s="6">
        <v>7.75</v>
      </c>
      <c r="D1757" s="6">
        <v>6</v>
      </c>
      <c r="E1757" s="18">
        <v>0</v>
      </c>
      <c r="F1757" s="6" t="str">
        <f>IFERROR(VLOOKUP(VLOOKUP(A1757,'Sales Order'!A:B,2,FALSE),Customer!A:C,3,FALSE),"Not Specified")</f>
        <v>Higginbotham, Tom</v>
      </c>
      <c r="G1757" s="6" t="str">
        <f t="shared" si="54"/>
        <v>Higginbotham Tom</v>
      </c>
      <c r="H1757" s="22" t="str">
        <f>IFERROR(VLOOKUP(VLOOKUP(A1757,'Sales Order'!A:C,3,FALSE),Employee!A:E,5,FALSE)&amp;" "&amp;VLOOKUP(VLOOKUP(A1757,'Sales Order'!A:C,3,FALSE),Employee!A:C,3,FALSE)&amp;" "&amp;VLOOKUP(VLOOKUP(A1757,'Sales Order'!A:C,3,FALSE),Employee!A:B,2,FALSE),"Not Specified")</f>
        <v>Ms. Judy Lew</v>
      </c>
      <c r="I1757" t="str">
        <f>IFERROR(VLOOKUP(VLOOKUP(A1757,'Sales Order'!A:C,3,FALSE),Employee!A:J,10,FALSE),"Not Specified")</f>
        <v>WA</v>
      </c>
      <c r="J1757" t="str">
        <f>VLOOKUP(B1757,Product!A:B,2,FALSE)</f>
        <v>Product BWRLG</v>
      </c>
      <c r="K1757" t="str">
        <f>VLOOKUP(VLOOKUP(B1757,Product!A:D,4,FALSE),Category!A:B,2,FALSE)</f>
        <v>Beverages</v>
      </c>
      <c r="L1757" s="24">
        <f>IFERROR(VLOOKUP(A1757,'Sales Order'!A:D,4,FALSE),"")</f>
        <v>39511</v>
      </c>
      <c r="M1757" s="24">
        <f>IFERROR(VLOOKUP(A1757,'Sales Order'!A:F,6,FALSE),"")</f>
        <v>39546</v>
      </c>
      <c r="N1757" t="str">
        <f>IFERROR(VLOOKUP(VLOOKUP(A1757,'Sales Order'!A:G,7,FALSE),Shipper!A:B,2,FALSE),"Not Specified")</f>
        <v>Shipper ETYNR</v>
      </c>
      <c r="O1757" t="str">
        <f>IFERROR(VLOOKUP(A1757,'Sales Order'!A:I,9,FALSE),"Not Specified")</f>
        <v>Ship to 5-A</v>
      </c>
      <c r="P1757" t="str">
        <f>IFERROR(VLOOKUP(A1757,'Sales Order'!A:N,14,FALSE),"Not Specified")</f>
        <v>Sweden</v>
      </c>
      <c r="Q1757" t="str">
        <f>VLOOKUP(VLOOKUP(B1757,Product!A:C,3,FALSE),Supplier!A:B,2,FALSE)</f>
        <v>Supplier SVIYA</v>
      </c>
      <c r="R1757" t="str">
        <f>VLOOKUP(VLOOKUP(B1757,Product!A:C,3,FALSE),Supplier!A:I,9,FALSE)</f>
        <v>Germany</v>
      </c>
      <c r="S1757" t="str">
        <f>IFERROR(IF(VLOOKUP(A1757,'Sales Order'!A:H,8,FALSE)&gt;100,"High Freight","Low Freight"),"Not Specified")</f>
        <v>High Freight</v>
      </c>
      <c r="T1757">
        <f t="shared" si="55"/>
        <v>46.5</v>
      </c>
    </row>
    <row r="1758" spans="1:20">
      <c r="A1758" s="9">
        <v>10925</v>
      </c>
      <c r="B1758" s="6">
        <v>36</v>
      </c>
      <c r="C1758" s="6">
        <v>19</v>
      </c>
      <c r="D1758" s="6">
        <v>25</v>
      </c>
      <c r="E1758" s="18">
        <v>0.15</v>
      </c>
      <c r="F1758" s="6" t="str">
        <f>IFERROR(VLOOKUP(VLOOKUP(A1758,'Sales Order'!A:B,2,FALSE),Customer!A:C,3,FALSE),"Not Specified")</f>
        <v>Cohen, Shy</v>
      </c>
      <c r="G1758" s="6" t="str">
        <f t="shared" si="54"/>
        <v>Cohen Shy</v>
      </c>
      <c r="H1758" s="22" t="str">
        <f>IFERROR(VLOOKUP(VLOOKUP(A1758,'Sales Order'!A:C,3,FALSE),Employee!A:E,5,FALSE)&amp;" "&amp;VLOOKUP(VLOOKUP(A1758,'Sales Order'!A:C,3,FALSE),Employee!A:C,3,FALSE)&amp;" "&amp;VLOOKUP(VLOOKUP(A1758,'Sales Order'!A:C,3,FALSE),Employee!A:B,2,FALSE),"Not Specified")</f>
        <v>Ms. Judy Lew</v>
      </c>
      <c r="I1758" t="str">
        <f>IFERROR(VLOOKUP(VLOOKUP(A1758,'Sales Order'!A:C,3,FALSE),Employee!A:J,10,FALSE),"Not Specified")</f>
        <v>WA</v>
      </c>
      <c r="J1758" t="str">
        <f>VLOOKUP(B1758,Product!A:B,2,FALSE)</f>
        <v>Product GMKIJ</v>
      </c>
      <c r="K1758" t="str">
        <f>VLOOKUP(VLOOKUP(B1758,Product!A:D,4,FALSE),Category!A:B,2,FALSE)</f>
        <v>Seafood</v>
      </c>
      <c r="L1758" s="24">
        <f>IFERROR(VLOOKUP(A1758,'Sales Order'!A:D,4,FALSE),"")</f>
        <v>39511</v>
      </c>
      <c r="M1758" s="24">
        <f>IFERROR(VLOOKUP(A1758,'Sales Order'!A:F,6,FALSE),"")</f>
        <v>39520</v>
      </c>
      <c r="N1758" t="str">
        <f>IFERROR(VLOOKUP(VLOOKUP(A1758,'Sales Order'!A:G,7,FALSE),Shipper!A:B,2,FALSE),"Not Specified")</f>
        <v>Shipper GVSUA</v>
      </c>
      <c r="O1758" t="str">
        <f>IFERROR(VLOOKUP(A1758,'Sales Order'!A:I,9,FALSE),"Not Specified")</f>
        <v>Destination JPAIY</v>
      </c>
      <c r="P1758" t="str">
        <f>IFERROR(VLOOKUP(A1758,'Sales Order'!A:N,14,FALSE),"Not Specified")</f>
        <v>Brazil</v>
      </c>
      <c r="Q1758" t="str">
        <f>VLOOKUP(VLOOKUP(B1758,Product!A:C,3,FALSE),Supplier!A:B,2,FALSE)</f>
        <v>Supplier QZGUF</v>
      </c>
      <c r="R1758" t="str">
        <f>VLOOKUP(VLOOKUP(B1758,Product!A:C,3,FALSE),Supplier!A:I,9,FALSE)</f>
        <v>Sweden</v>
      </c>
      <c r="S1758" t="str">
        <f>IFERROR(IF(VLOOKUP(A1758,'Sales Order'!A:H,8,FALSE)&gt;100,"High Freight","Low Freight"),"Not Specified")</f>
        <v>Low Freight</v>
      </c>
      <c r="T1758">
        <f t="shared" si="55"/>
        <v>403.75</v>
      </c>
    </row>
    <row r="1759" spans="1:20">
      <c r="A1759" s="9">
        <v>10925</v>
      </c>
      <c r="B1759" s="6">
        <v>52</v>
      </c>
      <c r="C1759" s="6">
        <v>7</v>
      </c>
      <c r="D1759" s="6">
        <v>12</v>
      </c>
      <c r="E1759" s="18">
        <v>0.15</v>
      </c>
      <c r="F1759" s="6" t="str">
        <f>IFERROR(VLOOKUP(VLOOKUP(A1759,'Sales Order'!A:B,2,FALSE),Customer!A:C,3,FALSE),"Not Specified")</f>
        <v>Cohen, Shy</v>
      </c>
      <c r="G1759" s="6" t="str">
        <f t="shared" si="54"/>
        <v>Cohen Shy</v>
      </c>
      <c r="H1759" s="22" t="str">
        <f>IFERROR(VLOOKUP(VLOOKUP(A1759,'Sales Order'!A:C,3,FALSE),Employee!A:E,5,FALSE)&amp;" "&amp;VLOOKUP(VLOOKUP(A1759,'Sales Order'!A:C,3,FALSE),Employee!A:C,3,FALSE)&amp;" "&amp;VLOOKUP(VLOOKUP(A1759,'Sales Order'!A:C,3,FALSE),Employee!A:B,2,FALSE),"Not Specified")</f>
        <v>Ms. Judy Lew</v>
      </c>
      <c r="I1759" t="str">
        <f>IFERROR(VLOOKUP(VLOOKUP(A1759,'Sales Order'!A:C,3,FALSE),Employee!A:J,10,FALSE),"Not Specified")</f>
        <v>WA</v>
      </c>
      <c r="J1759" t="str">
        <f>VLOOKUP(B1759,Product!A:B,2,FALSE)</f>
        <v>Product QSRXF</v>
      </c>
      <c r="K1759" t="str">
        <f>VLOOKUP(VLOOKUP(B1759,Product!A:D,4,FALSE),Category!A:B,2,FALSE)</f>
        <v>Grains/Cereals</v>
      </c>
      <c r="L1759" s="24">
        <f>IFERROR(VLOOKUP(A1759,'Sales Order'!A:D,4,FALSE),"")</f>
        <v>39511</v>
      </c>
      <c r="M1759" s="24">
        <f>IFERROR(VLOOKUP(A1759,'Sales Order'!A:F,6,FALSE),"")</f>
        <v>39520</v>
      </c>
      <c r="N1759" t="str">
        <f>IFERROR(VLOOKUP(VLOOKUP(A1759,'Sales Order'!A:G,7,FALSE),Shipper!A:B,2,FALSE),"Not Specified")</f>
        <v>Shipper GVSUA</v>
      </c>
      <c r="O1759" t="str">
        <f>IFERROR(VLOOKUP(A1759,'Sales Order'!A:I,9,FALSE),"Not Specified")</f>
        <v>Destination JPAIY</v>
      </c>
      <c r="P1759" t="str">
        <f>IFERROR(VLOOKUP(A1759,'Sales Order'!A:N,14,FALSE),"Not Specified")</f>
        <v>Brazil</v>
      </c>
      <c r="Q1759" t="str">
        <f>VLOOKUP(VLOOKUP(B1759,Product!A:C,3,FALSE),Supplier!A:B,2,FALSE)</f>
        <v>Supplier JNNES</v>
      </c>
      <c r="R1759" t="str">
        <f>VLOOKUP(VLOOKUP(B1759,Product!A:C,3,FALSE),Supplier!A:I,9,FALSE)</f>
        <v>Australia</v>
      </c>
      <c r="S1759" t="str">
        <f>IFERROR(IF(VLOOKUP(A1759,'Sales Order'!A:H,8,FALSE)&gt;100,"High Freight","Low Freight"),"Not Specified")</f>
        <v>Low Freight</v>
      </c>
      <c r="T1759">
        <f t="shared" si="55"/>
        <v>71.399999999999991</v>
      </c>
    </row>
    <row r="1760" spans="1:20">
      <c r="A1760" s="9">
        <v>10926</v>
      </c>
      <c r="B1760" s="6">
        <v>11</v>
      </c>
      <c r="C1760" s="6">
        <v>21</v>
      </c>
      <c r="D1760" s="6">
        <v>2</v>
      </c>
      <c r="E1760" s="18">
        <v>0</v>
      </c>
      <c r="F1760" s="6" t="str">
        <f>IFERROR(VLOOKUP(VLOOKUP(A1760,'Sales Order'!A:B,2,FALSE),Customer!A:C,3,FALSE),"Not Specified")</f>
        <v>Hassall, Mark</v>
      </c>
      <c r="G1760" s="6" t="str">
        <f t="shared" si="54"/>
        <v>Hassall Mark</v>
      </c>
      <c r="H1760" s="22" t="str">
        <f>IFERROR(VLOOKUP(VLOOKUP(A1760,'Sales Order'!A:C,3,FALSE),Employee!A:E,5,FALSE)&amp;" "&amp;VLOOKUP(VLOOKUP(A1760,'Sales Order'!A:C,3,FALSE),Employee!A:C,3,FALSE)&amp;" "&amp;VLOOKUP(VLOOKUP(A1760,'Sales Order'!A:C,3,FALSE),Employee!A:B,2,FALSE),"Not Specified")</f>
        <v>Mrs. Yael Peled</v>
      </c>
      <c r="I1760" t="str">
        <f>IFERROR(VLOOKUP(VLOOKUP(A1760,'Sales Order'!A:C,3,FALSE),Employee!A:J,10,FALSE),"Not Specified")</f>
        <v>WA</v>
      </c>
      <c r="J1760" t="str">
        <f>VLOOKUP(B1760,Product!A:B,2,FALSE)</f>
        <v>Product QMVUN</v>
      </c>
      <c r="K1760" t="str">
        <f>VLOOKUP(VLOOKUP(B1760,Product!A:D,4,FALSE),Category!A:B,2,FALSE)</f>
        <v>Dairy Product</v>
      </c>
      <c r="L1760" s="24">
        <f>IFERROR(VLOOKUP(A1760,'Sales Order'!A:D,4,FALSE),"")</f>
        <v>39511</v>
      </c>
      <c r="M1760" s="24">
        <f>IFERROR(VLOOKUP(A1760,'Sales Order'!A:F,6,FALSE),"")</f>
        <v>39518</v>
      </c>
      <c r="N1760" t="str">
        <f>IFERROR(VLOOKUP(VLOOKUP(A1760,'Sales Order'!A:G,7,FALSE),Shipper!A:B,2,FALSE),"Not Specified")</f>
        <v>Shipper ZHISN</v>
      </c>
      <c r="O1760" t="str">
        <f>IFERROR(VLOOKUP(A1760,'Sales Order'!A:I,9,FALSE),"Not Specified")</f>
        <v>Destination RAIGI</v>
      </c>
      <c r="P1760" t="str">
        <f>IFERROR(VLOOKUP(A1760,'Sales Order'!A:N,14,FALSE),"Not Specified")</f>
        <v>Mexico</v>
      </c>
      <c r="Q1760" t="str">
        <f>VLOOKUP(VLOOKUP(B1760,Product!A:C,3,FALSE),Supplier!A:B,2,FALSE)</f>
        <v>Supplier EQPNC</v>
      </c>
      <c r="R1760" t="str">
        <f>VLOOKUP(VLOOKUP(B1760,Product!A:C,3,FALSE),Supplier!A:I,9,FALSE)</f>
        <v>Spain</v>
      </c>
      <c r="S1760" t="str">
        <f>IFERROR(IF(VLOOKUP(A1760,'Sales Order'!A:H,8,FALSE)&gt;100,"High Freight","Low Freight"),"Not Specified")</f>
        <v>Low Freight</v>
      </c>
      <c r="T1760">
        <f t="shared" si="55"/>
        <v>42</v>
      </c>
    </row>
    <row r="1761" spans="1:20">
      <c r="A1761" s="9">
        <v>10926</v>
      </c>
      <c r="B1761" s="6">
        <v>13</v>
      </c>
      <c r="C1761" s="6">
        <v>6</v>
      </c>
      <c r="D1761" s="6">
        <v>10</v>
      </c>
      <c r="E1761" s="18">
        <v>0</v>
      </c>
      <c r="F1761" s="6" t="str">
        <f>IFERROR(VLOOKUP(VLOOKUP(A1761,'Sales Order'!A:B,2,FALSE),Customer!A:C,3,FALSE),"Not Specified")</f>
        <v>Hassall, Mark</v>
      </c>
      <c r="G1761" s="6" t="str">
        <f t="shared" si="54"/>
        <v>Hassall Mark</v>
      </c>
      <c r="H1761" s="22" t="str">
        <f>IFERROR(VLOOKUP(VLOOKUP(A1761,'Sales Order'!A:C,3,FALSE),Employee!A:E,5,FALSE)&amp;" "&amp;VLOOKUP(VLOOKUP(A1761,'Sales Order'!A:C,3,FALSE),Employee!A:C,3,FALSE)&amp;" "&amp;VLOOKUP(VLOOKUP(A1761,'Sales Order'!A:C,3,FALSE),Employee!A:B,2,FALSE),"Not Specified")</f>
        <v>Mrs. Yael Peled</v>
      </c>
      <c r="I1761" t="str">
        <f>IFERROR(VLOOKUP(VLOOKUP(A1761,'Sales Order'!A:C,3,FALSE),Employee!A:J,10,FALSE),"Not Specified")</f>
        <v>WA</v>
      </c>
      <c r="J1761" t="str">
        <f>VLOOKUP(B1761,Product!A:B,2,FALSE)</f>
        <v>Product POXFU</v>
      </c>
      <c r="K1761" t="str">
        <f>VLOOKUP(VLOOKUP(B1761,Product!A:D,4,FALSE),Category!A:B,2,FALSE)</f>
        <v>Seafood</v>
      </c>
      <c r="L1761" s="24">
        <f>IFERROR(VLOOKUP(A1761,'Sales Order'!A:D,4,FALSE),"")</f>
        <v>39511</v>
      </c>
      <c r="M1761" s="24">
        <f>IFERROR(VLOOKUP(A1761,'Sales Order'!A:F,6,FALSE),"")</f>
        <v>39518</v>
      </c>
      <c r="N1761" t="str">
        <f>IFERROR(VLOOKUP(VLOOKUP(A1761,'Sales Order'!A:G,7,FALSE),Shipper!A:B,2,FALSE),"Not Specified")</f>
        <v>Shipper ZHISN</v>
      </c>
      <c r="O1761" t="str">
        <f>IFERROR(VLOOKUP(A1761,'Sales Order'!A:I,9,FALSE),"Not Specified")</f>
        <v>Destination RAIGI</v>
      </c>
      <c r="P1761" t="str">
        <f>IFERROR(VLOOKUP(A1761,'Sales Order'!A:N,14,FALSE),"Not Specified")</f>
        <v>Mexico</v>
      </c>
      <c r="Q1761" t="str">
        <f>VLOOKUP(VLOOKUP(B1761,Product!A:C,3,FALSE),Supplier!A:B,2,FALSE)</f>
        <v>Supplier QWUSF</v>
      </c>
      <c r="R1761" t="str">
        <f>VLOOKUP(VLOOKUP(B1761,Product!A:C,3,FALSE),Supplier!A:I,9,FALSE)</f>
        <v>Japan</v>
      </c>
      <c r="S1761" t="str">
        <f>IFERROR(IF(VLOOKUP(A1761,'Sales Order'!A:H,8,FALSE)&gt;100,"High Freight","Low Freight"),"Not Specified")</f>
        <v>Low Freight</v>
      </c>
      <c r="T1761">
        <f t="shared" si="55"/>
        <v>60</v>
      </c>
    </row>
    <row r="1762" spans="1:20">
      <c r="A1762" s="9">
        <v>10926</v>
      </c>
      <c r="B1762" s="6">
        <v>19</v>
      </c>
      <c r="C1762" s="6">
        <v>9.1999999999999993</v>
      </c>
      <c r="D1762" s="6">
        <v>7</v>
      </c>
      <c r="E1762" s="18">
        <v>0</v>
      </c>
      <c r="F1762" s="6" t="str">
        <f>IFERROR(VLOOKUP(VLOOKUP(A1762,'Sales Order'!A:B,2,FALSE),Customer!A:C,3,FALSE),"Not Specified")</f>
        <v>Hassall, Mark</v>
      </c>
      <c r="G1762" s="6" t="str">
        <f t="shared" si="54"/>
        <v>Hassall Mark</v>
      </c>
      <c r="H1762" s="22" t="str">
        <f>IFERROR(VLOOKUP(VLOOKUP(A1762,'Sales Order'!A:C,3,FALSE),Employee!A:E,5,FALSE)&amp;" "&amp;VLOOKUP(VLOOKUP(A1762,'Sales Order'!A:C,3,FALSE),Employee!A:C,3,FALSE)&amp;" "&amp;VLOOKUP(VLOOKUP(A1762,'Sales Order'!A:C,3,FALSE),Employee!A:B,2,FALSE),"Not Specified")</f>
        <v>Mrs. Yael Peled</v>
      </c>
      <c r="I1762" t="str">
        <f>IFERROR(VLOOKUP(VLOOKUP(A1762,'Sales Order'!A:C,3,FALSE),Employee!A:J,10,FALSE),"Not Specified")</f>
        <v>WA</v>
      </c>
      <c r="J1762" t="str">
        <f>VLOOKUP(B1762,Product!A:B,2,FALSE)</f>
        <v>Product XKXDO</v>
      </c>
      <c r="K1762" t="str">
        <f>VLOOKUP(VLOOKUP(B1762,Product!A:D,4,FALSE),Category!A:B,2,FALSE)</f>
        <v>Confections</v>
      </c>
      <c r="L1762" s="24">
        <f>IFERROR(VLOOKUP(A1762,'Sales Order'!A:D,4,FALSE),"")</f>
        <v>39511</v>
      </c>
      <c r="M1762" s="24">
        <f>IFERROR(VLOOKUP(A1762,'Sales Order'!A:F,6,FALSE),"")</f>
        <v>39518</v>
      </c>
      <c r="N1762" t="str">
        <f>IFERROR(VLOOKUP(VLOOKUP(A1762,'Sales Order'!A:G,7,FALSE),Shipper!A:B,2,FALSE),"Not Specified")</f>
        <v>Shipper ZHISN</v>
      </c>
      <c r="O1762" t="str">
        <f>IFERROR(VLOOKUP(A1762,'Sales Order'!A:I,9,FALSE),"Not Specified")</f>
        <v>Destination RAIGI</v>
      </c>
      <c r="P1762" t="str">
        <f>IFERROR(VLOOKUP(A1762,'Sales Order'!A:N,14,FALSE),"Not Specified")</f>
        <v>Mexico</v>
      </c>
      <c r="Q1762" t="str">
        <f>VLOOKUP(VLOOKUP(B1762,Product!A:C,3,FALSE),Supplier!A:B,2,FALSE)</f>
        <v>Supplier BWGYE</v>
      </c>
      <c r="R1762" t="str">
        <f>VLOOKUP(VLOOKUP(B1762,Product!A:C,3,FALSE),Supplier!A:I,9,FALSE)</f>
        <v>UK</v>
      </c>
      <c r="S1762" t="str">
        <f>IFERROR(IF(VLOOKUP(A1762,'Sales Order'!A:H,8,FALSE)&gt;100,"High Freight","Low Freight"),"Not Specified")</f>
        <v>Low Freight</v>
      </c>
      <c r="T1762">
        <f t="shared" si="55"/>
        <v>64.399999999999991</v>
      </c>
    </row>
    <row r="1763" spans="1:20">
      <c r="A1763" s="9">
        <v>10926</v>
      </c>
      <c r="B1763" s="6">
        <v>72</v>
      </c>
      <c r="C1763" s="6">
        <v>34.799999999999997</v>
      </c>
      <c r="D1763" s="6">
        <v>10</v>
      </c>
      <c r="E1763" s="18">
        <v>0</v>
      </c>
      <c r="F1763" s="6" t="str">
        <f>IFERROR(VLOOKUP(VLOOKUP(A1763,'Sales Order'!A:B,2,FALSE),Customer!A:C,3,FALSE),"Not Specified")</f>
        <v>Hassall, Mark</v>
      </c>
      <c r="G1763" s="6" t="str">
        <f t="shared" si="54"/>
        <v>Hassall Mark</v>
      </c>
      <c r="H1763" s="22" t="str">
        <f>IFERROR(VLOOKUP(VLOOKUP(A1763,'Sales Order'!A:C,3,FALSE),Employee!A:E,5,FALSE)&amp;" "&amp;VLOOKUP(VLOOKUP(A1763,'Sales Order'!A:C,3,FALSE),Employee!A:C,3,FALSE)&amp;" "&amp;VLOOKUP(VLOOKUP(A1763,'Sales Order'!A:C,3,FALSE),Employee!A:B,2,FALSE),"Not Specified")</f>
        <v>Mrs. Yael Peled</v>
      </c>
      <c r="I1763" t="str">
        <f>IFERROR(VLOOKUP(VLOOKUP(A1763,'Sales Order'!A:C,3,FALSE),Employee!A:J,10,FALSE),"Not Specified")</f>
        <v>WA</v>
      </c>
      <c r="J1763" t="str">
        <f>VLOOKUP(B1763,Product!A:B,2,FALSE)</f>
        <v>Product GEEOO</v>
      </c>
      <c r="K1763" t="str">
        <f>VLOOKUP(VLOOKUP(B1763,Product!A:D,4,FALSE),Category!A:B,2,FALSE)</f>
        <v>Dairy Product</v>
      </c>
      <c r="L1763" s="24">
        <f>IFERROR(VLOOKUP(A1763,'Sales Order'!A:D,4,FALSE),"")</f>
        <v>39511</v>
      </c>
      <c r="M1763" s="24">
        <f>IFERROR(VLOOKUP(A1763,'Sales Order'!A:F,6,FALSE),"")</f>
        <v>39518</v>
      </c>
      <c r="N1763" t="str">
        <f>IFERROR(VLOOKUP(VLOOKUP(A1763,'Sales Order'!A:G,7,FALSE),Shipper!A:B,2,FALSE),"Not Specified")</f>
        <v>Shipper ZHISN</v>
      </c>
      <c r="O1763" t="str">
        <f>IFERROR(VLOOKUP(A1763,'Sales Order'!A:I,9,FALSE),"Not Specified")</f>
        <v>Destination RAIGI</v>
      </c>
      <c r="P1763" t="str">
        <f>IFERROR(VLOOKUP(A1763,'Sales Order'!A:N,14,FALSE),"Not Specified")</f>
        <v>Mexico</v>
      </c>
      <c r="Q1763" t="str">
        <f>VLOOKUP(VLOOKUP(B1763,Product!A:C,3,FALSE),Supplier!A:B,2,FALSE)</f>
        <v>Supplier KEREV</v>
      </c>
      <c r="R1763" t="str">
        <f>VLOOKUP(VLOOKUP(B1763,Product!A:C,3,FALSE),Supplier!A:I,9,FALSE)</f>
        <v>Italy</v>
      </c>
      <c r="S1763" t="str">
        <f>IFERROR(IF(VLOOKUP(A1763,'Sales Order'!A:H,8,FALSE)&gt;100,"High Freight","Low Freight"),"Not Specified")</f>
        <v>Low Freight</v>
      </c>
      <c r="T1763">
        <f t="shared" si="55"/>
        <v>348</v>
      </c>
    </row>
    <row r="1764" spans="1:20">
      <c r="A1764" s="9">
        <v>10927</v>
      </c>
      <c r="B1764" s="6">
        <v>20</v>
      </c>
      <c r="C1764" s="6">
        <v>81</v>
      </c>
      <c r="D1764" s="6">
        <v>5</v>
      </c>
      <c r="E1764" s="18">
        <v>0</v>
      </c>
      <c r="F1764" s="6" t="str">
        <f>IFERROR(VLOOKUP(VLOOKUP(A1764,'Sales Order'!A:B,2,FALSE),Customer!A:C,3,FALSE),"Not Specified")</f>
        <v>De Oliveira, Jose</v>
      </c>
      <c r="G1764" s="6" t="str">
        <f t="shared" si="54"/>
        <v>De Oliveira Jose</v>
      </c>
      <c r="H1764" s="22" t="str">
        <f>IFERROR(VLOOKUP(VLOOKUP(A1764,'Sales Order'!A:C,3,FALSE),Employee!A:E,5,FALSE)&amp;" "&amp;VLOOKUP(VLOOKUP(A1764,'Sales Order'!A:C,3,FALSE),Employee!A:C,3,FALSE)&amp;" "&amp;VLOOKUP(VLOOKUP(A1764,'Sales Order'!A:C,3,FALSE),Employee!A:B,2,FALSE),"Not Specified")</f>
        <v>Mrs. Yael Peled</v>
      </c>
      <c r="I1764" t="str">
        <f>IFERROR(VLOOKUP(VLOOKUP(A1764,'Sales Order'!A:C,3,FALSE),Employee!A:J,10,FALSE),"Not Specified")</f>
        <v>WA</v>
      </c>
      <c r="J1764" t="str">
        <f>VLOOKUP(B1764,Product!A:B,2,FALSE)</f>
        <v>Product QHFFP</v>
      </c>
      <c r="K1764" t="str">
        <f>VLOOKUP(VLOOKUP(B1764,Product!A:D,4,FALSE),Category!A:B,2,FALSE)</f>
        <v>Confections</v>
      </c>
      <c r="L1764" s="24">
        <f>IFERROR(VLOOKUP(A1764,'Sales Order'!A:D,4,FALSE),"")</f>
        <v>39512</v>
      </c>
      <c r="M1764" s="24">
        <f>IFERROR(VLOOKUP(A1764,'Sales Order'!A:F,6,FALSE),"")</f>
        <v>39546</v>
      </c>
      <c r="N1764" t="str">
        <f>IFERROR(VLOOKUP(VLOOKUP(A1764,'Sales Order'!A:G,7,FALSE),Shipper!A:B,2,FALSE),"Not Specified")</f>
        <v>Shipper GVSUA</v>
      </c>
      <c r="O1764" t="str">
        <f>IFERROR(VLOOKUP(A1764,'Sales Order'!A:I,9,FALSE),"Not Specified")</f>
        <v>Destination WWJLO</v>
      </c>
      <c r="P1764" t="str">
        <f>IFERROR(VLOOKUP(A1764,'Sales Order'!A:N,14,FALSE),"Not Specified")</f>
        <v>France</v>
      </c>
      <c r="Q1764" t="str">
        <f>VLOOKUP(VLOOKUP(B1764,Product!A:C,3,FALSE),Supplier!A:B,2,FALSE)</f>
        <v>Supplier BWGYE</v>
      </c>
      <c r="R1764" t="str">
        <f>VLOOKUP(VLOOKUP(B1764,Product!A:C,3,FALSE),Supplier!A:I,9,FALSE)</f>
        <v>UK</v>
      </c>
      <c r="S1764" t="str">
        <f>IFERROR(IF(VLOOKUP(A1764,'Sales Order'!A:H,8,FALSE)&gt;100,"High Freight","Low Freight"),"Not Specified")</f>
        <v>Low Freight</v>
      </c>
      <c r="T1764">
        <f t="shared" si="55"/>
        <v>405</v>
      </c>
    </row>
    <row r="1765" spans="1:20">
      <c r="A1765" s="9">
        <v>10927</v>
      </c>
      <c r="B1765" s="6">
        <v>52</v>
      </c>
      <c r="C1765" s="6">
        <v>7</v>
      </c>
      <c r="D1765" s="6">
        <v>5</v>
      </c>
      <c r="E1765" s="18">
        <v>0</v>
      </c>
      <c r="F1765" s="6" t="str">
        <f>IFERROR(VLOOKUP(VLOOKUP(A1765,'Sales Order'!A:B,2,FALSE),Customer!A:C,3,FALSE),"Not Specified")</f>
        <v>De Oliveira, Jose</v>
      </c>
      <c r="G1765" s="6" t="str">
        <f t="shared" si="54"/>
        <v>De Oliveira Jose</v>
      </c>
      <c r="H1765" s="22" t="str">
        <f>IFERROR(VLOOKUP(VLOOKUP(A1765,'Sales Order'!A:C,3,FALSE),Employee!A:E,5,FALSE)&amp;" "&amp;VLOOKUP(VLOOKUP(A1765,'Sales Order'!A:C,3,FALSE),Employee!A:C,3,FALSE)&amp;" "&amp;VLOOKUP(VLOOKUP(A1765,'Sales Order'!A:C,3,FALSE),Employee!A:B,2,FALSE),"Not Specified")</f>
        <v>Mrs. Yael Peled</v>
      </c>
      <c r="I1765" t="str">
        <f>IFERROR(VLOOKUP(VLOOKUP(A1765,'Sales Order'!A:C,3,FALSE),Employee!A:J,10,FALSE),"Not Specified")</f>
        <v>WA</v>
      </c>
      <c r="J1765" t="str">
        <f>VLOOKUP(B1765,Product!A:B,2,FALSE)</f>
        <v>Product QSRXF</v>
      </c>
      <c r="K1765" t="str">
        <f>VLOOKUP(VLOOKUP(B1765,Product!A:D,4,FALSE),Category!A:B,2,FALSE)</f>
        <v>Grains/Cereals</v>
      </c>
      <c r="L1765" s="24">
        <f>IFERROR(VLOOKUP(A1765,'Sales Order'!A:D,4,FALSE),"")</f>
        <v>39512</v>
      </c>
      <c r="M1765" s="24">
        <f>IFERROR(VLOOKUP(A1765,'Sales Order'!A:F,6,FALSE),"")</f>
        <v>39546</v>
      </c>
      <c r="N1765" t="str">
        <f>IFERROR(VLOOKUP(VLOOKUP(A1765,'Sales Order'!A:G,7,FALSE),Shipper!A:B,2,FALSE),"Not Specified")</f>
        <v>Shipper GVSUA</v>
      </c>
      <c r="O1765" t="str">
        <f>IFERROR(VLOOKUP(A1765,'Sales Order'!A:I,9,FALSE),"Not Specified")</f>
        <v>Destination WWJLO</v>
      </c>
      <c r="P1765" t="str">
        <f>IFERROR(VLOOKUP(A1765,'Sales Order'!A:N,14,FALSE),"Not Specified")</f>
        <v>France</v>
      </c>
      <c r="Q1765" t="str">
        <f>VLOOKUP(VLOOKUP(B1765,Product!A:C,3,FALSE),Supplier!A:B,2,FALSE)</f>
        <v>Supplier JNNES</v>
      </c>
      <c r="R1765" t="str">
        <f>VLOOKUP(VLOOKUP(B1765,Product!A:C,3,FALSE),Supplier!A:I,9,FALSE)</f>
        <v>Australia</v>
      </c>
      <c r="S1765" t="str">
        <f>IFERROR(IF(VLOOKUP(A1765,'Sales Order'!A:H,8,FALSE)&gt;100,"High Freight","Low Freight"),"Not Specified")</f>
        <v>Low Freight</v>
      </c>
      <c r="T1765">
        <f t="shared" si="55"/>
        <v>35</v>
      </c>
    </row>
    <row r="1766" spans="1:20">
      <c r="A1766" s="9">
        <v>10927</v>
      </c>
      <c r="B1766" s="6">
        <v>76</v>
      </c>
      <c r="C1766" s="6">
        <v>18</v>
      </c>
      <c r="D1766" s="6">
        <v>20</v>
      </c>
      <c r="E1766" s="18">
        <v>0</v>
      </c>
      <c r="F1766" s="6" t="str">
        <f>IFERROR(VLOOKUP(VLOOKUP(A1766,'Sales Order'!A:B,2,FALSE),Customer!A:C,3,FALSE),"Not Specified")</f>
        <v>De Oliveira, Jose</v>
      </c>
      <c r="G1766" s="6" t="str">
        <f t="shared" si="54"/>
        <v>De Oliveira Jose</v>
      </c>
      <c r="H1766" s="22" t="str">
        <f>IFERROR(VLOOKUP(VLOOKUP(A1766,'Sales Order'!A:C,3,FALSE),Employee!A:E,5,FALSE)&amp;" "&amp;VLOOKUP(VLOOKUP(A1766,'Sales Order'!A:C,3,FALSE),Employee!A:C,3,FALSE)&amp;" "&amp;VLOOKUP(VLOOKUP(A1766,'Sales Order'!A:C,3,FALSE),Employee!A:B,2,FALSE),"Not Specified")</f>
        <v>Mrs. Yael Peled</v>
      </c>
      <c r="I1766" t="str">
        <f>IFERROR(VLOOKUP(VLOOKUP(A1766,'Sales Order'!A:C,3,FALSE),Employee!A:J,10,FALSE),"Not Specified")</f>
        <v>WA</v>
      </c>
      <c r="J1766" t="str">
        <f>VLOOKUP(B1766,Product!A:B,2,FALSE)</f>
        <v>Product JYGFE</v>
      </c>
      <c r="K1766" t="str">
        <f>VLOOKUP(VLOOKUP(B1766,Product!A:D,4,FALSE),Category!A:B,2,FALSE)</f>
        <v>Beverages</v>
      </c>
      <c r="L1766" s="24">
        <f>IFERROR(VLOOKUP(A1766,'Sales Order'!A:D,4,FALSE),"")</f>
        <v>39512</v>
      </c>
      <c r="M1766" s="24">
        <f>IFERROR(VLOOKUP(A1766,'Sales Order'!A:F,6,FALSE),"")</f>
        <v>39546</v>
      </c>
      <c r="N1766" t="str">
        <f>IFERROR(VLOOKUP(VLOOKUP(A1766,'Sales Order'!A:G,7,FALSE),Shipper!A:B,2,FALSE),"Not Specified")</f>
        <v>Shipper GVSUA</v>
      </c>
      <c r="O1766" t="str">
        <f>IFERROR(VLOOKUP(A1766,'Sales Order'!A:I,9,FALSE),"Not Specified")</f>
        <v>Destination WWJLO</v>
      </c>
      <c r="P1766" t="str">
        <f>IFERROR(VLOOKUP(A1766,'Sales Order'!A:N,14,FALSE),"Not Specified")</f>
        <v>France</v>
      </c>
      <c r="Q1766" t="str">
        <f>VLOOKUP(VLOOKUP(B1766,Product!A:C,3,FALSE),Supplier!A:B,2,FALSE)</f>
        <v>Supplier ELCRN</v>
      </c>
      <c r="R1766" t="str">
        <f>VLOOKUP(VLOOKUP(B1766,Product!A:C,3,FALSE),Supplier!A:I,9,FALSE)</f>
        <v>Finland</v>
      </c>
      <c r="S1766" t="str">
        <f>IFERROR(IF(VLOOKUP(A1766,'Sales Order'!A:H,8,FALSE)&gt;100,"High Freight","Low Freight"),"Not Specified")</f>
        <v>Low Freight</v>
      </c>
      <c r="T1766">
        <f t="shared" si="55"/>
        <v>360</v>
      </c>
    </row>
    <row r="1767" spans="1:20">
      <c r="A1767" s="9">
        <v>10928</v>
      </c>
      <c r="B1767" s="6">
        <v>47</v>
      </c>
      <c r="C1767" s="6">
        <v>9.5</v>
      </c>
      <c r="D1767" s="6">
        <v>5</v>
      </c>
      <c r="E1767" s="18">
        <v>0</v>
      </c>
      <c r="F1767" s="6" t="str">
        <f>IFERROR(VLOOKUP(VLOOKUP(A1767,'Sales Order'!A:B,2,FALSE),Customer!A:C,3,FALSE),"Not Specified")</f>
        <v>Kolesnikova, Katerina</v>
      </c>
      <c r="G1767" s="6" t="str">
        <f t="shared" si="54"/>
        <v>Kolesnikova Katerina</v>
      </c>
      <c r="H1767" s="22" t="str">
        <f>IFERROR(VLOOKUP(VLOOKUP(A1767,'Sales Order'!A:C,3,FALSE),Employee!A:E,5,FALSE)&amp;" "&amp;VLOOKUP(VLOOKUP(A1767,'Sales Order'!A:C,3,FALSE),Employee!A:C,3,FALSE)&amp;" "&amp;VLOOKUP(VLOOKUP(A1767,'Sales Order'!A:C,3,FALSE),Employee!A:B,2,FALSE),"Not Specified")</f>
        <v>Ms. Sara Davis</v>
      </c>
      <c r="I1767" t="str">
        <f>IFERROR(VLOOKUP(VLOOKUP(A1767,'Sales Order'!A:C,3,FALSE),Employee!A:J,10,FALSE),"Not Specified")</f>
        <v>WA</v>
      </c>
      <c r="J1767" t="str">
        <f>VLOOKUP(B1767,Product!A:B,2,FALSE)</f>
        <v>Product EZZPR</v>
      </c>
      <c r="K1767" t="str">
        <f>VLOOKUP(VLOOKUP(B1767,Product!A:D,4,FALSE),Category!A:B,2,FALSE)</f>
        <v>Confections</v>
      </c>
      <c r="L1767" s="24">
        <f>IFERROR(VLOOKUP(A1767,'Sales Order'!A:D,4,FALSE),"")</f>
        <v>39512</v>
      </c>
      <c r="M1767" s="24">
        <f>IFERROR(VLOOKUP(A1767,'Sales Order'!A:F,6,FALSE),"")</f>
        <v>39525</v>
      </c>
      <c r="N1767" t="str">
        <f>IFERROR(VLOOKUP(VLOOKUP(A1767,'Sales Order'!A:G,7,FALSE),Shipper!A:B,2,FALSE),"Not Specified")</f>
        <v>Shipper GVSUA</v>
      </c>
      <c r="O1767" t="str">
        <f>IFERROR(VLOOKUP(A1767,'Sales Order'!A:I,9,FALSE),"Not Specified")</f>
        <v>Destination WOFLH</v>
      </c>
      <c r="P1767" t="str">
        <f>IFERROR(VLOOKUP(A1767,'Sales Order'!A:N,14,FALSE),"Not Specified")</f>
        <v>Spain</v>
      </c>
      <c r="Q1767" t="str">
        <f>VLOOKUP(VLOOKUP(B1767,Product!A:C,3,FALSE),Supplier!A:B,2,FALSE)</f>
        <v>Supplier FNUXM</v>
      </c>
      <c r="R1767" t="str">
        <f>VLOOKUP(VLOOKUP(B1767,Product!A:C,3,FALSE),Supplier!A:I,9,FALSE)</f>
        <v>Netherlands</v>
      </c>
      <c r="S1767" t="str">
        <f>IFERROR(IF(VLOOKUP(A1767,'Sales Order'!A:H,8,FALSE)&gt;100,"High Freight","Low Freight"),"Not Specified")</f>
        <v>Low Freight</v>
      </c>
      <c r="T1767">
        <f t="shared" si="55"/>
        <v>47.5</v>
      </c>
    </row>
    <row r="1768" spans="1:20">
      <c r="A1768" s="9">
        <v>10928</v>
      </c>
      <c r="B1768" s="6">
        <v>76</v>
      </c>
      <c r="C1768" s="6">
        <v>18</v>
      </c>
      <c r="D1768" s="6">
        <v>5</v>
      </c>
      <c r="E1768" s="18">
        <v>0</v>
      </c>
      <c r="F1768" s="6" t="str">
        <f>IFERROR(VLOOKUP(VLOOKUP(A1768,'Sales Order'!A:B,2,FALSE),Customer!A:C,3,FALSE),"Not Specified")</f>
        <v>Kolesnikova, Katerina</v>
      </c>
      <c r="G1768" s="6" t="str">
        <f t="shared" si="54"/>
        <v>Kolesnikova Katerina</v>
      </c>
      <c r="H1768" s="22" t="str">
        <f>IFERROR(VLOOKUP(VLOOKUP(A1768,'Sales Order'!A:C,3,FALSE),Employee!A:E,5,FALSE)&amp;" "&amp;VLOOKUP(VLOOKUP(A1768,'Sales Order'!A:C,3,FALSE),Employee!A:C,3,FALSE)&amp;" "&amp;VLOOKUP(VLOOKUP(A1768,'Sales Order'!A:C,3,FALSE),Employee!A:B,2,FALSE),"Not Specified")</f>
        <v>Ms. Sara Davis</v>
      </c>
      <c r="I1768" t="str">
        <f>IFERROR(VLOOKUP(VLOOKUP(A1768,'Sales Order'!A:C,3,FALSE),Employee!A:J,10,FALSE),"Not Specified")</f>
        <v>WA</v>
      </c>
      <c r="J1768" t="str">
        <f>VLOOKUP(B1768,Product!A:B,2,FALSE)</f>
        <v>Product JYGFE</v>
      </c>
      <c r="K1768" t="str">
        <f>VLOOKUP(VLOOKUP(B1768,Product!A:D,4,FALSE),Category!A:B,2,FALSE)</f>
        <v>Beverages</v>
      </c>
      <c r="L1768" s="24">
        <f>IFERROR(VLOOKUP(A1768,'Sales Order'!A:D,4,FALSE),"")</f>
        <v>39512</v>
      </c>
      <c r="M1768" s="24">
        <f>IFERROR(VLOOKUP(A1768,'Sales Order'!A:F,6,FALSE),"")</f>
        <v>39525</v>
      </c>
      <c r="N1768" t="str">
        <f>IFERROR(VLOOKUP(VLOOKUP(A1768,'Sales Order'!A:G,7,FALSE),Shipper!A:B,2,FALSE),"Not Specified")</f>
        <v>Shipper GVSUA</v>
      </c>
      <c r="O1768" t="str">
        <f>IFERROR(VLOOKUP(A1768,'Sales Order'!A:I,9,FALSE),"Not Specified")</f>
        <v>Destination WOFLH</v>
      </c>
      <c r="P1768" t="str">
        <f>IFERROR(VLOOKUP(A1768,'Sales Order'!A:N,14,FALSE),"Not Specified")</f>
        <v>Spain</v>
      </c>
      <c r="Q1768" t="str">
        <f>VLOOKUP(VLOOKUP(B1768,Product!A:C,3,FALSE),Supplier!A:B,2,FALSE)</f>
        <v>Supplier ELCRN</v>
      </c>
      <c r="R1768" t="str">
        <f>VLOOKUP(VLOOKUP(B1768,Product!A:C,3,FALSE),Supplier!A:I,9,FALSE)</f>
        <v>Finland</v>
      </c>
      <c r="S1768" t="str">
        <f>IFERROR(IF(VLOOKUP(A1768,'Sales Order'!A:H,8,FALSE)&gt;100,"High Freight","Low Freight"),"Not Specified")</f>
        <v>Low Freight</v>
      </c>
      <c r="T1768">
        <f t="shared" si="55"/>
        <v>90</v>
      </c>
    </row>
    <row r="1769" spans="1:20">
      <c r="A1769" s="9">
        <v>10929</v>
      </c>
      <c r="B1769" s="6">
        <v>21</v>
      </c>
      <c r="C1769" s="6">
        <v>10</v>
      </c>
      <c r="D1769" s="6">
        <v>60</v>
      </c>
      <c r="E1769" s="18">
        <v>0</v>
      </c>
      <c r="F1769" s="6" t="str">
        <f>IFERROR(VLOOKUP(VLOOKUP(A1769,'Sales Order'!A:B,2,FALSE),Customer!A:C,3,FALSE),"Not Specified")</f>
        <v>Carlson, Jason</v>
      </c>
      <c r="G1769" s="6" t="str">
        <f t="shared" si="54"/>
        <v>Carlson Jason</v>
      </c>
      <c r="H1769" s="22" t="str">
        <f>IFERROR(VLOOKUP(VLOOKUP(A1769,'Sales Order'!A:C,3,FALSE),Employee!A:E,5,FALSE)&amp;" "&amp;VLOOKUP(VLOOKUP(A1769,'Sales Order'!A:C,3,FALSE),Employee!A:C,3,FALSE)&amp;" "&amp;VLOOKUP(VLOOKUP(A1769,'Sales Order'!A:C,3,FALSE),Employee!A:B,2,FALSE),"Not Specified")</f>
        <v>Mr. Paul Suurs</v>
      </c>
      <c r="I1769">
        <f>IFERROR(VLOOKUP(VLOOKUP(A1769,'Sales Order'!A:C,3,FALSE),Employee!A:J,10,FALSE),"Not Specified")</f>
        <v>0</v>
      </c>
      <c r="J1769" t="str">
        <f>VLOOKUP(B1769,Product!A:B,2,FALSE)</f>
        <v>Product VJZZH</v>
      </c>
      <c r="K1769" t="str">
        <f>VLOOKUP(VLOOKUP(B1769,Product!A:D,4,FALSE),Category!A:B,2,FALSE)</f>
        <v>Confections</v>
      </c>
      <c r="L1769" s="24">
        <f>IFERROR(VLOOKUP(A1769,'Sales Order'!A:D,4,FALSE),"")</f>
        <v>39512</v>
      </c>
      <c r="M1769" s="24">
        <f>IFERROR(VLOOKUP(A1769,'Sales Order'!A:F,6,FALSE),"")</f>
        <v>39519</v>
      </c>
      <c r="N1769" t="str">
        <f>IFERROR(VLOOKUP(VLOOKUP(A1769,'Sales Order'!A:G,7,FALSE),Shipper!A:B,2,FALSE),"Not Specified")</f>
        <v>Shipper GVSUA</v>
      </c>
      <c r="O1769" t="str">
        <f>IFERROR(VLOOKUP(A1769,'Sales Order'!A:I,9,FALSE),"Not Specified")</f>
        <v>Destination QOCBL</v>
      </c>
      <c r="P1769" t="str">
        <f>IFERROR(VLOOKUP(A1769,'Sales Order'!A:N,14,FALSE),"Not Specified")</f>
        <v>Germany</v>
      </c>
      <c r="Q1769" t="str">
        <f>VLOOKUP(VLOOKUP(B1769,Product!A:C,3,FALSE),Supplier!A:B,2,FALSE)</f>
        <v>Supplier BWGYE</v>
      </c>
      <c r="R1769" t="str">
        <f>VLOOKUP(VLOOKUP(B1769,Product!A:C,3,FALSE),Supplier!A:I,9,FALSE)</f>
        <v>UK</v>
      </c>
      <c r="S1769" t="str">
        <f>IFERROR(IF(VLOOKUP(A1769,'Sales Order'!A:H,8,FALSE)&gt;100,"High Freight","Low Freight"),"Not Specified")</f>
        <v>Low Freight</v>
      </c>
      <c r="T1769">
        <f t="shared" si="55"/>
        <v>600</v>
      </c>
    </row>
    <row r="1770" spans="1:20">
      <c r="A1770" s="9">
        <v>10929</v>
      </c>
      <c r="B1770" s="6">
        <v>75</v>
      </c>
      <c r="C1770" s="6">
        <v>7.75</v>
      </c>
      <c r="D1770" s="6">
        <v>49</v>
      </c>
      <c r="E1770" s="18">
        <v>0</v>
      </c>
      <c r="F1770" s="6" t="str">
        <f>IFERROR(VLOOKUP(VLOOKUP(A1770,'Sales Order'!A:B,2,FALSE),Customer!A:C,3,FALSE),"Not Specified")</f>
        <v>Carlson, Jason</v>
      </c>
      <c r="G1770" s="6" t="str">
        <f t="shared" si="54"/>
        <v>Carlson Jason</v>
      </c>
      <c r="H1770" s="22" t="str">
        <f>IFERROR(VLOOKUP(VLOOKUP(A1770,'Sales Order'!A:C,3,FALSE),Employee!A:E,5,FALSE)&amp;" "&amp;VLOOKUP(VLOOKUP(A1770,'Sales Order'!A:C,3,FALSE),Employee!A:C,3,FALSE)&amp;" "&amp;VLOOKUP(VLOOKUP(A1770,'Sales Order'!A:C,3,FALSE),Employee!A:B,2,FALSE),"Not Specified")</f>
        <v>Mr. Paul Suurs</v>
      </c>
      <c r="I1770">
        <f>IFERROR(VLOOKUP(VLOOKUP(A1770,'Sales Order'!A:C,3,FALSE),Employee!A:J,10,FALSE),"Not Specified")</f>
        <v>0</v>
      </c>
      <c r="J1770" t="str">
        <f>VLOOKUP(B1770,Product!A:B,2,FALSE)</f>
        <v>Product BWRLG</v>
      </c>
      <c r="K1770" t="str">
        <f>VLOOKUP(VLOOKUP(B1770,Product!A:D,4,FALSE),Category!A:B,2,FALSE)</f>
        <v>Beverages</v>
      </c>
      <c r="L1770" s="24">
        <f>IFERROR(VLOOKUP(A1770,'Sales Order'!A:D,4,FALSE),"")</f>
        <v>39512</v>
      </c>
      <c r="M1770" s="24">
        <f>IFERROR(VLOOKUP(A1770,'Sales Order'!A:F,6,FALSE),"")</f>
        <v>39519</v>
      </c>
      <c r="N1770" t="str">
        <f>IFERROR(VLOOKUP(VLOOKUP(A1770,'Sales Order'!A:G,7,FALSE),Shipper!A:B,2,FALSE),"Not Specified")</f>
        <v>Shipper GVSUA</v>
      </c>
      <c r="O1770" t="str">
        <f>IFERROR(VLOOKUP(A1770,'Sales Order'!A:I,9,FALSE),"Not Specified")</f>
        <v>Destination QOCBL</v>
      </c>
      <c r="P1770" t="str">
        <f>IFERROR(VLOOKUP(A1770,'Sales Order'!A:N,14,FALSE),"Not Specified")</f>
        <v>Germany</v>
      </c>
      <c r="Q1770" t="str">
        <f>VLOOKUP(VLOOKUP(B1770,Product!A:C,3,FALSE),Supplier!A:B,2,FALSE)</f>
        <v>Supplier SVIYA</v>
      </c>
      <c r="R1770" t="str">
        <f>VLOOKUP(VLOOKUP(B1770,Product!A:C,3,FALSE),Supplier!A:I,9,FALSE)</f>
        <v>Germany</v>
      </c>
      <c r="S1770" t="str">
        <f>IFERROR(IF(VLOOKUP(A1770,'Sales Order'!A:H,8,FALSE)&gt;100,"High Freight","Low Freight"),"Not Specified")</f>
        <v>Low Freight</v>
      </c>
      <c r="T1770">
        <f t="shared" si="55"/>
        <v>379.75</v>
      </c>
    </row>
    <row r="1771" spans="1:20">
      <c r="A1771" s="9">
        <v>10929</v>
      </c>
      <c r="B1771" s="6">
        <v>77</v>
      </c>
      <c r="C1771" s="6">
        <v>13</v>
      </c>
      <c r="D1771" s="6">
        <v>15</v>
      </c>
      <c r="E1771" s="18">
        <v>0</v>
      </c>
      <c r="F1771" s="6" t="str">
        <f>IFERROR(VLOOKUP(VLOOKUP(A1771,'Sales Order'!A:B,2,FALSE),Customer!A:C,3,FALSE),"Not Specified")</f>
        <v>Carlson, Jason</v>
      </c>
      <c r="G1771" s="6" t="str">
        <f t="shared" si="54"/>
        <v>Carlson Jason</v>
      </c>
      <c r="H1771" s="22" t="str">
        <f>IFERROR(VLOOKUP(VLOOKUP(A1771,'Sales Order'!A:C,3,FALSE),Employee!A:E,5,FALSE)&amp;" "&amp;VLOOKUP(VLOOKUP(A1771,'Sales Order'!A:C,3,FALSE),Employee!A:C,3,FALSE)&amp;" "&amp;VLOOKUP(VLOOKUP(A1771,'Sales Order'!A:C,3,FALSE),Employee!A:B,2,FALSE),"Not Specified")</f>
        <v>Mr. Paul Suurs</v>
      </c>
      <c r="I1771">
        <f>IFERROR(VLOOKUP(VLOOKUP(A1771,'Sales Order'!A:C,3,FALSE),Employee!A:J,10,FALSE),"Not Specified")</f>
        <v>0</v>
      </c>
      <c r="J1771" t="str">
        <f>VLOOKUP(B1771,Product!A:B,2,FALSE)</f>
        <v>Product LUNZZ</v>
      </c>
      <c r="K1771" t="str">
        <f>VLOOKUP(VLOOKUP(B1771,Product!A:D,4,FALSE),Category!A:B,2,FALSE)</f>
        <v>Condiments</v>
      </c>
      <c r="L1771" s="24">
        <f>IFERROR(VLOOKUP(A1771,'Sales Order'!A:D,4,FALSE),"")</f>
        <v>39512</v>
      </c>
      <c r="M1771" s="24">
        <f>IFERROR(VLOOKUP(A1771,'Sales Order'!A:F,6,FALSE),"")</f>
        <v>39519</v>
      </c>
      <c r="N1771" t="str">
        <f>IFERROR(VLOOKUP(VLOOKUP(A1771,'Sales Order'!A:G,7,FALSE),Shipper!A:B,2,FALSE),"Not Specified")</f>
        <v>Shipper GVSUA</v>
      </c>
      <c r="O1771" t="str">
        <f>IFERROR(VLOOKUP(A1771,'Sales Order'!A:I,9,FALSE),"Not Specified")</f>
        <v>Destination QOCBL</v>
      </c>
      <c r="P1771" t="str">
        <f>IFERROR(VLOOKUP(A1771,'Sales Order'!A:N,14,FALSE),"Not Specified")</f>
        <v>Germany</v>
      </c>
      <c r="Q1771" t="str">
        <f>VLOOKUP(VLOOKUP(B1771,Product!A:C,3,FALSE),Supplier!A:B,2,FALSE)</f>
        <v>Supplier SVIYA</v>
      </c>
      <c r="R1771" t="str">
        <f>VLOOKUP(VLOOKUP(B1771,Product!A:C,3,FALSE),Supplier!A:I,9,FALSE)</f>
        <v>Germany</v>
      </c>
      <c r="S1771" t="str">
        <f>IFERROR(IF(VLOOKUP(A1771,'Sales Order'!A:H,8,FALSE)&gt;100,"High Freight","Low Freight"),"Not Specified")</f>
        <v>Low Freight</v>
      </c>
      <c r="T1771">
        <f t="shared" si="55"/>
        <v>195</v>
      </c>
    </row>
    <row r="1772" spans="1:20">
      <c r="A1772" s="9">
        <v>10930</v>
      </c>
      <c r="B1772" s="6">
        <v>21</v>
      </c>
      <c r="C1772" s="6">
        <v>10</v>
      </c>
      <c r="D1772" s="6">
        <v>36</v>
      </c>
      <c r="E1772" s="18">
        <v>0</v>
      </c>
      <c r="F1772" s="6" t="str">
        <f>IFERROR(VLOOKUP(VLOOKUP(A1772,'Sales Order'!A:B,2,FALSE),Customer!A:C,3,FALSE),"Not Specified")</f>
        <v>Gulbis, Katrin</v>
      </c>
      <c r="G1772" s="6" t="str">
        <f t="shared" si="54"/>
        <v>Gulbis Katrin</v>
      </c>
      <c r="H1772" s="22" t="str">
        <f>IFERROR(VLOOKUP(VLOOKUP(A1772,'Sales Order'!A:C,3,FALSE),Employee!A:E,5,FALSE)&amp;" "&amp;VLOOKUP(VLOOKUP(A1772,'Sales Order'!A:C,3,FALSE),Employee!A:C,3,FALSE)&amp;" "&amp;VLOOKUP(VLOOKUP(A1772,'Sales Order'!A:C,3,FALSE),Employee!A:B,2,FALSE),"Not Specified")</f>
        <v>Mrs. Yael Peled</v>
      </c>
      <c r="I1772" t="str">
        <f>IFERROR(VLOOKUP(VLOOKUP(A1772,'Sales Order'!A:C,3,FALSE),Employee!A:J,10,FALSE),"Not Specified")</f>
        <v>WA</v>
      </c>
      <c r="J1772" t="str">
        <f>VLOOKUP(B1772,Product!A:B,2,FALSE)</f>
        <v>Product VJZZH</v>
      </c>
      <c r="K1772" t="str">
        <f>VLOOKUP(VLOOKUP(B1772,Product!A:D,4,FALSE),Category!A:B,2,FALSE)</f>
        <v>Confections</v>
      </c>
      <c r="L1772" s="24">
        <f>IFERROR(VLOOKUP(A1772,'Sales Order'!A:D,4,FALSE),"")</f>
        <v>39513</v>
      </c>
      <c r="M1772" s="24">
        <f>IFERROR(VLOOKUP(A1772,'Sales Order'!A:F,6,FALSE),"")</f>
        <v>39525</v>
      </c>
      <c r="N1772" t="str">
        <f>IFERROR(VLOOKUP(VLOOKUP(A1772,'Sales Order'!A:G,7,FALSE),Shipper!A:B,2,FALSE),"Not Specified")</f>
        <v>Shipper ZHISN</v>
      </c>
      <c r="O1772" t="str">
        <f>IFERROR(VLOOKUP(A1772,'Sales Order'!A:I,9,FALSE),"Not Specified")</f>
        <v>Ship to 76-A</v>
      </c>
      <c r="P1772" t="str">
        <f>IFERROR(VLOOKUP(A1772,'Sales Order'!A:N,14,FALSE),"Not Specified")</f>
        <v>Belgium</v>
      </c>
      <c r="Q1772" t="str">
        <f>VLOOKUP(VLOOKUP(B1772,Product!A:C,3,FALSE),Supplier!A:B,2,FALSE)</f>
        <v>Supplier BWGYE</v>
      </c>
      <c r="R1772" t="str">
        <f>VLOOKUP(VLOOKUP(B1772,Product!A:C,3,FALSE),Supplier!A:I,9,FALSE)</f>
        <v>UK</v>
      </c>
      <c r="S1772" t="str">
        <f>IFERROR(IF(VLOOKUP(A1772,'Sales Order'!A:H,8,FALSE)&gt;100,"High Freight","Low Freight"),"Not Specified")</f>
        <v>Low Freight</v>
      </c>
      <c r="T1772">
        <f t="shared" si="55"/>
        <v>360</v>
      </c>
    </row>
    <row r="1773" spans="1:20">
      <c r="A1773" s="9">
        <v>10930</v>
      </c>
      <c r="B1773" s="6">
        <v>27</v>
      </c>
      <c r="C1773" s="6">
        <v>43.9</v>
      </c>
      <c r="D1773" s="6">
        <v>25</v>
      </c>
      <c r="E1773" s="18">
        <v>0</v>
      </c>
      <c r="F1773" s="6" t="str">
        <f>IFERROR(VLOOKUP(VLOOKUP(A1773,'Sales Order'!A:B,2,FALSE),Customer!A:C,3,FALSE),"Not Specified")</f>
        <v>Gulbis, Katrin</v>
      </c>
      <c r="G1773" s="6" t="str">
        <f t="shared" si="54"/>
        <v>Gulbis Katrin</v>
      </c>
      <c r="H1773" s="22" t="str">
        <f>IFERROR(VLOOKUP(VLOOKUP(A1773,'Sales Order'!A:C,3,FALSE),Employee!A:E,5,FALSE)&amp;" "&amp;VLOOKUP(VLOOKUP(A1773,'Sales Order'!A:C,3,FALSE),Employee!A:C,3,FALSE)&amp;" "&amp;VLOOKUP(VLOOKUP(A1773,'Sales Order'!A:C,3,FALSE),Employee!A:B,2,FALSE),"Not Specified")</f>
        <v>Mrs. Yael Peled</v>
      </c>
      <c r="I1773" t="str">
        <f>IFERROR(VLOOKUP(VLOOKUP(A1773,'Sales Order'!A:C,3,FALSE),Employee!A:J,10,FALSE),"Not Specified")</f>
        <v>WA</v>
      </c>
      <c r="J1773" t="str">
        <f>VLOOKUP(B1773,Product!A:B,2,FALSE)</f>
        <v>Product SMIOH</v>
      </c>
      <c r="K1773" t="str">
        <f>VLOOKUP(VLOOKUP(B1773,Product!A:D,4,FALSE),Category!A:B,2,FALSE)</f>
        <v>Confections</v>
      </c>
      <c r="L1773" s="24">
        <f>IFERROR(VLOOKUP(A1773,'Sales Order'!A:D,4,FALSE),"")</f>
        <v>39513</v>
      </c>
      <c r="M1773" s="24">
        <f>IFERROR(VLOOKUP(A1773,'Sales Order'!A:F,6,FALSE),"")</f>
        <v>39525</v>
      </c>
      <c r="N1773" t="str">
        <f>IFERROR(VLOOKUP(VLOOKUP(A1773,'Sales Order'!A:G,7,FALSE),Shipper!A:B,2,FALSE),"Not Specified")</f>
        <v>Shipper ZHISN</v>
      </c>
      <c r="O1773" t="str">
        <f>IFERROR(VLOOKUP(A1773,'Sales Order'!A:I,9,FALSE),"Not Specified")</f>
        <v>Ship to 76-A</v>
      </c>
      <c r="P1773" t="str">
        <f>IFERROR(VLOOKUP(A1773,'Sales Order'!A:N,14,FALSE),"Not Specified")</f>
        <v>Belgium</v>
      </c>
      <c r="Q1773" t="str">
        <f>VLOOKUP(VLOOKUP(B1773,Product!A:C,3,FALSE),Supplier!A:B,2,FALSE)</f>
        <v>Supplier ZPYVS</v>
      </c>
      <c r="R1773" t="str">
        <f>VLOOKUP(VLOOKUP(B1773,Product!A:C,3,FALSE),Supplier!A:I,9,FALSE)</f>
        <v>Germany</v>
      </c>
      <c r="S1773" t="str">
        <f>IFERROR(IF(VLOOKUP(A1773,'Sales Order'!A:H,8,FALSE)&gt;100,"High Freight","Low Freight"),"Not Specified")</f>
        <v>Low Freight</v>
      </c>
      <c r="T1773">
        <f t="shared" si="55"/>
        <v>1097.5</v>
      </c>
    </row>
    <row r="1774" spans="1:20">
      <c r="A1774" s="9">
        <v>10930</v>
      </c>
      <c r="B1774" s="6">
        <v>55</v>
      </c>
      <c r="C1774" s="6">
        <v>24</v>
      </c>
      <c r="D1774" s="6">
        <v>25</v>
      </c>
      <c r="E1774" s="18">
        <v>0.2</v>
      </c>
      <c r="F1774" s="6" t="str">
        <f>IFERROR(VLOOKUP(VLOOKUP(A1774,'Sales Order'!A:B,2,FALSE),Customer!A:C,3,FALSE),"Not Specified")</f>
        <v>Gulbis, Katrin</v>
      </c>
      <c r="G1774" s="6" t="str">
        <f t="shared" si="54"/>
        <v>Gulbis Katrin</v>
      </c>
      <c r="H1774" s="22" t="str">
        <f>IFERROR(VLOOKUP(VLOOKUP(A1774,'Sales Order'!A:C,3,FALSE),Employee!A:E,5,FALSE)&amp;" "&amp;VLOOKUP(VLOOKUP(A1774,'Sales Order'!A:C,3,FALSE),Employee!A:C,3,FALSE)&amp;" "&amp;VLOOKUP(VLOOKUP(A1774,'Sales Order'!A:C,3,FALSE),Employee!A:B,2,FALSE),"Not Specified")</f>
        <v>Mrs. Yael Peled</v>
      </c>
      <c r="I1774" t="str">
        <f>IFERROR(VLOOKUP(VLOOKUP(A1774,'Sales Order'!A:C,3,FALSE),Employee!A:J,10,FALSE),"Not Specified")</f>
        <v>WA</v>
      </c>
      <c r="J1774" t="str">
        <f>VLOOKUP(B1774,Product!A:B,2,FALSE)</f>
        <v>Product YYWRT</v>
      </c>
      <c r="K1774" t="str">
        <f>VLOOKUP(VLOOKUP(B1774,Product!A:D,4,FALSE),Category!A:B,2,FALSE)</f>
        <v>Meat/Poultry</v>
      </c>
      <c r="L1774" s="24">
        <f>IFERROR(VLOOKUP(A1774,'Sales Order'!A:D,4,FALSE),"")</f>
        <v>39513</v>
      </c>
      <c r="M1774" s="24">
        <f>IFERROR(VLOOKUP(A1774,'Sales Order'!A:F,6,FALSE),"")</f>
        <v>39525</v>
      </c>
      <c r="N1774" t="str">
        <f>IFERROR(VLOOKUP(VLOOKUP(A1774,'Sales Order'!A:G,7,FALSE),Shipper!A:B,2,FALSE),"Not Specified")</f>
        <v>Shipper ZHISN</v>
      </c>
      <c r="O1774" t="str">
        <f>IFERROR(VLOOKUP(A1774,'Sales Order'!A:I,9,FALSE),"Not Specified")</f>
        <v>Ship to 76-A</v>
      </c>
      <c r="P1774" t="str">
        <f>IFERROR(VLOOKUP(A1774,'Sales Order'!A:N,14,FALSE),"Not Specified")</f>
        <v>Belgium</v>
      </c>
      <c r="Q1774" t="str">
        <f>VLOOKUP(VLOOKUP(B1774,Product!A:C,3,FALSE),Supplier!A:B,2,FALSE)</f>
        <v>Supplier ERVYZ</v>
      </c>
      <c r="R1774" t="str">
        <f>VLOOKUP(VLOOKUP(B1774,Product!A:C,3,FALSE),Supplier!A:I,9,FALSE)</f>
        <v>Canada</v>
      </c>
      <c r="S1774" t="str">
        <f>IFERROR(IF(VLOOKUP(A1774,'Sales Order'!A:H,8,FALSE)&gt;100,"High Freight","Low Freight"),"Not Specified")</f>
        <v>Low Freight</v>
      </c>
      <c r="T1774">
        <f t="shared" si="55"/>
        <v>480</v>
      </c>
    </row>
    <row r="1775" spans="1:20">
      <c r="A1775" s="9">
        <v>10930</v>
      </c>
      <c r="B1775" s="6">
        <v>58</v>
      </c>
      <c r="C1775" s="6">
        <v>13.25</v>
      </c>
      <c r="D1775" s="6">
        <v>30</v>
      </c>
      <c r="E1775" s="18">
        <v>0.2</v>
      </c>
      <c r="F1775" s="6" t="str">
        <f>IFERROR(VLOOKUP(VLOOKUP(A1775,'Sales Order'!A:B,2,FALSE),Customer!A:C,3,FALSE),"Not Specified")</f>
        <v>Gulbis, Katrin</v>
      </c>
      <c r="G1775" s="6" t="str">
        <f t="shared" si="54"/>
        <v>Gulbis Katrin</v>
      </c>
      <c r="H1775" s="22" t="str">
        <f>IFERROR(VLOOKUP(VLOOKUP(A1775,'Sales Order'!A:C,3,FALSE),Employee!A:E,5,FALSE)&amp;" "&amp;VLOOKUP(VLOOKUP(A1775,'Sales Order'!A:C,3,FALSE),Employee!A:C,3,FALSE)&amp;" "&amp;VLOOKUP(VLOOKUP(A1775,'Sales Order'!A:C,3,FALSE),Employee!A:B,2,FALSE),"Not Specified")</f>
        <v>Mrs. Yael Peled</v>
      </c>
      <c r="I1775" t="str">
        <f>IFERROR(VLOOKUP(VLOOKUP(A1775,'Sales Order'!A:C,3,FALSE),Employee!A:J,10,FALSE),"Not Specified")</f>
        <v>WA</v>
      </c>
      <c r="J1775" t="str">
        <f>VLOOKUP(B1775,Product!A:B,2,FALSE)</f>
        <v>Product ACRVI</v>
      </c>
      <c r="K1775" t="str">
        <f>VLOOKUP(VLOOKUP(B1775,Product!A:D,4,FALSE),Category!A:B,2,FALSE)</f>
        <v>Seafood</v>
      </c>
      <c r="L1775" s="24">
        <f>IFERROR(VLOOKUP(A1775,'Sales Order'!A:D,4,FALSE),"")</f>
        <v>39513</v>
      </c>
      <c r="M1775" s="24">
        <f>IFERROR(VLOOKUP(A1775,'Sales Order'!A:F,6,FALSE),"")</f>
        <v>39525</v>
      </c>
      <c r="N1775" t="str">
        <f>IFERROR(VLOOKUP(VLOOKUP(A1775,'Sales Order'!A:G,7,FALSE),Shipper!A:B,2,FALSE),"Not Specified")</f>
        <v>Shipper ZHISN</v>
      </c>
      <c r="O1775" t="str">
        <f>IFERROR(VLOOKUP(A1775,'Sales Order'!A:I,9,FALSE),"Not Specified")</f>
        <v>Ship to 76-A</v>
      </c>
      <c r="P1775" t="str">
        <f>IFERROR(VLOOKUP(A1775,'Sales Order'!A:N,14,FALSE),"Not Specified")</f>
        <v>Belgium</v>
      </c>
      <c r="Q1775" t="str">
        <f>VLOOKUP(VLOOKUP(B1775,Product!A:C,3,FALSE),Supplier!A:B,2,FALSE)</f>
        <v>Supplier ZRYDZ</v>
      </c>
      <c r="R1775" t="str">
        <f>VLOOKUP(VLOOKUP(B1775,Product!A:C,3,FALSE),Supplier!A:I,9,FALSE)</f>
        <v>France</v>
      </c>
      <c r="S1775" t="str">
        <f>IFERROR(IF(VLOOKUP(A1775,'Sales Order'!A:H,8,FALSE)&gt;100,"High Freight","Low Freight"),"Not Specified")</f>
        <v>Low Freight</v>
      </c>
      <c r="T1775">
        <f t="shared" si="55"/>
        <v>318</v>
      </c>
    </row>
    <row r="1776" spans="1:20">
      <c r="A1776" s="9">
        <v>10931</v>
      </c>
      <c r="B1776" s="6">
        <v>13</v>
      </c>
      <c r="C1776" s="6">
        <v>6</v>
      </c>
      <c r="D1776" s="6">
        <v>42</v>
      </c>
      <c r="E1776" s="18">
        <v>0.15</v>
      </c>
      <c r="F1776" s="6" t="str">
        <f>IFERROR(VLOOKUP(VLOOKUP(A1776,'Sales Order'!A:B,2,FALSE),Customer!A:C,3,FALSE),"Not Specified")</f>
        <v>Myrcha, Jacek</v>
      </c>
      <c r="G1776" s="6" t="str">
        <f t="shared" si="54"/>
        <v>Myrcha Jacek</v>
      </c>
      <c r="H1776" s="22" t="str">
        <f>IFERROR(VLOOKUP(VLOOKUP(A1776,'Sales Order'!A:C,3,FALSE),Employee!A:E,5,FALSE)&amp;" "&amp;VLOOKUP(VLOOKUP(A1776,'Sales Order'!A:C,3,FALSE),Employee!A:C,3,FALSE)&amp;" "&amp;VLOOKUP(VLOOKUP(A1776,'Sales Order'!A:C,3,FALSE),Employee!A:B,2,FALSE),"Not Specified")</f>
        <v>Mrs. Yael Peled</v>
      </c>
      <c r="I1776" t="str">
        <f>IFERROR(VLOOKUP(VLOOKUP(A1776,'Sales Order'!A:C,3,FALSE),Employee!A:J,10,FALSE),"Not Specified")</f>
        <v>WA</v>
      </c>
      <c r="J1776" t="str">
        <f>VLOOKUP(B1776,Product!A:B,2,FALSE)</f>
        <v>Product POXFU</v>
      </c>
      <c r="K1776" t="str">
        <f>VLOOKUP(VLOOKUP(B1776,Product!A:D,4,FALSE),Category!A:B,2,FALSE)</f>
        <v>Seafood</v>
      </c>
      <c r="L1776" s="24">
        <f>IFERROR(VLOOKUP(A1776,'Sales Order'!A:D,4,FALSE),"")</f>
        <v>39513</v>
      </c>
      <c r="M1776" s="24">
        <f>IFERROR(VLOOKUP(A1776,'Sales Order'!A:F,6,FALSE),"")</f>
        <v>39526</v>
      </c>
      <c r="N1776" t="str">
        <f>IFERROR(VLOOKUP(VLOOKUP(A1776,'Sales Order'!A:G,7,FALSE),Shipper!A:B,2,FALSE),"Not Specified")</f>
        <v>Shipper ETYNR</v>
      </c>
      <c r="O1776" t="str">
        <f>IFERROR(VLOOKUP(A1776,'Sales Order'!A:I,9,FALSE),"Not Specified")</f>
        <v>Ship to 68-B</v>
      </c>
      <c r="P1776" t="str">
        <f>IFERROR(VLOOKUP(A1776,'Sales Order'!A:N,14,FALSE),"Not Specified")</f>
        <v>Switzerland</v>
      </c>
      <c r="Q1776" t="str">
        <f>VLOOKUP(VLOOKUP(B1776,Product!A:C,3,FALSE),Supplier!A:B,2,FALSE)</f>
        <v>Supplier QWUSF</v>
      </c>
      <c r="R1776" t="str">
        <f>VLOOKUP(VLOOKUP(B1776,Product!A:C,3,FALSE),Supplier!A:I,9,FALSE)</f>
        <v>Japan</v>
      </c>
      <c r="S1776" t="str">
        <f>IFERROR(IF(VLOOKUP(A1776,'Sales Order'!A:H,8,FALSE)&gt;100,"High Freight","Low Freight"),"Not Specified")</f>
        <v>Low Freight</v>
      </c>
      <c r="T1776">
        <f t="shared" si="55"/>
        <v>214.2</v>
      </c>
    </row>
    <row r="1777" spans="1:20">
      <c r="A1777" s="9">
        <v>10931</v>
      </c>
      <c r="B1777" s="6">
        <v>57</v>
      </c>
      <c r="C1777" s="6">
        <v>19.5</v>
      </c>
      <c r="D1777" s="6">
        <v>30</v>
      </c>
      <c r="E1777" s="18">
        <v>0</v>
      </c>
      <c r="F1777" s="6" t="str">
        <f>IFERROR(VLOOKUP(VLOOKUP(A1777,'Sales Order'!A:B,2,FALSE),Customer!A:C,3,FALSE),"Not Specified")</f>
        <v>Myrcha, Jacek</v>
      </c>
      <c r="G1777" s="6" t="str">
        <f t="shared" si="54"/>
        <v>Myrcha Jacek</v>
      </c>
      <c r="H1777" s="22" t="str">
        <f>IFERROR(VLOOKUP(VLOOKUP(A1777,'Sales Order'!A:C,3,FALSE),Employee!A:E,5,FALSE)&amp;" "&amp;VLOOKUP(VLOOKUP(A1777,'Sales Order'!A:C,3,FALSE),Employee!A:C,3,FALSE)&amp;" "&amp;VLOOKUP(VLOOKUP(A1777,'Sales Order'!A:C,3,FALSE),Employee!A:B,2,FALSE),"Not Specified")</f>
        <v>Mrs. Yael Peled</v>
      </c>
      <c r="I1777" t="str">
        <f>IFERROR(VLOOKUP(VLOOKUP(A1777,'Sales Order'!A:C,3,FALSE),Employee!A:J,10,FALSE),"Not Specified")</f>
        <v>WA</v>
      </c>
      <c r="J1777" t="str">
        <f>VLOOKUP(B1777,Product!A:B,2,FALSE)</f>
        <v>Product OVLQI</v>
      </c>
      <c r="K1777" t="str">
        <f>VLOOKUP(VLOOKUP(B1777,Product!A:D,4,FALSE),Category!A:B,2,FALSE)</f>
        <v>Grains/Cereals</v>
      </c>
      <c r="L1777" s="24">
        <f>IFERROR(VLOOKUP(A1777,'Sales Order'!A:D,4,FALSE),"")</f>
        <v>39513</v>
      </c>
      <c r="M1777" s="24">
        <f>IFERROR(VLOOKUP(A1777,'Sales Order'!A:F,6,FALSE),"")</f>
        <v>39526</v>
      </c>
      <c r="N1777" t="str">
        <f>IFERROR(VLOOKUP(VLOOKUP(A1777,'Sales Order'!A:G,7,FALSE),Shipper!A:B,2,FALSE),"Not Specified")</f>
        <v>Shipper ETYNR</v>
      </c>
      <c r="O1777" t="str">
        <f>IFERROR(VLOOKUP(A1777,'Sales Order'!A:I,9,FALSE),"Not Specified")</f>
        <v>Ship to 68-B</v>
      </c>
      <c r="P1777" t="str">
        <f>IFERROR(VLOOKUP(A1777,'Sales Order'!A:N,14,FALSE),"Not Specified")</f>
        <v>Switzerland</v>
      </c>
      <c r="Q1777" t="str">
        <f>VLOOKUP(VLOOKUP(B1777,Product!A:C,3,FALSE),Supplier!A:B,2,FALSE)</f>
        <v>Supplier ZWZDM</v>
      </c>
      <c r="R1777" t="str">
        <f>VLOOKUP(VLOOKUP(B1777,Product!A:C,3,FALSE),Supplier!A:I,9,FALSE)</f>
        <v>Italy</v>
      </c>
      <c r="S1777" t="str">
        <f>IFERROR(IF(VLOOKUP(A1777,'Sales Order'!A:H,8,FALSE)&gt;100,"High Freight","Low Freight"),"Not Specified")</f>
        <v>Low Freight</v>
      </c>
      <c r="T1777">
        <f t="shared" si="55"/>
        <v>585</v>
      </c>
    </row>
    <row r="1778" spans="1:20">
      <c r="A1778" s="9">
        <v>10932</v>
      </c>
      <c r="B1778" s="6">
        <v>16</v>
      </c>
      <c r="C1778" s="6">
        <v>17.45</v>
      </c>
      <c r="D1778" s="6">
        <v>30</v>
      </c>
      <c r="E1778" s="18">
        <v>0.1</v>
      </c>
      <c r="F1778" s="6" t="str">
        <f>IFERROR(VLOOKUP(VLOOKUP(A1778,'Sales Order'!A:B,2,FALSE),Customer!A:C,3,FALSE),"Not Specified")</f>
        <v>Raghav, Amritansh</v>
      </c>
      <c r="G1778" s="6" t="str">
        <f t="shared" si="54"/>
        <v>Raghav Amritansh</v>
      </c>
      <c r="H1778" s="22" t="str">
        <f>IFERROR(VLOOKUP(VLOOKUP(A1778,'Sales Order'!A:C,3,FALSE),Employee!A:E,5,FALSE)&amp;" "&amp;VLOOKUP(VLOOKUP(A1778,'Sales Order'!A:C,3,FALSE),Employee!A:C,3,FALSE)&amp;" "&amp;VLOOKUP(VLOOKUP(A1778,'Sales Order'!A:C,3,FALSE),Employee!A:B,2,FALSE),"Not Specified")</f>
        <v>Ms. Maria Cameron</v>
      </c>
      <c r="I1778" t="str">
        <f>IFERROR(VLOOKUP(VLOOKUP(A1778,'Sales Order'!A:C,3,FALSE),Employee!A:J,10,FALSE),"Not Specified")</f>
        <v>WA</v>
      </c>
      <c r="J1778" t="str">
        <f>VLOOKUP(B1778,Product!A:B,2,FALSE)</f>
        <v>Product PAFRH</v>
      </c>
      <c r="K1778" t="str">
        <f>VLOOKUP(VLOOKUP(B1778,Product!A:D,4,FALSE),Category!A:B,2,FALSE)</f>
        <v>Confections</v>
      </c>
      <c r="L1778" s="24">
        <f>IFERROR(VLOOKUP(A1778,'Sales Order'!A:D,4,FALSE),"")</f>
        <v>39513</v>
      </c>
      <c r="M1778" s="24">
        <f>IFERROR(VLOOKUP(A1778,'Sales Order'!A:F,6,FALSE),"")</f>
        <v>39531</v>
      </c>
      <c r="N1778" t="str">
        <f>IFERROR(VLOOKUP(VLOOKUP(A1778,'Sales Order'!A:G,7,FALSE),Shipper!A:B,2,FALSE),"Not Specified")</f>
        <v>Shipper GVSUA</v>
      </c>
      <c r="O1778" t="str">
        <f>IFERROR(VLOOKUP(A1778,'Sales Order'!A:I,9,FALSE),"Not Specified")</f>
        <v>Ship to 9-B</v>
      </c>
      <c r="P1778" t="str">
        <f>IFERROR(VLOOKUP(A1778,'Sales Order'!A:N,14,FALSE),"Not Specified")</f>
        <v>France</v>
      </c>
      <c r="Q1778" t="str">
        <f>VLOOKUP(VLOOKUP(B1778,Product!A:C,3,FALSE),Supplier!A:B,2,FALSE)</f>
        <v>Supplier GQRCV</v>
      </c>
      <c r="R1778" t="str">
        <f>VLOOKUP(VLOOKUP(B1778,Product!A:C,3,FALSE),Supplier!A:I,9,FALSE)</f>
        <v>Australia</v>
      </c>
      <c r="S1778" t="str">
        <f>IFERROR(IF(VLOOKUP(A1778,'Sales Order'!A:H,8,FALSE)&gt;100,"High Freight","Low Freight"),"Not Specified")</f>
        <v>High Freight</v>
      </c>
      <c r="T1778">
        <f t="shared" si="55"/>
        <v>471.15000000000003</v>
      </c>
    </row>
    <row r="1779" spans="1:20">
      <c r="A1779" s="9">
        <v>10932</v>
      </c>
      <c r="B1779" s="6">
        <v>62</v>
      </c>
      <c r="C1779" s="6">
        <v>49.3</v>
      </c>
      <c r="D1779" s="6">
        <v>14</v>
      </c>
      <c r="E1779" s="18">
        <v>0.1</v>
      </c>
      <c r="F1779" s="6" t="str">
        <f>IFERROR(VLOOKUP(VLOOKUP(A1779,'Sales Order'!A:B,2,FALSE),Customer!A:C,3,FALSE),"Not Specified")</f>
        <v>Raghav, Amritansh</v>
      </c>
      <c r="G1779" s="6" t="str">
        <f t="shared" si="54"/>
        <v>Raghav Amritansh</v>
      </c>
      <c r="H1779" s="22" t="str">
        <f>IFERROR(VLOOKUP(VLOOKUP(A1779,'Sales Order'!A:C,3,FALSE),Employee!A:E,5,FALSE)&amp;" "&amp;VLOOKUP(VLOOKUP(A1779,'Sales Order'!A:C,3,FALSE),Employee!A:C,3,FALSE)&amp;" "&amp;VLOOKUP(VLOOKUP(A1779,'Sales Order'!A:C,3,FALSE),Employee!A:B,2,FALSE),"Not Specified")</f>
        <v>Ms. Maria Cameron</v>
      </c>
      <c r="I1779" t="str">
        <f>IFERROR(VLOOKUP(VLOOKUP(A1779,'Sales Order'!A:C,3,FALSE),Employee!A:J,10,FALSE),"Not Specified")</f>
        <v>WA</v>
      </c>
      <c r="J1779" t="str">
        <f>VLOOKUP(B1779,Product!A:B,2,FALSE)</f>
        <v>Product WUXYK</v>
      </c>
      <c r="K1779" t="str">
        <f>VLOOKUP(VLOOKUP(B1779,Product!A:D,4,FALSE),Category!A:B,2,FALSE)</f>
        <v>Confections</v>
      </c>
      <c r="L1779" s="24">
        <f>IFERROR(VLOOKUP(A1779,'Sales Order'!A:D,4,FALSE),"")</f>
        <v>39513</v>
      </c>
      <c r="M1779" s="24">
        <f>IFERROR(VLOOKUP(A1779,'Sales Order'!A:F,6,FALSE),"")</f>
        <v>39531</v>
      </c>
      <c r="N1779" t="str">
        <f>IFERROR(VLOOKUP(VLOOKUP(A1779,'Sales Order'!A:G,7,FALSE),Shipper!A:B,2,FALSE),"Not Specified")</f>
        <v>Shipper GVSUA</v>
      </c>
      <c r="O1779" t="str">
        <f>IFERROR(VLOOKUP(A1779,'Sales Order'!A:I,9,FALSE),"Not Specified")</f>
        <v>Ship to 9-B</v>
      </c>
      <c r="P1779" t="str">
        <f>IFERROR(VLOOKUP(A1779,'Sales Order'!A:N,14,FALSE),"Not Specified")</f>
        <v>France</v>
      </c>
      <c r="Q1779" t="str">
        <f>VLOOKUP(VLOOKUP(B1779,Product!A:C,3,FALSE),Supplier!A:B,2,FALSE)</f>
        <v>Supplier OGLRK</v>
      </c>
      <c r="R1779" t="str">
        <f>VLOOKUP(VLOOKUP(B1779,Product!A:C,3,FALSE),Supplier!A:I,9,FALSE)</f>
        <v>Canada</v>
      </c>
      <c r="S1779" t="str">
        <f>IFERROR(IF(VLOOKUP(A1779,'Sales Order'!A:H,8,FALSE)&gt;100,"High Freight","Low Freight"),"Not Specified")</f>
        <v>High Freight</v>
      </c>
      <c r="T1779">
        <f t="shared" si="55"/>
        <v>621.17999999999995</v>
      </c>
    </row>
    <row r="1780" spans="1:20">
      <c r="A1780" s="9">
        <v>10932</v>
      </c>
      <c r="B1780" s="6">
        <v>72</v>
      </c>
      <c r="C1780" s="6">
        <v>34.799999999999997</v>
      </c>
      <c r="D1780" s="6">
        <v>16</v>
      </c>
      <c r="E1780" s="18">
        <v>0</v>
      </c>
      <c r="F1780" s="6" t="str">
        <f>IFERROR(VLOOKUP(VLOOKUP(A1780,'Sales Order'!A:B,2,FALSE),Customer!A:C,3,FALSE),"Not Specified")</f>
        <v>Raghav, Amritansh</v>
      </c>
      <c r="G1780" s="6" t="str">
        <f t="shared" si="54"/>
        <v>Raghav Amritansh</v>
      </c>
      <c r="H1780" s="22" t="str">
        <f>IFERROR(VLOOKUP(VLOOKUP(A1780,'Sales Order'!A:C,3,FALSE),Employee!A:E,5,FALSE)&amp;" "&amp;VLOOKUP(VLOOKUP(A1780,'Sales Order'!A:C,3,FALSE),Employee!A:C,3,FALSE)&amp;" "&amp;VLOOKUP(VLOOKUP(A1780,'Sales Order'!A:C,3,FALSE),Employee!A:B,2,FALSE),"Not Specified")</f>
        <v>Ms. Maria Cameron</v>
      </c>
      <c r="I1780" t="str">
        <f>IFERROR(VLOOKUP(VLOOKUP(A1780,'Sales Order'!A:C,3,FALSE),Employee!A:J,10,FALSE),"Not Specified")</f>
        <v>WA</v>
      </c>
      <c r="J1780" t="str">
        <f>VLOOKUP(B1780,Product!A:B,2,FALSE)</f>
        <v>Product GEEOO</v>
      </c>
      <c r="K1780" t="str">
        <f>VLOOKUP(VLOOKUP(B1780,Product!A:D,4,FALSE),Category!A:B,2,FALSE)</f>
        <v>Dairy Product</v>
      </c>
      <c r="L1780" s="24">
        <f>IFERROR(VLOOKUP(A1780,'Sales Order'!A:D,4,FALSE),"")</f>
        <v>39513</v>
      </c>
      <c r="M1780" s="24">
        <f>IFERROR(VLOOKUP(A1780,'Sales Order'!A:F,6,FALSE),"")</f>
        <v>39531</v>
      </c>
      <c r="N1780" t="str">
        <f>IFERROR(VLOOKUP(VLOOKUP(A1780,'Sales Order'!A:G,7,FALSE),Shipper!A:B,2,FALSE),"Not Specified")</f>
        <v>Shipper GVSUA</v>
      </c>
      <c r="O1780" t="str">
        <f>IFERROR(VLOOKUP(A1780,'Sales Order'!A:I,9,FALSE),"Not Specified")</f>
        <v>Ship to 9-B</v>
      </c>
      <c r="P1780" t="str">
        <f>IFERROR(VLOOKUP(A1780,'Sales Order'!A:N,14,FALSE),"Not Specified")</f>
        <v>France</v>
      </c>
      <c r="Q1780" t="str">
        <f>VLOOKUP(VLOOKUP(B1780,Product!A:C,3,FALSE),Supplier!A:B,2,FALSE)</f>
        <v>Supplier KEREV</v>
      </c>
      <c r="R1780" t="str">
        <f>VLOOKUP(VLOOKUP(B1780,Product!A:C,3,FALSE),Supplier!A:I,9,FALSE)</f>
        <v>Italy</v>
      </c>
      <c r="S1780" t="str">
        <f>IFERROR(IF(VLOOKUP(A1780,'Sales Order'!A:H,8,FALSE)&gt;100,"High Freight","Low Freight"),"Not Specified")</f>
        <v>High Freight</v>
      </c>
      <c r="T1780">
        <f t="shared" si="55"/>
        <v>556.79999999999995</v>
      </c>
    </row>
    <row r="1781" spans="1:20">
      <c r="A1781" s="9">
        <v>10932</v>
      </c>
      <c r="B1781" s="6">
        <v>75</v>
      </c>
      <c r="C1781" s="6">
        <v>7.75</v>
      </c>
      <c r="D1781" s="6">
        <v>20</v>
      </c>
      <c r="E1781" s="18">
        <v>0.1</v>
      </c>
      <c r="F1781" s="6" t="str">
        <f>IFERROR(VLOOKUP(VLOOKUP(A1781,'Sales Order'!A:B,2,FALSE),Customer!A:C,3,FALSE),"Not Specified")</f>
        <v>Raghav, Amritansh</v>
      </c>
      <c r="G1781" s="6" t="str">
        <f t="shared" si="54"/>
        <v>Raghav Amritansh</v>
      </c>
      <c r="H1781" s="22" t="str">
        <f>IFERROR(VLOOKUP(VLOOKUP(A1781,'Sales Order'!A:C,3,FALSE),Employee!A:E,5,FALSE)&amp;" "&amp;VLOOKUP(VLOOKUP(A1781,'Sales Order'!A:C,3,FALSE),Employee!A:C,3,FALSE)&amp;" "&amp;VLOOKUP(VLOOKUP(A1781,'Sales Order'!A:C,3,FALSE),Employee!A:B,2,FALSE),"Not Specified")</f>
        <v>Ms. Maria Cameron</v>
      </c>
      <c r="I1781" t="str">
        <f>IFERROR(VLOOKUP(VLOOKUP(A1781,'Sales Order'!A:C,3,FALSE),Employee!A:J,10,FALSE),"Not Specified")</f>
        <v>WA</v>
      </c>
      <c r="J1781" t="str">
        <f>VLOOKUP(B1781,Product!A:B,2,FALSE)</f>
        <v>Product BWRLG</v>
      </c>
      <c r="K1781" t="str">
        <f>VLOOKUP(VLOOKUP(B1781,Product!A:D,4,FALSE),Category!A:B,2,FALSE)</f>
        <v>Beverages</v>
      </c>
      <c r="L1781" s="24">
        <f>IFERROR(VLOOKUP(A1781,'Sales Order'!A:D,4,FALSE),"")</f>
        <v>39513</v>
      </c>
      <c r="M1781" s="24">
        <f>IFERROR(VLOOKUP(A1781,'Sales Order'!A:F,6,FALSE),"")</f>
        <v>39531</v>
      </c>
      <c r="N1781" t="str">
        <f>IFERROR(VLOOKUP(VLOOKUP(A1781,'Sales Order'!A:G,7,FALSE),Shipper!A:B,2,FALSE),"Not Specified")</f>
        <v>Shipper GVSUA</v>
      </c>
      <c r="O1781" t="str">
        <f>IFERROR(VLOOKUP(A1781,'Sales Order'!A:I,9,FALSE),"Not Specified")</f>
        <v>Ship to 9-B</v>
      </c>
      <c r="P1781" t="str">
        <f>IFERROR(VLOOKUP(A1781,'Sales Order'!A:N,14,FALSE),"Not Specified")</f>
        <v>France</v>
      </c>
      <c r="Q1781" t="str">
        <f>VLOOKUP(VLOOKUP(B1781,Product!A:C,3,FALSE),Supplier!A:B,2,FALSE)</f>
        <v>Supplier SVIYA</v>
      </c>
      <c r="R1781" t="str">
        <f>VLOOKUP(VLOOKUP(B1781,Product!A:C,3,FALSE),Supplier!A:I,9,FALSE)</f>
        <v>Germany</v>
      </c>
      <c r="S1781" t="str">
        <f>IFERROR(IF(VLOOKUP(A1781,'Sales Order'!A:H,8,FALSE)&gt;100,"High Freight","Low Freight"),"Not Specified")</f>
        <v>High Freight</v>
      </c>
      <c r="T1781">
        <f t="shared" si="55"/>
        <v>139.5</v>
      </c>
    </row>
    <row r="1782" spans="1:20">
      <c r="A1782" s="9">
        <v>10933</v>
      </c>
      <c r="B1782" s="6">
        <v>53</v>
      </c>
      <c r="C1782" s="6">
        <v>32.799999999999997</v>
      </c>
      <c r="D1782" s="6">
        <v>2</v>
      </c>
      <c r="E1782" s="18">
        <v>0</v>
      </c>
      <c r="F1782" s="6" t="str">
        <f>IFERROR(VLOOKUP(VLOOKUP(A1782,'Sales Order'!A:B,2,FALSE),Customer!A:C,3,FALSE),"Not Specified")</f>
        <v>Lee, Frank</v>
      </c>
      <c r="G1782" s="6" t="str">
        <f t="shared" si="54"/>
        <v>Lee Frank</v>
      </c>
      <c r="H1782" s="22" t="str">
        <f>IFERROR(VLOOKUP(VLOOKUP(A1782,'Sales Order'!A:C,3,FALSE),Employee!A:E,5,FALSE)&amp;" "&amp;VLOOKUP(VLOOKUP(A1782,'Sales Order'!A:C,3,FALSE),Employee!A:C,3,FALSE)&amp;" "&amp;VLOOKUP(VLOOKUP(A1782,'Sales Order'!A:C,3,FALSE),Employee!A:B,2,FALSE),"Not Specified")</f>
        <v>Mr. Paul Suurs</v>
      </c>
      <c r="I1782">
        <f>IFERROR(VLOOKUP(VLOOKUP(A1782,'Sales Order'!A:C,3,FALSE),Employee!A:J,10,FALSE),"Not Specified")</f>
        <v>0</v>
      </c>
      <c r="J1782" t="str">
        <f>VLOOKUP(B1782,Product!A:B,2,FALSE)</f>
        <v>Product BKGEA</v>
      </c>
      <c r="K1782" t="str">
        <f>VLOOKUP(VLOOKUP(B1782,Product!A:D,4,FALSE),Category!A:B,2,FALSE)</f>
        <v>Meat/Poultry</v>
      </c>
      <c r="L1782" s="24">
        <f>IFERROR(VLOOKUP(A1782,'Sales Order'!A:D,4,FALSE),"")</f>
        <v>39513</v>
      </c>
      <c r="M1782" s="24">
        <f>IFERROR(VLOOKUP(A1782,'Sales Order'!A:F,6,FALSE),"")</f>
        <v>39523</v>
      </c>
      <c r="N1782" t="str">
        <f>IFERROR(VLOOKUP(VLOOKUP(A1782,'Sales Order'!A:G,7,FALSE),Shipper!A:B,2,FALSE),"Not Specified")</f>
        <v>Shipper ZHISN</v>
      </c>
      <c r="O1782" t="str">
        <f>IFERROR(VLOOKUP(A1782,'Sales Order'!A:I,9,FALSE),"Not Specified")</f>
        <v>Destination QVTLW</v>
      </c>
      <c r="P1782" t="str">
        <f>IFERROR(VLOOKUP(A1782,'Sales Order'!A:N,14,FALSE),"Not Specified")</f>
        <v>UK</v>
      </c>
      <c r="Q1782" t="str">
        <f>VLOOKUP(VLOOKUP(B1782,Product!A:C,3,FALSE),Supplier!A:B,2,FALSE)</f>
        <v>Supplier JNNES</v>
      </c>
      <c r="R1782" t="str">
        <f>VLOOKUP(VLOOKUP(B1782,Product!A:C,3,FALSE),Supplier!A:I,9,FALSE)</f>
        <v>Australia</v>
      </c>
      <c r="S1782" t="str">
        <f>IFERROR(IF(VLOOKUP(A1782,'Sales Order'!A:H,8,FALSE)&gt;100,"High Freight","Low Freight"),"Not Specified")</f>
        <v>Low Freight</v>
      </c>
      <c r="T1782">
        <f t="shared" si="55"/>
        <v>65.599999999999994</v>
      </c>
    </row>
    <row r="1783" spans="1:20">
      <c r="A1783" s="9">
        <v>10933</v>
      </c>
      <c r="B1783" s="6">
        <v>61</v>
      </c>
      <c r="C1783" s="6">
        <v>28.5</v>
      </c>
      <c r="D1783" s="6">
        <v>30</v>
      </c>
      <c r="E1783" s="18">
        <v>0</v>
      </c>
      <c r="F1783" s="6" t="str">
        <f>IFERROR(VLOOKUP(VLOOKUP(A1783,'Sales Order'!A:B,2,FALSE),Customer!A:C,3,FALSE),"Not Specified")</f>
        <v>Lee, Frank</v>
      </c>
      <c r="G1783" s="6" t="str">
        <f t="shared" si="54"/>
        <v>Lee Frank</v>
      </c>
      <c r="H1783" s="22" t="str">
        <f>IFERROR(VLOOKUP(VLOOKUP(A1783,'Sales Order'!A:C,3,FALSE),Employee!A:E,5,FALSE)&amp;" "&amp;VLOOKUP(VLOOKUP(A1783,'Sales Order'!A:C,3,FALSE),Employee!A:C,3,FALSE)&amp;" "&amp;VLOOKUP(VLOOKUP(A1783,'Sales Order'!A:C,3,FALSE),Employee!A:B,2,FALSE),"Not Specified")</f>
        <v>Mr. Paul Suurs</v>
      </c>
      <c r="I1783">
        <f>IFERROR(VLOOKUP(VLOOKUP(A1783,'Sales Order'!A:C,3,FALSE),Employee!A:J,10,FALSE),"Not Specified")</f>
        <v>0</v>
      </c>
      <c r="J1783" t="str">
        <f>VLOOKUP(B1783,Product!A:B,2,FALSE)</f>
        <v>Product XYZPE</v>
      </c>
      <c r="K1783" t="str">
        <f>VLOOKUP(VLOOKUP(B1783,Product!A:D,4,FALSE),Category!A:B,2,FALSE)</f>
        <v>Condiments</v>
      </c>
      <c r="L1783" s="24">
        <f>IFERROR(VLOOKUP(A1783,'Sales Order'!A:D,4,FALSE),"")</f>
        <v>39513</v>
      </c>
      <c r="M1783" s="24">
        <f>IFERROR(VLOOKUP(A1783,'Sales Order'!A:F,6,FALSE),"")</f>
        <v>39523</v>
      </c>
      <c r="N1783" t="str">
        <f>IFERROR(VLOOKUP(VLOOKUP(A1783,'Sales Order'!A:G,7,FALSE),Shipper!A:B,2,FALSE),"Not Specified")</f>
        <v>Shipper ZHISN</v>
      </c>
      <c r="O1783" t="str">
        <f>IFERROR(VLOOKUP(A1783,'Sales Order'!A:I,9,FALSE),"Not Specified")</f>
        <v>Destination QVTLW</v>
      </c>
      <c r="P1783" t="str">
        <f>IFERROR(VLOOKUP(A1783,'Sales Order'!A:N,14,FALSE),"Not Specified")</f>
        <v>UK</v>
      </c>
      <c r="Q1783" t="str">
        <f>VLOOKUP(VLOOKUP(B1783,Product!A:C,3,FALSE),Supplier!A:B,2,FALSE)</f>
        <v>Supplier OGLRK</v>
      </c>
      <c r="R1783" t="str">
        <f>VLOOKUP(VLOOKUP(B1783,Product!A:C,3,FALSE),Supplier!A:I,9,FALSE)</f>
        <v>Canada</v>
      </c>
      <c r="S1783" t="str">
        <f>IFERROR(IF(VLOOKUP(A1783,'Sales Order'!A:H,8,FALSE)&gt;100,"High Freight","Low Freight"),"Not Specified")</f>
        <v>Low Freight</v>
      </c>
      <c r="T1783">
        <f t="shared" si="55"/>
        <v>855</v>
      </c>
    </row>
    <row r="1784" spans="1:20">
      <c r="A1784" s="9">
        <v>10934</v>
      </c>
      <c r="B1784" s="6">
        <v>6</v>
      </c>
      <c r="C1784" s="6">
        <v>25</v>
      </c>
      <c r="D1784" s="6">
        <v>20</v>
      </c>
      <c r="E1784" s="18">
        <v>0</v>
      </c>
      <c r="F1784" s="6" t="str">
        <f>IFERROR(VLOOKUP(VLOOKUP(A1784,'Sales Order'!A:B,2,FALSE),Customer!A:C,3,FALSE),"Not Specified")</f>
        <v>Louverdis, George</v>
      </c>
      <c r="G1784" s="6" t="str">
        <f t="shared" si="54"/>
        <v>Louverdis George</v>
      </c>
      <c r="H1784" s="22" t="str">
        <f>IFERROR(VLOOKUP(VLOOKUP(A1784,'Sales Order'!A:C,3,FALSE),Employee!A:E,5,FALSE)&amp;" "&amp;VLOOKUP(VLOOKUP(A1784,'Sales Order'!A:C,3,FALSE),Employee!A:C,3,FALSE)&amp;" "&amp;VLOOKUP(VLOOKUP(A1784,'Sales Order'!A:C,3,FALSE),Employee!A:B,2,FALSE),"Not Specified")</f>
        <v>Ms. Judy Lew</v>
      </c>
      <c r="I1784" t="str">
        <f>IFERROR(VLOOKUP(VLOOKUP(A1784,'Sales Order'!A:C,3,FALSE),Employee!A:J,10,FALSE),"Not Specified")</f>
        <v>WA</v>
      </c>
      <c r="J1784" t="str">
        <f>VLOOKUP(B1784,Product!A:B,2,FALSE)</f>
        <v>Product VAIIV</v>
      </c>
      <c r="K1784" t="str">
        <f>VLOOKUP(VLOOKUP(B1784,Product!A:D,4,FALSE),Category!A:B,2,FALSE)</f>
        <v>Condiments</v>
      </c>
      <c r="L1784" s="24">
        <f>IFERROR(VLOOKUP(A1784,'Sales Order'!A:D,4,FALSE),"")</f>
        <v>39516</v>
      </c>
      <c r="M1784" s="24">
        <f>IFERROR(VLOOKUP(A1784,'Sales Order'!A:F,6,FALSE),"")</f>
        <v>39519</v>
      </c>
      <c r="N1784" t="str">
        <f>IFERROR(VLOOKUP(VLOOKUP(A1784,'Sales Order'!A:G,7,FALSE),Shipper!A:B,2,FALSE),"Not Specified")</f>
        <v>Shipper ZHISN</v>
      </c>
      <c r="O1784" t="str">
        <f>IFERROR(VLOOKUP(A1784,'Sales Order'!A:I,9,FALSE),"Not Specified")</f>
        <v>Ship to 44-C</v>
      </c>
      <c r="P1784" t="str">
        <f>IFERROR(VLOOKUP(A1784,'Sales Order'!A:N,14,FALSE),"Not Specified")</f>
        <v>Germany</v>
      </c>
      <c r="Q1784" t="str">
        <f>VLOOKUP(VLOOKUP(B1784,Product!A:C,3,FALSE),Supplier!A:B,2,FALSE)</f>
        <v>Supplier STUAZ</v>
      </c>
      <c r="R1784" t="str">
        <f>VLOOKUP(VLOOKUP(B1784,Product!A:C,3,FALSE),Supplier!A:I,9,FALSE)</f>
        <v>USA</v>
      </c>
      <c r="S1784" t="str">
        <f>IFERROR(IF(VLOOKUP(A1784,'Sales Order'!A:H,8,FALSE)&gt;100,"High Freight","Low Freight"),"Not Specified")</f>
        <v>Low Freight</v>
      </c>
      <c r="T1784">
        <f t="shared" si="55"/>
        <v>500</v>
      </c>
    </row>
    <row r="1785" spans="1:20">
      <c r="A1785" s="9">
        <v>10935</v>
      </c>
      <c r="B1785" s="6">
        <v>1</v>
      </c>
      <c r="C1785" s="6">
        <v>18</v>
      </c>
      <c r="D1785" s="6">
        <v>21</v>
      </c>
      <c r="E1785" s="18">
        <v>0</v>
      </c>
      <c r="F1785" s="6" t="str">
        <f>IFERROR(VLOOKUP(VLOOKUP(A1785,'Sales Order'!A:B,2,FALSE),Customer!A:C,3,FALSE),"Not Specified")</f>
        <v>Li, Yan</v>
      </c>
      <c r="G1785" s="6" t="str">
        <f t="shared" si="54"/>
        <v>Li Yan</v>
      </c>
      <c r="H1785" s="22" t="str">
        <f>IFERROR(VLOOKUP(VLOOKUP(A1785,'Sales Order'!A:C,3,FALSE),Employee!A:E,5,FALSE)&amp;" "&amp;VLOOKUP(VLOOKUP(A1785,'Sales Order'!A:C,3,FALSE),Employee!A:C,3,FALSE)&amp;" "&amp;VLOOKUP(VLOOKUP(A1785,'Sales Order'!A:C,3,FALSE),Employee!A:B,2,FALSE),"Not Specified")</f>
        <v>Mrs. Yael Peled</v>
      </c>
      <c r="I1785" t="str">
        <f>IFERROR(VLOOKUP(VLOOKUP(A1785,'Sales Order'!A:C,3,FALSE),Employee!A:J,10,FALSE),"Not Specified")</f>
        <v>WA</v>
      </c>
      <c r="J1785" t="str">
        <f>VLOOKUP(B1785,Product!A:B,2,FALSE)</f>
        <v>Product HHYDP</v>
      </c>
      <c r="K1785" t="str">
        <f>VLOOKUP(VLOOKUP(B1785,Product!A:D,4,FALSE),Category!A:B,2,FALSE)</f>
        <v>Beverages</v>
      </c>
      <c r="L1785" s="24">
        <f>IFERROR(VLOOKUP(A1785,'Sales Order'!A:D,4,FALSE),"")</f>
        <v>39516</v>
      </c>
      <c r="M1785" s="24">
        <f>IFERROR(VLOOKUP(A1785,'Sales Order'!A:F,6,FALSE),"")</f>
        <v>39525</v>
      </c>
      <c r="N1785" t="str">
        <f>IFERROR(VLOOKUP(VLOOKUP(A1785,'Sales Order'!A:G,7,FALSE),Shipper!A:B,2,FALSE),"Not Specified")</f>
        <v>Shipper ZHISN</v>
      </c>
      <c r="O1785" t="str">
        <f>IFERROR(VLOOKUP(A1785,'Sales Order'!A:I,9,FALSE),"Not Specified")</f>
        <v>Ship to 88-A</v>
      </c>
      <c r="P1785" t="str">
        <f>IFERROR(VLOOKUP(A1785,'Sales Order'!A:N,14,FALSE),"Not Specified")</f>
        <v>Brazil</v>
      </c>
      <c r="Q1785" t="str">
        <f>VLOOKUP(VLOOKUP(B1785,Product!A:C,3,FALSE),Supplier!A:B,2,FALSE)</f>
        <v>Supplier SWRXU</v>
      </c>
      <c r="R1785" t="str">
        <f>VLOOKUP(VLOOKUP(B1785,Product!A:C,3,FALSE),Supplier!A:I,9,FALSE)</f>
        <v>UK</v>
      </c>
      <c r="S1785" t="str">
        <f>IFERROR(IF(VLOOKUP(A1785,'Sales Order'!A:H,8,FALSE)&gt;100,"High Freight","Low Freight"),"Not Specified")</f>
        <v>Low Freight</v>
      </c>
      <c r="T1785">
        <f t="shared" si="55"/>
        <v>378</v>
      </c>
    </row>
    <row r="1786" spans="1:20">
      <c r="A1786" s="9">
        <v>10935</v>
      </c>
      <c r="B1786" s="6">
        <v>18</v>
      </c>
      <c r="C1786" s="6">
        <v>62.5</v>
      </c>
      <c r="D1786" s="6">
        <v>4</v>
      </c>
      <c r="E1786" s="18">
        <v>0.25</v>
      </c>
      <c r="F1786" s="6" t="str">
        <f>IFERROR(VLOOKUP(VLOOKUP(A1786,'Sales Order'!A:B,2,FALSE),Customer!A:C,3,FALSE),"Not Specified")</f>
        <v>Li, Yan</v>
      </c>
      <c r="G1786" s="6" t="str">
        <f t="shared" si="54"/>
        <v>Li Yan</v>
      </c>
      <c r="H1786" s="22" t="str">
        <f>IFERROR(VLOOKUP(VLOOKUP(A1786,'Sales Order'!A:C,3,FALSE),Employee!A:E,5,FALSE)&amp;" "&amp;VLOOKUP(VLOOKUP(A1786,'Sales Order'!A:C,3,FALSE),Employee!A:C,3,FALSE)&amp;" "&amp;VLOOKUP(VLOOKUP(A1786,'Sales Order'!A:C,3,FALSE),Employee!A:B,2,FALSE),"Not Specified")</f>
        <v>Mrs. Yael Peled</v>
      </c>
      <c r="I1786" t="str">
        <f>IFERROR(VLOOKUP(VLOOKUP(A1786,'Sales Order'!A:C,3,FALSE),Employee!A:J,10,FALSE),"Not Specified")</f>
        <v>WA</v>
      </c>
      <c r="J1786" t="str">
        <f>VLOOKUP(B1786,Product!A:B,2,FALSE)</f>
        <v>Product CKEDC</v>
      </c>
      <c r="K1786" t="str">
        <f>VLOOKUP(VLOOKUP(B1786,Product!A:D,4,FALSE),Category!A:B,2,FALSE)</f>
        <v>Seafood</v>
      </c>
      <c r="L1786" s="24">
        <f>IFERROR(VLOOKUP(A1786,'Sales Order'!A:D,4,FALSE),"")</f>
        <v>39516</v>
      </c>
      <c r="M1786" s="24">
        <f>IFERROR(VLOOKUP(A1786,'Sales Order'!A:F,6,FALSE),"")</f>
        <v>39525</v>
      </c>
      <c r="N1786" t="str">
        <f>IFERROR(VLOOKUP(VLOOKUP(A1786,'Sales Order'!A:G,7,FALSE),Shipper!A:B,2,FALSE),"Not Specified")</f>
        <v>Shipper ZHISN</v>
      </c>
      <c r="O1786" t="str">
        <f>IFERROR(VLOOKUP(A1786,'Sales Order'!A:I,9,FALSE),"Not Specified")</f>
        <v>Ship to 88-A</v>
      </c>
      <c r="P1786" t="str">
        <f>IFERROR(VLOOKUP(A1786,'Sales Order'!A:N,14,FALSE),"Not Specified")</f>
        <v>Brazil</v>
      </c>
      <c r="Q1786" t="str">
        <f>VLOOKUP(VLOOKUP(B1786,Product!A:C,3,FALSE),Supplier!A:B,2,FALSE)</f>
        <v>Supplier GQRCV</v>
      </c>
      <c r="R1786" t="str">
        <f>VLOOKUP(VLOOKUP(B1786,Product!A:C,3,FALSE),Supplier!A:I,9,FALSE)</f>
        <v>Australia</v>
      </c>
      <c r="S1786" t="str">
        <f>IFERROR(IF(VLOOKUP(A1786,'Sales Order'!A:H,8,FALSE)&gt;100,"High Freight","Low Freight"),"Not Specified")</f>
        <v>Low Freight</v>
      </c>
      <c r="T1786">
        <f t="shared" si="55"/>
        <v>187.5</v>
      </c>
    </row>
    <row r="1787" spans="1:20">
      <c r="A1787" s="9">
        <v>10935</v>
      </c>
      <c r="B1787" s="6">
        <v>23</v>
      </c>
      <c r="C1787" s="6">
        <v>9</v>
      </c>
      <c r="D1787" s="6">
        <v>8</v>
      </c>
      <c r="E1787" s="18">
        <v>0.25</v>
      </c>
      <c r="F1787" s="6" t="str">
        <f>IFERROR(VLOOKUP(VLOOKUP(A1787,'Sales Order'!A:B,2,FALSE),Customer!A:C,3,FALSE),"Not Specified")</f>
        <v>Li, Yan</v>
      </c>
      <c r="G1787" s="6" t="str">
        <f t="shared" si="54"/>
        <v>Li Yan</v>
      </c>
      <c r="H1787" s="22" t="str">
        <f>IFERROR(VLOOKUP(VLOOKUP(A1787,'Sales Order'!A:C,3,FALSE),Employee!A:E,5,FALSE)&amp;" "&amp;VLOOKUP(VLOOKUP(A1787,'Sales Order'!A:C,3,FALSE),Employee!A:C,3,FALSE)&amp;" "&amp;VLOOKUP(VLOOKUP(A1787,'Sales Order'!A:C,3,FALSE),Employee!A:B,2,FALSE),"Not Specified")</f>
        <v>Mrs. Yael Peled</v>
      </c>
      <c r="I1787" t="str">
        <f>IFERROR(VLOOKUP(VLOOKUP(A1787,'Sales Order'!A:C,3,FALSE),Employee!A:J,10,FALSE),"Not Specified")</f>
        <v>WA</v>
      </c>
      <c r="J1787" t="str">
        <f>VLOOKUP(B1787,Product!A:B,2,FALSE)</f>
        <v>Product JLUDZ</v>
      </c>
      <c r="K1787" t="str">
        <f>VLOOKUP(VLOOKUP(B1787,Product!A:D,4,FALSE),Category!A:B,2,FALSE)</f>
        <v>Grains/Cereals</v>
      </c>
      <c r="L1787" s="24">
        <f>IFERROR(VLOOKUP(A1787,'Sales Order'!A:D,4,FALSE),"")</f>
        <v>39516</v>
      </c>
      <c r="M1787" s="24">
        <f>IFERROR(VLOOKUP(A1787,'Sales Order'!A:F,6,FALSE),"")</f>
        <v>39525</v>
      </c>
      <c r="N1787" t="str">
        <f>IFERROR(VLOOKUP(VLOOKUP(A1787,'Sales Order'!A:G,7,FALSE),Shipper!A:B,2,FALSE),"Not Specified")</f>
        <v>Shipper ZHISN</v>
      </c>
      <c r="O1787" t="str">
        <f>IFERROR(VLOOKUP(A1787,'Sales Order'!A:I,9,FALSE),"Not Specified")</f>
        <v>Ship to 88-A</v>
      </c>
      <c r="P1787" t="str">
        <f>IFERROR(VLOOKUP(A1787,'Sales Order'!A:N,14,FALSE),"Not Specified")</f>
        <v>Brazil</v>
      </c>
      <c r="Q1787" t="str">
        <f>VLOOKUP(VLOOKUP(B1787,Product!A:C,3,FALSE),Supplier!A:B,2,FALSE)</f>
        <v>Supplier QQYEU</v>
      </c>
      <c r="R1787" t="str">
        <f>VLOOKUP(VLOOKUP(B1787,Product!A:C,3,FALSE),Supplier!A:I,9,FALSE)</f>
        <v>Sweden</v>
      </c>
      <c r="S1787" t="str">
        <f>IFERROR(IF(VLOOKUP(A1787,'Sales Order'!A:H,8,FALSE)&gt;100,"High Freight","Low Freight"),"Not Specified")</f>
        <v>Low Freight</v>
      </c>
      <c r="T1787">
        <f t="shared" si="55"/>
        <v>54</v>
      </c>
    </row>
    <row r="1788" spans="1:20">
      <c r="A1788" s="9">
        <v>10936</v>
      </c>
      <c r="B1788" s="6">
        <v>36</v>
      </c>
      <c r="C1788" s="6">
        <v>19</v>
      </c>
      <c r="D1788" s="6">
        <v>30</v>
      </c>
      <c r="E1788" s="18">
        <v>0.2</v>
      </c>
      <c r="F1788" s="6" t="str">
        <f>IFERROR(VLOOKUP(VLOOKUP(A1788,'Sales Order'!A:B,2,FALSE),Customer!A:C,3,FALSE),"Not Specified")</f>
        <v>Krishnan, Venky</v>
      </c>
      <c r="G1788" s="6" t="str">
        <f t="shared" si="54"/>
        <v>Krishnan Venky</v>
      </c>
      <c r="H1788" s="22" t="str">
        <f>IFERROR(VLOOKUP(VLOOKUP(A1788,'Sales Order'!A:C,3,FALSE),Employee!A:E,5,FALSE)&amp;" "&amp;VLOOKUP(VLOOKUP(A1788,'Sales Order'!A:C,3,FALSE),Employee!A:C,3,FALSE)&amp;" "&amp;VLOOKUP(VLOOKUP(A1788,'Sales Order'!A:C,3,FALSE),Employee!A:B,2,FALSE),"Not Specified")</f>
        <v>Ms. Judy Lew</v>
      </c>
      <c r="I1788" t="str">
        <f>IFERROR(VLOOKUP(VLOOKUP(A1788,'Sales Order'!A:C,3,FALSE),Employee!A:J,10,FALSE),"Not Specified")</f>
        <v>WA</v>
      </c>
      <c r="J1788" t="str">
        <f>VLOOKUP(B1788,Product!A:B,2,FALSE)</f>
        <v>Product GMKIJ</v>
      </c>
      <c r="K1788" t="str">
        <f>VLOOKUP(VLOOKUP(B1788,Product!A:D,4,FALSE),Category!A:B,2,FALSE)</f>
        <v>Seafood</v>
      </c>
      <c r="L1788" s="24">
        <f>IFERROR(VLOOKUP(A1788,'Sales Order'!A:D,4,FALSE),"")</f>
        <v>39516</v>
      </c>
      <c r="M1788" s="24">
        <f>IFERROR(VLOOKUP(A1788,'Sales Order'!A:F,6,FALSE),"")</f>
        <v>39525</v>
      </c>
      <c r="N1788" t="str">
        <f>IFERROR(VLOOKUP(VLOOKUP(A1788,'Sales Order'!A:G,7,FALSE),Shipper!A:B,2,FALSE),"Not Specified")</f>
        <v>Shipper ETYNR</v>
      </c>
      <c r="O1788" t="str">
        <f>IFERROR(VLOOKUP(A1788,'Sales Order'!A:I,9,FALSE),"Not Specified")</f>
        <v>Destination AVQUS</v>
      </c>
      <c r="P1788" t="str">
        <f>IFERROR(VLOOKUP(A1788,'Sales Order'!A:N,14,FALSE),"Not Specified")</f>
        <v>USA</v>
      </c>
      <c r="Q1788" t="str">
        <f>VLOOKUP(VLOOKUP(B1788,Product!A:C,3,FALSE),Supplier!A:B,2,FALSE)</f>
        <v>Supplier QZGUF</v>
      </c>
      <c r="R1788" t="str">
        <f>VLOOKUP(VLOOKUP(B1788,Product!A:C,3,FALSE),Supplier!A:I,9,FALSE)</f>
        <v>Sweden</v>
      </c>
      <c r="S1788" t="str">
        <f>IFERROR(IF(VLOOKUP(A1788,'Sales Order'!A:H,8,FALSE)&gt;100,"High Freight","Low Freight"),"Not Specified")</f>
        <v>Low Freight</v>
      </c>
      <c r="T1788">
        <f t="shared" si="55"/>
        <v>456</v>
      </c>
    </row>
    <row r="1789" spans="1:20">
      <c r="A1789" s="9">
        <v>10937</v>
      </c>
      <c r="B1789" s="6">
        <v>28</v>
      </c>
      <c r="C1789" s="6">
        <v>45.6</v>
      </c>
      <c r="D1789" s="6">
        <v>8</v>
      </c>
      <c r="E1789" s="18">
        <v>0</v>
      </c>
      <c r="F1789" s="6" t="str">
        <f>IFERROR(VLOOKUP(VLOOKUP(A1789,'Sales Order'!A:B,2,FALSE),Customer!A:C,3,FALSE),"Not Specified")</f>
        <v>Ray, Mike</v>
      </c>
      <c r="G1789" s="6" t="str">
        <f t="shared" si="54"/>
        <v>Ray Mike</v>
      </c>
      <c r="H1789" s="22" t="str">
        <f>IFERROR(VLOOKUP(VLOOKUP(A1789,'Sales Order'!A:C,3,FALSE),Employee!A:E,5,FALSE)&amp;" "&amp;VLOOKUP(VLOOKUP(A1789,'Sales Order'!A:C,3,FALSE),Employee!A:C,3,FALSE)&amp;" "&amp;VLOOKUP(VLOOKUP(A1789,'Sales Order'!A:C,3,FALSE),Employee!A:B,2,FALSE),"Not Specified")</f>
        <v>Mr. Russell King</v>
      </c>
      <c r="I1789">
        <f>IFERROR(VLOOKUP(VLOOKUP(A1789,'Sales Order'!A:C,3,FALSE),Employee!A:J,10,FALSE),"Not Specified")</f>
        <v>0</v>
      </c>
      <c r="J1789" t="str">
        <f>VLOOKUP(B1789,Product!A:B,2,FALSE)</f>
        <v>Product OFBNT</v>
      </c>
      <c r="K1789" t="str">
        <f>VLOOKUP(VLOOKUP(B1789,Product!A:D,4,FALSE),Category!A:B,2,FALSE)</f>
        <v>Produce</v>
      </c>
      <c r="L1789" s="24">
        <f>IFERROR(VLOOKUP(A1789,'Sales Order'!A:D,4,FALSE),"")</f>
        <v>39517</v>
      </c>
      <c r="M1789" s="24">
        <f>IFERROR(VLOOKUP(A1789,'Sales Order'!A:F,6,FALSE),"")</f>
        <v>39520</v>
      </c>
      <c r="N1789" t="str">
        <f>IFERROR(VLOOKUP(VLOOKUP(A1789,'Sales Order'!A:G,7,FALSE),Shipper!A:B,2,FALSE),"Not Specified")</f>
        <v>Shipper ZHISN</v>
      </c>
      <c r="O1789" t="str">
        <f>IFERROR(VLOOKUP(A1789,'Sales Order'!A:I,9,FALSE),"Not Specified")</f>
        <v>Destination QTHBC</v>
      </c>
      <c r="P1789" t="str">
        <f>IFERROR(VLOOKUP(A1789,'Sales Order'!A:N,14,FALSE),"Not Specified")</f>
        <v>Argentina</v>
      </c>
      <c r="Q1789" t="str">
        <f>VLOOKUP(VLOOKUP(B1789,Product!A:C,3,FALSE),Supplier!A:B,2,FALSE)</f>
        <v>Supplier SVIYA</v>
      </c>
      <c r="R1789" t="str">
        <f>VLOOKUP(VLOOKUP(B1789,Product!A:C,3,FALSE),Supplier!A:I,9,FALSE)</f>
        <v>Germany</v>
      </c>
      <c r="S1789" t="str">
        <f>IFERROR(IF(VLOOKUP(A1789,'Sales Order'!A:H,8,FALSE)&gt;100,"High Freight","Low Freight"),"Not Specified")</f>
        <v>Low Freight</v>
      </c>
      <c r="T1789">
        <f t="shared" si="55"/>
        <v>364.8</v>
      </c>
    </row>
    <row r="1790" spans="1:20">
      <c r="A1790" s="9">
        <v>10937</v>
      </c>
      <c r="B1790" s="6">
        <v>34</v>
      </c>
      <c r="C1790" s="6">
        <v>14</v>
      </c>
      <c r="D1790" s="6">
        <v>20</v>
      </c>
      <c r="E1790" s="18">
        <v>0</v>
      </c>
      <c r="F1790" s="6" t="str">
        <f>IFERROR(VLOOKUP(VLOOKUP(A1790,'Sales Order'!A:B,2,FALSE),Customer!A:C,3,FALSE),"Not Specified")</f>
        <v>Ray, Mike</v>
      </c>
      <c r="G1790" s="6" t="str">
        <f t="shared" si="54"/>
        <v>Ray Mike</v>
      </c>
      <c r="H1790" s="22" t="str">
        <f>IFERROR(VLOOKUP(VLOOKUP(A1790,'Sales Order'!A:C,3,FALSE),Employee!A:E,5,FALSE)&amp;" "&amp;VLOOKUP(VLOOKUP(A1790,'Sales Order'!A:C,3,FALSE),Employee!A:C,3,FALSE)&amp;" "&amp;VLOOKUP(VLOOKUP(A1790,'Sales Order'!A:C,3,FALSE),Employee!A:B,2,FALSE),"Not Specified")</f>
        <v>Mr. Russell King</v>
      </c>
      <c r="I1790">
        <f>IFERROR(VLOOKUP(VLOOKUP(A1790,'Sales Order'!A:C,3,FALSE),Employee!A:J,10,FALSE),"Not Specified")</f>
        <v>0</v>
      </c>
      <c r="J1790" t="str">
        <f>VLOOKUP(B1790,Product!A:B,2,FALSE)</f>
        <v>Product SWNJY</v>
      </c>
      <c r="K1790" t="str">
        <f>VLOOKUP(VLOOKUP(B1790,Product!A:D,4,FALSE),Category!A:B,2,FALSE)</f>
        <v>Beverages</v>
      </c>
      <c r="L1790" s="24">
        <f>IFERROR(VLOOKUP(A1790,'Sales Order'!A:D,4,FALSE),"")</f>
        <v>39517</v>
      </c>
      <c r="M1790" s="24">
        <f>IFERROR(VLOOKUP(A1790,'Sales Order'!A:F,6,FALSE),"")</f>
        <v>39520</v>
      </c>
      <c r="N1790" t="str">
        <f>IFERROR(VLOOKUP(VLOOKUP(A1790,'Sales Order'!A:G,7,FALSE),Shipper!A:B,2,FALSE),"Not Specified")</f>
        <v>Shipper ZHISN</v>
      </c>
      <c r="O1790" t="str">
        <f>IFERROR(VLOOKUP(A1790,'Sales Order'!A:I,9,FALSE),"Not Specified")</f>
        <v>Destination QTHBC</v>
      </c>
      <c r="P1790" t="str">
        <f>IFERROR(VLOOKUP(A1790,'Sales Order'!A:N,14,FALSE),"Not Specified")</f>
        <v>Argentina</v>
      </c>
      <c r="Q1790" t="str">
        <f>VLOOKUP(VLOOKUP(B1790,Product!A:C,3,FALSE),Supplier!A:B,2,FALSE)</f>
        <v>Supplier UHZRG</v>
      </c>
      <c r="R1790" t="str">
        <f>VLOOKUP(VLOOKUP(B1790,Product!A:C,3,FALSE),Supplier!A:I,9,FALSE)</f>
        <v>USA</v>
      </c>
      <c r="S1790" t="str">
        <f>IFERROR(IF(VLOOKUP(A1790,'Sales Order'!A:H,8,FALSE)&gt;100,"High Freight","Low Freight"),"Not Specified")</f>
        <v>Low Freight</v>
      </c>
      <c r="T1790">
        <f t="shared" si="55"/>
        <v>280</v>
      </c>
    </row>
    <row r="1791" spans="1:20">
      <c r="A1791" s="9">
        <v>10938</v>
      </c>
      <c r="B1791" s="6">
        <v>13</v>
      </c>
      <c r="C1791" s="6">
        <v>6</v>
      </c>
      <c r="D1791" s="6">
        <v>20</v>
      </c>
      <c r="E1791" s="18">
        <v>0.25</v>
      </c>
      <c r="F1791" s="6" t="str">
        <f>IFERROR(VLOOKUP(VLOOKUP(A1791,'Sales Order'!A:B,2,FALSE),Customer!A:C,3,FALSE),"Not Specified")</f>
        <v>Veronesi, Giorgio</v>
      </c>
      <c r="G1791" s="6" t="str">
        <f t="shared" si="54"/>
        <v>Veronesi Giorgio</v>
      </c>
      <c r="H1791" s="22" t="str">
        <f>IFERROR(VLOOKUP(VLOOKUP(A1791,'Sales Order'!A:C,3,FALSE),Employee!A:E,5,FALSE)&amp;" "&amp;VLOOKUP(VLOOKUP(A1791,'Sales Order'!A:C,3,FALSE),Employee!A:C,3,FALSE)&amp;" "&amp;VLOOKUP(VLOOKUP(A1791,'Sales Order'!A:C,3,FALSE),Employee!A:B,2,FALSE),"Not Specified")</f>
        <v>Ms. Judy Lew</v>
      </c>
      <c r="I1791" t="str">
        <f>IFERROR(VLOOKUP(VLOOKUP(A1791,'Sales Order'!A:C,3,FALSE),Employee!A:J,10,FALSE),"Not Specified")</f>
        <v>WA</v>
      </c>
      <c r="J1791" t="str">
        <f>VLOOKUP(B1791,Product!A:B,2,FALSE)</f>
        <v>Product POXFU</v>
      </c>
      <c r="K1791" t="str">
        <f>VLOOKUP(VLOOKUP(B1791,Product!A:D,4,FALSE),Category!A:B,2,FALSE)</f>
        <v>Seafood</v>
      </c>
      <c r="L1791" s="24">
        <f>IFERROR(VLOOKUP(A1791,'Sales Order'!A:D,4,FALSE),"")</f>
        <v>39517</v>
      </c>
      <c r="M1791" s="24">
        <f>IFERROR(VLOOKUP(A1791,'Sales Order'!A:F,6,FALSE),"")</f>
        <v>39523</v>
      </c>
      <c r="N1791" t="str">
        <f>IFERROR(VLOOKUP(VLOOKUP(A1791,'Sales Order'!A:G,7,FALSE),Shipper!A:B,2,FALSE),"Not Specified")</f>
        <v>Shipper ETYNR</v>
      </c>
      <c r="O1791" t="str">
        <f>IFERROR(VLOOKUP(A1791,'Sales Order'!A:I,9,FALSE),"Not Specified")</f>
        <v>Ship to 63-C</v>
      </c>
      <c r="P1791" t="str">
        <f>IFERROR(VLOOKUP(A1791,'Sales Order'!A:N,14,FALSE),"Not Specified")</f>
        <v>Germany</v>
      </c>
      <c r="Q1791" t="str">
        <f>VLOOKUP(VLOOKUP(B1791,Product!A:C,3,FALSE),Supplier!A:B,2,FALSE)</f>
        <v>Supplier QWUSF</v>
      </c>
      <c r="R1791" t="str">
        <f>VLOOKUP(VLOOKUP(B1791,Product!A:C,3,FALSE),Supplier!A:I,9,FALSE)</f>
        <v>Japan</v>
      </c>
      <c r="S1791" t="str">
        <f>IFERROR(IF(VLOOKUP(A1791,'Sales Order'!A:H,8,FALSE)&gt;100,"High Freight","Low Freight"),"Not Specified")</f>
        <v>Low Freight</v>
      </c>
      <c r="T1791">
        <f t="shared" si="55"/>
        <v>90</v>
      </c>
    </row>
    <row r="1792" spans="1:20">
      <c r="A1792" s="9">
        <v>10938</v>
      </c>
      <c r="B1792" s="6">
        <v>43</v>
      </c>
      <c r="C1792" s="6">
        <v>46</v>
      </c>
      <c r="D1792" s="6">
        <v>24</v>
      </c>
      <c r="E1792" s="18">
        <v>0.25</v>
      </c>
      <c r="F1792" s="6" t="str">
        <f>IFERROR(VLOOKUP(VLOOKUP(A1792,'Sales Order'!A:B,2,FALSE),Customer!A:C,3,FALSE),"Not Specified")</f>
        <v>Veronesi, Giorgio</v>
      </c>
      <c r="G1792" s="6" t="str">
        <f t="shared" si="54"/>
        <v>Veronesi Giorgio</v>
      </c>
      <c r="H1792" s="22" t="str">
        <f>IFERROR(VLOOKUP(VLOOKUP(A1792,'Sales Order'!A:C,3,FALSE),Employee!A:E,5,FALSE)&amp;" "&amp;VLOOKUP(VLOOKUP(A1792,'Sales Order'!A:C,3,FALSE),Employee!A:C,3,FALSE)&amp;" "&amp;VLOOKUP(VLOOKUP(A1792,'Sales Order'!A:C,3,FALSE),Employee!A:B,2,FALSE),"Not Specified")</f>
        <v>Ms. Judy Lew</v>
      </c>
      <c r="I1792" t="str">
        <f>IFERROR(VLOOKUP(VLOOKUP(A1792,'Sales Order'!A:C,3,FALSE),Employee!A:J,10,FALSE),"Not Specified")</f>
        <v>WA</v>
      </c>
      <c r="J1792" t="str">
        <f>VLOOKUP(B1792,Product!A:B,2,FALSE)</f>
        <v>Product ZZZHR</v>
      </c>
      <c r="K1792" t="str">
        <f>VLOOKUP(VLOOKUP(B1792,Product!A:D,4,FALSE),Category!A:B,2,FALSE)</f>
        <v>Beverages</v>
      </c>
      <c r="L1792" s="24">
        <f>IFERROR(VLOOKUP(A1792,'Sales Order'!A:D,4,FALSE),"")</f>
        <v>39517</v>
      </c>
      <c r="M1792" s="24">
        <f>IFERROR(VLOOKUP(A1792,'Sales Order'!A:F,6,FALSE),"")</f>
        <v>39523</v>
      </c>
      <c r="N1792" t="str">
        <f>IFERROR(VLOOKUP(VLOOKUP(A1792,'Sales Order'!A:G,7,FALSE),Shipper!A:B,2,FALSE),"Not Specified")</f>
        <v>Shipper ETYNR</v>
      </c>
      <c r="O1792" t="str">
        <f>IFERROR(VLOOKUP(A1792,'Sales Order'!A:I,9,FALSE),"Not Specified")</f>
        <v>Ship to 63-C</v>
      </c>
      <c r="P1792" t="str">
        <f>IFERROR(VLOOKUP(A1792,'Sales Order'!A:N,14,FALSE),"Not Specified")</f>
        <v>Germany</v>
      </c>
      <c r="Q1792" t="str">
        <f>VLOOKUP(VLOOKUP(B1792,Product!A:C,3,FALSE),Supplier!A:B,2,FALSE)</f>
        <v>Supplier CIYNM</v>
      </c>
      <c r="R1792" t="str">
        <f>VLOOKUP(VLOOKUP(B1792,Product!A:C,3,FALSE),Supplier!A:I,9,FALSE)</f>
        <v>Singapore</v>
      </c>
      <c r="S1792" t="str">
        <f>IFERROR(IF(VLOOKUP(A1792,'Sales Order'!A:H,8,FALSE)&gt;100,"High Freight","Low Freight"),"Not Specified")</f>
        <v>Low Freight</v>
      </c>
      <c r="T1792">
        <f t="shared" si="55"/>
        <v>828</v>
      </c>
    </row>
    <row r="1793" spans="1:20">
      <c r="A1793" s="9">
        <v>10938</v>
      </c>
      <c r="B1793" s="6">
        <v>60</v>
      </c>
      <c r="C1793" s="6">
        <v>34</v>
      </c>
      <c r="D1793" s="6">
        <v>49</v>
      </c>
      <c r="E1793" s="18">
        <v>0.25</v>
      </c>
      <c r="F1793" s="6" t="str">
        <f>IFERROR(VLOOKUP(VLOOKUP(A1793,'Sales Order'!A:B,2,FALSE),Customer!A:C,3,FALSE),"Not Specified")</f>
        <v>Veronesi, Giorgio</v>
      </c>
      <c r="G1793" s="6" t="str">
        <f t="shared" si="54"/>
        <v>Veronesi Giorgio</v>
      </c>
      <c r="H1793" s="22" t="str">
        <f>IFERROR(VLOOKUP(VLOOKUP(A1793,'Sales Order'!A:C,3,FALSE),Employee!A:E,5,FALSE)&amp;" "&amp;VLOOKUP(VLOOKUP(A1793,'Sales Order'!A:C,3,FALSE),Employee!A:C,3,FALSE)&amp;" "&amp;VLOOKUP(VLOOKUP(A1793,'Sales Order'!A:C,3,FALSE),Employee!A:B,2,FALSE),"Not Specified")</f>
        <v>Ms. Judy Lew</v>
      </c>
      <c r="I1793" t="str">
        <f>IFERROR(VLOOKUP(VLOOKUP(A1793,'Sales Order'!A:C,3,FALSE),Employee!A:J,10,FALSE),"Not Specified")</f>
        <v>WA</v>
      </c>
      <c r="J1793" t="str">
        <f>VLOOKUP(B1793,Product!A:B,2,FALSE)</f>
        <v>Product WHBYK</v>
      </c>
      <c r="K1793" t="str">
        <f>VLOOKUP(VLOOKUP(B1793,Product!A:D,4,FALSE),Category!A:B,2,FALSE)</f>
        <v>Dairy Product</v>
      </c>
      <c r="L1793" s="24">
        <f>IFERROR(VLOOKUP(A1793,'Sales Order'!A:D,4,FALSE),"")</f>
        <v>39517</v>
      </c>
      <c r="M1793" s="24">
        <f>IFERROR(VLOOKUP(A1793,'Sales Order'!A:F,6,FALSE),"")</f>
        <v>39523</v>
      </c>
      <c r="N1793" t="str">
        <f>IFERROR(VLOOKUP(VLOOKUP(A1793,'Sales Order'!A:G,7,FALSE),Shipper!A:B,2,FALSE),"Not Specified")</f>
        <v>Shipper ETYNR</v>
      </c>
      <c r="O1793" t="str">
        <f>IFERROR(VLOOKUP(A1793,'Sales Order'!A:I,9,FALSE),"Not Specified")</f>
        <v>Ship to 63-C</v>
      </c>
      <c r="P1793" t="str">
        <f>IFERROR(VLOOKUP(A1793,'Sales Order'!A:N,14,FALSE),"Not Specified")</f>
        <v>Germany</v>
      </c>
      <c r="Q1793" t="str">
        <f>VLOOKUP(VLOOKUP(B1793,Product!A:C,3,FALSE),Supplier!A:B,2,FALSE)</f>
        <v>Supplier OAVQT</v>
      </c>
      <c r="R1793" t="str">
        <f>VLOOKUP(VLOOKUP(B1793,Product!A:C,3,FALSE),Supplier!A:I,9,FALSE)</f>
        <v>France</v>
      </c>
      <c r="S1793" t="str">
        <f>IFERROR(IF(VLOOKUP(A1793,'Sales Order'!A:H,8,FALSE)&gt;100,"High Freight","Low Freight"),"Not Specified")</f>
        <v>Low Freight</v>
      </c>
      <c r="T1793">
        <f t="shared" si="55"/>
        <v>1249.5</v>
      </c>
    </row>
    <row r="1794" spans="1:20">
      <c r="A1794" s="9">
        <v>10938</v>
      </c>
      <c r="B1794" s="6">
        <v>71</v>
      </c>
      <c r="C1794" s="6">
        <v>21.5</v>
      </c>
      <c r="D1794" s="6">
        <v>35</v>
      </c>
      <c r="E1794" s="18">
        <v>0.25</v>
      </c>
      <c r="F1794" s="6" t="str">
        <f>IFERROR(VLOOKUP(VLOOKUP(A1794,'Sales Order'!A:B,2,FALSE),Customer!A:C,3,FALSE),"Not Specified")</f>
        <v>Veronesi, Giorgio</v>
      </c>
      <c r="G1794" s="6" t="str">
        <f t="shared" si="54"/>
        <v>Veronesi Giorgio</v>
      </c>
      <c r="H1794" s="22" t="str">
        <f>IFERROR(VLOOKUP(VLOOKUP(A1794,'Sales Order'!A:C,3,FALSE),Employee!A:E,5,FALSE)&amp;" "&amp;VLOOKUP(VLOOKUP(A1794,'Sales Order'!A:C,3,FALSE),Employee!A:C,3,FALSE)&amp;" "&amp;VLOOKUP(VLOOKUP(A1794,'Sales Order'!A:C,3,FALSE),Employee!A:B,2,FALSE),"Not Specified")</f>
        <v>Ms. Judy Lew</v>
      </c>
      <c r="I1794" t="str">
        <f>IFERROR(VLOOKUP(VLOOKUP(A1794,'Sales Order'!A:C,3,FALSE),Employee!A:J,10,FALSE),"Not Specified")</f>
        <v>WA</v>
      </c>
      <c r="J1794" t="str">
        <f>VLOOKUP(B1794,Product!A:B,2,FALSE)</f>
        <v>Product MYMOI</v>
      </c>
      <c r="K1794" t="str">
        <f>VLOOKUP(VLOOKUP(B1794,Product!A:D,4,FALSE),Category!A:B,2,FALSE)</f>
        <v>Dairy Product</v>
      </c>
      <c r="L1794" s="24">
        <f>IFERROR(VLOOKUP(A1794,'Sales Order'!A:D,4,FALSE),"")</f>
        <v>39517</v>
      </c>
      <c r="M1794" s="24">
        <f>IFERROR(VLOOKUP(A1794,'Sales Order'!A:F,6,FALSE),"")</f>
        <v>39523</v>
      </c>
      <c r="N1794" t="str">
        <f>IFERROR(VLOOKUP(VLOOKUP(A1794,'Sales Order'!A:G,7,FALSE),Shipper!A:B,2,FALSE),"Not Specified")</f>
        <v>Shipper ETYNR</v>
      </c>
      <c r="O1794" t="str">
        <f>IFERROR(VLOOKUP(A1794,'Sales Order'!A:I,9,FALSE),"Not Specified")</f>
        <v>Ship to 63-C</v>
      </c>
      <c r="P1794" t="str">
        <f>IFERROR(VLOOKUP(A1794,'Sales Order'!A:N,14,FALSE),"Not Specified")</f>
        <v>Germany</v>
      </c>
      <c r="Q1794" t="str">
        <f>VLOOKUP(VLOOKUP(B1794,Product!A:C,3,FALSE),Supplier!A:B,2,FALSE)</f>
        <v>Supplier NZLIF</v>
      </c>
      <c r="R1794" t="str">
        <f>VLOOKUP(VLOOKUP(B1794,Product!A:C,3,FALSE),Supplier!A:I,9,FALSE)</f>
        <v>Norway</v>
      </c>
      <c r="S1794" t="str">
        <f>IFERROR(IF(VLOOKUP(A1794,'Sales Order'!A:H,8,FALSE)&gt;100,"High Freight","Low Freight"),"Not Specified")</f>
        <v>Low Freight</v>
      </c>
      <c r="T1794">
        <f t="shared" si="55"/>
        <v>564.375</v>
      </c>
    </row>
    <row r="1795" spans="1:20">
      <c r="A1795" s="9">
        <v>10939</v>
      </c>
      <c r="B1795" s="6">
        <v>2</v>
      </c>
      <c r="C1795" s="6">
        <v>19</v>
      </c>
      <c r="D1795" s="6">
        <v>10</v>
      </c>
      <c r="E1795" s="18">
        <v>0.15</v>
      </c>
      <c r="F1795" s="6" t="str">
        <f>IFERROR(VLOOKUP(VLOOKUP(A1795,'Sales Order'!A:B,2,FALSE),Customer!A:C,3,FALSE),"Not Specified")</f>
        <v>Duerr, Bernard</v>
      </c>
      <c r="G1795" s="6" t="str">
        <f t="shared" ref="G1795:G1858" si="56">SUBSTITUTE(F1795,",","",1)</f>
        <v>Duerr Bernard</v>
      </c>
      <c r="H1795" s="22" t="str">
        <f>IFERROR(VLOOKUP(VLOOKUP(A1795,'Sales Order'!A:C,3,FALSE),Employee!A:E,5,FALSE)&amp;" "&amp;VLOOKUP(VLOOKUP(A1795,'Sales Order'!A:C,3,FALSE),Employee!A:C,3,FALSE)&amp;" "&amp;VLOOKUP(VLOOKUP(A1795,'Sales Order'!A:C,3,FALSE),Employee!A:B,2,FALSE),"Not Specified")</f>
        <v>Dr. Don Funk</v>
      </c>
      <c r="I1795" t="str">
        <f>IFERROR(VLOOKUP(VLOOKUP(A1795,'Sales Order'!A:C,3,FALSE),Employee!A:J,10,FALSE),"Not Specified")</f>
        <v>WA</v>
      </c>
      <c r="J1795" t="str">
        <f>VLOOKUP(B1795,Product!A:B,2,FALSE)</f>
        <v>Product RECZE</v>
      </c>
      <c r="K1795" t="str">
        <f>VLOOKUP(VLOOKUP(B1795,Product!A:D,4,FALSE),Category!A:B,2,FALSE)</f>
        <v>Beverages</v>
      </c>
      <c r="L1795" s="24">
        <f>IFERROR(VLOOKUP(A1795,'Sales Order'!A:D,4,FALSE),"")</f>
        <v>39517</v>
      </c>
      <c r="M1795" s="24">
        <f>IFERROR(VLOOKUP(A1795,'Sales Order'!A:F,6,FALSE),"")</f>
        <v>39520</v>
      </c>
      <c r="N1795" t="str">
        <f>IFERROR(VLOOKUP(VLOOKUP(A1795,'Sales Order'!A:G,7,FALSE),Shipper!A:B,2,FALSE),"Not Specified")</f>
        <v>Shipper ETYNR</v>
      </c>
      <c r="O1795" t="str">
        <f>IFERROR(VLOOKUP(A1795,'Sales Order'!A:I,9,FALSE),"Not Specified")</f>
        <v>Ship to 49-A</v>
      </c>
      <c r="P1795" t="str">
        <f>IFERROR(VLOOKUP(A1795,'Sales Order'!A:N,14,FALSE),"Not Specified")</f>
        <v>Italy</v>
      </c>
      <c r="Q1795" t="str">
        <f>VLOOKUP(VLOOKUP(B1795,Product!A:C,3,FALSE),Supplier!A:B,2,FALSE)</f>
        <v>Supplier SWRXU</v>
      </c>
      <c r="R1795" t="str">
        <f>VLOOKUP(VLOOKUP(B1795,Product!A:C,3,FALSE),Supplier!A:I,9,FALSE)</f>
        <v>UK</v>
      </c>
      <c r="S1795" t="str">
        <f>IFERROR(IF(VLOOKUP(A1795,'Sales Order'!A:H,8,FALSE)&gt;100,"High Freight","Low Freight"),"Not Specified")</f>
        <v>Low Freight</v>
      </c>
      <c r="T1795">
        <f t="shared" ref="T1795:T1858" si="57">C1795*D1795*(1-E1795)</f>
        <v>161.5</v>
      </c>
    </row>
    <row r="1796" spans="1:20">
      <c r="A1796" s="9">
        <v>10939</v>
      </c>
      <c r="B1796" s="6">
        <v>67</v>
      </c>
      <c r="C1796" s="6">
        <v>14</v>
      </c>
      <c r="D1796" s="6">
        <v>40</v>
      </c>
      <c r="E1796" s="18">
        <v>0.15</v>
      </c>
      <c r="F1796" s="6" t="str">
        <f>IFERROR(VLOOKUP(VLOOKUP(A1796,'Sales Order'!A:B,2,FALSE),Customer!A:C,3,FALSE),"Not Specified")</f>
        <v>Duerr, Bernard</v>
      </c>
      <c r="G1796" s="6" t="str">
        <f t="shared" si="56"/>
        <v>Duerr Bernard</v>
      </c>
      <c r="H1796" s="22" t="str">
        <f>IFERROR(VLOOKUP(VLOOKUP(A1796,'Sales Order'!A:C,3,FALSE),Employee!A:E,5,FALSE)&amp;" "&amp;VLOOKUP(VLOOKUP(A1796,'Sales Order'!A:C,3,FALSE),Employee!A:C,3,FALSE)&amp;" "&amp;VLOOKUP(VLOOKUP(A1796,'Sales Order'!A:C,3,FALSE),Employee!A:B,2,FALSE),"Not Specified")</f>
        <v>Dr. Don Funk</v>
      </c>
      <c r="I1796" t="str">
        <f>IFERROR(VLOOKUP(VLOOKUP(A1796,'Sales Order'!A:C,3,FALSE),Employee!A:J,10,FALSE),"Not Specified")</f>
        <v>WA</v>
      </c>
      <c r="J1796" t="str">
        <f>VLOOKUP(B1796,Product!A:B,2,FALSE)</f>
        <v>Product XLXQF</v>
      </c>
      <c r="K1796" t="str">
        <f>VLOOKUP(VLOOKUP(B1796,Product!A:D,4,FALSE),Category!A:B,2,FALSE)</f>
        <v>Beverages</v>
      </c>
      <c r="L1796" s="24">
        <f>IFERROR(VLOOKUP(A1796,'Sales Order'!A:D,4,FALSE),"")</f>
        <v>39517</v>
      </c>
      <c r="M1796" s="24">
        <f>IFERROR(VLOOKUP(A1796,'Sales Order'!A:F,6,FALSE),"")</f>
        <v>39520</v>
      </c>
      <c r="N1796" t="str">
        <f>IFERROR(VLOOKUP(VLOOKUP(A1796,'Sales Order'!A:G,7,FALSE),Shipper!A:B,2,FALSE),"Not Specified")</f>
        <v>Shipper ETYNR</v>
      </c>
      <c r="O1796" t="str">
        <f>IFERROR(VLOOKUP(A1796,'Sales Order'!A:I,9,FALSE),"Not Specified")</f>
        <v>Ship to 49-A</v>
      </c>
      <c r="P1796" t="str">
        <f>IFERROR(VLOOKUP(A1796,'Sales Order'!A:N,14,FALSE),"Not Specified")</f>
        <v>Italy</v>
      </c>
      <c r="Q1796" t="str">
        <f>VLOOKUP(VLOOKUP(B1796,Product!A:C,3,FALSE),Supplier!A:B,2,FALSE)</f>
        <v>Supplier UHZRG</v>
      </c>
      <c r="R1796" t="str">
        <f>VLOOKUP(VLOOKUP(B1796,Product!A:C,3,FALSE),Supplier!A:I,9,FALSE)</f>
        <v>USA</v>
      </c>
      <c r="S1796" t="str">
        <f>IFERROR(IF(VLOOKUP(A1796,'Sales Order'!A:H,8,FALSE)&gt;100,"High Freight","Low Freight"),"Not Specified")</f>
        <v>Low Freight</v>
      </c>
      <c r="T1796">
        <f t="shared" si="57"/>
        <v>476</v>
      </c>
    </row>
    <row r="1797" spans="1:20">
      <c r="A1797" s="9">
        <v>10940</v>
      </c>
      <c r="B1797" s="6">
        <v>7</v>
      </c>
      <c r="C1797" s="6">
        <v>30</v>
      </c>
      <c r="D1797" s="6">
        <v>8</v>
      </c>
      <c r="E1797" s="18">
        <v>0</v>
      </c>
      <c r="F1797" s="6" t="str">
        <f>IFERROR(VLOOKUP(VLOOKUP(A1797,'Sales Order'!A:B,2,FALSE),Customer!A:C,3,FALSE),"Not Specified")</f>
        <v>Raghav, Amritansh</v>
      </c>
      <c r="G1797" s="6" t="str">
        <f t="shared" si="56"/>
        <v>Raghav Amritansh</v>
      </c>
      <c r="H1797" s="22" t="str">
        <f>IFERROR(VLOOKUP(VLOOKUP(A1797,'Sales Order'!A:C,3,FALSE),Employee!A:E,5,FALSE)&amp;" "&amp;VLOOKUP(VLOOKUP(A1797,'Sales Order'!A:C,3,FALSE),Employee!A:C,3,FALSE)&amp;" "&amp;VLOOKUP(VLOOKUP(A1797,'Sales Order'!A:C,3,FALSE),Employee!A:B,2,FALSE),"Not Specified")</f>
        <v>Ms. Maria Cameron</v>
      </c>
      <c r="I1797" t="str">
        <f>IFERROR(VLOOKUP(VLOOKUP(A1797,'Sales Order'!A:C,3,FALSE),Employee!A:J,10,FALSE),"Not Specified")</f>
        <v>WA</v>
      </c>
      <c r="J1797" t="str">
        <f>VLOOKUP(B1797,Product!A:B,2,FALSE)</f>
        <v>Product HMLNI</v>
      </c>
      <c r="K1797" t="str">
        <f>VLOOKUP(VLOOKUP(B1797,Product!A:D,4,FALSE),Category!A:B,2,FALSE)</f>
        <v>Produce</v>
      </c>
      <c r="L1797" s="24">
        <f>IFERROR(VLOOKUP(A1797,'Sales Order'!A:D,4,FALSE),"")</f>
        <v>39518</v>
      </c>
      <c r="M1797" s="24">
        <f>IFERROR(VLOOKUP(A1797,'Sales Order'!A:F,6,FALSE),"")</f>
        <v>39530</v>
      </c>
      <c r="N1797" t="str">
        <f>IFERROR(VLOOKUP(VLOOKUP(A1797,'Sales Order'!A:G,7,FALSE),Shipper!A:B,2,FALSE),"Not Specified")</f>
        <v>Shipper ZHISN</v>
      </c>
      <c r="O1797" t="str">
        <f>IFERROR(VLOOKUP(A1797,'Sales Order'!A:I,9,FALSE),"Not Specified")</f>
        <v>Ship to 9-C</v>
      </c>
      <c r="P1797" t="str">
        <f>IFERROR(VLOOKUP(A1797,'Sales Order'!A:N,14,FALSE),"Not Specified")</f>
        <v>France</v>
      </c>
      <c r="Q1797" t="str">
        <f>VLOOKUP(VLOOKUP(B1797,Product!A:C,3,FALSE),Supplier!A:B,2,FALSE)</f>
        <v>Supplier STUAZ</v>
      </c>
      <c r="R1797" t="str">
        <f>VLOOKUP(VLOOKUP(B1797,Product!A:C,3,FALSE),Supplier!A:I,9,FALSE)</f>
        <v>USA</v>
      </c>
      <c r="S1797" t="str">
        <f>IFERROR(IF(VLOOKUP(A1797,'Sales Order'!A:H,8,FALSE)&gt;100,"High Freight","Low Freight"),"Not Specified")</f>
        <v>Low Freight</v>
      </c>
      <c r="T1797">
        <f t="shared" si="57"/>
        <v>240</v>
      </c>
    </row>
    <row r="1798" spans="1:20">
      <c r="A1798" s="9">
        <v>10940</v>
      </c>
      <c r="B1798" s="6">
        <v>13</v>
      </c>
      <c r="C1798" s="6">
        <v>6</v>
      </c>
      <c r="D1798" s="6">
        <v>20</v>
      </c>
      <c r="E1798" s="18">
        <v>0</v>
      </c>
      <c r="F1798" s="6" t="str">
        <f>IFERROR(VLOOKUP(VLOOKUP(A1798,'Sales Order'!A:B,2,FALSE),Customer!A:C,3,FALSE),"Not Specified")</f>
        <v>Raghav, Amritansh</v>
      </c>
      <c r="G1798" s="6" t="str">
        <f t="shared" si="56"/>
        <v>Raghav Amritansh</v>
      </c>
      <c r="H1798" s="22" t="str">
        <f>IFERROR(VLOOKUP(VLOOKUP(A1798,'Sales Order'!A:C,3,FALSE),Employee!A:E,5,FALSE)&amp;" "&amp;VLOOKUP(VLOOKUP(A1798,'Sales Order'!A:C,3,FALSE),Employee!A:C,3,FALSE)&amp;" "&amp;VLOOKUP(VLOOKUP(A1798,'Sales Order'!A:C,3,FALSE),Employee!A:B,2,FALSE),"Not Specified")</f>
        <v>Ms. Maria Cameron</v>
      </c>
      <c r="I1798" t="str">
        <f>IFERROR(VLOOKUP(VLOOKUP(A1798,'Sales Order'!A:C,3,FALSE),Employee!A:J,10,FALSE),"Not Specified")</f>
        <v>WA</v>
      </c>
      <c r="J1798" t="str">
        <f>VLOOKUP(B1798,Product!A:B,2,FALSE)</f>
        <v>Product POXFU</v>
      </c>
      <c r="K1798" t="str">
        <f>VLOOKUP(VLOOKUP(B1798,Product!A:D,4,FALSE),Category!A:B,2,FALSE)</f>
        <v>Seafood</v>
      </c>
      <c r="L1798" s="24">
        <f>IFERROR(VLOOKUP(A1798,'Sales Order'!A:D,4,FALSE),"")</f>
        <v>39518</v>
      </c>
      <c r="M1798" s="24">
        <f>IFERROR(VLOOKUP(A1798,'Sales Order'!A:F,6,FALSE),"")</f>
        <v>39530</v>
      </c>
      <c r="N1798" t="str">
        <f>IFERROR(VLOOKUP(VLOOKUP(A1798,'Sales Order'!A:G,7,FALSE),Shipper!A:B,2,FALSE),"Not Specified")</f>
        <v>Shipper ZHISN</v>
      </c>
      <c r="O1798" t="str">
        <f>IFERROR(VLOOKUP(A1798,'Sales Order'!A:I,9,FALSE),"Not Specified")</f>
        <v>Ship to 9-C</v>
      </c>
      <c r="P1798" t="str">
        <f>IFERROR(VLOOKUP(A1798,'Sales Order'!A:N,14,FALSE),"Not Specified")</f>
        <v>France</v>
      </c>
      <c r="Q1798" t="str">
        <f>VLOOKUP(VLOOKUP(B1798,Product!A:C,3,FALSE),Supplier!A:B,2,FALSE)</f>
        <v>Supplier QWUSF</v>
      </c>
      <c r="R1798" t="str">
        <f>VLOOKUP(VLOOKUP(B1798,Product!A:C,3,FALSE),Supplier!A:I,9,FALSE)</f>
        <v>Japan</v>
      </c>
      <c r="S1798" t="str">
        <f>IFERROR(IF(VLOOKUP(A1798,'Sales Order'!A:H,8,FALSE)&gt;100,"High Freight","Low Freight"),"Not Specified")</f>
        <v>Low Freight</v>
      </c>
      <c r="T1798">
        <f t="shared" si="57"/>
        <v>120</v>
      </c>
    </row>
    <row r="1799" spans="1:20">
      <c r="A1799" s="9">
        <v>10941</v>
      </c>
      <c r="B1799" s="6">
        <v>31</v>
      </c>
      <c r="C1799" s="6">
        <v>12.5</v>
      </c>
      <c r="D1799" s="6">
        <v>44</v>
      </c>
      <c r="E1799" s="18">
        <v>0.25</v>
      </c>
      <c r="F1799" s="6" t="str">
        <f>IFERROR(VLOOKUP(VLOOKUP(A1799,'Sales Order'!A:B,2,FALSE),Customer!A:C,3,FALSE),"Not Specified")</f>
        <v>Navarro, Tomás</v>
      </c>
      <c r="G1799" s="6" t="str">
        <f t="shared" si="56"/>
        <v>Navarro Tomás</v>
      </c>
      <c r="H1799" s="22" t="str">
        <f>IFERROR(VLOOKUP(VLOOKUP(A1799,'Sales Order'!A:C,3,FALSE),Employee!A:E,5,FALSE)&amp;" "&amp;VLOOKUP(VLOOKUP(A1799,'Sales Order'!A:C,3,FALSE),Employee!A:C,3,FALSE)&amp;" "&amp;VLOOKUP(VLOOKUP(A1799,'Sales Order'!A:C,3,FALSE),Employee!A:B,2,FALSE),"Not Specified")</f>
        <v>Mr. Russell King</v>
      </c>
      <c r="I1799">
        <f>IFERROR(VLOOKUP(VLOOKUP(A1799,'Sales Order'!A:C,3,FALSE),Employee!A:J,10,FALSE),"Not Specified")</f>
        <v>0</v>
      </c>
      <c r="J1799" t="str">
        <f>VLOOKUP(B1799,Product!A:B,2,FALSE)</f>
        <v>Product XWOXC</v>
      </c>
      <c r="K1799" t="str">
        <f>VLOOKUP(VLOOKUP(B1799,Product!A:D,4,FALSE),Category!A:B,2,FALSE)</f>
        <v>Dairy Product</v>
      </c>
      <c r="L1799" s="24">
        <f>IFERROR(VLOOKUP(A1799,'Sales Order'!A:D,4,FALSE),"")</f>
        <v>39518</v>
      </c>
      <c r="M1799" s="24">
        <f>IFERROR(VLOOKUP(A1799,'Sales Order'!A:F,6,FALSE),"")</f>
        <v>39527</v>
      </c>
      <c r="N1799" t="str">
        <f>IFERROR(VLOOKUP(VLOOKUP(A1799,'Sales Order'!A:G,7,FALSE),Shipper!A:B,2,FALSE),"Not Specified")</f>
        <v>Shipper ETYNR</v>
      </c>
      <c r="O1799" t="str">
        <f>IFERROR(VLOOKUP(A1799,'Sales Order'!A:I,9,FALSE),"Not Specified")</f>
        <v>Ship to 71-A</v>
      </c>
      <c r="P1799" t="str">
        <f>IFERROR(VLOOKUP(A1799,'Sales Order'!A:N,14,FALSE),"Not Specified")</f>
        <v>USA</v>
      </c>
      <c r="Q1799" t="str">
        <f>VLOOKUP(VLOOKUP(B1799,Product!A:C,3,FALSE),Supplier!A:B,2,FALSE)</f>
        <v>Supplier KEREV</v>
      </c>
      <c r="R1799" t="str">
        <f>VLOOKUP(VLOOKUP(B1799,Product!A:C,3,FALSE),Supplier!A:I,9,FALSE)</f>
        <v>Italy</v>
      </c>
      <c r="S1799" t="str">
        <f>IFERROR(IF(VLOOKUP(A1799,'Sales Order'!A:H,8,FALSE)&gt;100,"High Freight","Low Freight"),"Not Specified")</f>
        <v>High Freight</v>
      </c>
      <c r="T1799">
        <f t="shared" si="57"/>
        <v>412.5</v>
      </c>
    </row>
    <row r="1800" spans="1:20">
      <c r="A1800" s="9">
        <v>10941</v>
      </c>
      <c r="B1800" s="6">
        <v>62</v>
      </c>
      <c r="C1800" s="6">
        <v>49.3</v>
      </c>
      <c r="D1800" s="6">
        <v>30</v>
      </c>
      <c r="E1800" s="18">
        <v>0.25</v>
      </c>
      <c r="F1800" s="6" t="str">
        <f>IFERROR(VLOOKUP(VLOOKUP(A1800,'Sales Order'!A:B,2,FALSE),Customer!A:C,3,FALSE),"Not Specified")</f>
        <v>Navarro, Tomás</v>
      </c>
      <c r="G1800" s="6" t="str">
        <f t="shared" si="56"/>
        <v>Navarro Tomás</v>
      </c>
      <c r="H1800" s="22" t="str">
        <f>IFERROR(VLOOKUP(VLOOKUP(A1800,'Sales Order'!A:C,3,FALSE),Employee!A:E,5,FALSE)&amp;" "&amp;VLOOKUP(VLOOKUP(A1800,'Sales Order'!A:C,3,FALSE),Employee!A:C,3,FALSE)&amp;" "&amp;VLOOKUP(VLOOKUP(A1800,'Sales Order'!A:C,3,FALSE),Employee!A:B,2,FALSE),"Not Specified")</f>
        <v>Mr. Russell King</v>
      </c>
      <c r="I1800">
        <f>IFERROR(VLOOKUP(VLOOKUP(A1800,'Sales Order'!A:C,3,FALSE),Employee!A:J,10,FALSE),"Not Specified")</f>
        <v>0</v>
      </c>
      <c r="J1800" t="str">
        <f>VLOOKUP(B1800,Product!A:B,2,FALSE)</f>
        <v>Product WUXYK</v>
      </c>
      <c r="K1800" t="str">
        <f>VLOOKUP(VLOOKUP(B1800,Product!A:D,4,FALSE),Category!A:B,2,FALSE)</f>
        <v>Confections</v>
      </c>
      <c r="L1800" s="24">
        <f>IFERROR(VLOOKUP(A1800,'Sales Order'!A:D,4,FALSE),"")</f>
        <v>39518</v>
      </c>
      <c r="M1800" s="24">
        <f>IFERROR(VLOOKUP(A1800,'Sales Order'!A:F,6,FALSE),"")</f>
        <v>39527</v>
      </c>
      <c r="N1800" t="str">
        <f>IFERROR(VLOOKUP(VLOOKUP(A1800,'Sales Order'!A:G,7,FALSE),Shipper!A:B,2,FALSE),"Not Specified")</f>
        <v>Shipper ETYNR</v>
      </c>
      <c r="O1800" t="str">
        <f>IFERROR(VLOOKUP(A1800,'Sales Order'!A:I,9,FALSE),"Not Specified")</f>
        <v>Ship to 71-A</v>
      </c>
      <c r="P1800" t="str">
        <f>IFERROR(VLOOKUP(A1800,'Sales Order'!A:N,14,FALSE),"Not Specified")</f>
        <v>USA</v>
      </c>
      <c r="Q1800" t="str">
        <f>VLOOKUP(VLOOKUP(B1800,Product!A:C,3,FALSE),Supplier!A:B,2,FALSE)</f>
        <v>Supplier OGLRK</v>
      </c>
      <c r="R1800" t="str">
        <f>VLOOKUP(VLOOKUP(B1800,Product!A:C,3,FALSE),Supplier!A:I,9,FALSE)</f>
        <v>Canada</v>
      </c>
      <c r="S1800" t="str">
        <f>IFERROR(IF(VLOOKUP(A1800,'Sales Order'!A:H,8,FALSE)&gt;100,"High Freight","Low Freight"),"Not Specified")</f>
        <v>High Freight</v>
      </c>
      <c r="T1800">
        <f t="shared" si="57"/>
        <v>1109.25</v>
      </c>
    </row>
    <row r="1801" spans="1:20">
      <c r="A1801" s="9">
        <v>10941</v>
      </c>
      <c r="B1801" s="6">
        <v>68</v>
      </c>
      <c r="C1801" s="6">
        <v>12.5</v>
      </c>
      <c r="D1801" s="6">
        <v>80</v>
      </c>
      <c r="E1801" s="18">
        <v>0.25</v>
      </c>
      <c r="F1801" s="6" t="str">
        <f>IFERROR(VLOOKUP(VLOOKUP(A1801,'Sales Order'!A:B,2,FALSE),Customer!A:C,3,FALSE),"Not Specified")</f>
        <v>Navarro, Tomás</v>
      </c>
      <c r="G1801" s="6" t="str">
        <f t="shared" si="56"/>
        <v>Navarro Tomás</v>
      </c>
      <c r="H1801" s="22" t="str">
        <f>IFERROR(VLOOKUP(VLOOKUP(A1801,'Sales Order'!A:C,3,FALSE),Employee!A:E,5,FALSE)&amp;" "&amp;VLOOKUP(VLOOKUP(A1801,'Sales Order'!A:C,3,FALSE),Employee!A:C,3,FALSE)&amp;" "&amp;VLOOKUP(VLOOKUP(A1801,'Sales Order'!A:C,3,FALSE),Employee!A:B,2,FALSE),"Not Specified")</f>
        <v>Mr. Russell King</v>
      </c>
      <c r="I1801">
        <f>IFERROR(VLOOKUP(VLOOKUP(A1801,'Sales Order'!A:C,3,FALSE),Employee!A:J,10,FALSE),"Not Specified")</f>
        <v>0</v>
      </c>
      <c r="J1801" t="str">
        <f>VLOOKUP(B1801,Product!A:B,2,FALSE)</f>
        <v>Product TBTBL</v>
      </c>
      <c r="K1801" t="str">
        <f>VLOOKUP(VLOOKUP(B1801,Product!A:D,4,FALSE),Category!A:B,2,FALSE)</f>
        <v>Confections</v>
      </c>
      <c r="L1801" s="24">
        <f>IFERROR(VLOOKUP(A1801,'Sales Order'!A:D,4,FALSE),"")</f>
        <v>39518</v>
      </c>
      <c r="M1801" s="24">
        <f>IFERROR(VLOOKUP(A1801,'Sales Order'!A:F,6,FALSE),"")</f>
        <v>39527</v>
      </c>
      <c r="N1801" t="str">
        <f>IFERROR(VLOOKUP(VLOOKUP(A1801,'Sales Order'!A:G,7,FALSE),Shipper!A:B,2,FALSE),"Not Specified")</f>
        <v>Shipper ETYNR</v>
      </c>
      <c r="O1801" t="str">
        <f>IFERROR(VLOOKUP(A1801,'Sales Order'!A:I,9,FALSE),"Not Specified")</f>
        <v>Ship to 71-A</v>
      </c>
      <c r="P1801" t="str">
        <f>IFERROR(VLOOKUP(A1801,'Sales Order'!A:N,14,FALSE),"Not Specified")</f>
        <v>USA</v>
      </c>
      <c r="Q1801" t="str">
        <f>VLOOKUP(VLOOKUP(B1801,Product!A:C,3,FALSE),Supplier!A:B,2,FALSE)</f>
        <v>Supplier BWGYE</v>
      </c>
      <c r="R1801" t="str">
        <f>VLOOKUP(VLOOKUP(B1801,Product!A:C,3,FALSE),Supplier!A:I,9,FALSE)</f>
        <v>UK</v>
      </c>
      <c r="S1801" t="str">
        <f>IFERROR(IF(VLOOKUP(A1801,'Sales Order'!A:H,8,FALSE)&gt;100,"High Freight","Low Freight"),"Not Specified")</f>
        <v>High Freight</v>
      </c>
      <c r="T1801">
        <f t="shared" si="57"/>
        <v>750</v>
      </c>
    </row>
    <row r="1802" spans="1:20">
      <c r="A1802" s="9">
        <v>10941</v>
      </c>
      <c r="B1802" s="6">
        <v>72</v>
      </c>
      <c r="C1802" s="6">
        <v>34.799999999999997</v>
      </c>
      <c r="D1802" s="6">
        <v>50</v>
      </c>
      <c r="E1802" s="18">
        <v>0</v>
      </c>
      <c r="F1802" s="6" t="str">
        <f>IFERROR(VLOOKUP(VLOOKUP(A1802,'Sales Order'!A:B,2,FALSE),Customer!A:C,3,FALSE),"Not Specified")</f>
        <v>Navarro, Tomás</v>
      </c>
      <c r="G1802" s="6" t="str">
        <f t="shared" si="56"/>
        <v>Navarro Tomás</v>
      </c>
      <c r="H1802" s="22" t="str">
        <f>IFERROR(VLOOKUP(VLOOKUP(A1802,'Sales Order'!A:C,3,FALSE),Employee!A:E,5,FALSE)&amp;" "&amp;VLOOKUP(VLOOKUP(A1802,'Sales Order'!A:C,3,FALSE),Employee!A:C,3,FALSE)&amp;" "&amp;VLOOKUP(VLOOKUP(A1802,'Sales Order'!A:C,3,FALSE),Employee!A:B,2,FALSE),"Not Specified")</f>
        <v>Mr. Russell King</v>
      </c>
      <c r="I1802">
        <f>IFERROR(VLOOKUP(VLOOKUP(A1802,'Sales Order'!A:C,3,FALSE),Employee!A:J,10,FALSE),"Not Specified")</f>
        <v>0</v>
      </c>
      <c r="J1802" t="str">
        <f>VLOOKUP(B1802,Product!A:B,2,FALSE)</f>
        <v>Product GEEOO</v>
      </c>
      <c r="K1802" t="str">
        <f>VLOOKUP(VLOOKUP(B1802,Product!A:D,4,FALSE),Category!A:B,2,FALSE)</f>
        <v>Dairy Product</v>
      </c>
      <c r="L1802" s="24">
        <f>IFERROR(VLOOKUP(A1802,'Sales Order'!A:D,4,FALSE),"")</f>
        <v>39518</v>
      </c>
      <c r="M1802" s="24">
        <f>IFERROR(VLOOKUP(A1802,'Sales Order'!A:F,6,FALSE),"")</f>
        <v>39527</v>
      </c>
      <c r="N1802" t="str">
        <f>IFERROR(VLOOKUP(VLOOKUP(A1802,'Sales Order'!A:G,7,FALSE),Shipper!A:B,2,FALSE),"Not Specified")</f>
        <v>Shipper ETYNR</v>
      </c>
      <c r="O1802" t="str">
        <f>IFERROR(VLOOKUP(A1802,'Sales Order'!A:I,9,FALSE),"Not Specified")</f>
        <v>Ship to 71-A</v>
      </c>
      <c r="P1802" t="str">
        <f>IFERROR(VLOOKUP(A1802,'Sales Order'!A:N,14,FALSE),"Not Specified")</f>
        <v>USA</v>
      </c>
      <c r="Q1802" t="str">
        <f>VLOOKUP(VLOOKUP(B1802,Product!A:C,3,FALSE),Supplier!A:B,2,FALSE)</f>
        <v>Supplier KEREV</v>
      </c>
      <c r="R1802" t="str">
        <f>VLOOKUP(VLOOKUP(B1802,Product!A:C,3,FALSE),Supplier!A:I,9,FALSE)</f>
        <v>Italy</v>
      </c>
      <c r="S1802" t="str">
        <f>IFERROR(IF(VLOOKUP(A1802,'Sales Order'!A:H,8,FALSE)&gt;100,"High Freight","Low Freight"),"Not Specified")</f>
        <v>High Freight</v>
      </c>
      <c r="T1802">
        <f t="shared" si="57"/>
        <v>1739.9999999999998</v>
      </c>
    </row>
    <row r="1803" spans="1:20">
      <c r="A1803" s="9">
        <v>10942</v>
      </c>
      <c r="B1803" s="6">
        <v>49</v>
      </c>
      <c r="C1803" s="6">
        <v>20</v>
      </c>
      <c r="D1803" s="6">
        <v>28</v>
      </c>
      <c r="E1803" s="18">
        <v>0</v>
      </c>
      <c r="F1803" s="6" t="str">
        <f>IFERROR(VLOOKUP(VLOOKUP(A1803,'Sales Order'!A:B,2,FALSE),Customer!A:C,3,FALSE),"Not Specified")</f>
        <v>Voss, Florian</v>
      </c>
      <c r="G1803" s="6" t="str">
        <f t="shared" si="56"/>
        <v>Voss Florian</v>
      </c>
      <c r="H1803" s="22" t="str">
        <f>IFERROR(VLOOKUP(VLOOKUP(A1803,'Sales Order'!A:C,3,FALSE),Employee!A:E,5,FALSE)&amp;" "&amp;VLOOKUP(VLOOKUP(A1803,'Sales Order'!A:C,3,FALSE),Employee!A:C,3,FALSE)&amp;" "&amp;VLOOKUP(VLOOKUP(A1803,'Sales Order'!A:C,3,FALSE),Employee!A:B,2,FALSE),"Not Specified")</f>
        <v>Ms. Zoya Dolgopyatova</v>
      </c>
      <c r="I1803">
        <f>IFERROR(VLOOKUP(VLOOKUP(A1803,'Sales Order'!A:C,3,FALSE),Employee!A:J,10,FALSE),"Not Specified")</f>
        <v>0</v>
      </c>
      <c r="J1803" t="str">
        <f>VLOOKUP(B1803,Product!A:B,2,FALSE)</f>
        <v>Product FPYPN</v>
      </c>
      <c r="K1803" t="str">
        <f>VLOOKUP(VLOOKUP(B1803,Product!A:D,4,FALSE),Category!A:B,2,FALSE)</f>
        <v>Confections</v>
      </c>
      <c r="L1803" s="24">
        <f>IFERROR(VLOOKUP(A1803,'Sales Order'!A:D,4,FALSE),"")</f>
        <v>39518</v>
      </c>
      <c r="M1803" s="24">
        <f>IFERROR(VLOOKUP(A1803,'Sales Order'!A:F,6,FALSE),"")</f>
        <v>39525</v>
      </c>
      <c r="N1803" t="str">
        <f>IFERROR(VLOOKUP(VLOOKUP(A1803,'Sales Order'!A:G,7,FALSE),Shipper!A:B,2,FALSE),"Not Specified")</f>
        <v>Shipper ZHISN</v>
      </c>
      <c r="O1803" t="str">
        <f>IFERROR(VLOOKUP(A1803,'Sales Order'!A:I,9,FALSE),"Not Specified")</f>
        <v>Ship to 66-C</v>
      </c>
      <c r="P1803" t="str">
        <f>IFERROR(VLOOKUP(A1803,'Sales Order'!A:N,14,FALSE),"Not Specified")</f>
        <v>Italy</v>
      </c>
      <c r="Q1803" t="str">
        <f>VLOOKUP(VLOOKUP(B1803,Product!A:C,3,FALSE),Supplier!A:B,2,FALSE)</f>
        <v>Supplier ELCRN</v>
      </c>
      <c r="R1803" t="str">
        <f>VLOOKUP(VLOOKUP(B1803,Product!A:C,3,FALSE),Supplier!A:I,9,FALSE)</f>
        <v>Finland</v>
      </c>
      <c r="S1803" t="str">
        <f>IFERROR(IF(VLOOKUP(A1803,'Sales Order'!A:H,8,FALSE)&gt;100,"High Freight","Low Freight"),"Not Specified")</f>
        <v>Low Freight</v>
      </c>
      <c r="T1803">
        <f t="shared" si="57"/>
        <v>560</v>
      </c>
    </row>
    <row r="1804" spans="1:20">
      <c r="A1804" s="9">
        <v>10943</v>
      </c>
      <c r="B1804" s="6">
        <v>13</v>
      </c>
      <c r="C1804" s="6">
        <v>6</v>
      </c>
      <c r="D1804" s="6">
        <v>15</v>
      </c>
      <c r="E1804" s="18">
        <v>0</v>
      </c>
      <c r="F1804" s="6" t="str">
        <f>IFERROR(VLOOKUP(VLOOKUP(A1804,'Sales Order'!A:B,2,FALSE),Customer!A:C,3,FALSE),"Not Specified")</f>
        <v>Jaffe, David</v>
      </c>
      <c r="G1804" s="6" t="str">
        <f t="shared" si="56"/>
        <v>Jaffe David</v>
      </c>
      <c r="H1804" s="22" t="str">
        <f>IFERROR(VLOOKUP(VLOOKUP(A1804,'Sales Order'!A:C,3,FALSE),Employee!A:E,5,FALSE)&amp;" "&amp;VLOOKUP(VLOOKUP(A1804,'Sales Order'!A:C,3,FALSE),Employee!A:C,3,FALSE)&amp;" "&amp;VLOOKUP(VLOOKUP(A1804,'Sales Order'!A:C,3,FALSE),Employee!A:B,2,FALSE),"Not Specified")</f>
        <v>Mrs. Yael Peled</v>
      </c>
      <c r="I1804" t="str">
        <f>IFERROR(VLOOKUP(VLOOKUP(A1804,'Sales Order'!A:C,3,FALSE),Employee!A:J,10,FALSE),"Not Specified")</f>
        <v>WA</v>
      </c>
      <c r="J1804" t="str">
        <f>VLOOKUP(B1804,Product!A:B,2,FALSE)</f>
        <v>Product POXFU</v>
      </c>
      <c r="K1804" t="str">
        <f>VLOOKUP(VLOOKUP(B1804,Product!A:D,4,FALSE),Category!A:B,2,FALSE)</f>
        <v>Seafood</v>
      </c>
      <c r="L1804" s="24">
        <f>IFERROR(VLOOKUP(A1804,'Sales Order'!A:D,4,FALSE),"")</f>
        <v>39518</v>
      </c>
      <c r="M1804" s="24">
        <f>IFERROR(VLOOKUP(A1804,'Sales Order'!A:F,6,FALSE),"")</f>
        <v>39526</v>
      </c>
      <c r="N1804" t="str">
        <f>IFERROR(VLOOKUP(VLOOKUP(A1804,'Sales Order'!A:G,7,FALSE),Shipper!A:B,2,FALSE),"Not Specified")</f>
        <v>Shipper ETYNR</v>
      </c>
      <c r="O1804" t="str">
        <f>IFERROR(VLOOKUP(A1804,'Sales Order'!A:I,9,FALSE),"Not Specified")</f>
        <v>Destination NZASL</v>
      </c>
      <c r="P1804" t="str">
        <f>IFERROR(VLOOKUP(A1804,'Sales Order'!A:N,14,FALSE),"Not Specified")</f>
        <v>UK</v>
      </c>
      <c r="Q1804" t="str">
        <f>VLOOKUP(VLOOKUP(B1804,Product!A:C,3,FALSE),Supplier!A:B,2,FALSE)</f>
        <v>Supplier QWUSF</v>
      </c>
      <c r="R1804" t="str">
        <f>VLOOKUP(VLOOKUP(B1804,Product!A:C,3,FALSE),Supplier!A:I,9,FALSE)</f>
        <v>Japan</v>
      </c>
      <c r="S1804" t="str">
        <f>IFERROR(IF(VLOOKUP(A1804,'Sales Order'!A:H,8,FALSE)&gt;100,"High Freight","Low Freight"),"Not Specified")</f>
        <v>Low Freight</v>
      </c>
      <c r="T1804">
        <f t="shared" si="57"/>
        <v>90</v>
      </c>
    </row>
    <row r="1805" spans="1:20">
      <c r="A1805" s="9">
        <v>10943</v>
      </c>
      <c r="B1805" s="6">
        <v>22</v>
      </c>
      <c r="C1805" s="6">
        <v>21</v>
      </c>
      <c r="D1805" s="6">
        <v>21</v>
      </c>
      <c r="E1805" s="18">
        <v>0</v>
      </c>
      <c r="F1805" s="6" t="str">
        <f>IFERROR(VLOOKUP(VLOOKUP(A1805,'Sales Order'!A:B,2,FALSE),Customer!A:C,3,FALSE),"Not Specified")</f>
        <v>Jaffe, David</v>
      </c>
      <c r="G1805" s="6" t="str">
        <f t="shared" si="56"/>
        <v>Jaffe David</v>
      </c>
      <c r="H1805" s="22" t="str">
        <f>IFERROR(VLOOKUP(VLOOKUP(A1805,'Sales Order'!A:C,3,FALSE),Employee!A:E,5,FALSE)&amp;" "&amp;VLOOKUP(VLOOKUP(A1805,'Sales Order'!A:C,3,FALSE),Employee!A:C,3,FALSE)&amp;" "&amp;VLOOKUP(VLOOKUP(A1805,'Sales Order'!A:C,3,FALSE),Employee!A:B,2,FALSE),"Not Specified")</f>
        <v>Mrs. Yael Peled</v>
      </c>
      <c r="I1805" t="str">
        <f>IFERROR(VLOOKUP(VLOOKUP(A1805,'Sales Order'!A:C,3,FALSE),Employee!A:J,10,FALSE),"Not Specified")</f>
        <v>WA</v>
      </c>
      <c r="J1805" t="str">
        <f>VLOOKUP(B1805,Product!A:B,2,FALSE)</f>
        <v>Product CPHFY</v>
      </c>
      <c r="K1805" t="str">
        <f>VLOOKUP(VLOOKUP(B1805,Product!A:D,4,FALSE),Category!A:B,2,FALSE)</f>
        <v>Grains/Cereals</v>
      </c>
      <c r="L1805" s="24">
        <f>IFERROR(VLOOKUP(A1805,'Sales Order'!A:D,4,FALSE),"")</f>
        <v>39518</v>
      </c>
      <c r="M1805" s="24">
        <f>IFERROR(VLOOKUP(A1805,'Sales Order'!A:F,6,FALSE),"")</f>
        <v>39526</v>
      </c>
      <c r="N1805" t="str">
        <f>IFERROR(VLOOKUP(VLOOKUP(A1805,'Sales Order'!A:G,7,FALSE),Shipper!A:B,2,FALSE),"Not Specified")</f>
        <v>Shipper ETYNR</v>
      </c>
      <c r="O1805" t="str">
        <f>IFERROR(VLOOKUP(A1805,'Sales Order'!A:I,9,FALSE),"Not Specified")</f>
        <v>Destination NZASL</v>
      </c>
      <c r="P1805" t="str">
        <f>IFERROR(VLOOKUP(A1805,'Sales Order'!A:N,14,FALSE),"Not Specified")</f>
        <v>UK</v>
      </c>
      <c r="Q1805" t="str">
        <f>VLOOKUP(VLOOKUP(B1805,Product!A:C,3,FALSE),Supplier!A:B,2,FALSE)</f>
        <v>Supplier QQYEU</v>
      </c>
      <c r="R1805" t="str">
        <f>VLOOKUP(VLOOKUP(B1805,Product!A:C,3,FALSE),Supplier!A:I,9,FALSE)</f>
        <v>Sweden</v>
      </c>
      <c r="S1805" t="str">
        <f>IFERROR(IF(VLOOKUP(A1805,'Sales Order'!A:H,8,FALSE)&gt;100,"High Freight","Low Freight"),"Not Specified")</f>
        <v>Low Freight</v>
      </c>
      <c r="T1805">
        <f t="shared" si="57"/>
        <v>441</v>
      </c>
    </row>
    <row r="1806" spans="1:20">
      <c r="A1806" s="9">
        <v>10943</v>
      </c>
      <c r="B1806" s="6">
        <v>46</v>
      </c>
      <c r="C1806" s="6">
        <v>12</v>
      </c>
      <c r="D1806" s="6">
        <v>15</v>
      </c>
      <c r="E1806" s="18">
        <v>0</v>
      </c>
      <c r="F1806" s="6" t="str">
        <f>IFERROR(VLOOKUP(VLOOKUP(A1806,'Sales Order'!A:B,2,FALSE),Customer!A:C,3,FALSE),"Not Specified")</f>
        <v>Jaffe, David</v>
      </c>
      <c r="G1806" s="6" t="str">
        <f t="shared" si="56"/>
        <v>Jaffe David</v>
      </c>
      <c r="H1806" s="22" t="str">
        <f>IFERROR(VLOOKUP(VLOOKUP(A1806,'Sales Order'!A:C,3,FALSE),Employee!A:E,5,FALSE)&amp;" "&amp;VLOOKUP(VLOOKUP(A1806,'Sales Order'!A:C,3,FALSE),Employee!A:C,3,FALSE)&amp;" "&amp;VLOOKUP(VLOOKUP(A1806,'Sales Order'!A:C,3,FALSE),Employee!A:B,2,FALSE),"Not Specified")</f>
        <v>Mrs. Yael Peled</v>
      </c>
      <c r="I1806" t="str">
        <f>IFERROR(VLOOKUP(VLOOKUP(A1806,'Sales Order'!A:C,3,FALSE),Employee!A:J,10,FALSE),"Not Specified")</f>
        <v>WA</v>
      </c>
      <c r="J1806" t="str">
        <f>VLOOKUP(B1806,Product!A:B,2,FALSE)</f>
        <v>Product CBRRL</v>
      </c>
      <c r="K1806" t="str">
        <f>VLOOKUP(VLOOKUP(B1806,Product!A:D,4,FALSE),Category!A:B,2,FALSE)</f>
        <v>Seafood</v>
      </c>
      <c r="L1806" s="24">
        <f>IFERROR(VLOOKUP(A1806,'Sales Order'!A:D,4,FALSE),"")</f>
        <v>39518</v>
      </c>
      <c r="M1806" s="24">
        <f>IFERROR(VLOOKUP(A1806,'Sales Order'!A:F,6,FALSE),"")</f>
        <v>39526</v>
      </c>
      <c r="N1806" t="str">
        <f>IFERROR(VLOOKUP(VLOOKUP(A1806,'Sales Order'!A:G,7,FALSE),Shipper!A:B,2,FALSE),"Not Specified")</f>
        <v>Shipper ETYNR</v>
      </c>
      <c r="O1806" t="str">
        <f>IFERROR(VLOOKUP(A1806,'Sales Order'!A:I,9,FALSE),"Not Specified")</f>
        <v>Destination NZASL</v>
      </c>
      <c r="P1806" t="str">
        <f>IFERROR(VLOOKUP(A1806,'Sales Order'!A:N,14,FALSE),"Not Specified")</f>
        <v>UK</v>
      </c>
      <c r="Q1806" t="str">
        <f>VLOOKUP(VLOOKUP(B1806,Product!A:C,3,FALSE),Supplier!A:B,2,FALSE)</f>
        <v>Supplier XOXZA</v>
      </c>
      <c r="R1806" t="str">
        <f>VLOOKUP(VLOOKUP(B1806,Product!A:C,3,FALSE),Supplier!A:I,9,FALSE)</f>
        <v>Denmark</v>
      </c>
      <c r="S1806" t="str">
        <f>IFERROR(IF(VLOOKUP(A1806,'Sales Order'!A:H,8,FALSE)&gt;100,"High Freight","Low Freight"),"Not Specified")</f>
        <v>Low Freight</v>
      </c>
      <c r="T1806">
        <f t="shared" si="57"/>
        <v>180</v>
      </c>
    </row>
    <row r="1807" spans="1:20">
      <c r="A1807" s="9">
        <v>10944</v>
      </c>
      <c r="B1807" s="6">
        <v>11</v>
      </c>
      <c r="C1807" s="6">
        <v>21</v>
      </c>
      <c r="D1807" s="6">
        <v>5</v>
      </c>
      <c r="E1807" s="18">
        <v>0.25</v>
      </c>
      <c r="F1807" s="6" t="str">
        <f>IFERROR(VLOOKUP(VLOOKUP(A1807,'Sales Order'!A:B,2,FALSE),Customer!A:C,3,FALSE),"Not Specified")</f>
        <v>Bassols, Pilar Colome</v>
      </c>
      <c r="G1807" s="6" t="str">
        <f t="shared" si="56"/>
        <v>Bassols Pilar Colome</v>
      </c>
      <c r="H1807" s="22" t="str">
        <f>IFERROR(VLOOKUP(VLOOKUP(A1807,'Sales Order'!A:C,3,FALSE),Employee!A:E,5,FALSE)&amp;" "&amp;VLOOKUP(VLOOKUP(A1807,'Sales Order'!A:C,3,FALSE),Employee!A:C,3,FALSE)&amp;" "&amp;VLOOKUP(VLOOKUP(A1807,'Sales Order'!A:C,3,FALSE),Employee!A:B,2,FALSE),"Not Specified")</f>
        <v>Mr. Paul Suurs</v>
      </c>
      <c r="I1807">
        <f>IFERROR(VLOOKUP(VLOOKUP(A1807,'Sales Order'!A:C,3,FALSE),Employee!A:J,10,FALSE),"Not Specified")</f>
        <v>0</v>
      </c>
      <c r="J1807" t="str">
        <f>VLOOKUP(B1807,Product!A:B,2,FALSE)</f>
        <v>Product QMVUN</v>
      </c>
      <c r="K1807" t="str">
        <f>VLOOKUP(VLOOKUP(B1807,Product!A:D,4,FALSE),Category!A:B,2,FALSE)</f>
        <v>Dairy Product</v>
      </c>
      <c r="L1807" s="24">
        <f>IFERROR(VLOOKUP(A1807,'Sales Order'!A:D,4,FALSE),"")</f>
        <v>39519</v>
      </c>
      <c r="M1807" s="24">
        <f>IFERROR(VLOOKUP(A1807,'Sales Order'!A:F,6,FALSE),"")</f>
        <v>39520</v>
      </c>
      <c r="N1807" t="str">
        <f>IFERROR(VLOOKUP(VLOOKUP(A1807,'Sales Order'!A:G,7,FALSE),Shipper!A:B,2,FALSE),"Not Specified")</f>
        <v>Shipper ZHISN</v>
      </c>
      <c r="O1807" t="str">
        <f>IFERROR(VLOOKUP(A1807,'Sales Order'!A:I,9,FALSE),"Not Specified")</f>
        <v>Destination XJIBQ</v>
      </c>
      <c r="P1807" t="str">
        <f>IFERROR(VLOOKUP(A1807,'Sales Order'!A:N,14,FALSE),"Not Specified")</f>
        <v>Canada</v>
      </c>
      <c r="Q1807" t="str">
        <f>VLOOKUP(VLOOKUP(B1807,Product!A:C,3,FALSE),Supplier!A:B,2,FALSE)</f>
        <v>Supplier EQPNC</v>
      </c>
      <c r="R1807" t="str">
        <f>VLOOKUP(VLOOKUP(B1807,Product!A:C,3,FALSE),Supplier!A:I,9,FALSE)</f>
        <v>Spain</v>
      </c>
      <c r="S1807" t="str">
        <f>IFERROR(IF(VLOOKUP(A1807,'Sales Order'!A:H,8,FALSE)&gt;100,"High Freight","Low Freight"),"Not Specified")</f>
        <v>Low Freight</v>
      </c>
      <c r="T1807">
        <f t="shared" si="57"/>
        <v>78.75</v>
      </c>
    </row>
    <row r="1808" spans="1:20">
      <c r="A1808" s="9">
        <v>10944</v>
      </c>
      <c r="B1808" s="6">
        <v>44</v>
      </c>
      <c r="C1808" s="6">
        <v>19.45</v>
      </c>
      <c r="D1808" s="6">
        <v>18</v>
      </c>
      <c r="E1808" s="18">
        <v>0.25</v>
      </c>
      <c r="F1808" s="6" t="str">
        <f>IFERROR(VLOOKUP(VLOOKUP(A1808,'Sales Order'!A:B,2,FALSE),Customer!A:C,3,FALSE),"Not Specified")</f>
        <v>Bassols, Pilar Colome</v>
      </c>
      <c r="G1808" s="6" t="str">
        <f t="shared" si="56"/>
        <v>Bassols Pilar Colome</v>
      </c>
      <c r="H1808" s="22" t="str">
        <f>IFERROR(VLOOKUP(VLOOKUP(A1808,'Sales Order'!A:C,3,FALSE),Employee!A:E,5,FALSE)&amp;" "&amp;VLOOKUP(VLOOKUP(A1808,'Sales Order'!A:C,3,FALSE),Employee!A:C,3,FALSE)&amp;" "&amp;VLOOKUP(VLOOKUP(A1808,'Sales Order'!A:C,3,FALSE),Employee!A:B,2,FALSE),"Not Specified")</f>
        <v>Mr. Paul Suurs</v>
      </c>
      <c r="I1808">
        <f>IFERROR(VLOOKUP(VLOOKUP(A1808,'Sales Order'!A:C,3,FALSE),Employee!A:J,10,FALSE),"Not Specified")</f>
        <v>0</v>
      </c>
      <c r="J1808" t="str">
        <f>VLOOKUP(B1808,Product!A:B,2,FALSE)</f>
        <v>Product VJIEO</v>
      </c>
      <c r="K1808" t="str">
        <f>VLOOKUP(VLOOKUP(B1808,Product!A:D,4,FALSE),Category!A:B,2,FALSE)</f>
        <v>Condiments</v>
      </c>
      <c r="L1808" s="24">
        <f>IFERROR(VLOOKUP(A1808,'Sales Order'!A:D,4,FALSE),"")</f>
        <v>39519</v>
      </c>
      <c r="M1808" s="24">
        <f>IFERROR(VLOOKUP(A1808,'Sales Order'!A:F,6,FALSE),"")</f>
        <v>39520</v>
      </c>
      <c r="N1808" t="str">
        <f>IFERROR(VLOOKUP(VLOOKUP(A1808,'Sales Order'!A:G,7,FALSE),Shipper!A:B,2,FALSE),"Not Specified")</f>
        <v>Shipper ZHISN</v>
      </c>
      <c r="O1808" t="str">
        <f>IFERROR(VLOOKUP(A1808,'Sales Order'!A:I,9,FALSE),"Not Specified")</f>
        <v>Destination XJIBQ</v>
      </c>
      <c r="P1808" t="str">
        <f>IFERROR(VLOOKUP(A1808,'Sales Order'!A:N,14,FALSE),"Not Specified")</f>
        <v>Canada</v>
      </c>
      <c r="Q1808" t="str">
        <f>VLOOKUP(VLOOKUP(B1808,Product!A:C,3,FALSE),Supplier!A:B,2,FALSE)</f>
        <v>Supplier CIYNM</v>
      </c>
      <c r="R1808" t="str">
        <f>VLOOKUP(VLOOKUP(B1808,Product!A:C,3,FALSE),Supplier!A:I,9,FALSE)</f>
        <v>Singapore</v>
      </c>
      <c r="S1808" t="str">
        <f>IFERROR(IF(VLOOKUP(A1808,'Sales Order'!A:H,8,FALSE)&gt;100,"High Freight","Low Freight"),"Not Specified")</f>
        <v>Low Freight</v>
      </c>
      <c r="T1808">
        <f t="shared" si="57"/>
        <v>262.57499999999999</v>
      </c>
    </row>
    <row r="1809" spans="1:20">
      <c r="A1809" s="9">
        <v>10944</v>
      </c>
      <c r="B1809" s="6">
        <v>56</v>
      </c>
      <c r="C1809" s="6">
        <v>38</v>
      </c>
      <c r="D1809" s="6">
        <v>18</v>
      </c>
      <c r="E1809" s="18">
        <v>0</v>
      </c>
      <c r="F1809" s="6" t="str">
        <f>IFERROR(VLOOKUP(VLOOKUP(A1809,'Sales Order'!A:B,2,FALSE),Customer!A:C,3,FALSE),"Not Specified")</f>
        <v>Bassols, Pilar Colome</v>
      </c>
      <c r="G1809" s="6" t="str">
        <f t="shared" si="56"/>
        <v>Bassols Pilar Colome</v>
      </c>
      <c r="H1809" s="22" t="str">
        <f>IFERROR(VLOOKUP(VLOOKUP(A1809,'Sales Order'!A:C,3,FALSE),Employee!A:E,5,FALSE)&amp;" "&amp;VLOOKUP(VLOOKUP(A1809,'Sales Order'!A:C,3,FALSE),Employee!A:C,3,FALSE)&amp;" "&amp;VLOOKUP(VLOOKUP(A1809,'Sales Order'!A:C,3,FALSE),Employee!A:B,2,FALSE),"Not Specified")</f>
        <v>Mr. Paul Suurs</v>
      </c>
      <c r="I1809">
        <f>IFERROR(VLOOKUP(VLOOKUP(A1809,'Sales Order'!A:C,3,FALSE),Employee!A:J,10,FALSE),"Not Specified")</f>
        <v>0</v>
      </c>
      <c r="J1809" t="str">
        <f>VLOOKUP(B1809,Product!A:B,2,FALSE)</f>
        <v>Product VKCMF</v>
      </c>
      <c r="K1809" t="str">
        <f>VLOOKUP(VLOOKUP(B1809,Product!A:D,4,FALSE),Category!A:B,2,FALSE)</f>
        <v>Grains/Cereals</v>
      </c>
      <c r="L1809" s="24">
        <f>IFERROR(VLOOKUP(A1809,'Sales Order'!A:D,4,FALSE),"")</f>
        <v>39519</v>
      </c>
      <c r="M1809" s="24">
        <f>IFERROR(VLOOKUP(A1809,'Sales Order'!A:F,6,FALSE),"")</f>
        <v>39520</v>
      </c>
      <c r="N1809" t="str">
        <f>IFERROR(VLOOKUP(VLOOKUP(A1809,'Sales Order'!A:G,7,FALSE),Shipper!A:B,2,FALSE),"Not Specified")</f>
        <v>Shipper ZHISN</v>
      </c>
      <c r="O1809" t="str">
        <f>IFERROR(VLOOKUP(A1809,'Sales Order'!A:I,9,FALSE),"Not Specified")</f>
        <v>Destination XJIBQ</v>
      </c>
      <c r="P1809" t="str">
        <f>IFERROR(VLOOKUP(A1809,'Sales Order'!A:N,14,FALSE),"Not Specified")</f>
        <v>Canada</v>
      </c>
      <c r="Q1809" t="str">
        <f>VLOOKUP(VLOOKUP(B1809,Product!A:C,3,FALSE),Supplier!A:B,2,FALSE)</f>
        <v>Supplier ZWZDM</v>
      </c>
      <c r="R1809" t="str">
        <f>VLOOKUP(VLOOKUP(B1809,Product!A:C,3,FALSE),Supplier!A:I,9,FALSE)</f>
        <v>Italy</v>
      </c>
      <c r="S1809" t="str">
        <f>IFERROR(IF(VLOOKUP(A1809,'Sales Order'!A:H,8,FALSE)&gt;100,"High Freight","Low Freight"),"Not Specified")</f>
        <v>Low Freight</v>
      </c>
      <c r="T1809">
        <f t="shared" si="57"/>
        <v>684</v>
      </c>
    </row>
    <row r="1810" spans="1:20">
      <c r="A1810" s="9">
        <v>10945</v>
      </c>
      <c r="B1810" s="6">
        <v>13</v>
      </c>
      <c r="C1810" s="6">
        <v>6</v>
      </c>
      <c r="D1810" s="6">
        <v>20</v>
      </c>
      <c r="E1810" s="18">
        <v>0</v>
      </c>
      <c r="F1810" s="6" t="str">
        <f>IFERROR(VLOOKUP(VLOOKUP(A1810,'Sales Order'!A:B,2,FALSE),Customer!A:C,3,FALSE),"Not Specified")</f>
        <v>Dupont-Roc, Patrice</v>
      </c>
      <c r="G1810" s="6" t="str">
        <f t="shared" si="56"/>
        <v>Dupont-Roc Patrice</v>
      </c>
      <c r="H1810" s="22" t="str">
        <f>IFERROR(VLOOKUP(VLOOKUP(A1810,'Sales Order'!A:C,3,FALSE),Employee!A:E,5,FALSE)&amp;" "&amp;VLOOKUP(VLOOKUP(A1810,'Sales Order'!A:C,3,FALSE),Employee!A:C,3,FALSE)&amp;" "&amp;VLOOKUP(VLOOKUP(A1810,'Sales Order'!A:C,3,FALSE),Employee!A:B,2,FALSE),"Not Specified")</f>
        <v>Mrs. Yael Peled</v>
      </c>
      <c r="I1810" t="str">
        <f>IFERROR(VLOOKUP(VLOOKUP(A1810,'Sales Order'!A:C,3,FALSE),Employee!A:J,10,FALSE),"Not Specified")</f>
        <v>WA</v>
      </c>
      <c r="J1810" t="str">
        <f>VLOOKUP(B1810,Product!A:B,2,FALSE)</f>
        <v>Product POXFU</v>
      </c>
      <c r="K1810" t="str">
        <f>VLOOKUP(VLOOKUP(B1810,Product!A:D,4,FALSE),Category!A:B,2,FALSE)</f>
        <v>Seafood</v>
      </c>
      <c r="L1810" s="24">
        <f>IFERROR(VLOOKUP(A1810,'Sales Order'!A:D,4,FALSE),"")</f>
        <v>39519</v>
      </c>
      <c r="M1810" s="24">
        <f>IFERROR(VLOOKUP(A1810,'Sales Order'!A:F,6,FALSE),"")</f>
        <v>39525</v>
      </c>
      <c r="N1810" t="str">
        <f>IFERROR(VLOOKUP(VLOOKUP(A1810,'Sales Order'!A:G,7,FALSE),Shipper!A:B,2,FALSE),"Not Specified")</f>
        <v>Shipper GVSUA</v>
      </c>
      <c r="O1810" t="str">
        <f>IFERROR(VLOOKUP(A1810,'Sales Order'!A:I,9,FALSE),"Not Specified")</f>
        <v>Ship to 52-B</v>
      </c>
      <c r="P1810" t="str">
        <f>IFERROR(VLOOKUP(A1810,'Sales Order'!A:N,14,FALSE),"Not Specified")</f>
        <v>Germany</v>
      </c>
      <c r="Q1810" t="str">
        <f>VLOOKUP(VLOOKUP(B1810,Product!A:C,3,FALSE),Supplier!A:B,2,FALSE)</f>
        <v>Supplier QWUSF</v>
      </c>
      <c r="R1810" t="str">
        <f>VLOOKUP(VLOOKUP(B1810,Product!A:C,3,FALSE),Supplier!A:I,9,FALSE)</f>
        <v>Japan</v>
      </c>
      <c r="S1810" t="str">
        <f>IFERROR(IF(VLOOKUP(A1810,'Sales Order'!A:H,8,FALSE)&gt;100,"High Freight","Low Freight"),"Not Specified")</f>
        <v>Low Freight</v>
      </c>
      <c r="T1810">
        <f t="shared" si="57"/>
        <v>120</v>
      </c>
    </row>
    <row r="1811" spans="1:20">
      <c r="A1811" s="9">
        <v>10945</v>
      </c>
      <c r="B1811" s="6">
        <v>31</v>
      </c>
      <c r="C1811" s="6">
        <v>12.5</v>
      </c>
      <c r="D1811" s="6">
        <v>10</v>
      </c>
      <c r="E1811" s="18">
        <v>0</v>
      </c>
      <c r="F1811" s="6" t="str">
        <f>IFERROR(VLOOKUP(VLOOKUP(A1811,'Sales Order'!A:B,2,FALSE),Customer!A:C,3,FALSE),"Not Specified")</f>
        <v>Dupont-Roc, Patrice</v>
      </c>
      <c r="G1811" s="6" t="str">
        <f t="shared" si="56"/>
        <v>Dupont-Roc Patrice</v>
      </c>
      <c r="H1811" s="22" t="str">
        <f>IFERROR(VLOOKUP(VLOOKUP(A1811,'Sales Order'!A:C,3,FALSE),Employee!A:E,5,FALSE)&amp;" "&amp;VLOOKUP(VLOOKUP(A1811,'Sales Order'!A:C,3,FALSE),Employee!A:C,3,FALSE)&amp;" "&amp;VLOOKUP(VLOOKUP(A1811,'Sales Order'!A:C,3,FALSE),Employee!A:B,2,FALSE),"Not Specified")</f>
        <v>Mrs. Yael Peled</v>
      </c>
      <c r="I1811" t="str">
        <f>IFERROR(VLOOKUP(VLOOKUP(A1811,'Sales Order'!A:C,3,FALSE),Employee!A:J,10,FALSE),"Not Specified")</f>
        <v>WA</v>
      </c>
      <c r="J1811" t="str">
        <f>VLOOKUP(B1811,Product!A:B,2,FALSE)</f>
        <v>Product XWOXC</v>
      </c>
      <c r="K1811" t="str">
        <f>VLOOKUP(VLOOKUP(B1811,Product!A:D,4,FALSE),Category!A:B,2,FALSE)</f>
        <v>Dairy Product</v>
      </c>
      <c r="L1811" s="24">
        <f>IFERROR(VLOOKUP(A1811,'Sales Order'!A:D,4,FALSE),"")</f>
        <v>39519</v>
      </c>
      <c r="M1811" s="24">
        <f>IFERROR(VLOOKUP(A1811,'Sales Order'!A:F,6,FALSE),"")</f>
        <v>39525</v>
      </c>
      <c r="N1811" t="str">
        <f>IFERROR(VLOOKUP(VLOOKUP(A1811,'Sales Order'!A:G,7,FALSE),Shipper!A:B,2,FALSE),"Not Specified")</f>
        <v>Shipper GVSUA</v>
      </c>
      <c r="O1811" t="str">
        <f>IFERROR(VLOOKUP(A1811,'Sales Order'!A:I,9,FALSE),"Not Specified")</f>
        <v>Ship to 52-B</v>
      </c>
      <c r="P1811" t="str">
        <f>IFERROR(VLOOKUP(A1811,'Sales Order'!A:N,14,FALSE),"Not Specified")</f>
        <v>Germany</v>
      </c>
      <c r="Q1811" t="str">
        <f>VLOOKUP(VLOOKUP(B1811,Product!A:C,3,FALSE),Supplier!A:B,2,FALSE)</f>
        <v>Supplier KEREV</v>
      </c>
      <c r="R1811" t="str">
        <f>VLOOKUP(VLOOKUP(B1811,Product!A:C,3,FALSE),Supplier!A:I,9,FALSE)</f>
        <v>Italy</v>
      </c>
      <c r="S1811" t="str">
        <f>IFERROR(IF(VLOOKUP(A1811,'Sales Order'!A:H,8,FALSE)&gt;100,"High Freight","Low Freight"),"Not Specified")</f>
        <v>Low Freight</v>
      </c>
      <c r="T1811">
        <f t="shared" si="57"/>
        <v>125</v>
      </c>
    </row>
    <row r="1812" spans="1:20">
      <c r="A1812" s="9">
        <v>10946</v>
      </c>
      <c r="B1812" s="6">
        <v>10</v>
      </c>
      <c r="C1812" s="6">
        <v>31</v>
      </c>
      <c r="D1812" s="6">
        <v>25</v>
      </c>
      <c r="E1812" s="18">
        <v>0</v>
      </c>
      <c r="F1812" s="6" t="str">
        <f>IFERROR(VLOOKUP(VLOOKUP(A1812,'Sales Order'!A:B,2,FALSE),Customer!A:C,3,FALSE),"Not Specified")</f>
        <v>Fonteneau, Karl</v>
      </c>
      <c r="G1812" s="6" t="str">
        <f t="shared" si="56"/>
        <v>Fonteneau Karl</v>
      </c>
      <c r="H1812" s="22" t="str">
        <f>IFERROR(VLOOKUP(VLOOKUP(A1812,'Sales Order'!A:C,3,FALSE),Employee!A:E,5,FALSE)&amp;" "&amp;VLOOKUP(VLOOKUP(A1812,'Sales Order'!A:C,3,FALSE),Employee!A:C,3,FALSE)&amp;" "&amp;VLOOKUP(VLOOKUP(A1812,'Sales Order'!A:C,3,FALSE),Employee!A:B,2,FALSE),"Not Specified")</f>
        <v>Ms. Sara Davis</v>
      </c>
      <c r="I1812" t="str">
        <f>IFERROR(VLOOKUP(VLOOKUP(A1812,'Sales Order'!A:C,3,FALSE),Employee!A:J,10,FALSE),"Not Specified")</f>
        <v>WA</v>
      </c>
      <c r="J1812" t="str">
        <f>VLOOKUP(B1812,Product!A:B,2,FALSE)</f>
        <v>Product YHXGE</v>
      </c>
      <c r="K1812" t="str">
        <f>VLOOKUP(VLOOKUP(B1812,Product!A:D,4,FALSE),Category!A:B,2,FALSE)</f>
        <v>Seafood</v>
      </c>
      <c r="L1812" s="24">
        <f>IFERROR(VLOOKUP(A1812,'Sales Order'!A:D,4,FALSE),"")</f>
        <v>39519</v>
      </c>
      <c r="M1812" s="24">
        <f>IFERROR(VLOOKUP(A1812,'Sales Order'!A:F,6,FALSE),"")</f>
        <v>39526</v>
      </c>
      <c r="N1812" t="str">
        <f>IFERROR(VLOOKUP(VLOOKUP(A1812,'Sales Order'!A:G,7,FALSE),Shipper!A:B,2,FALSE),"Not Specified")</f>
        <v>Shipper ETYNR</v>
      </c>
      <c r="O1812" t="str">
        <f>IFERROR(VLOOKUP(A1812,'Sales Order'!A:I,9,FALSE),"Not Specified")</f>
        <v>Ship to 83-B</v>
      </c>
      <c r="P1812" t="str">
        <f>IFERROR(VLOOKUP(A1812,'Sales Order'!A:N,14,FALSE),"Not Specified")</f>
        <v>Denmark</v>
      </c>
      <c r="Q1812" t="str">
        <f>VLOOKUP(VLOOKUP(B1812,Product!A:C,3,FALSE),Supplier!A:B,2,FALSE)</f>
        <v>Supplier QOVFD</v>
      </c>
      <c r="R1812" t="str">
        <f>VLOOKUP(VLOOKUP(B1812,Product!A:C,3,FALSE),Supplier!A:I,9,FALSE)</f>
        <v>Japan</v>
      </c>
      <c r="S1812" t="str">
        <f>IFERROR(IF(VLOOKUP(A1812,'Sales Order'!A:H,8,FALSE)&gt;100,"High Freight","Low Freight"),"Not Specified")</f>
        <v>Low Freight</v>
      </c>
      <c r="T1812">
        <f t="shared" si="57"/>
        <v>775</v>
      </c>
    </row>
    <row r="1813" spans="1:20">
      <c r="A1813" s="9">
        <v>10946</v>
      </c>
      <c r="B1813" s="6">
        <v>24</v>
      </c>
      <c r="C1813" s="6">
        <v>4.5</v>
      </c>
      <c r="D1813" s="6">
        <v>25</v>
      </c>
      <c r="E1813" s="18">
        <v>0</v>
      </c>
      <c r="F1813" s="6" t="str">
        <f>IFERROR(VLOOKUP(VLOOKUP(A1813,'Sales Order'!A:B,2,FALSE),Customer!A:C,3,FALSE),"Not Specified")</f>
        <v>Fonteneau, Karl</v>
      </c>
      <c r="G1813" s="6" t="str">
        <f t="shared" si="56"/>
        <v>Fonteneau Karl</v>
      </c>
      <c r="H1813" s="22" t="str">
        <f>IFERROR(VLOOKUP(VLOOKUP(A1813,'Sales Order'!A:C,3,FALSE),Employee!A:E,5,FALSE)&amp;" "&amp;VLOOKUP(VLOOKUP(A1813,'Sales Order'!A:C,3,FALSE),Employee!A:C,3,FALSE)&amp;" "&amp;VLOOKUP(VLOOKUP(A1813,'Sales Order'!A:C,3,FALSE),Employee!A:B,2,FALSE),"Not Specified")</f>
        <v>Ms. Sara Davis</v>
      </c>
      <c r="I1813" t="str">
        <f>IFERROR(VLOOKUP(VLOOKUP(A1813,'Sales Order'!A:C,3,FALSE),Employee!A:J,10,FALSE),"Not Specified")</f>
        <v>WA</v>
      </c>
      <c r="J1813" t="str">
        <f>VLOOKUP(B1813,Product!A:B,2,FALSE)</f>
        <v>Product QOGNU</v>
      </c>
      <c r="K1813" t="str">
        <f>VLOOKUP(VLOOKUP(B1813,Product!A:D,4,FALSE),Category!A:B,2,FALSE)</f>
        <v>Beverages</v>
      </c>
      <c r="L1813" s="24">
        <f>IFERROR(VLOOKUP(A1813,'Sales Order'!A:D,4,FALSE),"")</f>
        <v>39519</v>
      </c>
      <c r="M1813" s="24">
        <f>IFERROR(VLOOKUP(A1813,'Sales Order'!A:F,6,FALSE),"")</f>
        <v>39526</v>
      </c>
      <c r="N1813" t="str">
        <f>IFERROR(VLOOKUP(VLOOKUP(A1813,'Sales Order'!A:G,7,FALSE),Shipper!A:B,2,FALSE),"Not Specified")</f>
        <v>Shipper ETYNR</v>
      </c>
      <c r="O1813" t="str">
        <f>IFERROR(VLOOKUP(A1813,'Sales Order'!A:I,9,FALSE),"Not Specified")</f>
        <v>Ship to 83-B</v>
      </c>
      <c r="P1813" t="str">
        <f>IFERROR(VLOOKUP(A1813,'Sales Order'!A:N,14,FALSE),"Not Specified")</f>
        <v>Denmark</v>
      </c>
      <c r="Q1813" t="str">
        <f>VLOOKUP(VLOOKUP(B1813,Product!A:C,3,FALSE),Supplier!A:B,2,FALSE)</f>
        <v>Supplier UNAHG</v>
      </c>
      <c r="R1813" t="str">
        <f>VLOOKUP(VLOOKUP(B1813,Product!A:C,3,FALSE),Supplier!A:I,9,FALSE)</f>
        <v>Brazil</v>
      </c>
      <c r="S1813" t="str">
        <f>IFERROR(IF(VLOOKUP(A1813,'Sales Order'!A:H,8,FALSE)&gt;100,"High Freight","Low Freight"),"Not Specified")</f>
        <v>Low Freight</v>
      </c>
      <c r="T1813">
        <f t="shared" si="57"/>
        <v>112.5</v>
      </c>
    </row>
    <row r="1814" spans="1:20">
      <c r="A1814" s="9">
        <v>10946</v>
      </c>
      <c r="B1814" s="6">
        <v>77</v>
      </c>
      <c r="C1814" s="6">
        <v>13</v>
      </c>
      <c r="D1814" s="6">
        <v>40</v>
      </c>
      <c r="E1814" s="18">
        <v>0</v>
      </c>
      <c r="F1814" s="6" t="str">
        <f>IFERROR(VLOOKUP(VLOOKUP(A1814,'Sales Order'!A:B,2,FALSE),Customer!A:C,3,FALSE),"Not Specified")</f>
        <v>Fonteneau, Karl</v>
      </c>
      <c r="G1814" s="6" t="str">
        <f t="shared" si="56"/>
        <v>Fonteneau Karl</v>
      </c>
      <c r="H1814" s="22" t="str">
        <f>IFERROR(VLOOKUP(VLOOKUP(A1814,'Sales Order'!A:C,3,FALSE),Employee!A:E,5,FALSE)&amp;" "&amp;VLOOKUP(VLOOKUP(A1814,'Sales Order'!A:C,3,FALSE),Employee!A:C,3,FALSE)&amp;" "&amp;VLOOKUP(VLOOKUP(A1814,'Sales Order'!A:C,3,FALSE),Employee!A:B,2,FALSE),"Not Specified")</f>
        <v>Ms. Sara Davis</v>
      </c>
      <c r="I1814" t="str">
        <f>IFERROR(VLOOKUP(VLOOKUP(A1814,'Sales Order'!A:C,3,FALSE),Employee!A:J,10,FALSE),"Not Specified")</f>
        <v>WA</v>
      </c>
      <c r="J1814" t="str">
        <f>VLOOKUP(B1814,Product!A:B,2,FALSE)</f>
        <v>Product LUNZZ</v>
      </c>
      <c r="K1814" t="str">
        <f>VLOOKUP(VLOOKUP(B1814,Product!A:D,4,FALSE),Category!A:B,2,FALSE)</f>
        <v>Condiments</v>
      </c>
      <c r="L1814" s="24">
        <f>IFERROR(VLOOKUP(A1814,'Sales Order'!A:D,4,FALSE),"")</f>
        <v>39519</v>
      </c>
      <c r="M1814" s="24">
        <f>IFERROR(VLOOKUP(A1814,'Sales Order'!A:F,6,FALSE),"")</f>
        <v>39526</v>
      </c>
      <c r="N1814" t="str">
        <f>IFERROR(VLOOKUP(VLOOKUP(A1814,'Sales Order'!A:G,7,FALSE),Shipper!A:B,2,FALSE),"Not Specified")</f>
        <v>Shipper ETYNR</v>
      </c>
      <c r="O1814" t="str">
        <f>IFERROR(VLOOKUP(A1814,'Sales Order'!A:I,9,FALSE),"Not Specified")</f>
        <v>Ship to 83-B</v>
      </c>
      <c r="P1814" t="str">
        <f>IFERROR(VLOOKUP(A1814,'Sales Order'!A:N,14,FALSE),"Not Specified")</f>
        <v>Denmark</v>
      </c>
      <c r="Q1814" t="str">
        <f>VLOOKUP(VLOOKUP(B1814,Product!A:C,3,FALSE),Supplier!A:B,2,FALSE)</f>
        <v>Supplier SVIYA</v>
      </c>
      <c r="R1814" t="str">
        <f>VLOOKUP(VLOOKUP(B1814,Product!A:C,3,FALSE),Supplier!A:I,9,FALSE)</f>
        <v>Germany</v>
      </c>
      <c r="S1814" t="str">
        <f>IFERROR(IF(VLOOKUP(A1814,'Sales Order'!A:H,8,FALSE)&gt;100,"High Freight","Low Freight"),"Not Specified")</f>
        <v>Low Freight</v>
      </c>
      <c r="T1814">
        <f t="shared" si="57"/>
        <v>520</v>
      </c>
    </row>
    <row r="1815" spans="1:20">
      <c r="A1815" s="9">
        <v>10947</v>
      </c>
      <c r="B1815" s="6">
        <v>59</v>
      </c>
      <c r="C1815" s="6">
        <v>55</v>
      </c>
      <c r="D1815" s="6">
        <v>4</v>
      </c>
      <c r="E1815" s="18">
        <v>0</v>
      </c>
      <c r="F1815" s="6" t="str">
        <f>IFERROR(VLOOKUP(VLOOKUP(A1815,'Sales Order'!A:B,2,FALSE),Customer!A:C,3,FALSE),"Not Specified")</f>
        <v>Jaffe, David</v>
      </c>
      <c r="G1815" s="6" t="str">
        <f t="shared" si="56"/>
        <v>Jaffe David</v>
      </c>
      <c r="H1815" s="22" t="str">
        <f>IFERROR(VLOOKUP(VLOOKUP(A1815,'Sales Order'!A:C,3,FALSE),Employee!A:E,5,FALSE)&amp;" "&amp;VLOOKUP(VLOOKUP(A1815,'Sales Order'!A:C,3,FALSE),Employee!A:C,3,FALSE)&amp;" "&amp;VLOOKUP(VLOOKUP(A1815,'Sales Order'!A:C,3,FALSE),Employee!A:B,2,FALSE),"Not Specified")</f>
        <v>Ms. Judy Lew</v>
      </c>
      <c r="I1815" t="str">
        <f>IFERROR(VLOOKUP(VLOOKUP(A1815,'Sales Order'!A:C,3,FALSE),Employee!A:J,10,FALSE),"Not Specified")</f>
        <v>WA</v>
      </c>
      <c r="J1815" t="str">
        <f>VLOOKUP(B1815,Product!A:B,2,FALSE)</f>
        <v>Product UKXRI</v>
      </c>
      <c r="K1815" t="str">
        <f>VLOOKUP(VLOOKUP(B1815,Product!A:D,4,FALSE),Category!A:B,2,FALSE)</f>
        <v>Dairy Product</v>
      </c>
      <c r="L1815" s="24">
        <f>IFERROR(VLOOKUP(A1815,'Sales Order'!A:D,4,FALSE),"")</f>
        <v>39520</v>
      </c>
      <c r="M1815" s="24">
        <f>IFERROR(VLOOKUP(A1815,'Sales Order'!A:F,6,FALSE),"")</f>
        <v>39523</v>
      </c>
      <c r="N1815" t="str">
        <f>IFERROR(VLOOKUP(VLOOKUP(A1815,'Sales Order'!A:G,7,FALSE),Shipper!A:B,2,FALSE),"Not Specified")</f>
        <v>Shipper ETYNR</v>
      </c>
      <c r="O1815" t="str">
        <f>IFERROR(VLOOKUP(A1815,'Sales Order'!A:I,9,FALSE),"Not Specified")</f>
        <v>Destination NZASL</v>
      </c>
      <c r="P1815" t="str">
        <f>IFERROR(VLOOKUP(A1815,'Sales Order'!A:N,14,FALSE),"Not Specified")</f>
        <v>UK</v>
      </c>
      <c r="Q1815" t="str">
        <f>VLOOKUP(VLOOKUP(B1815,Product!A:C,3,FALSE),Supplier!A:B,2,FALSE)</f>
        <v>Supplier OAVQT</v>
      </c>
      <c r="R1815" t="str">
        <f>VLOOKUP(VLOOKUP(B1815,Product!A:C,3,FALSE),Supplier!A:I,9,FALSE)</f>
        <v>France</v>
      </c>
      <c r="S1815" t="str">
        <f>IFERROR(IF(VLOOKUP(A1815,'Sales Order'!A:H,8,FALSE)&gt;100,"High Freight","Low Freight"),"Not Specified")</f>
        <v>Low Freight</v>
      </c>
      <c r="T1815">
        <f t="shared" si="57"/>
        <v>220</v>
      </c>
    </row>
    <row r="1816" spans="1:20">
      <c r="A1816" s="9">
        <v>10948</v>
      </c>
      <c r="B1816" s="6">
        <v>50</v>
      </c>
      <c r="C1816" s="6">
        <v>16.25</v>
      </c>
      <c r="D1816" s="6">
        <v>9</v>
      </c>
      <c r="E1816" s="18">
        <v>0</v>
      </c>
      <c r="F1816" s="6" t="str">
        <f>IFERROR(VLOOKUP(VLOOKUP(A1816,'Sales Order'!A:B,2,FALSE),Customer!A:C,3,FALSE),"Not Specified")</f>
        <v>Shabalin, Rostislav</v>
      </c>
      <c r="G1816" s="6" t="str">
        <f t="shared" si="56"/>
        <v>Shabalin Rostislav</v>
      </c>
      <c r="H1816" s="22" t="str">
        <f>IFERROR(VLOOKUP(VLOOKUP(A1816,'Sales Order'!A:C,3,FALSE),Employee!A:E,5,FALSE)&amp;" "&amp;VLOOKUP(VLOOKUP(A1816,'Sales Order'!A:C,3,FALSE),Employee!A:C,3,FALSE)&amp;" "&amp;VLOOKUP(VLOOKUP(A1816,'Sales Order'!A:C,3,FALSE),Employee!A:B,2,FALSE),"Not Specified")</f>
        <v>Ms. Judy Lew</v>
      </c>
      <c r="I1816" t="str">
        <f>IFERROR(VLOOKUP(VLOOKUP(A1816,'Sales Order'!A:C,3,FALSE),Employee!A:J,10,FALSE),"Not Specified")</f>
        <v>WA</v>
      </c>
      <c r="J1816" t="str">
        <f>VLOOKUP(B1816,Product!A:B,2,FALSE)</f>
        <v>Product BIUDV</v>
      </c>
      <c r="K1816" t="str">
        <f>VLOOKUP(VLOOKUP(B1816,Product!A:D,4,FALSE),Category!A:B,2,FALSE)</f>
        <v>Confections</v>
      </c>
      <c r="L1816" s="24">
        <f>IFERROR(VLOOKUP(A1816,'Sales Order'!A:D,4,FALSE),"")</f>
        <v>39520</v>
      </c>
      <c r="M1816" s="24">
        <f>IFERROR(VLOOKUP(A1816,'Sales Order'!A:F,6,FALSE),"")</f>
        <v>39526</v>
      </c>
      <c r="N1816" t="str">
        <f>IFERROR(VLOOKUP(VLOOKUP(A1816,'Sales Order'!A:G,7,FALSE),Shipper!A:B,2,FALSE),"Not Specified")</f>
        <v>Shipper ZHISN</v>
      </c>
      <c r="O1816" t="str">
        <f>IFERROR(VLOOKUP(A1816,'Sales Order'!A:I,9,FALSE),"Not Specified")</f>
        <v>Destination GGQIR</v>
      </c>
      <c r="P1816" t="str">
        <f>IFERROR(VLOOKUP(A1816,'Sales Order'!A:N,14,FALSE),"Not Specified")</f>
        <v>Spain</v>
      </c>
      <c r="Q1816" t="str">
        <f>VLOOKUP(VLOOKUP(B1816,Product!A:C,3,FALSE),Supplier!A:B,2,FALSE)</f>
        <v>Supplier ELCRN</v>
      </c>
      <c r="R1816" t="str">
        <f>VLOOKUP(VLOOKUP(B1816,Product!A:C,3,FALSE),Supplier!A:I,9,FALSE)</f>
        <v>Finland</v>
      </c>
      <c r="S1816" t="str">
        <f>IFERROR(IF(VLOOKUP(A1816,'Sales Order'!A:H,8,FALSE)&gt;100,"High Freight","Low Freight"),"Not Specified")</f>
        <v>Low Freight</v>
      </c>
      <c r="T1816">
        <f t="shared" si="57"/>
        <v>146.25</v>
      </c>
    </row>
    <row r="1817" spans="1:20">
      <c r="A1817" s="9">
        <v>10948</v>
      </c>
      <c r="B1817" s="6">
        <v>51</v>
      </c>
      <c r="C1817" s="6">
        <v>53</v>
      </c>
      <c r="D1817" s="6">
        <v>40</v>
      </c>
      <c r="E1817" s="18">
        <v>0</v>
      </c>
      <c r="F1817" s="6" t="str">
        <f>IFERROR(VLOOKUP(VLOOKUP(A1817,'Sales Order'!A:B,2,FALSE),Customer!A:C,3,FALSE),"Not Specified")</f>
        <v>Shabalin, Rostislav</v>
      </c>
      <c r="G1817" s="6" t="str">
        <f t="shared" si="56"/>
        <v>Shabalin Rostislav</v>
      </c>
      <c r="H1817" s="22" t="str">
        <f>IFERROR(VLOOKUP(VLOOKUP(A1817,'Sales Order'!A:C,3,FALSE),Employee!A:E,5,FALSE)&amp;" "&amp;VLOOKUP(VLOOKUP(A1817,'Sales Order'!A:C,3,FALSE),Employee!A:C,3,FALSE)&amp;" "&amp;VLOOKUP(VLOOKUP(A1817,'Sales Order'!A:C,3,FALSE),Employee!A:B,2,FALSE),"Not Specified")</f>
        <v>Ms. Judy Lew</v>
      </c>
      <c r="I1817" t="str">
        <f>IFERROR(VLOOKUP(VLOOKUP(A1817,'Sales Order'!A:C,3,FALSE),Employee!A:J,10,FALSE),"Not Specified")</f>
        <v>WA</v>
      </c>
      <c r="J1817" t="str">
        <f>VLOOKUP(B1817,Product!A:B,2,FALSE)</f>
        <v>Product APITJ</v>
      </c>
      <c r="K1817" t="str">
        <f>VLOOKUP(VLOOKUP(B1817,Product!A:D,4,FALSE),Category!A:B,2,FALSE)</f>
        <v>Produce</v>
      </c>
      <c r="L1817" s="24">
        <f>IFERROR(VLOOKUP(A1817,'Sales Order'!A:D,4,FALSE),"")</f>
        <v>39520</v>
      </c>
      <c r="M1817" s="24">
        <f>IFERROR(VLOOKUP(A1817,'Sales Order'!A:F,6,FALSE),"")</f>
        <v>39526</v>
      </c>
      <c r="N1817" t="str">
        <f>IFERROR(VLOOKUP(VLOOKUP(A1817,'Sales Order'!A:G,7,FALSE),Shipper!A:B,2,FALSE),"Not Specified")</f>
        <v>Shipper ZHISN</v>
      </c>
      <c r="O1817" t="str">
        <f>IFERROR(VLOOKUP(A1817,'Sales Order'!A:I,9,FALSE),"Not Specified")</f>
        <v>Destination GGQIR</v>
      </c>
      <c r="P1817" t="str">
        <f>IFERROR(VLOOKUP(A1817,'Sales Order'!A:N,14,FALSE),"Not Specified")</f>
        <v>Spain</v>
      </c>
      <c r="Q1817" t="str">
        <f>VLOOKUP(VLOOKUP(B1817,Product!A:C,3,FALSE),Supplier!A:B,2,FALSE)</f>
        <v>Supplier JNNES</v>
      </c>
      <c r="R1817" t="str">
        <f>VLOOKUP(VLOOKUP(B1817,Product!A:C,3,FALSE),Supplier!A:I,9,FALSE)</f>
        <v>Australia</v>
      </c>
      <c r="S1817" t="str">
        <f>IFERROR(IF(VLOOKUP(A1817,'Sales Order'!A:H,8,FALSE)&gt;100,"High Freight","Low Freight"),"Not Specified")</f>
        <v>Low Freight</v>
      </c>
      <c r="T1817">
        <f t="shared" si="57"/>
        <v>2120</v>
      </c>
    </row>
    <row r="1818" spans="1:20">
      <c r="A1818" s="9">
        <v>10948</v>
      </c>
      <c r="B1818" s="6">
        <v>55</v>
      </c>
      <c r="C1818" s="6">
        <v>24</v>
      </c>
      <c r="D1818" s="6">
        <v>4</v>
      </c>
      <c r="E1818" s="18">
        <v>0</v>
      </c>
      <c r="F1818" s="6" t="str">
        <f>IFERROR(VLOOKUP(VLOOKUP(A1818,'Sales Order'!A:B,2,FALSE),Customer!A:C,3,FALSE),"Not Specified")</f>
        <v>Shabalin, Rostislav</v>
      </c>
      <c r="G1818" s="6" t="str">
        <f t="shared" si="56"/>
        <v>Shabalin Rostislav</v>
      </c>
      <c r="H1818" s="22" t="str">
        <f>IFERROR(VLOOKUP(VLOOKUP(A1818,'Sales Order'!A:C,3,FALSE),Employee!A:E,5,FALSE)&amp;" "&amp;VLOOKUP(VLOOKUP(A1818,'Sales Order'!A:C,3,FALSE),Employee!A:C,3,FALSE)&amp;" "&amp;VLOOKUP(VLOOKUP(A1818,'Sales Order'!A:C,3,FALSE),Employee!A:B,2,FALSE),"Not Specified")</f>
        <v>Ms. Judy Lew</v>
      </c>
      <c r="I1818" t="str">
        <f>IFERROR(VLOOKUP(VLOOKUP(A1818,'Sales Order'!A:C,3,FALSE),Employee!A:J,10,FALSE),"Not Specified")</f>
        <v>WA</v>
      </c>
      <c r="J1818" t="str">
        <f>VLOOKUP(B1818,Product!A:B,2,FALSE)</f>
        <v>Product YYWRT</v>
      </c>
      <c r="K1818" t="str">
        <f>VLOOKUP(VLOOKUP(B1818,Product!A:D,4,FALSE),Category!A:B,2,FALSE)</f>
        <v>Meat/Poultry</v>
      </c>
      <c r="L1818" s="24">
        <f>IFERROR(VLOOKUP(A1818,'Sales Order'!A:D,4,FALSE),"")</f>
        <v>39520</v>
      </c>
      <c r="M1818" s="24">
        <f>IFERROR(VLOOKUP(A1818,'Sales Order'!A:F,6,FALSE),"")</f>
        <v>39526</v>
      </c>
      <c r="N1818" t="str">
        <f>IFERROR(VLOOKUP(VLOOKUP(A1818,'Sales Order'!A:G,7,FALSE),Shipper!A:B,2,FALSE),"Not Specified")</f>
        <v>Shipper ZHISN</v>
      </c>
      <c r="O1818" t="str">
        <f>IFERROR(VLOOKUP(A1818,'Sales Order'!A:I,9,FALSE),"Not Specified")</f>
        <v>Destination GGQIR</v>
      </c>
      <c r="P1818" t="str">
        <f>IFERROR(VLOOKUP(A1818,'Sales Order'!A:N,14,FALSE),"Not Specified")</f>
        <v>Spain</v>
      </c>
      <c r="Q1818" t="str">
        <f>VLOOKUP(VLOOKUP(B1818,Product!A:C,3,FALSE),Supplier!A:B,2,FALSE)</f>
        <v>Supplier ERVYZ</v>
      </c>
      <c r="R1818" t="str">
        <f>VLOOKUP(VLOOKUP(B1818,Product!A:C,3,FALSE),Supplier!A:I,9,FALSE)</f>
        <v>Canada</v>
      </c>
      <c r="S1818" t="str">
        <f>IFERROR(IF(VLOOKUP(A1818,'Sales Order'!A:H,8,FALSE)&gt;100,"High Freight","Low Freight"),"Not Specified")</f>
        <v>Low Freight</v>
      </c>
      <c r="T1818">
        <f t="shared" si="57"/>
        <v>96</v>
      </c>
    </row>
    <row r="1819" spans="1:20">
      <c r="A1819" s="9">
        <v>10949</v>
      </c>
      <c r="B1819" s="6">
        <v>6</v>
      </c>
      <c r="C1819" s="6">
        <v>25</v>
      </c>
      <c r="D1819" s="6">
        <v>12</v>
      </c>
      <c r="E1819" s="18">
        <v>0</v>
      </c>
      <c r="F1819" s="6" t="str">
        <f>IFERROR(VLOOKUP(VLOOKUP(A1819,'Sales Order'!A:B,2,FALSE),Customer!A:C,3,FALSE),"Not Specified")</f>
        <v>Bassols, Pilar Colome</v>
      </c>
      <c r="G1819" s="6" t="str">
        <f t="shared" si="56"/>
        <v>Bassols Pilar Colome</v>
      </c>
      <c r="H1819" s="22" t="str">
        <f>IFERROR(VLOOKUP(VLOOKUP(A1819,'Sales Order'!A:C,3,FALSE),Employee!A:E,5,FALSE)&amp;" "&amp;VLOOKUP(VLOOKUP(A1819,'Sales Order'!A:C,3,FALSE),Employee!A:C,3,FALSE)&amp;" "&amp;VLOOKUP(VLOOKUP(A1819,'Sales Order'!A:C,3,FALSE),Employee!A:B,2,FALSE),"Not Specified")</f>
        <v>Dr. Don Funk</v>
      </c>
      <c r="I1819" t="str">
        <f>IFERROR(VLOOKUP(VLOOKUP(A1819,'Sales Order'!A:C,3,FALSE),Employee!A:J,10,FALSE),"Not Specified")</f>
        <v>WA</v>
      </c>
      <c r="J1819" t="str">
        <f>VLOOKUP(B1819,Product!A:B,2,FALSE)</f>
        <v>Product VAIIV</v>
      </c>
      <c r="K1819" t="str">
        <f>VLOOKUP(VLOOKUP(B1819,Product!A:D,4,FALSE),Category!A:B,2,FALSE)</f>
        <v>Condiments</v>
      </c>
      <c r="L1819" s="24">
        <f>IFERROR(VLOOKUP(A1819,'Sales Order'!A:D,4,FALSE),"")</f>
        <v>39520</v>
      </c>
      <c r="M1819" s="24">
        <f>IFERROR(VLOOKUP(A1819,'Sales Order'!A:F,6,FALSE),"")</f>
        <v>39524</v>
      </c>
      <c r="N1819" t="str">
        <f>IFERROR(VLOOKUP(VLOOKUP(A1819,'Sales Order'!A:G,7,FALSE),Shipper!A:B,2,FALSE),"Not Specified")</f>
        <v>Shipper ZHISN</v>
      </c>
      <c r="O1819" t="str">
        <f>IFERROR(VLOOKUP(A1819,'Sales Order'!A:I,9,FALSE),"Not Specified")</f>
        <v>Destination OLSSJ</v>
      </c>
      <c r="P1819" t="str">
        <f>IFERROR(VLOOKUP(A1819,'Sales Order'!A:N,14,FALSE),"Not Specified")</f>
        <v>Canada</v>
      </c>
      <c r="Q1819" t="str">
        <f>VLOOKUP(VLOOKUP(B1819,Product!A:C,3,FALSE),Supplier!A:B,2,FALSE)</f>
        <v>Supplier STUAZ</v>
      </c>
      <c r="R1819" t="str">
        <f>VLOOKUP(VLOOKUP(B1819,Product!A:C,3,FALSE),Supplier!A:I,9,FALSE)</f>
        <v>USA</v>
      </c>
      <c r="S1819" t="str">
        <f>IFERROR(IF(VLOOKUP(A1819,'Sales Order'!A:H,8,FALSE)&gt;100,"High Freight","Low Freight"),"Not Specified")</f>
        <v>Low Freight</v>
      </c>
      <c r="T1819">
        <f t="shared" si="57"/>
        <v>300</v>
      </c>
    </row>
    <row r="1820" spans="1:20">
      <c r="A1820" s="9">
        <v>10949</v>
      </c>
      <c r="B1820" s="6">
        <v>10</v>
      </c>
      <c r="C1820" s="6">
        <v>31</v>
      </c>
      <c r="D1820" s="6">
        <v>30</v>
      </c>
      <c r="E1820" s="18">
        <v>0</v>
      </c>
      <c r="F1820" s="6" t="str">
        <f>IFERROR(VLOOKUP(VLOOKUP(A1820,'Sales Order'!A:B,2,FALSE),Customer!A:C,3,FALSE),"Not Specified")</f>
        <v>Bassols, Pilar Colome</v>
      </c>
      <c r="G1820" s="6" t="str">
        <f t="shared" si="56"/>
        <v>Bassols Pilar Colome</v>
      </c>
      <c r="H1820" s="22" t="str">
        <f>IFERROR(VLOOKUP(VLOOKUP(A1820,'Sales Order'!A:C,3,FALSE),Employee!A:E,5,FALSE)&amp;" "&amp;VLOOKUP(VLOOKUP(A1820,'Sales Order'!A:C,3,FALSE),Employee!A:C,3,FALSE)&amp;" "&amp;VLOOKUP(VLOOKUP(A1820,'Sales Order'!A:C,3,FALSE),Employee!A:B,2,FALSE),"Not Specified")</f>
        <v>Dr. Don Funk</v>
      </c>
      <c r="I1820" t="str">
        <f>IFERROR(VLOOKUP(VLOOKUP(A1820,'Sales Order'!A:C,3,FALSE),Employee!A:J,10,FALSE),"Not Specified")</f>
        <v>WA</v>
      </c>
      <c r="J1820" t="str">
        <f>VLOOKUP(B1820,Product!A:B,2,FALSE)</f>
        <v>Product YHXGE</v>
      </c>
      <c r="K1820" t="str">
        <f>VLOOKUP(VLOOKUP(B1820,Product!A:D,4,FALSE),Category!A:B,2,FALSE)</f>
        <v>Seafood</v>
      </c>
      <c r="L1820" s="24">
        <f>IFERROR(VLOOKUP(A1820,'Sales Order'!A:D,4,FALSE),"")</f>
        <v>39520</v>
      </c>
      <c r="M1820" s="24">
        <f>IFERROR(VLOOKUP(A1820,'Sales Order'!A:F,6,FALSE),"")</f>
        <v>39524</v>
      </c>
      <c r="N1820" t="str">
        <f>IFERROR(VLOOKUP(VLOOKUP(A1820,'Sales Order'!A:G,7,FALSE),Shipper!A:B,2,FALSE),"Not Specified")</f>
        <v>Shipper ZHISN</v>
      </c>
      <c r="O1820" t="str">
        <f>IFERROR(VLOOKUP(A1820,'Sales Order'!A:I,9,FALSE),"Not Specified")</f>
        <v>Destination OLSSJ</v>
      </c>
      <c r="P1820" t="str">
        <f>IFERROR(VLOOKUP(A1820,'Sales Order'!A:N,14,FALSE),"Not Specified")</f>
        <v>Canada</v>
      </c>
      <c r="Q1820" t="str">
        <f>VLOOKUP(VLOOKUP(B1820,Product!A:C,3,FALSE),Supplier!A:B,2,FALSE)</f>
        <v>Supplier QOVFD</v>
      </c>
      <c r="R1820" t="str">
        <f>VLOOKUP(VLOOKUP(B1820,Product!A:C,3,FALSE),Supplier!A:I,9,FALSE)</f>
        <v>Japan</v>
      </c>
      <c r="S1820" t="str">
        <f>IFERROR(IF(VLOOKUP(A1820,'Sales Order'!A:H,8,FALSE)&gt;100,"High Freight","Low Freight"),"Not Specified")</f>
        <v>Low Freight</v>
      </c>
      <c r="T1820">
        <f t="shared" si="57"/>
        <v>930</v>
      </c>
    </row>
    <row r="1821" spans="1:20">
      <c r="A1821" s="9">
        <v>10949</v>
      </c>
      <c r="B1821" s="6">
        <v>17</v>
      </c>
      <c r="C1821" s="6">
        <v>39</v>
      </c>
      <c r="D1821" s="6">
        <v>6</v>
      </c>
      <c r="E1821" s="18">
        <v>0</v>
      </c>
      <c r="F1821" s="6" t="str">
        <f>IFERROR(VLOOKUP(VLOOKUP(A1821,'Sales Order'!A:B,2,FALSE),Customer!A:C,3,FALSE),"Not Specified")</f>
        <v>Bassols, Pilar Colome</v>
      </c>
      <c r="G1821" s="6" t="str">
        <f t="shared" si="56"/>
        <v>Bassols Pilar Colome</v>
      </c>
      <c r="H1821" s="22" t="str">
        <f>IFERROR(VLOOKUP(VLOOKUP(A1821,'Sales Order'!A:C,3,FALSE),Employee!A:E,5,FALSE)&amp;" "&amp;VLOOKUP(VLOOKUP(A1821,'Sales Order'!A:C,3,FALSE),Employee!A:C,3,FALSE)&amp;" "&amp;VLOOKUP(VLOOKUP(A1821,'Sales Order'!A:C,3,FALSE),Employee!A:B,2,FALSE),"Not Specified")</f>
        <v>Dr. Don Funk</v>
      </c>
      <c r="I1821" t="str">
        <f>IFERROR(VLOOKUP(VLOOKUP(A1821,'Sales Order'!A:C,3,FALSE),Employee!A:J,10,FALSE),"Not Specified")</f>
        <v>WA</v>
      </c>
      <c r="J1821" t="str">
        <f>VLOOKUP(B1821,Product!A:B,2,FALSE)</f>
        <v>Product BLCAX</v>
      </c>
      <c r="K1821" t="str">
        <f>VLOOKUP(VLOOKUP(B1821,Product!A:D,4,FALSE),Category!A:B,2,FALSE)</f>
        <v>Meat/Poultry</v>
      </c>
      <c r="L1821" s="24">
        <f>IFERROR(VLOOKUP(A1821,'Sales Order'!A:D,4,FALSE),"")</f>
        <v>39520</v>
      </c>
      <c r="M1821" s="24">
        <f>IFERROR(VLOOKUP(A1821,'Sales Order'!A:F,6,FALSE),"")</f>
        <v>39524</v>
      </c>
      <c r="N1821" t="str">
        <f>IFERROR(VLOOKUP(VLOOKUP(A1821,'Sales Order'!A:G,7,FALSE),Shipper!A:B,2,FALSE),"Not Specified")</f>
        <v>Shipper ZHISN</v>
      </c>
      <c r="O1821" t="str">
        <f>IFERROR(VLOOKUP(A1821,'Sales Order'!A:I,9,FALSE),"Not Specified")</f>
        <v>Destination OLSSJ</v>
      </c>
      <c r="P1821" t="str">
        <f>IFERROR(VLOOKUP(A1821,'Sales Order'!A:N,14,FALSE),"Not Specified")</f>
        <v>Canada</v>
      </c>
      <c r="Q1821" t="str">
        <f>VLOOKUP(VLOOKUP(B1821,Product!A:C,3,FALSE),Supplier!A:B,2,FALSE)</f>
        <v>Supplier GQRCV</v>
      </c>
      <c r="R1821" t="str">
        <f>VLOOKUP(VLOOKUP(B1821,Product!A:C,3,FALSE),Supplier!A:I,9,FALSE)</f>
        <v>Australia</v>
      </c>
      <c r="S1821" t="str">
        <f>IFERROR(IF(VLOOKUP(A1821,'Sales Order'!A:H,8,FALSE)&gt;100,"High Freight","Low Freight"),"Not Specified")</f>
        <v>Low Freight</v>
      </c>
      <c r="T1821">
        <f t="shared" si="57"/>
        <v>234</v>
      </c>
    </row>
    <row r="1822" spans="1:20">
      <c r="A1822" s="9">
        <v>10949</v>
      </c>
      <c r="B1822" s="6">
        <v>62</v>
      </c>
      <c r="C1822" s="6">
        <v>49.3</v>
      </c>
      <c r="D1822" s="6">
        <v>60</v>
      </c>
      <c r="E1822" s="18">
        <v>0</v>
      </c>
      <c r="F1822" s="6" t="str">
        <f>IFERROR(VLOOKUP(VLOOKUP(A1822,'Sales Order'!A:B,2,FALSE),Customer!A:C,3,FALSE),"Not Specified")</f>
        <v>Bassols, Pilar Colome</v>
      </c>
      <c r="G1822" s="6" t="str">
        <f t="shared" si="56"/>
        <v>Bassols Pilar Colome</v>
      </c>
      <c r="H1822" s="22" t="str">
        <f>IFERROR(VLOOKUP(VLOOKUP(A1822,'Sales Order'!A:C,3,FALSE),Employee!A:E,5,FALSE)&amp;" "&amp;VLOOKUP(VLOOKUP(A1822,'Sales Order'!A:C,3,FALSE),Employee!A:C,3,FALSE)&amp;" "&amp;VLOOKUP(VLOOKUP(A1822,'Sales Order'!A:C,3,FALSE),Employee!A:B,2,FALSE),"Not Specified")</f>
        <v>Dr. Don Funk</v>
      </c>
      <c r="I1822" t="str">
        <f>IFERROR(VLOOKUP(VLOOKUP(A1822,'Sales Order'!A:C,3,FALSE),Employee!A:J,10,FALSE),"Not Specified")</f>
        <v>WA</v>
      </c>
      <c r="J1822" t="str">
        <f>VLOOKUP(B1822,Product!A:B,2,FALSE)</f>
        <v>Product WUXYK</v>
      </c>
      <c r="K1822" t="str">
        <f>VLOOKUP(VLOOKUP(B1822,Product!A:D,4,FALSE),Category!A:B,2,FALSE)</f>
        <v>Confections</v>
      </c>
      <c r="L1822" s="24">
        <f>IFERROR(VLOOKUP(A1822,'Sales Order'!A:D,4,FALSE),"")</f>
        <v>39520</v>
      </c>
      <c r="M1822" s="24">
        <f>IFERROR(VLOOKUP(A1822,'Sales Order'!A:F,6,FALSE),"")</f>
        <v>39524</v>
      </c>
      <c r="N1822" t="str">
        <f>IFERROR(VLOOKUP(VLOOKUP(A1822,'Sales Order'!A:G,7,FALSE),Shipper!A:B,2,FALSE),"Not Specified")</f>
        <v>Shipper ZHISN</v>
      </c>
      <c r="O1822" t="str">
        <f>IFERROR(VLOOKUP(A1822,'Sales Order'!A:I,9,FALSE),"Not Specified")</f>
        <v>Destination OLSSJ</v>
      </c>
      <c r="P1822" t="str">
        <f>IFERROR(VLOOKUP(A1822,'Sales Order'!A:N,14,FALSE),"Not Specified")</f>
        <v>Canada</v>
      </c>
      <c r="Q1822" t="str">
        <f>VLOOKUP(VLOOKUP(B1822,Product!A:C,3,FALSE),Supplier!A:B,2,FALSE)</f>
        <v>Supplier OGLRK</v>
      </c>
      <c r="R1822" t="str">
        <f>VLOOKUP(VLOOKUP(B1822,Product!A:C,3,FALSE),Supplier!A:I,9,FALSE)</f>
        <v>Canada</v>
      </c>
      <c r="S1822" t="str">
        <f>IFERROR(IF(VLOOKUP(A1822,'Sales Order'!A:H,8,FALSE)&gt;100,"High Freight","Low Freight"),"Not Specified")</f>
        <v>Low Freight</v>
      </c>
      <c r="T1822">
        <f t="shared" si="57"/>
        <v>2958</v>
      </c>
    </row>
    <row r="1823" spans="1:20">
      <c r="A1823" s="9">
        <v>10950</v>
      </c>
      <c r="B1823" s="6">
        <v>4</v>
      </c>
      <c r="C1823" s="6">
        <v>22</v>
      </c>
      <c r="D1823" s="6">
        <v>5</v>
      </c>
      <c r="E1823" s="18">
        <v>0</v>
      </c>
      <c r="F1823" s="6" t="str">
        <f>IFERROR(VLOOKUP(VLOOKUP(A1823,'Sales Order'!A:B,2,FALSE),Customer!A:C,3,FALSE),"Not Specified")</f>
        <v>Duerr, Bernard</v>
      </c>
      <c r="G1823" s="6" t="str">
        <f t="shared" si="56"/>
        <v>Duerr Bernard</v>
      </c>
      <c r="H1823" s="22" t="str">
        <f>IFERROR(VLOOKUP(VLOOKUP(A1823,'Sales Order'!A:C,3,FALSE),Employee!A:E,5,FALSE)&amp;" "&amp;VLOOKUP(VLOOKUP(A1823,'Sales Order'!A:C,3,FALSE),Employee!A:C,3,FALSE)&amp;" "&amp;VLOOKUP(VLOOKUP(A1823,'Sales Order'!A:C,3,FALSE),Employee!A:B,2,FALSE),"Not Specified")</f>
        <v>Ms. Sara Davis</v>
      </c>
      <c r="I1823" t="str">
        <f>IFERROR(VLOOKUP(VLOOKUP(A1823,'Sales Order'!A:C,3,FALSE),Employee!A:J,10,FALSE),"Not Specified")</f>
        <v>WA</v>
      </c>
      <c r="J1823" t="str">
        <f>VLOOKUP(B1823,Product!A:B,2,FALSE)</f>
        <v>Product KSBRM</v>
      </c>
      <c r="K1823" t="str">
        <f>VLOOKUP(VLOOKUP(B1823,Product!A:D,4,FALSE),Category!A:B,2,FALSE)</f>
        <v>Condiments</v>
      </c>
      <c r="L1823" s="24">
        <f>IFERROR(VLOOKUP(A1823,'Sales Order'!A:D,4,FALSE),"")</f>
        <v>39523</v>
      </c>
      <c r="M1823" s="24">
        <f>IFERROR(VLOOKUP(A1823,'Sales Order'!A:F,6,FALSE),"")</f>
        <v>39530</v>
      </c>
      <c r="N1823" t="str">
        <f>IFERROR(VLOOKUP(VLOOKUP(A1823,'Sales Order'!A:G,7,FALSE),Shipper!A:B,2,FALSE),"Not Specified")</f>
        <v>Shipper ETYNR</v>
      </c>
      <c r="O1823" t="str">
        <f>IFERROR(VLOOKUP(A1823,'Sales Order'!A:I,9,FALSE),"Not Specified")</f>
        <v>Ship to 49-B</v>
      </c>
      <c r="P1823" t="str">
        <f>IFERROR(VLOOKUP(A1823,'Sales Order'!A:N,14,FALSE),"Not Specified")</f>
        <v>Italy</v>
      </c>
      <c r="Q1823" t="str">
        <f>VLOOKUP(VLOOKUP(B1823,Product!A:C,3,FALSE),Supplier!A:B,2,FALSE)</f>
        <v>Supplier VHQZD</v>
      </c>
      <c r="R1823" t="str">
        <f>VLOOKUP(VLOOKUP(B1823,Product!A:C,3,FALSE),Supplier!A:I,9,FALSE)</f>
        <v>USA</v>
      </c>
      <c r="S1823" t="str">
        <f>IFERROR(IF(VLOOKUP(A1823,'Sales Order'!A:H,8,FALSE)&gt;100,"High Freight","Low Freight"),"Not Specified")</f>
        <v>Low Freight</v>
      </c>
      <c r="T1823">
        <f t="shared" si="57"/>
        <v>110</v>
      </c>
    </row>
    <row r="1824" spans="1:20">
      <c r="A1824" s="9">
        <v>10951</v>
      </c>
      <c r="B1824" s="6">
        <v>33</v>
      </c>
      <c r="C1824" s="6">
        <v>2.5</v>
      </c>
      <c r="D1824" s="6">
        <v>15</v>
      </c>
      <c r="E1824" s="18">
        <v>0.05</v>
      </c>
      <c r="F1824" s="6" t="str">
        <f>IFERROR(VLOOKUP(VLOOKUP(A1824,'Sales Order'!A:B,2,FALSE),Customer!A:C,3,FALSE),"Not Specified")</f>
        <v>Myrcha, Jacek</v>
      </c>
      <c r="G1824" s="6" t="str">
        <f t="shared" si="56"/>
        <v>Myrcha Jacek</v>
      </c>
      <c r="H1824" s="22" t="str">
        <f>IFERROR(VLOOKUP(VLOOKUP(A1824,'Sales Order'!A:C,3,FALSE),Employee!A:E,5,FALSE)&amp;" "&amp;VLOOKUP(VLOOKUP(A1824,'Sales Order'!A:C,3,FALSE),Employee!A:C,3,FALSE)&amp;" "&amp;VLOOKUP(VLOOKUP(A1824,'Sales Order'!A:C,3,FALSE),Employee!A:B,2,FALSE),"Not Specified")</f>
        <v>Ms. Zoya Dolgopyatova</v>
      </c>
      <c r="I1824">
        <f>IFERROR(VLOOKUP(VLOOKUP(A1824,'Sales Order'!A:C,3,FALSE),Employee!A:J,10,FALSE),"Not Specified")</f>
        <v>0</v>
      </c>
      <c r="J1824" t="str">
        <f>VLOOKUP(B1824,Product!A:B,2,FALSE)</f>
        <v>Product ASTMN</v>
      </c>
      <c r="K1824" t="str">
        <f>VLOOKUP(VLOOKUP(B1824,Product!A:D,4,FALSE),Category!A:B,2,FALSE)</f>
        <v>Dairy Product</v>
      </c>
      <c r="L1824" s="24">
        <f>IFERROR(VLOOKUP(A1824,'Sales Order'!A:D,4,FALSE),"")</f>
        <v>39523</v>
      </c>
      <c r="M1824" s="24">
        <f>IFERROR(VLOOKUP(A1824,'Sales Order'!A:F,6,FALSE),"")</f>
        <v>39545</v>
      </c>
      <c r="N1824" t="str">
        <f>IFERROR(VLOOKUP(VLOOKUP(A1824,'Sales Order'!A:G,7,FALSE),Shipper!A:B,2,FALSE),"Not Specified")</f>
        <v>Shipper ETYNR</v>
      </c>
      <c r="O1824" t="str">
        <f>IFERROR(VLOOKUP(A1824,'Sales Order'!A:I,9,FALSE),"Not Specified")</f>
        <v>Ship to 68-A</v>
      </c>
      <c r="P1824" t="str">
        <f>IFERROR(VLOOKUP(A1824,'Sales Order'!A:N,14,FALSE),"Not Specified")</f>
        <v>Switzerland</v>
      </c>
      <c r="Q1824" t="str">
        <f>VLOOKUP(VLOOKUP(B1824,Product!A:C,3,FALSE),Supplier!A:B,2,FALSE)</f>
        <v>Supplier NZLIF</v>
      </c>
      <c r="R1824" t="str">
        <f>VLOOKUP(VLOOKUP(B1824,Product!A:C,3,FALSE),Supplier!A:I,9,FALSE)</f>
        <v>Norway</v>
      </c>
      <c r="S1824" t="str">
        <f>IFERROR(IF(VLOOKUP(A1824,'Sales Order'!A:H,8,FALSE)&gt;100,"High Freight","Low Freight"),"Not Specified")</f>
        <v>Low Freight</v>
      </c>
      <c r="T1824">
        <f t="shared" si="57"/>
        <v>35.625</v>
      </c>
    </row>
    <row r="1825" spans="1:20">
      <c r="A1825" s="9">
        <v>10951</v>
      </c>
      <c r="B1825" s="6">
        <v>41</v>
      </c>
      <c r="C1825" s="6">
        <v>9.65</v>
      </c>
      <c r="D1825" s="6">
        <v>6</v>
      </c>
      <c r="E1825" s="18">
        <v>0.05</v>
      </c>
      <c r="F1825" s="6" t="str">
        <f>IFERROR(VLOOKUP(VLOOKUP(A1825,'Sales Order'!A:B,2,FALSE),Customer!A:C,3,FALSE),"Not Specified")</f>
        <v>Myrcha, Jacek</v>
      </c>
      <c r="G1825" s="6" t="str">
        <f t="shared" si="56"/>
        <v>Myrcha Jacek</v>
      </c>
      <c r="H1825" s="22" t="str">
        <f>IFERROR(VLOOKUP(VLOOKUP(A1825,'Sales Order'!A:C,3,FALSE),Employee!A:E,5,FALSE)&amp;" "&amp;VLOOKUP(VLOOKUP(A1825,'Sales Order'!A:C,3,FALSE),Employee!A:C,3,FALSE)&amp;" "&amp;VLOOKUP(VLOOKUP(A1825,'Sales Order'!A:C,3,FALSE),Employee!A:B,2,FALSE),"Not Specified")</f>
        <v>Ms. Zoya Dolgopyatova</v>
      </c>
      <c r="I1825">
        <f>IFERROR(VLOOKUP(VLOOKUP(A1825,'Sales Order'!A:C,3,FALSE),Employee!A:J,10,FALSE),"Not Specified")</f>
        <v>0</v>
      </c>
      <c r="J1825" t="str">
        <f>VLOOKUP(B1825,Product!A:B,2,FALSE)</f>
        <v>Product TTEEX</v>
      </c>
      <c r="K1825" t="str">
        <f>VLOOKUP(VLOOKUP(B1825,Product!A:D,4,FALSE),Category!A:B,2,FALSE)</f>
        <v>Seafood</v>
      </c>
      <c r="L1825" s="24">
        <f>IFERROR(VLOOKUP(A1825,'Sales Order'!A:D,4,FALSE),"")</f>
        <v>39523</v>
      </c>
      <c r="M1825" s="24">
        <f>IFERROR(VLOOKUP(A1825,'Sales Order'!A:F,6,FALSE),"")</f>
        <v>39545</v>
      </c>
      <c r="N1825" t="str">
        <f>IFERROR(VLOOKUP(VLOOKUP(A1825,'Sales Order'!A:G,7,FALSE),Shipper!A:B,2,FALSE),"Not Specified")</f>
        <v>Shipper ETYNR</v>
      </c>
      <c r="O1825" t="str">
        <f>IFERROR(VLOOKUP(A1825,'Sales Order'!A:I,9,FALSE),"Not Specified")</f>
        <v>Ship to 68-A</v>
      </c>
      <c r="P1825" t="str">
        <f>IFERROR(VLOOKUP(A1825,'Sales Order'!A:N,14,FALSE),"Not Specified")</f>
        <v>Switzerland</v>
      </c>
      <c r="Q1825" t="str">
        <f>VLOOKUP(VLOOKUP(B1825,Product!A:C,3,FALSE),Supplier!A:B,2,FALSE)</f>
        <v>Supplier JDNUG</v>
      </c>
      <c r="R1825" t="str">
        <f>VLOOKUP(VLOOKUP(B1825,Product!A:C,3,FALSE),Supplier!A:I,9,FALSE)</f>
        <v>USA</v>
      </c>
      <c r="S1825" t="str">
        <f>IFERROR(IF(VLOOKUP(A1825,'Sales Order'!A:H,8,FALSE)&gt;100,"High Freight","Low Freight"),"Not Specified")</f>
        <v>Low Freight</v>
      </c>
      <c r="T1825">
        <f t="shared" si="57"/>
        <v>55.005000000000003</v>
      </c>
    </row>
    <row r="1826" spans="1:20">
      <c r="A1826" s="9">
        <v>10951</v>
      </c>
      <c r="B1826" s="6">
        <v>75</v>
      </c>
      <c r="C1826" s="6">
        <v>7.75</v>
      </c>
      <c r="D1826" s="6">
        <v>50</v>
      </c>
      <c r="E1826" s="18">
        <v>0.05</v>
      </c>
      <c r="F1826" s="6" t="str">
        <f>IFERROR(VLOOKUP(VLOOKUP(A1826,'Sales Order'!A:B,2,FALSE),Customer!A:C,3,FALSE),"Not Specified")</f>
        <v>Myrcha, Jacek</v>
      </c>
      <c r="G1826" s="6" t="str">
        <f t="shared" si="56"/>
        <v>Myrcha Jacek</v>
      </c>
      <c r="H1826" s="22" t="str">
        <f>IFERROR(VLOOKUP(VLOOKUP(A1826,'Sales Order'!A:C,3,FALSE),Employee!A:E,5,FALSE)&amp;" "&amp;VLOOKUP(VLOOKUP(A1826,'Sales Order'!A:C,3,FALSE),Employee!A:C,3,FALSE)&amp;" "&amp;VLOOKUP(VLOOKUP(A1826,'Sales Order'!A:C,3,FALSE),Employee!A:B,2,FALSE),"Not Specified")</f>
        <v>Ms. Zoya Dolgopyatova</v>
      </c>
      <c r="I1826">
        <f>IFERROR(VLOOKUP(VLOOKUP(A1826,'Sales Order'!A:C,3,FALSE),Employee!A:J,10,FALSE),"Not Specified")</f>
        <v>0</v>
      </c>
      <c r="J1826" t="str">
        <f>VLOOKUP(B1826,Product!A:B,2,FALSE)</f>
        <v>Product BWRLG</v>
      </c>
      <c r="K1826" t="str">
        <f>VLOOKUP(VLOOKUP(B1826,Product!A:D,4,FALSE),Category!A:B,2,FALSE)</f>
        <v>Beverages</v>
      </c>
      <c r="L1826" s="24">
        <f>IFERROR(VLOOKUP(A1826,'Sales Order'!A:D,4,FALSE),"")</f>
        <v>39523</v>
      </c>
      <c r="M1826" s="24">
        <f>IFERROR(VLOOKUP(A1826,'Sales Order'!A:F,6,FALSE),"")</f>
        <v>39545</v>
      </c>
      <c r="N1826" t="str">
        <f>IFERROR(VLOOKUP(VLOOKUP(A1826,'Sales Order'!A:G,7,FALSE),Shipper!A:B,2,FALSE),"Not Specified")</f>
        <v>Shipper ETYNR</v>
      </c>
      <c r="O1826" t="str">
        <f>IFERROR(VLOOKUP(A1826,'Sales Order'!A:I,9,FALSE),"Not Specified")</f>
        <v>Ship to 68-A</v>
      </c>
      <c r="P1826" t="str">
        <f>IFERROR(VLOOKUP(A1826,'Sales Order'!A:N,14,FALSE),"Not Specified")</f>
        <v>Switzerland</v>
      </c>
      <c r="Q1826" t="str">
        <f>VLOOKUP(VLOOKUP(B1826,Product!A:C,3,FALSE),Supplier!A:B,2,FALSE)</f>
        <v>Supplier SVIYA</v>
      </c>
      <c r="R1826" t="str">
        <f>VLOOKUP(VLOOKUP(B1826,Product!A:C,3,FALSE),Supplier!A:I,9,FALSE)</f>
        <v>Germany</v>
      </c>
      <c r="S1826" t="str">
        <f>IFERROR(IF(VLOOKUP(A1826,'Sales Order'!A:H,8,FALSE)&gt;100,"High Freight","Low Freight"),"Not Specified")</f>
        <v>Low Freight</v>
      </c>
      <c r="T1826">
        <f t="shared" si="57"/>
        <v>368.125</v>
      </c>
    </row>
    <row r="1827" spans="1:20">
      <c r="A1827" s="9">
        <v>10952</v>
      </c>
      <c r="B1827" s="6">
        <v>6</v>
      </c>
      <c r="C1827" s="6">
        <v>25</v>
      </c>
      <c r="D1827" s="6">
        <v>16</v>
      </c>
      <c r="E1827" s="18">
        <v>0.05</v>
      </c>
      <c r="F1827" s="6" t="str">
        <f>IFERROR(VLOOKUP(VLOOKUP(A1827,'Sales Order'!A:B,2,FALSE),Customer!A:C,3,FALSE),"Not Specified")</f>
        <v>Allen, Michael</v>
      </c>
      <c r="G1827" s="6" t="str">
        <f t="shared" si="56"/>
        <v>Allen Michael</v>
      </c>
      <c r="H1827" s="22" t="str">
        <f>IFERROR(VLOOKUP(VLOOKUP(A1827,'Sales Order'!A:C,3,FALSE),Employee!A:E,5,FALSE)&amp;" "&amp;VLOOKUP(VLOOKUP(A1827,'Sales Order'!A:C,3,FALSE),Employee!A:C,3,FALSE)&amp;" "&amp;VLOOKUP(VLOOKUP(A1827,'Sales Order'!A:C,3,FALSE),Employee!A:B,2,FALSE),"Not Specified")</f>
        <v>Ms. Sara Davis</v>
      </c>
      <c r="I1827" t="str">
        <f>IFERROR(VLOOKUP(VLOOKUP(A1827,'Sales Order'!A:C,3,FALSE),Employee!A:J,10,FALSE),"Not Specified")</f>
        <v>WA</v>
      </c>
      <c r="J1827" t="str">
        <f>VLOOKUP(B1827,Product!A:B,2,FALSE)</f>
        <v>Product VAIIV</v>
      </c>
      <c r="K1827" t="str">
        <f>VLOOKUP(VLOOKUP(B1827,Product!A:D,4,FALSE),Category!A:B,2,FALSE)</f>
        <v>Condiments</v>
      </c>
      <c r="L1827" s="24">
        <f>IFERROR(VLOOKUP(A1827,'Sales Order'!A:D,4,FALSE),"")</f>
        <v>39523</v>
      </c>
      <c r="M1827" s="24">
        <f>IFERROR(VLOOKUP(A1827,'Sales Order'!A:F,6,FALSE),"")</f>
        <v>39531</v>
      </c>
      <c r="N1827" t="str">
        <f>IFERROR(VLOOKUP(VLOOKUP(A1827,'Sales Order'!A:G,7,FALSE),Shipper!A:B,2,FALSE),"Not Specified")</f>
        <v>Shipper GVSUA</v>
      </c>
      <c r="O1827" t="str">
        <f>IFERROR(VLOOKUP(A1827,'Sales Order'!A:I,9,FALSE),"Not Specified")</f>
        <v>Destination LOUIE</v>
      </c>
      <c r="P1827" t="str">
        <f>IFERROR(VLOOKUP(A1827,'Sales Order'!A:N,14,FALSE),"Not Specified")</f>
        <v>Germany</v>
      </c>
      <c r="Q1827" t="str">
        <f>VLOOKUP(VLOOKUP(B1827,Product!A:C,3,FALSE),Supplier!A:B,2,FALSE)</f>
        <v>Supplier STUAZ</v>
      </c>
      <c r="R1827" t="str">
        <f>VLOOKUP(VLOOKUP(B1827,Product!A:C,3,FALSE),Supplier!A:I,9,FALSE)</f>
        <v>USA</v>
      </c>
      <c r="S1827" t="str">
        <f>IFERROR(IF(VLOOKUP(A1827,'Sales Order'!A:H,8,FALSE)&gt;100,"High Freight","Low Freight"),"Not Specified")</f>
        <v>Low Freight</v>
      </c>
      <c r="T1827">
        <f t="shared" si="57"/>
        <v>380</v>
      </c>
    </row>
    <row r="1828" spans="1:20">
      <c r="A1828" s="9">
        <v>10952</v>
      </c>
      <c r="B1828" s="6">
        <v>28</v>
      </c>
      <c r="C1828" s="6">
        <v>45.6</v>
      </c>
      <c r="D1828" s="6">
        <v>2</v>
      </c>
      <c r="E1828" s="18">
        <v>0</v>
      </c>
      <c r="F1828" s="6" t="str">
        <f>IFERROR(VLOOKUP(VLOOKUP(A1828,'Sales Order'!A:B,2,FALSE),Customer!A:C,3,FALSE),"Not Specified")</f>
        <v>Allen, Michael</v>
      </c>
      <c r="G1828" s="6" t="str">
        <f t="shared" si="56"/>
        <v>Allen Michael</v>
      </c>
      <c r="H1828" s="22" t="str">
        <f>IFERROR(VLOOKUP(VLOOKUP(A1828,'Sales Order'!A:C,3,FALSE),Employee!A:E,5,FALSE)&amp;" "&amp;VLOOKUP(VLOOKUP(A1828,'Sales Order'!A:C,3,FALSE),Employee!A:C,3,FALSE)&amp;" "&amp;VLOOKUP(VLOOKUP(A1828,'Sales Order'!A:C,3,FALSE),Employee!A:B,2,FALSE),"Not Specified")</f>
        <v>Ms. Sara Davis</v>
      </c>
      <c r="I1828" t="str">
        <f>IFERROR(VLOOKUP(VLOOKUP(A1828,'Sales Order'!A:C,3,FALSE),Employee!A:J,10,FALSE),"Not Specified")</f>
        <v>WA</v>
      </c>
      <c r="J1828" t="str">
        <f>VLOOKUP(B1828,Product!A:B,2,FALSE)</f>
        <v>Product OFBNT</v>
      </c>
      <c r="K1828" t="str">
        <f>VLOOKUP(VLOOKUP(B1828,Product!A:D,4,FALSE),Category!A:B,2,FALSE)</f>
        <v>Produce</v>
      </c>
      <c r="L1828" s="24">
        <f>IFERROR(VLOOKUP(A1828,'Sales Order'!A:D,4,FALSE),"")</f>
        <v>39523</v>
      </c>
      <c r="M1828" s="24">
        <f>IFERROR(VLOOKUP(A1828,'Sales Order'!A:F,6,FALSE),"")</f>
        <v>39531</v>
      </c>
      <c r="N1828" t="str">
        <f>IFERROR(VLOOKUP(VLOOKUP(A1828,'Sales Order'!A:G,7,FALSE),Shipper!A:B,2,FALSE),"Not Specified")</f>
        <v>Shipper GVSUA</v>
      </c>
      <c r="O1828" t="str">
        <f>IFERROR(VLOOKUP(A1828,'Sales Order'!A:I,9,FALSE),"Not Specified")</f>
        <v>Destination LOUIE</v>
      </c>
      <c r="P1828" t="str">
        <f>IFERROR(VLOOKUP(A1828,'Sales Order'!A:N,14,FALSE),"Not Specified")</f>
        <v>Germany</v>
      </c>
      <c r="Q1828" t="str">
        <f>VLOOKUP(VLOOKUP(B1828,Product!A:C,3,FALSE),Supplier!A:B,2,FALSE)</f>
        <v>Supplier SVIYA</v>
      </c>
      <c r="R1828" t="str">
        <f>VLOOKUP(VLOOKUP(B1828,Product!A:C,3,FALSE),Supplier!A:I,9,FALSE)</f>
        <v>Germany</v>
      </c>
      <c r="S1828" t="str">
        <f>IFERROR(IF(VLOOKUP(A1828,'Sales Order'!A:H,8,FALSE)&gt;100,"High Freight","Low Freight"),"Not Specified")</f>
        <v>Low Freight</v>
      </c>
      <c r="T1828">
        <f t="shared" si="57"/>
        <v>91.2</v>
      </c>
    </row>
    <row r="1829" spans="1:20">
      <c r="A1829" s="9">
        <v>10953</v>
      </c>
      <c r="B1829" s="6">
        <v>20</v>
      </c>
      <c r="C1829" s="6">
        <v>81</v>
      </c>
      <c r="D1829" s="6">
        <v>50</v>
      </c>
      <c r="E1829" s="18">
        <v>0.05</v>
      </c>
      <c r="F1829" s="6" t="str">
        <f>IFERROR(VLOOKUP(VLOOKUP(A1829,'Sales Order'!A:B,2,FALSE),Customer!A:C,3,FALSE),"Not Specified")</f>
        <v>Arndt, Torsten</v>
      </c>
      <c r="G1829" s="6" t="str">
        <f t="shared" si="56"/>
        <v>Arndt Torsten</v>
      </c>
      <c r="H1829" s="22" t="str">
        <f>IFERROR(VLOOKUP(VLOOKUP(A1829,'Sales Order'!A:C,3,FALSE),Employee!A:E,5,FALSE)&amp;" "&amp;VLOOKUP(VLOOKUP(A1829,'Sales Order'!A:C,3,FALSE),Employee!A:C,3,FALSE)&amp;" "&amp;VLOOKUP(VLOOKUP(A1829,'Sales Order'!A:C,3,FALSE),Employee!A:B,2,FALSE),"Not Specified")</f>
        <v>Ms. Zoya Dolgopyatova</v>
      </c>
      <c r="I1829">
        <f>IFERROR(VLOOKUP(VLOOKUP(A1829,'Sales Order'!A:C,3,FALSE),Employee!A:J,10,FALSE),"Not Specified")</f>
        <v>0</v>
      </c>
      <c r="J1829" t="str">
        <f>VLOOKUP(B1829,Product!A:B,2,FALSE)</f>
        <v>Product QHFFP</v>
      </c>
      <c r="K1829" t="str">
        <f>VLOOKUP(VLOOKUP(B1829,Product!A:D,4,FALSE),Category!A:B,2,FALSE)</f>
        <v>Confections</v>
      </c>
      <c r="L1829" s="24">
        <f>IFERROR(VLOOKUP(A1829,'Sales Order'!A:D,4,FALSE),"")</f>
        <v>39523</v>
      </c>
      <c r="M1829" s="24">
        <f>IFERROR(VLOOKUP(A1829,'Sales Order'!A:F,6,FALSE),"")</f>
        <v>39532</v>
      </c>
      <c r="N1829" t="str">
        <f>IFERROR(VLOOKUP(VLOOKUP(A1829,'Sales Order'!A:G,7,FALSE),Shipper!A:B,2,FALSE),"Not Specified")</f>
        <v>Shipper ETYNR</v>
      </c>
      <c r="O1829" t="str">
        <f>IFERROR(VLOOKUP(A1829,'Sales Order'!A:I,9,FALSE),"Not Specified")</f>
        <v>Ship to 4-B</v>
      </c>
      <c r="P1829" t="str">
        <f>IFERROR(VLOOKUP(A1829,'Sales Order'!A:N,14,FALSE),"Not Specified")</f>
        <v>UK</v>
      </c>
      <c r="Q1829" t="str">
        <f>VLOOKUP(VLOOKUP(B1829,Product!A:C,3,FALSE),Supplier!A:B,2,FALSE)</f>
        <v>Supplier BWGYE</v>
      </c>
      <c r="R1829" t="str">
        <f>VLOOKUP(VLOOKUP(B1829,Product!A:C,3,FALSE),Supplier!A:I,9,FALSE)</f>
        <v>UK</v>
      </c>
      <c r="S1829" t="str">
        <f>IFERROR(IF(VLOOKUP(A1829,'Sales Order'!A:H,8,FALSE)&gt;100,"High Freight","Low Freight"),"Not Specified")</f>
        <v>Low Freight</v>
      </c>
      <c r="T1829">
        <f t="shared" si="57"/>
        <v>3847.5</v>
      </c>
    </row>
    <row r="1830" spans="1:20">
      <c r="A1830" s="9">
        <v>10953</v>
      </c>
      <c r="B1830" s="6">
        <v>31</v>
      </c>
      <c r="C1830" s="6">
        <v>12.5</v>
      </c>
      <c r="D1830" s="6">
        <v>50</v>
      </c>
      <c r="E1830" s="18">
        <v>0.05</v>
      </c>
      <c r="F1830" s="6" t="str">
        <f>IFERROR(VLOOKUP(VLOOKUP(A1830,'Sales Order'!A:B,2,FALSE),Customer!A:C,3,FALSE),"Not Specified")</f>
        <v>Arndt, Torsten</v>
      </c>
      <c r="G1830" s="6" t="str">
        <f t="shared" si="56"/>
        <v>Arndt Torsten</v>
      </c>
      <c r="H1830" s="22" t="str">
        <f>IFERROR(VLOOKUP(VLOOKUP(A1830,'Sales Order'!A:C,3,FALSE),Employee!A:E,5,FALSE)&amp;" "&amp;VLOOKUP(VLOOKUP(A1830,'Sales Order'!A:C,3,FALSE),Employee!A:C,3,FALSE)&amp;" "&amp;VLOOKUP(VLOOKUP(A1830,'Sales Order'!A:C,3,FALSE),Employee!A:B,2,FALSE),"Not Specified")</f>
        <v>Ms. Zoya Dolgopyatova</v>
      </c>
      <c r="I1830">
        <f>IFERROR(VLOOKUP(VLOOKUP(A1830,'Sales Order'!A:C,3,FALSE),Employee!A:J,10,FALSE),"Not Specified")</f>
        <v>0</v>
      </c>
      <c r="J1830" t="str">
        <f>VLOOKUP(B1830,Product!A:B,2,FALSE)</f>
        <v>Product XWOXC</v>
      </c>
      <c r="K1830" t="str">
        <f>VLOOKUP(VLOOKUP(B1830,Product!A:D,4,FALSE),Category!A:B,2,FALSE)</f>
        <v>Dairy Product</v>
      </c>
      <c r="L1830" s="24">
        <f>IFERROR(VLOOKUP(A1830,'Sales Order'!A:D,4,FALSE),"")</f>
        <v>39523</v>
      </c>
      <c r="M1830" s="24">
        <f>IFERROR(VLOOKUP(A1830,'Sales Order'!A:F,6,FALSE),"")</f>
        <v>39532</v>
      </c>
      <c r="N1830" t="str">
        <f>IFERROR(VLOOKUP(VLOOKUP(A1830,'Sales Order'!A:G,7,FALSE),Shipper!A:B,2,FALSE),"Not Specified")</f>
        <v>Shipper ETYNR</v>
      </c>
      <c r="O1830" t="str">
        <f>IFERROR(VLOOKUP(A1830,'Sales Order'!A:I,9,FALSE),"Not Specified")</f>
        <v>Ship to 4-B</v>
      </c>
      <c r="P1830" t="str">
        <f>IFERROR(VLOOKUP(A1830,'Sales Order'!A:N,14,FALSE),"Not Specified")</f>
        <v>UK</v>
      </c>
      <c r="Q1830" t="str">
        <f>VLOOKUP(VLOOKUP(B1830,Product!A:C,3,FALSE),Supplier!A:B,2,FALSE)</f>
        <v>Supplier KEREV</v>
      </c>
      <c r="R1830" t="str">
        <f>VLOOKUP(VLOOKUP(B1830,Product!A:C,3,FALSE),Supplier!A:I,9,FALSE)</f>
        <v>Italy</v>
      </c>
      <c r="S1830" t="str">
        <f>IFERROR(IF(VLOOKUP(A1830,'Sales Order'!A:H,8,FALSE)&gt;100,"High Freight","Low Freight"),"Not Specified")</f>
        <v>Low Freight</v>
      </c>
      <c r="T1830">
        <f t="shared" si="57"/>
        <v>593.75</v>
      </c>
    </row>
    <row r="1831" spans="1:20">
      <c r="A1831" s="9">
        <v>10954</v>
      </c>
      <c r="B1831" s="6">
        <v>16</v>
      </c>
      <c r="C1831" s="6">
        <v>17.45</v>
      </c>
      <c r="D1831" s="6">
        <v>28</v>
      </c>
      <c r="E1831" s="18">
        <v>0.15</v>
      </c>
      <c r="F1831" s="6" t="str">
        <f>IFERROR(VLOOKUP(VLOOKUP(A1831,'Sales Order'!A:B,2,FALSE),Customer!A:C,3,FALSE),"Not Specified")</f>
        <v>Lupu, Cornel</v>
      </c>
      <c r="G1831" s="6" t="str">
        <f t="shared" si="56"/>
        <v>Lupu Cornel</v>
      </c>
      <c r="H1831" s="22" t="str">
        <f>IFERROR(VLOOKUP(VLOOKUP(A1831,'Sales Order'!A:C,3,FALSE),Employee!A:E,5,FALSE)&amp;" "&amp;VLOOKUP(VLOOKUP(A1831,'Sales Order'!A:C,3,FALSE),Employee!A:C,3,FALSE)&amp;" "&amp;VLOOKUP(VLOOKUP(A1831,'Sales Order'!A:C,3,FALSE),Employee!A:B,2,FALSE),"Not Specified")</f>
        <v>Mr. Sven Buck</v>
      </c>
      <c r="I1831">
        <f>IFERROR(VLOOKUP(VLOOKUP(A1831,'Sales Order'!A:C,3,FALSE),Employee!A:J,10,FALSE),"Not Specified")</f>
        <v>0</v>
      </c>
      <c r="J1831" t="str">
        <f>VLOOKUP(B1831,Product!A:B,2,FALSE)</f>
        <v>Product PAFRH</v>
      </c>
      <c r="K1831" t="str">
        <f>VLOOKUP(VLOOKUP(B1831,Product!A:D,4,FALSE),Category!A:B,2,FALSE)</f>
        <v>Confections</v>
      </c>
      <c r="L1831" s="24">
        <f>IFERROR(VLOOKUP(A1831,'Sales Order'!A:D,4,FALSE),"")</f>
        <v>39524</v>
      </c>
      <c r="M1831" s="24">
        <f>IFERROR(VLOOKUP(A1831,'Sales Order'!A:F,6,FALSE),"")</f>
        <v>39527</v>
      </c>
      <c r="N1831" t="str">
        <f>IFERROR(VLOOKUP(VLOOKUP(A1831,'Sales Order'!A:G,7,FALSE),Shipper!A:B,2,FALSE),"Not Specified")</f>
        <v>Shipper GVSUA</v>
      </c>
      <c r="O1831" t="str">
        <f>IFERROR(VLOOKUP(A1831,'Sales Order'!A:I,9,FALSE),"Not Specified")</f>
        <v>Ship to 47-B</v>
      </c>
      <c r="P1831" t="str">
        <f>IFERROR(VLOOKUP(A1831,'Sales Order'!A:N,14,FALSE),"Not Specified")</f>
        <v>Venezuela</v>
      </c>
      <c r="Q1831" t="str">
        <f>VLOOKUP(VLOOKUP(B1831,Product!A:C,3,FALSE),Supplier!A:B,2,FALSE)</f>
        <v>Supplier GQRCV</v>
      </c>
      <c r="R1831" t="str">
        <f>VLOOKUP(VLOOKUP(B1831,Product!A:C,3,FALSE),Supplier!A:I,9,FALSE)</f>
        <v>Australia</v>
      </c>
      <c r="S1831" t="str">
        <f>IFERROR(IF(VLOOKUP(A1831,'Sales Order'!A:H,8,FALSE)&gt;100,"High Freight","Low Freight"),"Not Specified")</f>
        <v>Low Freight</v>
      </c>
      <c r="T1831">
        <f t="shared" si="57"/>
        <v>415.30999999999995</v>
      </c>
    </row>
    <row r="1832" spans="1:20">
      <c r="A1832" s="9">
        <v>10954</v>
      </c>
      <c r="B1832" s="6">
        <v>31</v>
      </c>
      <c r="C1832" s="6">
        <v>12.5</v>
      </c>
      <c r="D1832" s="6">
        <v>25</v>
      </c>
      <c r="E1832" s="18">
        <v>0.15</v>
      </c>
      <c r="F1832" s="6" t="str">
        <f>IFERROR(VLOOKUP(VLOOKUP(A1832,'Sales Order'!A:B,2,FALSE),Customer!A:C,3,FALSE),"Not Specified")</f>
        <v>Lupu, Cornel</v>
      </c>
      <c r="G1832" s="6" t="str">
        <f t="shared" si="56"/>
        <v>Lupu Cornel</v>
      </c>
      <c r="H1832" s="22" t="str">
        <f>IFERROR(VLOOKUP(VLOOKUP(A1832,'Sales Order'!A:C,3,FALSE),Employee!A:E,5,FALSE)&amp;" "&amp;VLOOKUP(VLOOKUP(A1832,'Sales Order'!A:C,3,FALSE),Employee!A:C,3,FALSE)&amp;" "&amp;VLOOKUP(VLOOKUP(A1832,'Sales Order'!A:C,3,FALSE),Employee!A:B,2,FALSE),"Not Specified")</f>
        <v>Mr. Sven Buck</v>
      </c>
      <c r="I1832">
        <f>IFERROR(VLOOKUP(VLOOKUP(A1832,'Sales Order'!A:C,3,FALSE),Employee!A:J,10,FALSE),"Not Specified")</f>
        <v>0</v>
      </c>
      <c r="J1832" t="str">
        <f>VLOOKUP(B1832,Product!A:B,2,FALSE)</f>
        <v>Product XWOXC</v>
      </c>
      <c r="K1832" t="str">
        <f>VLOOKUP(VLOOKUP(B1832,Product!A:D,4,FALSE),Category!A:B,2,FALSE)</f>
        <v>Dairy Product</v>
      </c>
      <c r="L1832" s="24">
        <f>IFERROR(VLOOKUP(A1832,'Sales Order'!A:D,4,FALSE),"")</f>
        <v>39524</v>
      </c>
      <c r="M1832" s="24">
        <f>IFERROR(VLOOKUP(A1832,'Sales Order'!A:F,6,FALSE),"")</f>
        <v>39527</v>
      </c>
      <c r="N1832" t="str">
        <f>IFERROR(VLOOKUP(VLOOKUP(A1832,'Sales Order'!A:G,7,FALSE),Shipper!A:B,2,FALSE),"Not Specified")</f>
        <v>Shipper GVSUA</v>
      </c>
      <c r="O1832" t="str">
        <f>IFERROR(VLOOKUP(A1832,'Sales Order'!A:I,9,FALSE),"Not Specified")</f>
        <v>Ship to 47-B</v>
      </c>
      <c r="P1832" t="str">
        <f>IFERROR(VLOOKUP(A1832,'Sales Order'!A:N,14,FALSE),"Not Specified")</f>
        <v>Venezuela</v>
      </c>
      <c r="Q1832" t="str">
        <f>VLOOKUP(VLOOKUP(B1832,Product!A:C,3,FALSE),Supplier!A:B,2,FALSE)</f>
        <v>Supplier KEREV</v>
      </c>
      <c r="R1832" t="str">
        <f>VLOOKUP(VLOOKUP(B1832,Product!A:C,3,FALSE),Supplier!A:I,9,FALSE)</f>
        <v>Italy</v>
      </c>
      <c r="S1832" t="str">
        <f>IFERROR(IF(VLOOKUP(A1832,'Sales Order'!A:H,8,FALSE)&gt;100,"High Freight","Low Freight"),"Not Specified")</f>
        <v>Low Freight</v>
      </c>
      <c r="T1832">
        <f t="shared" si="57"/>
        <v>265.625</v>
      </c>
    </row>
    <row r="1833" spans="1:20">
      <c r="A1833" s="9">
        <v>10954</v>
      </c>
      <c r="B1833" s="6">
        <v>45</v>
      </c>
      <c r="C1833" s="6">
        <v>9.5</v>
      </c>
      <c r="D1833" s="6">
        <v>30</v>
      </c>
      <c r="E1833" s="18">
        <v>0</v>
      </c>
      <c r="F1833" s="6" t="str">
        <f>IFERROR(VLOOKUP(VLOOKUP(A1833,'Sales Order'!A:B,2,FALSE),Customer!A:C,3,FALSE),"Not Specified")</f>
        <v>Lupu, Cornel</v>
      </c>
      <c r="G1833" s="6" t="str">
        <f t="shared" si="56"/>
        <v>Lupu Cornel</v>
      </c>
      <c r="H1833" s="22" t="str">
        <f>IFERROR(VLOOKUP(VLOOKUP(A1833,'Sales Order'!A:C,3,FALSE),Employee!A:E,5,FALSE)&amp;" "&amp;VLOOKUP(VLOOKUP(A1833,'Sales Order'!A:C,3,FALSE),Employee!A:C,3,FALSE)&amp;" "&amp;VLOOKUP(VLOOKUP(A1833,'Sales Order'!A:C,3,FALSE),Employee!A:B,2,FALSE),"Not Specified")</f>
        <v>Mr. Sven Buck</v>
      </c>
      <c r="I1833">
        <f>IFERROR(VLOOKUP(VLOOKUP(A1833,'Sales Order'!A:C,3,FALSE),Employee!A:J,10,FALSE),"Not Specified")</f>
        <v>0</v>
      </c>
      <c r="J1833" t="str">
        <f>VLOOKUP(B1833,Product!A:B,2,FALSE)</f>
        <v>Product AQOKR</v>
      </c>
      <c r="K1833" t="str">
        <f>VLOOKUP(VLOOKUP(B1833,Product!A:D,4,FALSE),Category!A:B,2,FALSE)</f>
        <v>Seafood</v>
      </c>
      <c r="L1833" s="24">
        <f>IFERROR(VLOOKUP(A1833,'Sales Order'!A:D,4,FALSE),"")</f>
        <v>39524</v>
      </c>
      <c r="M1833" s="24">
        <f>IFERROR(VLOOKUP(A1833,'Sales Order'!A:F,6,FALSE),"")</f>
        <v>39527</v>
      </c>
      <c r="N1833" t="str">
        <f>IFERROR(VLOOKUP(VLOOKUP(A1833,'Sales Order'!A:G,7,FALSE),Shipper!A:B,2,FALSE),"Not Specified")</f>
        <v>Shipper GVSUA</v>
      </c>
      <c r="O1833" t="str">
        <f>IFERROR(VLOOKUP(A1833,'Sales Order'!A:I,9,FALSE),"Not Specified")</f>
        <v>Ship to 47-B</v>
      </c>
      <c r="P1833" t="str">
        <f>IFERROR(VLOOKUP(A1833,'Sales Order'!A:N,14,FALSE),"Not Specified")</f>
        <v>Venezuela</v>
      </c>
      <c r="Q1833" t="str">
        <f>VLOOKUP(VLOOKUP(B1833,Product!A:C,3,FALSE),Supplier!A:B,2,FALSE)</f>
        <v>Supplier XOXZA</v>
      </c>
      <c r="R1833" t="str">
        <f>VLOOKUP(VLOOKUP(B1833,Product!A:C,3,FALSE),Supplier!A:I,9,FALSE)</f>
        <v>Denmark</v>
      </c>
      <c r="S1833" t="str">
        <f>IFERROR(IF(VLOOKUP(A1833,'Sales Order'!A:H,8,FALSE)&gt;100,"High Freight","Low Freight"),"Not Specified")</f>
        <v>Low Freight</v>
      </c>
      <c r="T1833">
        <f t="shared" si="57"/>
        <v>285</v>
      </c>
    </row>
    <row r="1834" spans="1:20">
      <c r="A1834" s="9">
        <v>10954</v>
      </c>
      <c r="B1834" s="6">
        <v>60</v>
      </c>
      <c r="C1834" s="6">
        <v>34</v>
      </c>
      <c r="D1834" s="6">
        <v>24</v>
      </c>
      <c r="E1834" s="18">
        <v>0.15</v>
      </c>
      <c r="F1834" s="6" t="str">
        <f>IFERROR(VLOOKUP(VLOOKUP(A1834,'Sales Order'!A:B,2,FALSE),Customer!A:C,3,FALSE),"Not Specified")</f>
        <v>Lupu, Cornel</v>
      </c>
      <c r="G1834" s="6" t="str">
        <f t="shared" si="56"/>
        <v>Lupu Cornel</v>
      </c>
      <c r="H1834" s="22" t="str">
        <f>IFERROR(VLOOKUP(VLOOKUP(A1834,'Sales Order'!A:C,3,FALSE),Employee!A:E,5,FALSE)&amp;" "&amp;VLOOKUP(VLOOKUP(A1834,'Sales Order'!A:C,3,FALSE),Employee!A:C,3,FALSE)&amp;" "&amp;VLOOKUP(VLOOKUP(A1834,'Sales Order'!A:C,3,FALSE),Employee!A:B,2,FALSE),"Not Specified")</f>
        <v>Mr. Sven Buck</v>
      </c>
      <c r="I1834">
        <f>IFERROR(VLOOKUP(VLOOKUP(A1834,'Sales Order'!A:C,3,FALSE),Employee!A:J,10,FALSE),"Not Specified")</f>
        <v>0</v>
      </c>
      <c r="J1834" t="str">
        <f>VLOOKUP(B1834,Product!A:B,2,FALSE)</f>
        <v>Product WHBYK</v>
      </c>
      <c r="K1834" t="str">
        <f>VLOOKUP(VLOOKUP(B1834,Product!A:D,4,FALSE),Category!A:B,2,FALSE)</f>
        <v>Dairy Product</v>
      </c>
      <c r="L1834" s="24">
        <f>IFERROR(VLOOKUP(A1834,'Sales Order'!A:D,4,FALSE),"")</f>
        <v>39524</v>
      </c>
      <c r="M1834" s="24">
        <f>IFERROR(VLOOKUP(A1834,'Sales Order'!A:F,6,FALSE),"")</f>
        <v>39527</v>
      </c>
      <c r="N1834" t="str">
        <f>IFERROR(VLOOKUP(VLOOKUP(A1834,'Sales Order'!A:G,7,FALSE),Shipper!A:B,2,FALSE),"Not Specified")</f>
        <v>Shipper GVSUA</v>
      </c>
      <c r="O1834" t="str">
        <f>IFERROR(VLOOKUP(A1834,'Sales Order'!A:I,9,FALSE),"Not Specified")</f>
        <v>Ship to 47-B</v>
      </c>
      <c r="P1834" t="str">
        <f>IFERROR(VLOOKUP(A1834,'Sales Order'!A:N,14,FALSE),"Not Specified")</f>
        <v>Venezuela</v>
      </c>
      <c r="Q1834" t="str">
        <f>VLOOKUP(VLOOKUP(B1834,Product!A:C,3,FALSE),Supplier!A:B,2,FALSE)</f>
        <v>Supplier OAVQT</v>
      </c>
      <c r="R1834" t="str">
        <f>VLOOKUP(VLOOKUP(B1834,Product!A:C,3,FALSE),Supplier!A:I,9,FALSE)</f>
        <v>France</v>
      </c>
      <c r="S1834" t="str">
        <f>IFERROR(IF(VLOOKUP(A1834,'Sales Order'!A:H,8,FALSE)&gt;100,"High Freight","Low Freight"),"Not Specified")</f>
        <v>Low Freight</v>
      </c>
      <c r="T1834">
        <f t="shared" si="57"/>
        <v>693.6</v>
      </c>
    </row>
    <row r="1835" spans="1:20">
      <c r="A1835" s="9">
        <v>10955</v>
      </c>
      <c r="B1835" s="6">
        <v>75</v>
      </c>
      <c r="C1835" s="6">
        <v>7.75</v>
      </c>
      <c r="D1835" s="6">
        <v>12</v>
      </c>
      <c r="E1835" s="18">
        <v>0.2</v>
      </c>
      <c r="F1835" s="6" t="str">
        <f>IFERROR(VLOOKUP(VLOOKUP(A1835,'Sales Order'!A:B,2,FALSE),Customer!A:C,3,FALSE),"Not Specified")</f>
        <v>San Juan, Patricia</v>
      </c>
      <c r="G1835" s="6" t="str">
        <f t="shared" si="56"/>
        <v>San Juan Patricia</v>
      </c>
      <c r="H1835" s="22" t="str">
        <f>IFERROR(VLOOKUP(VLOOKUP(A1835,'Sales Order'!A:C,3,FALSE),Employee!A:E,5,FALSE)&amp;" "&amp;VLOOKUP(VLOOKUP(A1835,'Sales Order'!A:C,3,FALSE),Employee!A:C,3,FALSE)&amp;" "&amp;VLOOKUP(VLOOKUP(A1835,'Sales Order'!A:C,3,FALSE),Employee!A:B,2,FALSE),"Not Specified")</f>
        <v>Ms. Maria Cameron</v>
      </c>
      <c r="I1835" t="str">
        <f>IFERROR(VLOOKUP(VLOOKUP(A1835,'Sales Order'!A:C,3,FALSE),Employee!A:J,10,FALSE),"Not Specified")</f>
        <v>WA</v>
      </c>
      <c r="J1835" t="str">
        <f>VLOOKUP(B1835,Product!A:B,2,FALSE)</f>
        <v>Product BWRLG</v>
      </c>
      <c r="K1835" t="str">
        <f>VLOOKUP(VLOOKUP(B1835,Product!A:D,4,FALSE),Category!A:B,2,FALSE)</f>
        <v>Beverages</v>
      </c>
      <c r="L1835" s="24">
        <f>IFERROR(VLOOKUP(A1835,'Sales Order'!A:D,4,FALSE),"")</f>
        <v>39524</v>
      </c>
      <c r="M1835" s="24">
        <f>IFERROR(VLOOKUP(A1835,'Sales Order'!A:F,6,FALSE),"")</f>
        <v>39527</v>
      </c>
      <c r="N1835" t="str">
        <f>IFERROR(VLOOKUP(VLOOKUP(A1835,'Sales Order'!A:G,7,FALSE),Shipper!A:B,2,FALSE),"Not Specified")</f>
        <v>Shipper ETYNR</v>
      </c>
      <c r="O1835" t="str">
        <f>IFERROR(VLOOKUP(A1835,'Sales Order'!A:I,9,FALSE),"Not Specified")</f>
        <v>Destination YCMPK</v>
      </c>
      <c r="P1835" t="str">
        <f>IFERROR(VLOOKUP(A1835,'Sales Order'!A:N,14,FALSE),"Not Specified")</f>
        <v>Sweden</v>
      </c>
      <c r="Q1835" t="str">
        <f>VLOOKUP(VLOOKUP(B1835,Product!A:C,3,FALSE),Supplier!A:B,2,FALSE)</f>
        <v>Supplier SVIYA</v>
      </c>
      <c r="R1835" t="str">
        <f>VLOOKUP(VLOOKUP(B1835,Product!A:C,3,FALSE),Supplier!A:I,9,FALSE)</f>
        <v>Germany</v>
      </c>
      <c r="S1835" t="str">
        <f>IFERROR(IF(VLOOKUP(A1835,'Sales Order'!A:H,8,FALSE)&gt;100,"High Freight","Low Freight"),"Not Specified")</f>
        <v>Low Freight</v>
      </c>
      <c r="T1835">
        <f t="shared" si="57"/>
        <v>74.400000000000006</v>
      </c>
    </row>
    <row r="1836" spans="1:20">
      <c r="A1836" s="9">
        <v>10956</v>
      </c>
      <c r="B1836" s="6">
        <v>21</v>
      </c>
      <c r="C1836" s="6">
        <v>10</v>
      </c>
      <c r="D1836" s="6">
        <v>12</v>
      </c>
      <c r="E1836" s="18">
        <v>0</v>
      </c>
      <c r="F1836" s="6" t="str">
        <f>IFERROR(VLOOKUP(VLOOKUP(A1836,'Sales Order'!A:B,2,FALSE),Customer!A:C,3,FALSE),"Not Specified")</f>
        <v>Poland, Carole</v>
      </c>
      <c r="G1836" s="6" t="str">
        <f t="shared" si="56"/>
        <v>Poland Carole</v>
      </c>
      <c r="H1836" s="22" t="str">
        <f>IFERROR(VLOOKUP(VLOOKUP(A1836,'Sales Order'!A:C,3,FALSE),Employee!A:E,5,FALSE)&amp;" "&amp;VLOOKUP(VLOOKUP(A1836,'Sales Order'!A:C,3,FALSE),Employee!A:C,3,FALSE)&amp;" "&amp;VLOOKUP(VLOOKUP(A1836,'Sales Order'!A:C,3,FALSE),Employee!A:B,2,FALSE),"Not Specified")</f>
        <v>Mr. Paul Suurs</v>
      </c>
      <c r="I1836">
        <f>IFERROR(VLOOKUP(VLOOKUP(A1836,'Sales Order'!A:C,3,FALSE),Employee!A:J,10,FALSE),"Not Specified")</f>
        <v>0</v>
      </c>
      <c r="J1836" t="str">
        <f>VLOOKUP(B1836,Product!A:B,2,FALSE)</f>
        <v>Product VJZZH</v>
      </c>
      <c r="K1836" t="str">
        <f>VLOOKUP(VLOOKUP(B1836,Product!A:D,4,FALSE),Category!A:B,2,FALSE)</f>
        <v>Confections</v>
      </c>
      <c r="L1836" s="24">
        <f>IFERROR(VLOOKUP(A1836,'Sales Order'!A:D,4,FALSE),"")</f>
        <v>39524</v>
      </c>
      <c r="M1836" s="24">
        <f>IFERROR(VLOOKUP(A1836,'Sales Order'!A:F,6,FALSE),"")</f>
        <v>39527</v>
      </c>
      <c r="N1836" t="str">
        <f>IFERROR(VLOOKUP(VLOOKUP(A1836,'Sales Order'!A:G,7,FALSE),Shipper!A:B,2,FALSE),"Not Specified")</f>
        <v>Shipper ETYNR</v>
      </c>
      <c r="O1836" t="str">
        <f>IFERROR(VLOOKUP(A1836,'Sales Order'!A:I,9,FALSE),"Not Specified")</f>
        <v>Ship to 6-B</v>
      </c>
      <c r="P1836" t="str">
        <f>IFERROR(VLOOKUP(A1836,'Sales Order'!A:N,14,FALSE),"Not Specified")</f>
        <v>Germany</v>
      </c>
      <c r="Q1836" t="str">
        <f>VLOOKUP(VLOOKUP(B1836,Product!A:C,3,FALSE),Supplier!A:B,2,FALSE)</f>
        <v>Supplier BWGYE</v>
      </c>
      <c r="R1836" t="str">
        <f>VLOOKUP(VLOOKUP(B1836,Product!A:C,3,FALSE),Supplier!A:I,9,FALSE)</f>
        <v>UK</v>
      </c>
      <c r="S1836" t="str">
        <f>IFERROR(IF(VLOOKUP(A1836,'Sales Order'!A:H,8,FALSE)&gt;100,"High Freight","Low Freight"),"Not Specified")</f>
        <v>Low Freight</v>
      </c>
      <c r="T1836">
        <f t="shared" si="57"/>
        <v>120</v>
      </c>
    </row>
    <row r="1837" spans="1:20">
      <c r="A1837" s="9">
        <v>10956</v>
      </c>
      <c r="B1837" s="6">
        <v>47</v>
      </c>
      <c r="C1837" s="6">
        <v>9.5</v>
      </c>
      <c r="D1837" s="6">
        <v>14</v>
      </c>
      <c r="E1837" s="18">
        <v>0</v>
      </c>
      <c r="F1837" s="6" t="str">
        <f>IFERROR(VLOOKUP(VLOOKUP(A1837,'Sales Order'!A:B,2,FALSE),Customer!A:C,3,FALSE),"Not Specified")</f>
        <v>Poland, Carole</v>
      </c>
      <c r="G1837" s="6" t="str">
        <f t="shared" si="56"/>
        <v>Poland Carole</v>
      </c>
      <c r="H1837" s="22" t="str">
        <f>IFERROR(VLOOKUP(VLOOKUP(A1837,'Sales Order'!A:C,3,FALSE),Employee!A:E,5,FALSE)&amp;" "&amp;VLOOKUP(VLOOKUP(A1837,'Sales Order'!A:C,3,FALSE),Employee!A:C,3,FALSE)&amp;" "&amp;VLOOKUP(VLOOKUP(A1837,'Sales Order'!A:C,3,FALSE),Employee!A:B,2,FALSE),"Not Specified")</f>
        <v>Mr. Paul Suurs</v>
      </c>
      <c r="I1837">
        <f>IFERROR(VLOOKUP(VLOOKUP(A1837,'Sales Order'!A:C,3,FALSE),Employee!A:J,10,FALSE),"Not Specified")</f>
        <v>0</v>
      </c>
      <c r="J1837" t="str">
        <f>VLOOKUP(B1837,Product!A:B,2,FALSE)</f>
        <v>Product EZZPR</v>
      </c>
      <c r="K1837" t="str">
        <f>VLOOKUP(VLOOKUP(B1837,Product!A:D,4,FALSE),Category!A:B,2,FALSE)</f>
        <v>Confections</v>
      </c>
      <c r="L1837" s="24">
        <f>IFERROR(VLOOKUP(A1837,'Sales Order'!A:D,4,FALSE),"")</f>
        <v>39524</v>
      </c>
      <c r="M1837" s="24">
        <f>IFERROR(VLOOKUP(A1837,'Sales Order'!A:F,6,FALSE),"")</f>
        <v>39527</v>
      </c>
      <c r="N1837" t="str">
        <f>IFERROR(VLOOKUP(VLOOKUP(A1837,'Sales Order'!A:G,7,FALSE),Shipper!A:B,2,FALSE),"Not Specified")</f>
        <v>Shipper ETYNR</v>
      </c>
      <c r="O1837" t="str">
        <f>IFERROR(VLOOKUP(A1837,'Sales Order'!A:I,9,FALSE),"Not Specified")</f>
        <v>Ship to 6-B</v>
      </c>
      <c r="P1837" t="str">
        <f>IFERROR(VLOOKUP(A1837,'Sales Order'!A:N,14,FALSE),"Not Specified")</f>
        <v>Germany</v>
      </c>
      <c r="Q1837" t="str">
        <f>VLOOKUP(VLOOKUP(B1837,Product!A:C,3,FALSE),Supplier!A:B,2,FALSE)</f>
        <v>Supplier FNUXM</v>
      </c>
      <c r="R1837" t="str">
        <f>VLOOKUP(VLOOKUP(B1837,Product!A:C,3,FALSE),Supplier!A:I,9,FALSE)</f>
        <v>Netherlands</v>
      </c>
      <c r="S1837" t="str">
        <f>IFERROR(IF(VLOOKUP(A1837,'Sales Order'!A:H,8,FALSE)&gt;100,"High Freight","Low Freight"),"Not Specified")</f>
        <v>Low Freight</v>
      </c>
      <c r="T1837">
        <f t="shared" si="57"/>
        <v>133</v>
      </c>
    </row>
    <row r="1838" spans="1:20">
      <c r="A1838" s="9">
        <v>10956</v>
      </c>
      <c r="B1838" s="6">
        <v>51</v>
      </c>
      <c r="C1838" s="6">
        <v>53</v>
      </c>
      <c r="D1838" s="6">
        <v>8</v>
      </c>
      <c r="E1838" s="18">
        <v>0</v>
      </c>
      <c r="F1838" s="6" t="str">
        <f>IFERROR(VLOOKUP(VLOOKUP(A1838,'Sales Order'!A:B,2,FALSE),Customer!A:C,3,FALSE),"Not Specified")</f>
        <v>Poland, Carole</v>
      </c>
      <c r="G1838" s="6" t="str">
        <f t="shared" si="56"/>
        <v>Poland Carole</v>
      </c>
      <c r="H1838" s="22" t="str">
        <f>IFERROR(VLOOKUP(VLOOKUP(A1838,'Sales Order'!A:C,3,FALSE),Employee!A:E,5,FALSE)&amp;" "&amp;VLOOKUP(VLOOKUP(A1838,'Sales Order'!A:C,3,FALSE),Employee!A:C,3,FALSE)&amp;" "&amp;VLOOKUP(VLOOKUP(A1838,'Sales Order'!A:C,3,FALSE),Employee!A:B,2,FALSE),"Not Specified")</f>
        <v>Mr. Paul Suurs</v>
      </c>
      <c r="I1838">
        <f>IFERROR(VLOOKUP(VLOOKUP(A1838,'Sales Order'!A:C,3,FALSE),Employee!A:J,10,FALSE),"Not Specified")</f>
        <v>0</v>
      </c>
      <c r="J1838" t="str">
        <f>VLOOKUP(B1838,Product!A:B,2,FALSE)</f>
        <v>Product APITJ</v>
      </c>
      <c r="K1838" t="str">
        <f>VLOOKUP(VLOOKUP(B1838,Product!A:D,4,FALSE),Category!A:B,2,FALSE)</f>
        <v>Produce</v>
      </c>
      <c r="L1838" s="24">
        <f>IFERROR(VLOOKUP(A1838,'Sales Order'!A:D,4,FALSE),"")</f>
        <v>39524</v>
      </c>
      <c r="M1838" s="24">
        <f>IFERROR(VLOOKUP(A1838,'Sales Order'!A:F,6,FALSE),"")</f>
        <v>39527</v>
      </c>
      <c r="N1838" t="str">
        <f>IFERROR(VLOOKUP(VLOOKUP(A1838,'Sales Order'!A:G,7,FALSE),Shipper!A:B,2,FALSE),"Not Specified")</f>
        <v>Shipper ETYNR</v>
      </c>
      <c r="O1838" t="str">
        <f>IFERROR(VLOOKUP(A1838,'Sales Order'!A:I,9,FALSE),"Not Specified")</f>
        <v>Ship to 6-B</v>
      </c>
      <c r="P1838" t="str">
        <f>IFERROR(VLOOKUP(A1838,'Sales Order'!A:N,14,FALSE),"Not Specified")</f>
        <v>Germany</v>
      </c>
      <c r="Q1838" t="str">
        <f>VLOOKUP(VLOOKUP(B1838,Product!A:C,3,FALSE),Supplier!A:B,2,FALSE)</f>
        <v>Supplier JNNES</v>
      </c>
      <c r="R1838" t="str">
        <f>VLOOKUP(VLOOKUP(B1838,Product!A:C,3,FALSE),Supplier!A:I,9,FALSE)</f>
        <v>Australia</v>
      </c>
      <c r="S1838" t="str">
        <f>IFERROR(IF(VLOOKUP(A1838,'Sales Order'!A:H,8,FALSE)&gt;100,"High Freight","Low Freight"),"Not Specified")</f>
        <v>Low Freight</v>
      </c>
      <c r="T1838">
        <f t="shared" si="57"/>
        <v>424</v>
      </c>
    </row>
    <row r="1839" spans="1:20">
      <c r="A1839" s="9">
        <v>10957</v>
      </c>
      <c r="B1839" s="6">
        <v>30</v>
      </c>
      <c r="C1839" s="6">
        <v>25.89</v>
      </c>
      <c r="D1839" s="6">
        <v>30</v>
      </c>
      <c r="E1839" s="18">
        <v>0</v>
      </c>
      <c r="F1839" s="6" t="str">
        <f>IFERROR(VLOOKUP(VLOOKUP(A1839,'Sales Order'!A:B,2,FALSE),Customer!A:C,3,FALSE),"Not Specified")</f>
        <v>Langohr, Kris</v>
      </c>
      <c r="G1839" s="6" t="str">
        <f t="shared" si="56"/>
        <v>Langohr Kris</v>
      </c>
      <c r="H1839" s="22" t="str">
        <f>IFERROR(VLOOKUP(VLOOKUP(A1839,'Sales Order'!A:C,3,FALSE),Employee!A:E,5,FALSE)&amp;" "&amp;VLOOKUP(VLOOKUP(A1839,'Sales Order'!A:C,3,FALSE),Employee!A:C,3,FALSE)&amp;" "&amp;VLOOKUP(VLOOKUP(A1839,'Sales Order'!A:C,3,FALSE),Employee!A:B,2,FALSE),"Not Specified")</f>
        <v>Ms. Maria Cameron</v>
      </c>
      <c r="I1839" t="str">
        <f>IFERROR(VLOOKUP(VLOOKUP(A1839,'Sales Order'!A:C,3,FALSE),Employee!A:J,10,FALSE),"Not Specified")</f>
        <v>WA</v>
      </c>
      <c r="J1839" t="str">
        <f>VLOOKUP(B1839,Product!A:B,2,FALSE)</f>
        <v>Product LYERX</v>
      </c>
      <c r="K1839" t="str">
        <f>VLOOKUP(VLOOKUP(B1839,Product!A:D,4,FALSE),Category!A:B,2,FALSE)</f>
        <v>Seafood</v>
      </c>
      <c r="L1839" s="24">
        <f>IFERROR(VLOOKUP(A1839,'Sales Order'!A:D,4,FALSE),"")</f>
        <v>39525</v>
      </c>
      <c r="M1839" s="24">
        <f>IFERROR(VLOOKUP(A1839,'Sales Order'!A:F,6,FALSE),"")</f>
        <v>39534</v>
      </c>
      <c r="N1839" t="str">
        <f>IFERROR(VLOOKUP(VLOOKUP(A1839,'Sales Order'!A:G,7,FALSE),Shipper!A:B,2,FALSE),"Not Specified")</f>
        <v>Shipper ZHISN</v>
      </c>
      <c r="O1839" t="str">
        <f>IFERROR(VLOOKUP(A1839,'Sales Order'!A:I,9,FALSE),"Not Specified")</f>
        <v>Destination UOUWK</v>
      </c>
      <c r="P1839" t="str">
        <f>IFERROR(VLOOKUP(A1839,'Sales Order'!A:N,14,FALSE),"Not Specified")</f>
        <v>Venezuela</v>
      </c>
      <c r="Q1839" t="str">
        <f>VLOOKUP(VLOOKUP(B1839,Product!A:C,3,FALSE),Supplier!A:B,2,FALSE)</f>
        <v>Supplier TEGSC</v>
      </c>
      <c r="R1839" t="str">
        <f>VLOOKUP(VLOOKUP(B1839,Product!A:C,3,FALSE),Supplier!A:I,9,FALSE)</f>
        <v>Germany</v>
      </c>
      <c r="S1839" t="str">
        <f>IFERROR(IF(VLOOKUP(A1839,'Sales Order'!A:H,8,FALSE)&gt;100,"High Freight","Low Freight"),"Not Specified")</f>
        <v>High Freight</v>
      </c>
      <c r="T1839">
        <f t="shared" si="57"/>
        <v>776.7</v>
      </c>
    </row>
    <row r="1840" spans="1:20">
      <c r="A1840" s="9">
        <v>10957</v>
      </c>
      <c r="B1840" s="6">
        <v>35</v>
      </c>
      <c r="C1840" s="6">
        <v>18</v>
      </c>
      <c r="D1840" s="6">
        <v>40</v>
      </c>
      <c r="E1840" s="18">
        <v>0</v>
      </c>
      <c r="F1840" s="6" t="str">
        <f>IFERROR(VLOOKUP(VLOOKUP(A1840,'Sales Order'!A:B,2,FALSE),Customer!A:C,3,FALSE),"Not Specified")</f>
        <v>Langohr, Kris</v>
      </c>
      <c r="G1840" s="6" t="str">
        <f t="shared" si="56"/>
        <v>Langohr Kris</v>
      </c>
      <c r="H1840" s="22" t="str">
        <f>IFERROR(VLOOKUP(VLOOKUP(A1840,'Sales Order'!A:C,3,FALSE),Employee!A:E,5,FALSE)&amp;" "&amp;VLOOKUP(VLOOKUP(A1840,'Sales Order'!A:C,3,FALSE),Employee!A:C,3,FALSE)&amp;" "&amp;VLOOKUP(VLOOKUP(A1840,'Sales Order'!A:C,3,FALSE),Employee!A:B,2,FALSE),"Not Specified")</f>
        <v>Ms. Maria Cameron</v>
      </c>
      <c r="I1840" t="str">
        <f>IFERROR(VLOOKUP(VLOOKUP(A1840,'Sales Order'!A:C,3,FALSE),Employee!A:J,10,FALSE),"Not Specified")</f>
        <v>WA</v>
      </c>
      <c r="J1840" t="str">
        <f>VLOOKUP(B1840,Product!A:B,2,FALSE)</f>
        <v>Product NEVTJ</v>
      </c>
      <c r="K1840" t="str">
        <f>VLOOKUP(VLOOKUP(B1840,Product!A:D,4,FALSE),Category!A:B,2,FALSE)</f>
        <v>Beverages</v>
      </c>
      <c r="L1840" s="24">
        <f>IFERROR(VLOOKUP(A1840,'Sales Order'!A:D,4,FALSE),"")</f>
        <v>39525</v>
      </c>
      <c r="M1840" s="24">
        <f>IFERROR(VLOOKUP(A1840,'Sales Order'!A:F,6,FALSE),"")</f>
        <v>39534</v>
      </c>
      <c r="N1840" t="str">
        <f>IFERROR(VLOOKUP(VLOOKUP(A1840,'Sales Order'!A:G,7,FALSE),Shipper!A:B,2,FALSE),"Not Specified")</f>
        <v>Shipper ZHISN</v>
      </c>
      <c r="O1840" t="str">
        <f>IFERROR(VLOOKUP(A1840,'Sales Order'!A:I,9,FALSE),"Not Specified")</f>
        <v>Destination UOUWK</v>
      </c>
      <c r="P1840" t="str">
        <f>IFERROR(VLOOKUP(A1840,'Sales Order'!A:N,14,FALSE),"Not Specified")</f>
        <v>Venezuela</v>
      </c>
      <c r="Q1840" t="str">
        <f>VLOOKUP(VLOOKUP(B1840,Product!A:C,3,FALSE),Supplier!A:B,2,FALSE)</f>
        <v>Supplier UHZRG</v>
      </c>
      <c r="R1840" t="str">
        <f>VLOOKUP(VLOOKUP(B1840,Product!A:C,3,FALSE),Supplier!A:I,9,FALSE)</f>
        <v>USA</v>
      </c>
      <c r="S1840" t="str">
        <f>IFERROR(IF(VLOOKUP(A1840,'Sales Order'!A:H,8,FALSE)&gt;100,"High Freight","Low Freight"),"Not Specified")</f>
        <v>High Freight</v>
      </c>
      <c r="T1840">
        <f t="shared" si="57"/>
        <v>720</v>
      </c>
    </row>
    <row r="1841" spans="1:20">
      <c r="A1841" s="9">
        <v>10957</v>
      </c>
      <c r="B1841" s="6">
        <v>64</v>
      </c>
      <c r="C1841" s="6">
        <v>33.25</v>
      </c>
      <c r="D1841" s="6">
        <v>8</v>
      </c>
      <c r="E1841" s="18">
        <v>0</v>
      </c>
      <c r="F1841" s="6" t="str">
        <f>IFERROR(VLOOKUP(VLOOKUP(A1841,'Sales Order'!A:B,2,FALSE),Customer!A:C,3,FALSE),"Not Specified")</f>
        <v>Langohr, Kris</v>
      </c>
      <c r="G1841" s="6" t="str">
        <f t="shared" si="56"/>
        <v>Langohr Kris</v>
      </c>
      <c r="H1841" s="22" t="str">
        <f>IFERROR(VLOOKUP(VLOOKUP(A1841,'Sales Order'!A:C,3,FALSE),Employee!A:E,5,FALSE)&amp;" "&amp;VLOOKUP(VLOOKUP(A1841,'Sales Order'!A:C,3,FALSE),Employee!A:C,3,FALSE)&amp;" "&amp;VLOOKUP(VLOOKUP(A1841,'Sales Order'!A:C,3,FALSE),Employee!A:B,2,FALSE),"Not Specified")</f>
        <v>Ms. Maria Cameron</v>
      </c>
      <c r="I1841" t="str">
        <f>IFERROR(VLOOKUP(VLOOKUP(A1841,'Sales Order'!A:C,3,FALSE),Employee!A:J,10,FALSE),"Not Specified")</f>
        <v>WA</v>
      </c>
      <c r="J1841" t="str">
        <f>VLOOKUP(B1841,Product!A:B,2,FALSE)</f>
        <v>Product HCQDE</v>
      </c>
      <c r="K1841" t="str">
        <f>VLOOKUP(VLOOKUP(B1841,Product!A:D,4,FALSE),Category!A:B,2,FALSE)</f>
        <v>Grains/Cereals</v>
      </c>
      <c r="L1841" s="24">
        <f>IFERROR(VLOOKUP(A1841,'Sales Order'!A:D,4,FALSE),"")</f>
        <v>39525</v>
      </c>
      <c r="M1841" s="24">
        <f>IFERROR(VLOOKUP(A1841,'Sales Order'!A:F,6,FALSE),"")</f>
        <v>39534</v>
      </c>
      <c r="N1841" t="str">
        <f>IFERROR(VLOOKUP(VLOOKUP(A1841,'Sales Order'!A:G,7,FALSE),Shipper!A:B,2,FALSE),"Not Specified")</f>
        <v>Shipper ZHISN</v>
      </c>
      <c r="O1841" t="str">
        <f>IFERROR(VLOOKUP(A1841,'Sales Order'!A:I,9,FALSE),"Not Specified")</f>
        <v>Destination UOUWK</v>
      </c>
      <c r="P1841" t="str">
        <f>IFERROR(VLOOKUP(A1841,'Sales Order'!A:N,14,FALSE),"Not Specified")</f>
        <v>Venezuela</v>
      </c>
      <c r="Q1841" t="str">
        <f>VLOOKUP(VLOOKUP(B1841,Product!A:C,3,FALSE),Supplier!A:B,2,FALSE)</f>
        <v>Supplier SVIYA</v>
      </c>
      <c r="R1841" t="str">
        <f>VLOOKUP(VLOOKUP(B1841,Product!A:C,3,FALSE),Supplier!A:I,9,FALSE)</f>
        <v>Germany</v>
      </c>
      <c r="S1841" t="str">
        <f>IFERROR(IF(VLOOKUP(A1841,'Sales Order'!A:H,8,FALSE)&gt;100,"High Freight","Low Freight"),"Not Specified")</f>
        <v>High Freight</v>
      </c>
      <c r="T1841">
        <f t="shared" si="57"/>
        <v>266</v>
      </c>
    </row>
    <row r="1842" spans="1:20">
      <c r="A1842" s="9">
        <v>10958</v>
      </c>
      <c r="B1842" s="6">
        <v>5</v>
      </c>
      <c r="C1842" s="6">
        <v>21.35</v>
      </c>
      <c r="D1842" s="6">
        <v>20</v>
      </c>
      <c r="E1842" s="18">
        <v>0</v>
      </c>
      <c r="F1842" s="6" t="str">
        <f>IFERROR(VLOOKUP(VLOOKUP(A1842,'Sales Order'!A:B,2,FALSE),Customer!A:C,3,FALSE),"Not Specified")</f>
        <v>Tiano, Mike</v>
      </c>
      <c r="G1842" s="6" t="str">
        <f t="shared" si="56"/>
        <v>Tiano Mike</v>
      </c>
      <c r="H1842" s="22" t="str">
        <f>IFERROR(VLOOKUP(VLOOKUP(A1842,'Sales Order'!A:C,3,FALSE),Employee!A:E,5,FALSE)&amp;" "&amp;VLOOKUP(VLOOKUP(A1842,'Sales Order'!A:C,3,FALSE),Employee!A:C,3,FALSE)&amp;" "&amp;VLOOKUP(VLOOKUP(A1842,'Sales Order'!A:C,3,FALSE),Employee!A:B,2,FALSE),"Not Specified")</f>
        <v>Mr. Russell King</v>
      </c>
      <c r="I1842">
        <f>IFERROR(VLOOKUP(VLOOKUP(A1842,'Sales Order'!A:C,3,FALSE),Employee!A:J,10,FALSE),"Not Specified")</f>
        <v>0</v>
      </c>
      <c r="J1842" t="str">
        <f>VLOOKUP(B1842,Product!A:B,2,FALSE)</f>
        <v>Product EPEIM</v>
      </c>
      <c r="K1842" t="str">
        <f>VLOOKUP(VLOOKUP(B1842,Product!A:D,4,FALSE),Category!A:B,2,FALSE)</f>
        <v>Condiments</v>
      </c>
      <c r="L1842" s="24">
        <f>IFERROR(VLOOKUP(A1842,'Sales Order'!A:D,4,FALSE),"")</f>
        <v>39525</v>
      </c>
      <c r="M1842" s="24">
        <f>IFERROR(VLOOKUP(A1842,'Sales Order'!A:F,6,FALSE),"")</f>
        <v>39534</v>
      </c>
      <c r="N1842" t="str">
        <f>IFERROR(VLOOKUP(VLOOKUP(A1842,'Sales Order'!A:G,7,FALSE),Shipper!A:B,2,FALSE),"Not Specified")</f>
        <v>Shipper ETYNR</v>
      </c>
      <c r="O1842" t="str">
        <f>IFERROR(VLOOKUP(A1842,'Sales Order'!A:I,9,FALSE),"Not Specified")</f>
        <v>Ship to 54-C</v>
      </c>
      <c r="P1842" t="str">
        <f>IFERROR(VLOOKUP(A1842,'Sales Order'!A:N,14,FALSE),"Not Specified")</f>
        <v>Argentina</v>
      </c>
      <c r="Q1842" t="str">
        <f>VLOOKUP(VLOOKUP(B1842,Product!A:C,3,FALSE),Supplier!A:B,2,FALSE)</f>
        <v>Supplier VHQZD</v>
      </c>
      <c r="R1842" t="str">
        <f>VLOOKUP(VLOOKUP(B1842,Product!A:C,3,FALSE),Supplier!A:I,9,FALSE)</f>
        <v>USA</v>
      </c>
      <c r="S1842" t="str">
        <f>IFERROR(IF(VLOOKUP(A1842,'Sales Order'!A:H,8,FALSE)&gt;100,"High Freight","Low Freight"),"Not Specified")</f>
        <v>Low Freight</v>
      </c>
      <c r="T1842">
        <f t="shared" si="57"/>
        <v>427</v>
      </c>
    </row>
    <row r="1843" spans="1:20">
      <c r="A1843" s="9">
        <v>10958</v>
      </c>
      <c r="B1843" s="6">
        <v>7</v>
      </c>
      <c r="C1843" s="6">
        <v>30</v>
      </c>
      <c r="D1843" s="6">
        <v>6</v>
      </c>
      <c r="E1843" s="18">
        <v>0</v>
      </c>
      <c r="F1843" s="6" t="str">
        <f>IFERROR(VLOOKUP(VLOOKUP(A1843,'Sales Order'!A:B,2,FALSE),Customer!A:C,3,FALSE),"Not Specified")</f>
        <v>Tiano, Mike</v>
      </c>
      <c r="G1843" s="6" t="str">
        <f t="shared" si="56"/>
        <v>Tiano Mike</v>
      </c>
      <c r="H1843" s="22" t="str">
        <f>IFERROR(VLOOKUP(VLOOKUP(A1843,'Sales Order'!A:C,3,FALSE),Employee!A:E,5,FALSE)&amp;" "&amp;VLOOKUP(VLOOKUP(A1843,'Sales Order'!A:C,3,FALSE),Employee!A:C,3,FALSE)&amp;" "&amp;VLOOKUP(VLOOKUP(A1843,'Sales Order'!A:C,3,FALSE),Employee!A:B,2,FALSE),"Not Specified")</f>
        <v>Mr. Russell King</v>
      </c>
      <c r="I1843">
        <f>IFERROR(VLOOKUP(VLOOKUP(A1843,'Sales Order'!A:C,3,FALSE),Employee!A:J,10,FALSE),"Not Specified")</f>
        <v>0</v>
      </c>
      <c r="J1843" t="str">
        <f>VLOOKUP(B1843,Product!A:B,2,FALSE)</f>
        <v>Product HMLNI</v>
      </c>
      <c r="K1843" t="str">
        <f>VLOOKUP(VLOOKUP(B1843,Product!A:D,4,FALSE),Category!A:B,2,FALSE)</f>
        <v>Produce</v>
      </c>
      <c r="L1843" s="24">
        <f>IFERROR(VLOOKUP(A1843,'Sales Order'!A:D,4,FALSE),"")</f>
        <v>39525</v>
      </c>
      <c r="M1843" s="24">
        <f>IFERROR(VLOOKUP(A1843,'Sales Order'!A:F,6,FALSE),"")</f>
        <v>39534</v>
      </c>
      <c r="N1843" t="str">
        <f>IFERROR(VLOOKUP(VLOOKUP(A1843,'Sales Order'!A:G,7,FALSE),Shipper!A:B,2,FALSE),"Not Specified")</f>
        <v>Shipper ETYNR</v>
      </c>
      <c r="O1843" t="str">
        <f>IFERROR(VLOOKUP(A1843,'Sales Order'!A:I,9,FALSE),"Not Specified")</f>
        <v>Ship to 54-C</v>
      </c>
      <c r="P1843" t="str">
        <f>IFERROR(VLOOKUP(A1843,'Sales Order'!A:N,14,FALSE),"Not Specified")</f>
        <v>Argentina</v>
      </c>
      <c r="Q1843" t="str">
        <f>VLOOKUP(VLOOKUP(B1843,Product!A:C,3,FALSE),Supplier!A:B,2,FALSE)</f>
        <v>Supplier STUAZ</v>
      </c>
      <c r="R1843" t="str">
        <f>VLOOKUP(VLOOKUP(B1843,Product!A:C,3,FALSE),Supplier!A:I,9,FALSE)</f>
        <v>USA</v>
      </c>
      <c r="S1843" t="str">
        <f>IFERROR(IF(VLOOKUP(A1843,'Sales Order'!A:H,8,FALSE)&gt;100,"High Freight","Low Freight"),"Not Specified")</f>
        <v>Low Freight</v>
      </c>
      <c r="T1843">
        <f t="shared" si="57"/>
        <v>180</v>
      </c>
    </row>
    <row r="1844" spans="1:20">
      <c r="A1844" s="9">
        <v>10958</v>
      </c>
      <c r="B1844" s="6">
        <v>72</v>
      </c>
      <c r="C1844" s="6">
        <v>34.799999999999997</v>
      </c>
      <c r="D1844" s="6">
        <v>5</v>
      </c>
      <c r="E1844" s="18">
        <v>0</v>
      </c>
      <c r="F1844" s="6" t="str">
        <f>IFERROR(VLOOKUP(VLOOKUP(A1844,'Sales Order'!A:B,2,FALSE),Customer!A:C,3,FALSE),"Not Specified")</f>
        <v>Tiano, Mike</v>
      </c>
      <c r="G1844" s="6" t="str">
        <f t="shared" si="56"/>
        <v>Tiano Mike</v>
      </c>
      <c r="H1844" s="22" t="str">
        <f>IFERROR(VLOOKUP(VLOOKUP(A1844,'Sales Order'!A:C,3,FALSE),Employee!A:E,5,FALSE)&amp;" "&amp;VLOOKUP(VLOOKUP(A1844,'Sales Order'!A:C,3,FALSE),Employee!A:C,3,FALSE)&amp;" "&amp;VLOOKUP(VLOOKUP(A1844,'Sales Order'!A:C,3,FALSE),Employee!A:B,2,FALSE),"Not Specified")</f>
        <v>Mr. Russell King</v>
      </c>
      <c r="I1844">
        <f>IFERROR(VLOOKUP(VLOOKUP(A1844,'Sales Order'!A:C,3,FALSE),Employee!A:J,10,FALSE),"Not Specified")</f>
        <v>0</v>
      </c>
      <c r="J1844" t="str">
        <f>VLOOKUP(B1844,Product!A:B,2,FALSE)</f>
        <v>Product GEEOO</v>
      </c>
      <c r="K1844" t="str">
        <f>VLOOKUP(VLOOKUP(B1844,Product!A:D,4,FALSE),Category!A:B,2,FALSE)</f>
        <v>Dairy Product</v>
      </c>
      <c r="L1844" s="24">
        <f>IFERROR(VLOOKUP(A1844,'Sales Order'!A:D,4,FALSE),"")</f>
        <v>39525</v>
      </c>
      <c r="M1844" s="24">
        <f>IFERROR(VLOOKUP(A1844,'Sales Order'!A:F,6,FALSE),"")</f>
        <v>39534</v>
      </c>
      <c r="N1844" t="str">
        <f>IFERROR(VLOOKUP(VLOOKUP(A1844,'Sales Order'!A:G,7,FALSE),Shipper!A:B,2,FALSE),"Not Specified")</f>
        <v>Shipper ETYNR</v>
      </c>
      <c r="O1844" t="str">
        <f>IFERROR(VLOOKUP(A1844,'Sales Order'!A:I,9,FALSE),"Not Specified")</f>
        <v>Ship to 54-C</v>
      </c>
      <c r="P1844" t="str">
        <f>IFERROR(VLOOKUP(A1844,'Sales Order'!A:N,14,FALSE),"Not Specified")</f>
        <v>Argentina</v>
      </c>
      <c r="Q1844" t="str">
        <f>VLOOKUP(VLOOKUP(B1844,Product!A:C,3,FALSE),Supplier!A:B,2,FALSE)</f>
        <v>Supplier KEREV</v>
      </c>
      <c r="R1844" t="str">
        <f>VLOOKUP(VLOOKUP(B1844,Product!A:C,3,FALSE),Supplier!A:I,9,FALSE)</f>
        <v>Italy</v>
      </c>
      <c r="S1844" t="str">
        <f>IFERROR(IF(VLOOKUP(A1844,'Sales Order'!A:H,8,FALSE)&gt;100,"High Freight","Low Freight"),"Not Specified")</f>
        <v>Low Freight</v>
      </c>
      <c r="T1844">
        <f t="shared" si="57"/>
        <v>174</v>
      </c>
    </row>
    <row r="1845" spans="1:20">
      <c r="A1845" s="9">
        <v>10959</v>
      </c>
      <c r="B1845" s="6">
        <v>75</v>
      </c>
      <c r="C1845" s="6">
        <v>7.75</v>
      </c>
      <c r="D1845" s="6">
        <v>20</v>
      </c>
      <c r="E1845" s="18">
        <v>0.15</v>
      </c>
      <c r="F1845" s="6" t="str">
        <f>IFERROR(VLOOKUP(VLOOKUP(A1845,'Sales Order'!A:B,2,FALSE),Customer!A:C,3,FALSE),"Not Specified")</f>
        <v>Cheng, Yao-Qiang</v>
      </c>
      <c r="G1845" s="6" t="str">
        <f t="shared" si="56"/>
        <v>Cheng Yao-Qiang</v>
      </c>
      <c r="H1845" s="22" t="str">
        <f>IFERROR(VLOOKUP(VLOOKUP(A1845,'Sales Order'!A:C,3,FALSE),Employee!A:E,5,FALSE)&amp;" "&amp;VLOOKUP(VLOOKUP(A1845,'Sales Order'!A:C,3,FALSE),Employee!A:C,3,FALSE)&amp;" "&amp;VLOOKUP(VLOOKUP(A1845,'Sales Order'!A:C,3,FALSE),Employee!A:B,2,FALSE),"Not Specified")</f>
        <v>Mr. Paul Suurs</v>
      </c>
      <c r="I1845">
        <f>IFERROR(VLOOKUP(VLOOKUP(A1845,'Sales Order'!A:C,3,FALSE),Employee!A:J,10,FALSE),"Not Specified")</f>
        <v>0</v>
      </c>
      <c r="J1845" t="str">
        <f>VLOOKUP(B1845,Product!A:B,2,FALSE)</f>
        <v>Product BWRLG</v>
      </c>
      <c r="K1845" t="str">
        <f>VLOOKUP(VLOOKUP(B1845,Product!A:D,4,FALSE),Category!A:B,2,FALSE)</f>
        <v>Beverages</v>
      </c>
      <c r="L1845" s="24">
        <f>IFERROR(VLOOKUP(A1845,'Sales Order'!A:D,4,FALSE),"")</f>
        <v>39525</v>
      </c>
      <c r="M1845" s="24">
        <f>IFERROR(VLOOKUP(A1845,'Sales Order'!A:F,6,FALSE),"")</f>
        <v>39530</v>
      </c>
      <c r="N1845" t="str">
        <f>IFERROR(VLOOKUP(VLOOKUP(A1845,'Sales Order'!A:G,7,FALSE),Shipper!A:B,2,FALSE),"Not Specified")</f>
        <v>Shipper ETYNR</v>
      </c>
      <c r="O1845" t="str">
        <f>IFERROR(VLOOKUP(A1845,'Sales Order'!A:I,9,FALSE),"Not Specified")</f>
        <v>Destination GWPFK</v>
      </c>
      <c r="P1845" t="str">
        <f>IFERROR(VLOOKUP(A1845,'Sales Order'!A:N,14,FALSE),"Not Specified")</f>
        <v>Brazil</v>
      </c>
      <c r="Q1845" t="str">
        <f>VLOOKUP(VLOOKUP(B1845,Product!A:C,3,FALSE),Supplier!A:B,2,FALSE)</f>
        <v>Supplier SVIYA</v>
      </c>
      <c r="R1845" t="str">
        <f>VLOOKUP(VLOOKUP(B1845,Product!A:C,3,FALSE),Supplier!A:I,9,FALSE)</f>
        <v>Germany</v>
      </c>
      <c r="S1845" t="str">
        <f>IFERROR(IF(VLOOKUP(A1845,'Sales Order'!A:H,8,FALSE)&gt;100,"High Freight","Low Freight"),"Not Specified")</f>
        <v>Low Freight</v>
      </c>
      <c r="T1845">
        <f t="shared" si="57"/>
        <v>131.75</v>
      </c>
    </row>
    <row r="1846" spans="1:20">
      <c r="A1846" s="9">
        <v>10960</v>
      </c>
      <c r="B1846" s="6">
        <v>24</v>
      </c>
      <c r="C1846" s="6">
        <v>4.5</v>
      </c>
      <c r="D1846" s="6">
        <v>10</v>
      </c>
      <c r="E1846" s="18">
        <v>0.25</v>
      </c>
      <c r="F1846" s="6" t="str">
        <f>IFERROR(VLOOKUP(VLOOKUP(A1846,'Sales Order'!A:B,2,FALSE),Customer!A:C,3,FALSE),"Not Specified")</f>
        <v>Langohr, Kris</v>
      </c>
      <c r="G1846" s="6" t="str">
        <f t="shared" si="56"/>
        <v>Langohr Kris</v>
      </c>
      <c r="H1846" s="22" t="str">
        <f>IFERROR(VLOOKUP(VLOOKUP(A1846,'Sales Order'!A:C,3,FALSE),Employee!A:E,5,FALSE)&amp;" "&amp;VLOOKUP(VLOOKUP(A1846,'Sales Order'!A:C,3,FALSE),Employee!A:C,3,FALSE)&amp;" "&amp;VLOOKUP(VLOOKUP(A1846,'Sales Order'!A:C,3,FALSE),Employee!A:B,2,FALSE),"Not Specified")</f>
        <v>Ms. Judy Lew</v>
      </c>
      <c r="I1846" t="str">
        <f>IFERROR(VLOOKUP(VLOOKUP(A1846,'Sales Order'!A:C,3,FALSE),Employee!A:J,10,FALSE),"Not Specified")</f>
        <v>WA</v>
      </c>
      <c r="J1846" t="str">
        <f>VLOOKUP(B1846,Product!A:B,2,FALSE)</f>
        <v>Product QOGNU</v>
      </c>
      <c r="K1846" t="str">
        <f>VLOOKUP(VLOOKUP(B1846,Product!A:D,4,FALSE),Category!A:B,2,FALSE)</f>
        <v>Beverages</v>
      </c>
      <c r="L1846" s="24">
        <f>IFERROR(VLOOKUP(A1846,'Sales Order'!A:D,4,FALSE),"")</f>
        <v>39526</v>
      </c>
      <c r="M1846" s="24">
        <f>IFERROR(VLOOKUP(A1846,'Sales Order'!A:F,6,FALSE),"")</f>
        <v>39546</v>
      </c>
      <c r="N1846" t="str">
        <f>IFERROR(VLOOKUP(VLOOKUP(A1846,'Sales Order'!A:G,7,FALSE),Shipper!A:B,2,FALSE),"Not Specified")</f>
        <v>Shipper GVSUA</v>
      </c>
      <c r="O1846" t="str">
        <f>IFERROR(VLOOKUP(A1846,'Sales Order'!A:I,9,FALSE),"Not Specified")</f>
        <v>Destination SXYQX</v>
      </c>
      <c r="P1846" t="str">
        <f>IFERROR(VLOOKUP(A1846,'Sales Order'!A:N,14,FALSE),"Not Specified")</f>
        <v>Venezuela</v>
      </c>
      <c r="Q1846" t="str">
        <f>VLOOKUP(VLOOKUP(B1846,Product!A:C,3,FALSE),Supplier!A:B,2,FALSE)</f>
        <v>Supplier UNAHG</v>
      </c>
      <c r="R1846" t="str">
        <f>VLOOKUP(VLOOKUP(B1846,Product!A:C,3,FALSE),Supplier!A:I,9,FALSE)</f>
        <v>Brazil</v>
      </c>
      <c r="S1846" t="str">
        <f>IFERROR(IF(VLOOKUP(A1846,'Sales Order'!A:H,8,FALSE)&gt;100,"High Freight","Low Freight"),"Not Specified")</f>
        <v>Low Freight</v>
      </c>
      <c r="T1846">
        <f t="shared" si="57"/>
        <v>33.75</v>
      </c>
    </row>
    <row r="1847" spans="1:20">
      <c r="A1847" s="9">
        <v>10960</v>
      </c>
      <c r="B1847" s="6">
        <v>41</v>
      </c>
      <c r="C1847" s="6">
        <v>9.65</v>
      </c>
      <c r="D1847" s="6">
        <v>24</v>
      </c>
      <c r="E1847" s="18">
        <v>0</v>
      </c>
      <c r="F1847" s="6" t="str">
        <f>IFERROR(VLOOKUP(VLOOKUP(A1847,'Sales Order'!A:B,2,FALSE),Customer!A:C,3,FALSE),"Not Specified")</f>
        <v>Langohr, Kris</v>
      </c>
      <c r="G1847" s="6" t="str">
        <f t="shared" si="56"/>
        <v>Langohr Kris</v>
      </c>
      <c r="H1847" s="22" t="str">
        <f>IFERROR(VLOOKUP(VLOOKUP(A1847,'Sales Order'!A:C,3,FALSE),Employee!A:E,5,FALSE)&amp;" "&amp;VLOOKUP(VLOOKUP(A1847,'Sales Order'!A:C,3,FALSE),Employee!A:C,3,FALSE)&amp;" "&amp;VLOOKUP(VLOOKUP(A1847,'Sales Order'!A:C,3,FALSE),Employee!A:B,2,FALSE),"Not Specified")</f>
        <v>Ms. Judy Lew</v>
      </c>
      <c r="I1847" t="str">
        <f>IFERROR(VLOOKUP(VLOOKUP(A1847,'Sales Order'!A:C,3,FALSE),Employee!A:J,10,FALSE),"Not Specified")</f>
        <v>WA</v>
      </c>
      <c r="J1847" t="str">
        <f>VLOOKUP(B1847,Product!A:B,2,FALSE)</f>
        <v>Product TTEEX</v>
      </c>
      <c r="K1847" t="str">
        <f>VLOOKUP(VLOOKUP(B1847,Product!A:D,4,FALSE),Category!A:B,2,FALSE)</f>
        <v>Seafood</v>
      </c>
      <c r="L1847" s="24">
        <f>IFERROR(VLOOKUP(A1847,'Sales Order'!A:D,4,FALSE),"")</f>
        <v>39526</v>
      </c>
      <c r="M1847" s="24">
        <f>IFERROR(VLOOKUP(A1847,'Sales Order'!A:F,6,FALSE),"")</f>
        <v>39546</v>
      </c>
      <c r="N1847" t="str">
        <f>IFERROR(VLOOKUP(VLOOKUP(A1847,'Sales Order'!A:G,7,FALSE),Shipper!A:B,2,FALSE),"Not Specified")</f>
        <v>Shipper GVSUA</v>
      </c>
      <c r="O1847" t="str">
        <f>IFERROR(VLOOKUP(A1847,'Sales Order'!A:I,9,FALSE),"Not Specified")</f>
        <v>Destination SXYQX</v>
      </c>
      <c r="P1847" t="str">
        <f>IFERROR(VLOOKUP(A1847,'Sales Order'!A:N,14,FALSE),"Not Specified")</f>
        <v>Venezuela</v>
      </c>
      <c r="Q1847" t="str">
        <f>VLOOKUP(VLOOKUP(B1847,Product!A:C,3,FALSE),Supplier!A:B,2,FALSE)</f>
        <v>Supplier JDNUG</v>
      </c>
      <c r="R1847" t="str">
        <f>VLOOKUP(VLOOKUP(B1847,Product!A:C,3,FALSE),Supplier!A:I,9,FALSE)</f>
        <v>USA</v>
      </c>
      <c r="S1847" t="str">
        <f>IFERROR(IF(VLOOKUP(A1847,'Sales Order'!A:H,8,FALSE)&gt;100,"High Freight","Low Freight"),"Not Specified")</f>
        <v>Low Freight</v>
      </c>
      <c r="T1847">
        <f t="shared" si="57"/>
        <v>231.60000000000002</v>
      </c>
    </row>
    <row r="1848" spans="1:20">
      <c r="A1848" s="9">
        <v>10961</v>
      </c>
      <c r="B1848" s="6">
        <v>52</v>
      </c>
      <c r="C1848" s="6">
        <v>7</v>
      </c>
      <c r="D1848" s="6">
        <v>6</v>
      </c>
      <c r="E1848" s="18">
        <v>0.05</v>
      </c>
      <c r="F1848" s="6" t="str">
        <f>IFERROR(VLOOKUP(VLOOKUP(A1848,'Sales Order'!A:B,2,FALSE),Customer!A:C,3,FALSE),"Not Specified")</f>
        <v>Misiec, Anna</v>
      </c>
      <c r="G1848" s="6" t="str">
        <f t="shared" si="56"/>
        <v>Misiec Anna</v>
      </c>
      <c r="H1848" s="22" t="str">
        <f>IFERROR(VLOOKUP(VLOOKUP(A1848,'Sales Order'!A:C,3,FALSE),Employee!A:E,5,FALSE)&amp;" "&amp;VLOOKUP(VLOOKUP(A1848,'Sales Order'!A:C,3,FALSE),Employee!A:C,3,FALSE)&amp;" "&amp;VLOOKUP(VLOOKUP(A1848,'Sales Order'!A:C,3,FALSE),Employee!A:B,2,FALSE),"Not Specified")</f>
        <v>Ms. Maria Cameron</v>
      </c>
      <c r="I1848" t="str">
        <f>IFERROR(VLOOKUP(VLOOKUP(A1848,'Sales Order'!A:C,3,FALSE),Employee!A:J,10,FALSE),"Not Specified")</f>
        <v>WA</v>
      </c>
      <c r="J1848" t="str">
        <f>VLOOKUP(B1848,Product!A:B,2,FALSE)</f>
        <v>Product QSRXF</v>
      </c>
      <c r="K1848" t="str">
        <f>VLOOKUP(VLOOKUP(B1848,Product!A:D,4,FALSE),Category!A:B,2,FALSE)</f>
        <v>Grains/Cereals</v>
      </c>
      <c r="L1848" s="24">
        <f>IFERROR(VLOOKUP(A1848,'Sales Order'!A:D,4,FALSE),"")</f>
        <v>39526</v>
      </c>
      <c r="M1848" s="24">
        <f>IFERROR(VLOOKUP(A1848,'Sales Order'!A:F,6,FALSE),"")</f>
        <v>39537</v>
      </c>
      <c r="N1848" t="str">
        <f>IFERROR(VLOOKUP(VLOOKUP(A1848,'Sales Order'!A:G,7,FALSE),Shipper!A:B,2,FALSE),"Not Specified")</f>
        <v>Shipper GVSUA</v>
      </c>
      <c r="O1848" t="str">
        <f>IFERROR(VLOOKUP(A1848,'Sales Order'!A:I,9,FALSE),"Not Specified")</f>
        <v>Ship to 62-A</v>
      </c>
      <c r="P1848" t="str">
        <f>IFERROR(VLOOKUP(A1848,'Sales Order'!A:N,14,FALSE),"Not Specified")</f>
        <v>Brazil</v>
      </c>
      <c r="Q1848" t="str">
        <f>VLOOKUP(VLOOKUP(B1848,Product!A:C,3,FALSE),Supplier!A:B,2,FALSE)</f>
        <v>Supplier JNNES</v>
      </c>
      <c r="R1848" t="str">
        <f>VLOOKUP(VLOOKUP(B1848,Product!A:C,3,FALSE),Supplier!A:I,9,FALSE)</f>
        <v>Australia</v>
      </c>
      <c r="S1848" t="str">
        <f>IFERROR(IF(VLOOKUP(A1848,'Sales Order'!A:H,8,FALSE)&gt;100,"High Freight","Low Freight"),"Not Specified")</f>
        <v>High Freight</v>
      </c>
      <c r="T1848">
        <f t="shared" si="57"/>
        <v>39.9</v>
      </c>
    </row>
    <row r="1849" spans="1:20">
      <c r="A1849" s="9">
        <v>10961</v>
      </c>
      <c r="B1849" s="6">
        <v>76</v>
      </c>
      <c r="C1849" s="6">
        <v>18</v>
      </c>
      <c r="D1849" s="6">
        <v>60</v>
      </c>
      <c r="E1849" s="18">
        <v>0</v>
      </c>
      <c r="F1849" s="6" t="str">
        <f>IFERROR(VLOOKUP(VLOOKUP(A1849,'Sales Order'!A:B,2,FALSE),Customer!A:C,3,FALSE),"Not Specified")</f>
        <v>Misiec, Anna</v>
      </c>
      <c r="G1849" s="6" t="str">
        <f t="shared" si="56"/>
        <v>Misiec Anna</v>
      </c>
      <c r="H1849" s="22" t="str">
        <f>IFERROR(VLOOKUP(VLOOKUP(A1849,'Sales Order'!A:C,3,FALSE),Employee!A:E,5,FALSE)&amp;" "&amp;VLOOKUP(VLOOKUP(A1849,'Sales Order'!A:C,3,FALSE),Employee!A:C,3,FALSE)&amp;" "&amp;VLOOKUP(VLOOKUP(A1849,'Sales Order'!A:C,3,FALSE),Employee!A:B,2,FALSE),"Not Specified")</f>
        <v>Ms. Maria Cameron</v>
      </c>
      <c r="I1849" t="str">
        <f>IFERROR(VLOOKUP(VLOOKUP(A1849,'Sales Order'!A:C,3,FALSE),Employee!A:J,10,FALSE),"Not Specified")</f>
        <v>WA</v>
      </c>
      <c r="J1849" t="str">
        <f>VLOOKUP(B1849,Product!A:B,2,FALSE)</f>
        <v>Product JYGFE</v>
      </c>
      <c r="K1849" t="str">
        <f>VLOOKUP(VLOOKUP(B1849,Product!A:D,4,FALSE),Category!A:B,2,FALSE)</f>
        <v>Beverages</v>
      </c>
      <c r="L1849" s="24">
        <f>IFERROR(VLOOKUP(A1849,'Sales Order'!A:D,4,FALSE),"")</f>
        <v>39526</v>
      </c>
      <c r="M1849" s="24">
        <f>IFERROR(VLOOKUP(A1849,'Sales Order'!A:F,6,FALSE),"")</f>
        <v>39537</v>
      </c>
      <c r="N1849" t="str">
        <f>IFERROR(VLOOKUP(VLOOKUP(A1849,'Sales Order'!A:G,7,FALSE),Shipper!A:B,2,FALSE),"Not Specified")</f>
        <v>Shipper GVSUA</v>
      </c>
      <c r="O1849" t="str">
        <f>IFERROR(VLOOKUP(A1849,'Sales Order'!A:I,9,FALSE),"Not Specified")</f>
        <v>Ship to 62-A</v>
      </c>
      <c r="P1849" t="str">
        <f>IFERROR(VLOOKUP(A1849,'Sales Order'!A:N,14,FALSE),"Not Specified")</f>
        <v>Brazil</v>
      </c>
      <c r="Q1849" t="str">
        <f>VLOOKUP(VLOOKUP(B1849,Product!A:C,3,FALSE),Supplier!A:B,2,FALSE)</f>
        <v>Supplier ELCRN</v>
      </c>
      <c r="R1849" t="str">
        <f>VLOOKUP(VLOOKUP(B1849,Product!A:C,3,FALSE),Supplier!A:I,9,FALSE)</f>
        <v>Finland</v>
      </c>
      <c r="S1849" t="str">
        <f>IFERROR(IF(VLOOKUP(A1849,'Sales Order'!A:H,8,FALSE)&gt;100,"High Freight","Low Freight"),"Not Specified")</f>
        <v>High Freight</v>
      </c>
      <c r="T1849">
        <f t="shared" si="57"/>
        <v>1080</v>
      </c>
    </row>
    <row r="1850" spans="1:20">
      <c r="A1850" s="9">
        <v>10962</v>
      </c>
      <c r="B1850" s="6">
        <v>7</v>
      </c>
      <c r="C1850" s="6">
        <v>30</v>
      </c>
      <c r="D1850" s="6">
        <v>45</v>
      </c>
      <c r="E1850" s="18">
        <v>0</v>
      </c>
      <c r="F1850" s="6" t="str">
        <f>IFERROR(VLOOKUP(VLOOKUP(A1850,'Sales Order'!A:B,2,FALSE),Customer!A:C,3,FALSE),"Not Specified")</f>
        <v>Veronesi, Giorgio</v>
      </c>
      <c r="G1850" s="6" t="str">
        <f t="shared" si="56"/>
        <v>Veronesi Giorgio</v>
      </c>
      <c r="H1850" s="22" t="str">
        <f>IFERROR(VLOOKUP(VLOOKUP(A1850,'Sales Order'!A:C,3,FALSE),Employee!A:E,5,FALSE)&amp;" "&amp;VLOOKUP(VLOOKUP(A1850,'Sales Order'!A:C,3,FALSE),Employee!A:C,3,FALSE)&amp;" "&amp;VLOOKUP(VLOOKUP(A1850,'Sales Order'!A:C,3,FALSE),Employee!A:B,2,FALSE),"Not Specified")</f>
        <v>Ms. Maria Cameron</v>
      </c>
      <c r="I1850" t="str">
        <f>IFERROR(VLOOKUP(VLOOKUP(A1850,'Sales Order'!A:C,3,FALSE),Employee!A:J,10,FALSE),"Not Specified")</f>
        <v>WA</v>
      </c>
      <c r="J1850" t="str">
        <f>VLOOKUP(B1850,Product!A:B,2,FALSE)</f>
        <v>Product HMLNI</v>
      </c>
      <c r="K1850" t="str">
        <f>VLOOKUP(VLOOKUP(B1850,Product!A:D,4,FALSE),Category!A:B,2,FALSE)</f>
        <v>Produce</v>
      </c>
      <c r="L1850" s="24">
        <f>IFERROR(VLOOKUP(A1850,'Sales Order'!A:D,4,FALSE),"")</f>
        <v>39526</v>
      </c>
      <c r="M1850" s="24">
        <f>IFERROR(VLOOKUP(A1850,'Sales Order'!A:F,6,FALSE),"")</f>
        <v>39530</v>
      </c>
      <c r="N1850" t="str">
        <f>IFERROR(VLOOKUP(VLOOKUP(A1850,'Sales Order'!A:G,7,FALSE),Shipper!A:B,2,FALSE),"Not Specified")</f>
        <v>Shipper ETYNR</v>
      </c>
      <c r="O1850" t="str">
        <f>IFERROR(VLOOKUP(A1850,'Sales Order'!A:I,9,FALSE),"Not Specified")</f>
        <v>Ship to 63-B</v>
      </c>
      <c r="P1850" t="str">
        <f>IFERROR(VLOOKUP(A1850,'Sales Order'!A:N,14,FALSE),"Not Specified")</f>
        <v>Germany</v>
      </c>
      <c r="Q1850" t="str">
        <f>VLOOKUP(VLOOKUP(B1850,Product!A:C,3,FALSE),Supplier!A:B,2,FALSE)</f>
        <v>Supplier STUAZ</v>
      </c>
      <c r="R1850" t="str">
        <f>VLOOKUP(VLOOKUP(B1850,Product!A:C,3,FALSE),Supplier!A:I,9,FALSE)</f>
        <v>USA</v>
      </c>
      <c r="S1850" t="str">
        <f>IFERROR(IF(VLOOKUP(A1850,'Sales Order'!A:H,8,FALSE)&gt;100,"High Freight","Low Freight"),"Not Specified")</f>
        <v>High Freight</v>
      </c>
      <c r="T1850">
        <f t="shared" si="57"/>
        <v>1350</v>
      </c>
    </row>
    <row r="1851" spans="1:20">
      <c r="A1851" s="9">
        <v>10962</v>
      </c>
      <c r="B1851" s="6">
        <v>13</v>
      </c>
      <c r="C1851" s="6">
        <v>6</v>
      </c>
      <c r="D1851" s="6">
        <v>77</v>
      </c>
      <c r="E1851" s="18">
        <v>0</v>
      </c>
      <c r="F1851" s="6" t="str">
        <f>IFERROR(VLOOKUP(VLOOKUP(A1851,'Sales Order'!A:B,2,FALSE),Customer!A:C,3,FALSE),"Not Specified")</f>
        <v>Veronesi, Giorgio</v>
      </c>
      <c r="G1851" s="6" t="str">
        <f t="shared" si="56"/>
        <v>Veronesi Giorgio</v>
      </c>
      <c r="H1851" s="22" t="str">
        <f>IFERROR(VLOOKUP(VLOOKUP(A1851,'Sales Order'!A:C,3,FALSE),Employee!A:E,5,FALSE)&amp;" "&amp;VLOOKUP(VLOOKUP(A1851,'Sales Order'!A:C,3,FALSE),Employee!A:C,3,FALSE)&amp;" "&amp;VLOOKUP(VLOOKUP(A1851,'Sales Order'!A:C,3,FALSE),Employee!A:B,2,FALSE),"Not Specified")</f>
        <v>Ms. Maria Cameron</v>
      </c>
      <c r="I1851" t="str">
        <f>IFERROR(VLOOKUP(VLOOKUP(A1851,'Sales Order'!A:C,3,FALSE),Employee!A:J,10,FALSE),"Not Specified")</f>
        <v>WA</v>
      </c>
      <c r="J1851" t="str">
        <f>VLOOKUP(B1851,Product!A:B,2,FALSE)</f>
        <v>Product POXFU</v>
      </c>
      <c r="K1851" t="str">
        <f>VLOOKUP(VLOOKUP(B1851,Product!A:D,4,FALSE),Category!A:B,2,FALSE)</f>
        <v>Seafood</v>
      </c>
      <c r="L1851" s="24">
        <f>IFERROR(VLOOKUP(A1851,'Sales Order'!A:D,4,FALSE),"")</f>
        <v>39526</v>
      </c>
      <c r="M1851" s="24">
        <f>IFERROR(VLOOKUP(A1851,'Sales Order'!A:F,6,FALSE),"")</f>
        <v>39530</v>
      </c>
      <c r="N1851" t="str">
        <f>IFERROR(VLOOKUP(VLOOKUP(A1851,'Sales Order'!A:G,7,FALSE),Shipper!A:B,2,FALSE),"Not Specified")</f>
        <v>Shipper ETYNR</v>
      </c>
      <c r="O1851" t="str">
        <f>IFERROR(VLOOKUP(A1851,'Sales Order'!A:I,9,FALSE),"Not Specified")</f>
        <v>Ship to 63-B</v>
      </c>
      <c r="P1851" t="str">
        <f>IFERROR(VLOOKUP(A1851,'Sales Order'!A:N,14,FALSE),"Not Specified")</f>
        <v>Germany</v>
      </c>
      <c r="Q1851" t="str">
        <f>VLOOKUP(VLOOKUP(B1851,Product!A:C,3,FALSE),Supplier!A:B,2,FALSE)</f>
        <v>Supplier QWUSF</v>
      </c>
      <c r="R1851" t="str">
        <f>VLOOKUP(VLOOKUP(B1851,Product!A:C,3,FALSE),Supplier!A:I,9,FALSE)</f>
        <v>Japan</v>
      </c>
      <c r="S1851" t="str">
        <f>IFERROR(IF(VLOOKUP(A1851,'Sales Order'!A:H,8,FALSE)&gt;100,"High Freight","Low Freight"),"Not Specified")</f>
        <v>High Freight</v>
      </c>
      <c r="T1851">
        <f t="shared" si="57"/>
        <v>462</v>
      </c>
    </row>
    <row r="1852" spans="1:20">
      <c r="A1852" s="9">
        <v>10962</v>
      </c>
      <c r="B1852" s="6">
        <v>53</v>
      </c>
      <c r="C1852" s="6">
        <v>32.799999999999997</v>
      </c>
      <c r="D1852" s="6">
        <v>20</v>
      </c>
      <c r="E1852" s="18">
        <v>0</v>
      </c>
      <c r="F1852" s="6" t="str">
        <f>IFERROR(VLOOKUP(VLOOKUP(A1852,'Sales Order'!A:B,2,FALSE),Customer!A:C,3,FALSE),"Not Specified")</f>
        <v>Veronesi, Giorgio</v>
      </c>
      <c r="G1852" s="6" t="str">
        <f t="shared" si="56"/>
        <v>Veronesi Giorgio</v>
      </c>
      <c r="H1852" s="22" t="str">
        <f>IFERROR(VLOOKUP(VLOOKUP(A1852,'Sales Order'!A:C,3,FALSE),Employee!A:E,5,FALSE)&amp;" "&amp;VLOOKUP(VLOOKUP(A1852,'Sales Order'!A:C,3,FALSE),Employee!A:C,3,FALSE)&amp;" "&amp;VLOOKUP(VLOOKUP(A1852,'Sales Order'!A:C,3,FALSE),Employee!A:B,2,FALSE),"Not Specified")</f>
        <v>Ms. Maria Cameron</v>
      </c>
      <c r="I1852" t="str">
        <f>IFERROR(VLOOKUP(VLOOKUP(A1852,'Sales Order'!A:C,3,FALSE),Employee!A:J,10,FALSE),"Not Specified")</f>
        <v>WA</v>
      </c>
      <c r="J1852" t="str">
        <f>VLOOKUP(B1852,Product!A:B,2,FALSE)</f>
        <v>Product BKGEA</v>
      </c>
      <c r="K1852" t="str">
        <f>VLOOKUP(VLOOKUP(B1852,Product!A:D,4,FALSE),Category!A:B,2,FALSE)</f>
        <v>Meat/Poultry</v>
      </c>
      <c r="L1852" s="24">
        <f>IFERROR(VLOOKUP(A1852,'Sales Order'!A:D,4,FALSE),"")</f>
        <v>39526</v>
      </c>
      <c r="M1852" s="24">
        <f>IFERROR(VLOOKUP(A1852,'Sales Order'!A:F,6,FALSE),"")</f>
        <v>39530</v>
      </c>
      <c r="N1852" t="str">
        <f>IFERROR(VLOOKUP(VLOOKUP(A1852,'Sales Order'!A:G,7,FALSE),Shipper!A:B,2,FALSE),"Not Specified")</f>
        <v>Shipper ETYNR</v>
      </c>
      <c r="O1852" t="str">
        <f>IFERROR(VLOOKUP(A1852,'Sales Order'!A:I,9,FALSE),"Not Specified")</f>
        <v>Ship to 63-B</v>
      </c>
      <c r="P1852" t="str">
        <f>IFERROR(VLOOKUP(A1852,'Sales Order'!A:N,14,FALSE),"Not Specified")</f>
        <v>Germany</v>
      </c>
      <c r="Q1852" t="str">
        <f>VLOOKUP(VLOOKUP(B1852,Product!A:C,3,FALSE),Supplier!A:B,2,FALSE)</f>
        <v>Supplier JNNES</v>
      </c>
      <c r="R1852" t="str">
        <f>VLOOKUP(VLOOKUP(B1852,Product!A:C,3,FALSE),Supplier!A:I,9,FALSE)</f>
        <v>Australia</v>
      </c>
      <c r="S1852" t="str">
        <f>IFERROR(IF(VLOOKUP(A1852,'Sales Order'!A:H,8,FALSE)&gt;100,"High Freight","Low Freight"),"Not Specified")</f>
        <v>High Freight</v>
      </c>
      <c r="T1852">
        <f t="shared" si="57"/>
        <v>656</v>
      </c>
    </row>
    <row r="1853" spans="1:20">
      <c r="A1853" s="9">
        <v>10962</v>
      </c>
      <c r="B1853" s="6">
        <v>69</v>
      </c>
      <c r="C1853" s="6">
        <v>36</v>
      </c>
      <c r="D1853" s="6">
        <v>9</v>
      </c>
      <c r="E1853" s="18">
        <v>0</v>
      </c>
      <c r="F1853" s="6" t="str">
        <f>IFERROR(VLOOKUP(VLOOKUP(A1853,'Sales Order'!A:B,2,FALSE),Customer!A:C,3,FALSE),"Not Specified")</f>
        <v>Veronesi, Giorgio</v>
      </c>
      <c r="G1853" s="6" t="str">
        <f t="shared" si="56"/>
        <v>Veronesi Giorgio</v>
      </c>
      <c r="H1853" s="22" t="str">
        <f>IFERROR(VLOOKUP(VLOOKUP(A1853,'Sales Order'!A:C,3,FALSE),Employee!A:E,5,FALSE)&amp;" "&amp;VLOOKUP(VLOOKUP(A1853,'Sales Order'!A:C,3,FALSE),Employee!A:C,3,FALSE)&amp;" "&amp;VLOOKUP(VLOOKUP(A1853,'Sales Order'!A:C,3,FALSE),Employee!A:B,2,FALSE),"Not Specified")</f>
        <v>Ms. Maria Cameron</v>
      </c>
      <c r="I1853" t="str">
        <f>IFERROR(VLOOKUP(VLOOKUP(A1853,'Sales Order'!A:C,3,FALSE),Employee!A:J,10,FALSE),"Not Specified")</f>
        <v>WA</v>
      </c>
      <c r="J1853" t="str">
        <f>VLOOKUP(B1853,Product!A:B,2,FALSE)</f>
        <v>Product COAXA</v>
      </c>
      <c r="K1853" t="str">
        <f>VLOOKUP(VLOOKUP(B1853,Product!A:D,4,FALSE),Category!A:B,2,FALSE)</f>
        <v>Dairy Product</v>
      </c>
      <c r="L1853" s="24">
        <f>IFERROR(VLOOKUP(A1853,'Sales Order'!A:D,4,FALSE),"")</f>
        <v>39526</v>
      </c>
      <c r="M1853" s="24">
        <f>IFERROR(VLOOKUP(A1853,'Sales Order'!A:F,6,FALSE),"")</f>
        <v>39530</v>
      </c>
      <c r="N1853" t="str">
        <f>IFERROR(VLOOKUP(VLOOKUP(A1853,'Sales Order'!A:G,7,FALSE),Shipper!A:B,2,FALSE),"Not Specified")</f>
        <v>Shipper ETYNR</v>
      </c>
      <c r="O1853" t="str">
        <f>IFERROR(VLOOKUP(A1853,'Sales Order'!A:I,9,FALSE),"Not Specified")</f>
        <v>Ship to 63-B</v>
      </c>
      <c r="P1853" t="str">
        <f>IFERROR(VLOOKUP(A1853,'Sales Order'!A:N,14,FALSE),"Not Specified")</f>
        <v>Germany</v>
      </c>
      <c r="Q1853" t="str">
        <f>VLOOKUP(VLOOKUP(B1853,Product!A:C,3,FALSE),Supplier!A:B,2,FALSE)</f>
        <v>Supplier NZLIF</v>
      </c>
      <c r="R1853" t="str">
        <f>VLOOKUP(VLOOKUP(B1853,Product!A:C,3,FALSE),Supplier!A:I,9,FALSE)</f>
        <v>Norway</v>
      </c>
      <c r="S1853" t="str">
        <f>IFERROR(IF(VLOOKUP(A1853,'Sales Order'!A:H,8,FALSE)&gt;100,"High Freight","Low Freight"),"Not Specified")</f>
        <v>High Freight</v>
      </c>
      <c r="T1853">
        <f t="shared" si="57"/>
        <v>324</v>
      </c>
    </row>
    <row r="1854" spans="1:20">
      <c r="A1854" s="9">
        <v>10962</v>
      </c>
      <c r="B1854" s="6">
        <v>76</v>
      </c>
      <c r="C1854" s="6">
        <v>18</v>
      </c>
      <c r="D1854" s="6">
        <v>44</v>
      </c>
      <c r="E1854" s="18">
        <v>0</v>
      </c>
      <c r="F1854" s="6" t="str">
        <f>IFERROR(VLOOKUP(VLOOKUP(A1854,'Sales Order'!A:B,2,FALSE),Customer!A:C,3,FALSE),"Not Specified")</f>
        <v>Veronesi, Giorgio</v>
      </c>
      <c r="G1854" s="6" t="str">
        <f t="shared" si="56"/>
        <v>Veronesi Giorgio</v>
      </c>
      <c r="H1854" s="22" t="str">
        <f>IFERROR(VLOOKUP(VLOOKUP(A1854,'Sales Order'!A:C,3,FALSE),Employee!A:E,5,FALSE)&amp;" "&amp;VLOOKUP(VLOOKUP(A1854,'Sales Order'!A:C,3,FALSE),Employee!A:C,3,FALSE)&amp;" "&amp;VLOOKUP(VLOOKUP(A1854,'Sales Order'!A:C,3,FALSE),Employee!A:B,2,FALSE),"Not Specified")</f>
        <v>Ms. Maria Cameron</v>
      </c>
      <c r="I1854" t="str">
        <f>IFERROR(VLOOKUP(VLOOKUP(A1854,'Sales Order'!A:C,3,FALSE),Employee!A:J,10,FALSE),"Not Specified")</f>
        <v>WA</v>
      </c>
      <c r="J1854" t="str">
        <f>VLOOKUP(B1854,Product!A:B,2,FALSE)</f>
        <v>Product JYGFE</v>
      </c>
      <c r="K1854" t="str">
        <f>VLOOKUP(VLOOKUP(B1854,Product!A:D,4,FALSE),Category!A:B,2,FALSE)</f>
        <v>Beverages</v>
      </c>
      <c r="L1854" s="24">
        <f>IFERROR(VLOOKUP(A1854,'Sales Order'!A:D,4,FALSE),"")</f>
        <v>39526</v>
      </c>
      <c r="M1854" s="24">
        <f>IFERROR(VLOOKUP(A1854,'Sales Order'!A:F,6,FALSE),"")</f>
        <v>39530</v>
      </c>
      <c r="N1854" t="str">
        <f>IFERROR(VLOOKUP(VLOOKUP(A1854,'Sales Order'!A:G,7,FALSE),Shipper!A:B,2,FALSE),"Not Specified")</f>
        <v>Shipper ETYNR</v>
      </c>
      <c r="O1854" t="str">
        <f>IFERROR(VLOOKUP(A1854,'Sales Order'!A:I,9,FALSE),"Not Specified")</f>
        <v>Ship to 63-B</v>
      </c>
      <c r="P1854" t="str">
        <f>IFERROR(VLOOKUP(A1854,'Sales Order'!A:N,14,FALSE),"Not Specified")</f>
        <v>Germany</v>
      </c>
      <c r="Q1854" t="str">
        <f>VLOOKUP(VLOOKUP(B1854,Product!A:C,3,FALSE),Supplier!A:B,2,FALSE)</f>
        <v>Supplier ELCRN</v>
      </c>
      <c r="R1854" t="str">
        <f>VLOOKUP(VLOOKUP(B1854,Product!A:C,3,FALSE),Supplier!A:I,9,FALSE)</f>
        <v>Finland</v>
      </c>
      <c r="S1854" t="str">
        <f>IFERROR(IF(VLOOKUP(A1854,'Sales Order'!A:H,8,FALSE)&gt;100,"High Freight","Low Freight"),"Not Specified")</f>
        <v>High Freight</v>
      </c>
      <c r="T1854">
        <f t="shared" si="57"/>
        <v>792</v>
      </c>
    </row>
    <row r="1855" spans="1:20">
      <c r="A1855" s="9">
        <v>10963</v>
      </c>
      <c r="B1855" s="6">
        <v>60</v>
      </c>
      <c r="C1855" s="6">
        <v>34</v>
      </c>
      <c r="D1855" s="6">
        <v>2</v>
      </c>
      <c r="E1855" s="18">
        <v>0.15</v>
      </c>
      <c r="F1855" s="6" t="str">
        <f>IFERROR(VLOOKUP(VLOOKUP(A1855,'Sales Order'!A:B,2,FALSE),Customer!A:C,3,FALSE),"Not Specified")</f>
        <v>Cavaglieri, Giorgio</v>
      </c>
      <c r="G1855" s="6" t="str">
        <f t="shared" si="56"/>
        <v>Cavaglieri Giorgio</v>
      </c>
      <c r="H1855" s="22" t="str">
        <f>IFERROR(VLOOKUP(VLOOKUP(A1855,'Sales Order'!A:C,3,FALSE),Employee!A:E,5,FALSE)&amp;" "&amp;VLOOKUP(VLOOKUP(A1855,'Sales Order'!A:C,3,FALSE),Employee!A:C,3,FALSE)&amp;" "&amp;VLOOKUP(VLOOKUP(A1855,'Sales Order'!A:C,3,FALSE),Employee!A:B,2,FALSE),"Not Specified")</f>
        <v>Ms. Zoya Dolgopyatova</v>
      </c>
      <c r="I1855">
        <f>IFERROR(VLOOKUP(VLOOKUP(A1855,'Sales Order'!A:C,3,FALSE),Employee!A:J,10,FALSE),"Not Specified")</f>
        <v>0</v>
      </c>
      <c r="J1855" t="str">
        <f>VLOOKUP(B1855,Product!A:B,2,FALSE)</f>
        <v>Product WHBYK</v>
      </c>
      <c r="K1855" t="str">
        <f>VLOOKUP(VLOOKUP(B1855,Product!A:D,4,FALSE),Category!A:B,2,FALSE)</f>
        <v>Dairy Product</v>
      </c>
      <c r="L1855" s="24">
        <f>IFERROR(VLOOKUP(A1855,'Sales Order'!A:D,4,FALSE),"")</f>
        <v>39526</v>
      </c>
      <c r="M1855" s="24">
        <f>IFERROR(VLOOKUP(A1855,'Sales Order'!A:F,6,FALSE),"")</f>
        <v>39533</v>
      </c>
      <c r="N1855" t="str">
        <f>IFERROR(VLOOKUP(VLOOKUP(A1855,'Sales Order'!A:G,7,FALSE),Shipper!A:B,2,FALSE),"Not Specified")</f>
        <v>Shipper ZHISN</v>
      </c>
      <c r="O1855" t="str">
        <f>IFERROR(VLOOKUP(A1855,'Sales Order'!A:I,9,FALSE),"Not Specified")</f>
        <v>Destination CIRQO</v>
      </c>
      <c r="P1855" t="str">
        <f>IFERROR(VLOOKUP(A1855,'Sales Order'!A:N,14,FALSE),"Not Specified")</f>
        <v>Portugal</v>
      </c>
      <c r="Q1855" t="str">
        <f>VLOOKUP(VLOOKUP(B1855,Product!A:C,3,FALSE),Supplier!A:B,2,FALSE)</f>
        <v>Supplier OAVQT</v>
      </c>
      <c r="R1855" t="str">
        <f>VLOOKUP(VLOOKUP(B1855,Product!A:C,3,FALSE),Supplier!A:I,9,FALSE)</f>
        <v>France</v>
      </c>
      <c r="S1855" t="str">
        <f>IFERROR(IF(VLOOKUP(A1855,'Sales Order'!A:H,8,FALSE)&gt;100,"High Freight","Low Freight"),"Not Specified")</f>
        <v>Low Freight</v>
      </c>
      <c r="T1855">
        <f t="shared" si="57"/>
        <v>57.8</v>
      </c>
    </row>
    <row r="1856" spans="1:20">
      <c r="A1856" s="9">
        <v>10964</v>
      </c>
      <c r="B1856" s="6">
        <v>18</v>
      </c>
      <c r="C1856" s="6">
        <v>62.5</v>
      </c>
      <c r="D1856" s="6">
        <v>6</v>
      </c>
      <c r="E1856" s="18">
        <v>0</v>
      </c>
      <c r="F1856" s="6" t="str">
        <f>IFERROR(VLOOKUP(VLOOKUP(A1856,'Sales Order'!A:B,2,FALSE),Customer!A:C,3,FALSE),"Not Specified")</f>
        <v>O’Brien, Dave</v>
      </c>
      <c r="G1856" s="6" t="str">
        <f t="shared" si="56"/>
        <v>O’Brien Dave</v>
      </c>
      <c r="H1856" s="22" t="str">
        <f>IFERROR(VLOOKUP(VLOOKUP(A1856,'Sales Order'!A:C,3,FALSE),Employee!A:E,5,FALSE)&amp;" "&amp;VLOOKUP(VLOOKUP(A1856,'Sales Order'!A:C,3,FALSE),Employee!A:C,3,FALSE)&amp;" "&amp;VLOOKUP(VLOOKUP(A1856,'Sales Order'!A:C,3,FALSE),Employee!A:B,2,FALSE),"Not Specified")</f>
        <v>Ms. Judy Lew</v>
      </c>
      <c r="I1856" t="str">
        <f>IFERROR(VLOOKUP(VLOOKUP(A1856,'Sales Order'!A:C,3,FALSE),Employee!A:J,10,FALSE),"Not Specified")</f>
        <v>WA</v>
      </c>
      <c r="J1856" t="str">
        <f>VLOOKUP(B1856,Product!A:B,2,FALSE)</f>
        <v>Product CKEDC</v>
      </c>
      <c r="K1856" t="str">
        <f>VLOOKUP(VLOOKUP(B1856,Product!A:D,4,FALSE),Category!A:B,2,FALSE)</f>
        <v>Seafood</v>
      </c>
      <c r="L1856" s="24">
        <f>IFERROR(VLOOKUP(A1856,'Sales Order'!A:D,4,FALSE),"")</f>
        <v>39527</v>
      </c>
      <c r="M1856" s="24">
        <f>IFERROR(VLOOKUP(A1856,'Sales Order'!A:F,6,FALSE),"")</f>
        <v>39531</v>
      </c>
      <c r="N1856" t="str">
        <f>IFERROR(VLOOKUP(VLOOKUP(A1856,'Sales Order'!A:G,7,FALSE),Shipper!A:B,2,FALSE),"Not Specified")</f>
        <v>Shipper ETYNR</v>
      </c>
      <c r="O1856" t="str">
        <f>IFERROR(VLOOKUP(A1856,'Sales Order'!A:I,9,FALSE),"Not Specified")</f>
        <v>Ship to 74-B</v>
      </c>
      <c r="P1856" t="str">
        <f>IFERROR(VLOOKUP(A1856,'Sales Order'!A:N,14,FALSE),"Not Specified")</f>
        <v>France</v>
      </c>
      <c r="Q1856" t="str">
        <f>VLOOKUP(VLOOKUP(B1856,Product!A:C,3,FALSE),Supplier!A:B,2,FALSE)</f>
        <v>Supplier GQRCV</v>
      </c>
      <c r="R1856" t="str">
        <f>VLOOKUP(VLOOKUP(B1856,Product!A:C,3,FALSE),Supplier!A:I,9,FALSE)</f>
        <v>Australia</v>
      </c>
      <c r="S1856" t="str">
        <f>IFERROR(IF(VLOOKUP(A1856,'Sales Order'!A:H,8,FALSE)&gt;100,"High Freight","Low Freight"),"Not Specified")</f>
        <v>Low Freight</v>
      </c>
      <c r="T1856">
        <f t="shared" si="57"/>
        <v>375</v>
      </c>
    </row>
    <row r="1857" spans="1:20">
      <c r="A1857" s="9">
        <v>10964</v>
      </c>
      <c r="B1857" s="6">
        <v>38</v>
      </c>
      <c r="C1857" s="6">
        <v>263.5</v>
      </c>
      <c r="D1857" s="6">
        <v>5</v>
      </c>
      <c r="E1857" s="18">
        <v>0</v>
      </c>
      <c r="F1857" s="6" t="str">
        <f>IFERROR(VLOOKUP(VLOOKUP(A1857,'Sales Order'!A:B,2,FALSE),Customer!A:C,3,FALSE),"Not Specified")</f>
        <v>O’Brien, Dave</v>
      </c>
      <c r="G1857" s="6" t="str">
        <f t="shared" si="56"/>
        <v>O’Brien Dave</v>
      </c>
      <c r="H1857" s="22" t="str">
        <f>IFERROR(VLOOKUP(VLOOKUP(A1857,'Sales Order'!A:C,3,FALSE),Employee!A:E,5,FALSE)&amp;" "&amp;VLOOKUP(VLOOKUP(A1857,'Sales Order'!A:C,3,FALSE),Employee!A:C,3,FALSE)&amp;" "&amp;VLOOKUP(VLOOKUP(A1857,'Sales Order'!A:C,3,FALSE),Employee!A:B,2,FALSE),"Not Specified")</f>
        <v>Ms. Judy Lew</v>
      </c>
      <c r="I1857" t="str">
        <f>IFERROR(VLOOKUP(VLOOKUP(A1857,'Sales Order'!A:C,3,FALSE),Employee!A:J,10,FALSE),"Not Specified")</f>
        <v>WA</v>
      </c>
      <c r="J1857" t="str">
        <f>VLOOKUP(B1857,Product!A:B,2,FALSE)</f>
        <v>Product QDOMO</v>
      </c>
      <c r="K1857" t="str">
        <f>VLOOKUP(VLOOKUP(B1857,Product!A:D,4,FALSE),Category!A:B,2,FALSE)</f>
        <v>Beverages</v>
      </c>
      <c r="L1857" s="24">
        <f>IFERROR(VLOOKUP(A1857,'Sales Order'!A:D,4,FALSE),"")</f>
        <v>39527</v>
      </c>
      <c r="M1857" s="24">
        <f>IFERROR(VLOOKUP(A1857,'Sales Order'!A:F,6,FALSE),"")</f>
        <v>39531</v>
      </c>
      <c r="N1857" t="str">
        <f>IFERROR(VLOOKUP(VLOOKUP(A1857,'Sales Order'!A:G,7,FALSE),Shipper!A:B,2,FALSE),"Not Specified")</f>
        <v>Shipper ETYNR</v>
      </c>
      <c r="O1857" t="str">
        <f>IFERROR(VLOOKUP(A1857,'Sales Order'!A:I,9,FALSE),"Not Specified")</f>
        <v>Ship to 74-B</v>
      </c>
      <c r="P1857" t="str">
        <f>IFERROR(VLOOKUP(A1857,'Sales Order'!A:N,14,FALSE),"Not Specified")</f>
        <v>France</v>
      </c>
      <c r="Q1857" t="str">
        <f>VLOOKUP(VLOOKUP(B1857,Product!A:C,3,FALSE),Supplier!A:B,2,FALSE)</f>
        <v>Supplier LVJUA</v>
      </c>
      <c r="R1857" t="str">
        <f>VLOOKUP(VLOOKUP(B1857,Product!A:C,3,FALSE),Supplier!A:I,9,FALSE)</f>
        <v>France</v>
      </c>
      <c r="S1857" t="str">
        <f>IFERROR(IF(VLOOKUP(A1857,'Sales Order'!A:H,8,FALSE)&gt;100,"High Freight","Low Freight"),"Not Specified")</f>
        <v>Low Freight</v>
      </c>
      <c r="T1857">
        <f t="shared" si="57"/>
        <v>1317.5</v>
      </c>
    </row>
    <row r="1858" spans="1:20">
      <c r="A1858" s="9">
        <v>10964</v>
      </c>
      <c r="B1858" s="6">
        <v>69</v>
      </c>
      <c r="C1858" s="6">
        <v>36</v>
      </c>
      <c r="D1858" s="6">
        <v>10</v>
      </c>
      <c r="E1858" s="18">
        <v>0</v>
      </c>
      <c r="F1858" s="6" t="str">
        <f>IFERROR(VLOOKUP(VLOOKUP(A1858,'Sales Order'!A:B,2,FALSE),Customer!A:C,3,FALSE),"Not Specified")</f>
        <v>O’Brien, Dave</v>
      </c>
      <c r="G1858" s="6" t="str">
        <f t="shared" si="56"/>
        <v>O’Brien Dave</v>
      </c>
      <c r="H1858" s="22" t="str">
        <f>IFERROR(VLOOKUP(VLOOKUP(A1858,'Sales Order'!A:C,3,FALSE),Employee!A:E,5,FALSE)&amp;" "&amp;VLOOKUP(VLOOKUP(A1858,'Sales Order'!A:C,3,FALSE),Employee!A:C,3,FALSE)&amp;" "&amp;VLOOKUP(VLOOKUP(A1858,'Sales Order'!A:C,3,FALSE),Employee!A:B,2,FALSE),"Not Specified")</f>
        <v>Ms. Judy Lew</v>
      </c>
      <c r="I1858" t="str">
        <f>IFERROR(VLOOKUP(VLOOKUP(A1858,'Sales Order'!A:C,3,FALSE),Employee!A:J,10,FALSE),"Not Specified")</f>
        <v>WA</v>
      </c>
      <c r="J1858" t="str">
        <f>VLOOKUP(B1858,Product!A:B,2,FALSE)</f>
        <v>Product COAXA</v>
      </c>
      <c r="K1858" t="str">
        <f>VLOOKUP(VLOOKUP(B1858,Product!A:D,4,FALSE),Category!A:B,2,FALSE)</f>
        <v>Dairy Product</v>
      </c>
      <c r="L1858" s="24">
        <f>IFERROR(VLOOKUP(A1858,'Sales Order'!A:D,4,FALSE),"")</f>
        <v>39527</v>
      </c>
      <c r="M1858" s="24">
        <f>IFERROR(VLOOKUP(A1858,'Sales Order'!A:F,6,FALSE),"")</f>
        <v>39531</v>
      </c>
      <c r="N1858" t="str">
        <f>IFERROR(VLOOKUP(VLOOKUP(A1858,'Sales Order'!A:G,7,FALSE),Shipper!A:B,2,FALSE),"Not Specified")</f>
        <v>Shipper ETYNR</v>
      </c>
      <c r="O1858" t="str">
        <f>IFERROR(VLOOKUP(A1858,'Sales Order'!A:I,9,FALSE),"Not Specified")</f>
        <v>Ship to 74-B</v>
      </c>
      <c r="P1858" t="str">
        <f>IFERROR(VLOOKUP(A1858,'Sales Order'!A:N,14,FALSE),"Not Specified")</f>
        <v>France</v>
      </c>
      <c r="Q1858" t="str">
        <f>VLOOKUP(VLOOKUP(B1858,Product!A:C,3,FALSE),Supplier!A:B,2,FALSE)</f>
        <v>Supplier NZLIF</v>
      </c>
      <c r="R1858" t="str">
        <f>VLOOKUP(VLOOKUP(B1858,Product!A:C,3,FALSE),Supplier!A:I,9,FALSE)</f>
        <v>Norway</v>
      </c>
      <c r="S1858" t="str">
        <f>IFERROR(IF(VLOOKUP(A1858,'Sales Order'!A:H,8,FALSE)&gt;100,"High Freight","Low Freight"),"Not Specified")</f>
        <v>Low Freight</v>
      </c>
      <c r="T1858">
        <f t="shared" si="57"/>
        <v>360</v>
      </c>
    </row>
    <row r="1859" spans="1:20">
      <c r="A1859" s="9">
        <v>10965</v>
      </c>
      <c r="B1859" s="6">
        <v>51</v>
      </c>
      <c r="C1859" s="6">
        <v>53</v>
      </c>
      <c r="D1859" s="6">
        <v>16</v>
      </c>
      <c r="E1859" s="18">
        <v>0</v>
      </c>
      <c r="F1859" s="6" t="str">
        <f>IFERROR(VLOOKUP(VLOOKUP(A1859,'Sales Order'!A:B,2,FALSE),Customer!A:C,3,FALSE),"Not Specified")</f>
        <v>Egelund-Muller, Anja</v>
      </c>
      <c r="G1859" s="6" t="str">
        <f t="shared" ref="G1859:G1922" si="58">SUBSTITUTE(F1859,",","",1)</f>
        <v>Egelund-Muller Anja</v>
      </c>
      <c r="H1859" s="22" t="str">
        <f>IFERROR(VLOOKUP(VLOOKUP(A1859,'Sales Order'!A:C,3,FALSE),Employee!A:E,5,FALSE)&amp;" "&amp;VLOOKUP(VLOOKUP(A1859,'Sales Order'!A:C,3,FALSE),Employee!A:C,3,FALSE)&amp;" "&amp;VLOOKUP(VLOOKUP(A1859,'Sales Order'!A:C,3,FALSE),Employee!A:B,2,FALSE),"Not Specified")</f>
        <v>Mr. Paul Suurs</v>
      </c>
      <c r="I1859">
        <f>IFERROR(VLOOKUP(VLOOKUP(A1859,'Sales Order'!A:C,3,FALSE),Employee!A:J,10,FALSE),"Not Specified")</f>
        <v>0</v>
      </c>
      <c r="J1859" t="str">
        <f>VLOOKUP(B1859,Product!A:B,2,FALSE)</f>
        <v>Product APITJ</v>
      </c>
      <c r="K1859" t="str">
        <f>VLOOKUP(VLOOKUP(B1859,Product!A:D,4,FALSE),Category!A:B,2,FALSE)</f>
        <v>Produce</v>
      </c>
      <c r="L1859" s="24">
        <f>IFERROR(VLOOKUP(A1859,'Sales Order'!A:D,4,FALSE),"")</f>
        <v>39527</v>
      </c>
      <c r="M1859" s="24">
        <f>IFERROR(VLOOKUP(A1859,'Sales Order'!A:F,6,FALSE),"")</f>
        <v>39537</v>
      </c>
      <c r="N1859" t="str">
        <f>IFERROR(VLOOKUP(VLOOKUP(A1859,'Sales Order'!A:G,7,FALSE),Shipper!A:B,2,FALSE),"Not Specified")</f>
        <v>Shipper ZHISN</v>
      </c>
      <c r="O1859" t="str">
        <f>IFERROR(VLOOKUP(A1859,'Sales Order'!A:I,9,FALSE),"Not Specified")</f>
        <v>Ship to 55-B</v>
      </c>
      <c r="P1859" t="str">
        <f>IFERROR(VLOOKUP(A1859,'Sales Order'!A:N,14,FALSE),"Not Specified")</f>
        <v>USA</v>
      </c>
      <c r="Q1859" t="str">
        <f>VLOOKUP(VLOOKUP(B1859,Product!A:C,3,FALSE),Supplier!A:B,2,FALSE)</f>
        <v>Supplier JNNES</v>
      </c>
      <c r="R1859" t="str">
        <f>VLOOKUP(VLOOKUP(B1859,Product!A:C,3,FALSE),Supplier!A:I,9,FALSE)</f>
        <v>Australia</v>
      </c>
      <c r="S1859" t="str">
        <f>IFERROR(IF(VLOOKUP(A1859,'Sales Order'!A:H,8,FALSE)&gt;100,"High Freight","Low Freight"),"Not Specified")</f>
        <v>High Freight</v>
      </c>
      <c r="T1859">
        <f t="shared" ref="T1859:T1922" si="59">C1859*D1859*(1-E1859)</f>
        <v>848</v>
      </c>
    </row>
    <row r="1860" spans="1:20">
      <c r="A1860" s="9">
        <v>10966</v>
      </c>
      <c r="B1860" s="6">
        <v>37</v>
      </c>
      <c r="C1860" s="6">
        <v>26</v>
      </c>
      <c r="D1860" s="6">
        <v>8</v>
      </c>
      <c r="E1860" s="18">
        <v>0</v>
      </c>
      <c r="F1860" s="6" t="str">
        <f>IFERROR(VLOOKUP(VLOOKUP(A1860,'Sales Order'!A:B,2,FALSE),Customer!A:C,3,FALSE),"Not Specified")</f>
        <v>Jelitto, Jacek</v>
      </c>
      <c r="G1860" s="6" t="str">
        <f t="shared" si="58"/>
        <v>Jelitto Jacek</v>
      </c>
      <c r="H1860" s="22" t="str">
        <f>IFERROR(VLOOKUP(VLOOKUP(A1860,'Sales Order'!A:C,3,FALSE),Employee!A:E,5,FALSE)&amp;" "&amp;VLOOKUP(VLOOKUP(A1860,'Sales Order'!A:C,3,FALSE),Employee!A:C,3,FALSE)&amp;" "&amp;VLOOKUP(VLOOKUP(A1860,'Sales Order'!A:C,3,FALSE),Employee!A:B,2,FALSE),"Not Specified")</f>
        <v>Mrs. Yael Peled</v>
      </c>
      <c r="I1860" t="str">
        <f>IFERROR(VLOOKUP(VLOOKUP(A1860,'Sales Order'!A:C,3,FALSE),Employee!A:J,10,FALSE),"Not Specified")</f>
        <v>WA</v>
      </c>
      <c r="J1860" t="str">
        <f>VLOOKUP(B1860,Product!A:B,2,FALSE)</f>
        <v>Product EVFFA</v>
      </c>
      <c r="K1860" t="str">
        <f>VLOOKUP(VLOOKUP(B1860,Product!A:D,4,FALSE),Category!A:B,2,FALSE)</f>
        <v>Seafood</v>
      </c>
      <c r="L1860" s="24">
        <f>IFERROR(VLOOKUP(A1860,'Sales Order'!A:D,4,FALSE),"")</f>
        <v>39527</v>
      </c>
      <c r="M1860" s="24">
        <f>IFERROR(VLOOKUP(A1860,'Sales Order'!A:F,6,FALSE),"")</f>
        <v>39546</v>
      </c>
      <c r="N1860" t="str">
        <f>IFERROR(VLOOKUP(VLOOKUP(A1860,'Sales Order'!A:G,7,FALSE),Shipper!A:B,2,FALSE),"Not Specified")</f>
        <v>Shipper GVSUA</v>
      </c>
      <c r="O1860" t="str">
        <f>IFERROR(VLOOKUP(A1860,'Sales Order'!A:I,9,FALSE),"Not Specified")</f>
        <v>Destination NRTZZ</v>
      </c>
      <c r="P1860" t="str">
        <f>IFERROR(VLOOKUP(A1860,'Sales Order'!A:N,14,FALSE),"Not Specified")</f>
        <v>Switzerland</v>
      </c>
      <c r="Q1860" t="str">
        <f>VLOOKUP(VLOOKUP(B1860,Product!A:C,3,FALSE),Supplier!A:B,2,FALSE)</f>
        <v>Supplier QZGUF</v>
      </c>
      <c r="R1860" t="str">
        <f>VLOOKUP(VLOOKUP(B1860,Product!A:C,3,FALSE),Supplier!A:I,9,FALSE)</f>
        <v>Sweden</v>
      </c>
      <c r="S1860" t="str">
        <f>IFERROR(IF(VLOOKUP(A1860,'Sales Order'!A:H,8,FALSE)&gt;100,"High Freight","Low Freight"),"Not Specified")</f>
        <v>Low Freight</v>
      </c>
      <c r="T1860">
        <f t="shared" si="59"/>
        <v>208</v>
      </c>
    </row>
    <row r="1861" spans="1:20">
      <c r="A1861" s="9">
        <v>10966</v>
      </c>
      <c r="B1861" s="6">
        <v>56</v>
      </c>
      <c r="C1861" s="6">
        <v>38</v>
      </c>
      <c r="D1861" s="6">
        <v>12</v>
      </c>
      <c r="E1861" s="18">
        <v>0.15</v>
      </c>
      <c r="F1861" s="6" t="str">
        <f>IFERROR(VLOOKUP(VLOOKUP(A1861,'Sales Order'!A:B,2,FALSE),Customer!A:C,3,FALSE),"Not Specified")</f>
        <v>Jelitto, Jacek</v>
      </c>
      <c r="G1861" s="6" t="str">
        <f t="shared" si="58"/>
        <v>Jelitto Jacek</v>
      </c>
      <c r="H1861" s="22" t="str">
        <f>IFERROR(VLOOKUP(VLOOKUP(A1861,'Sales Order'!A:C,3,FALSE),Employee!A:E,5,FALSE)&amp;" "&amp;VLOOKUP(VLOOKUP(A1861,'Sales Order'!A:C,3,FALSE),Employee!A:C,3,FALSE)&amp;" "&amp;VLOOKUP(VLOOKUP(A1861,'Sales Order'!A:C,3,FALSE),Employee!A:B,2,FALSE),"Not Specified")</f>
        <v>Mrs. Yael Peled</v>
      </c>
      <c r="I1861" t="str">
        <f>IFERROR(VLOOKUP(VLOOKUP(A1861,'Sales Order'!A:C,3,FALSE),Employee!A:J,10,FALSE),"Not Specified")</f>
        <v>WA</v>
      </c>
      <c r="J1861" t="str">
        <f>VLOOKUP(B1861,Product!A:B,2,FALSE)</f>
        <v>Product VKCMF</v>
      </c>
      <c r="K1861" t="str">
        <f>VLOOKUP(VLOOKUP(B1861,Product!A:D,4,FALSE),Category!A:B,2,FALSE)</f>
        <v>Grains/Cereals</v>
      </c>
      <c r="L1861" s="24">
        <f>IFERROR(VLOOKUP(A1861,'Sales Order'!A:D,4,FALSE),"")</f>
        <v>39527</v>
      </c>
      <c r="M1861" s="24">
        <f>IFERROR(VLOOKUP(A1861,'Sales Order'!A:F,6,FALSE),"")</f>
        <v>39546</v>
      </c>
      <c r="N1861" t="str">
        <f>IFERROR(VLOOKUP(VLOOKUP(A1861,'Sales Order'!A:G,7,FALSE),Shipper!A:B,2,FALSE),"Not Specified")</f>
        <v>Shipper GVSUA</v>
      </c>
      <c r="O1861" t="str">
        <f>IFERROR(VLOOKUP(A1861,'Sales Order'!A:I,9,FALSE),"Not Specified")</f>
        <v>Destination NRTZZ</v>
      </c>
      <c r="P1861" t="str">
        <f>IFERROR(VLOOKUP(A1861,'Sales Order'!A:N,14,FALSE),"Not Specified")</f>
        <v>Switzerland</v>
      </c>
      <c r="Q1861" t="str">
        <f>VLOOKUP(VLOOKUP(B1861,Product!A:C,3,FALSE),Supplier!A:B,2,FALSE)</f>
        <v>Supplier ZWZDM</v>
      </c>
      <c r="R1861" t="str">
        <f>VLOOKUP(VLOOKUP(B1861,Product!A:C,3,FALSE),Supplier!A:I,9,FALSE)</f>
        <v>Italy</v>
      </c>
      <c r="S1861" t="str">
        <f>IFERROR(IF(VLOOKUP(A1861,'Sales Order'!A:H,8,FALSE)&gt;100,"High Freight","Low Freight"),"Not Specified")</f>
        <v>Low Freight</v>
      </c>
      <c r="T1861">
        <f t="shared" si="59"/>
        <v>387.59999999999997</v>
      </c>
    </row>
    <row r="1862" spans="1:20">
      <c r="A1862" s="9">
        <v>10966</v>
      </c>
      <c r="B1862" s="6">
        <v>62</v>
      </c>
      <c r="C1862" s="6">
        <v>49.3</v>
      </c>
      <c r="D1862" s="6">
        <v>12</v>
      </c>
      <c r="E1862" s="18">
        <v>0.15</v>
      </c>
      <c r="F1862" s="6" t="str">
        <f>IFERROR(VLOOKUP(VLOOKUP(A1862,'Sales Order'!A:B,2,FALSE),Customer!A:C,3,FALSE),"Not Specified")</f>
        <v>Jelitto, Jacek</v>
      </c>
      <c r="G1862" s="6" t="str">
        <f t="shared" si="58"/>
        <v>Jelitto Jacek</v>
      </c>
      <c r="H1862" s="22" t="str">
        <f>IFERROR(VLOOKUP(VLOOKUP(A1862,'Sales Order'!A:C,3,FALSE),Employee!A:E,5,FALSE)&amp;" "&amp;VLOOKUP(VLOOKUP(A1862,'Sales Order'!A:C,3,FALSE),Employee!A:C,3,FALSE)&amp;" "&amp;VLOOKUP(VLOOKUP(A1862,'Sales Order'!A:C,3,FALSE),Employee!A:B,2,FALSE),"Not Specified")</f>
        <v>Mrs. Yael Peled</v>
      </c>
      <c r="I1862" t="str">
        <f>IFERROR(VLOOKUP(VLOOKUP(A1862,'Sales Order'!A:C,3,FALSE),Employee!A:J,10,FALSE),"Not Specified")</f>
        <v>WA</v>
      </c>
      <c r="J1862" t="str">
        <f>VLOOKUP(B1862,Product!A:B,2,FALSE)</f>
        <v>Product WUXYK</v>
      </c>
      <c r="K1862" t="str">
        <f>VLOOKUP(VLOOKUP(B1862,Product!A:D,4,FALSE),Category!A:B,2,FALSE)</f>
        <v>Confections</v>
      </c>
      <c r="L1862" s="24">
        <f>IFERROR(VLOOKUP(A1862,'Sales Order'!A:D,4,FALSE),"")</f>
        <v>39527</v>
      </c>
      <c r="M1862" s="24">
        <f>IFERROR(VLOOKUP(A1862,'Sales Order'!A:F,6,FALSE),"")</f>
        <v>39546</v>
      </c>
      <c r="N1862" t="str">
        <f>IFERROR(VLOOKUP(VLOOKUP(A1862,'Sales Order'!A:G,7,FALSE),Shipper!A:B,2,FALSE),"Not Specified")</f>
        <v>Shipper GVSUA</v>
      </c>
      <c r="O1862" t="str">
        <f>IFERROR(VLOOKUP(A1862,'Sales Order'!A:I,9,FALSE),"Not Specified")</f>
        <v>Destination NRTZZ</v>
      </c>
      <c r="P1862" t="str">
        <f>IFERROR(VLOOKUP(A1862,'Sales Order'!A:N,14,FALSE),"Not Specified")</f>
        <v>Switzerland</v>
      </c>
      <c r="Q1862" t="str">
        <f>VLOOKUP(VLOOKUP(B1862,Product!A:C,3,FALSE),Supplier!A:B,2,FALSE)</f>
        <v>Supplier OGLRK</v>
      </c>
      <c r="R1862" t="str">
        <f>VLOOKUP(VLOOKUP(B1862,Product!A:C,3,FALSE),Supplier!A:I,9,FALSE)</f>
        <v>Canada</v>
      </c>
      <c r="S1862" t="str">
        <f>IFERROR(IF(VLOOKUP(A1862,'Sales Order'!A:H,8,FALSE)&gt;100,"High Freight","Low Freight"),"Not Specified")</f>
        <v>Low Freight</v>
      </c>
      <c r="T1862">
        <f t="shared" si="59"/>
        <v>502.8599999999999</v>
      </c>
    </row>
    <row r="1863" spans="1:20">
      <c r="A1863" s="9">
        <v>10967</v>
      </c>
      <c r="B1863" s="6">
        <v>19</v>
      </c>
      <c r="C1863" s="6">
        <v>9.1999999999999993</v>
      </c>
      <c r="D1863" s="6">
        <v>12</v>
      </c>
      <c r="E1863" s="18">
        <v>0</v>
      </c>
      <c r="F1863" s="6" t="str">
        <f>IFERROR(VLOOKUP(VLOOKUP(A1863,'Sales Order'!A:B,2,FALSE),Customer!A:C,3,FALSE),"Not Specified")</f>
        <v>Wickham, Jim</v>
      </c>
      <c r="G1863" s="6" t="str">
        <f t="shared" si="58"/>
        <v>Wickham Jim</v>
      </c>
      <c r="H1863" s="22" t="str">
        <f>IFERROR(VLOOKUP(VLOOKUP(A1863,'Sales Order'!A:C,3,FALSE),Employee!A:E,5,FALSE)&amp;" "&amp;VLOOKUP(VLOOKUP(A1863,'Sales Order'!A:C,3,FALSE),Employee!A:C,3,FALSE)&amp;" "&amp;VLOOKUP(VLOOKUP(A1863,'Sales Order'!A:C,3,FALSE),Employee!A:B,2,FALSE),"Not Specified")</f>
        <v>Dr. Don Funk</v>
      </c>
      <c r="I1863" t="str">
        <f>IFERROR(VLOOKUP(VLOOKUP(A1863,'Sales Order'!A:C,3,FALSE),Employee!A:J,10,FALSE),"Not Specified")</f>
        <v>WA</v>
      </c>
      <c r="J1863" t="str">
        <f>VLOOKUP(B1863,Product!A:B,2,FALSE)</f>
        <v>Product XKXDO</v>
      </c>
      <c r="K1863" t="str">
        <f>VLOOKUP(VLOOKUP(B1863,Product!A:D,4,FALSE),Category!A:B,2,FALSE)</f>
        <v>Confections</v>
      </c>
      <c r="L1863" s="24">
        <f>IFERROR(VLOOKUP(A1863,'Sales Order'!A:D,4,FALSE),"")</f>
        <v>39530</v>
      </c>
      <c r="M1863" s="24">
        <f>IFERROR(VLOOKUP(A1863,'Sales Order'!A:F,6,FALSE),"")</f>
        <v>39540</v>
      </c>
      <c r="N1863" t="str">
        <f>IFERROR(VLOOKUP(VLOOKUP(A1863,'Sales Order'!A:G,7,FALSE),Shipper!A:B,2,FALSE),"Not Specified")</f>
        <v>Shipper ETYNR</v>
      </c>
      <c r="O1863" t="str">
        <f>IFERROR(VLOOKUP(A1863,'Sales Order'!A:I,9,FALSE),"Not Specified")</f>
        <v>Ship to 79-B</v>
      </c>
      <c r="P1863" t="str">
        <f>IFERROR(VLOOKUP(A1863,'Sales Order'!A:N,14,FALSE),"Not Specified")</f>
        <v>Germany</v>
      </c>
      <c r="Q1863" t="str">
        <f>VLOOKUP(VLOOKUP(B1863,Product!A:C,3,FALSE),Supplier!A:B,2,FALSE)</f>
        <v>Supplier BWGYE</v>
      </c>
      <c r="R1863" t="str">
        <f>VLOOKUP(VLOOKUP(B1863,Product!A:C,3,FALSE),Supplier!A:I,9,FALSE)</f>
        <v>UK</v>
      </c>
      <c r="S1863" t="str">
        <f>IFERROR(IF(VLOOKUP(A1863,'Sales Order'!A:H,8,FALSE)&gt;100,"High Freight","Low Freight"),"Not Specified")</f>
        <v>Low Freight</v>
      </c>
      <c r="T1863">
        <f t="shared" si="59"/>
        <v>110.39999999999999</v>
      </c>
    </row>
    <row r="1864" spans="1:20">
      <c r="A1864" s="9">
        <v>10967</v>
      </c>
      <c r="B1864" s="6">
        <v>49</v>
      </c>
      <c r="C1864" s="6">
        <v>20</v>
      </c>
      <c r="D1864" s="6">
        <v>40</v>
      </c>
      <c r="E1864" s="18">
        <v>0</v>
      </c>
      <c r="F1864" s="6" t="str">
        <f>IFERROR(VLOOKUP(VLOOKUP(A1864,'Sales Order'!A:B,2,FALSE),Customer!A:C,3,FALSE),"Not Specified")</f>
        <v>Wickham, Jim</v>
      </c>
      <c r="G1864" s="6" t="str">
        <f t="shared" si="58"/>
        <v>Wickham Jim</v>
      </c>
      <c r="H1864" s="22" t="str">
        <f>IFERROR(VLOOKUP(VLOOKUP(A1864,'Sales Order'!A:C,3,FALSE),Employee!A:E,5,FALSE)&amp;" "&amp;VLOOKUP(VLOOKUP(A1864,'Sales Order'!A:C,3,FALSE),Employee!A:C,3,FALSE)&amp;" "&amp;VLOOKUP(VLOOKUP(A1864,'Sales Order'!A:C,3,FALSE),Employee!A:B,2,FALSE),"Not Specified")</f>
        <v>Dr. Don Funk</v>
      </c>
      <c r="I1864" t="str">
        <f>IFERROR(VLOOKUP(VLOOKUP(A1864,'Sales Order'!A:C,3,FALSE),Employee!A:J,10,FALSE),"Not Specified")</f>
        <v>WA</v>
      </c>
      <c r="J1864" t="str">
        <f>VLOOKUP(B1864,Product!A:B,2,FALSE)</f>
        <v>Product FPYPN</v>
      </c>
      <c r="K1864" t="str">
        <f>VLOOKUP(VLOOKUP(B1864,Product!A:D,4,FALSE),Category!A:B,2,FALSE)</f>
        <v>Confections</v>
      </c>
      <c r="L1864" s="24">
        <f>IFERROR(VLOOKUP(A1864,'Sales Order'!A:D,4,FALSE),"")</f>
        <v>39530</v>
      </c>
      <c r="M1864" s="24">
        <f>IFERROR(VLOOKUP(A1864,'Sales Order'!A:F,6,FALSE),"")</f>
        <v>39540</v>
      </c>
      <c r="N1864" t="str">
        <f>IFERROR(VLOOKUP(VLOOKUP(A1864,'Sales Order'!A:G,7,FALSE),Shipper!A:B,2,FALSE),"Not Specified")</f>
        <v>Shipper ETYNR</v>
      </c>
      <c r="O1864" t="str">
        <f>IFERROR(VLOOKUP(A1864,'Sales Order'!A:I,9,FALSE),"Not Specified")</f>
        <v>Ship to 79-B</v>
      </c>
      <c r="P1864" t="str">
        <f>IFERROR(VLOOKUP(A1864,'Sales Order'!A:N,14,FALSE),"Not Specified")</f>
        <v>Germany</v>
      </c>
      <c r="Q1864" t="str">
        <f>VLOOKUP(VLOOKUP(B1864,Product!A:C,3,FALSE),Supplier!A:B,2,FALSE)</f>
        <v>Supplier ELCRN</v>
      </c>
      <c r="R1864" t="str">
        <f>VLOOKUP(VLOOKUP(B1864,Product!A:C,3,FALSE),Supplier!A:I,9,FALSE)</f>
        <v>Finland</v>
      </c>
      <c r="S1864" t="str">
        <f>IFERROR(IF(VLOOKUP(A1864,'Sales Order'!A:H,8,FALSE)&gt;100,"High Freight","Low Freight"),"Not Specified")</f>
        <v>Low Freight</v>
      </c>
      <c r="T1864">
        <f t="shared" si="59"/>
        <v>800</v>
      </c>
    </row>
    <row r="1865" spans="1:20">
      <c r="A1865" s="9">
        <v>10968</v>
      </c>
      <c r="B1865" s="6">
        <v>12</v>
      </c>
      <c r="C1865" s="6">
        <v>38</v>
      </c>
      <c r="D1865" s="6">
        <v>30</v>
      </c>
      <c r="E1865" s="18">
        <v>0</v>
      </c>
      <c r="F1865" s="6" t="str">
        <f>IFERROR(VLOOKUP(VLOOKUP(A1865,'Sales Order'!A:B,2,FALSE),Customer!A:C,3,FALSE),"Not Specified")</f>
        <v>Kane, John</v>
      </c>
      <c r="G1865" s="6" t="str">
        <f t="shared" si="58"/>
        <v>Kane John</v>
      </c>
      <c r="H1865" s="22" t="str">
        <f>IFERROR(VLOOKUP(VLOOKUP(A1865,'Sales Order'!A:C,3,FALSE),Employee!A:E,5,FALSE)&amp;" "&amp;VLOOKUP(VLOOKUP(A1865,'Sales Order'!A:C,3,FALSE),Employee!A:C,3,FALSE)&amp;" "&amp;VLOOKUP(VLOOKUP(A1865,'Sales Order'!A:C,3,FALSE),Employee!A:B,2,FALSE),"Not Specified")</f>
        <v>Ms. Sara Davis</v>
      </c>
      <c r="I1865" t="str">
        <f>IFERROR(VLOOKUP(VLOOKUP(A1865,'Sales Order'!A:C,3,FALSE),Employee!A:J,10,FALSE),"Not Specified")</f>
        <v>WA</v>
      </c>
      <c r="J1865" t="str">
        <f>VLOOKUP(B1865,Product!A:B,2,FALSE)</f>
        <v>Product OSFNS</v>
      </c>
      <c r="K1865" t="str">
        <f>VLOOKUP(VLOOKUP(B1865,Product!A:D,4,FALSE),Category!A:B,2,FALSE)</f>
        <v>Dairy Product</v>
      </c>
      <c r="L1865" s="24">
        <f>IFERROR(VLOOKUP(A1865,'Sales Order'!A:D,4,FALSE),"")</f>
        <v>39530</v>
      </c>
      <c r="M1865" s="24">
        <f>IFERROR(VLOOKUP(A1865,'Sales Order'!A:F,6,FALSE),"")</f>
        <v>39539</v>
      </c>
      <c r="N1865" t="str">
        <f>IFERROR(VLOOKUP(VLOOKUP(A1865,'Sales Order'!A:G,7,FALSE),Shipper!A:B,2,FALSE),"Not Specified")</f>
        <v>Shipper ZHISN</v>
      </c>
      <c r="O1865" t="str">
        <f>IFERROR(VLOOKUP(A1865,'Sales Order'!A:I,9,FALSE),"Not Specified")</f>
        <v>Destination CUVPF</v>
      </c>
      <c r="P1865" t="str">
        <f>IFERROR(VLOOKUP(A1865,'Sales Order'!A:N,14,FALSE),"Not Specified")</f>
        <v>Austria</v>
      </c>
      <c r="Q1865" t="str">
        <f>VLOOKUP(VLOOKUP(B1865,Product!A:C,3,FALSE),Supplier!A:B,2,FALSE)</f>
        <v>Supplier EQPNC</v>
      </c>
      <c r="R1865" t="str">
        <f>VLOOKUP(VLOOKUP(B1865,Product!A:C,3,FALSE),Supplier!A:I,9,FALSE)</f>
        <v>Spain</v>
      </c>
      <c r="S1865" t="str">
        <f>IFERROR(IF(VLOOKUP(A1865,'Sales Order'!A:H,8,FALSE)&gt;100,"High Freight","Low Freight"),"Not Specified")</f>
        <v>Low Freight</v>
      </c>
      <c r="T1865">
        <f t="shared" si="59"/>
        <v>1140</v>
      </c>
    </row>
    <row r="1866" spans="1:20">
      <c r="A1866" s="9">
        <v>10968</v>
      </c>
      <c r="B1866" s="6">
        <v>24</v>
      </c>
      <c r="C1866" s="6">
        <v>4.5</v>
      </c>
      <c r="D1866" s="6">
        <v>30</v>
      </c>
      <c r="E1866" s="18">
        <v>0</v>
      </c>
      <c r="F1866" s="6" t="str">
        <f>IFERROR(VLOOKUP(VLOOKUP(A1866,'Sales Order'!A:B,2,FALSE),Customer!A:C,3,FALSE),"Not Specified")</f>
        <v>Kane, John</v>
      </c>
      <c r="G1866" s="6" t="str">
        <f t="shared" si="58"/>
        <v>Kane John</v>
      </c>
      <c r="H1866" s="22" t="str">
        <f>IFERROR(VLOOKUP(VLOOKUP(A1866,'Sales Order'!A:C,3,FALSE),Employee!A:E,5,FALSE)&amp;" "&amp;VLOOKUP(VLOOKUP(A1866,'Sales Order'!A:C,3,FALSE),Employee!A:C,3,FALSE)&amp;" "&amp;VLOOKUP(VLOOKUP(A1866,'Sales Order'!A:C,3,FALSE),Employee!A:B,2,FALSE),"Not Specified")</f>
        <v>Ms. Sara Davis</v>
      </c>
      <c r="I1866" t="str">
        <f>IFERROR(VLOOKUP(VLOOKUP(A1866,'Sales Order'!A:C,3,FALSE),Employee!A:J,10,FALSE),"Not Specified")</f>
        <v>WA</v>
      </c>
      <c r="J1866" t="str">
        <f>VLOOKUP(B1866,Product!A:B,2,FALSE)</f>
        <v>Product QOGNU</v>
      </c>
      <c r="K1866" t="str">
        <f>VLOOKUP(VLOOKUP(B1866,Product!A:D,4,FALSE),Category!A:B,2,FALSE)</f>
        <v>Beverages</v>
      </c>
      <c r="L1866" s="24">
        <f>IFERROR(VLOOKUP(A1866,'Sales Order'!A:D,4,FALSE),"")</f>
        <v>39530</v>
      </c>
      <c r="M1866" s="24">
        <f>IFERROR(VLOOKUP(A1866,'Sales Order'!A:F,6,FALSE),"")</f>
        <v>39539</v>
      </c>
      <c r="N1866" t="str">
        <f>IFERROR(VLOOKUP(VLOOKUP(A1866,'Sales Order'!A:G,7,FALSE),Shipper!A:B,2,FALSE),"Not Specified")</f>
        <v>Shipper ZHISN</v>
      </c>
      <c r="O1866" t="str">
        <f>IFERROR(VLOOKUP(A1866,'Sales Order'!A:I,9,FALSE),"Not Specified")</f>
        <v>Destination CUVPF</v>
      </c>
      <c r="P1866" t="str">
        <f>IFERROR(VLOOKUP(A1866,'Sales Order'!A:N,14,FALSE),"Not Specified")</f>
        <v>Austria</v>
      </c>
      <c r="Q1866" t="str">
        <f>VLOOKUP(VLOOKUP(B1866,Product!A:C,3,FALSE),Supplier!A:B,2,FALSE)</f>
        <v>Supplier UNAHG</v>
      </c>
      <c r="R1866" t="str">
        <f>VLOOKUP(VLOOKUP(B1866,Product!A:C,3,FALSE),Supplier!A:I,9,FALSE)</f>
        <v>Brazil</v>
      </c>
      <c r="S1866" t="str">
        <f>IFERROR(IF(VLOOKUP(A1866,'Sales Order'!A:H,8,FALSE)&gt;100,"High Freight","Low Freight"),"Not Specified")</f>
        <v>Low Freight</v>
      </c>
      <c r="T1866">
        <f t="shared" si="59"/>
        <v>135</v>
      </c>
    </row>
    <row r="1867" spans="1:20">
      <c r="A1867" s="9">
        <v>10968</v>
      </c>
      <c r="B1867" s="6">
        <v>64</v>
      </c>
      <c r="C1867" s="6">
        <v>33.25</v>
      </c>
      <c r="D1867" s="6">
        <v>4</v>
      </c>
      <c r="E1867" s="18">
        <v>0</v>
      </c>
      <c r="F1867" s="6" t="str">
        <f>IFERROR(VLOOKUP(VLOOKUP(A1867,'Sales Order'!A:B,2,FALSE),Customer!A:C,3,FALSE),"Not Specified")</f>
        <v>Kane, John</v>
      </c>
      <c r="G1867" s="6" t="str">
        <f t="shared" si="58"/>
        <v>Kane John</v>
      </c>
      <c r="H1867" s="22" t="str">
        <f>IFERROR(VLOOKUP(VLOOKUP(A1867,'Sales Order'!A:C,3,FALSE),Employee!A:E,5,FALSE)&amp;" "&amp;VLOOKUP(VLOOKUP(A1867,'Sales Order'!A:C,3,FALSE),Employee!A:C,3,FALSE)&amp;" "&amp;VLOOKUP(VLOOKUP(A1867,'Sales Order'!A:C,3,FALSE),Employee!A:B,2,FALSE),"Not Specified")</f>
        <v>Ms. Sara Davis</v>
      </c>
      <c r="I1867" t="str">
        <f>IFERROR(VLOOKUP(VLOOKUP(A1867,'Sales Order'!A:C,3,FALSE),Employee!A:J,10,FALSE),"Not Specified")</f>
        <v>WA</v>
      </c>
      <c r="J1867" t="str">
        <f>VLOOKUP(B1867,Product!A:B,2,FALSE)</f>
        <v>Product HCQDE</v>
      </c>
      <c r="K1867" t="str">
        <f>VLOOKUP(VLOOKUP(B1867,Product!A:D,4,FALSE),Category!A:B,2,FALSE)</f>
        <v>Grains/Cereals</v>
      </c>
      <c r="L1867" s="24">
        <f>IFERROR(VLOOKUP(A1867,'Sales Order'!A:D,4,FALSE),"")</f>
        <v>39530</v>
      </c>
      <c r="M1867" s="24">
        <f>IFERROR(VLOOKUP(A1867,'Sales Order'!A:F,6,FALSE),"")</f>
        <v>39539</v>
      </c>
      <c r="N1867" t="str">
        <f>IFERROR(VLOOKUP(VLOOKUP(A1867,'Sales Order'!A:G,7,FALSE),Shipper!A:B,2,FALSE),"Not Specified")</f>
        <v>Shipper ZHISN</v>
      </c>
      <c r="O1867" t="str">
        <f>IFERROR(VLOOKUP(A1867,'Sales Order'!A:I,9,FALSE),"Not Specified")</f>
        <v>Destination CUVPF</v>
      </c>
      <c r="P1867" t="str">
        <f>IFERROR(VLOOKUP(A1867,'Sales Order'!A:N,14,FALSE),"Not Specified")</f>
        <v>Austria</v>
      </c>
      <c r="Q1867" t="str">
        <f>VLOOKUP(VLOOKUP(B1867,Product!A:C,3,FALSE),Supplier!A:B,2,FALSE)</f>
        <v>Supplier SVIYA</v>
      </c>
      <c r="R1867" t="str">
        <f>VLOOKUP(VLOOKUP(B1867,Product!A:C,3,FALSE),Supplier!A:I,9,FALSE)</f>
        <v>Germany</v>
      </c>
      <c r="S1867" t="str">
        <f>IFERROR(IF(VLOOKUP(A1867,'Sales Order'!A:H,8,FALSE)&gt;100,"High Freight","Low Freight"),"Not Specified")</f>
        <v>Low Freight</v>
      </c>
      <c r="T1867">
        <f t="shared" si="59"/>
        <v>133</v>
      </c>
    </row>
    <row r="1868" spans="1:20">
      <c r="A1868" s="9">
        <v>10969</v>
      </c>
      <c r="B1868" s="6">
        <v>46</v>
      </c>
      <c r="C1868" s="6">
        <v>12</v>
      </c>
      <c r="D1868" s="6">
        <v>9</v>
      </c>
      <c r="E1868" s="18">
        <v>0</v>
      </c>
      <c r="F1868" s="6" t="str">
        <f>IFERROR(VLOOKUP(VLOOKUP(A1868,'Sales Order'!A:B,2,FALSE),Customer!A:C,3,FALSE),"Not Specified")</f>
        <v>Richardson, Shawn</v>
      </c>
      <c r="G1868" s="6" t="str">
        <f t="shared" si="58"/>
        <v>Richardson Shawn</v>
      </c>
      <c r="H1868" s="22" t="str">
        <f>IFERROR(VLOOKUP(VLOOKUP(A1868,'Sales Order'!A:C,3,FALSE),Employee!A:E,5,FALSE)&amp;" "&amp;VLOOKUP(VLOOKUP(A1868,'Sales Order'!A:C,3,FALSE),Employee!A:C,3,FALSE)&amp;" "&amp;VLOOKUP(VLOOKUP(A1868,'Sales Order'!A:C,3,FALSE),Employee!A:B,2,FALSE),"Not Specified")</f>
        <v>Ms. Sara Davis</v>
      </c>
      <c r="I1868" t="str">
        <f>IFERROR(VLOOKUP(VLOOKUP(A1868,'Sales Order'!A:C,3,FALSE),Employee!A:J,10,FALSE),"Not Specified")</f>
        <v>WA</v>
      </c>
      <c r="J1868" t="str">
        <f>VLOOKUP(B1868,Product!A:B,2,FALSE)</f>
        <v>Product CBRRL</v>
      </c>
      <c r="K1868" t="str">
        <f>VLOOKUP(VLOOKUP(B1868,Product!A:D,4,FALSE),Category!A:B,2,FALSE)</f>
        <v>Seafood</v>
      </c>
      <c r="L1868" s="24">
        <f>IFERROR(VLOOKUP(A1868,'Sales Order'!A:D,4,FALSE),"")</f>
        <v>39530</v>
      </c>
      <c r="M1868" s="24">
        <f>IFERROR(VLOOKUP(A1868,'Sales Order'!A:F,6,FALSE),"")</f>
        <v>39537</v>
      </c>
      <c r="N1868" t="str">
        <f>IFERROR(VLOOKUP(VLOOKUP(A1868,'Sales Order'!A:G,7,FALSE),Shipper!A:B,2,FALSE),"Not Specified")</f>
        <v>Shipper ETYNR</v>
      </c>
      <c r="O1868" t="str">
        <f>IFERROR(VLOOKUP(A1868,'Sales Order'!A:I,9,FALSE),"Not Specified")</f>
        <v>Destination EVHYA</v>
      </c>
      <c r="P1868" t="str">
        <f>IFERROR(VLOOKUP(A1868,'Sales Order'!A:N,14,FALSE),"Not Specified")</f>
        <v>Brazil</v>
      </c>
      <c r="Q1868" t="str">
        <f>VLOOKUP(VLOOKUP(B1868,Product!A:C,3,FALSE),Supplier!A:B,2,FALSE)</f>
        <v>Supplier XOXZA</v>
      </c>
      <c r="R1868" t="str">
        <f>VLOOKUP(VLOOKUP(B1868,Product!A:C,3,FALSE),Supplier!A:I,9,FALSE)</f>
        <v>Denmark</v>
      </c>
      <c r="S1868" t="str">
        <f>IFERROR(IF(VLOOKUP(A1868,'Sales Order'!A:H,8,FALSE)&gt;100,"High Freight","Low Freight"),"Not Specified")</f>
        <v>Low Freight</v>
      </c>
      <c r="T1868">
        <f t="shared" si="59"/>
        <v>108</v>
      </c>
    </row>
    <row r="1869" spans="1:20">
      <c r="A1869" s="9">
        <v>10970</v>
      </c>
      <c r="B1869" s="6">
        <v>52</v>
      </c>
      <c r="C1869" s="6">
        <v>7</v>
      </c>
      <c r="D1869" s="6">
        <v>40</v>
      </c>
      <c r="E1869" s="18">
        <v>0.2</v>
      </c>
      <c r="F1869" s="6" t="str">
        <f>IFERROR(VLOOKUP(VLOOKUP(A1869,'Sales Order'!A:B,2,FALSE),Customer!A:C,3,FALSE),"Not Specified")</f>
        <v>Ilyina, Julia</v>
      </c>
      <c r="G1869" s="6" t="str">
        <f t="shared" si="58"/>
        <v>Ilyina Julia</v>
      </c>
      <c r="H1869" s="22" t="str">
        <f>IFERROR(VLOOKUP(VLOOKUP(A1869,'Sales Order'!A:C,3,FALSE),Employee!A:E,5,FALSE)&amp;" "&amp;VLOOKUP(VLOOKUP(A1869,'Sales Order'!A:C,3,FALSE),Employee!A:C,3,FALSE)&amp;" "&amp;VLOOKUP(VLOOKUP(A1869,'Sales Order'!A:C,3,FALSE),Employee!A:B,2,FALSE),"Not Specified")</f>
        <v>Ms. Zoya Dolgopyatova</v>
      </c>
      <c r="I1869">
        <f>IFERROR(VLOOKUP(VLOOKUP(A1869,'Sales Order'!A:C,3,FALSE),Employee!A:J,10,FALSE),"Not Specified")</f>
        <v>0</v>
      </c>
      <c r="J1869" t="str">
        <f>VLOOKUP(B1869,Product!A:B,2,FALSE)</f>
        <v>Product QSRXF</v>
      </c>
      <c r="K1869" t="str">
        <f>VLOOKUP(VLOOKUP(B1869,Product!A:D,4,FALSE),Category!A:B,2,FALSE)</f>
        <v>Grains/Cereals</v>
      </c>
      <c r="L1869" s="24">
        <f>IFERROR(VLOOKUP(A1869,'Sales Order'!A:D,4,FALSE),"")</f>
        <v>39531</v>
      </c>
      <c r="M1869" s="24">
        <f>IFERROR(VLOOKUP(A1869,'Sales Order'!A:F,6,FALSE),"")</f>
        <v>39562</v>
      </c>
      <c r="N1869" t="str">
        <f>IFERROR(VLOOKUP(VLOOKUP(A1869,'Sales Order'!A:G,7,FALSE),Shipper!A:B,2,FALSE),"Not Specified")</f>
        <v>Shipper GVSUA</v>
      </c>
      <c r="O1869" t="str">
        <f>IFERROR(VLOOKUP(A1869,'Sales Order'!A:I,9,FALSE),"Not Specified")</f>
        <v>Ship to 8-C</v>
      </c>
      <c r="P1869" t="str">
        <f>IFERROR(VLOOKUP(A1869,'Sales Order'!A:N,14,FALSE),"Not Specified")</f>
        <v>Spain</v>
      </c>
      <c r="Q1869" t="str">
        <f>VLOOKUP(VLOOKUP(B1869,Product!A:C,3,FALSE),Supplier!A:B,2,FALSE)</f>
        <v>Supplier JNNES</v>
      </c>
      <c r="R1869" t="str">
        <f>VLOOKUP(VLOOKUP(B1869,Product!A:C,3,FALSE),Supplier!A:I,9,FALSE)</f>
        <v>Australia</v>
      </c>
      <c r="S1869" t="str">
        <f>IFERROR(IF(VLOOKUP(A1869,'Sales Order'!A:H,8,FALSE)&gt;100,"High Freight","Low Freight"),"Not Specified")</f>
        <v>Low Freight</v>
      </c>
      <c r="T1869">
        <f t="shared" si="59"/>
        <v>224</v>
      </c>
    </row>
    <row r="1870" spans="1:20">
      <c r="A1870" s="9">
        <v>10971</v>
      </c>
      <c r="B1870" s="6">
        <v>29</v>
      </c>
      <c r="C1870" s="6">
        <v>123.79</v>
      </c>
      <c r="D1870" s="6">
        <v>14</v>
      </c>
      <c r="E1870" s="18">
        <v>0</v>
      </c>
      <c r="F1870" s="6" t="str">
        <f>IFERROR(VLOOKUP(VLOOKUP(A1870,'Sales Order'!A:B,2,FALSE),Customer!A:C,3,FALSE),"Not Specified")</f>
        <v>Koch, Paul</v>
      </c>
      <c r="G1870" s="6" t="str">
        <f t="shared" si="58"/>
        <v>Koch Paul</v>
      </c>
      <c r="H1870" s="22" t="str">
        <f>IFERROR(VLOOKUP(VLOOKUP(A1870,'Sales Order'!A:C,3,FALSE),Employee!A:E,5,FALSE)&amp;" "&amp;VLOOKUP(VLOOKUP(A1870,'Sales Order'!A:C,3,FALSE),Employee!A:C,3,FALSE)&amp;" "&amp;VLOOKUP(VLOOKUP(A1870,'Sales Order'!A:C,3,FALSE),Employee!A:B,2,FALSE),"Not Specified")</f>
        <v>Dr. Don Funk</v>
      </c>
      <c r="I1870" t="str">
        <f>IFERROR(VLOOKUP(VLOOKUP(A1870,'Sales Order'!A:C,3,FALSE),Employee!A:J,10,FALSE),"Not Specified")</f>
        <v>WA</v>
      </c>
      <c r="J1870" t="str">
        <f>VLOOKUP(B1870,Product!A:B,2,FALSE)</f>
        <v>Product VJXYN</v>
      </c>
      <c r="K1870" t="str">
        <f>VLOOKUP(VLOOKUP(B1870,Product!A:D,4,FALSE),Category!A:B,2,FALSE)</f>
        <v>Meat/Poultry</v>
      </c>
      <c r="L1870" s="24">
        <f>IFERROR(VLOOKUP(A1870,'Sales Order'!A:D,4,FALSE),"")</f>
        <v>39531</v>
      </c>
      <c r="M1870" s="24">
        <f>IFERROR(VLOOKUP(A1870,'Sales Order'!A:F,6,FALSE),"")</f>
        <v>39540</v>
      </c>
      <c r="N1870" t="str">
        <f>IFERROR(VLOOKUP(VLOOKUP(A1870,'Sales Order'!A:G,7,FALSE),Shipper!A:B,2,FALSE),"Not Specified")</f>
        <v>Shipper ETYNR</v>
      </c>
      <c r="O1870" t="str">
        <f>IFERROR(VLOOKUP(A1870,'Sales Order'!A:I,9,FALSE),"Not Specified")</f>
        <v>Destination XBVKN</v>
      </c>
      <c r="P1870" t="str">
        <f>IFERROR(VLOOKUP(A1870,'Sales Order'!A:N,14,FALSE),"Not Specified")</f>
        <v>France</v>
      </c>
      <c r="Q1870" t="str">
        <f>VLOOKUP(VLOOKUP(B1870,Product!A:C,3,FALSE),Supplier!A:B,2,FALSE)</f>
        <v>Supplier SVIYA</v>
      </c>
      <c r="R1870" t="str">
        <f>VLOOKUP(VLOOKUP(B1870,Product!A:C,3,FALSE),Supplier!A:I,9,FALSE)</f>
        <v>Germany</v>
      </c>
      <c r="S1870" t="str">
        <f>IFERROR(IF(VLOOKUP(A1870,'Sales Order'!A:H,8,FALSE)&gt;100,"High Freight","Low Freight"),"Not Specified")</f>
        <v>High Freight</v>
      </c>
      <c r="T1870">
        <f t="shared" si="59"/>
        <v>1733.0600000000002</v>
      </c>
    </row>
    <row r="1871" spans="1:20">
      <c r="A1871" s="9">
        <v>10972</v>
      </c>
      <c r="B1871" s="6">
        <v>17</v>
      </c>
      <c r="C1871" s="6">
        <v>39</v>
      </c>
      <c r="D1871" s="6">
        <v>6</v>
      </c>
      <c r="E1871" s="18">
        <v>0</v>
      </c>
      <c r="F1871" s="6" t="str">
        <f>IFERROR(VLOOKUP(VLOOKUP(A1871,'Sales Order'!A:B,2,FALSE),Customer!A:C,3,FALSE),"Not Specified")</f>
        <v>De Oliveira, Jose</v>
      </c>
      <c r="G1871" s="6" t="str">
        <f t="shared" si="58"/>
        <v>De Oliveira Jose</v>
      </c>
      <c r="H1871" s="22" t="str">
        <f>IFERROR(VLOOKUP(VLOOKUP(A1871,'Sales Order'!A:C,3,FALSE),Employee!A:E,5,FALSE)&amp;" "&amp;VLOOKUP(VLOOKUP(A1871,'Sales Order'!A:C,3,FALSE),Employee!A:C,3,FALSE)&amp;" "&amp;VLOOKUP(VLOOKUP(A1871,'Sales Order'!A:C,3,FALSE),Employee!A:B,2,FALSE),"Not Specified")</f>
        <v>Mrs. Yael Peled</v>
      </c>
      <c r="I1871" t="str">
        <f>IFERROR(VLOOKUP(VLOOKUP(A1871,'Sales Order'!A:C,3,FALSE),Employee!A:J,10,FALSE),"Not Specified")</f>
        <v>WA</v>
      </c>
      <c r="J1871" t="str">
        <f>VLOOKUP(B1871,Product!A:B,2,FALSE)</f>
        <v>Product BLCAX</v>
      </c>
      <c r="K1871" t="str">
        <f>VLOOKUP(VLOOKUP(B1871,Product!A:D,4,FALSE),Category!A:B,2,FALSE)</f>
        <v>Meat/Poultry</v>
      </c>
      <c r="L1871" s="24">
        <f>IFERROR(VLOOKUP(A1871,'Sales Order'!A:D,4,FALSE),"")</f>
        <v>39531</v>
      </c>
      <c r="M1871" s="24">
        <f>IFERROR(VLOOKUP(A1871,'Sales Order'!A:F,6,FALSE),"")</f>
        <v>39533</v>
      </c>
      <c r="N1871" t="str">
        <f>IFERROR(VLOOKUP(VLOOKUP(A1871,'Sales Order'!A:G,7,FALSE),Shipper!A:B,2,FALSE),"Not Specified")</f>
        <v>Shipper ETYNR</v>
      </c>
      <c r="O1871" t="str">
        <f>IFERROR(VLOOKUP(A1871,'Sales Order'!A:I,9,FALSE),"Not Specified")</f>
        <v>Destination MVTWX</v>
      </c>
      <c r="P1871" t="str">
        <f>IFERROR(VLOOKUP(A1871,'Sales Order'!A:N,14,FALSE),"Not Specified")</f>
        <v>France</v>
      </c>
      <c r="Q1871" t="str">
        <f>VLOOKUP(VLOOKUP(B1871,Product!A:C,3,FALSE),Supplier!A:B,2,FALSE)</f>
        <v>Supplier GQRCV</v>
      </c>
      <c r="R1871" t="str">
        <f>VLOOKUP(VLOOKUP(B1871,Product!A:C,3,FALSE),Supplier!A:I,9,FALSE)</f>
        <v>Australia</v>
      </c>
      <c r="S1871" t="str">
        <f>IFERROR(IF(VLOOKUP(A1871,'Sales Order'!A:H,8,FALSE)&gt;100,"High Freight","Low Freight"),"Not Specified")</f>
        <v>Low Freight</v>
      </c>
      <c r="T1871">
        <f t="shared" si="59"/>
        <v>234</v>
      </c>
    </row>
    <row r="1872" spans="1:20">
      <c r="A1872" s="9">
        <v>10972</v>
      </c>
      <c r="B1872" s="6">
        <v>33</v>
      </c>
      <c r="C1872" s="6">
        <v>2.5</v>
      </c>
      <c r="D1872" s="6">
        <v>7</v>
      </c>
      <c r="E1872" s="18">
        <v>0</v>
      </c>
      <c r="F1872" s="6" t="str">
        <f>IFERROR(VLOOKUP(VLOOKUP(A1872,'Sales Order'!A:B,2,FALSE),Customer!A:C,3,FALSE),"Not Specified")</f>
        <v>De Oliveira, Jose</v>
      </c>
      <c r="G1872" s="6" t="str">
        <f t="shared" si="58"/>
        <v>De Oliveira Jose</v>
      </c>
      <c r="H1872" s="22" t="str">
        <f>IFERROR(VLOOKUP(VLOOKUP(A1872,'Sales Order'!A:C,3,FALSE),Employee!A:E,5,FALSE)&amp;" "&amp;VLOOKUP(VLOOKUP(A1872,'Sales Order'!A:C,3,FALSE),Employee!A:C,3,FALSE)&amp;" "&amp;VLOOKUP(VLOOKUP(A1872,'Sales Order'!A:C,3,FALSE),Employee!A:B,2,FALSE),"Not Specified")</f>
        <v>Mrs. Yael Peled</v>
      </c>
      <c r="I1872" t="str">
        <f>IFERROR(VLOOKUP(VLOOKUP(A1872,'Sales Order'!A:C,3,FALSE),Employee!A:J,10,FALSE),"Not Specified")</f>
        <v>WA</v>
      </c>
      <c r="J1872" t="str">
        <f>VLOOKUP(B1872,Product!A:B,2,FALSE)</f>
        <v>Product ASTMN</v>
      </c>
      <c r="K1872" t="str">
        <f>VLOOKUP(VLOOKUP(B1872,Product!A:D,4,FALSE),Category!A:B,2,FALSE)</f>
        <v>Dairy Product</v>
      </c>
      <c r="L1872" s="24">
        <f>IFERROR(VLOOKUP(A1872,'Sales Order'!A:D,4,FALSE),"")</f>
        <v>39531</v>
      </c>
      <c r="M1872" s="24">
        <f>IFERROR(VLOOKUP(A1872,'Sales Order'!A:F,6,FALSE),"")</f>
        <v>39533</v>
      </c>
      <c r="N1872" t="str">
        <f>IFERROR(VLOOKUP(VLOOKUP(A1872,'Sales Order'!A:G,7,FALSE),Shipper!A:B,2,FALSE),"Not Specified")</f>
        <v>Shipper ETYNR</v>
      </c>
      <c r="O1872" t="str">
        <f>IFERROR(VLOOKUP(A1872,'Sales Order'!A:I,9,FALSE),"Not Specified")</f>
        <v>Destination MVTWX</v>
      </c>
      <c r="P1872" t="str">
        <f>IFERROR(VLOOKUP(A1872,'Sales Order'!A:N,14,FALSE),"Not Specified")</f>
        <v>France</v>
      </c>
      <c r="Q1872" t="str">
        <f>VLOOKUP(VLOOKUP(B1872,Product!A:C,3,FALSE),Supplier!A:B,2,FALSE)</f>
        <v>Supplier NZLIF</v>
      </c>
      <c r="R1872" t="str">
        <f>VLOOKUP(VLOOKUP(B1872,Product!A:C,3,FALSE),Supplier!A:I,9,FALSE)</f>
        <v>Norway</v>
      </c>
      <c r="S1872" t="str">
        <f>IFERROR(IF(VLOOKUP(A1872,'Sales Order'!A:H,8,FALSE)&gt;100,"High Freight","Low Freight"),"Not Specified")</f>
        <v>Low Freight</v>
      </c>
      <c r="T1872">
        <f t="shared" si="59"/>
        <v>17.5</v>
      </c>
    </row>
    <row r="1873" spans="1:20">
      <c r="A1873" s="9">
        <v>10973</v>
      </c>
      <c r="B1873" s="6">
        <v>26</v>
      </c>
      <c r="C1873" s="6">
        <v>31.23</v>
      </c>
      <c r="D1873" s="6">
        <v>5</v>
      </c>
      <c r="E1873" s="18">
        <v>0</v>
      </c>
      <c r="F1873" s="6" t="str">
        <f>IFERROR(VLOOKUP(VLOOKUP(A1873,'Sales Order'!A:B,2,FALSE),Customer!A:C,3,FALSE),"Not Specified")</f>
        <v>De Oliveira, Jose</v>
      </c>
      <c r="G1873" s="6" t="str">
        <f t="shared" si="58"/>
        <v>De Oliveira Jose</v>
      </c>
      <c r="H1873" s="22" t="str">
        <f>IFERROR(VLOOKUP(VLOOKUP(A1873,'Sales Order'!A:C,3,FALSE),Employee!A:E,5,FALSE)&amp;" "&amp;VLOOKUP(VLOOKUP(A1873,'Sales Order'!A:C,3,FALSE),Employee!A:C,3,FALSE)&amp;" "&amp;VLOOKUP(VLOOKUP(A1873,'Sales Order'!A:C,3,FALSE),Employee!A:B,2,FALSE),"Not Specified")</f>
        <v>Mr. Paul Suurs</v>
      </c>
      <c r="I1873">
        <f>IFERROR(VLOOKUP(VLOOKUP(A1873,'Sales Order'!A:C,3,FALSE),Employee!A:J,10,FALSE),"Not Specified")</f>
        <v>0</v>
      </c>
      <c r="J1873" t="str">
        <f>VLOOKUP(B1873,Product!A:B,2,FALSE)</f>
        <v>Product HLGZA</v>
      </c>
      <c r="K1873" t="str">
        <f>VLOOKUP(VLOOKUP(B1873,Product!A:D,4,FALSE),Category!A:B,2,FALSE)</f>
        <v>Confections</v>
      </c>
      <c r="L1873" s="24">
        <f>IFERROR(VLOOKUP(A1873,'Sales Order'!A:D,4,FALSE),"")</f>
        <v>39531</v>
      </c>
      <c r="M1873" s="24">
        <f>IFERROR(VLOOKUP(A1873,'Sales Order'!A:F,6,FALSE),"")</f>
        <v>39534</v>
      </c>
      <c r="N1873" t="str">
        <f>IFERROR(VLOOKUP(VLOOKUP(A1873,'Sales Order'!A:G,7,FALSE),Shipper!A:B,2,FALSE),"Not Specified")</f>
        <v>Shipper ETYNR</v>
      </c>
      <c r="O1873" t="str">
        <f>IFERROR(VLOOKUP(A1873,'Sales Order'!A:I,9,FALSE),"Not Specified")</f>
        <v>Destination WWJLO</v>
      </c>
      <c r="P1873" t="str">
        <f>IFERROR(VLOOKUP(A1873,'Sales Order'!A:N,14,FALSE),"Not Specified")</f>
        <v>France</v>
      </c>
      <c r="Q1873" t="str">
        <f>VLOOKUP(VLOOKUP(B1873,Product!A:C,3,FALSE),Supplier!A:B,2,FALSE)</f>
        <v>Supplier ZPYVS</v>
      </c>
      <c r="R1873" t="str">
        <f>VLOOKUP(VLOOKUP(B1873,Product!A:C,3,FALSE),Supplier!A:I,9,FALSE)</f>
        <v>Germany</v>
      </c>
      <c r="S1873" t="str">
        <f>IFERROR(IF(VLOOKUP(A1873,'Sales Order'!A:H,8,FALSE)&gt;100,"High Freight","Low Freight"),"Not Specified")</f>
        <v>Low Freight</v>
      </c>
      <c r="T1873">
        <f t="shared" si="59"/>
        <v>156.15</v>
      </c>
    </row>
    <row r="1874" spans="1:20">
      <c r="A1874" s="9">
        <v>10973</v>
      </c>
      <c r="B1874" s="6">
        <v>41</v>
      </c>
      <c r="C1874" s="6">
        <v>9.65</v>
      </c>
      <c r="D1874" s="6">
        <v>6</v>
      </c>
      <c r="E1874" s="18">
        <v>0</v>
      </c>
      <c r="F1874" s="6" t="str">
        <f>IFERROR(VLOOKUP(VLOOKUP(A1874,'Sales Order'!A:B,2,FALSE),Customer!A:C,3,FALSE),"Not Specified")</f>
        <v>De Oliveira, Jose</v>
      </c>
      <c r="G1874" s="6" t="str">
        <f t="shared" si="58"/>
        <v>De Oliveira Jose</v>
      </c>
      <c r="H1874" s="22" t="str">
        <f>IFERROR(VLOOKUP(VLOOKUP(A1874,'Sales Order'!A:C,3,FALSE),Employee!A:E,5,FALSE)&amp;" "&amp;VLOOKUP(VLOOKUP(A1874,'Sales Order'!A:C,3,FALSE),Employee!A:C,3,FALSE)&amp;" "&amp;VLOOKUP(VLOOKUP(A1874,'Sales Order'!A:C,3,FALSE),Employee!A:B,2,FALSE),"Not Specified")</f>
        <v>Mr. Paul Suurs</v>
      </c>
      <c r="I1874">
        <f>IFERROR(VLOOKUP(VLOOKUP(A1874,'Sales Order'!A:C,3,FALSE),Employee!A:J,10,FALSE),"Not Specified")</f>
        <v>0</v>
      </c>
      <c r="J1874" t="str">
        <f>VLOOKUP(B1874,Product!A:B,2,FALSE)</f>
        <v>Product TTEEX</v>
      </c>
      <c r="K1874" t="str">
        <f>VLOOKUP(VLOOKUP(B1874,Product!A:D,4,FALSE),Category!A:B,2,FALSE)</f>
        <v>Seafood</v>
      </c>
      <c r="L1874" s="24">
        <f>IFERROR(VLOOKUP(A1874,'Sales Order'!A:D,4,FALSE),"")</f>
        <v>39531</v>
      </c>
      <c r="M1874" s="24">
        <f>IFERROR(VLOOKUP(A1874,'Sales Order'!A:F,6,FALSE),"")</f>
        <v>39534</v>
      </c>
      <c r="N1874" t="str">
        <f>IFERROR(VLOOKUP(VLOOKUP(A1874,'Sales Order'!A:G,7,FALSE),Shipper!A:B,2,FALSE),"Not Specified")</f>
        <v>Shipper ETYNR</v>
      </c>
      <c r="O1874" t="str">
        <f>IFERROR(VLOOKUP(A1874,'Sales Order'!A:I,9,FALSE),"Not Specified")</f>
        <v>Destination WWJLO</v>
      </c>
      <c r="P1874" t="str">
        <f>IFERROR(VLOOKUP(A1874,'Sales Order'!A:N,14,FALSE),"Not Specified")</f>
        <v>France</v>
      </c>
      <c r="Q1874" t="str">
        <f>VLOOKUP(VLOOKUP(B1874,Product!A:C,3,FALSE),Supplier!A:B,2,FALSE)</f>
        <v>Supplier JDNUG</v>
      </c>
      <c r="R1874" t="str">
        <f>VLOOKUP(VLOOKUP(B1874,Product!A:C,3,FALSE),Supplier!A:I,9,FALSE)</f>
        <v>USA</v>
      </c>
      <c r="S1874" t="str">
        <f>IFERROR(IF(VLOOKUP(A1874,'Sales Order'!A:H,8,FALSE)&gt;100,"High Freight","Low Freight"),"Not Specified")</f>
        <v>Low Freight</v>
      </c>
      <c r="T1874">
        <f t="shared" si="59"/>
        <v>57.900000000000006</v>
      </c>
    </row>
    <row r="1875" spans="1:20">
      <c r="A1875" s="9">
        <v>10973</v>
      </c>
      <c r="B1875" s="6">
        <v>75</v>
      </c>
      <c r="C1875" s="6">
        <v>7.75</v>
      </c>
      <c r="D1875" s="6">
        <v>10</v>
      </c>
      <c r="E1875" s="18">
        <v>0</v>
      </c>
      <c r="F1875" s="6" t="str">
        <f>IFERROR(VLOOKUP(VLOOKUP(A1875,'Sales Order'!A:B,2,FALSE),Customer!A:C,3,FALSE),"Not Specified")</f>
        <v>De Oliveira, Jose</v>
      </c>
      <c r="G1875" s="6" t="str">
        <f t="shared" si="58"/>
        <v>De Oliveira Jose</v>
      </c>
      <c r="H1875" s="22" t="str">
        <f>IFERROR(VLOOKUP(VLOOKUP(A1875,'Sales Order'!A:C,3,FALSE),Employee!A:E,5,FALSE)&amp;" "&amp;VLOOKUP(VLOOKUP(A1875,'Sales Order'!A:C,3,FALSE),Employee!A:C,3,FALSE)&amp;" "&amp;VLOOKUP(VLOOKUP(A1875,'Sales Order'!A:C,3,FALSE),Employee!A:B,2,FALSE),"Not Specified")</f>
        <v>Mr. Paul Suurs</v>
      </c>
      <c r="I1875">
        <f>IFERROR(VLOOKUP(VLOOKUP(A1875,'Sales Order'!A:C,3,FALSE),Employee!A:J,10,FALSE),"Not Specified")</f>
        <v>0</v>
      </c>
      <c r="J1875" t="str">
        <f>VLOOKUP(B1875,Product!A:B,2,FALSE)</f>
        <v>Product BWRLG</v>
      </c>
      <c r="K1875" t="str">
        <f>VLOOKUP(VLOOKUP(B1875,Product!A:D,4,FALSE),Category!A:B,2,FALSE)</f>
        <v>Beverages</v>
      </c>
      <c r="L1875" s="24">
        <f>IFERROR(VLOOKUP(A1875,'Sales Order'!A:D,4,FALSE),"")</f>
        <v>39531</v>
      </c>
      <c r="M1875" s="24">
        <f>IFERROR(VLOOKUP(A1875,'Sales Order'!A:F,6,FALSE),"")</f>
        <v>39534</v>
      </c>
      <c r="N1875" t="str">
        <f>IFERROR(VLOOKUP(VLOOKUP(A1875,'Sales Order'!A:G,7,FALSE),Shipper!A:B,2,FALSE),"Not Specified")</f>
        <v>Shipper ETYNR</v>
      </c>
      <c r="O1875" t="str">
        <f>IFERROR(VLOOKUP(A1875,'Sales Order'!A:I,9,FALSE),"Not Specified")</f>
        <v>Destination WWJLO</v>
      </c>
      <c r="P1875" t="str">
        <f>IFERROR(VLOOKUP(A1875,'Sales Order'!A:N,14,FALSE),"Not Specified")</f>
        <v>France</v>
      </c>
      <c r="Q1875" t="str">
        <f>VLOOKUP(VLOOKUP(B1875,Product!A:C,3,FALSE),Supplier!A:B,2,FALSE)</f>
        <v>Supplier SVIYA</v>
      </c>
      <c r="R1875" t="str">
        <f>VLOOKUP(VLOOKUP(B1875,Product!A:C,3,FALSE),Supplier!A:I,9,FALSE)</f>
        <v>Germany</v>
      </c>
      <c r="S1875" t="str">
        <f>IFERROR(IF(VLOOKUP(A1875,'Sales Order'!A:H,8,FALSE)&gt;100,"High Freight","Low Freight"),"Not Specified")</f>
        <v>Low Freight</v>
      </c>
      <c r="T1875">
        <f t="shared" si="59"/>
        <v>77.5</v>
      </c>
    </row>
    <row r="1876" spans="1:20">
      <c r="A1876" s="9">
        <v>10974</v>
      </c>
      <c r="B1876" s="6">
        <v>63</v>
      </c>
      <c r="C1876" s="6">
        <v>43.9</v>
      </c>
      <c r="D1876" s="6">
        <v>10</v>
      </c>
      <c r="E1876" s="18">
        <v>0</v>
      </c>
      <c r="F1876" s="6" t="str">
        <f>IFERROR(VLOOKUP(VLOOKUP(A1876,'Sales Order'!A:B,2,FALSE),Customer!A:C,3,FALSE),"Not Specified")</f>
        <v>Wojciechowska, Agnieszka</v>
      </c>
      <c r="G1876" s="6" t="str">
        <f t="shared" si="58"/>
        <v>Wojciechowska Agnieszka</v>
      </c>
      <c r="H1876" s="22" t="str">
        <f>IFERROR(VLOOKUP(VLOOKUP(A1876,'Sales Order'!A:C,3,FALSE),Employee!A:E,5,FALSE)&amp;" "&amp;VLOOKUP(VLOOKUP(A1876,'Sales Order'!A:C,3,FALSE),Employee!A:C,3,FALSE)&amp;" "&amp;VLOOKUP(VLOOKUP(A1876,'Sales Order'!A:C,3,FALSE),Employee!A:B,2,FALSE),"Not Specified")</f>
        <v>Ms. Judy Lew</v>
      </c>
      <c r="I1876" t="str">
        <f>IFERROR(VLOOKUP(VLOOKUP(A1876,'Sales Order'!A:C,3,FALSE),Employee!A:J,10,FALSE),"Not Specified")</f>
        <v>WA</v>
      </c>
      <c r="J1876" t="str">
        <f>VLOOKUP(B1876,Product!A:B,2,FALSE)</f>
        <v>Product ICKNK</v>
      </c>
      <c r="K1876" t="str">
        <f>VLOOKUP(VLOOKUP(B1876,Product!A:D,4,FALSE),Category!A:B,2,FALSE)</f>
        <v>Condiments</v>
      </c>
      <c r="L1876" s="24">
        <f>IFERROR(VLOOKUP(A1876,'Sales Order'!A:D,4,FALSE),"")</f>
        <v>39532</v>
      </c>
      <c r="M1876" s="24">
        <f>IFERROR(VLOOKUP(A1876,'Sales Order'!A:F,6,FALSE),"")</f>
        <v>39541</v>
      </c>
      <c r="N1876" t="str">
        <f>IFERROR(VLOOKUP(VLOOKUP(A1876,'Sales Order'!A:G,7,FALSE),Shipper!A:B,2,FALSE),"Not Specified")</f>
        <v>Shipper ZHISN</v>
      </c>
      <c r="O1876" t="str">
        <f>IFERROR(VLOOKUP(A1876,'Sales Order'!A:I,9,FALSE),"Not Specified")</f>
        <v>Ship to 75-B</v>
      </c>
      <c r="P1876" t="str">
        <f>IFERROR(VLOOKUP(A1876,'Sales Order'!A:N,14,FALSE),"Not Specified")</f>
        <v>USA</v>
      </c>
      <c r="Q1876" t="str">
        <f>VLOOKUP(VLOOKUP(B1876,Product!A:C,3,FALSE),Supplier!A:B,2,FALSE)</f>
        <v>Supplier GQRCV</v>
      </c>
      <c r="R1876" t="str">
        <f>VLOOKUP(VLOOKUP(B1876,Product!A:C,3,FALSE),Supplier!A:I,9,FALSE)</f>
        <v>Australia</v>
      </c>
      <c r="S1876" t="str">
        <f>IFERROR(IF(VLOOKUP(A1876,'Sales Order'!A:H,8,FALSE)&gt;100,"High Freight","Low Freight"),"Not Specified")</f>
        <v>Low Freight</v>
      </c>
      <c r="T1876">
        <f t="shared" si="59"/>
        <v>439</v>
      </c>
    </row>
    <row r="1877" spans="1:20">
      <c r="A1877" s="9">
        <v>10975</v>
      </c>
      <c r="B1877" s="6">
        <v>8</v>
      </c>
      <c r="C1877" s="6">
        <v>40</v>
      </c>
      <c r="D1877" s="6">
        <v>16</v>
      </c>
      <c r="E1877" s="18">
        <v>0</v>
      </c>
      <c r="F1877" s="6" t="str">
        <f>IFERROR(VLOOKUP(VLOOKUP(A1877,'Sales Order'!A:B,2,FALSE),Customer!A:C,3,FALSE),"Not Specified")</f>
        <v>Bassols, Pilar Colome</v>
      </c>
      <c r="G1877" s="6" t="str">
        <f t="shared" si="58"/>
        <v>Bassols Pilar Colome</v>
      </c>
      <c r="H1877" s="22" t="str">
        <f>IFERROR(VLOOKUP(VLOOKUP(A1877,'Sales Order'!A:C,3,FALSE),Employee!A:E,5,FALSE)&amp;" "&amp;VLOOKUP(VLOOKUP(A1877,'Sales Order'!A:C,3,FALSE),Employee!A:C,3,FALSE)&amp;" "&amp;VLOOKUP(VLOOKUP(A1877,'Sales Order'!A:C,3,FALSE),Employee!A:B,2,FALSE),"Not Specified")</f>
        <v>Ms. Sara Davis</v>
      </c>
      <c r="I1877" t="str">
        <f>IFERROR(VLOOKUP(VLOOKUP(A1877,'Sales Order'!A:C,3,FALSE),Employee!A:J,10,FALSE),"Not Specified")</f>
        <v>WA</v>
      </c>
      <c r="J1877" t="str">
        <f>VLOOKUP(B1877,Product!A:B,2,FALSE)</f>
        <v>Product WVJFP</v>
      </c>
      <c r="K1877" t="str">
        <f>VLOOKUP(VLOOKUP(B1877,Product!A:D,4,FALSE),Category!A:B,2,FALSE)</f>
        <v>Condiments</v>
      </c>
      <c r="L1877" s="24">
        <f>IFERROR(VLOOKUP(A1877,'Sales Order'!A:D,4,FALSE),"")</f>
        <v>39532</v>
      </c>
      <c r="M1877" s="24">
        <f>IFERROR(VLOOKUP(A1877,'Sales Order'!A:F,6,FALSE),"")</f>
        <v>39534</v>
      </c>
      <c r="N1877" t="str">
        <f>IFERROR(VLOOKUP(VLOOKUP(A1877,'Sales Order'!A:G,7,FALSE),Shipper!A:B,2,FALSE),"Not Specified")</f>
        <v>Shipper ZHISN</v>
      </c>
      <c r="O1877" t="str">
        <f>IFERROR(VLOOKUP(A1877,'Sales Order'!A:I,9,FALSE),"Not Specified")</f>
        <v>Destination OLSSJ</v>
      </c>
      <c r="P1877" t="str">
        <f>IFERROR(VLOOKUP(A1877,'Sales Order'!A:N,14,FALSE),"Not Specified")</f>
        <v>Canada</v>
      </c>
      <c r="Q1877" t="str">
        <f>VLOOKUP(VLOOKUP(B1877,Product!A:C,3,FALSE),Supplier!A:B,2,FALSE)</f>
        <v>Supplier STUAZ</v>
      </c>
      <c r="R1877" t="str">
        <f>VLOOKUP(VLOOKUP(B1877,Product!A:C,3,FALSE),Supplier!A:I,9,FALSE)</f>
        <v>USA</v>
      </c>
      <c r="S1877" t="str">
        <f>IFERROR(IF(VLOOKUP(A1877,'Sales Order'!A:H,8,FALSE)&gt;100,"High Freight","Low Freight"),"Not Specified")</f>
        <v>Low Freight</v>
      </c>
      <c r="T1877">
        <f t="shared" si="59"/>
        <v>640</v>
      </c>
    </row>
    <row r="1878" spans="1:20">
      <c r="A1878" s="9">
        <v>10975</v>
      </c>
      <c r="B1878" s="6">
        <v>75</v>
      </c>
      <c r="C1878" s="6">
        <v>7.75</v>
      </c>
      <c r="D1878" s="6">
        <v>10</v>
      </c>
      <c r="E1878" s="18">
        <v>0</v>
      </c>
      <c r="F1878" s="6" t="str">
        <f>IFERROR(VLOOKUP(VLOOKUP(A1878,'Sales Order'!A:B,2,FALSE),Customer!A:C,3,FALSE),"Not Specified")</f>
        <v>Bassols, Pilar Colome</v>
      </c>
      <c r="G1878" s="6" t="str">
        <f t="shared" si="58"/>
        <v>Bassols Pilar Colome</v>
      </c>
      <c r="H1878" s="22" t="str">
        <f>IFERROR(VLOOKUP(VLOOKUP(A1878,'Sales Order'!A:C,3,FALSE),Employee!A:E,5,FALSE)&amp;" "&amp;VLOOKUP(VLOOKUP(A1878,'Sales Order'!A:C,3,FALSE),Employee!A:C,3,FALSE)&amp;" "&amp;VLOOKUP(VLOOKUP(A1878,'Sales Order'!A:C,3,FALSE),Employee!A:B,2,FALSE),"Not Specified")</f>
        <v>Ms. Sara Davis</v>
      </c>
      <c r="I1878" t="str">
        <f>IFERROR(VLOOKUP(VLOOKUP(A1878,'Sales Order'!A:C,3,FALSE),Employee!A:J,10,FALSE),"Not Specified")</f>
        <v>WA</v>
      </c>
      <c r="J1878" t="str">
        <f>VLOOKUP(B1878,Product!A:B,2,FALSE)</f>
        <v>Product BWRLG</v>
      </c>
      <c r="K1878" t="str">
        <f>VLOOKUP(VLOOKUP(B1878,Product!A:D,4,FALSE),Category!A:B,2,FALSE)</f>
        <v>Beverages</v>
      </c>
      <c r="L1878" s="24">
        <f>IFERROR(VLOOKUP(A1878,'Sales Order'!A:D,4,FALSE),"")</f>
        <v>39532</v>
      </c>
      <c r="M1878" s="24">
        <f>IFERROR(VLOOKUP(A1878,'Sales Order'!A:F,6,FALSE),"")</f>
        <v>39534</v>
      </c>
      <c r="N1878" t="str">
        <f>IFERROR(VLOOKUP(VLOOKUP(A1878,'Sales Order'!A:G,7,FALSE),Shipper!A:B,2,FALSE),"Not Specified")</f>
        <v>Shipper ZHISN</v>
      </c>
      <c r="O1878" t="str">
        <f>IFERROR(VLOOKUP(A1878,'Sales Order'!A:I,9,FALSE),"Not Specified")</f>
        <v>Destination OLSSJ</v>
      </c>
      <c r="P1878" t="str">
        <f>IFERROR(VLOOKUP(A1878,'Sales Order'!A:N,14,FALSE),"Not Specified")</f>
        <v>Canada</v>
      </c>
      <c r="Q1878" t="str">
        <f>VLOOKUP(VLOOKUP(B1878,Product!A:C,3,FALSE),Supplier!A:B,2,FALSE)</f>
        <v>Supplier SVIYA</v>
      </c>
      <c r="R1878" t="str">
        <f>VLOOKUP(VLOOKUP(B1878,Product!A:C,3,FALSE),Supplier!A:I,9,FALSE)</f>
        <v>Germany</v>
      </c>
      <c r="S1878" t="str">
        <f>IFERROR(IF(VLOOKUP(A1878,'Sales Order'!A:H,8,FALSE)&gt;100,"High Freight","Low Freight"),"Not Specified")</f>
        <v>Low Freight</v>
      </c>
      <c r="T1878">
        <f t="shared" si="59"/>
        <v>77.5</v>
      </c>
    </row>
    <row r="1879" spans="1:20">
      <c r="A1879" s="9">
        <v>10976</v>
      </c>
      <c r="B1879" s="6">
        <v>28</v>
      </c>
      <c r="C1879" s="6">
        <v>45.6</v>
      </c>
      <c r="D1879" s="6">
        <v>20</v>
      </c>
      <c r="E1879" s="18">
        <v>0</v>
      </c>
      <c r="F1879" s="6" t="str">
        <f>IFERROR(VLOOKUP(VLOOKUP(A1879,'Sales Order'!A:B,2,FALSE),Customer!A:C,3,FALSE),"Not Specified")</f>
        <v>Langohr, Kris</v>
      </c>
      <c r="G1879" s="6" t="str">
        <f t="shared" si="58"/>
        <v>Langohr Kris</v>
      </c>
      <c r="H1879" s="22" t="str">
        <f>IFERROR(VLOOKUP(VLOOKUP(A1879,'Sales Order'!A:C,3,FALSE),Employee!A:E,5,FALSE)&amp;" "&amp;VLOOKUP(VLOOKUP(A1879,'Sales Order'!A:C,3,FALSE),Employee!A:C,3,FALSE)&amp;" "&amp;VLOOKUP(VLOOKUP(A1879,'Sales Order'!A:C,3,FALSE),Employee!A:B,2,FALSE),"Not Specified")</f>
        <v>Ms. Sara Davis</v>
      </c>
      <c r="I1879" t="str">
        <f>IFERROR(VLOOKUP(VLOOKUP(A1879,'Sales Order'!A:C,3,FALSE),Employee!A:J,10,FALSE),"Not Specified")</f>
        <v>WA</v>
      </c>
      <c r="J1879" t="str">
        <f>VLOOKUP(B1879,Product!A:B,2,FALSE)</f>
        <v>Product OFBNT</v>
      </c>
      <c r="K1879" t="str">
        <f>VLOOKUP(VLOOKUP(B1879,Product!A:D,4,FALSE),Category!A:B,2,FALSE)</f>
        <v>Produce</v>
      </c>
      <c r="L1879" s="24">
        <f>IFERROR(VLOOKUP(A1879,'Sales Order'!A:D,4,FALSE),"")</f>
        <v>39532</v>
      </c>
      <c r="M1879" s="24">
        <f>IFERROR(VLOOKUP(A1879,'Sales Order'!A:F,6,FALSE),"")</f>
        <v>39541</v>
      </c>
      <c r="N1879" t="str">
        <f>IFERROR(VLOOKUP(VLOOKUP(A1879,'Sales Order'!A:G,7,FALSE),Shipper!A:B,2,FALSE),"Not Specified")</f>
        <v>Shipper GVSUA</v>
      </c>
      <c r="O1879" t="str">
        <f>IFERROR(VLOOKUP(A1879,'Sales Order'!A:I,9,FALSE),"Not Specified")</f>
        <v>Destination SXYQX</v>
      </c>
      <c r="P1879" t="str">
        <f>IFERROR(VLOOKUP(A1879,'Sales Order'!A:N,14,FALSE),"Not Specified")</f>
        <v>Venezuela</v>
      </c>
      <c r="Q1879" t="str">
        <f>VLOOKUP(VLOOKUP(B1879,Product!A:C,3,FALSE),Supplier!A:B,2,FALSE)</f>
        <v>Supplier SVIYA</v>
      </c>
      <c r="R1879" t="str">
        <f>VLOOKUP(VLOOKUP(B1879,Product!A:C,3,FALSE),Supplier!A:I,9,FALSE)</f>
        <v>Germany</v>
      </c>
      <c r="S1879" t="str">
        <f>IFERROR(IF(VLOOKUP(A1879,'Sales Order'!A:H,8,FALSE)&gt;100,"High Freight","Low Freight"),"Not Specified")</f>
        <v>Low Freight</v>
      </c>
      <c r="T1879">
        <f t="shared" si="59"/>
        <v>912</v>
      </c>
    </row>
    <row r="1880" spans="1:20">
      <c r="A1880" s="9">
        <v>10977</v>
      </c>
      <c r="B1880" s="6">
        <v>39</v>
      </c>
      <c r="C1880" s="6">
        <v>18</v>
      </c>
      <c r="D1880" s="6">
        <v>30</v>
      </c>
      <c r="E1880" s="18">
        <v>0</v>
      </c>
      <c r="F1880" s="6" t="str">
        <f>IFERROR(VLOOKUP(VLOOKUP(A1880,'Sales Order'!A:B,2,FALSE),Customer!A:C,3,FALSE),"Not Specified")</f>
        <v>San Juan, Patricia</v>
      </c>
      <c r="G1880" s="6" t="str">
        <f t="shared" si="58"/>
        <v>San Juan Patricia</v>
      </c>
      <c r="H1880" s="22" t="str">
        <f>IFERROR(VLOOKUP(VLOOKUP(A1880,'Sales Order'!A:C,3,FALSE),Employee!A:E,5,FALSE)&amp;" "&amp;VLOOKUP(VLOOKUP(A1880,'Sales Order'!A:C,3,FALSE),Employee!A:C,3,FALSE)&amp;" "&amp;VLOOKUP(VLOOKUP(A1880,'Sales Order'!A:C,3,FALSE),Employee!A:B,2,FALSE),"Not Specified")</f>
        <v>Ms. Maria Cameron</v>
      </c>
      <c r="I1880" t="str">
        <f>IFERROR(VLOOKUP(VLOOKUP(A1880,'Sales Order'!A:C,3,FALSE),Employee!A:J,10,FALSE),"Not Specified")</f>
        <v>WA</v>
      </c>
      <c r="J1880" t="str">
        <f>VLOOKUP(B1880,Product!A:B,2,FALSE)</f>
        <v>Product LSOFL</v>
      </c>
      <c r="K1880" t="str">
        <f>VLOOKUP(VLOOKUP(B1880,Product!A:D,4,FALSE),Category!A:B,2,FALSE)</f>
        <v>Beverages</v>
      </c>
      <c r="L1880" s="24">
        <f>IFERROR(VLOOKUP(A1880,'Sales Order'!A:D,4,FALSE),"")</f>
        <v>39533</v>
      </c>
      <c r="M1880" s="24">
        <f>IFERROR(VLOOKUP(A1880,'Sales Order'!A:F,6,FALSE),"")</f>
        <v>39548</v>
      </c>
      <c r="N1880" t="str">
        <f>IFERROR(VLOOKUP(VLOOKUP(A1880,'Sales Order'!A:G,7,FALSE),Shipper!A:B,2,FALSE),"Not Specified")</f>
        <v>Shipper ZHISN</v>
      </c>
      <c r="O1880" t="str">
        <f>IFERROR(VLOOKUP(A1880,'Sales Order'!A:I,9,FALSE),"Not Specified")</f>
        <v>Destination NCKKO</v>
      </c>
      <c r="P1880" t="str">
        <f>IFERROR(VLOOKUP(A1880,'Sales Order'!A:N,14,FALSE),"Not Specified")</f>
        <v>Sweden</v>
      </c>
      <c r="Q1880" t="str">
        <f>VLOOKUP(VLOOKUP(B1880,Product!A:C,3,FALSE),Supplier!A:B,2,FALSE)</f>
        <v>Supplier LVJUA</v>
      </c>
      <c r="R1880" t="str">
        <f>VLOOKUP(VLOOKUP(B1880,Product!A:C,3,FALSE),Supplier!A:I,9,FALSE)</f>
        <v>France</v>
      </c>
      <c r="S1880" t="str">
        <f>IFERROR(IF(VLOOKUP(A1880,'Sales Order'!A:H,8,FALSE)&gt;100,"High Freight","Low Freight"),"Not Specified")</f>
        <v>High Freight</v>
      </c>
      <c r="T1880">
        <f t="shared" si="59"/>
        <v>540</v>
      </c>
    </row>
    <row r="1881" spans="1:20">
      <c r="A1881" s="9">
        <v>10977</v>
      </c>
      <c r="B1881" s="6">
        <v>47</v>
      </c>
      <c r="C1881" s="6">
        <v>9.5</v>
      </c>
      <c r="D1881" s="6">
        <v>30</v>
      </c>
      <c r="E1881" s="18">
        <v>0</v>
      </c>
      <c r="F1881" s="6" t="str">
        <f>IFERROR(VLOOKUP(VLOOKUP(A1881,'Sales Order'!A:B,2,FALSE),Customer!A:C,3,FALSE),"Not Specified")</f>
        <v>San Juan, Patricia</v>
      </c>
      <c r="G1881" s="6" t="str">
        <f t="shared" si="58"/>
        <v>San Juan Patricia</v>
      </c>
      <c r="H1881" s="22" t="str">
        <f>IFERROR(VLOOKUP(VLOOKUP(A1881,'Sales Order'!A:C,3,FALSE),Employee!A:E,5,FALSE)&amp;" "&amp;VLOOKUP(VLOOKUP(A1881,'Sales Order'!A:C,3,FALSE),Employee!A:C,3,FALSE)&amp;" "&amp;VLOOKUP(VLOOKUP(A1881,'Sales Order'!A:C,3,FALSE),Employee!A:B,2,FALSE),"Not Specified")</f>
        <v>Ms. Maria Cameron</v>
      </c>
      <c r="I1881" t="str">
        <f>IFERROR(VLOOKUP(VLOOKUP(A1881,'Sales Order'!A:C,3,FALSE),Employee!A:J,10,FALSE),"Not Specified")</f>
        <v>WA</v>
      </c>
      <c r="J1881" t="str">
        <f>VLOOKUP(B1881,Product!A:B,2,FALSE)</f>
        <v>Product EZZPR</v>
      </c>
      <c r="K1881" t="str">
        <f>VLOOKUP(VLOOKUP(B1881,Product!A:D,4,FALSE),Category!A:B,2,FALSE)</f>
        <v>Confections</v>
      </c>
      <c r="L1881" s="24">
        <f>IFERROR(VLOOKUP(A1881,'Sales Order'!A:D,4,FALSE),"")</f>
        <v>39533</v>
      </c>
      <c r="M1881" s="24">
        <f>IFERROR(VLOOKUP(A1881,'Sales Order'!A:F,6,FALSE),"")</f>
        <v>39548</v>
      </c>
      <c r="N1881" t="str">
        <f>IFERROR(VLOOKUP(VLOOKUP(A1881,'Sales Order'!A:G,7,FALSE),Shipper!A:B,2,FALSE),"Not Specified")</f>
        <v>Shipper ZHISN</v>
      </c>
      <c r="O1881" t="str">
        <f>IFERROR(VLOOKUP(A1881,'Sales Order'!A:I,9,FALSE),"Not Specified")</f>
        <v>Destination NCKKO</v>
      </c>
      <c r="P1881" t="str">
        <f>IFERROR(VLOOKUP(A1881,'Sales Order'!A:N,14,FALSE),"Not Specified")</f>
        <v>Sweden</v>
      </c>
      <c r="Q1881" t="str">
        <f>VLOOKUP(VLOOKUP(B1881,Product!A:C,3,FALSE),Supplier!A:B,2,FALSE)</f>
        <v>Supplier FNUXM</v>
      </c>
      <c r="R1881" t="str">
        <f>VLOOKUP(VLOOKUP(B1881,Product!A:C,3,FALSE),Supplier!A:I,9,FALSE)</f>
        <v>Netherlands</v>
      </c>
      <c r="S1881" t="str">
        <f>IFERROR(IF(VLOOKUP(A1881,'Sales Order'!A:H,8,FALSE)&gt;100,"High Freight","Low Freight"),"Not Specified")</f>
        <v>High Freight</v>
      </c>
      <c r="T1881">
        <f t="shared" si="59"/>
        <v>285</v>
      </c>
    </row>
    <row r="1882" spans="1:20">
      <c r="A1882" s="9">
        <v>10977</v>
      </c>
      <c r="B1882" s="6">
        <v>51</v>
      </c>
      <c r="C1882" s="6">
        <v>53</v>
      </c>
      <c r="D1882" s="6">
        <v>10</v>
      </c>
      <c r="E1882" s="18">
        <v>0</v>
      </c>
      <c r="F1882" s="6" t="str">
        <f>IFERROR(VLOOKUP(VLOOKUP(A1882,'Sales Order'!A:B,2,FALSE),Customer!A:C,3,FALSE),"Not Specified")</f>
        <v>San Juan, Patricia</v>
      </c>
      <c r="G1882" s="6" t="str">
        <f t="shared" si="58"/>
        <v>San Juan Patricia</v>
      </c>
      <c r="H1882" s="22" t="str">
        <f>IFERROR(VLOOKUP(VLOOKUP(A1882,'Sales Order'!A:C,3,FALSE),Employee!A:E,5,FALSE)&amp;" "&amp;VLOOKUP(VLOOKUP(A1882,'Sales Order'!A:C,3,FALSE),Employee!A:C,3,FALSE)&amp;" "&amp;VLOOKUP(VLOOKUP(A1882,'Sales Order'!A:C,3,FALSE),Employee!A:B,2,FALSE),"Not Specified")</f>
        <v>Ms. Maria Cameron</v>
      </c>
      <c r="I1882" t="str">
        <f>IFERROR(VLOOKUP(VLOOKUP(A1882,'Sales Order'!A:C,3,FALSE),Employee!A:J,10,FALSE),"Not Specified")</f>
        <v>WA</v>
      </c>
      <c r="J1882" t="str">
        <f>VLOOKUP(B1882,Product!A:B,2,FALSE)</f>
        <v>Product APITJ</v>
      </c>
      <c r="K1882" t="str">
        <f>VLOOKUP(VLOOKUP(B1882,Product!A:D,4,FALSE),Category!A:B,2,FALSE)</f>
        <v>Produce</v>
      </c>
      <c r="L1882" s="24">
        <f>IFERROR(VLOOKUP(A1882,'Sales Order'!A:D,4,FALSE),"")</f>
        <v>39533</v>
      </c>
      <c r="M1882" s="24">
        <f>IFERROR(VLOOKUP(A1882,'Sales Order'!A:F,6,FALSE),"")</f>
        <v>39548</v>
      </c>
      <c r="N1882" t="str">
        <f>IFERROR(VLOOKUP(VLOOKUP(A1882,'Sales Order'!A:G,7,FALSE),Shipper!A:B,2,FALSE),"Not Specified")</f>
        <v>Shipper ZHISN</v>
      </c>
      <c r="O1882" t="str">
        <f>IFERROR(VLOOKUP(A1882,'Sales Order'!A:I,9,FALSE),"Not Specified")</f>
        <v>Destination NCKKO</v>
      </c>
      <c r="P1882" t="str">
        <f>IFERROR(VLOOKUP(A1882,'Sales Order'!A:N,14,FALSE),"Not Specified")</f>
        <v>Sweden</v>
      </c>
      <c r="Q1882" t="str">
        <f>VLOOKUP(VLOOKUP(B1882,Product!A:C,3,FALSE),Supplier!A:B,2,FALSE)</f>
        <v>Supplier JNNES</v>
      </c>
      <c r="R1882" t="str">
        <f>VLOOKUP(VLOOKUP(B1882,Product!A:C,3,FALSE),Supplier!A:I,9,FALSE)</f>
        <v>Australia</v>
      </c>
      <c r="S1882" t="str">
        <f>IFERROR(IF(VLOOKUP(A1882,'Sales Order'!A:H,8,FALSE)&gt;100,"High Freight","Low Freight"),"Not Specified")</f>
        <v>High Freight</v>
      </c>
      <c r="T1882">
        <f t="shared" si="59"/>
        <v>530</v>
      </c>
    </row>
    <row r="1883" spans="1:20">
      <c r="A1883" s="9">
        <v>10977</v>
      </c>
      <c r="B1883" s="6">
        <v>63</v>
      </c>
      <c r="C1883" s="6">
        <v>43.9</v>
      </c>
      <c r="D1883" s="6">
        <v>20</v>
      </c>
      <c r="E1883" s="18">
        <v>0</v>
      </c>
      <c r="F1883" s="6" t="str">
        <f>IFERROR(VLOOKUP(VLOOKUP(A1883,'Sales Order'!A:B,2,FALSE),Customer!A:C,3,FALSE),"Not Specified")</f>
        <v>San Juan, Patricia</v>
      </c>
      <c r="G1883" s="6" t="str">
        <f t="shared" si="58"/>
        <v>San Juan Patricia</v>
      </c>
      <c r="H1883" s="22" t="str">
        <f>IFERROR(VLOOKUP(VLOOKUP(A1883,'Sales Order'!A:C,3,FALSE),Employee!A:E,5,FALSE)&amp;" "&amp;VLOOKUP(VLOOKUP(A1883,'Sales Order'!A:C,3,FALSE),Employee!A:C,3,FALSE)&amp;" "&amp;VLOOKUP(VLOOKUP(A1883,'Sales Order'!A:C,3,FALSE),Employee!A:B,2,FALSE),"Not Specified")</f>
        <v>Ms. Maria Cameron</v>
      </c>
      <c r="I1883" t="str">
        <f>IFERROR(VLOOKUP(VLOOKUP(A1883,'Sales Order'!A:C,3,FALSE),Employee!A:J,10,FALSE),"Not Specified")</f>
        <v>WA</v>
      </c>
      <c r="J1883" t="str">
        <f>VLOOKUP(B1883,Product!A:B,2,FALSE)</f>
        <v>Product ICKNK</v>
      </c>
      <c r="K1883" t="str">
        <f>VLOOKUP(VLOOKUP(B1883,Product!A:D,4,FALSE),Category!A:B,2,FALSE)</f>
        <v>Condiments</v>
      </c>
      <c r="L1883" s="24">
        <f>IFERROR(VLOOKUP(A1883,'Sales Order'!A:D,4,FALSE),"")</f>
        <v>39533</v>
      </c>
      <c r="M1883" s="24">
        <f>IFERROR(VLOOKUP(A1883,'Sales Order'!A:F,6,FALSE),"")</f>
        <v>39548</v>
      </c>
      <c r="N1883" t="str">
        <f>IFERROR(VLOOKUP(VLOOKUP(A1883,'Sales Order'!A:G,7,FALSE),Shipper!A:B,2,FALSE),"Not Specified")</f>
        <v>Shipper ZHISN</v>
      </c>
      <c r="O1883" t="str">
        <f>IFERROR(VLOOKUP(A1883,'Sales Order'!A:I,9,FALSE),"Not Specified")</f>
        <v>Destination NCKKO</v>
      </c>
      <c r="P1883" t="str">
        <f>IFERROR(VLOOKUP(A1883,'Sales Order'!A:N,14,FALSE),"Not Specified")</f>
        <v>Sweden</v>
      </c>
      <c r="Q1883" t="str">
        <f>VLOOKUP(VLOOKUP(B1883,Product!A:C,3,FALSE),Supplier!A:B,2,FALSE)</f>
        <v>Supplier GQRCV</v>
      </c>
      <c r="R1883" t="str">
        <f>VLOOKUP(VLOOKUP(B1883,Product!A:C,3,FALSE),Supplier!A:I,9,FALSE)</f>
        <v>Australia</v>
      </c>
      <c r="S1883" t="str">
        <f>IFERROR(IF(VLOOKUP(A1883,'Sales Order'!A:H,8,FALSE)&gt;100,"High Freight","Low Freight"),"Not Specified")</f>
        <v>High Freight</v>
      </c>
      <c r="T1883">
        <f t="shared" si="59"/>
        <v>878</v>
      </c>
    </row>
    <row r="1884" spans="1:20">
      <c r="A1884" s="9">
        <v>10978</v>
      </c>
      <c r="B1884" s="6">
        <v>8</v>
      </c>
      <c r="C1884" s="6">
        <v>40</v>
      </c>
      <c r="D1884" s="6">
        <v>20</v>
      </c>
      <c r="E1884" s="18">
        <v>0.15</v>
      </c>
      <c r="F1884" s="6" t="str">
        <f>IFERROR(VLOOKUP(VLOOKUP(A1884,'Sales Order'!A:B,2,FALSE),Customer!A:C,3,FALSE),"Not Specified")</f>
        <v>Mace, Donald</v>
      </c>
      <c r="G1884" s="6" t="str">
        <f t="shared" si="58"/>
        <v>Mace Donald</v>
      </c>
      <c r="H1884" s="22" t="str">
        <f>IFERROR(VLOOKUP(VLOOKUP(A1884,'Sales Order'!A:C,3,FALSE),Employee!A:E,5,FALSE)&amp;" "&amp;VLOOKUP(VLOOKUP(A1884,'Sales Order'!A:C,3,FALSE),Employee!A:C,3,FALSE)&amp;" "&amp;VLOOKUP(VLOOKUP(A1884,'Sales Order'!A:C,3,FALSE),Employee!A:B,2,FALSE),"Not Specified")</f>
        <v>Ms. Zoya Dolgopyatova</v>
      </c>
      <c r="I1884">
        <f>IFERROR(VLOOKUP(VLOOKUP(A1884,'Sales Order'!A:C,3,FALSE),Employee!A:J,10,FALSE),"Not Specified")</f>
        <v>0</v>
      </c>
      <c r="J1884" t="str">
        <f>VLOOKUP(B1884,Product!A:B,2,FALSE)</f>
        <v>Product WVJFP</v>
      </c>
      <c r="K1884" t="str">
        <f>VLOOKUP(VLOOKUP(B1884,Product!A:D,4,FALSE),Category!A:B,2,FALSE)</f>
        <v>Condiments</v>
      </c>
      <c r="L1884" s="24">
        <f>IFERROR(VLOOKUP(A1884,'Sales Order'!A:D,4,FALSE),"")</f>
        <v>39533</v>
      </c>
      <c r="M1884" s="24">
        <f>IFERROR(VLOOKUP(A1884,'Sales Order'!A:F,6,FALSE),"")</f>
        <v>39561</v>
      </c>
      <c r="N1884" t="str">
        <f>IFERROR(VLOOKUP(VLOOKUP(A1884,'Sales Order'!A:G,7,FALSE),Shipper!A:B,2,FALSE),"Not Specified")</f>
        <v>Shipper ETYNR</v>
      </c>
      <c r="O1884" t="str">
        <f>IFERROR(VLOOKUP(A1884,'Sales Order'!A:I,9,FALSE),"Not Specified")</f>
        <v>Ship to 50-A</v>
      </c>
      <c r="P1884" t="str">
        <f>IFERROR(VLOOKUP(A1884,'Sales Order'!A:N,14,FALSE),"Not Specified")</f>
        <v>Belgium</v>
      </c>
      <c r="Q1884" t="str">
        <f>VLOOKUP(VLOOKUP(B1884,Product!A:C,3,FALSE),Supplier!A:B,2,FALSE)</f>
        <v>Supplier STUAZ</v>
      </c>
      <c r="R1884" t="str">
        <f>VLOOKUP(VLOOKUP(B1884,Product!A:C,3,FALSE),Supplier!A:I,9,FALSE)</f>
        <v>USA</v>
      </c>
      <c r="S1884" t="str">
        <f>IFERROR(IF(VLOOKUP(A1884,'Sales Order'!A:H,8,FALSE)&gt;100,"High Freight","Low Freight"),"Not Specified")</f>
        <v>Low Freight</v>
      </c>
      <c r="T1884">
        <f t="shared" si="59"/>
        <v>680</v>
      </c>
    </row>
    <row r="1885" spans="1:20">
      <c r="A1885" s="9">
        <v>10978</v>
      </c>
      <c r="B1885" s="6">
        <v>21</v>
      </c>
      <c r="C1885" s="6">
        <v>10</v>
      </c>
      <c r="D1885" s="6">
        <v>40</v>
      </c>
      <c r="E1885" s="18">
        <v>0.15</v>
      </c>
      <c r="F1885" s="6" t="str">
        <f>IFERROR(VLOOKUP(VLOOKUP(A1885,'Sales Order'!A:B,2,FALSE),Customer!A:C,3,FALSE),"Not Specified")</f>
        <v>Mace, Donald</v>
      </c>
      <c r="G1885" s="6" t="str">
        <f t="shared" si="58"/>
        <v>Mace Donald</v>
      </c>
      <c r="H1885" s="22" t="str">
        <f>IFERROR(VLOOKUP(VLOOKUP(A1885,'Sales Order'!A:C,3,FALSE),Employee!A:E,5,FALSE)&amp;" "&amp;VLOOKUP(VLOOKUP(A1885,'Sales Order'!A:C,3,FALSE),Employee!A:C,3,FALSE)&amp;" "&amp;VLOOKUP(VLOOKUP(A1885,'Sales Order'!A:C,3,FALSE),Employee!A:B,2,FALSE),"Not Specified")</f>
        <v>Ms. Zoya Dolgopyatova</v>
      </c>
      <c r="I1885">
        <f>IFERROR(VLOOKUP(VLOOKUP(A1885,'Sales Order'!A:C,3,FALSE),Employee!A:J,10,FALSE),"Not Specified")</f>
        <v>0</v>
      </c>
      <c r="J1885" t="str">
        <f>VLOOKUP(B1885,Product!A:B,2,FALSE)</f>
        <v>Product VJZZH</v>
      </c>
      <c r="K1885" t="str">
        <f>VLOOKUP(VLOOKUP(B1885,Product!A:D,4,FALSE),Category!A:B,2,FALSE)</f>
        <v>Confections</v>
      </c>
      <c r="L1885" s="24">
        <f>IFERROR(VLOOKUP(A1885,'Sales Order'!A:D,4,FALSE),"")</f>
        <v>39533</v>
      </c>
      <c r="M1885" s="24">
        <f>IFERROR(VLOOKUP(A1885,'Sales Order'!A:F,6,FALSE),"")</f>
        <v>39561</v>
      </c>
      <c r="N1885" t="str">
        <f>IFERROR(VLOOKUP(VLOOKUP(A1885,'Sales Order'!A:G,7,FALSE),Shipper!A:B,2,FALSE),"Not Specified")</f>
        <v>Shipper ETYNR</v>
      </c>
      <c r="O1885" t="str">
        <f>IFERROR(VLOOKUP(A1885,'Sales Order'!A:I,9,FALSE),"Not Specified")</f>
        <v>Ship to 50-A</v>
      </c>
      <c r="P1885" t="str">
        <f>IFERROR(VLOOKUP(A1885,'Sales Order'!A:N,14,FALSE),"Not Specified")</f>
        <v>Belgium</v>
      </c>
      <c r="Q1885" t="str">
        <f>VLOOKUP(VLOOKUP(B1885,Product!A:C,3,FALSE),Supplier!A:B,2,FALSE)</f>
        <v>Supplier BWGYE</v>
      </c>
      <c r="R1885" t="str">
        <f>VLOOKUP(VLOOKUP(B1885,Product!A:C,3,FALSE),Supplier!A:I,9,FALSE)</f>
        <v>UK</v>
      </c>
      <c r="S1885" t="str">
        <f>IFERROR(IF(VLOOKUP(A1885,'Sales Order'!A:H,8,FALSE)&gt;100,"High Freight","Low Freight"),"Not Specified")</f>
        <v>Low Freight</v>
      </c>
      <c r="T1885">
        <f t="shared" si="59"/>
        <v>340</v>
      </c>
    </row>
    <row r="1886" spans="1:20">
      <c r="A1886" s="9">
        <v>10978</v>
      </c>
      <c r="B1886" s="6">
        <v>40</v>
      </c>
      <c r="C1886" s="6">
        <v>18.399999999999999</v>
      </c>
      <c r="D1886" s="6">
        <v>10</v>
      </c>
      <c r="E1886" s="18">
        <v>0</v>
      </c>
      <c r="F1886" s="6" t="str">
        <f>IFERROR(VLOOKUP(VLOOKUP(A1886,'Sales Order'!A:B,2,FALSE),Customer!A:C,3,FALSE),"Not Specified")</f>
        <v>Mace, Donald</v>
      </c>
      <c r="G1886" s="6" t="str">
        <f t="shared" si="58"/>
        <v>Mace Donald</v>
      </c>
      <c r="H1886" s="22" t="str">
        <f>IFERROR(VLOOKUP(VLOOKUP(A1886,'Sales Order'!A:C,3,FALSE),Employee!A:E,5,FALSE)&amp;" "&amp;VLOOKUP(VLOOKUP(A1886,'Sales Order'!A:C,3,FALSE),Employee!A:C,3,FALSE)&amp;" "&amp;VLOOKUP(VLOOKUP(A1886,'Sales Order'!A:C,3,FALSE),Employee!A:B,2,FALSE),"Not Specified")</f>
        <v>Ms. Zoya Dolgopyatova</v>
      </c>
      <c r="I1886">
        <f>IFERROR(VLOOKUP(VLOOKUP(A1886,'Sales Order'!A:C,3,FALSE),Employee!A:J,10,FALSE),"Not Specified")</f>
        <v>0</v>
      </c>
      <c r="J1886" t="str">
        <f>VLOOKUP(B1886,Product!A:B,2,FALSE)</f>
        <v>Product YZIXQ</v>
      </c>
      <c r="K1886" t="str">
        <f>VLOOKUP(VLOOKUP(B1886,Product!A:D,4,FALSE),Category!A:B,2,FALSE)</f>
        <v>Seafood</v>
      </c>
      <c r="L1886" s="24">
        <f>IFERROR(VLOOKUP(A1886,'Sales Order'!A:D,4,FALSE),"")</f>
        <v>39533</v>
      </c>
      <c r="M1886" s="24">
        <f>IFERROR(VLOOKUP(A1886,'Sales Order'!A:F,6,FALSE),"")</f>
        <v>39561</v>
      </c>
      <c r="N1886" t="str">
        <f>IFERROR(VLOOKUP(VLOOKUP(A1886,'Sales Order'!A:G,7,FALSE),Shipper!A:B,2,FALSE),"Not Specified")</f>
        <v>Shipper ETYNR</v>
      </c>
      <c r="O1886" t="str">
        <f>IFERROR(VLOOKUP(A1886,'Sales Order'!A:I,9,FALSE),"Not Specified")</f>
        <v>Ship to 50-A</v>
      </c>
      <c r="P1886" t="str">
        <f>IFERROR(VLOOKUP(A1886,'Sales Order'!A:N,14,FALSE),"Not Specified")</f>
        <v>Belgium</v>
      </c>
      <c r="Q1886" t="str">
        <f>VLOOKUP(VLOOKUP(B1886,Product!A:C,3,FALSE),Supplier!A:B,2,FALSE)</f>
        <v>Supplier JDNUG</v>
      </c>
      <c r="R1886" t="str">
        <f>VLOOKUP(VLOOKUP(B1886,Product!A:C,3,FALSE),Supplier!A:I,9,FALSE)</f>
        <v>USA</v>
      </c>
      <c r="S1886" t="str">
        <f>IFERROR(IF(VLOOKUP(A1886,'Sales Order'!A:H,8,FALSE)&gt;100,"High Freight","Low Freight"),"Not Specified")</f>
        <v>Low Freight</v>
      </c>
      <c r="T1886">
        <f t="shared" si="59"/>
        <v>184</v>
      </c>
    </row>
    <row r="1887" spans="1:20">
      <c r="A1887" s="9">
        <v>10978</v>
      </c>
      <c r="B1887" s="6">
        <v>44</v>
      </c>
      <c r="C1887" s="6">
        <v>19.45</v>
      </c>
      <c r="D1887" s="6">
        <v>6</v>
      </c>
      <c r="E1887" s="18">
        <v>0.15</v>
      </c>
      <c r="F1887" s="6" t="str">
        <f>IFERROR(VLOOKUP(VLOOKUP(A1887,'Sales Order'!A:B,2,FALSE),Customer!A:C,3,FALSE),"Not Specified")</f>
        <v>Mace, Donald</v>
      </c>
      <c r="G1887" s="6" t="str">
        <f t="shared" si="58"/>
        <v>Mace Donald</v>
      </c>
      <c r="H1887" s="22" t="str">
        <f>IFERROR(VLOOKUP(VLOOKUP(A1887,'Sales Order'!A:C,3,FALSE),Employee!A:E,5,FALSE)&amp;" "&amp;VLOOKUP(VLOOKUP(A1887,'Sales Order'!A:C,3,FALSE),Employee!A:C,3,FALSE)&amp;" "&amp;VLOOKUP(VLOOKUP(A1887,'Sales Order'!A:C,3,FALSE),Employee!A:B,2,FALSE),"Not Specified")</f>
        <v>Ms. Zoya Dolgopyatova</v>
      </c>
      <c r="I1887">
        <f>IFERROR(VLOOKUP(VLOOKUP(A1887,'Sales Order'!A:C,3,FALSE),Employee!A:J,10,FALSE),"Not Specified")</f>
        <v>0</v>
      </c>
      <c r="J1887" t="str">
        <f>VLOOKUP(B1887,Product!A:B,2,FALSE)</f>
        <v>Product VJIEO</v>
      </c>
      <c r="K1887" t="str">
        <f>VLOOKUP(VLOOKUP(B1887,Product!A:D,4,FALSE),Category!A:B,2,FALSE)</f>
        <v>Condiments</v>
      </c>
      <c r="L1887" s="24">
        <f>IFERROR(VLOOKUP(A1887,'Sales Order'!A:D,4,FALSE),"")</f>
        <v>39533</v>
      </c>
      <c r="M1887" s="24">
        <f>IFERROR(VLOOKUP(A1887,'Sales Order'!A:F,6,FALSE),"")</f>
        <v>39561</v>
      </c>
      <c r="N1887" t="str">
        <f>IFERROR(VLOOKUP(VLOOKUP(A1887,'Sales Order'!A:G,7,FALSE),Shipper!A:B,2,FALSE),"Not Specified")</f>
        <v>Shipper ETYNR</v>
      </c>
      <c r="O1887" t="str">
        <f>IFERROR(VLOOKUP(A1887,'Sales Order'!A:I,9,FALSE),"Not Specified")</f>
        <v>Ship to 50-A</v>
      </c>
      <c r="P1887" t="str">
        <f>IFERROR(VLOOKUP(A1887,'Sales Order'!A:N,14,FALSE),"Not Specified")</f>
        <v>Belgium</v>
      </c>
      <c r="Q1887" t="str">
        <f>VLOOKUP(VLOOKUP(B1887,Product!A:C,3,FALSE),Supplier!A:B,2,FALSE)</f>
        <v>Supplier CIYNM</v>
      </c>
      <c r="R1887" t="str">
        <f>VLOOKUP(VLOOKUP(B1887,Product!A:C,3,FALSE),Supplier!A:I,9,FALSE)</f>
        <v>Singapore</v>
      </c>
      <c r="S1887" t="str">
        <f>IFERROR(IF(VLOOKUP(A1887,'Sales Order'!A:H,8,FALSE)&gt;100,"High Freight","Low Freight"),"Not Specified")</f>
        <v>Low Freight</v>
      </c>
      <c r="T1887">
        <f t="shared" si="59"/>
        <v>99.194999999999993</v>
      </c>
    </row>
    <row r="1888" spans="1:20">
      <c r="A1888" s="9">
        <v>10979</v>
      </c>
      <c r="B1888" s="6">
        <v>7</v>
      </c>
      <c r="C1888" s="6">
        <v>30</v>
      </c>
      <c r="D1888" s="6">
        <v>18</v>
      </c>
      <c r="E1888" s="18">
        <v>0</v>
      </c>
      <c r="F1888" s="6" t="str">
        <f>IFERROR(VLOOKUP(VLOOKUP(A1888,'Sales Order'!A:B,2,FALSE),Customer!A:C,3,FALSE),"Not Specified")</f>
        <v>Kane, John</v>
      </c>
      <c r="G1888" s="6" t="str">
        <f t="shared" si="58"/>
        <v>Kane John</v>
      </c>
      <c r="H1888" s="22" t="str">
        <f>IFERROR(VLOOKUP(VLOOKUP(A1888,'Sales Order'!A:C,3,FALSE),Employee!A:E,5,FALSE)&amp;" "&amp;VLOOKUP(VLOOKUP(A1888,'Sales Order'!A:C,3,FALSE),Employee!A:C,3,FALSE)&amp;" "&amp;VLOOKUP(VLOOKUP(A1888,'Sales Order'!A:C,3,FALSE),Employee!A:B,2,FALSE),"Not Specified")</f>
        <v>Ms. Maria Cameron</v>
      </c>
      <c r="I1888" t="str">
        <f>IFERROR(VLOOKUP(VLOOKUP(A1888,'Sales Order'!A:C,3,FALSE),Employee!A:J,10,FALSE),"Not Specified")</f>
        <v>WA</v>
      </c>
      <c r="J1888" t="str">
        <f>VLOOKUP(B1888,Product!A:B,2,FALSE)</f>
        <v>Product HMLNI</v>
      </c>
      <c r="K1888" t="str">
        <f>VLOOKUP(VLOOKUP(B1888,Product!A:D,4,FALSE),Category!A:B,2,FALSE)</f>
        <v>Produce</v>
      </c>
      <c r="L1888" s="24">
        <f>IFERROR(VLOOKUP(A1888,'Sales Order'!A:D,4,FALSE),"")</f>
        <v>39533</v>
      </c>
      <c r="M1888" s="24">
        <f>IFERROR(VLOOKUP(A1888,'Sales Order'!A:F,6,FALSE),"")</f>
        <v>39538</v>
      </c>
      <c r="N1888" t="str">
        <f>IFERROR(VLOOKUP(VLOOKUP(A1888,'Sales Order'!A:G,7,FALSE),Shipper!A:B,2,FALSE),"Not Specified")</f>
        <v>Shipper ETYNR</v>
      </c>
      <c r="O1888" t="str">
        <f>IFERROR(VLOOKUP(A1888,'Sales Order'!A:I,9,FALSE),"Not Specified")</f>
        <v>Destination CUVPF</v>
      </c>
      <c r="P1888" t="str">
        <f>IFERROR(VLOOKUP(A1888,'Sales Order'!A:N,14,FALSE),"Not Specified")</f>
        <v>Austria</v>
      </c>
      <c r="Q1888" t="str">
        <f>VLOOKUP(VLOOKUP(B1888,Product!A:C,3,FALSE),Supplier!A:B,2,FALSE)</f>
        <v>Supplier STUAZ</v>
      </c>
      <c r="R1888" t="str">
        <f>VLOOKUP(VLOOKUP(B1888,Product!A:C,3,FALSE),Supplier!A:I,9,FALSE)</f>
        <v>USA</v>
      </c>
      <c r="S1888" t="str">
        <f>IFERROR(IF(VLOOKUP(A1888,'Sales Order'!A:H,8,FALSE)&gt;100,"High Freight","Low Freight"),"Not Specified")</f>
        <v>High Freight</v>
      </c>
      <c r="T1888">
        <f t="shared" si="59"/>
        <v>540</v>
      </c>
    </row>
    <row r="1889" spans="1:20">
      <c r="A1889" s="9">
        <v>10979</v>
      </c>
      <c r="B1889" s="6">
        <v>12</v>
      </c>
      <c r="C1889" s="6">
        <v>38</v>
      </c>
      <c r="D1889" s="6">
        <v>20</v>
      </c>
      <c r="E1889" s="18">
        <v>0</v>
      </c>
      <c r="F1889" s="6" t="str">
        <f>IFERROR(VLOOKUP(VLOOKUP(A1889,'Sales Order'!A:B,2,FALSE),Customer!A:C,3,FALSE),"Not Specified")</f>
        <v>Kane, John</v>
      </c>
      <c r="G1889" s="6" t="str">
        <f t="shared" si="58"/>
        <v>Kane John</v>
      </c>
      <c r="H1889" s="22" t="str">
        <f>IFERROR(VLOOKUP(VLOOKUP(A1889,'Sales Order'!A:C,3,FALSE),Employee!A:E,5,FALSE)&amp;" "&amp;VLOOKUP(VLOOKUP(A1889,'Sales Order'!A:C,3,FALSE),Employee!A:C,3,FALSE)&amp;" "&amp;VLOOKUP(VLOOKUP(A1889,'Sales Order'!A:C,3,FALSE),Employee!A:B,2,FALSE),"Not Specified")</f>
        <v>Ms. Maria Cameron</v>
      </c>
      <c r="I1889" t="str">
        <f>IFERROR(VLOOKUP(VLOOKUP(A1889,'Sales Order'!A:C,3,FALSE),Employee!A:J,10,FALSE),"Not Specified")</f>
        <v>WA</v>
      </c>
      <c r="J1889" t="str">
        <f>VLOOKUP(B1889,Product!A:B,2,FALSE)</f>
        <v>Product OSFNS</v>
      </c>
      <c r="K1889" t="str">
        <f>VLOOKUP(VLOOKUP(B1889,Product!A:D,4,FALSE),Category!A:B,2,FALSE)</f>
        <v>Dairy Product</v>
      </c>
      <c r="L1889" s="24">
        <f>IFERROR(VLOOKUP(A1889,'Sales Order'!A:D,4,FALSE),"")</f>
        <v>39533</v>
      </c>
      <c r="M1889" s="24">
        <f>IFERROR(VLOOKUP(A1889,'Sales Order'!A:F,6,FALSE),"")</f>
        <v>39538</v>
      </c>
      <c r="N1889" t="str">
        <f>IFERROR(VLOOKUP(VLOOKUP(A1889,'Sales Order'!A:G,7,FALSE),Shipper!A:B,2,FALSE),"Not Specified")</f>
        <v>Shipper ETYNR</v>
      </c>
      <c r="O1889" t="str">
        <f>IFERROR(VLOOKUP(A1889,'Sales Order'!A:I,9,FALSE),"Not Specified")</f>
        <v>Destination CUVPF</v>
      </c>
      <c r="P1889" t="str">
        <f>IFERROR(VLOOKUP(A1889,'Sales Order'!A:N,14,FALSE),"Not Specified")</f>
        <v>Austria</v>
      </c>
      <c r="Q1889" t="str">
        <f>VLOOKUP(VLOOKUP(B1889,Product!A:C,3,FALSE),Supplier!A:B,2,FALSE)</f>
        <v>Supplier EQPNC</v>
      </c>
      <c r="R1889" t="str">
        <f>VLOOKUP(VLOOKUP(B1889,Product!A:C,3,FALSE),Supplier!A:I,9,FALSE)</f>
        <v>Spain</v>
      </c>
      <c r="S1889" t="str">
        <f>IFERROR(IF(VLOOKUP(A1889,'Sales Order'!A:H,8,FALSE)&gt;100,"High Freight","Low Freight"),"Not Specified")</f>
        <v>High Freight</v>
      </c>
      <c r="T1889">
        <f t="shared" si="59"/>
        <v>760</v>
      </c>
    </row>
    <row r="1890" spans="1:20">
      <c r="A1890" s="9">
        <v>10979</v>
      </c>
      <c r="B1890" s="6">
        <v>24</v>
      </c>
      <c r="C1890" s="6">
        <v>4.5</v>
      </c>
      <c r="D1890" s="6">
        <v>80</v>
      </c>
      <c r="E1890" s="18">
        <v>0</v>
      </c>
      <c r="F1890" s="6" t="str">
        <f>IFERROR(VLOOKUP(VLOOKUP(A1890,'Sales Order'!A:B,2,FALSE),Customer!A:C,3,FALSE),"Not Specified")</f>
        <v>Kane, John</v>
      </c>
      <c r="G1890" s="6" t="str">
        <f t="shared" si="58"/>
        <v>Kane John</v>
      </c>
      <c r="H1890" s="22" t="str">
        <f>IFERROR(VLOOKUP(VLOOKUP(A1890,'Sales Order'!A:C,3,FALSE),Employee!A:E,5,FALSE)&amp;" "&amp;VLOOKUP(VLOOKUP(A1890,'Sales Order'!A:C,3,FALSE),Employee!A:C,3,FALSE)&amp;" "&amp;VLOOKUP(VLOOKUP(A1890,'Sales Order'!A:C,3,FALSE),Employee!A:B,2,FALSE),"Not Specified")</f>
        <v>Ms. Maria Cameron</v>
      </c>
      <c r="I1890" t="str">
        <f>IFERROR(VLOOKUP(VLOOKUP(A1890,'Sales Order'!A:C,3,FALSE),Employee!A:J,10,FALSE),"Not Specified")</f>
        <v>WA</v>
      </c>
      <c r="J1890" t="str">
        <f>VLOOKUP(B1890,Product!A:B,2,FALSE)</f>
        <v>Product QOGNU</v>
      </c>
      <c r="K1890" t="str">
        <f>VLOOKUP(VLOOKUP(B1890,Product!A:D,4,FALSE),Category!A:B,2,FALSE)</f>
        <v>Beverages</v>
      </c>
      <c r="L1890" s="24">
        <f>IFERROR(VLOOKUP(A1890,'Sales Order'!A:D,4,FALSE),"")</f>
        <v>39533</v>
      </c>
      <c r="M1890" s="24">
        <f>IFERROR(VLOOKUP(A1890,'Sales Order'!A:F,6,FALSE),"")</f>
        <v>39538</v>
      </c>
      <c r="N1890" t="str">
        <f>IFERROR(VLOOKUP(VLOOKUP(A1890,'Sales Order'!A:G,7,FALSE),Shipper!A:B,2,FALSE),"Not Specified")</f>
        <v>Shipper ETYNR</v>
      </c>
      <c r="O1890" t="str">
        <f>IFERROR(VLOOKUP(A1890,'Sales Order'!A:I,9,FALSE),"Not Specified")</f>
        <v>Destination CUVPF</v>
      </c>
      <c r="P1890" t="str">
        <f>IFERROR(VLOOKUP(A1890,'Sales Order'!A:N,14,FALSE),"Not Specified")</f>
        <v>Austria</v>
      </c>
      <c r="Q1890" t="str">
        <f>VLOOKUP(VLOOKUP(B1890,Product!A:C,3,FALSE),Supplier!A:B,2,FALSE)</f>
        <v>Supplier UNAHG</v>
      </c>
      <c r="R1890" t="str">
        <f>VLOOKUP(VLOOKUP(B1890,Product!A:C,3,FALSE),Supplier!A:I,9,FALSE)</f>
        <v>Brazil</v>
      </c>
      <c r="S1890" t="str">
        <f>IFERROR(IF(VLOOKUP(A1890,'Sales Order'!A:H,8,FALSE)&gt;100,"High Freight","Low Freight"),"Not Specified")</f>
        <v>High Freight</v>
      </c>
      <c r="T1890">
        <f t="shared" si="59"/>
        <v>360</v>
      </c>
    </row>
    <row r="1891" spans="1:20">
      <c r="A1891" s="9">
        <v>10979</v>
      </c>
      <c r="B1891" s="6">
        <v>27</v>
      </c>
      <c r="C1891" s="6">
        <v>43.9</v>
      </c>
      <c r="D1891" s="6">
        <v>30</v>
      </c>
      <c r="E1891" s="18">
        <v>0</v>
      </c>
      <c r="F1891" s="6" t="str">
        <f>IFERROR(VLOOKUP(VLOOKUP(A1891,'Sales Order'!A:B,2,FALSE),Customer!A:C,3,FALSE),"Not Specified")</f>
        <v>Kane, John</v>
      </c>
      <c r="G1891" s="6" t="str">
        <f t="shared" si="58"/>
        <v>Kane John</v>
      </c>
      <c r="H1891" s="22" t="str">
        <f>IFERROR(VLOOKUP(VLOOKUP(A1891,'Sales Order'!A:C,3,FALSE),Employee!A:E,5,FALSE)&amp;" "&amp;VLOOKUP(VLOOKUP(A1891,'Sales Order'!A:C,3,FALSE),Employee!A:C,3,FALSE)&amp;" "&amp;VLOOKUP(VLOOKUP(A1891,'Sales Order'!A:C,3,FALSE),Employee!A:B,2,FALSE),"Not Specified")</f>
        <v>Ms. Maria Cameron</v>
      </c>
      <c r="I1891" t="str">
        <f>IFERROR(VLOOKUP(VLOOKUP(A1891,'Sales Order'!A:C,3,FALSE),Employee!A:J,10,FALSE),"Not Specified")</f>
        <v>WA</v>
      </c>
      <c r="J1891" t="str">
        <f>VLOOKUP(B1891,Product!A:B,2,FALSE)</f>
        <v>Product SMIOH</v>
      </c>
      <c r="K1891" t="str">
        <f>VLOOKUP(VLOOKUP(B1891,Product!A:D,4,FALSE),Category!A:B,2,FALSE)</f>
        <v>Confections</v>
      </c>
      <c r="L1891" s="24">
        <f>IFERROR(VLOOKUP(A1891,'Sales Order'!A:D,4,FALSE),"")</f>
        <v>39533</v>
      </c>
      <c r="M1891" s="24">
        <f>IFERROR(VLOOKUP(A1891,'Sales Order'!A:F,6,FALSE),"")</f>
        <v>39538</v>
      </c>
      <c r="N1891" t="str">
        <f>IFERROR(VLOOKUP(VLOOKUP(A1891,'Sales Order'!A:G,7,FALSE),Shipper!A:B,2,FALSE),"Not Specified")</f>
        <v>Shipper ETYNR</v>
      </c>
      <c r="O1891" t="str">
        <f>IFERROR(VLOOKUP(A1891,'Sales Order'!A:I,9,FALSE),"Not Specified")</f>
        <v>Destination CUVPF</v>
      </c>
      <c r="P1891" t="str">
        <f>IFERROR(VLOOKUP(A1891,'Sales Order'!A:N,14,FALSE),"Not Specified")</f>
        <v>Austria</v>
      </c>
      <c r="Q1891" t="str">
        <f>VLOOKUP(VLOOKUP(B1891,Product!A:C,3,FALSE),Supplier!A:B,2,FALSE)</f>
        <v>Supplier ZPYVS</v>
      </c>
      <c r="R1891" t="str">
        <f>VLOOKUP(VLOOKUP(B1891,Product!A:C,3,FALSE),Supplier!A:I,9,FALSE)</f>
        <v>Germany</v>
      </c>
      <c r="S1891" t="str">
        <f>IFERROR(IF(VLOOKUP(A1891,'Sales Order'!A:H,8,FALSE)&gt;100,"High Freight","Low Freight"),"Not Specified")</f>
        <v>High Freight</v>
      </c>
      <c r="T1891">
        <f t="shared" si="59"/>
        <v>1317</v>
      </c>
    </row>
    <row r="1892" spans="1:20">
      <c r="A1892" s="9">
        <v>10979</v>
      </c>
      <c r="B1892" s="6">
        <v>31</v>
      </c>
      <c r="C1892" s="6">
        <v>12.5</v>
      </c>
      <c r="D1892" s="6">
        <v>24</v>
      </c>
      <c r="E1892" s="18">
        <v>0</v>
      </c>
      <c r="F1892" s="6" t="str">
        <f>IFERROR(VLOOKUP(VLOOKUP(A1892,'Sales Order'!A:B,2,FALSE),Customer!A:C,3,FALSE),"Not Specified")</f>
        <v>Kane, John</v>
      </c>
      <c r="G1892" s="6" t="str">
        <f t="shared" si="58"/>
        <v>Kane John</v>
      </c>
      <c r="H1892" s="22" t="str">
        <f>IFERROR(VLOOKUP(VLOOKUP(A1892,'Sales Order'!A:C,3,FALSE),Employee!A:E,5,FALSE)&amp;" "&amp;VLOOKUP(VLOOKUP(A1892,'Sales Order'!A:C,3,FALSE),Employee!A:C,3,FALSE)&amp;" "&amp;VLOOKUP(VLOOKUP(A1892,'Sales Order'!A:C,3,FALSE),Employee!A:B,2,FALSE),"Not Specified")</f>
        <v>Ms. Maria Cameron</v>
      </c>
      <c r="I1892" t="str">
        <f>IFERROR(VLOOKUP(VLOOKUP(A1892,'Sales Order'!A:C,3,FALSE),Employee!A:J,10,FALSE),"Not Specified")</f>
        <v>WA</v>
      </c>
      <c r="J1892" t="str">
        <f>VLOOKUP(B1892,Product!A:B,2,FALSE)</f>
        <v>Product XWOXC</v>
      </c>
      <c r="K1892" t="str">
        <f>VLOOKUP(VLOOKUP(B1892,Product!A:D,4,FALSE),Category!A:B,2,FALSE)</f>
        <v>Dairy Product</v>
      </c>
      <c r="L1892" s="24">
        <f>IFERROR(VLOOKUP(A1892,'Sales Order'!A:D,4,FALSE),"")</f>
        <v>39533</v>
      </c>
      <c r="M1892" s="24">
        <f>IFERROR(VLOOKUP(A1892,'Sales Order'!A:F,6,FALSE),"")</f>
        <v>39538</v>
      </c>
      <c r="N1892" t="str">
        <f>IFERROR(VLOOKUP(VLOOKUP(A1892,'Sales Order'!A:G,7,FALSE),Shipper!A:B,2,FALSE),"Not Specified")</f>
        <v>Shipper ETYNR</v>
      </c>
      <c r="O1892" t="str">
        <f>IFERROR(VLOOKUP(A1892,'Sales Order'!A:I,9,FALSE),"Not Specified")</f>
        <v>Destination CUVPF</v>
      </c>
      <c r="P1892" t="str">
        <f>IFERROR(VLOOKUP(A1892,'Sales Order'!A:N,14,FALSE),"Not Specified")</f>
        <v>Austria</v>
      </c>
      <c r="Q1892" t="str">
        <f>VLOOKUP(VLOOKUP(B1892,Product!A:C,3,FALSE),Supplier!A:B,2,FALSE)</f>
        <v>Supplier KEREV</v>
      </c>
      <c r="R1892" t="str">
        <f>VLOOKUP(VLOOKUP(B1892,Product!A:C,3,FALSE),Supplier!A:I,9,FALSE)</f>
        <v>Italy</v>
      </c>
      <c r="S1892" t="str">
        <f>IFERROR(IF(VLOOKUP(A1892,'Sales Order'!A:H,8,FALSE)&gt;100,"High Freight","Low Freight"),"Not Specified")</f>
        <v>High Freight</v>
      </c>
      <c r="T1892">
        <f t="shared" si="59"/>
        <v>300</v>
      </c>
    </row>
    <row r="1893" spans="1:20">
      <c r="A1893" s="9">
        <v>10979</v>
      </c>
      <c r="B1893" s="6">
        <v>63</v>
      </c>
      <c r="C1893" s="6">
        <v>43.9</v>
      </c>
      <c r="D1893" s="6">
        <v>35</v>
      </c>
      <c r="E1893" s="18">
        <v>0</v>
      </c>
      <c r="F1893" s="6" t="str">
        <f>IFERROR(VLOOKUP(VLOOKUP(A1893,'Sales Order'!A:B,2,FALSE),Customer!A:C,3,FALSE),"Not Specified")</f>
        <v>Kane, John</v>
      </c>
      <c r="G1893" s="6" t="str">
        <f t="shared" si="58"/>
        <v>Kane John</v>
      </c>
      <c r="H1893" s="22" t="str">
        <f>IFERROR(VLOOKUP(VLOOKUP(A1893,'Sales Order'!A:C,3,FALSE),Employee!A:E,5,FALSE)&amp;" "&amp;VLOOKUP(VLOOKUP(A1893,'Sales Order'!A:C,3,FALSE),Employee!A:C,3,FALSE)&amp;" "&amp;VLOOKUP(VLOOKUP(A1893,'Sales Order'!A:C,3,FALSE),Employee!A:B,2,FALSE),"Not Specified")</f>
        <v>Ms. Maria Cameron</v>
      </c>
      <c r="I1893" t="str">
        <f>IFERROR(VLOOKUP(VLOOKUP(A1893,'Sales Order'!A:C,3,FALSE),Employee!A:J,10,FALSE),"Not Specified")</f>
        <v>WA</v>
      </c>
      <c r="J1893" t="str">
        <f>VLOOKUP(B1893,Product!A:B,2,FALSE)</f>
        <v>Product ICKNK</v>
      </c>
      <c r="K1893" t="str">
        <f>VLOOKUP(VLOOKUP(B1893,Product!A:D,4,FALSE),Category!A:B,2,FALSE)</f>
        <v>Condiments</v>
      </c>
      <c r="L1893" s="24">
        <f>IFERROR(VLOOKUP(A1893,'Sales Order'!A:D,4,FALSE),"")</f>
        <v>39533</v>
      </c>
      <c r="M1893" s="24">
        <f>IFERROR(VLOOKUP(A1893,'Sales Order'!A:F,6,FALSE),"")</f>
        <v>39538</v>
      </c>
      <c r="N1893" t="str">
        <f>IFERROR(VLOOKUP(VLOOKUP(A1893,'Sales Order'!A:G,7,FALSE),Shipper!A:B,2,FALSE),"Not Specified")</f>
        <v>Shipper ETYNR</v>
      </c>
      <c r="O1893" t="str">
        <f>IFERROR(VLOOKUP(A1893,'Sales Order'!A:I,9,FALSE),"Not Specified")</f>
        <v>Destination CUVPF</v>
      </c>
      <c r="P1893" t="str">
        <f>IFERROR(VLOOKUP(A1893,'Sales Order'!A:N,14,FALSE),"Not Specified")</f>
        <v>Austria</v>
      </c>
      <c r="Q1893" t="str">
        <f>VLOOKUP(VLOOKUP(B1893,Product!A:C,3,FALSE),Supplier!A:B,2,FALSE)</f>
        <v>Supplier GQRCV</v>
      </c>
      <c r="R1893" t="str">
        <f>VLOOKUP(VLOOKUP(B1893,Product!A:C,3,FALSE),Supplier!A:I,9,FALSE)</f>
        <v>Australia</v>
      </c>
      <c r="S1893" t="str">
        <f>IFERROR(IF(VLOOKUP(A1893,'Sales Order'!A:H,8,FALSE)&gt;100,"High Freight","Low Freight"),"Not Specified")</f>
        <v>High Freight</v>
      </c>
      <c r="T1893">
        <f t="shared" si="59"/>
        <v>1536.5</v>
      </c>
    </row>
    <row r="1894" spans="1:20">
      <c r="A1894" s="9">
        <v>10980</v>
      </c>
      <c r="B1894" s="6">
        <v>75</v>
      </c>
      <c r="C1894" s="6">
        <v>7.75</v>
      </c>
      <c r="D1894" s="6">
        <v>40</v>
      </c>
      <c r="E1894" s="18">
        <v>0.2</v>
      </c>
      <c r="F1894" s="6" t="str">
        <f>IFERROR(VLOOKUP(VLOOKUP(A1894,'Sales Order'!A:B,2,FALSE),Customer!A:C,3,FALSE),"Not Specified")</f>
        <v>San Juan, Patricia</v>
      </c>
      <c r="G1894" s="6" t="str">
        <f t="shared" si="58"/>
        <v>San Juan Patricia</v>
      </c>
      <c r="H1894" s="22" t="str">
        <f>IFERROR(VLOOKUP(VLOOKUP(A1894,'Sales Order'!A:C,3,FALSE),Employee!A:E,5,FALSE)&amp;" "&amp;VLOOKUP(VLOOKUP(A1894,'Sales Order'!A:C,3,FALSE),Employee!A:C,3,FALSE)&amp;" "&amp;VLOOKUP(VLOOKUP(A1894,'Sales Order'!A:C,3,FALSE),Employee!A:B,2,FALSE),"Not Specified")</f>
        <v>Mrs. Yael Peled</v>
      </c>
      <c r="I1894" t="str">
        <f>IFERROR(VLOOKUP(VLOOKUP(A1894,'Sales Order'!A:C,3,FALSE),Employee!A:J,10,FALSE),"Not Specified")</f>
        <v>WA</v>
      </c>
      <c r="J1894" t="str">
        <f>VLOOKUP(B1894,Product!A:B,2,FALSE)</f>
        <v>Product BWRLG</v>
      </c>
      <c r="K1894" t="str">
        <f>VLOOKUP(VLOOKUP(B1894,Product!A:D,4,FALSE),Category!A:B,2,FALSE)</f>
        <v>Beverages</v>
      </c>
      <c r="L1894" s="24">
        <f>IFERROR(VLOOKUP(A1894,'Sales Order'!A:D,4,FALSE),"")</f>
        <v>39534</v>
      </c>
      <c r="M1894" s="24">
        <f>IFERROR(VLOOKUP(A1894,'Sales Order'!A:F,6,FALSE),"")</f>
        <v>39555</v>
      </c>
      <c r="N1894" t="str">
        <f>IFERROR(VLOOKUP(VLOOKUP(A1894,'Sales Order'!A:G,7,FALSE),Shipper!A:B,2,FALSE),"Not Specified")</f>
        <v>Shipper GVSUA</v>
      </c>
      <c r="O1894" t="str">
        <f>IFERROR(VLOOKUP(A1894,'Sales Order'!A:I,9,FALSE),"Not Specified")</f>
        <v>Destination YCMPK</v>
      </c>
      <c r="P1894" t="str">
        <f>IFERROR(VLOOKUP(A1894,'Sales Order'!A:N,14,FALSE),"Not Specified")</f>
        <v>Sweden</v>
      </c>
      <c r="Q1894" t="str">
        <f>VLOOKUP(VLOOKUP(B1894,Product!A:C,3,FALSE),Supplier!A:B,2,FALSE)</f>
        <v>Supplier SVIYA</v>
      </c>
      <c r="R1894" t="str">
        <f>VLOOKUP(VLOOKUP(B1894,Product!A:C,3,FALSE),Supplier!A:I,9,FALSE)</f>
        <v>Germany</v>
      </c>
      <c r="S1894" t="str">
        <f>IFERROR(IF(VLOOKUP(A1894,'Sales Order'!A:H,8,FALSE)&gt;100,"High Freight","Low Freight"),"Not Specified")</f>
        <v>Low Freight</v>
      </c>
      <c r="T1894">
        <f t="shared" si="59"/>
        <v>248</v>
      </c>
    </row>
    <row r="1895" spans="1:20">
      <c r="A1895" s="9">
        <v>10981</v>
      </c>
      <c r="B1895" s="6">
        <v>38</v>
      </c>
      <c r="C1895" s="6">
        <v>263.5</v>
      </c>
      <c r="D1895" s="6">
        <v>60</v>
      </c>
      <c r="E1895" s="18">
        <v>0</v>
      </c>
      <c r="F1895" s="6" t="str">
        <f>IFERROR(VLOOKUP(VLOOKUP(A1895,'Sales Order'!A:B,2,FALSE),Customer!A:C,3,FALSE),"Not Specified")</f>
        <v>Cohen, Shy</v>
      </c>
      <c r="G1895" s="6" t="str">
        <f t="shared" si="58"/>
        <v>Cohen Shy</v>
      </c>
      <c r="H1895" s="22" t="str">
        <f>IFERROR(VLOOKUP(VLOOKUP(A1895,'Sales Order'!A:C,3,FALSE),Employee!A:E,5,FALSE)&amp;" "&amp;VLOOKUP(VLOOKUP(A1895,'Sales Order'!A:C,3,FALSE),Employee!A:C,3,FALSE)&amp;" "&amp;VLOOKUP(VLOOKUP(A1895,'Sales Order'!A:C,3,FALSE),Employee!A:B,2,FALSE),"Not Specified")</f>
        <v>Ms. Sara Davis</v>
      </c>
      <c r="I1895" t="str">
        <f>IFERROR(VLOOKUP(VLOOKUP(A1895,'Sales Order'!A:C,3,FALSE),Employee!A:J,10,FALSE),"Not Specified")</f>
        <v>WA</v>
      </c>
      <c r="J1895" t="str">
        <f>VLOOKUP(B1895,Product!A:B,2,FALSE)</f>
        <v>Product QDOMO</v>
      </c>
      <c r="K1895" t="str">
        <f>VLOOKUP(VLOOKUP(B1895,Product!A:D,4,FALSE),Category!A:B,2,FALSE)</f>
        <v>Beverages</v>
      </c>
      <c r="L1895" s="24">
        <f>IFERROR(VLOOKUP(A1895,'Sales Order'!A:D,4,FALSE),"")</f>
        <v>39534</v>
      </c>
      <c r="M1895" s="24">
        <f>IFERROR(VLOOKUP(A1895,'Sales Order'!A:F,6,FALSE),"")</f>
        <v>39540</v>
      </c>
      <c r="N1895" t="str">
        <f>IFERROR(VLOOKUP(VLOOKUP(A1895,'Sales Order'!A:G,7,FALSE),Shipper!A:B,2,FALSE),"Not Specified")</f>
        <v>Shipper ETYNR</v>
      </c>
      <c r="O1895" t="str">
        <f>IFERROR(VLOOKUP(A1895,'Sales Order'!A:I,9,FALSE),"Not Specified")</f>
        <v>Destination JPAIY</v>
      </c>
      <c r="P1895" t="str">
        <f>IFERROR(VLOOKUP(A1895,'Sales Order'!A:N,14,FALSE),"Not Specified")</f>
        <v>Brazil</v>
      </c>
      <c r="Q1895" t="str">
        <f>VLOOKUP(VLOOKUP(B1895,Product!A:C,3,FALSE),Supplier!A:B,2,FALSE)</f>
        <v>Supplier LVJUA</v>
      </c>
      <c r="R1895" t="str">
        <f>VLOOKUP(VLOOKUP(B1895,Product!A:C,3,FALSE),Supplier!A:I,9,FALSE)</f>
        <v>France</v>
      </c>
      <c r="S1895" t="str">
        <f>IFERROR(IF(VLOOKUP(A1895,'Sales Order'!A:H,8,FALSE)&gt;100,"High Freight","Low Freight"),"Not Specified")</f>
        <v>High Freight</v>
      </c>
      <c r="T1895">
        <f t="shared" si="59"/>
        <v>15810</v>
      </c>
    </row>
    <row r="1896" spans="1:20">
      <c r="A1896" s="9">
        <v>10982</v>
      </c>
      <c r="B1896" s="6">
        <v>7</v>
      </c>
      <c r="C1896" s="6">
        <v>30</v>
      </c>
      <c r="D1896" s="6">
        <v>20</v>
      </c>
      <c r="E1896" s="18">
        <v>0</v>
      </c>
      <c r="F1896" s="6" t="str">
        <f>IFERROR(VLOOKUP(VLOOKUP(A1896,'Sales Order'!A:B,2,FALSE),Customer!A:C,3,FALSE),"Not Specified")</f>
        <v>Bassols, Pilar Colome</v>
      </c>
      <c r="G1896" s="6" t="str">
        <f t="shared" si="58"/>
        <v>Bassols Pilar Colome</v>
      </c>
      <c r="H1896" s="22" t="str">
        <f>IFERROR(VLOOKUP(VLOOKUP(A1896,'Sales Order'!A:C,3,FALSE),Employee!A:E,5,FALSE)&amp;" "&amp;VLOOKUP(VLOOKUP(A1896,'Sales Order'!A:C,3,FALSE),Employee!A:C,3,FALSE)&amp;" "&amp;VLOOKUP(VLOOKUP(A1896,'Sales Order'!A:C,3,FALSE),Employee!A:B,2,FALSE),"Not Specified")</f>
        <v>Dr. Don Funk</v>
      </c>
      <c r="I1896" t="str">
        <f>IFERROR(VLOOKUP(VLOOKUP(A1896,'Sales Order'!A:C,3,FALSE),Employee!A:J,10,FALSE),"Not Specified")</f>
        <v>WA</v>
      </c>
      <c r="J1896" t="str">
        <f>VLOOKUP(B1896,Product!A:B,2,FALSE)</f>
        <v>Product HMLNI</v>
      </c>
      <c r="K1896" t="str">
        <f>VLOOKUP(VLOOKUP(B1896,Product!A:D,4,FALSE),Category!A:B,2,FALSE)</f>
        <v>Produce</v>
      </c>
      <c r="L1896" s="24">
        <f>IFERROR(VLOOKUP(A1896,'Sales Order'!A:D,4,FALSE),"")</f>
        <v>39534</v>
      </c>
      <c r="M1896" s="24">
        <f>IFERROR(VLOOKUP(A1896,'Sales Order'!A:F,6,FALSE),"")</f>
        <v>39546</v>
      </c>
      <c r="N1896" t="str">
        <f>IFERROR(VLOOKUP(VLOOKUP(A1896,'Sales Order'!A:G,7,FALSE),Shipper!A:B,2,FALSE),"Not Specified")</f>
        <v>Shipper GVSUA</v>
      </c>
      <c r="O1896" t="str">
        <f>IFERROR(VLOOKUP(A1896,'Sales Order'!A:I,9,FALSE),"Not Specified")</f>
        <v>Destination XJIBQ</v>
      </c>
      <c r="P1896" t="str">
        <f>IFERROR(VLOOKUP(A1896,'Sales Order'!A:N,14,FALSE),"Not Specified")</f>
        <v>Canada</v>
      </c>
      <c r="Q1896" t="str">
        <f>VLOOKUP(VLOOKUP(B1896,Product!A:C,3,FALSE),Supplier!A:B,2,FALSE)</f>
        <v>Supplier STUAZ</v>
      </c>
      <c r="R1896" t="str">
        <f>VLOOKUP(VLOOKUP(B1896,Product!A:C,3,FALSE),Supplier!A:I,9,FALSE)</f>
        <v>USA</v>
      </c>
      <c r="S1896" t="str">
        <f>IFERROR(IF(VLOOKUP(A1896,'Sales Order'!A:H,8,FALSE)&gt;100,"High Freight","Low Freight"),"Not Specified")</f>
        <v>Low Freight</v>
      </c>
      <c r="T1896">
        <f t="shared" si="59"/>
        <v>600</v>
      </c>
    </row>
    <row r="1897" spans="1:20">
      <c r="A1897" s="9">
        <v>10982</v>
      </c>
      <c r="B1897" s="6">
        <v>43</v>
      </c>
      <c r="C1897" s="6">
        <v>46</v>
      </c>
      <c r="D1897" s="6">
        <v>9</v>
      </c>
      <c r="E1897" s="18">
        <v>0</v>
      </c>
      <c r="F1897" s="6" t="str">
        <f>IFERROR(VLOOKUP(VLOOKUP(A1897,'Sales Order'!A:B,2,FALSE),Customer!A:C,3,FALSE),"Not Specified")</f>
        <v>Bassols, Pilar Colome</v>
      </c>
      <c r="G1897" s="6" t="str">
        <f t="shared" si="58"/>
        <v>Bassols Pilar Colome</v>
      </c>
      <c r="H1897" s="22" t="str">
        <f>IFERROR(VLOOKUP(VLOOKUP(A1897,'Sales Order'!A:C,3,FALSE),Employee!A:E,5,FALSE)&amp;" "&amp;VLOOKUP(VLOOKUP(A1897,'Sales Order'!A:C,3,FALSE),Employee!A:C,3,FALSE)&amp;" "&amp;VLOOKUP(VLOOKUP(A1897,'Sales Order'!A:C,3,FALSE),Employee!A:B,2,FALSE),"Not Specified")</f>
        <v>Dr. Don Funk</v>
      </c>
      <c r="I1897" t="str">
        <f>IFERROR(VLOOKUP(VLOOKUP(A1897,'Sales Order'!A:C,3,FALSE),Employee!A:J,10,FALSE),"Not Specified")</f>
        <v>WA</v>
      </c>
      <c r="J1897" t="str">
        <f>VLOOKUP(B1897,Product!A:B,2,FALSE)</f>
        <v>Product ZZZHR</v>
      </c>
      <c r="K1897" t="str">
        <f>VLOOKUP(VLOOKUP(B1897,Product!A:D,4,FALSE),Category!A:B,2,FALSE)</f>
        <v>Beverages</v>
      </c>
      <c r="L1897" s="24">
        <f>IFERROR(VLOOKUP(A1897,'Sales Order'!A:D,4,FALSE),"")</f>
        <v>39534</v>
      </c>
      <c r="M1897" s="24">
        <f>IFERROR(VLOOKUP(A1897,'Sales Order'!A:F,6,FALSE),"")</f>
        <v>39546</v>
      </c>
      <c r="N1897" t="str">
        <f>IFERROR(VLOOKUP(VLOOKUP(A1897,'Sales Order'!A:G,7,FALSE),Shipper!A:B,2,FALSE),"Not Specified")</f>
        <v>Shipper GVSUA</v>
      </c>
      <c r="O1897" t="str">
        <f>IFERROR(VLOOKUP(A1897,'Sales Order'!A:I,9,FALSE),"Not Specified")</f>
        <v>Destination XJIBQ</v>
      </c>
      <c r="P1897" t="str">
        <f>IFERROR(VLOOKUP(A1897,'Sales Order'!A:N,14,FALSE),"Not Specified")</f>
        <v>Canada</v>
      </c>
      <c r="Q1897" t="str">
        <f>VLOOKUP(VLOOKUP(B1897,Product!A:C,3,FALSE),Supplier!A:B,2,FALSE)</f>
        <v>Supplier CIYNM</v>
      </c>
      <c r="R1897" t="str">
        <f>VLOOKUP(VLOOKUP(B1897,Product!A:C,3,FALSE),Supplier!A:I,9,FALSE)</f>
        <v>Singapore</v>
      </c>
      <c r="S1897" t="str">
        <f>IFERROR(IF(VLOOKUP(A1897,'Sales Order'!A:H,8,FALSE)&gt;100,"High Freight","Low Freight"),"Not Specified")</f>
        <v>Low Freight</v>
      </c>
      <c r="T1897">
        <f t="shared" si="59"/>
        <v>414</v>
      </c>
    </row>
    <row r="1898" spans="1:20">
      <c r="A1898" s="9">
        <v>10983</v>
      </c>
      <c r="B1898" s="6">
        <v>13</v>
      </c>
      <c r="C1898" s="6">
        <v>6</v>
      </c>
      <c r="D1898" s="6">
        <v>84</v>
      </c>
      <c r="E1898" s="18">
        <v>0.15</v>
      </c>
      <c r="F1898" s="6" t="str">
        <f>IFERROR(VLOOKUP(VLOOKUP(A1898,'Sales Order'!A:B,2,FALSE),Customer!A:C,3,FALSE),"Not Specified")</f>
        <v>Navarro, Tomás</v>
      </c>
      <c r="G1898" s="6" t="str">
        <f t="shared" si="58"/>
        <v>Navarro Tomás</v>
      </c>
      <c r="H1898" s="22" t="str">
        <f>IFERROR(VLOOKUP(VLOOKUP(A1898,'Sales Order'!A:C,3,FALSE),Employee!A:E,5,FALSE)&amp;" "&amp;VLOOKUP(VLOOKUP(A1898,'Sales Order'!A:C,3,FALSE),Employee!A:C,3,FALSE)&amp;" "&amp;VLOOKUP(VLOOKUP(A1898,'Sales Order'!A:C,3,FALSE),Employee!A:B,2,FALSE),"Not Specified")</f>
        <v>Dr. Don Funk</v>
      </c>
      <c r="I1898" t="str">
        <f>IFERROR(VLOOKUP(VLOOKUP(A1898,'Sales Order'!A:C,3,FALSE),Employee!A:J,10,FALSE),"Not Specified")</f>
        <v>WA</v>
      </c>
      <c r="J1898" t="str">
        <f>VLOOKUP(B1898,Product!A:B,2,FALSE)</f>
        <v>Product POXFU</v>
      </c>
      <c r="K1898" t="str">
        <f>VLOOKUP(VLOOKUP(B1898,Product!A:D,4,FALSE),Category!A:B,2,FALSE)</f>
        <v>Seafood</v>
      </c>
      <c r="L1898" s="24">
        <f>IFERROR(VLOOKUP(A1898,'Sales Order'!A:D,4,FALSE),"")</f>
        <v>39534</v>
      </c>
      <c r="M1898" s="24">
        <f>IFERROR(VLOOKUP(A1898,'Sales Order'!A:F,6,FALSE),"")</f>
        <v>39544</v>
      </c>
      <c r="N1898" t="str">
        <f>IFERROR(VLOOKUP(VLOOKUP(A1898,'Sales Order'!A:G,7,FALSE),Shipper!A:B,2,FALSE),"Not Specified")</f>
        <v>Shipper ETYNR</v>
      </c>
      <c r="O1898" t="str">
        <f>IFERROR(VLOOKUP(A1898,'Sales Order'!A:I,9,FALSE),"Not Specified")</f>
        <v>Ship to 71-B</v>
      </c>
      <c r="P1898" t="str">
        <f>IFERROR(VLOOKUP(A1898,'Sales Order'!A:N,14,FALSE),"Not Specified")</f>
        <v>USA</v>
      </c>
      <c r="Q1898" t="str">
        <f>VLOOKUP(VLOOKUP(B1898,Product!A:C,3,FALSE),Supplier!A:B,2,FALSE)</f>
        <v>Supplier QWUSF</v>
      </c>
      <c r="R1898" t="str">
        <f>VLOOKUP(VLOOKUP(B1898,Product!A:C,3,FALSE),Supplier!A:I,9,FALSE)</f>
        <v>Japan</v>
      </c>
      <c r="S1898" t="str">
        <f>IFERROR(IF(VLOOKUP(A1898,'Sales Order'!A:H,8,FALSE)&gt;100,"High Freight","Low Freight"),"Not Specified")</f>
        <v>High Freight</v>
      </c>
      <c r="T1898">
        <f t="shared" si="59"/>
        <v>428.4</v>
      </c>
    </row>
    <row r="1899" spans="1:20">
      <c r="A1899" s="9">
        <v>10983</v>
      </c>
      <c r="B1899" s="6">
        <v>57</v>
      </c>
      <c r="C1899" s="6">
        <v>19.5</v>
      </c>
      <c r="D1899" s="6">
        <v>15</v>
      </c>
      <c r="E1899" s="18">
        <v>0</v>
      </c>
      <c r="F1899" s="6" t="str">
        <f>IFERROR(VLOOKUP(VLOOKUP(A1899,'Sales Order'!A:B,2,FALSE),Customer!A:C,3,FALSE),"Not Specified")</f>
        <v>Navarro, Tomás</v>
      </c>
      <c r="G1899" s="6" t="str">
        <f t="shared" si="58"/>
        <v>Navarro Tomás</v>
      </c>
      <c r="H1899" s="22" t="str">
        <f>IFERROR(VLOOKUP(VLOOKUP(A1899,'Sales Order'!A:C,3,FALSE),Employee!A:E,5,FALSE)&amp;" "&amp;VLOOKUP(VLOOKUP(A1899,'Sales Order'!A:C,3,FALSE),Employee!A:C,3,FALSE)&amp;" "&amp;VLOOKUP(VLOOKUP(A1899,'Sales Order'!A:C,3,FALSE),Employee!A:B,2,FALSE),"Not Specified")</f>
        <v>Dr. Don Funk</v>
      </c>
      <c r="I1899" t="str">
        <f>IFERROR(VLOOKUP(VLOOKUP(A1899,'Sales Order'!A:C,3,FALSE),Employee!A:J,10,FALSE),"Not Specified")</f>
        <v>WA</v>
      </c>
      <c r="J1899" t="str">
        <f>VLOOKUP(B1899,Product!A:B,2,FALSE)</f>
        <v>Product OVLQI</v>
      </c>
      <c r="K1899" t="str">
        <f>VLOOKUP(VLOOKUP(B1899,Product!A:D,4,FALSE),Category!A:B,2,FALSE)</f>
        <v>Grains/Cereals</v>
      </c>
      <c r="L1899" s="24">
        <f>IFERROR(VLOOKUP(A1899,'Sales Order'!A:D,4,FALSE),"")</f>
        <v>39534</v>
      </c>
      <c r="M1899" s="24">
        <f>IFERROR(VLOOKUP(A1899,'Sales Order'!A:F,6,FALSE),"")</f>
        <v>39544</v>
      </c>
      <c r="N1899" t="str">
        <f>IFERROR(VLOOKUP(VLOOKUP(A1899,'Sales Order'!A:G,7,FALSE),Shipper!A:B,2,FALSE),"Not Specified")</f>
        <v>Shipper ETYNR</v>
      </c>
      <c r="O1899" t="str">
        <f>IFERROR(VLOOKUP(A1899,'Sales Order'!A:I,9,FALSE),"Not Specified")</f>
        <v>Ship to 71-B</v>
      </c>
      <c r="P1899" t="str">
        <f>IFERROR(VLOOKUP(A1899,'Sales Order'!A:N,14,FALSE),"Not Specified")</f>
        <v>USA</v>
      </c>
      <c r="Q1899" t="str">
        <f>VLOOKUP(VLOOKUP(B1899,Product!A:C,3,FALSE),Supplier!A:B,2,FALSE)</f>
        <v>Supplier ZWZDM</v>
      </c>
      <c r="R1899" t="str">
        <f>VLOOKUP(VLOOKUP(B1899,Product!A:C,3,FALSE),Supplier!A:I,9,FALSE)</f>
        <v>Italy</v>
      </c>
      <c r="S1899" t="str">
        <f>IFERROR(IF(VLOOKUP(A1899,'Sales Order'!A:H,8,FALSE)&gt;100,"High Freight","Low Freight"),"Not Specified")</f>
        <v>High Freight</v>
      </c>
      <c r="T1899">
        <f t="shared" si="59"/>
        <v>292.5</v>
      </c>
    </row>
    <row r="1900" spans="1:20">
      <c r="A1900" s="9">
        <v>10984</v>
      </c>
      <c r="B1900" s="6">
        <v>16</v>
      </c>
      <c r="C1900" s="6">
        <v>17.45</v>
      </c>
      <c r="D1900" s="6">
        <v>55</v>
      </c>
      <c r="E1900" s="18">
        <v>0</v>
      </c>
      <c r="F1900" s="6" t="str">
        <f>IFERROR(VLOOKUP(VLOOKUP(A1900,'Sales Order'!A:B,2,FALSE),Customer!A:C,3,FALSE),"Not Specified")</f>
        <v>Navarro, Tomás</v>
      </c>
      <c r="G1900" s="6" t="str">
        <f t="shared" si="58"/>
        <v>Navarro Tomás</v>
      </c>
      <c r="H1900" s="22" t="str">
        <f>IFERROR(VLOOKUP(VLOOKUP(A1900,'Sales Order'!A:C,3,FALSE),Employee!A:E,5,FALSE)&amp;" "&amp;VLOOKUP(VLOOKUP(A1900,'Sales Order'!A:C,3,FALSE),Employee!A:C,3,FALSE)&amp;" "&amp;VLOOKUP(VLOOKUP(A1900,'Sales Order'!A:C,3,FALSE),Employee!A:B,2,FALSE),"Not Specified")</f>
        <v>Ms. Sara Davis</v>
      </c>
      <c r="I1900" t="str">
        <f>IFERROR(VLOOKUP(VLOOKUP(A1900,'Sales Order'!A:C,3,FALSE),Employee!A:J,10,FALSE),"Not Specified")</f>
        <v>WA</v>
      </c>
      <c r="J1900" t="str">
        <f>VLOOKUP(B1900,Product!A:B,2,FALSE)</f>
        <v>Product PAFRH</v>
      </c>
      <c r="K1900" t="str">
        <f>VLOOKUP(VLOOKUP(B1900,Product!A:D,4,FALSE),Category!A:B,2,FALSE)</f>
        <v>Confections</v>
      </c>
      <c r="L1900" s="24">
        <f>IFERROR(VLOOKUP(A1900,'Sales Order'!A:D,4,FALSE),"")</f>
        <v>39537</v>
      </c>
      <c r="M1900" s="24">
        <f>IFERROR(VLOOKUP(A1900,'Sales Order'!A:F,6,FALSE),"")</f>
        <v>39541</v>
      </c>
      <c r="N1900" t="str">
        <f>IFERROR(VLOOKUP(VLOOKUP(A1900,'Sales Order'!A:G,7,FALSE),Shipper!A:B,2,FALSE),"Not Specified")</f>
        <v>Shipper ZHISN</v>
      </c>
      <c r="O1900" t="str">
        <f>IFERROR(VLOOKUP(A1900,'Sales Order'!A:I,9,FALSE),"Not Specified")</f>
        <v>Ship to 71-B</v>
      </c>
      <c r="P1900" t="str">
        <f>IFERROR(VLOOKUP(A1900,'Sales Order'!A:N,14,FALSE),"Not Specified")</f>
        <v>USA</v>
      </c>
      <c r="Q1900" t="str">
        <f>VLOOKUP(VLOOKUP(B1900,Product!A:C,3,FALSE),Supplier!A:B,2,FALSE)</f>
        <v>Supplier GQRCV</v>
      </c>
      <c r="R1900" t="str">
        <f>VLOOKUP(VLOOKUP(B1900,Product!A:C,3,FALSE),Supplier!A:I,9,FALSE)</f>
        <v>Australia</v>
      </c>
      <c r="S1900" t="str">
        <f>IFERROR(IF(VLOOKUP(A1900,'Sales Order'!A:H,8,FALSE)&gt;100,"High Freight","Low Freight"),"Not Specified")</f>
        <v>High Freight</v>
      </c>
      <c r="T1900">
        <f t="shared" si="59"/>
        <v>959.75</v>
      </c>
    </row>
    <row r="1901" spans="1:20">
      <c r="A1901" s="9">
        <v>10984</v>
      </c>
      <c r="B1901" s="6">
        <v>24</v>
      </c>
      <c r="C1901" s="6">
        <v>4.5</v>
      </c>
      <c r="D1901" s="6">
        <v>20</v>
      </c>
      <c r="E1901" s="18">
        <v>0</v>
      </c>
      <c r="F1901" s="6" t="str">
        <f>IFERROR(VLOOKUP(VLOOKUP(A1901,'Sales Order'!A:B,2,FALSE),Customer!A:C,3,FALSE),"Not Specified")</f>
        <v>Navarro, Tomás</v>
      </c>
      <c r="G1901" s="6" t="str">
        <f t="shared" si="58"/>
        <v>Navarro Tomás</v>
      </c>
      <c r="H1901" s="22" t="str">
        <f>IFERROR(VLOOKUP(VLOOKUP(A1901,'Sales Order'!A:C,3,FALSE),Employee!A:E,5,FALSE)&amp;" "&amp;VLOOKUP(VLOOKUP(A1901,'Sales Order'!A:C,3,FALSE),Employee!A:C,3,FALSE)&amp;" "&amp;VLOOKUP(VLOOKUP(A1901,'Sales Order'!A:C,3,FALSE),Employee!A:B,2,FALSE),"Not Specified")</f>
        <v>Ms. Sara Davis</v>
      </c>
      <c r="I1901" t="str">
        <f>IFERROR(VLOOKUP(VLOOKUP(A1901,'Sales Order'!A:C,3,FALSE),Employee!A:J,10,FALSE),"Not Specified")</f>
        <v>WA</v>
      </c>
      <c r="J1901" t="str">
        <f>VLOOKUP(B1901,Product!A:B,2,FALSE)</f>
        <v>Product QOGNU</v>
      </c>
      <c r="K1901" t="str">
        <f>VLOOKUP(VLOOKUP(B1901,Product!A:D,4,FALSE),Category!A:B,2,FALSE)</f>
        <v>Beverages</v>
      </c>
      <c r="L1901" s="24">
        <f>IFERROR(VLOOKUP(A1901,'Sales Order'!A:D,4,FALSE),"")</f>
        <v>39537</v>
      </c>
      <c r="M1901" s="24">
        <f>IFERROR(VLOOKUP(A1901,'Sales Order'!A:F,6,FALSE),"")</f>
        <v>39541</v>
      </c>
      <c r="N1901" t="str">
        <f>IFERROR(VLOOKUP(VLOOKUP(A1901,'Sales Order'!A:G,7,FALSE),Shipper!A:B,2,FALSE),"Not Specified")</f>
        <v>Shipper ZHISN</v>
      </c>
      <c r="O1901" t="str">
        <f>IFERROR(VLOOKUP(A1901,'Sales Order'!A:I,9,FALSE),"Not Specified")</f>
        <v>Ship to 71-B</v>
      </c>
      <c r="P1901" t="str">
        <f>IFERROR(VLOOKUP(A1901,'Sales Order'!A:N,14,FALSE),"Not Specified")</f>
        <v>USA</v>
      </c>
      <c r="Q1901" t="str">
        <f>VLOOKUP(VLOOKUP(B1901,Product!A:C,3,FALSE),Supplier!A:B,2,FALSE)</f>
        <v>Supplier UNAHG</v>
      </c>
      <c r="R1901" t="str">
        <f>VLOOKUP(VLOOKUP(B1901,Product!A:C,3,FALSE),Supplier!A:I,9,FALSE)</f>
        <v>Brazil</v>
      </c>
      <c r="S1901" t="str">
        <f>IFERROR(IF(VLOOKUP(A1901,'Sales Order'!A:H,8,FALSE)&gt;100,"High Freight","Low Freight"),"Not Specified")</f>
        <v>High Freight</v>
      </c>
      <c r="T1901">
        <f t="shared" si="59"/>
        <v>90</v>
      </c>
    </row>
    <row r="1902" spans="1:20">
      <c r="A1902" s="9">
        <v>10984</v>
      </c>
      <c r="B1902" s="6">
        <v>36</v>
      </c>
      <c r="C1902" s="6">
        <v>19</v>
      </c>
      <c r="D1902" s="6">
        <v>40</v>
      </c>
      <c r="E1902" s="18">
        <v>0</v>
      </c>
      <c r="F1902" s="6" t="str">
        <f>IFERROR(VLOOKUP(VLOOKUP(A1902,'Sales Order'!A:B,2,FALSE),Customer!A:C,3,FALSE),"Not Specified")</f>
        <v>Navarro, Tomás</v>
      </c>
      <c r="G1902" s="6" t="str">
        <f t="shared" si="58"/>
        <v>Navarro Tomás</v>
      </c>
      <c r="H1902" s="22" t="str">
        <f>IFERROR(VLOOKUP(VLOOKUP(A1902,'Sales Order'!A:C,3,FALSE),Employee!A:E,5,FALSE)&amp;" "&amp;VLOOKUP(VLOOKUP(A1902,'Sales Order'!A:C,3,FALSE),Employee!A:C,3,FALSE)&amp;" "&amp;VLOOKUP(VLOOKUP(A1902,'Sales Order'!A:C,3,FALSE),Employee!A:B,2,FALSE),"Not Specified")</f>
        <v>Ms. Sara Davis</v>
      </c>
      <c r="I1902" t="str">
        <f>IFERROR(VLOOKUP(VLOOKUP(A1902,'Sales Order'!A:C,3,FALSE),Employee!A:J,10,FALSE),"Not Specified")</f>
        <v>WA</v>
      </c>
      <c r="J1902" t="str">
        <f>VLOOKUP(B1902,Product!A:B,2,FALSE)</f>
        <v>Product GMKIJ</v>
      </c>
      <c r="K1902" t="str">
        <f>VLOOKUP(VLOOKUP(B1902,Product!A:D,4,FALSE),Category!A:B,2,FALSE)</f>
        <v>Seafood</v>
      </c>
      <c r="L1902" s="24">
        <f>IFERROR(VLOOKUP(A1902,'Sales Order'!A:D,4,FALSE),"")</f>
        <v>39537</v>
      </c>
      <c r="M1902" s="24">
        <f>IFERROR(VLOOKUP(A1902,'Sales Order'!A:F,6,FALSE),"")</f>
        <v>39541</v>
      </c>
      <c r="N1902" t="str">
        <f>IFERROR(VLOOKUP(VLOOKUP(A1902,'Sales Order'!A:G,7,FALSE),Shipper!A:B,2,FALSE),"Not Specified")</f>
        <v>Shipper ZHISN</v>
      </c>
      <c r="O1902" t="str">
        <f>IFERROR(VLOOKUP(A1902,'Sales Order'!A:I,9,FALSE),"Not Specified")</f>
        <v>Ship to 71-B</v>
      </c>
      <c r="P1902" t="str">
        <f>IFERROR(VLOOKUP(A1902,'Sales Order'!A:N,14,FALSE),"Not Specified")</f>
        <v>USA</v>
      </c>
      <c r="Q1902" t="str">
        <f>VLOOKUP(VLOOKUP(B1902,Product!A:C,3,FALSE),Supplier!A:B,2,FALSE)</f>
        <v>Supplier QZGUF</v>
      </c>
      <c r="R1902" t="str">
        <f>VLOOKUP(VLOOKUP(B1902,Product!A:C,3,FALSE),Supplier!A:I,9,FALSE)</f>
        <v>Sweden</v>
      </c>
      <c r="S1902" t="str">
        <f>IFERROR(IF(VLOOKUP(A1902,'Sales Order'!A:H,8,FALSE)&gt;100,"High Freight","Low Freight"),"Not Specified")</f>
        <v>High Freight</v>
      </c>
      <c r="T1902">
        <f t="shared" si="59"/>
        <v>760</v>
      </c>
    </row>
    <row r="1903" spans="1:20">
      <c r="A1903" s="9">
        <v>10985</v>
      </c>
      <c r="B1903" s="6">
        <v>16</v>
      </c>
      <c r="C1903" s="6">
        <v>17.45</v>
      </c>
      <c r="D1903" s="6">
        <v>36</v>
      </c>
      <c r="E1903" s="18">
        <v>0.1</v>
      </c>
      <c r="F1903" s="6" t="str">
        <f>IFERROR(VLOOKUP(VLOOKUP(A1903,'Sales Order'!A:B,2,FALSE),Customer!A:C,3,FALSE),"Not Specified")</f>
        <v>Crăciun, Ovidiu V.</v>
      </c>
      <c r="G1903" s="6" t="str">
        <f t="shared" si="58"/>
        <v>Crăciun Ovidiu V.</v>
      </c>
      <c r="H1903" s="22" t="str">
        <f>IFERROR(VLOOKUP(VLOOKUP(A1903,'Sales Order'!A:C,3,FALSE),Employee!A:E,5,FALSE)&amp;" "&amp;VLOOKUP(VLOOKUP(A1903,'Sales Order'!A:C,3,FALSE),Employee!A:C,3,FALSE)&amp;" "&amp;VLOOKUP(VLOOKUP(A1903,'Sales Order'!A:C,3,FALSE),Employee!A:B,2,FALSE),"Not Specified")</f>
        <v>Dr. Don Funk</v>
      </c>
      <c r="I1903" t="str">
        <f>IFERROR(VLOOKUP(VLOOKUP(A1903,'Sales Order'!A:C,3,FALSE),Employee!A:J,10,FALSE),"Not Specified")</f>
        <v>WA</v>
      </c>
      <c r="J1903" t="str">
        <f>VLOOKUP(B1903,Product!A:B,2,FALSE)</f>
        <v>Product PAFRH</v>
      </c>
      <c r="K1903" t="str">
        <f>VLOOKUP(VLOOKUP(B1903,Product!A:D,4,FALSE),Category!A:B,2,FALSE)</f>
        <v>Confections</v>
      </c>
      <c r="L1903" s="24">
        <f>IFERROR(VLOOKUP(A1903,'Sales Order'!A:D,4,FALSE),"")</f>
        <v>39537</v>
      </c>
      <c r="M1903" s="24">
        <f>IFERROR(VLOOKUP(A1903,'Sales Order'!A:F,6,FALSE),"")</f>
        <v>39540</v>
      </c>
      <c r="N1903" t="str">
        <f>IFERROR(VLOOKUP(VLOOKUP(A1903,'Sales Order'!A:G,7,FALSE),Shipper!A:B,2,FALSE),"Not Specified")</f>
        <v>Shipper GVSUA</v>
      </c>
      <c r="O1903" t="str">
        <f>IFERROR(VLOOKUP(A1903,'Sales Order'!A:I,9,FALSE),"Not Specified")</f>
        <v>Destination ATSOA</v>
      </c>
      <c r="P1903" t="str">
        <f>IFERROR(VLOOKUP(A1903,'Sales Order'!A:N,14,FALSE),"Not Specified")</f>
        <v>Ireland</v>
      </c>
      <c r="Q1903" t="str">
        <f>VLOOKUP(VLOOKUP(B1903,Product!A:C,3,FALSE),Supplier!A:B,2,FALSE)</f>
        <v>Supplier GQRCV</v>
      </c>
      <c r="R1903" t="str">
        <f>VLOOKUP(VLOOKUP(B1903,Product!A:C,3,FALSE),Supplier!A:I,9,FALSE)</f>
        <v>Australia</v>
      </c>
      <c r="S1903" t="str">
        <f>IFERROR(IF(VLOOKUP(A1903,'Sales Order'!A:H,8,FALSE)&gt;100,"High Freight","Low Freight"),"Not Specified")</f>
        <v>Low Freight</v>
      </c>
      <c r="T1903">
        <f t="shared" si="59"/>
        <v>565.38</v>
      </c>
    </row>
    <row r="1904" spans="1:20">
      <c r="A1904" s="9">
        <v>10985</v>
      </c>
      <c r="B1904" s="6">
        <v>18</v>
      </c>
      <c r="C1904" s="6">
        <v>62.5</v>
      </c>
      <c r="D1904" s="6">
        <v>8</v>
      </c>
      <c r="E1904" s="18">
        <v>0.1</v>
      </c>
      <c r="F1904" s="6" t="str">
        <f>IFERROR(VLOOKUP(VLOOKUP(A1904,'Sales Order'!A:B,2,FALSE),Customer!A:C,3,FALSE),"Not Specified")</f>
        <v>Crăciun, Ovidiu V.</v>
      </c>
      <c r="G1904" s="6" t="str">
        <f t="shared" si="58"/>
        <v>Crăciun Ovidiu V.</v>
      </c>
      <c r="H1904" s="22" t="str">
        <f>IFERROR(VLOOKUP(VLOOKUP(A1904,'Sales Order'!A:C,3,FALSE),Employee!A:E,5,FALSE)&amp;" "&amp;VLOOKUP(VLOOKUP(A1904,'Sales Order'!A:C,3,FALSE),Employee!A:C,3,FALSE)&amp;" "&amp;VLOOKUP(VLOOKUP(A1904,'Sales Order'!A:C,3,FALSE),Employee!A:B,2,FALSE),"Not Specified")</f>
        <v>Dr. Don Funk</v>
      </c>
      <c r="I1904" t="str">
        <f>IFERROR(VLOOKUP(VLOOKUP(A1904,'Sales Order'!A:C,3,FALSE),Employee!A:J,10,FALSE),"Not Specified")</f>
        <v>WA</v>
      </c>
      <c r="J1904" t="str">
        <f>VLOOKUP(B1904,Product!A:B,2,FALSE)</f>
        <v>Product CKEDC</v>
      </c>
      <c r="K1904" t="str">
        <f>VLOOKUP(VLOOKUP(B1904,Product!A:D,4,FALSE),Category!A:B,2,FALSE)</f>
        <v>Seafood</v>
      </c>
      <c r="L1904" s="24">
        <f>IFERROR(VLOOKUP(A1904,'Sales Order'!A:D,4,FALSE),"")</f>
        <v>39537</v>
      </c>
      <c r="M1904" s="24">
        <f>IFERROR(VLOOKUP(A1904,'Sales Order'!A:F,6,FALSE),"")</f>
        <v>39540</v>
      </c>
      <c r="N1904" t="str">
        <f>IFERROR(VLOOKUP(VLOOKUP(A1904,'Sales Order'!A:G,7,FALSE),Shipper!A:B,2,FALSE),"Not Specified")</f>
        <v>Shipper GVSUA</v>
      </c>
      <c r="O1904" t="str">
        <f>IFERROR(VLOOKUP(A1904,'Sales Order'!A:I,9,FALSE),"Not Specified")</f>
        <v>Destination ATSOA</v>
      </c>
      <c r="P1904" t="str">
        <f>IFERROR(VLOOKUP(A1904,'Sales Order'!A:N,14,FALSE),"Not Specified")</f>
        <v>Ireland</v>
      </c>
      <c r="Q1904" t="str">
        <f>VLOOKUP(VLOOKUP(B1904,Product!A:C,3,FALSE),Supplier!A:B,2,FALSE)</f>
        <v>Supplier GQRCV</v>
      </c>
      <c r="R1904" t="str">
        <f>VLOOKUP(VLOOKUP(B1904,Product!A:C,3,FALSE),Supplier!A:I,9,FALSE)</f>
        <v>Australia</v>
      </c>
      <c r="S1904" t="str">
        <f>IFERROR(IF(VLOOKUP(A1904,'Sales Order'!A:H,8,FALSE)&gt;100,"High Freight","Low Freight"),"Not Specified")</f>
        <v>Low Freight</v>
      </c>
      <c r="T1904">
        <f t="shared" si="59"/>
        <v>450</v>
      </c>
    </row>
    <row r="1905" spans="1:20">
      <c r="A1905" s="9">
        <v>10985</v>
      </c>
      <c r="B1905" s="6">
        <v>32</v>
      </c>
      <c r="C1905" s="6">
        <v>32</v>
      </c>
      <c r="D1905" s="6">
        <v>35</v>
      </c>
      <c r="E1905" s="18">
        <v>0.1</v>
      </c>
      <c r="F1905" s="6" t="str">
        <f>IFERROR(VLOOKUP(VLOOKUP(A1905,'Sales Order'!A:B,2,FALSE),Customer!A:C,3,FALSE),"Not Specified")</f>
        <v>Crăciun, Ovidiu V.</v>
      </c>
      <c r="G1905" s="6" t="str">
        <f t="shared" si="58"/>
        <v>Crăciun Ovidiu V.</v>
      </c>
      <c r="H1905" s="22" t="str">
        <f>IFERROR(VLOOKUP(VLOOKUP(A1905,'Sales Order'!A:C,3,FALSE),Employee!A:E,5,FALSE)&amp;" "&amp;VLOOKUP(VLOOKUP(A1905,'Sales Order'!A:C,3,FALSE),Employee!A:C,3,FALSE)&amp;" "&amp;VLOOKUP(VLOOKUP(A1905,'Sales Order'!A:C,3,FALSE),Employee!A:B,2,FALSE),"Not Specified")</f>
        <v>Dr. Don Funk</v>
      </c>
      <c r="I1905" t="str">
        <f>IFERROR(VLOOKUP(VLOOKUP(A1905,'Sales Order'!A:C,3,FALSE),Employee!A:J,10,FALSE),"Not Specified")</f>
        <v>WA</v>
      </c>
      <c r="J1905" t="str">
        <f>VLOOKUP(B1905,Product!A:B,2,FALSE)</f>
        <v>Product NUNAW</v>
      </c>
      <c r="K1905" t="str">
        <f>VLOOKUP(VLOOKUP(B1905,Product!A:D,4,FALSE),Category!A:B,2,FALSE)</f>
        <v>Dairy Product</v>
      </c>
      <c r="L1905" s="24">
        <f>IFERROR(VLOOKUP(A1905,'Sales Order'!A:D,4,FALSE),"")</f>
        <v>39537</v>
      </c>
      <c r="M1905" s="24">
        <f>IFERROR(VLOOKUP(A1905,'Sales Order'!A:F,6,FALSE),"")</f>
        <v>39540</v>
      </c>
      <c r="N1905" t="str">
        <f>IFERROR(VLOOKUP(VLOOKUP(A1905,'Sales Order'!A:G,7,FALSE),Shipper!A:B,2,FALSE),"Not Specified")</f>
        <v>Shipper GVSUA</v>
      </c>
      <c r="O1905" t="str">
        <f>IFERROR(VLOOKUP(A1905,'Sales Order'!A:I,9,FALSE),"Not Specified")</f>
        <v>Destination ATSOA</v>
      </c>
      <c r="P1905" t="str">
        <f>IFERROR(VLOOKUP(A1905,'Sales Order'!A:N,14,FALSE),"Not Specified")</f>
        <v>Ireland</v>
      </c>
      <c r="Q1905" t="str">
        <f>VLOOKUP(VLOOKUP(B1905,Product!A:C,3,FALSE),Supplier!A:B,2,FALSE)</f>
        <v>Supplier KEREV</v>
      </c>
      <c r="R1905" t="str">
        <f>VLOOKUP(VLOOKUP(B1905,Product!A:C,3,FALSE),Supplier!A:I,9,FALSE)</f>
        <v>Italy</v>
      </c>
      <c r="S1905" t="str">
        <f>IFERROR(IF(VLOOKUP(A1905,'Sales Order'!A:H,8,FALSE)&gt;100,"High Freight","Low Freight"),"Not Specified")</f>
        <v>Low Freight</v>
      </c>
      <c r="T1905">
        <f t="shared" si="59"/>
        <v>1008</v>
      </c>
    </row>
    <row r="1906" spans="1:20">
      <c r="A1906" s="9">
        <v>10986</v>
      </c>
      <c r="B1906" s="6">
        <v>11</v>
      </c>
      <c r="C1906" s="6">
        <v>21</v>
      </c>
      <c r="D1906" s="6">
        <v>30</v>
      </c>
      <c r="E1906" s="18">
        <v>0</v>
      </c>
      <c r="F1906" s="6" t="str">
        <f>IFERROR(VLOOKUP(VLOOKUP(A1906,'Sales Order'!A:B,2,FALSE),Customer!A:C,3,FALSE),"Not Specified")</f>
        <v>Tiano, Mike</v>
      </c>
      <c r="G1906" s="6" t="str">
        <f t="shared" si="58"/>
        <v>Tiano Mike</v>
      </c>
      <c r="H1906" s="22" t="str">
        <f>IFERROR(VLOOKUP(VLOOKUP(A1906,'Sales Order'!A:C,3,FALSE),Employee!A:E,5,FALSE)&amp;" "&amp;VLOOKUP(VLOOKUP(A1906,'Sales Order'!A:C,3,FALSE),Employee!A:C,3,FALSE)&amp;" "&amp;VLOOKUP(VLOOKUP(A1906,'Sales Order'!A:C,3,FALSE),Employee!A:B,2,FALSE),"Not Specified")</f>
        <v>Ms. Maria Cameron</v>
      </c>
      <c r="I1906" t="str">
        <f>IFERROR(VLOOKUP(VLOOKUP(A1906,'Sales Order'!A:C,3,FALSE),Employee!A:J,10,FALSE),"Not Specified")</f>
        <v>WA</v>
      </c>
      <c r="J1906" t="str">
        <f>VLOOKUP(B1906,Product!A:B,2,FALSE)</f>
        <v>Product QMVUN</v>
      </c>
      <c r="K1906" t="str">
        <f>VLOOKUP(VLOOKUP(B1906,Product!A:D,4,FALSE),Category!A:B,2,FALSE)</f>
        <v>Dairy Product</v>
      </c>
      <c r="L1906" s="24">
        <f>IFERROR(VLOOKUP(A1906,'Sales Order'!A:D,4,FALSE),"")</f>
        <v>39537</v>
      </c>
      <c r="M1906" s="24">
        <f>IFERROR(VLOOKUP(A1906,'Sales Order'!A:F,6,FALSE),"")</f>
        <v>39559</v>
      </c>
      <c r="N1906" t="str">
        <f>IFERROR(VLOOKUP(VLOOKUP(A1906,'Sales Order'!A:G,7,FALSE),Shipper!A:B,2,FALSE),"Not Specified")</f>
        <v>Shipper ETYNR</v>
      </c>
      <c r="O1906" t="str">
        <f>IFERROR(VLOOKUP(A1906,'Sales Order'!A:I,9,FALSE),"Not Specified")</f>
        <v>Ship to 54-A</v>
      </c>
      <c r="P1906" t="str">
        <f>IFERROR(VLOOKUP(A1906,'Sales Order'!A:N,14,FALSE),"Not Specified")</f>
        <v>Argentina</v>
      </c>
      <c r="Q1906" t="str">
        <f>VLOOKUP(VLOOKUP(B1906,Product!A:C,3,FALSE),Supplier!A:B,2,FALSE)</f>
        <v>Supplier EQPNC</v>
      </c>
      <c r="R1906" t="str">
        <f>VLOOKUP(VLOOKUP(B1906,Product!A:C,3,FALSE),Supplier!A:I,9,FALSE)</f>
        <v>Spain</v>
      </c>
      <c r="S1906" t="str">
        <f>IFERROR(IF(VLOOKUP(A1906,'Sales Order'!A:H,8,FALSE)&gt;100,"High Freight","Low Freight"),"Not Specified")</f>
        <v>High Freight</v>
      </c>
      <c r="T1906">
        <f t="shared" si="59"/>
        <v>630</v>
      </c>
    </row>
    <row r="1907" spans="1:20">
      <c r="A1907" s="9">
        <v>10986</v>
      </c>
      <c r="B1907" s="6">
        <v>20</v>
      </c>
      <c r="C1907" s="6">
        <v>81</v>
      </c>
      <c r="D1907" s="6">
        <v>15</v>
      </c>
      <c r="E1907" s="18">
        <v>0</v>
      </c>
      <c r="F1907" s="6" t="str">
        <f>IFERROR(VLOOKUP(VLOOKUP(A1907,'Sales Order'!A:B,2,FALSE),Customer!A:C,3,FALSE),"Not Specified")</f>
        <v>Tiano, Mike</v>
      </c>
      <c r="G1907" s="6" t="str">
        <f t="shared" si="58"/>
        <v>Tiano Mike</v>
      </c>
      <c r="H1907" s="22" t="str">
        <f>IFERROR(VLOOKUP(VLOOKUP(A1907,'Sales Order'!A:C,3,FALSE),Employee!A:E,5,FALSE)&amp;" "&amp;VLOOKUP(VLOOKUP(A1907,'Sales Order'!A:C,3,FALSE),Employee!A:C,3,FALSE)&amp;" "&amp;VLOOKUP(VLOOKUP(A1907,'Sales Order'!A:C,3,FALSE),Employee!A:B,2,FALSE),"Not Specified")</f>
        <v>Ms. Maria Cameron</v>
      </c>
      <c r="I1907" t="str">
        <f>IFERROR(VLOOKUP(VLOOKUP(A1907,'Sales Order'!A:C,3,FALSE),Employee!A:J,10,FALSE),"Not Specified")</f>
        <v>WA</v>
      </c>
      <c r="J1907" t="str">
        <f>VLOOKUP(B1907,Product!A:B,2,FALSE)</f>
        <v>Product QHFFP</v>
      </c>
      <c r="K1907" t="str">
        <f>VLOOKUP(VLOOKUP(B1907,Product!A:D,4,FALSE),Category!A:B,2,FALSE)</f>
        <v>Confections</v>
      </c>
      <c r="L1907" s="24">
        <f>IFERROR(VLOOKUP(A1907,'Sales Order'!A:D,4,FALSE),"")</f>
        <v>39537</v>
      </c>
      <c r="M1907" s="24">
        <f>IFERROR(VLOOKUP(A1907,'Sales Order'!A:F,6,FALSE),"")</f>
        <v>39559</v>
      </c>
      <c r="N1907" t="str">
        <f>IFERROR(VLOOKUP(VLOOKUP(A1907,'Sales Order'!A:G,7,FALSE),Shipper!A:B,2,FALSE),"Not Specified")</f>
        <v>Shipper ETYNR</v>
      </c>
      <c r="O1907" t="str">
        <f>IFERROR(VLOOKUP(A1907,'Sales Order'!A:I,9,FALSE),"Not Specified")</f>
        <v>Ship to 54-A</v>
      </c>
      <c r="P1907" t="str">
        <f>IFERROR(VLOOKUP(A1907,'Sales Order'!A:N,14,FALSE),"Not Specified")</f>
        <v>Argentina</v>
      </c>
      <c r="Q1907" t="str">
        <f>VLOOKUP(VLOOKUP(B1907,Product!A:C,3,FALSE),Supplier!A:B,2,FALSE)</f>
        <v>Supplier BWGYE</v>
      </c>
      <c r="R1907" t="str">
        <f>VLOOKUP(VLOOKUP(B1907,Product!A:C,3,FALSE),Supplier!A:I,9,FALSE)</f>
        <v>UK</v>
      </c>
      <c r="S1907" t="str">
        <f>IFERROR(IF(VLOOKUP(A1907,'Sales Order'!A:H,8,FALSE)&gt;100,"High Freight","Low Freight"),"Not Specified")</f>
        <v>High Freight</v>
      </c>
      <c r="T1907">
        <f t="shared" si="59"/>
        <v>1215</v>
      </c>
    </row>
    <row r="1908" spans="1:20">
      <c r="A1908" s="9">
        <v>10986</v>
      </c>
      <c r="B1908" s="6">
        <v>76</v>
      </c>
      <c r="C1908" s="6">
        <v>18</v>
      </c>
      <c r="D1908" s="6">
        <v>10</v>
      </c>
      <c r="E1908" s="18">
        <v>0</v>
      </c>
      <c r="F1908" s="6" t="str">
        <f>IFERROR(VLOOKUP(VLOOKUP(A1908,'Sales Order'!A:B,2,FALSE),Customer!A:C,3,FALSE),"Not Specified")</f>
        <v>Tiano, Mike</v>
      </c>
      <c r="G1908" s="6" t="str">
        <f t="shared" si="58"/>
        <v>Tiano Mike</v>
      </c>
      <c r="H1908" s="22" t="str">
        <f>IFERROR(VLOOKUP(VLOOKUP(A1908,'Sales Order'!A:C,3,FALSE),Employee!A:E,5,FALSE)&amp;" "&amp;VLOOKUP(VLOOKUP(A1908,'Sales Order'!A:C,3,FALSE),Employee!A:C,3,FALSE)&amp;" "&amp;VLOOKUP(VLOOKUP(A1908,'Sales Order'!A:C,3,FALSE),Employee!A:B,2,FALSE),"Not Specified")</f>
        <v>Ms. Maria Cameron</v>
      </c>
      <c r="I1908" t="str">
        <f>IFERROR(VLOOKUP(VLOOKUP(A1908,'Sales Order'!A:C,3,FALSE),Employee!A:J,10,FALSE),"Not Specified")</f>
        <v>WA</v>
      </c>
      <c r="J1908" t="str">
        <f>VLOOKUP(B1908,Product!A:B,2,FALSE)</f>
        <v>Product JYGFE</v>
      </c>
      <c r="K1908" t="str">
        <f>VLOOKUP(VLOOKUP(B1908,Product!A:D,4,FALSE),Category!A:B,2,FALSE)</f>
        <v>Beverages</v>
      </c>
      <c r="L1908" s="24">
        <f>IFERROR(VLOOKUP(A1908,'Sales Order'!A:D,4,FALSE),"")</f>
        <v>39537</v>
      </c>
      <c r="M1908" s="24">
        <f>IFERROR(VLOOKUP(A1908,'Sales Order'!A:F,6,FALSE),"")</f>
        <v>39559</v>
      </c>
      <c r="N1908" t="str">
        <f>IFERROR(VLOOKUP(VLOOKUP(A1908,'Sales Order'!A:G,7,FALSE),Shipper!A:B,2,FALSE),"Not Specified")</f>
        <v>Shipper ETYNR</v>
      </c>
      <c r="O1908" t="str">
        <f>IFERROR(VLOOKUP(A1908,'Sales Order'!A:I,9,FALSE),"Not Specified")</f>
        <v>Ship to 54-A</v>
      </c>
      <c r="P1908" t="str">
        <f>IFERROR(VLOOKUP(A1908,'Sales Order'!A:N,14,FALSE),"Not Specified")</f>
        <v>Argentina</v>
      </c>
      <c r="Q1908" t="str">
        <f>VLOOKUP(VLOOKUP(B1908,Product!A:C,3,FALSE),Supplier!A:B,2,FALSE)</f>
        <v>Supplier ELCRN</v>
      </c>
      <c r="R1908" t="str">
        <f>VLOOKUP(VLOOKUP(B1908,Product!A:C,3,FALSE),Supplier!A:I,9,FALSE)</f>
        <v>Finland</v>
      </c>
      <c r="S1908" t="str">
        <f>IFERROR(IF(VLOOKUP(A1908,'Sales Order'!A:H,8,FALSE)&gt;100,"High Freight","Low Freight"),"Not Specified")</f>
        <v>High Freight</v>
      </c>
      <c r="T1908">
        <f t="shared" si="59"/>
        <v>180</v>
      </c>
    </row>
    <row r="1909" spans="1:20">
      <c r="A1909" s="9">
        <v>10986</v>
      </c>
      <c r="B1909" s="6">
        <v>77</v>
      </c>
      <c r="C1909" s="6">
        <v>13</v>
      </c>
      <c r="D1909" s="6">
        <v>15</v>
      </c>
      <c r="E1909" s="18">
        <v>0</v>
      </c>
      <c r="F1909" s="6" t="str">
        <f>IFERROR(VLOOKUP(VLOOKUP(A1909,'Sales Order'!A:B,2,FALSE),Customer!A:C,3,FALSE),"Not Specified")</f>
        <v>Tiano, Mike</v>
      </c>
      <c r="G1909" s="6" t="str">
        <f t="shared" si="58"/>
        <v>Tiano Mike</v>
      </c>
      <c r="H1909" s="22" t="str">
        <f>IFERROR(VLOOKUP(VLOOKUP(A1909,'Sales Order'!A:C,3,FALSE),Employee!A:E,5,FALSE)&amp;" "&amp;VLOOKUP(VLOOKUP(A1909,'Sales Order'!A:C,3,FALSE),Employee!A:C,3,FALSE)&amp;" "&amp;VLOOKUP(VLOOKUP(A1909,'Sales Order'!A:C,3,FALSE),Employee!A:B,2,FALSE),"Not Specified")</f>
        <v>Ms. Maria Cameron</v>
      </c>
      <c r="I1909" t="str">
        <f>IFERROR(VLOOKUP(VLOOKUP(A1909,'Sales Order'!A:C,3,FALSE),Employee!A:J,10,FALSE),"Not Specified")</f>
        <v>WA</v>
      </c>
      <c r="J1909" t="str">
        <f>VLOOKUP(B1909,Product!A:B,2,FALSE)</f>
        <v>Product LUNZZ</v>
      </c>
      <c r="K1909" t="str">
        <f>VLOOKUP(VLOOKUP(B1909,Product!A:D,4,FALSE),Category!A:B,2,FALSE)</f>
        <v>Condiments</v>
      </c>
      <c r="L1909" s="24">
        <f>IFERROR(VLOOKUP(A1909,'Sales Order'!A:D,4,FALSE),"")</f>
        <v>39537</v>
      </c>
      <c r="M1909" s="24">
        <f>IFERROR(VLOOKUP(A1909,'Sales Order'!A:F,6,FALSE),"")</f>
        <v>39559</v>
      </c>
      <c r="N1909" t="str">
        <f>IFERROR(VLOOKUP(VLOOKUP(A1909,'Sales Order'!A:G,7,FALSE),Shipper!A:B,2,FALSE),"Not Specified")</f>
        <v>Shipper ETYNR</v>
      </c>
      <c r="O1909" t="str">
        <f>IFERROR(VLOOKUP(A1909,'Sales Order'!A:I,9,FALSE),"Not Specified")</f>
        <v>Ship to 54-A</v>
      </c>
      <c r="P1909" t="str">
        <f>IFERROR(VLOOKUP(A1909,'Sales Order'!A:N,14,FALSE),"Not Specified")</f>
        <v>Argentina</v>
      </c>
      <c r="Q1909" t="str">
        <f>VLOOKUP(VLOOKUP(B1909,Product!A:C,3,FALSE),Supplier!A:B,2,FALSE)</f>
        <v>Supplier SVIYA</v>
      </c>
      <c r="R1909" t="str">
        <f>VLOOKUP(VLOOKUP(B1909,Product!A:C,3,FALSE),Supplier!A:I,9,FALSE)</f>
        <v>Germany</v>
      </c>
      <c r="S1909" t="str">
        <f>IFERROR(IF(VLOOKUP(A1909,'Sales Order'!A:H,8,FALSE)&gt;100,"High Freight","Low Freight"),"Not Specified")</f>
        <v>High Freight</v>
      </c>
      <c r="T1909">
        <f t="shared" si="59"/>
        <v>195</v>
      </c>
    </row>
    <row r="1910" spans="1:20">
      <c r="A1910" s="9">
        <v>10987</v>
      </c>
      <c r="B1910" s="6">
        <v>7</v>
      </c>
      <c r="C1910" s="6">
        <v>30</v>
      </c>
      <c r="D1910" s="6">
        <v>60</v>
      </c>
      <c r="E1910" s="18">
        <v>0</v>
      </c>
      <c r="F1910" s="6" t="str">
        <f>IFERROR(VLOOKUP(VLOOKUP(A1910,'Sales Order'!A:B,2,FALSE),Customer!A:C,3,FALSE),"Not Specified")</f>
        <v>Boseman, Randall</v>
      </c>
      <c r="G1910" s="6" t="str">
        <f t="shared" si="58"/>
        <v>Boseman Randall</v>
      </c>
      <c r="H1910" s="22" t="str">
        <f>IFERROR(VLOOKUP(VLOOKUP(A1910,'Sales Order'!A:C,3,FALSE),Employee!A:E,5,FALSE)&amp;" "&amp;VLOOKUP(VLOOKUP(A1910,'Sales Order'!A:C,3,FALSE),Employee!A:C,3,FALSE)&amp;" "&amp;VLOOKUP(VLOOKUP(A1910,'Sales Order'!A:C,3,FALSE),Employee!A:B,2,FALSE),"Not Specified")</f>
        <v>Ms. Maria Cameron</v>
      </c>
      <c r="I1910" t="str">
        <f>IFERROR(VLOOKUP(VLOOKUP(A1910,'Sales Order'!A:C,3,FALSE),Employee!A:J,10,FALSE),"Not Specified")</f>
        <v>WA</v>
      </c>
      <c r="J1910" t="str">
        <f>VLOOKUP(B1910,Product!A:B,2,FALSE)</f>
        <v>Product HMLNI</v>
      </c>
      <c r="K1910" t="str">
        <f>VLOOKUP(VLOOKUP(B1910,Product!A:D,4,FALSE),Category!A:B,2,FALSE)</f>
        <v>Produce</v>
      </c>
      <c r="L1910" s="24">
        <f>IFERROR(VLOOKUP(A1910,'Sales Order'!A:D,4,FALSE),"")</f>
        <v>39538</v>
      </c>
      <c r="M1910" s="24">
        <f>IFERROR(VLOOKUP(A1910,'Sales Order'!A:F,6,FALSE),"")</f>
        <v>39544</v>
      </c>
      <c r="N1910" t="str">
        <f>IFERROR(VLOOKUP(VLOOKUP(A1910,'Sales Order'!A:G,7,FALSE),Shipper!A:B,2,FALSE),"Not Specified")</f>
        <v>Shipper GVSUA</v>
      </c>
      <c r="O1910" t="str">
        <f>IFERROR(VLOOKUP(A1910,'Sales Order'!A:I,9,FALSE),"Not Specified")</f>
        <v>Destination FRCGJ</v>
      </c>
      <c r="P1910" t="str">
        <f>IFERROR(VLOOKUP(A1910,'Sales Order'!A:N,14,FALSE),"Not Specified")</f>
        <v>UK</v>
      </c>
      <c r="Q1910" t="str">
        <f>VLOOKUP(VLOOKUP(B1910,Product!A:C,3,FALSE),Supplier!A:B,2,FALSE)</f>
        <v>Supplier STUAZ</v>
      </c>
      <c r="R1910" t="str">
        <f>VLOOKUP(VLOOKUP(B1910,Product!A:C,3,FALSE),Supplier!A:I,9,FALSE)</f>
        <v>USA</v>
      </c>
      <c r="S1910" t="str">
        <f>IFERROR(IF(VLOOKUP(A1910,'Sales Order'!A:H,8,FALSE)&gt;100,"High Freight","Low Freight"),"Not Specified")</f>
        <v>High Freight</v>
      </c>
      <c r="T1910">
        <f t="shared" si="59"/>
        <v>1800</v>
      </c>
    </row>
    <row r="1911" spans="1:20">
      <c r="A1911" s="9">
        <v>10987</v>
      </c>
      <c r="B1911" s="6">
        <v>43</v>
      </c>
      <c r="C1911" s="6">
        <v>46</v>
      </c>
      <c r="D1911" s="6">
        <v>6</v>
      </c>
      <c r="E1911" s="18">
        <v>0</v>
      </c>
      <c r="F1911" s="6" t="str">
        <f>IFERROR(VLOOKUP(VLOOKUP(A1911,'Sales Order'!A:B,2,FALSE),Customer!A:C,3,FALSE),"Not Specified")</f>
        <v>Boseman, Randall</v>
      </c>
      <c r="G1911" s="6" t="str">
        <f t="shared" si="58"/>
        <v>Boseman Randall</v>
      </c>
      <c r="H1911" s="22" t="str">
        <f>IFERROR(VLOOKUP(VLOOKUP(A1911,'Sales Order'!A:C,3,FALSE),Employee!A:E,5,FALSE)&amp;" "&amp;VLOOKUP(VLOOKUP(A1911,'Sales Order'!A:C,3,FALSE),Employee!A:C,3,FALSE)&amp;" "&amp;VLOOKUP(VLOOKUP(A1911,'Sales Order'!A:C,3,FALSE),Employee!A:B,2,FALSE),"Not Specified")</f>
        <v>Ms. Maria Cameron</v>
      </c>
      <c r="I1911" t="str">
        <f>IFERROR(VLOOKUP(VLOOKUP(A1911,'Sales Order'!A:C,3,FALSE),Employee!A:J,10,FALSE),"Not Specified")</f>
        <v>WA</v>
      </c>
      <c r="J1911" t="str">
        <f>VLOOKUP(B1911,Product!A:B,2,FALSE)</f>
        <v>Product ZZZHR</v>
      </c>
      <c r="K1911" t="str">
        <f>VLOOKUP(VLOOKUP(B1911,Product!A:D,4,FALSE),Category!A:B,2,FALSE)</f>
        <v>Beverages</v>
      </c>
      <c r="L1911" s="24">
        <f>IFERROR(VLOOKUP(A1911,'Sales Order'!A:D,4,FALSE),"")</f>
        <v>39538</v>
      </c>
      <c r="M1911" s="24">
        <f>IFERROR(VLOOKUP(A1911,'Sales Order'!A:F,6,FALSE),"")</f>
        <v>39544</v>
      </c>
      <c r="N1911" t="str">
        <f>IFERROR(VLOOKUP(VLOOKUP(A1911,'Sales Order'!A:G,7,FALSE),Shipper!A:B,2,FALSE),"Not Specified")</f>
        <v>Shipper GVSUA</v>
      </c>
      <c r="O1911" t="str">
        <f>IFERROR(VLOOKUP(A1911,'Sales Order'!A:I,9,FALSE),"Not Specified")</f>
        <v>Destination FRCGJ</v>
      </c>
      <c r="P1911" t="str">
        <f>IFERROR(VLOOKUP(A1911,'Sales Order'!A:N,14,FALSE),"Not Specified")</f>
        <v>UK</v>
      </c>
      <c r="Q1911" t="str">
        <f>VLOOKUP(VLOOKUP(B1911,Product!A:C,3,FALSE),Supplier!A:B,2,FALSE)</f>
        <v>Supplier CIYNM</v>
      </c>
      <c r="R1911" t="str">
        <f>VLOOKUP(VLOOKUP(B1911,Product!A:C,3,FALSE),Supplier!A:I,9,FALSE)</f>
        <v>Singapore</v>
      </c>
      <c r="S1911" t="str">
        <f>IFERROR(IF(VLOOKUP(A1911,'Sales Order'!A:H,8,FALSE)&gt;100,"High Freight","Low Freight"),"Not Specified")</f>
        <v>High Freight</v>
      </c>
      <c r="T1911">
        <f t="shared" si="59"/>
        <v>276</v>
      </c>
    </row>
    <row r="1912" spans="1:20">
      <c r="A1912" s="9">
        <v>10987</v>
      </c>
      <c r="B1912" s="6">
        <v>72</v>
      </c>
      <c r="C1912" s="6">
        <v>34.799999999999997</v>
      </c>
      <c r="D1912" s="6">
        <v>20</v>
      </c>
      <c r="E1912" s="18">
        <v>0</v>
      </c>
      <c r="F1912" s="6" t="str">
        <f>IFERROR(VLOOKUP(VLOOKUP(A1912,'Sales Order'!A:B,2,FALSE),Customer!A:C,3,FALSE),"Not Specified")</f>
        <v>Boseman, Randall</v>
      </c>
      <c r="G1912" s="6" t="str">
        <f t="shared" si="58"/>
        <v>Boseman Randall</v>
      </c>
      <c r="H1912" s="22" t="str">
        <f>IFERROR(VLOOKUP(VLOOKUP(A1912,'Sales Order'!A:C,3,FALSE),Employee!A:E,5,FALSE)&amp;" "&amp;VLOOKUP(VLOOKUP(A1912,'Sales Order'!A:C,3,FALSE),Employee!A:C,3,FALSE)&amp;" "&amp;VLOOKUP(VLOOKUP(A1912,'Sales Order'!A:C,3,FALSE),Employee!A:B,2,FALSE),"Not Specified")</f>
        <v>Ms. Maria Cameron</v>
      </c>
      <c r="I1912" t="str">
        <f>IFERROR(VLOOKUP(VLOOKUP(A1912,'Sales Order'!A:C,3,FALSE),Employee!A:J,10,FALSE),"Not Specified")</f>
        <v>WA</v>
      </c>
      <c r="J1912" t="str">
        <f>VLOOKUP(B1912,Product!A:B,2,FALSE)</f>
        <v>Product GEEOO</v>
      </c>
      <c r="K1912" t="str">
        <f>VLOOKUP(VLOOKUP(B1912,Product!A:D,4,FALSE),Category!A:B,2,FALSE)</f>
        <v>Dairy Product</v>
      </c>
      <c r="L1912" s="24">
        <f>IFERROR(VLOOKUP(A1912,'Sales Order'!A:D,4,FALSE),"")</f>
        <v>39538</v>
      </c>
      <c r="M1912" s="24">
        <f>IFERROR(VLOOKUP(A1912,'Sales Order'!A:F,6,FALSE),"")</f>
        <v>39544</v>
      </c>
      <c r="N1912" t="str">
        <f>IFERROR(VLOOKUP(VLOOKUP(A1912,'Sales Order'!A:G,7,FALSE),Shipper!A:B,2,FALSE),"Not Specified")</f>
        <v>Shipper GVSUA</v>
      </c>
      <c r="O1912" t="str">
        <f>IFERROR(VLOOKUP(A1912,'Sales Order'!A:I,9,FALSE),"Not Specified")</f>
        <v>Destination FRCGJ</v>
      </c>
      <c r="P1912" t="str">
        <f>IFERROR(VLOOKUP(A1912,'Sales Order'!A:N,14,FALSE),"Not Specified")</f>
        <v>UK</v>
      </c>
      <c r="Q1912" t="str">
        <f>VLOOKUP(VLOOKUP(B1912,Product!A:C,3,FALSE),Supplier!A:B,2,FALSE)</f>
        <v>Supplier KEREV</v>
      </c>
      <c r="R1912" t="str">
        <f>VLOOKUP(VLOOKUP(B1912,Product!A:C,3,FALSE),Supplier!A:I,9,FALSE)</f>
        <v>Italy</v>
      </c>
      <c r="S1912" t="str">
        <f>IFERROR(IF(VLOOKUP(A1912,'Sales Order'!A:H,8,FALSE)&gt;100,"High Freight","Low Freight"),"Not Specified")</f>
        <v>High Freight</v>
      </c>
      <c r="T1912">
        <f t="shared" si="59"/>
        <v>696</v>
      </c>
    </row>
    <row r="1913" spans="1:20">
      <c r="A1913" s="9">
        <v>10988</v>
      </c>
      <c r="B1913" s="6">
        <v>7</v>
      </c>
      <c r="C1913" s="6">
        <v>30</v>
      </c>
      <c r="D1913" s="6">
        <v>60</v>
      </c>
      <c r="E1913" s="18">
        <v>0</v>
      </c>
      <c r="F1913" s="6" t="str">
        <f>IFERROR(VLOOKUP(VLOOKUP(A1913,'Sales Order'!A:B,2,FALSE),Customer!A:C,3,FALSE),"Not Specified")</f>
        <v>Moore, Michael</v>
      </c>
      <c r="G1913" s="6" t="str">
        <f t="shared" si="58"/>
        <v>Moore Michael</v>
      </c>
      <c r="H1913" s="22" t="str">
        <f>IFERROR(VLOOKUP(VLOOKUP(A1913,'Sales Order'!A:C,3,FALSE),Employee!A:E,5,FALSE)&amp;" "&amp;VLOOKUP(VLOOKUP(A1913,'Sales Order'!A:C,3,FALSE),Employee!A:C,3,FALSE)&amp;" "&amp;VLOOKUP(VLOOKUP(A1913,'Sales Order'!A:C,3,FALSE),Employee!A:B,2,FALSE),"Not Specified")</f>
        <v>Ms. Judy Lew</v>
      </c>
      <c r="I1913" t="str">
        <f>IFERROR(VLOOKUP(VLOOKUP(A1913,'Sales Order'!A:C,3,FALSE),Employee!A:J,10,FALSE),"Not Specified")</f>
        <v>WA</v>
      </c>
      <c r="J1913" t="str">
        <f>VLOOKUP(B1913,Product!A:B,2,FALSE)</f>
        <v>Product HMLNI</v>
      </c>
      <c r="K1913" t="str">
        <f>VLOOKUP(VLOOKUP(B1913,Product!A:D,4,FALSE),Category!A:B,2,FALSE)</f>
        <v>Produce</v>
      </c>
      <c r="L1913" s="24">
        <f>IFERROR(VLOOKUP(A1913,'Sales Order'!A:D,4,FALSE),"")</f>
        <v>39538</v>
      </c>
      <c r="M1913" s="24">
        <f>IFERROR(VLOOKUP(A1913,'Sales Order'!A:F,6,FALSE),"")</f>
        <v>39548</v>
      </c>
      <c r="N1913" t="str">
        <f>IFERROR(VLOOKUP(VLOOKUP(A1913,'Sales Order'!A:G,7,FALSE),Shipper!A:B,2,FALSE),"Not Specified")</f>
        <v>Shipper ETYNR</v>
      </c>
      <c r="O1913" t="str">
        <f>IFERROR(VLOOKUP(A1913,'Sales Order'!A:I,9,FALSE),"Not Specified")</f>
        <v>Ship to 65-A</v>
      </c>
      <c r="P1913" t="str">
        <f>IFERROR(VLOOKUP(A1913,'Sales Order'!A:N,14,FALSE),"Not Specified")</f>
        <v>USA</v>
      </c>
      <c r="Q1913" t="str">
        <f>VLOOKUP(VLOOKUP(B1913,Product!A:C,3,FALSE),Supplier!A:B,2,FALSE)</f>
        <v>Supplier STUAZ</v>
      </c>
      <c r="R1913" t="str">
        <f>VLOOKUP(VLOOKUP(B1913,Product!A:C,3,FALSE),Supplier!A:I,9,FALSE)</f>
        <v>USA</v>
      </c>
      <c r="S1913" t="str">
        <f>IFERROR(IF(VLOOKUP(A1913,'Sales Order'!A:H,8,FALSE)&gt;100,"High Freight","Low Freight"),"Not Specified")</f>
        <v>Low Freight</v>
      </c>
      <c r="T1913">
        <f t="shared" si="59"/>
        <v>1800</v>
      </c>
    </row>
    <row r="1914" spans="1:20">
      <c r="A1914" s="9">
        <v>10988</v>
      </c>
      <c r="B1914" s="6">
        <v>62</v>
      </c>
      <c r="C1914" s="6">
        <v>49.3</v>
      </c>
      <c r="D1914" s="6">
        <v>40</v>
      </c>
      <c r="E1914" s="18">
        <v>0.1</v>
      </c>
      <c r="F1914" s="6" t="str">
        <f>IFERROR(VLOOKUP(VLOOKUP(A1914,'Sales Order'!A:B,2,FALSE),Customer!A:C,3,FALSE),"Not Specified")</f>
        <v>Moore, Michael</v>
      </c>
      <c r="G1914" s="6" t="str">
        <f t="shared" si="58"/>
        <v>Moore Michael</v>
      </c>
      <c r="H1914" s="22" t="str">
        <f>IFERROR(VLOOKUP(VLOOKUP(A1914,'Sales Order'!A:C,3,FALSE),Employee!A:E,5,FALSE)&amp;" "&amp;VLOOKUP(VLOOKUP(A1914,'Sales Order'!A:C,3,FALSE),Employee!A:C,3,FALSE)&amp;" "&amp;VLOOKUP(VLOOKUP(A1914,'Sales Order'!A:C,3,FALSE),Employee!A:B,2,FALSE),"Not Specified")</f>
        <v>Ms. Judy Lew</v>
      </c>
      <c r="I1914" t="str">
        <f>IFERROR(VLOOKUP(VLOOKUP(A1914,'Sales Order'!A:C,3,FALSE),Employee!A:J,10,FALSE),"Not Specified")</f>
        <v>WA</v>
      </c>
      <c r="J1914" t="str">
        <f>VLOOKUP(B1914,Product!A:B,2,FALSE)</f>
        <v>Product WUXYK</v>
      </c>
      <c r="K1914" t="str">
        <f>VLOOKUP(VLOOKUP(B1914,Product!A:D,4,FALSE),Category!A:B,2,FALSE)</f>
        <v>Confections</v>
      </c>
      <c r="L1914" s="24">
        <f>IFERROR(VLOOKUP(A1914,'Sales Order'!A:D,4,FALSE),"")</f>
        <v>39538</v>
      </c>
      <c r="M1914" s="24">
        <f>IFERROR(VLOOKUP(A1914,'Sales Order'!A:F,6,FALSE),"")</f>
        <v>39548</v>
      </c>
      <c r="N1914" t="str">
        <f>IFERROR(VLOOKUP(VLOOKUP(A1914,'Sales Order'!A:G,7,FALSE),Shipper!A:B,2,FALSE),"Not Specified")</f>
        <v>Shipper ETYNR</v>
      </c>
      <c r="O1914" t="str">
        <f>IFERROR(VLOOKUP(A1914,'Sales Order'!A:I,9,FALSE),"Not Specified")</f>
        <v>Ship to 65-A</v>
      </c>
      <c r="P1914" t="str">
        <f>IFERROR(VLOOKUP(A1914,'Sales Order'!A:N,14,FALSE),"Not Specified")</f>
        <v>USA</v>
      </c>
      <c r="Q1914" t="str">
        <f>VLOOKUP(VLOOKUP(B1914,Product!A:C,3,FALSE),Supplier!A:B,2,FALSE)</f>
        <v>Supplier OGLRK</v>
      </c>
      <c r="R1914" t="str">
        <f>VLOOKUP(VLOOKUP(B1914,Product!A:C,3,FALSE),Supplier!A:I,9,FALSE)</f>
        <v>Canada</v>
      </c>
      <c r="S1914" t="str">
        <f>IFERROR(IF(VLOOKUP(A1914,'Sales Order'!A:H,8,FALSE)&gt;100,"High Freight","Low Freight"),"Not Specified")</f>
        <v>Low Freight</v>
      </c>
      <c r="T1914">
        <f t="shared" si="59"/>
        <v>1774.8</v>
      </c>
    </row>
    <row r="1915" spans="1:20">
      <c r="A1915" s="9">
        <v>10989</v>
      </c>
      <c r="B1915" s="6">
        <v>6</v>
      </c>
      <c r="C1915" s="6">
        <v>25</v>
      </c>
      <c r="D1915" s="6">
        <v>40</v>
      </c>
      <c r="E1915" s="18">
        <v>0</v>
      </c>
      <c r="F1915" s="6" t="str">
        <f>IFERROR(VLOOKUP(VLOOKUP(A1915,'Sales Order'!A:B,2,FALSE),Customer!A:C,3,FALSE),"Not Specified")</f>
        <v>Florczyk, Krzysztof</v>
      </c>
      <c r="G1915" s="6" t="str">
        <f t="shared" si="58"/>
        <v>Florczyk Krzysztof</v>
      </c>
      <c r="H1915" s="22" t="str">
        <f>IFERROR(VLOOKUP(VLOOKUP(A1915,'Sales Order'!A:C,3,FALSE),Employee!A:E,5,FALSE)&amp;" "&amp;VLOOKUP(VLOOKUP(A1915,'Sales Order'!A:C,3,FALSE),Employee!A:C,3,FALSE)&amp;" "&amp;VLOOKUP(VLOOKUP(A1915,'Sales Order'!A:C,3,FALSE),Employee!A:B,2,FALSE),"Not Specified")</f>
        <v>Dr. Don Funk</v>
      </c>
      <c r="I1915" t="str">
        <f>IFERROR(VLOOKUP(VLOOKUP(A1915,'Sales Order'!A:C,3,FALSE),Employee!A:J,10,FALSE),"Not Specified")</f>
        <v>WA</v>
      </c>
      <c r="J1915" t="str">
        <f>VLOOKUP(B1915,Product!A:B,2,FALSE)</f>
        <v>Product VAIIV</v>
      </c>
      <c r="K1915" t="str">
        <f>VLOOKUP(VLOOKUP(B1915,Product!A:D,4,FALSE),Category!A:B,2,FALSE)</f>
        <v>Condiments</v>
      </c>
      <c r="L1915" s="24">
        <f>IFERROR(VLOOKUP(A1915,'Sales Order'!A:D,4,FALSE),"")</f>
        <v>39538</v>
      </c>
      <c r="M1915" s="24">
        <f>IFERROR(VLOOKUP(A1915,'Sales Order'!A:F,6,FALSE),"")</f>
        <v>39540</v>
      </c>
      <c r="N1915" t="str">
        <f>IFERROR(VLOOKUP(VLOOKUP(A1915,'Sales Order'!A:G,7,FALSE),Shipper!A:B,2,FALSE),"Not Specified")</f>
        <v>Shipper GVSUA</v>
      </c>
      <c r="O1915" t="str">
        <f>IFERROR(VLOOKUP(A1915,'Sales Order'!A:I,9,FALSE),"Not Specified")</f>
        <v>Ship to 61-A</v>
      </c>
      <c r="P1915" t="str">
        <f>IFERROR(VLOOKUP(A1915,'Sales Order'!A:N,14,FALSE),"Not Specified")</f>
        <v>Brazil</v>
      </c>
      <c r="Q1915" t="str">
        <f>VLOOKUP(VLOOKUP(B1915,Product!A:C,3,FALSE),Supplier!A:B,2,FALSE)</f>
        <v>Supplier STUAZ</v>
      </c>
      <c r="R1915" t="str">
        <f>VLOOKUP(VLOOKUP(B1915,Product!A:C,3,FALSE),Supplier!A:I,9,FALSE)</f>
        <v>USA</v>
      </c>
      <c r="S1915" t="str">
        <f>IFERROR(IF(VLOOKUP(A1915,'Sales Order'!A:H,8,FALSE)&gt;100,"High Freight","Low Freight"),"Not Specified")</f>
        <v>Low Freight</v>
      </c>
      <c r="T1915">
        <f t="shared" si="59"/>
        <v>1000</v>
      </c>
    </row>
    <row r="1916" spans="1:20">
      <c r="A1916" s="9">
        <v>10989</v>
      </c>
      <c r="B1916" s="6">
        <v>11</v>
      </c>
      <c r="C1916" s="6">
        <v>21</v>
      </c>
      <c r="D1916" s="6">
        <v>15</v>
      </c>
      <c r="E1916" s="18">
        <v>0</v>
      </c>
      <c r="F1916" s="6" t="str">
        <f>IFERROR(VLOOKUP(VLOOKUP(A1916,'Sales Order'!A:B,2,FALSE),Customer!A:C,3,FALSE),"Not Specified")</f>
        <v>Florczyk, Krzysztof</v>
      </c>
      <c r="G1916" s="6" t="str">
        <f t="shared" si="58"/>
        <v>Florczyk Krzysztof</v>
      </c>
      <c r="H1916" s="22" t="str">
        <f>IFERROR(VLOOKUP(VLOOKUP(A1916,'Sales Order'!A:C,3,FALSE),Employee!A:E,5,FALSE)&amp;" "&amp;VLOOKUP(VLOOKUP(A1916,'Sales Order'!A:C,3,FALSE),Employee!A:C,3,FALSE)&amp;" "&amp;VLOOKUP(VLOOKUP(A1916,'Sales Order'!A:C,3,FALSE),Employee!A:B,2,FALSE),"Not Specified")</f>
        <v>Dr. Don Funk</v>
      </c>
      <c r="I1916" t="str">
        <f>IFERROR(VLOOKUP(VLOOKUP(A1916,'Sales Order'!A:C,3,FALSE),Employee!A:J,10,FALSE),"Not Specified")</f>
        <v>WA</v>
      </c>
      <c r="J1916" t="str">
        <f>VLOOKUP(B1916,Product!A:B,2,FALSE)</f>
        <v>Product QMVUN</v>
      </c>
      <c r="K1916" t="str">
        <f>VLOOKUP(VLOOKUP(B1916,Product!A:D,4,FALSE),Category!A:B,2,FALSE)</f>
        <v>Dairy Product</v>
      </c>
      <c r="L1916" s="24">
        <f>IFERROR(VLOOKUP(A1916,'Sales Order'!A:D,4,FALSE),"")</f>
        <v>39538</v>
      </c>
      <c r="M1916" s="24">
        <f>IFERROR(VLOOKUP(A1916,'Sales Order'!A:F,6,FALSE),"")</f>
        <v>39540</v>
      </c>
      <c r="N1916" t="str">
        <f>IFERROR(VLOOKUP(VLOOKUP(A1916,'Sales Order'!A:G,7,FALSE),Shipper!A:B,2,FALSE),"Not Specified")</f>
        <v>Shipper GVSUA</v>
      </c>
      <c r="O1916" t="str">
        <f>IFERROR(VLOOKUP(A1916,'Sales Order'!A:I,9,FALSE),"Not Specified")</f>
        <v>Ship to 61-A</v>
      </c>
      <c r="P1916" t="str">
        <f>IFERROR(VLOOKUP(A1916,'Sales Order'!A:N,14,FALSE),"Not Specified")</f>
        <v>Brazil</v>
      </c>
      <c r="Q1916" t="str">
        <f>VLOOKUP(VLOOKUP(B1916,Product!A:C,3,FALSE),Supplier!A:B,2,FALSE)</f>
        <v>Supplier EQPNC</v>
      </c>
      <c r="R1916" t="str">
        <f>VLOOKUP(VLOOKUP(B1916,Product!A:C,3,FALSE),Supplier!A:I,9,FALSE)</f>
        <v>Spain</v>
      </c>
      <c r="S1916" t="str">
        <f>IFERROR(IF(VLOOKUP(A1916,'Sales Order'!A:H,8,FALSE)&gt;100,"High Freight","Low Freight"),"Not Specified")</f>
        <v>Low Freight</v>
      </c>
      <c r="T1916">
        <f t="shared" si="59"/>
        <v>315</v>
      </c>
    </row>
    <row r="1917" spans="1:20">
      <c r="A1917" s="9">
        <v>10989</v>
      </c>
      <c r="B1917" s="6">
        <v>41</v>
      </c>
      <c r="C1917" s="6">
        <v>9.65</v>
      </c>
      <c r="D1917" s="6">
        <v>4</v>
      </c>
      <c r="E1917" s="18">
        <v>0</v>
      </c>
      <c r="F1917" s="6" t="str">
        <f>IFERROR(VLOOKUP(VLOOKUP(A1917,'Sales Order'!A:B,2,FALSE),Customer!A:C,3,FALSE),"Not Specified")</f>
        <v>Florczyk, Krzysztof</v>
      </c>
      <c r="G1917" s="6" t="str">
        <f t="shared" si="58"/>
        <v>Florczyk Krzysztof</v>
      </c>
      <c r="H1917" s="22" t="str">
        <f>IFERROR(VLOOKUP(VLOOKUP(A1917,'Sales Order'!A:C,3,FALSE),Employee!A:E,5,FALSE)&amp;" "&amp;VLOOKUP(VLOOKUP(A1917,'Sales Order'!A:C,3,FALSE),Employee!A:C,3,FALSE)&amp;" "&amp;VLOOKUP(VLOOKUP(A1917,'Sales Order'!A:C,3,FALSE),Employee!A:B,2,FALSE),"Not Specified")</f>
        <v>Dr. Don Funk</v>
      </c>
      <c r="I1917" t="str">
        <f>IFERROR(VLOOKUP(VLOOKUP(A1917,'Sales Order'!A:C,3,FALSE),Employee!A:J,10,FALSE),"Not Specified")</f>
        <v>WA</v>
      </c>
      <c r="J1917" t="str">
        <f>VLOOKUP(B1917,Product!A:B,2,FALSE)</f>
        <v>Product TTEEX</v>
      </c>
      <c r="K1917" t="str">
        <f>VLOOKUP(VLOOKUP(B1917,Product!A:D,4,FALSE),Category!A:B,2,FALSE)</f>
        <v>Seafood</v>
      </c>
      <c r="L1917" s="24">
        <f>IFERROR(VLOOKUP(A1917,'Sales Order'!A:D,4,FALSE),"")</f>
        <v>39538</v>
      </c>
      <c r="M1917" s="24">
        <f>IFERROR(VLOOKUP(A1917,'Sales Order'!A:F,6,FALSE),"")</f>
        <v>39540</v>
      </c>
      <c r="N1917" t="str">
        <f>IFERROR(VLOOKUP(VLOOKUP(A1917,'Sales Order'!A:G,7,FALSE),Shipper!A:B,2,FALSE),"Not Specified")</f>
        <v>Shipper GVSUA</v>
      </c>
      <c r="O1917" t="str">
        <f>IFERROR(VLOOKUP(A1917,'Sales Order'!A:I,9,FALSE),"Not Specified")</f>
        <v>Ship to 61-A</v>
      </c>
      <c r="P1917" t="str">
        <f>IFERROR(VLOOKUP(A1917,'Sales Order'!A:N,14,FALSE),"Not Specified")</f>
        <v>Brazil</v>
      </c>
      <c r="Q1917" t="str">
        <f>VLOOKUP(VLOOKUP(B1917,Product!A:C,3,FALSE),Supplier!A:B,2,FALSE)</f>
        <v>Supplier JDNUG</v>
      </c>
      <c r="R1917" t="str">
        <f>VLOOKUP(VLOOKUP(B1917,Product!A:C,3,FALSE),Supplier!A:I,9,FALSE)</f>
        <v>USA</v>
      </c>
      <c r="S1917" t="str">
        <f>IFERROR(IF(VLOOKUP(A1917,'Sales Order'!A:H,8,FALSE)&gt;100,"High Freight","Low Freight"),"Not Specified")</f>
        <v>Low Freight</v>
      </c>
      <c r="T1917">
        <f t="shared" si="59"/>
        <v>38.6</v>
      </c>
    </row>
    <row r="1918" spans="1:20">
      <c r="A1918" s="9">
        <v>10990</v>
      </c>
      <c r="B1918" s="6">
        <v>21</v>
      </c>
      <c r="C1918" s="6">
        <v>10</v>
      </c>
      <c r="D1918" s="6">
        <v>65</v>
      </c>
      <c r="E1918" s="18">
        <v>0</v>
      </c>
      <c r="F1918" s="6" t="str">
        <f>IFERROR(VLOOKUP(VLOOKUP(A1918,'Sales Order'!A:B,2,FALSE),Customer!A:C,3,FALSE),"Not Specified")</f>
        <v>Kane, John</v>
      </c>
      <c r="G1918" s="6" t="str">
        <f t="shared" si="58"/>
        <v>Kane John</v>
      </c>
      <c r="H1918" s="22" t="str">
        <f>IFERROR(VLOOKUP(VLOOKUP(A1918,'Sales Order'!A:C,3,FALSE),Employee!A:E,5,FALSE)&amp;" "&amp;VLOOKUP(VLOOKUP(A1918,'Sales Order'!A:C,3,FALSE),Employee!A:C,3,FALSE)&amp;" "&amp;VLOOKUP(VLOOKUP(A1918,'Sales Order'!A:C,3,FALSE),Employee!A:B,2,FALSE),"Not Specified")</f>
        <v>Dr. Don Funk</v>
      </c>
      <c r="I1918" t="str">
        <f>IFERROR(VLOOKUP(VLOOKUP(A1918,'Sales Order'!A:C,3,FALSE),Employee!A:J,10,FALSE),"Not Specified")</f>
        <v>WA</v>
      </c>
      <c r="J1918" t="str">
        <f>VLOOKUP(B1918,Product!A:B,2,FALSE)</f>
        <v>Product VJZZH</v>
      </c>
      <c r="K1918" t="str">
        <f>VLOOKUP(VLOOKUP(B1918,Product!A:D,4,FALSE),Category!A:B,2,FALSE)</f>
        <v>Confections</v>
      </c>
      <c r="L1918" s="24">
        <f>IFERROR(VLOOKUP(A1918,'Sales Order'!A:D,4,FALSE),"")</f>
        <v>39539</v>
      </c>
      <c r="M1918" s="24">
        <f>IFERROR(VLOOKUP(A1918,'Sales Order'!A:F,6,FALSE),"")</f>
        <v>39545</v>
      </c>
      <c r="N1918" t="str">
        <f>IFERROR(VLOOKUP(VLOOKUP(A1918,'Sales Order'!A:G,7,FALSE),Shipper!A:B,2,FALSE),"Not Specified")</f>
        <v>Shipper ZHISN</v>
      </c>
      <c r="O1918" t="str">
        <f>IFERROR(VLOOKUP(A1918,'Sales Order'!A:I,9,FALSE),"Not Specified")</f>
        <v>Destination RVDMF</v>
      </c>
      <c r="P1918" t="str">
        <f>IFERROR(VLOOKUP(A1918,'Sales Order'!A:N,14,FALSE),"Not Specified")</f>
        <v>Austria</v>
      </c>
      <c r="Q1918" t="str">
        <f>VLOOKUP(VLOOKUP(B1918,Product!A:C,3,FALSE),Supplier!A:B,2,FALSE)</f>
        <v>Supplier BWGYE</v>
      </c>
      <c r="R1918" t="str">
        <f>VLOOKUP(VLOOKUP(B1918,Product!A:C,3,FALSE),Supplier!A:I,9,FALSE)</f>
        <v>UK</v>
      </c>
      <c r="S1918" t="str">
        <f>IFERROR(IF(VLOOKUP(A1918,'Sales Order'!A:H,8,FALSE)&gt;100,"High Freight","Low Freight"),"Not Specified")</f>
        <v>High Freight</v>
      </c>
      <c r="T1918">
        <f t="shared" si="59"/>
        <v>650</v>
      </c>
    </row>
    <row r="1919" spans="1:20">
      <c r="A1919" s="9">
        <v>10990</v>
      </c>
      <c r="B1919" s="6">
        <v>34</v>
      </c>
      <c r="C1919" s="6">
        <v>14</v>
      </c>
      <c r="D1919" s="6">
        <v>60</v>
      </c>
      <c r="E1919" s="18">
        <v>0.15</v>
      </c>
      <c r="F1919" s="6" t="str">
        <f>IFERROR(VLOOKUP(VLOOKUP(A1919,'Sales Order'!A:B,2,FALSE),Customer!A:C,3,FALSE),"Not Specified")</f>
        <v>Kane, John</v>
      </c>
      <c r="G1919" s="6" t="str">
        <f t="shared" si="58"/>
        <v>Kane John</v>
      </c>
      <c r="H1919" s="22" t="str">
        <f>IFERROR(VLOOKUP(VLOOKUP(A1919,'Sales Order'!A:C,3,FALSE),Employee!A:E,5,FALSE)&amp;" "&amp;VLOOKUP(VLOOKUP(A1919,'Sales Order'!A:C,3,FALSE),Employee!A:C,3,FALSE)&amp;" "&amp;VLOOKUP(VLOOKUP(A1919,'Sales Order'!A:C,3,FALSE),Employee!A:B,2,FALSE),"Not Specified")</f>
        <v>Dr. Don Funk</v>
      </c>
      <c r="I1919" t="str">
        <f>IFERROR(VLOOKUP(VLOOKUP(A1919,'Sales Order'!A:C,3,FALSE),Employee!A:J,10,FALSE),"Not Specified")</f>
        <v>WA</v>
      </c>
      <c r="J1919" t="str">
        <f>VLOOKUP(B1919,Product!A:B,2,FALSE)</f>
        <v>Product SWNJY</v>
      </c>
      <c r="K1919" t="str">
        <f>VLOOKUP(VLOOKUP(B1919,Product!A:D,4,FALSE),Category!A:B,2,FALSE)</f>
        <v>Beverages</v>
      </c>
      <c r="L1919" s="24">
        <f>IFERROR(VLOOKUP(A1919,'Sales Order'!A:D,4,FALSE),"")</f>
        <v>39539</v>
      </c>
      <c r="M1919" s="24">
        <f>IFERROR(VLOOKUP(A1919,'Sales Order'!A:F,6,FALSE),"")</f>
        <v>39545</v>
      </c>
      <c r="N1919" t="str">
        <f>IFERROR(VLOOKUP(VLOOKUP(A1919,'Sales Order'!A:G,7,FALSE),Shipper!A:B,2,FALSE),"Not Specified")</f>
        <v>Shipper ZHISN</v>
      </c>
      <c r="O1919" t="str">
        <f>IFERROR(VLOOKUP(A1919,'Sales Order'!A:I,9,FALSE),"Not Specified")</f>
        <v>Destination RVDMF</v>
      </c>
      <c r="P1919" t="str">
        <f>IFERROR(VLOOKUP(A1919,'Sales Order'!A:N,14,FALSE),"Not Specified")</f>
        <v>Austria</v>
      </c>
      <c r="Q1919" t="str">
        <f>VLOOKUP(VLOOKUP(B1919,Product!A:C,3,FALSE),Supplier!A:B,2,FALSE)</f>
        <v>Supplier UHZRG</v>
      </c>
      <c r="R1919" t="str">
        <f>VLOOKUP(VLOOKUP(B1919,Product!A:C,3,FALSE),Supplier!A:I,9,FALSE)</f>
        <v>USA</v>
      </c>
      <c r="S1919" t="str">
        <f>IFERROR(IF(VLOOKUP(A1919,'Sales Order'!A:H,8,FALSE)&gt;100,"High Freight","Low Freight"),"Not Specified")</f>
        <v>High Freight</v>
      </c>
      <c r="T1919">
        <f t="shared" si="59"/>
        <v>714</v>
      </c>
    </row>
    <row r="1920" spans="1:20">
      <c r="A1920" s="9">
        <v>10990</v>
      </c>
      <c r="B1920" s="6">
        <v>55</v>
      </c>
      <c r="C1920" s="6">
        <v>24</v>
      </c>
      <c r="D1920" s="6">
        <v>65</v>
      </c>
      <c r="E1920" s="18">
        <v>0.15</v>
      </c>
      <c r="F1920" s="6" t="str">
        <f>IFERROR(VLOOKUP(VLOOKUP(A1920,'Sales Order'!A:B,2,FALSE),Customer!A:C,3,FALSE),"Not Specified")</f>
        <v>Kane, John</v>
      </c>
      <c r="G1920" s="6" t="str">
        <f t="shared" si="58"/>
        <v>Kane John</v>
      </c>
      <c r="H1920" s="22" t="str">
        <f>IFERROR(VLOOKUP(VLOOKUP(A1920,'Sales Order'!A:C,3,FALSE),Employee!A:E,5,FALSE)&amp;" "&amp;VLOOKUP(VLOOKUP(A1920,'Sales Order'!A:C,3,FALSE),Employee!A:C,3,FALSE)&amp;" "&amp;VLOOKUP(VLOOKUP(A1920,'Sales Order'!A:C,3,FALSE),Employee!A:B,2,FALSE),"Not Specified")</f>
        <v>Dr. Don Funk</v>
      </c>
      <c r="I1920" t="str">
        <f>IFERROR(VLOOKUP(VLOOKUP(A1920,'Sales Order'!A:C,3,FALSE),Employee!A:J,10,FALSE),"Not Specified")</f>
        <v>WA</v>
      </c>
      <c r="J1920" t="str">
        <f>VLOOKUP(B1920,Product!A:B,2,FALSE)</f>
        <v>Product YYWRT</v>
      </c>
      <c r="K1920" t="str">
        <f>VLOOKUP(VLOOKUP(B1920,Product!A:D,4,FALSE),Category!A:B,2,FALSE)</f>
        <v>Meat/Poultry</v>
      </c>
      <c r="L1920" s="24">
        <f>IFERROR(VLOOKUP(A1920,'Sales Order'!A:D,4,FALSE),"")</f>
        <v>39539</v>
      </c>
      <c r="M1920" s="24">
        <f>IFERROR(VLOOKUP(A1920,'Sales Order'!A:F,6,FALSE),"")</f>
        <v>39545</v>
      </c>
      <c r="N1920" t="str">
        <f>IFERROR(VLOOKUP(VLOOKUP(A1920,'Sales Order'!A:G,7,FALSE),Shipper!A:B,2,FALSE),"Not Specified")</f>
        <v>Shipper ZHISN</v>
      </c>
      <c r="O1920" t="str">
        <f>IFERROR(VLOOKUP(A1920,'Sales Order'!A:I,9,FALSE),"Not Specified")</f>
        <v>Destination RVDMF</v>
      </c>
      <c r="P1920" t="str">
        <f>IFERROR(VLOOKUP(A1920,'Sales Order'!A:N,14,FALSE),"Not Specified")</f>
        <v>Austria</v>
      </c>
      <c r="Q1920" t="str">
        <f>VLOOKUP(VLOOKUP(B1920,Product!A:C,3,FALSE),Supplier!A:B,2,FALSE)</f>
        <v>Supplier ERVYZ</v>
      </c>
      <c r="R1920" t="str">
        <f>VLOOKUP(VLOOKUP(B1920,Product!A:C,3,FALSE),Supplier!A:I,9,FALSE)</f>
        <v>Canada</v>
      </c>
      <c r="S1920" t="str">
        <f>IFERROR(IF(VLOOKUP(A1920,'Sales Order'!A:H,8,FALSE)&gt;100,"High Freight","Low Freight"),"Not Specified")</f>
        <v>High Freight</v>
      </c>
      <c r="T1920">
        <f t="shared" si="59"/>
        <v>1326</v>
      </c>
    </row>
    <row r="1921" spans="1:20">
      <c r="A1921" s="9">
        <v>10990</v>
      </c>
      <c r="B1921" s="6">
        <v>61</v>
      </c>
      <c r="C1921" s="6">
        <v>28.5</v>
      </c>
      <c r="D1921" s="6">
        <v>66</v>
      </c>
      <c r="E1921" s="18">
        <v>0.15</v>
      </c>
      <c r="F1921" s="6" t="str">
        <f>IFERROR(VLOOKUP(VLOOKUP(A1921,'Sales Order'!A:B,2,FALSE),Customer!A:C,3,FALSE),"Not Specified")</f>
        <v>Kane, John</v>
      </c>
      <c r="G1921" s="6" t="str">
        <f t="shared" si="58"/>
        <v>Kane John</v>
      </c>
      <c r="H1921" s="22" t="str">
        <f>IFERROR(VLOOKUP(VLOOKUP(A1921,'Sales Order'!A:C,3,FALSE),Employee!A:E,5,FALSE)&amp;" "&amp;VLOOKUP(VLOOKUP(A1921,'Sales Order'!A:C,3,FALSE),Employee!A:C,3,FALSE)&amp;" "&amp;VLOOKUP(VLOOKUP(A1921,'Sales Order'!A:C,3,FALSE),Employee!A:B,2,FALSE),"Not Specified")</f>
        <v>Dr. Don Funk</v>
      </c>
      <c r="I1921" t="str">
        <f>IFERROR(VLOOKUP(VLOOKUP(A1921,'Sales Order'!A:C,3,FALSE),Employee!A:J,10,FALSE),"Not Specified")</f>
        <v>WA</v>
      </c>
      <c r="J1921" t="str">
        <f>VLOOKUP(B1921,Product!A:B,2,FALSE)</f>
        <v>Product XYZPE</v>
      </c>
      <c r="K1921" t="str">
        <f>VLOOKUP(VLOOKUP(B1921,Product!A:D,4,FALSE),Category!A:B,2,FALSE)</f>
        <v>Condiments</v>
      </c>
      <c r="L1921" s="24">
        <f>IFERROR(VLOOKUP(A1921,'Sales Order'!A:D,4,FALSE),"")</f>
        <v>39539</v>
      </c>
      <c r="M1921" s="24">
        <f>IFERROR(VLOOKUP(A1921,'Sales Order'!A:F,6,FALSE),"")</f>
        <v>39545</v>
      </c>
      <c r="N1921" t="str">
        <f>IFERROR(VLOOKUP(VLOOKUP(A1921,'Sales Order'!A:G,7,FALSE),Shipper!A:B,2,FALSE),"Not Specified")</f>
        <v>Shipper ZHISN</v>
      </c>
      <c r="O1921" t="str">
        <f>IFERROR(VLOOKUP(A1921,'Sales Order'!A:I,9,FALSE),"Not Specified")</f>
        <v>Destination RVDMF</v>
      </c>
      <c r="P1921" t="str">
        <f>IFERROR(VLOOKUP(A1921,'Sales Order'!A:N,14,FALSE),"Not Specified")</f>
        <v>Austria</v>
      </c>
      <c r="Q1921" t="str">
        <f>VLOOKUP(VLOOKUP(B1921,Product!A:C,3,FALSE),Supplier!A:B,2,FALSE)</f>
        <v>Supplier OGLRK</v>
      </c>
      <c r="R1921" t="str">
        <f>VLOOKUP(VLOOKUP(B1921,Product!A:C,3,FALSE),Supplier!A:I,9,FALSE)</f>
        <v>Canada</v>
      </c>
      <c r="S1921" t="str">
        <f>IFERROR(IF(VLOOKUP(A1921,'Sales Order'!A:H,8,FALSE)&gt;100,"High Freight","Low Freight"),"Not Specified")</f>
        <v>High Freight</v>
      </c>
      <c r="T1921">
        <f t="shared" si="59"/>
        <v>1598.85</v>
      </c>
    </row>
    <row r="1922" spans="1:20">
      <c r="A1922" s="9">
        <v>10991</v>
      </c>
      <c r="B1922" s="6">
        <v>2</v>
      </c>
      <c r="C1922" s="6">
        <v>19</v>
      </c>
      <c r="D1922" s="6">
        <v>50</v>
      </c>
      <c r="E1922" s="18">
        <v>0.2</v>
      </c>
      <c r="F1922" s="6" t="str">
        <f>IFERROR(VLOOKUP(VLOOKUP(A1922,'Sales Order'!A:B,2,FALSE),Customer!A:C,3,FALSE),"Not Specified")</f>
        <v>Veronesi, Giorgio</v>
      </c>
      <c r="G1922" s="6" t="str">
        <f t="shared" si="58"/>
        <v>Veronesi Giorgio</v>
      </c>
      <c r="H1922" s="22" t="str">
        <f>IFERROR(VLOOKUP(VLOOKUP(A1922,'Sales Order'!A:C,3,FALSE),Employee!A:E,5,FALSE)&amp;" "&amp;VLOOKUP(VLOOKUP(A1922,'Sales Order'!A:C,3,FALSE),Employee!A:C,3,FALSE)&amp;" "&amp;VLOOKUP(VLOOKUP(A1922,'Sales Order'!A:C,3,FALSE),Employee!A:B,2,FALSE),"Not Specified")</f>
        <v>Ms. Sara Davis</v>
      </c>
      <c r="I1922" t="str">
        <f>IFERROR(VLOOKUP(VLOOKUP(A1922,'Sales Order'!A:C,3,FALSE),Employee!A:J,10,FALSE),"Not Specified")</f>
        <v>WA</v>
      </c>
      <c r="J1922" t="str">
        <f>VLOOKUP(B1922,Product!A:B,2,FALSE)</f>
        <v>Product RECZE</v>
      </c>
      <c r="K1922" t="str">
        <f>VLOOKUP(VLOOKUP(B1922,Product!A:D,4,FALSE),Category!A:B,2,FALSE)</f>
        <v>Beverages</v>
      </c>
      <c r="L1922" s="24">
        <f>IFERROR(VLOOKUP(A1922,'Sales Order'!A:D,4,FALSE),"")</f>
        <v>39539</v>
      </c>
      <c r="M1922" s="24">
        <f>IFERROR(VLOOKUP(A1922,'Sales Order'!A:F,6,FALSE),"")</f>
        <v>39545</v>
      </c>
      <c r="N1922" t="str">
        <f>IFERROR(VLOOKUP(VLOOKUP(A1922,'Sales Order'!A:G,7,FALSE),Shipper!A:B,2,FALSE),"Not Specified")</f>
        <v>Shipper GVSUA</v>
      </c>
      <c r="O1922" t="str">
        <f>IFERROR(VLOOKUP(A1922,'Sales Order'!A:I,9,FALSE),"Not Specified")</f>
        <v>Ship to 63-A</v>
      </c>
      <c r="P1922" t="str">
        <f>IFERROR(VLOOKUP(A1922,'Sales Order'!A:N,14,FALSE),"Not Specified")</f>
        <v>Germany</v>
      </c>
      <c r="Q1922" t="str">
        <f>VLOOKUP(VLOOKUP(B1922,Product!A:C,3,FALSE),Supplier!A:B,2,FALSE)</f>
        <v>Supplier SWRXU</v>
      </c>
      <c r="R1922" t="str">
        <f>VLOOKUP(VLOOKUP(B1922,Product!A:C,3,FALSE),Supplier!A:I,9,FALSE)</f>
        <v>UK</v>
      </c>
      <c r="S1922" t="str">
        <f>IFERROR(IF(VLOOKUP(A1922,'Sales Order'!A:H,8,FALSE)&gt;100,"High Freight","Low Freight"),"Not Specified")</f>
        <v>Low Freight</v>
      </c>
      <c r="T1922">
        <f t="shared" si="59"/>
        <v>760</v>
      </c>
    </row>
    <row r="1923" spans="1:20">
      <c r="A1923" s="9">
        <v>10991</v>
      </c>
      <c r="B1923" s="6">
        <v>70</v>
      </c>
      <c r="C1923" s="6">
        <v>15</v>
      </c>
      <c r="D1923" s="6">
        <v>20</v>
      </c>
      <c r="E1923" s="18">
        <v>0.2</v>
      </c>
      <c r="F1923" s="6" t="str">
        <f>IFERROR(VLOOKUP(VLOOKUP(A1923,'Sales Order'!A:B,2,FALSE),Customer!A:C,3,FALSE),"Not Specified")</f>
        <v>Veronesi, Giorgio</v>
      </c>
      <c r="G1923" s="6" t="str">
        <f t="shared" ref="G1923:G1986" si="60">SUBSTITUTE(F1923,",","",1)</f>
        <v>Veronesi Giorgio</v>
      </c>
      <c r="H1923" s="22" t="str">
        <f>IFERROR(VLOOKUP(VLOOKUP(A1923,'Sales Order'!A:C,3,FALSE),Employee!A:E,5,FALSE)&amp;" "&amp;VLOOKUP(VLOOKUP(A1923,'Sales Order'!A:C,3,FALSE),Employee!A:C,3,FALSE)&amp;" "&amp;VLOOKUP(VLOOKUP(A1923,'Sales Order'!A:C,3,FALSE),Employee!A:B,2,FALSE),"Not Specified")</f>
        <v>Ms. Sara Davis</v>
      </c>
      <c r="I1923" t="str">
        <f>IFERROR(VLOOKUP(VLOOKUP(A1923,'Sales Order'!A:C,3,FALSE),Employee!A:J,10,FALSE),"Not Specified")</f>
        <v>WA</v>
      </c>
      <c r="J1923" t="str">
        <f>VLOOKUP(B1923,Product!A:B,2,FALSE)</f>
        <v>Product TOONT</v>
      </c>
      <c r="K1923" t="str">
        <f>VLOOKUP(VLOOKUP(B1923,Product!A:D,4,FALSE),Category!A:B,2,FALSE)</f>
        <v>Beverages</v>
      </c>
      <c r="L1923" s="24">
        <f>IFERROR(VLOOKUP(A1923,'Sales Order'!A:D,4,FALSE),"")</f>
        <v>39539</v>
      </c>
      <c r="M1923" s="24">
        <f>IFERROR(VLOOKUP(A1923,'Sales Order'!A:F,6,FALSE),"")</f>
        <v>39545</v>
      </c>
      <c r="N1923" t="str">
        <f>IFERROR(VLOOKUP(VLOOKUP(A1923,'Sales Order'!A:G,7,FALSE),Shipper!A:B,2,FALSE),"Not Specified")</f>
        <v>Shipper GVSUA</v>
      </c>
      <c r="O1923" t="str">
        <f>IFERROR(VLOOKUP(A1923,'Sales Order'!A:I,9,FALSE),"Not Specified")</f>
        <v>Ship to 63-A</v>
      </c>
      <c r="P1923" t="str">
        <f>IFERROR(VLOOKUP(A1923,'Sales Order'!A:N,14,FALSE),"Not Specified")</f>
        <v>Germany</v>
      </c>
      <c r="Q1923" t="str">
        <f>VLOOKUP(VLOOKUP(B1923,Product!A:C,3,FALSE),Supplier!A:B,2,FALSE)</f>
        <v>Supplier GQRCV</v>
      </c>
      <c r="R1923" t="str">
        <f>VLOOKUP(VLOOKUP(B1923,Product!A:C,3,FALSE),Supplier!A:I,9,FALSE)</f>
        <v>Australia</v>
      </c>
      <c r="S1923" t="str">
        <f>IFERROR(IF(VLOOKUP(A1923,'Sales Order'!A:H,8,FALSE)&gt;100,"High Freight","Low Freight"),"Not Specified")</f>
        <v>Low Freight</v>
      </c>
      <c r="T1923">
        <f t="shared" ref="T1923:T1986" si="61">C1923*D1923*(1-E1923)</f>
        <v>240</v>
      </c>
    </row>
    <row r="1924" spans="1:20">
      <c r="A1924" s="9">
        <v>10991</v>
      </c>
      <c r="B1924" s="6">
        <v>76</v>
      </c>
      <c r="C1924" s="6">
        <v>18</v>
      </c>
      <c r="D1924" s="6">
        <v>90</v>
      </c>
      <c r="E1924" s="18">
        <v>0.2</v>
      </c>
      <c r="F1924" s="6" t="str">
        <f>IFERROR(VLOOKUP(VLOOKUP(A1924,'Sales Order'!A:B,2,FALSE),Customer!A:C,3,FALSE),"Not Specified")</f>
        <v>Veronesi, Giorgio</v>
      </c>
      <c r="G1924" s="6" t="str">
        <f t="shared" si="60"/>
        <v>Veronesi Giorgio</v>
      </c>
      <c r="H1924" s="22" t="str">
        <f>IFERROR(VLOOKUP(VLOOKUP(A1924,'Sales Order'!A:C,3,FALSE),Employee!A:E,5,FALSE)&amp;" "&amp;VLOOKUP(VLOOKUP(A1924,'Sales Order'!A:C,3,FALSE),Employee!A:C,3,FALSE)&amp;" "&amp;VLOOKUP(VLOOKUP(A1924,'Sales Order'!A:C,3,FALSE),Employee!A:B,2,FALSE),"Not Specified")</f>
        <v>Ms. Sara Davis</v>
      </c>
      <c r="I1924" t="str">
        <f>IFERROR(VLOOKUP(VLOOKUP(A1924,'Sales Order'!A:C,3,FALSE),Employee!A:J,10,FALSE),"Not Specified")</f>
        <v>WA</v>
      </c>
      <c r="J1924" t="str">
        <f>VLOOKUP(B1924,Product!A:B,2,FALSE)</f>
        <v>Product JYGFE</v>
      </c>
      <c r="K1924" t="str">
        <f>VLOOKUP(VLOOKUP(B1924,Product!A:D,4,FALSE),Category!A:B,2,FALSE)</f>
        <v>Beverages</v>
      </c>
      <c r="L1924" s="24">
        <f>IFERROR(VLOOKUP(A1924,'Sales Order'!A:D,4,FALSE),"")</f>
        <v>39539</v>
      </c>
      <c r="M1924" s="24">
        <f>IFERROR(VLOOKUP(A1924,'Sales Order'!A:F,6,FALSE),"")</f>
        <v>39545</v>
      </c>
      <c r="N1924" t="str">
        <f>IFERROR(VLOOKUP(VLOOKUP(A1924,'Sales Order'!A:G,7,FALSE),Shipper!A:B,2,FALSE),"Not Specified")</f>
        <v>Shipper GVSUA</v>
      </c>
      <c r="O1924" t="str">
        <f>IFERROR(VLOOKUP(A1924,'Sales Order'!A:I,9,FALSE),"Not Specified")</f>
        <v>Ship to 63-A</v>
      </c>
      <c r="P1924" t="str">
        <f>IFERROR(VLOOKUP(A1924,'Sales Order'!A:N,14,FALSE),"Not Specified")</f>
        <v>Germany</v>
      </c>
      <c r="Q1924" t="str">
        <f>VLOOKUP(VLOOKUP(B1924,Product!A:C,3,FALSE),Supplier!A:B,2,FALSE)</f>
        <v>Supplier ELCRN</v>
      </c>
      <c r="R1924" t="str">
        <f>VLOOKUP(VLOOKUP(B1924,Product!A:C,3,FALSE),Supplier!A:I,9,FALSE)</f>
        <v>Finland</v>
      </c>
      <c r="S1924" t="str">
        <f>IFERROR(IF(VLOOKUP(A1924,'Sales Order'!A:H,8,FALSE)&gt;100,"High Freight","Low Freight"),"Not Specified")</f>
        <v>Low Freight</v>
      </c>
      <c r="T1924">
        <f t="shared" si="61"/>
        <v>1296</v>
      </c>
    </row>
    <row r="1925" spans="1:20">
      <c r="A1925" s="9">
        <v>10992</v>
      </c>
      <c r="B1925" s="6">
        <v>72</v>
      </c>
      <c r="C1925" s="6">
        <v>34.799999999999997</v>
      </c>
      <c r="D1925" s="6">
        <v>2</v>
      </c>
      <c r="E1925" s="18">
        <v>0</v>
      </c>
      <c r="F1925" s="6" t="str">
        <f>IFERROR(VLOOKUP(VLOOKUP(A1925,'Sales Order'!A:B,2,FALSE),Customer!A:C,3,FALSE),"Not Specified")</f>
        <v>Osorio, Cristian</v>
      </c>
      <c r="G1925" s="6" t="str">
        <f t="shared" si="60"/>
        <v>Osorio Cristian</v>
      </c>
      <c r="H1925" s="22" t="str">
        <f>IFERROR(VLOOKUP(VLOOKUP(A1925,'Sales Order'!A:C,3,FALSE),Employee!A:E,5,FALSE)&amp;" "&amp;VLOOKUP(VLOOKUP(A1925,'Sales Order'!A:C,3,FALSE),Employee!A:C,3,FALSE)&amp;" "&amp;VLOOKUP(VLOOKUP(A1925,'Sales Order'!A:C,3,FALSE),Employee!A:B,2,FALSE),"Not Specified")</f>
        <v>Ms. Sara Davis</v>
      </c>
      <c r="I1925" t="str">
        <f>IFERROR(VLOOKUP(VLOOKUP(A1925,'Sales Order'!A:C,3,FALSE),Employee!A:J,10,FALSE),"Not Specified")</f>
        <v>WA</v>
      </c>
      <c r="J1925" t="str">
        <f>VLOOKUP(B1925,Product!A:B,2,FALSE)</f>
        <v>Product GEEOO</v>
      </c>
      <c r="K1925" t="str">
        <f>VLOOKUP(VLOOKUP(B1925,Product!A:D,4,FALSE),Category!A:B,2,FALSE)</f>
        <v>Dairy Product</v>
      </c>
      <c r="L1925" s="24">
        <f>IFERROR(VLOOKUP(A1925,'Sales Order'!A:D,4,FALSE),"")</f>
        <v>39539</v>
      </c>
      <c r="M1925" s="24">
        <f>IFERROR(VLOOKUP(A1925,'Sales Order'!A:F,6,FALSE),"")</f>
        <v>39541</v>
      </c>
      <c r="N1925" t="str">
        <f>IFERROR(VLOOKUP(VLOOKUP(A1925,'Sales Order'!A:G,7,FALSE),Shipper!A:B,2,FALSE),"Not Specified")</f>
        <v>Shipper ZHISN</v>
      </c>
      <c r="O1925" t="str">
        <f>IFERROR(VLOOKUP(A1925,'Sales Order'!A:I,9,FALSE),"Not Specified")</f>
        <v>Ship to 77-C</v>
      </c>
      <c r="P1925" t="str">
        <f>IFERROR(VLOOKUP(A1925,'Sales Order'!A:N,14,FALSE),"Not Specified")</f>
        <v>USA</v>
      </c>
      <c r="Q1925" t="str">
        <f>VLOOKUP(VLOOKUP(B1925,Product!A:C,3,FALSE),Supplier!A:B,2,FALSE)</f>
        <v>Supplier KEREV</v>
      </c>
      <c r="R1925" t="str">
        <f>VLOOKUP(VLOOKUP(B1925,Product!A:C,3,FALSE),Supplier!A:I,9,FALSE)</f>
        <v>Italy</v>
      </c>
      <c r="S1925" t="str">
        <f>IFERROR(IF(VLOOKUP(A1925,'Sales Order'!A:H,8,FALSE)&gt;100,"High Freight","Low Freight"),"Not Specified")</f>
        <v>Low Freight</v>
      </c>
      <c r="T1925">
        <f t="shared" si="61"/>
        <v>69.599999999999994</v>
      </c>
    </row>
    <row r="1926" spans="1:20">
      <c r="A1926" s="9">
        <v>10993</v>
      </c>
      <c r="B1926" s="6">
        <v>29</v>
      </c>
      <c r="C1926" s="6">
        <v>123.79</v>
      </c>
      <c r="D1926" s="6">
        <v>50</v>
      </c>
      <c r="E1926" s="18">
        <v>0.25</v>
      </c>
      <c r="F1926" s="6" t="str">
        <f>IFERROR(VLOOKUP(VLOOKUP(A1926,'Sales Order'!A:B,2,FALSE),Customer!A:C,3,FALSE),"Not Specified")</f>
        <v>San Juan, Patricia</v>
      </c>
      <c r="G1926" s="6" t="str">
        <f t="shared" si="60"/>
        <v>San Juan Patricia</v>
      </c>
      <c r="H1926" s="22" t="str">
        <f>IFERROR(VLOOKUP(VLOOKUP(A1926,'Sales Order'!A:C,3,FALSE),Employee!A:E,5,FALSE)&amp;" "&amp;VLOOKUP(VLOOKUP(A1926,'Sales Order'!A:C,3,FALSE),Employee!A:C,3,FALSE)&amp;" "&amp;VLOOKUP(VLOOKUP(A1926,'Sales Order'!A:C,3,FALSE),Employee!A:B,2,FALSE),"Not Specified")</f>
        <v>Mr. Russell King</v>
      </c>
      <c r="I1926">
        <f>IFERROR(VLOOKUP(VLOOKUP(A1926,'Sales Order'!A:C,3,FALSE),Employee!A:J,10,FALSE),"Not Specified")</f>
        <v>0</v>
      </c>
      <c r="J1926" t="str">
        <f>VLOOKUP(B1926,Product!A:B,2,FALSE)</f>
        <v>Product VJXYN</v>
      </c>
      <c r="K1926" t="str">
        <f>VLOOKUP(VLOOKUP(B1926,Product!A:D,4,FALSE),Category!A:B,2,FALSE)</f>
        <v>Meat/Poultry</v>
      </c>
      <c r="L1926" s="24">
        <f>IFERROR(VLOOKUP(A1926,'Sales Order'!A:D,4,FALSE),"")</f>
        <v>39539</v>
      </c>
      <c r="M1926" s="24">
        <f>IFERROR(VLOOKUP(A1926,'Sales Order'!A:F,6,FALSE),"")</f>
        <v>39548</v>
      </c>
      <c r="N1926" t="str">
        <f>IFERROR(VLOOKUP(VLOOKUP(A1926,'Sales Order'!A:G,7,FALSE),Shipper!A:B,2,FALSE),"Not Specified")</f>
        <v>Shipper ZHISN</v>
      </c>
      <c r="O1926" t="str">
        <f>IFERROR(VLOOKUP(A1926,'Sales Order'!A:I,9,FALSE),"Not Specified")</f>
        <v>Destination NCKKO</v>
      </c>
      <c r="P1926" t="str">
        <f>IFERROR(VLOOKUP(A1926,'Sales Order'!A:N,14,FALSE),"Not Specified")</f>
        <v>Sweden</v>
      </c>
      <c r="Q1926" t="str">
        <f>VLOOKUP(VLOOKUP(B1926,Product!A:C,3,FALSE),Supplier!A:B,2,FALSE)</f>
        <v>Supplier SVIYA</v>
      </c>
      <c r="R1926" t="str">
        <f>VLOOKUP(VLOOKUP(B1926,Product!A:C,3,FALSE),Supplier!A:I,9,FALSE)</f>
        <v>Germany</v>
      </c>
      <c r="S1926" t="str">
        <f>IFERROR(IF(VLOOKUP(A1926,'Sales Order'!A:H,8,FALSE)&gt;100,"High Freight","Low Freight"),"Not Specified")</f>
        <v>Low Freight</v>
      </c>
      <c r="T1926">
        <f t="shared" si="61"/>
        <v>4642.125</v>
      </c>
    </row>
    <row r="1927" spans="1:20">
      <c r="A1927" s="9">
        <v>10993</v>
      </c>
      <c r="B1927" s="6">
        <v>41</v>
      </c>
      <c r="C1927" s="6">
        <v>9.65</v>
      </c>
      <c r="D1927" s="6">
        <v>35</v>
      </c>
      <c r="E1927" s="18">
        <v>0.25</v>
      </c>
      <c r="F1927" s="6" t="str">
        <f>IFERROR(VLOOKUP(VLOOKUP(A1927,'Sales Order'!A:B,2,FALSE),Customer!A:C,3,FALSE),"Not Specified")</f>
        <v>San Juan, Patricia</v>
      </c>
      <c r="G1927" s="6" t="str">
        <f t="shared" si="60"/>
        <v>San Juan Patricia</v>
      </c>
      <c r="H1927" s="22" t="str">
        <f>IFERROR(VLOOKUP(VLOOKUP(A1927,'Sales Order'!A:C,3,FALSE),Employee!A:E,5,FALSE)&amp;" "&amp;VLOOKUP(VLOOKUP(A1927,'Sales Order'!A:C,3,FALSE),Employee!A:C,3,FALSE)&amp;" "&amp;VLOOKUP(VLOOKUP(A1927,'Sales Order'!A:C,3,FALSE),Employee!A:B,2,FALSE),"Not Specified")</f>
        <v>Mr. Russell King</v>
      </c>
      <c r="I1927">
        <f>IFERROR(VLOOKUP(VLOOKUP(A1927,'Sales Order'!A:C,3,FALSE),Employee!A:J,10,FALSE),"Not Specified")</f>
        <v>0</v>
      </c>
      <c r="J1927" t="str">
        <f>VLOOKUP(B1927,Product!A:B,2,FALSE)</f>
        <v>Product TTEEX</v>
      </c>
      <c r="K1927" t="str">
        <f>VLOOKUP(VLOOKUP(B1927,Product!A:D,4,FALSE),Category!A:B,2,FALSE)</f>
        <v>Seafood</v>
      </c>
      <c r="L1927" s="24">
        <f>IFERROR(VLOOKUP(A1927,'Sales Order'!A:D,4,FALSE),"")</f>
        <v>39539</v>
      </c>
      <c r="M1927" s="24">
        <f>IFERROR(VLOOKUP(A1927,'Sales Order'!A:F,6,FALSE),"")</f>
        <v>39548</v>
      </c>
      <c r="N1927" t="str">
        <f>IFERROR(VLOOKUP(VLOOKUP(A1927,'Sales Order'!A:G,7,FALSE),Shipper!A:B,2,FALSE),"Not Specified")</f>
        <v>Shipper ZHISN</v>
      </c>
      <c r="O1927" t="str">
        <f>IFERROR(VLOOKUP(A1927,'Sales Order'!A:I,9,FALSE),"Not Specified")</f>
        <v>Destination NCKKO</v>
      </c>
      <c r="P1927" t="str">
        <f>IFERROR(VLOOKUP(A1927,'Sales Order'!A:N,14,FALSE),"Not Specified")</f>
        <v>Sweden</v>
      </c>
      <c r="Q1927" t="str">
        <f>VLOOKUP(VLOOKUP(B1927,Product!A:C,3,FALSE),Supplier!A:B,2,FALSE)</f>
        <v>Supplier JDNUG</v>
      </c>
      <c r="R1927" t="str">
        <f>VLOOKUP(VLOOKUP(B1927,Product!A:C,3,FALSE),Supplier!A:I,9,FALSE)</f>
        <v>USA</v>
      </c>
      <c r="S1927" t="str">
        <f>IFERROR(IF(VLOOKUP(A1927,'Sales Order'!A:H,8,FALSE)&gt;100,"High Freight","Low Freight"),"Not Specified")</f>
        <v>Low Freight</v>
      </c>
      <c r="T1927">
        <f t="shared" si="61"/>
        <v>253.3125</v>
      </c>
    </row>
    <row r="1928" spans="1:20">
      <c r="A1928" s="9">
        <v>10994</v>
      </c>
      <c r="B1928" s="6">
        <v>59</v>
      </c>
      <c r="C1928" s="6">
        <v>55</v>
      </c>
      <c r="D1928" s="6">
        <v>18</v>
      </c>
      <c r="E1928" s="18">
        <v>0.05</v>
      </c>
      <c r="F1928" s="6" t="str">
        <f>IFERROR(VLOOKUP(VLOOKUP(A1928,'Sales Order'!A:B,2,FALSE),Customer!A:C,3,FALSE),"Not Specified")</f>
        <v>Fonteneau, Karl</v>
      </c>
      <c r="G1928" s="6" t="str">
        <f t="shared" si="60"/>
        <v>Fonteneau Karl</v>
      </c>
      <c r="H1928" s="22" t="str">
        <f>IFERROR(VLOOKUP(VLOOKUP(A1928,'Sales Order'!A:C,3,FALSE),Employee!A:E,5,FALSE)&amp;" "&amp;VLOOKUP(VLOOKUP(A1928,'Sales Order'!A:C,3,FALSE),Employee!A:C,3,FALSE)&amp;" "&amp;VLOOKUP(VLOOKUP(A1928,'Sales Order'!A:C,3,FALSE),Employee!A:B,2,FALSE),"Not Specified")</f>
        <v>Dr. Don Funk</v>
      </c>
      <c r="I1928" t="str">
        <f>IFERROR(VLOOKUP(VLOOKUP(A1928,'Sales Order'!A:C,3,FALSE),Employee!A:J,10,FALSE),"Not Specified")</f>
        <v>WA</v>
      </c>
      <c r="J1928" t="str">
        <f>VLOOKUP(B1928,Product!A:B,2,FALSE)</f>
        <v>Product UKXRI</v>
      </c>
      <c r="K1928" t="str">
        <f>VLOOKUP(VLOOKUP(B1928,Product!A:D,4,FALSE),Category!A:B,2,FALSE)</f>
        <v>Dairy Product</v>
      </c>
      <c r="L1928" s="24">
        <f>IFERROR(VLOOKUP(A1928,'Sales Order'!A:D,4,FALSE),"")</f>
        <v>39540</v>
      </c>
      <c r="M1928" s="24">
        <f>IFERROR(VLOOKUP(A1928,'Sales Order'!A:F,6,FALSE),"")</f>
        <v>39547</v>
      </c>
      <c r="N1928" t="str">
        <f>IFERROR(VLOOKUP(VLOOKUP(A1928,'Sales Order'!A:G,7,FALSE),Shipper!A:B,2,FALSE),"Not Specified")</f>
        <v>Shipper ZHISN</v>
      </c>
      <c r="O1928" t="str">
        <f>IFERROR(VLOOKUP(A1928,'Sales Order'!A:I,9,FALSE),"Not Specified")</f>
        <v>Ship to 83-C</v>
      </c>
      <c r="P1928" t="str">
        <f>IFERROR(VLOOKUP(A1928,'Sales Order'!A:N,14,FALSE),"Not Specified")</f>
        <v>Denmark</v>
      </c>
      <c r="Q1928" t="str">
        <f>VLOOKUP(VLOOKUP(B1928,Product!A:C,3,FALSE),Supplier!A:B,2,FALSE)</f>
        <v>Supplier OAVQT</v>
      </c>
      <c r="R1928" t="str">
        <f>VLOOKUP(VLOOKUP(B1928,Product!A:C,3,FALSE),Supplier!A:I,9,FALSE)</f>
        <v>France</v>
      </c>
      <c r="S1928" t="str">
        <f>IFERROR(IF(VLOOKUP(A1928,'Sales Order'!A:H,8,FALSE)&gt;100,"High Freight","Low Freight"),"Not Specified")</f>
        <v>Low Freight</v>
      </c>
      <c r="T1928">
        <f t="shared" si="61"/>
        <v>940.5</v>
      </c>
    </row>
    <row r="1929" spans="1:20">
      <c r="A1929" s="9">
        <v>10995</v>
      </c>
      <c r="B1929" s="6">
        <v>51</v>
      </c>
      <c r="C1929" s="6">
        <v>53</v>
      </c>
      <c r="D1929" s="6">
        <v>20</v>
      </c>
      <c r="E1929" s="18">
        <v>0</v>
      </c>
      <c r="F1929" s="6" t="str">
        <f>IFERROR(VLOOKUP(VLOOKUP(A1929,'Sales Order'!A:B,2,FALSE),Customer!A:C,3,FALSE),"Not Specified")</f>
        <v>Fakhouri, Fadi</v>
      </c>
      <c r="G1929" s="6" t="str">
        <f t="shared" si="60"/>
        <v>Fakhouri Fadi</v>
      </c>
      <c r="H1929" s="22" t="str">
        <f>IFERROR(VLOOKUP(VLOOKUP(A1929,'Sales Order'!A:C,3,FALSE),Employee!A:E,5,FALSE)&amp;" "&amp;VLOOKUP(VLOOKUP(A1929,'Sales Order'!A:C,3,FALSE),Employee!A:C,3,FALSE)&amp;" "&amp;VLOOKUP(VLOOKUP(A1929,'Sales Order'!A:C,3,FALSE),Employee!A:B,2,FALSE),"Not Specified")</f>
        <v>Ms. Sara Davis</v>
      </c>
      <c r="I1929" t="str">
        <f>IFERROR(VLOOKUP(VLOOKUP(A1929,'Sales Order'!A:C,3,FALSE),Employee!A:J,10,FALSE),"Not Specified")</f>
        <v>WA</v>
      </c>
      <c r="J1929" t="str">
        <f>VLOOKUP(B1929,Product!A:B,2,FALSE)</f>
        <v>Product APITJ</v>
      </c>
      <c r="K1929" t="str">
        <f>VLOOKUP(VLOOKUP(B1929,Product!A:D,4,FALSE),Category!A:B,2,FALSE)</f>
        <v>Produce</v>
      </c>
      <c r="L1929" s="24">
        <f>IFERROR(VLOOKUP(A1929,'Sales Order'!A:D,4,FALSE),"")</f>
        <v>39540</v>
      </c>
      <c r="M1929" s="24">
        <f>IFERROR(VLOOKUP(A1929,'Sales Order'!A:F,6,FALSE),"")</f>
        <v>39544</v>
      </c>
      <c r="N1929" t="str">
        <f>IFERROR(VLOOKUP(VLOOKUP(A1929,'Sales Order'!A:G,7,FALSE),Shipper!A:B,2,FALSE),"Not Specified")</f>
        <v>Shipper ZHISN</v>
      </c>
      <c r="O1929" t="str">
        <f>IFERROR(VLOOKUP(A1929,'Sales Order'!A:I,9,FALSE),"Not Specified")</f>
        <v>Ship to 58-B</v>
      </c>
      <c r="P1929" t="str">
        <f>IFERROR(VLOOKUP(A1929,'Sales Order'!A:N,14,FALSE),"Not Specified")</f>
        <v>Mexico</v>
      </c>
      <c r="Q1929" t="str">
        <f>VLOOKUP(VLOOKUP(B1929,Product!A:C,3,FALSE),Supplier!A:B,2,FALSE)</f>
        <v>Supplier JNNES</v>
      </c>
      <c r="R1929" t="str">
        <f>VLOOKUP(VLOOKUP(B1929,Product!A:C,3,FALSE),Supplier!A:I,9,FALSE)</f>
        <v>Australia</v>
      </c>
      <c r="S1929" t="str">
        <f>IFERROR(IF(VLOOKUP(A1929,'Sales Order'!A:H,8,FALSE)&gt;100,"High Freight","Low Freight"),"Not Specified")</f>
        <v>Low Freight</v>
      </c>
      <c r="T1929">
        <f t="shared" si="61"/>
        <v>1060</v>
      </c>
    </row>
    <row r="1930" spans="1:20">
      <c r="A1930" s="9">
        <v>10995</v>
      </c>
      <c r="B1930" s="6">
        <v>60</v>
      </c>
      <c r="C1930" s="6">
        <v>34</v>
      </c>
      <c r="D1930" s="6">
        <v>4</v>
      </c>
      <c r="E1930" s="18">
        <v>0</v>
      </c>
      <c r="F1930" s="6" t="str">
        <f>IFERROR(VLOOKUP(VLOOKUP(A1930,'Sales Order'!A:B,2,FALSE),Customer!A:C,3,FALSE),"Not Specified")</f>
        <v>Fakhouri, Fadi</v>
      </c>
      <c r="G1930" s="6" t="str">
        <f t="shared" si="60"/>
        <v>Fakhouri Fadi</v>
      </c>
      <c r="H1930" s="22" t="str">
        <f>IFERROR(VLOOKUP(VLOOKUP(A1930,'Sales Order'!A:C,3,FALSE),Employee!A:E,5,FALSE)&amp;" "&amp;VLOOKUP(VLOOKUP(A1930,'Sales Order'!A:C,3,FALSE),Employee!A:C,3,FALSE)&amp;" "&amp;VLOOKUP(VLOOKUP(A1930,'Sales Order'!A:C,3,FALSE),Employee!A:B,2,FALSE),"Not Specified")</f>
        <v>Ms. Sara Davis</v>
      </c>
      <c r="I1930" t="str">
        <f>IFERROR(VLOOKUP(VLOOKUP(A1930,'Sales Order'!A:C,3,FALSE),Employee!A:J,10,FALSE),"Not Specified")</f>
        <v>WA</v>
      </c>
      <c r="J1930" t="str">
        <f>VLOOKUP(B1930,Product!A:B,2,FALSE)</f>
        <v>Product WHBYK</v>
      </c>
      <c r="K1930" t="str">
        <f>VLOOKUP(VLOOKUP(B1930,Product!A:D,4,FALSE),Category!A:B,2,FALSE)</f>
        <v>Dairy Product</v>
      </c>
      <c r="L1930" s="24">
        <f>IFERROR(VLOOKUP(A1930,'Sales Order'!A:D,4,FALSE),"")</f>
        <v>39540</v>
      </c>
      <c r="M1930" s="24">
        <f>IFERROR(VLOOKUP(A1930,'Sales Order'!A:F,6,FALSE),"")</f>
        <v>39544</v>
      </c>
      <c r="N1930" t="str">
        <f>IFERROR(VLOOKUP(VLOOKUP(A1930,'Sales Order'!A:G,7,FALSE),Shipper!A:B,2,FALSE),"Not Specified")</f>
        <v>Shipper ZHISN</v>
      </c>
      <c r="O1930" t="str">
        <f>IFERROR(VLOOKUP(A1930,'Sales Order'!A:I,9,FALSE),"Not Specified")</f>
        <v>Ship to 58-B</v>
      </c>
      <c r="P1930" t="str">
        <f>IFERROR(VLOOKUP(A1930,'Sales Order'!A:N,14,FALSE),"Not Specified")</f>
        <v>Mexico</v>
      </c>
      <c r="Q1930" t="str">
        <f>VLOOKUP(VLOOKUP(B1930,Product!A:C,3,FALSE),Supplier!A:B,2,FALSE)</f>
        <v>Supplier OAVQT</v>
      </c>
      <c r="R1930" t="str">
        <f>VLOOKUP(VLOOKUP(B1930,Product!A:C,3,FALSE),Supplier!A:I,9,FALSE)</f>
        <v>France</v>
      </c>
      <c r="S1930" t="str">
        <f>IFERROR(IF(VLOOKUP(A1930,'Sales Order'!A:H,8,FALSE)&gt;100,"High Freight","Low Freight"),"Not Specified")</f>
        <v>Low Freight</v>
      </c>
      <c r="T1930">
        <f t="shared" si="61"/>
        <v>136</v>
      </c>
    </row>
    <row r="1931" spans="1:20">
      <c r="A1931" s="9">
        <v>10996</v>
      </c>
      <c r="B1931" s="6">
        <v>42</v>
      </c>
      <c r="C1931" s="6">
        <v>14</v>
      </c>
      <c r="D1931" s="6">
        <v>40</v>
      </c>
      <c r="E1931" s="18">
        <v>0</v>
      </c>
      <c r="F1931" s="6" t="str">
        <f>IFERROR(VLOOKUP(VLOOKUP(A1931,'Sales Order'!A:B,2,FALSE),Customer!A:C,3,FALSE),"Not Specified")</f>
        <v>Veronesi, Giorgio</v>
      </c>
      <c r="G1931" s="6" t="str">
        <f t="shared" si="60"/>
        <v>Veronesi Giorgio</v>
      </c>
      <c r="H1931" s="22" t="str">
        <f>IFERROR(VLOOKUP(VLOOKUP(A1931,'Sales Order'!A:C,3,FALSE),Employee!A:E,5,FALSE)&amp;" "&amp;VLOOKUP(VLOOKUP(A1931,'Sales Order'!A:C,3,FALSE),Employee!A:C,3,FALSE)&amp;" "&amp;VLOOKUP(VLOOKUP(A1931,'Sales Order'!A:C,3,FALSE),Employee!A:B,2,FALSE),"Not Specified")</f>
        <v>Mrs. Yael Peled</v>
      </c>
      <c r="I1931" t="str">
        <f>IFERROR(VLOOKUP(VLOOKUP(A1931,'Sales Order'!A:C,3,FALSE),Employee!A:J,10,FALSE),"Not Specified")</f>
        <v>WA</v>
      </c>
      <c r="J1931" t="str">
        <f>VLOOKUP(B1931,Product!A:B,2,FALSE)</f>
        <v>Product RJVNM</v>
      </c>
      <c r="K1931" t="str">
        <f>VLOOKUP(VLOOKUP(B1931,Product!A:D,4,FALSE),Category!A:B,2,FALSE)</f>
        <v>Grains/Cereals</v>
      </c>
      <c r="L1931" s="24">
        <f>IFERROR(VLOOKUP(A1931,'Sales Order'!A:D,4,FALSE),"")</f>
        <v>39540</v>
      </c>
      <c r="M1931" s="24">
        <f>IFERROR(VLOOKUP(A1931,'Sales Order'!A:F,6,FALSE),"")</f>
        <v>39548</v>
      </c>
      <c r="N1931" t="str">
        <f>IFERROR(VLOOKUP(VLOOKUP(A1931,'Sales Order'!A:G,7,FALSE),Shipper!A:B,2,FALSE),"Not Specified")</f>
        <v>Shipper ETYNR</v>
      </c>
      <c r="O1931" t="str">
        <f>IFERROR(VLOOKUP(A1931,'Sales Order'!A:I,9,FALSE),"Not Specified")</f>
        <v>Ship to 63-C</v>
      </c>
      <c r="P1931" t="str">
        <f>IFERROR(VLOOKUP(A1931,'Sales Order'!A:N,14,FALSE),"Not Specified")</f>
        <v>Germany</v>
      </c>
      <c r="Q1931" t="str">
        <f>VLOOKUP(VLOOKUP(B1931,Product!A:C,3,FALSE),Supplier!A:B,2,FALSE)</f>
        <v>Supplier CIYNM</v>
      </c>
      <c r="R1931" t="str">
        <f>VLOOKUP(VLOOKUP(B1931,Product!A:C,3,FALSE),Supplier!A:I,9,FALSE)</f>
        <v>Singapore</v>
      </c>
      <c r="S1931" t="str">
        <f>IFERROR(IF(VLOOKUP(A1931,'Sales Order'!A:H,8,FALSE)&gt;100,"High Freight","Low Freight"),"Not Specified")</f>
        <v>Low Freight</v>
      </c>
      <c r="T1931">
        <f t="shared" si="61"/>
        <v>560</v>
      </c>
    </row>
    <row r="1932" spans="1:20">
      <c r="A1932" s="9">
        <v>10997</v>
      </c>
      <c r="B1932" s="6">
        <v>32</v>
      </c>
      <c r="C1932" s="6">
        <v>32</v>
      </c>
      <c r="D1932" s="6">
        <v>50</v>
      </c>
      <c r="E1932" s="18">
        <v>0</v>
      </c>
      <c r="F1932" s="6" t="str">
        <f>IFERROR(VLOOKUP(VLOOKUP(A1932,'Sales Order'!A:B,2,FALSE),Customer!A:C,3,FALSE),"Not Specified")</f>
        <v>Dressler, Marlies</v>
      </c>
      <c r="G1932" s="6" t="str">
        <f t="shared" si="60"/>
        <v>Dressler Marlies</v>
      </c>
      <c r="H1932" s="22" t="str">
        <f>IFERROR(VLOOKUP(VLOOKUP(A1932,'Sales Order'!A:C,3,FALSE),Employee!A:E,5,FALSE)&amp;" "&amp;VLOOKUP(VLOOKUP(A1932,'Sales Order'!A:C,3,FALSE),Employee!A:C,3,FALSE)&amp;" "&amp;VLOOKUP(VLOOKUP(A1932,'Sales Order'!A:C,3,FALSE),Employee!A:B,2,FALSE),"Not Specified")</f>
        <v>Ms. Maria Cameron</v>
      </c>
      <c r="I1932" t="str">
        <f>IFERROR(VLOOKUP(VLOOKUP(A1932,'Sales Order'!A:C,3,FALSE),Employee!A:J,10,FALSE),"Not Specified")</f>
        <v>WA</v>
      </c>
      <c r="J1932" t="str">
        <f>VLOOKUP(B1932,Product!A:B,2,FALSE)</f>
        <v>Product NUNAW</v>
      </c>
      <c r="K1932" t="str">
        <f>VLOOKUP(VLOOKUP(B1932,Product!A:D,4,FALSE),Category!A:B,2,FALSE)</f>
        <v>Dairy Product</v>
      </c>
      <c r="L1932" s="24">
        <f>IFERROR(VLOOKUP(A1932,'Sales Order'!A:D,4,FALSE),"")</f>
        <v>39541</v>
      </c>
      <c r="M1932" s="24">
        <f>IFERROR(VLOOKUP(A1932,'Sales Order'!A:F,6,FALSE),"")</f>
        <v>39551</v>
      </c>
      <c r="N1932" t="str">
        <f>IFERROR(VLOOKUP(VLOOKUP(A1932,'Sales Order'!A:G,7,FALSE),Shipper!A:B,2,FALSE),"Not Specified")</f>
        <v>Shipper ETYNR</v>
      </c>
      <c r="O1932" t="str">
        <f>IFERROR(VLOOKUP(A1932,'Sales Order'!A:I,9,FALSE),"Not Specified")</f>
        <v>Ship to 46-A</v>
      </c>
      <c r="P1932" t="str">
        <f>IFERROR(VLOOKUP(A1932,'Sales Order'!A:N,14,FALSE),"Not Specified")</f>
        <v>Venezuela</v>
      </c>
      <c r="Q1932" t="str">
        <f>VLOOKUP(VLOOKUP(B1932,Product!A:C,3,FALSE),Supplier!A:B,2,FALSE)</f>
        <v>Supplier KEREV</v>
      </c>
      <c r="R1932" t="str">
        <f>VLOOKUP(VLOOKUP(B1932,Product!A:C,3,FALSE),Supplier!A:I,9,FALSE)</f>
        <v>Italy</v>
      </c>
      <c r="S1932" t="str">
        <f>IFERROR(IF(VLOOKUP(A1932,'Sales Order'!A:H,8,FALSE)&gt;100,"High Freight","Low Freight"),"Not Specified")</f>
        <v>Low Freight</v>
      </c>
      <c r="T1932">
        <f t="shared" si="61"/>
        <v>1600</v>
      </c>
    </row>
    <row r="1933" spans="1:20">
      <c r="A1933" s="9">
        <v>10997</v>
      </c>
      <c r="B1933" s="6">
        <v>46</v>
      </c>
      <c r="C1933" s="6">
        <v>12</v>
      </c>
      <c r="D1933" s="6">
        <v>20</v>
      </c>
      <c r="E1933" s="18">
        <v>0.25</v>
      </c>
      <c r="F1933" s="6" t="str">
        <f>IFERROR(VLOOKUP(VLOOKUP(A1933,'Sales Order'!A:B,2,FALSE),Customer!A:C,3,FALSE),"Not Specified")</f>
        <v>Dressler, Marlies</v>
      </c>
      <c r="G1933" s="6" t="str">
        <f t="shared" si="60"/>
        <v>Dressler Marlies</v>
      </c>
      <c r="H1933" s="22" t="str">
        <f>IFERROR(VLOOKUP(VLOOKUP(A1933,'Sales Order'!A:C,3,FALSE),Employee!A:E,5,FALSE)&amp;" "&amp;VLOOKUP(VLOOKUP(A1933,'Sales Order'!A:C,3,FALSE),Employee!A:C,3,FALSE)&amp;" "&amp;VLOOKUP(VLOOKUP(A1933,'Sales Order'!A:C,3,FALSE),Employee!A:B,2,FALSE),"Not Specified")</f>
        <v>Ms. Maria Cameron</v>
      </c>
      <c r="I1933" t="str">
        <f>IFERROR(VLOOKUP(VLOOKUP(A1933,'Sales Order'!A:C,3,FALSE),Employee!A:J,10,FALSE),"Not Specified")</f>
        <v>WA</v>
      </c>
      <c r="J1933" t="str">
        <f>VLOOKUP(B1933,Product!A:B,2,FALSE)</f>
        <v>Product CBRRL</v>
      </c>
      <c r="K1933" t="str">
        <f>VLOOKUP(VLOOKUP(B1933,Product!A:D,4,FALSE),Category!A:B,2,FALSE)</f>
        <v>Seafood</v>
      </c>
      <c r="L1933" s="24">
        <f>IFERROR(VLOOKUP(A1933,'Sales Order'!A:D,4,FALSE),"")</f>
        <v>39541</v>
      </c>
      <c r="M1933" s="24">
        <f>IFERROR(VLOOKUP(A1933,'Sales Order'!A:F,6,FALSE),"")</f>
        <v>39551</v>
      </c>
      <c r="N1933" t="str">
        <f>IFERROR(VLOOKUP(VLOOKUP(A1933,'Sales Order'!A:G,7,FALSE),Shipper!A:B,2,FALSE),"Not Specified")</f>
        <v>Shipper ETYNR</v>
      </c>
      <c r="O1933" t="str">
        <f>IFERROR(VLOOKUP(A1933,'Sales Order'!A:I,9,FALSE),"Not Specified")</f>
        <v>Ship to 46-A</v>
      </c>
      <c r="P1933" t="str">
        <f>IFERROR(VLOOKUP(A1933,'Sales Order'!A:N,14,FALSE),"Not Specified")</f>
        <v>Venezuela</v>
      </c>
      <c r="Q1933" t="str">
        <f>VLOOKUP(VLOOKUP(B1933,Product!A:C,3,FALSE),Supplier!A:B,2,FALSE)</f>
        <v>Supplier XOXZA</v>
      </c>
      <c r="R1933" t="str">
        <f>VLOOKUP(VLOOKUP(B1933,Product!A:C,3,FALSE),Supplier!A:I,9,FALSE)</f>
        <v>Denmark</v>
      </c>
      <c r="S1933" t="str">
        <f>IFERROR(IF(VLOOKUP(A1933,'Sales Order'!A:H,8,FALSE)&gt;100,"High Freight","Low Freight"),"Not Specified")</f>
        <v>Low Freight</v>
      </c>
      <c r="T1933">
        <f t="shared" si="61"/>
        <v>180</v>
      </c>
    </row>
    <row r="1934" spans="1:20">
      <c r="A1934" s="9">
        <v>10997</v>
      </c>
      <c r="B1934" s="6">
        <v>52</v>
      </c>
      <c r="C1934" s="6">
        <v>7</v>
      </c>
      <c r="D1934" s="6">
        <v>20</v>
      </c>
      <c r="E1934" s="18">
        <v>0.25</v>
      </c>
      <c r="F1934" s="6" t="str">
        <f>IFERROR(VLOOKUP(VLOOKUP(A1934,'Sales Order'!A:B,2,FALSE),Customer!A:C,3,FALSE),"Not Specified")</f>
        <v>Dressler, Marlies</v>
      </c>
      <c r="G1934" s="6" t="str">
        <f t="shared" si="60"/>
        <v>Dressler Marlies</v>
      </c>
      <c r="H1934" s="22" t="str">
        <f>IFERROR(VLOOKUP(VLOOKUP(A1934,'Sales Order'!A:C,3,FALSE),Employee!A:E,5,FALSE)&amp;" "&amp;VLOOKUP(VLOOKUP(A1934,'Sales Order'!A:C,3,FALSE),Employee!A:C,3,FALSE)&amp;" "&amp;VLOOKUP(VLOOKUP(A1934,'Sales Order'!A:C,3,FALSE),Employee!A:B,2,FALSE),"Not Specified")</f>
        <v>Ms. Maria Cameron</v>
      </c>
      <c r="I1934" t="str">
        <f>IFERROR(VLOOKUP(VLOOKUP(A1934,'Sales Order'!A:C,3,FALSE),Employee!A:J,10,FALSE),"Not Specified")</f>
        <v>WA</v>
      </c>
      <c r="J1934" t="str">
        <f>VLOOKUP(B1934,Product!A:B,2,FALSE)</f>
        <v>Product QSRXF</v>
      </c>
      <c r="K1934" t="str">
        <f>VLOOKUP(VLOOKUP(B1934,Product!A:D,4,FALSE),Category!A:B,2,FALSE)</f>
        <v>Grains/Cereals</v>
      </c>
      <c r="L1934" s="24">
        <f>IFERROR(VLOOKUP(A1934,'Sales Order'!A:D,4,FALSE),"")</f>
        <v>39541</v>
      </c>
      <c r="M1934" s="24">
        <f>IFERROR(VLOOKUP(A1934,'Sales Order'!A:F,6,FALSE),"")</f>
        <v>39551</v>
      </c>
      <c r="N1934" t="str">
        <f>IFERROR(VLOOKUP(VLOOKUP(A1934,'Sales Order'!A:G,7,FALSE),Shipper!A:B,2,FALSE),"Not Specified")</f>
        <v>Shipper ETYNR</v>
      </c>
      <c r="O1934" t="str">
        <f>IFERROR(VLOOKUP(A1934,'Sales Order'!A:I,9,FALSE),"Not Specified")</f>
        <v>Ship to 46-A</v>
      </c>
      <c r="P1934" t="str">
        <f>IFERROR(VLOOKUP(A1934,'Sales Order'!A:N,14,FALSE),"Not Specified")</f>
        <v>Venezuela</v>
      </c>
      <c r="Q1934" t="str">
        <f>VLOOKUP(VLOOKUP(B1934,Product!A:C,3,FALSE),Supplier!A:B,2,FALSE)</f>
        <v>Supplier JNNES</v>
      </c>
      <c r="R1934" t="str">
        <f>VLOOKUP(VLOOKUP(B1934,Product!A:C,3,FALSE),Supplier!A:I,9,FALSE)</f>
        <v>Australia</v>
      </c>
      <c r="S1934" t="str">
        <f>IFERROR(IF(VLOOKUP(A1934,'Sales Order'!A:H,8,FALSE)&gt;100,"High Freight","Low Freight"),"Not Specified")</f>
        <v>Low Freight</v>
      </c>
      <c r="T1934">
        <f t="shared" si="61"/>
        <v>105</v>
      </c>
    </row>
    <row r="1935" spans="1:20">
      <c r="A1935" s="9">
        <v>10998</v>
      </c>
      <c r="B1935" s="6">
        <v>24</v>
      </c>
      <c r="C1935" s="6">
        <v>4.5</v>
      </c>
      <c r="D1935" s="6">
        <v>12</v>
      </c>
      <c r="E1935" s="18">
        <v>0</v>
      </c>
      <c r="F1935" s="6" t="str">
        <f>IFERROR(VLOOKUP(VLOOKUP(A1935,'Sales Order'!A:B,2,FALSE),Customer!A:C,3,FALSE),"Not Specified")</f>
        <v>Conn, Steve</v>
      </c>
      <c r="G1935" s="6" t="str">
        <f t="shared" si="60"/>
        <v>Conn Steve</v>
      </c>
      <c r="H1935" s="22" t="str">
        <f>IFERROR(VLOOKUP(VLOOKUP(A1935,'Sales Order'!A:C,3,FALSE),Employee!A:E,5,FALSE)&amp;" "&amp;VLOOKUP(VLOOKUP(A1935,'Sales Order'!A:C,3,FALSE),Employee!A:C,3,FALSE)&amp;" "&amp;VLOOKUP(VLOOKUP(A1935,'Sales Order'!A:C,3,FALSE),Employee!A:B,2,FALSE),"Not Specified")</f>
        <v>Ms. Maria Cameron</v>
      </c>
      <c r="I1935" t="str">
        <f>IFERROR(VLOOKUP(VLOOKUP(A1935,'Sales Order'!A:C,3,FALSE),Employee!A:J,10,FALSE),"Not Specified")</f>
        <v>WA</v>
      </c>
      <c r="J1935" t="str">
        <f>VLOOKUP(B1935,Product!A:B,2,FALSE)</f>
        <v>Product QOGNU</v>
      </c>
      <c r="K1935" t="str">
        <f>VLOOKUP(VLOOKUP(B1935,Product!A:D,4,FALSE),Category!A:B,2,FALSE)</f>
        <v>Beverages</v>
      </c>
      <c r="L1935" s="24">
        <f>IFERROR(VLOOKUP(A1935,'Sales Order'!A:D,4,FALSE),"")</f>
        <v>39541</v>
      </c>
      <c r="M1935" s="24">
        <f>IFERROR(VLOOKUP(A1935,'Sales Order'!A:F,6,FALSE),"")</f>
        <v>39555</v>
      </c>
      <c r="N1935" t="str">
        <f>IFERROR(VLOOKUP(VLOOKUP(A1935,'Sales Order'!A:G,7,FALSE),Shipper!A:B,2,FALSE),"Not Specified")</f>
        <v>Shipper ETYNR</v>
      </c>
      <c r="O1935" t="str">
        <f>IFERROR(VLOOKUP(A1935,'Sales Order'!A:I,9,FALSE),"Not Specified")</f>
        <v>Ship to 91-A</v>
      </c>
      <c r="P1935" t="str">
        <f>IFERROR(VLOOKUP(A1935,'Sales Order'!A:N,14,FALSE),"Not Specified")</f>
        <v>Poland</v>
      </c>
      <c r="Q1935" t="str">
        <f>VLOOKUP(VLOOKUP(B1935,Product!A:C,3,FALSE),Supplier!A:B,2,FALSE)</f>
        <v>Supplier UNAHG</v>
      </c>
      <c r="R1935" t="str">
        <f>VLOOKUP(VLOOKUP(B1935,Product!A:C,3,FALSE),Supplier!A:I,9,FALSE)</f>
        <v>Brazil</v>
      </c>
      <c r="S1935" t="str">
        <f>IFERROR(IF(VLOOKUP(A1935,'Sales Order'!A:H,8,FALSE)&gt;100,"High Freight","Low Freight"),"Not Specified")</f>
        <v>Low Freight</v>
      </c>
      <c r="T1935">
        <f t="shared" si="61"/>
        <v>54</v>
      </c>
    </row>
    <row r="1936" spans="1:20">
      <c r="A1936" s="9">
        <v>10998</v>
      </c>
      <c r="B1936" s="6">
        <v>61</v>
      </c>
      <c r="C1936" s="6">
        <v>28.5</v>
      </c>
      <c r="D1936" s="6">
        <v>7</v>
      </c>
      <c r="E1936" s="18">
        <v>0</v>
      </c>
      <c r="F1936" s="6" t="str">
        <f>IFERROR(VLOOKUP(VLOOKUP(A1936,'Sales Order'!A:B,2,FALSE),Customer!A:C,3,FALSE),"Not Specified")</f>
        <v>Conn, Steve</v>
      </c>
      <c r="G1936" s="6" t="str">
        <f t="shared" si="60"/>
        <v>Conn Steve</v>
      </c>
      <c r="H1936" s="22" t="str">
        <f>IFERROR(VLOOKUP(VLOOKUP(A1936,'Sales Order'!A:C,3,FALSE),Employee!A:E,5,FALSE)&amp;" "&amp;VLOOKUP(VLOOKUP(A1936,'Sales Order'!A:C,3,FALSE),Employee!A:C,3,FALSE)&amp;" "&amp;VLOOKUP(VLOOKUP(A1936,'Sales Order'!A:C,3,FALSE),Employee!A:B,2,FALSE),"Not Specified")</f>
        <v>Ms. Maria Cameron</v>
      </c>
      <c r="I1936" t="str">
        <f>IFERROR(VLOOKUP(VLOOKUP(A1936,'Sales Order'!A:C,3,FALSE),Employee!A:J,10,FALSE),"Not Specified")</f>
        <v>WA</v>
      </c>
      <c r="J1936" t="str">
        <f>VLOOKUP(B1936,Product!A:B,2,FALSE)</f>
        <v>Product XYZPE</v>
      </c>
      <c r="K1936" t="str">
        <f>VLOOKUP(VLOOKUP(B1936,Product!A:D,4,FALSE),Category!A:B,2,FALSE)</f>
        <v>Condiments</v>
      </c>
      <c r="L1936" s="24">
        <f>IFERROR(VLOOKUP(A1936,'Sales Order'!A:D,4,FALSE),"")</f>
        <v>39541</v>
      </c>
      <c r="M1936" s="24">
        <f>IFERROR(VLOOKUP(A1936,'Sales Order'!A:F,6,FALSE),"")</f>
        <v>39555</v>
      </c>
      <c r="N1936" t="str">
        <f>IFERROR(VLOOKUP(VLOOKUP(A1936,'Sales Order'!A:G,7,FALSE),Shipper!A:B,2,FALSE),"Not Specified")</f>
        <v>Shipper ETYNR</v>
      </c>
      <c r="O1936" t="str">
        <f>IFERROR(VLOOKUP(A1936,'Sales Order'!A:I,9,FALSE),"Not Specified")</f>
        <v>Ship to 91-A</v>
      </c>
      <c r="P1936" t="str">
        <f>IFERROR(VLOOKUP(A1936,'Sales Order'!A:N,14,FALSE),"Not Specified")</f>
        <v>Poland</v>
      </c>
      <c r="Q1936" t="str">
        <f>VLOOKUP(VLOOKUP(B1936,Product!A:C,3,FALSE),Supplier!A:B,2,FALSE)</f>
        <v>Supplier OGLRK</v>
      </c>
      <c r="R1936" t="str">
        <f>VLOOKUP(VLOOKUP(B1936,Product!A:C,3,FALSE),Supplier!A:I,9,FALSE)</f>
        <v>Canada</v>
      </c>
      <c r="S1936" t="str">
        <f>IFERROR(IF(VLOOKUP(A1936,'Sales Order'!A:H,8,FALSE)&gt;100,"High Freight","Low Freight"),"Not Specified")</f>
        <v>Low Freight</v>
      </c>
      <c r="T1936">
        <f t="shared" si="61"/>
        <v>199.5</v>
      </c>
    </row>
    <row r="1937" spans="1:20">
      <c r="A1937" s="9">
        <v>10998</v>
      </c>
      <c r="B1937" s="6">
        <v>74</v>
      </c>
      <c r="C1937" s="6">
        <v>10</v>
      </c>
      <c r="D1937" s="6">
        <v>20</v>
      </c>
      <c r="E1937" s="18">
        <v>0</v>
      </c>
      <c r="F1937" s="6" t="str">
        <f>IFERROR(VLOOKUP(VLOOKUP(A1937,'Sales Order'!A:B,2,FALSE),Customer!A:C,3,FALSE),"Not Specified")</f>
        <v>Conn, Steve</v>
      </c>
      <c r="G1937" s="6" t="str">
        <f t="shared" si="60"/>
        <v>Conn Steve</v>
      </c>
      <c r="H1937" s="22" t="str">
        <f>IFERROR(VLOOKUP(VLOOKUP(A1937,'Sales Order'!A:C,3,FALSE),Employee!A:E,5,FALSE)&amp;" "&amp;VLOOKUP(VLOOKUP(A1937,'Sales Order'!A:C,3,FALSE),Employee!A:C,3,FALSE)&amp;" "&amp;VLOOKUP(VLOOKUP(A1937,'Sales Order'!A:C,3,FALSE),Employee!A:B,2,FALSE),"Not Specified")</f>
        <v>Ms. Maria Cameron</v>
      </c>
      <c r="I1937" t="str">
        <f>IFERROR(VLOOKUP(VLOOKUP(A1937,'Sales Order'!A:C,3,FALSE),Employee!A:J,10,FALSE),"Not Specified")</f>
        <v>WA</v>
      </c>
      <c r="J1937" t="str">
        <f>VLOOKUP(B1937,Product!A:B,2,FALSE)</f>
        <v>Product BKAZJ</v>
      </c>
      <c r="K1937" t="str">
        <f>VLOOKUP(VLOOKUP(B1937,Product!A:D,4,FALSE),Category!A:B,2,FALSE)</f>
        <v>Produce</v>
      </c>
      <c r="L1937" s="24">
        <f>IFERROR(VLOOKUP(A1937,'Sales Order'!A:D,4,FALSE),"")</f>
        <v>39541</v>
      </c>
      <c r="M1937" s="24">
        <f>IFERROR(VLOOKUP(A1937,'Sales Order'!A:F,6,FALSE),"")</f>
        <v>39555</v>
      </c>
      <c r="N1937" t="str">
        <f>IFERROR(VLOOKUP(VLOOKUP(A1937,'Sales Order'!A:G,7,FALSE),Shipper!A:B,2,FALSE),"Not Specified")</f>
        <v>Shipper ETYNR</v>
      </c>
      <c r="O1937" t="str">
        <f>IFERROR(VLOOKUP(A1937,'Sales Order'!A:I,9,FALSE),"Not Specified")</f>
        <v>Ship to 91-A</v>
      </c>
      <c r="P1937" t="str">
        <f>IFERROR(VLOOKUP(A1937,'Sales Order'!A:N,14,FALSE),"Not Specified")</f>
        <v>Poland</v>
      </c>
      <c r="Q1937" t="str">
        <f>VLOOKUP(VLOOKUP(B1937,Product!A:C,3,FALSE),Supplier!A:B,2,FALSE)</f>
        <v>Supplier QOVFD</v>
      </c>
      <c r="R1937" t="str">
        <f>VLOOKUP(VLOOKUP(B1937,Product!A:C,3,FALSE),Supplier!A:I,9,FALSE)</f>
        <v>Japan</v>
      </c>
      <c r="S1937" t="str">
        <f>IFERROR(IF(VLOOKUP(A1937,'Sales Order'!A:H,8,FALSE)&gt;100,"High Freight","Low Freight"),"Not Specified")</f>
        <v>Low Freight</v>
      </c>
      <c r="T1937">
        <f t="shared" si="61"/>
        <v>200</v>
      </c>
    </row>
    <row r="1938" spans="1:20">
      <c r="A1938" s="9">
        <v>10998</v>
      </c>
      <c r="B1938" s="6">
        <v>75</v>
      </c>
      <c r="C1938" s="6">
        <v>7.75</v>
      </c>
      <c r="D1938" s="6">
        <v>30</v>
      </c>
      <c r="E1938" s="18">
        <v>0</v>
      </c>
      <c r="F1938" s="6" t="str">
        <f>IFERROR(VLOOKUP(VLOOKUP(A1938,'Sales Order'!A:B,2,FALSE),Customer!A:C,3,FALSE),"Not Specified")</f>
        <v>Conn, Steve</v>
      </c>
      <c r="G1938" s="6" t="str">
        <f t="shared" si="60"/>
        <v>Conn Steve</v>
      </c>
      <c r="H1938" s="22" t="str">
        <f>IFERROR(VLOOKUP(VLOOKUP(A1938,'Sales Order'!A:C,3,FALSE),Employee!A:E,5,FALSE)&amp;" "&amp;VLOOKUP(VLOOKUP(A1938,'Sales Order'!A:C,3,FALSE),Employee!A:C,3,FALSE)&amp;" "&amp;VLOOKUP(VLOOKUP(A1938,'Sales Order'!A:C,3,FALSE),Employee!A:B,2,FALSE),"Not Specified")</f>
        <v>Ms. Maria Cameron</v>
      </c>
      <c r="I1938" t="str">
        <f>IFERROR(VLOOKUP(VLOOKUP(A1938,'Sales Order'!A:C,3,FALSE),Employee!A:J,10,FALSE),"Not Specified")</f>
        <v>WA</v>
      </c>
      <c r="J1938" t="str">
        <f>VLOOKUP(B1938,Product!A:B,2,FALSE)</f>
        <v>Product BWRLG</v>
      </c>
      <c r="K1938" t="str">
        <f>VLOOKUP(VLOOKUP(B1938,Product!A:D,4,FALSE),Category!A:B,2,FALSE)</f>
        <v>Beverages</v>
      </c>
      <c r="L1938" s="24">
        <f>IFERROR(VLOOKUP(A1938,'Sales Order'!A:D,4,FALSE),"")</f>
        <v>39541</v>
      </c>
      <c r="M1938" s="24">
        <f>IFERROR(VLOOKUP(A1938,'Sales Order'!A:F,6,FALSE),"")</f>
        <v>39555</v>
      </c>
      <c r="N1938" t="str">
        <f>IFERROR(VLOOKUP(VLOOKUP(A1938,'Sales Order'!A:G,7,FALSE),Shipper!A:B,2,FALSE),"Not Specified")</f>
        <v>Shipper ETYNR</v>
      </c>
      <c r="O1938" t="str">
        <f>IFERROR(VLOOKUP(A1938,'Sales Order'!A:I,9,FALSE),"Not Specified")</f>
        <v>Ship to 91-A</v>
      </c>
      <c r="P1938" t="str">
        <f>IFERROR(VLOOKUP(A1938,'Sales Order'!A:N,14,FALSE),"Not Specified")</f>
        <v>Poland</v>
      </c>
      <c r="Q1938" t="str">
        <f>VLOOKUP(VLOOKUP(B1938,Product!A:C,3,FALSE),Supplier!A:B,2,FALSE)</f>
        <v>Supplier SVIYA</v>
      </c>
      <c r="R1938" t="str">
        <f>VLOOKUP(VLOOKUP(B1938,Product!A:C,3,FALSE),Supplier!A:I,9,FALSE)</f>
        <v>Germany</v>
      </c>
      <c r="S1938" t="str">
        <f>IFERROR(IF(VLOOKUP(A1938,'Sales Order'!A:H,8,FALSE)&gt;100,"High Freight","Low Freight"),"Not Specified")</f>
        <v>Low Freight</v>
      </c>
      <c r="T1938">
        <f t="shared" si="61"/>
        <v>232.5</v>
      </c>
    </row>
    <row r="1939" spans="1:20">
      <c r="A1939" s="9">
        <v>10999</v>
      </c>
      <c r="B1939" s="6">
        <v>41</v>
      </c>
      <c r="C1939" s="6">
        <v>9.65</v>
      </c>
      <c r="D1939" s="6">
        <v>20</v>
      </c>
      <c r="E1939" s="18">
        <v>0.05</v>
      </c>
      <c r="F1939" s="6" t="str">
        <f>IFERROR(VLOOKUP(VLOOKUP(A1939,'Sales Order'!A:B,2,FALSE),Customer!A:C,3,FALSE),"Not Specified")</f>
        <v>Marinova, Nadejda</v>
      </c>
      <c r="G1939" s="6" t="str">
        <f t="shared" si="60"/>
        <v>Marinova Nadejda</v>
      </c>
      <c r="H1939" s="22" t="str">
        <f>IFERROR(VLOOKUP(VLOOKUP(A1939,'Sales Order'!A:C,3,FALSE),Employee!A:E,5,FALSE)&amp;" "&amp;VLOOKUP(VLOOKUP(A1939,'Sales Order'!A:C,3,FALSE),Employee!A:C,3,FALSE)&amp;" "&amp;VLOOKUP(VLOOKUP(A1939,'Sales Order'!A:C,3,FALSE),Employee!A:B,2,FALSE),"Not Specified")</f>
        <v>Mr. Paul Suurs</v>
      </c>
      <c r="I1939">
        <f>IFERROR(VLOOKUP(VLOOKUP(A1939,'Sales Order'!A:C,3,FALSE),Employee!A:J,10,FALSE),"Not Specified")</f>
        <v>0</v>
      </c>
      <c r="J1939" t="str">
        <f>VLOOKUP(B1939,Product!A:B,2,FALSE)</f>
        <v>Product TTEEX</v>
      </c>
      <c r="K1939" t="str">
        <f>VLOOKUP(VLOOKUP(B1939,Product!A:D,4,FALSE),Category!A:B,2,FALSE)</f>
        <v>Seafood</v>
      </c>
      <c r="L1939" s="24">
        <f>IFERROR(VLOOKUP(A1939,'Sales Order'!A:D,4,FALSE),"")</f>
        <v>39541</v>
      </c>
      <c r="M1939" s="24">
        <f>IFERROR(VLOOKUP(A1939,'Sales Order'!A:F,6,FALSE),"")</f>
        <v>39548</v>
      </c>
      <c r="N1939" t="str">
        <f>IFERROR(VLOOKUP(VLOOKUP(A1939,'Sales Order'!A:G,7,FALSE),Shipper!A:B,2,FALSE),"Not Specified")</f>
        <v>Shipper ETYNR</v>
      </c>
      <c r="O1939" t="str">
        <f>IFERROR(VLOOKUP(A1939,'Sales Order'!A:I,9,FALSE),"Not Specified")</f>
        <v>Ship to 56-B</v>
      </c>
      <c r="P1939" t="str">
        <f>IFERROR(VLOOKUP(A1939,'Sales Order'!A:N,14,FALSE),"Not Specified")</f>
        <v>Germany</v>
      </c>
      <c r="Q1939" t="str">
        <f>VLOOKUP(VLOOKUP(B1939,Product!A:C,3,FALSE),Supplier!A:B,2,FALSE)</f>
        <v>Supplier JDNUG</v>
      </c>
      <c r="R1939" t="str">
        <f>VLOOKUP(VLOOKUP(B1939,Product!A:C,3,FALSE),Supplier!A:I,9,FALSE)</f>
        <v>USA</v>
      </c>
      <c r="S1939" t="str">
        <f>IFERROR(IF(VLOOKUP(A1939,'Sales Order'!A:H,8,FALSE)&gt;100,"High Freight","Low Freight"),"Not Specified")</f>
        <v>Low Freight</v>
      </c>
      <c r="T1939">
        <f t="shared" si="61"/>
        <v>183.35</v>
      </c>
    </row>
    <row r="1940" spans="1:20">
      <c r="A1940" s="9">
        <v>10999</v>
      </c>
      <c r="B1940" s="6">
        <v>51</v>
      </c>
      <c r="C1940" s="6">
        <v>53</v>
      </c>
      <c r="D1940" s="6">
        <v>15</v>
      </c>
      <c r="E1940" s="18">
        <v>0.05</v>
      </c>
      <c r="F1940" s="6" t="str">
        <f>IFERROR(VLOOKUP(VLOOKUP(A1940,'Sales Order'!A:B,2,FALSE),Customer!A:C,3,FALSE),"Not Specified")</f>
        <v>Marinova, Nadejda</v>
      </c>
      <c r="G1940" s="6" t="str">
        <f t="shared" si="60"/>
        <v>Marinova Nadejda</v>
      </c>
      <c r="H1940" s="22" t="str">
        <f>IFERROR(VLOOKUP(VLOOKUP(A1940,'Sales Order'!A:C,3,FALSE),Employee!A:E,5,FALSE)&amp;" "&amp;VLOOKUP(VLOOKUP(A1940,'Sales Order'!A:C,3,FALSE),Employee!A:C,3,FALSE)&amp;" "&amp;VLOOKUP(VLOOKUP(A1940,'Sales Order'!A:C,3,FALSE),Employee!A:B,2,FALSE),"Not Specified")</f>
        <v>Mr. Paul Suurs</v>
      </c>
      <c r="I1940">
        <f>IFERROR(VLOOKUP(VLOOKUP(A1940,'Sales Order'!A:C,3,FALSE),Employee!A:J,10,FALSE),"Not Specified")</f>
        <v>0</v>
      </c>
      <c r="J1940" t="str">
        <f>VLOOKUP(B1940,Product!A:B,2,FALSE)</f>
        <v>Product APITJ</v>
      </c>
      <c r="K1940" t="str">
        <f>VLOOKUP(VLOOKUP(B1940,Product!A:D,4,FALSE),Category!A:B,2,FALSE)</f>
        <v>Produce</v>
      </c>
      <c r="L1940" s="24">
        <f>IFERROR(VLOOKUP(A1940,'Sales Order'!A:D,4,FALSE),"")</f>
        <v>39541</v>
      </c>
      <c r="M1940" s="24">
        <f>IFERROR(VLOOKUP(A1940,'Sales Order'!A:F,6,FALSE),"")</f>
        <v>39548</v>
      </c>
      <c r="N1940" t="str">
        <f>IFERROR(VLOOKUP(VLOOKUP(A1940,'Sales Order'!A:G,7,FALSE),Shipper!A:B,2,FALSE),"Not Specified")</f>
        <v>Shipper ETYNR</v>
      </c>
      <c r="O1940" t="str">
        <f>IFERROR(VLOOKUP(A1940,'Sales Order'!A:I,9,FALSE),"Not Specified")</f>
        <v>Ship to 56-B</v>
      </c>
      <c r="P1940" t="str">
        <f>IFERROR(VLOOKUP(A1940,'Sales Order'!A:N,14,FALSE),"Not Specified")</f>
        <v>Germany</v>
      </c>
      <c r="Q1940" t="str">
        <f>VLOOKUP(VLOOKUP(B1940,Product!A:C,3,FALSE),Supplier!A:B,2,FALSE)</f>
        <v>Supplier JNNES</v>
      </c>
      <c r="R1940" t="str">
        <f>VLOOKUP(VLOOKUP(B1940,Product!A:C,3,FALSE),Supplier!A:I,9,FALSE)</f>
        <v>Australia</v>
      </c>
      <c r="S1940" t="str">
        <f>IFERROR(IF(VLOOKUP(A1940,'Sales Order'!A:H,8,FALSE)&gt;100,"High Freight","Low Freight"),"Not Specified")</f>
        <v>Low Freight</v>
      </c>
      <c r="T1940">
        <f t="shared" si="61"/>
        <v>755.25</v>
      </c>
    </row>
    <row r="1941" spans="1:20">
      <c r="A1941" s="9">
        <v>10999</v>
      </c>
      <c r="B1941" s="6">
        <v>77</v>
      </c>
      <c r="C1941" s="6">
        <v>13</v>
      </c>
      <c r="D1941" s="6">
        <v>21</v>
      </c>
      <c r="E1941" s="18">
        <v>0.05</v>
      </c>
      <c r="F1941" s="6" t="str">
        <f>IFERROR(VLOOKUP(VLOOKUP(A1941,'Sales Order'!A:B,2,FALSE),Customer!A:C,3,FALSE),"Not Specified")</f>
        <v>Marinova, Nadejda</v>
      </c>
      <c r="G1941" s="6" t="str">
        <f t="shared" si="60"/>
        <v>Marinova Nadejda</v>
      </c>
      <c r="H1941" s="22" t="str">
        <f>IFERROR(VLOOKUP(VLOOKUP(A1941,'Sales Order'!A:C,3,FALSE),Employee!A:E,5,FALSE)&amp;" "&amp;VLOOKUP(VLOOKUP(A1941,'Sales Order'!A:C,3,FALSE),Employee!A:C,3,FALSE)&amp;" "&amp;VLOOKUP(VLOOKUP(A1941,'Sales Order'!A:C,3,FALSE),Employee!A:B,2,FALSE),"Not Specified")</f>
        <v>Mr. Paul Suurs</v>
      </c>
      <c r="I1941">
        <f>IFERROR(VLOOKUP(VLOOKUP(A1941,'Sales Order'!A:C,3,FALSE),Employee!A:J,10,FALSE),"Not Specified")</f>
        <v>0</v>
      </c>
      <c r="J1941" t="str">
        <f>VLOOKUP(B1941,Product!A:B,2,FALSE)</f>
        <v>Product LUNZZ</v>
      </c>
      <c r="K1941" t="str">
        <f>VLOOKUP(VLOOKUP(B1941,Product!A:D,4,FALSE),Category!A:B,2,FALSE)</f>
        <v>Condiments</v>
      </c>
      <c r="L1941" s="24">
        <f>IFERROR(VLOOKUP(A1941,'Sales Order'!A:D,4,FALSE),"")</f>
        <v>39541</v>
      </c>
      <c r="M1941" s="24">
        <f>IFERROR(VLOOKUP(A1941,'Sales Order'!A:F,6,FALSE),"")</f>
        <v>39548</v>
      </c>
      <c r="N1941" t="str">
        <f>IFERROR(VLOOKUP(VLOOKUP(A1941,'Sales Order'!A:G,7,FALSE),Shipper!A:B,2,FALSE),"Not Specified")</f>
        <v>Shipper ETYNR</v>
      </c>
      <c r="O1941" t="str">
        <f>IFERROR(VLOOKUP(A1941,'Sales Order'!A:I,9,FALSE),"Not Specified")</f>
        <v>Ship to 56-B</v>
      </c>
      <c r="P1941" t="str">
        <f>IFERROR(VLOOKUP(A1941,'Sales Order'!A:N,14,FALSE),"Not Specified")</f>
        <v>Germany</v>
      </c>
      <c r="Q1941" t="str">
        <f>VLOOKUP(VLOOKUP(B1941,Product!A:C,3,FALSE),Supplier!A:B,2,FALSE)</f>
        <v>Supplier SVIYA</v>
      </c>
      <c r="R1941" t="str">
        <f>VLOOKUP(VLOOKUP(B1941,Product!A:C,3,FALSE),Supplier!A:I,9,FALSE)</f>
        <v>Germany</v>
      </c>
      <c r="S1941" t="str">
        <f>IFERROR(IF(VLOOKUP(A1941,'Sales Order'!A:H,8,FALSE)&gt;100,"High Freight","Low Freight"),"Not Specified")</f>
        <v>Low Freight</v>
      </c>
      <c r="T1941">
        <f t="shared" si="61"/>
        <v>259.34999999999997</v>
      </c>
    </row>
    <row r="1942" spans="1:20">
      <c r="A1942" s="9">
        <v>11000</v>
      </c>
      <c r="B1942" s="6">
        <v>4</v>
      </c>
      <c r="C1942" s="6">
        <v>22</v>
      </c>
      <c r="D1942" s="6">
        <v>25</v>
      </c>
      <c r="E1942" s="18">
        <v>0.25</v>
      </c>
      <c r="F1942" s="6" t="str">
        <f>IFERROR(VLOOKUP(VLOOKUP(A1942,'Sales Order'!A:B,2,FALSE),Customer!A:C,3,FALSE),"Not Specified")</f>
        <v>Moore, Michael</v>
      </c>
      <c r="G1942" s="6" t="str">
        <f t="shared" si="60"/>
        <v>Moore Michael</v>
      </c>
      <c r="H1942" s="22" t="str">
        <f>IFERROR(VLOOKUP(VLOOKUP(A1942,'Sales Order'!A:C,3,FALSE),Employee!A:E,5,FALSE)&amp;" "&amp;VLOOKUP(VLOOKUP(A1942,'Sales Order'!A:C,3,FALSE),Employee!A:C,3,FALSE)&amp;" "&amp;VLOOKUP(VLOOKUP(A1942,'Sales Order'!A:C,3,FALSE),Employee!A:B,2,FALSE),"Not Specified")</f>
        <v>Dr. Don Funk</v>
      </c>
      <c r="I1942" t="str">
        <f>IFERROR(VLOOKUP(VLOOKUP(A1942,'Sales Order'!A:C,3,FALSE),Employee!A:J,10,FALSE),"Not Specified")</f>
        <v>WA</v>
      </c>
      <c r="J1942" t="str">
        <f>VLOOKUP(B1942,Product!A:B,2,FALSE)</f>
        <v>Product KSBRM</v>
      </c>
      <c r="K1942" t="str">
        <f>VLOOKUP(VLOOKUP(B1942,Product!A:D,4,FALSE),Category!A:B,2,FALSE)</f>
        <v>Condiments</v>
      </c>
      <c r="L1942" s="24">
        <f>IFERROR(VLOOKUP(A1942,'Sales Order'!A:D,4,FALSE),"")</f>
        <v>39544</v>
      </c>
      <c r="M1942" s="24">
        <f>IFERROR(VLOOKUP(A1942,'Sales Order'!A:F,6,FALSE),"")</f>
        <v>39552</v>
      </c>
      <c r="N1942" t="str">
        <f>IFERROR(VLOOKUP(VLOOKUP(A1942,'Sales Order'!A:G,7,FALSE),Shipper!A:B,2,FALSE),"Not Specified")</f>
        <v>Shipper ZHISN</v>
      </c>
      <c r="O1942" t="str">
        <f>IFERROR(VLOOKUP(A1942,'Sales Order'!A:I,9,FALSE),"Not Specified")</f>
        <v>Ship to 65-A</v>
      </c>
      <c r="P1942" t="str">
        <f>IFERROR(VLOOKUP(A1942,'Sales Order'!A:N,14,FALSE),"Not Specified")</f>
        <v>USA</v>
      </c>
      <c r="Q1942" t="str">
        <f>VLOOKUP(VLOOKUP(B1942,Product!A:C,3,FALSE),Supplier!A:B,2,FALSE)</f>
        <v>Supplier VHQZD</v>
      </c>
      <c r="R1942" t="str">
        <f>VLOOKUP(VLOOKUP(B1942,Product!A:C,3,FALSE),Supplier!A:I,9,FALSE)</f>
        <v>USA</v>
      </c>
      <c r="S1942" t="str">
        <f>IFERROR(IF(VLOOKUP(A1942,'Sales Order'!A:H,8,FALSE)&gt;100,"High Freight","Low Freight"),"Not Specified")</f>
        <v>Low Freight</v>
      </c>
      <c r="T1942">
        <f t="shared" si="61"/>
        <v>412.5</v>
      </c>
    </row>
    <row r="1943" spans="1:20">
      <c r="A1943" s="9">
        <v>11000</v>
      </c>
      <c r="B1943" s="6">
        <v>24</v>
      </c>
      <c r="C1943" s="6">
        <v>4.5</v>
      </c>
      <c r="D1943" s="6">
        <v>30</v>
      </c>
      <c r="E1943" s="18">
        <v>0.25</v>
      </c>
      <c r="F1943" s="6" t="str">
        <f>IFERROR(VLOOKUP(VLOOKUP(A1943,'Sales Order'!A:B,2,FALSE),Customer!A:C,3,FALSE),"Not Specified")</f>
        <v>Moore, Michael</v>
      </c>
      <c r="G1943" s="6" t="str">
        <f t="shared" si="60"/>
        <v>Moore Michael</v>
      </c>
      <c r="H1943" s="22" t="str">
        <f>IFERROR(VLOOKUP(VLOOKUP(A1943,'Sales Order'!A:C,3,FALSE),Employee!A:E,5,FALSE)&amp;" "&amp;VLOOKUP(VLOOKUP(A1943,'Sales Order'!A:C,3,FALSE),Employee!A:C,3,FALSE)&amp;" "&amp;VLOOKUP(VLOOKUP(A1943,'Sales Order'!A:C,3,FALSE),Employee!A:B,2,FALSE),"Not Specified")</f>
        <v>Dr. Don Funk</v>
      </c>
      <c r="I1943" t="str">
        <f>IFERROR(VLOOKUP(VLOOKUP(A1943,'Sales Order'!A:C,3,FALSE),Employee!A:J,10,FALSE),"Not Specified")</f>
        <v>WA</v>
      </c>
      <c r="J1943" t="str">
        <f>VLOOKUP(B1943,Product!A:B,2,FALSE)</f>
        <v>Product QOGNU</v>
      </c>
      <c r="K1943" t="str">
        <f>VLOOKUP(VLOOKUP(B1943,Product!A:D,4,FALSE),Category!A:B,2,FALSE)</f>
        <v>Beverages</v>
      </c>
      <c r="L1943" s="24">
        <f>IFERROR(VLOOKUP(A1943,'Sales Order'!A:D,4,FALSE),"")</f>
        <v>39544</v>
      </c>
      <c r="M1943" s="24">
        <f>IFERROR(VLOOKUP(A1943,'Sales Order'!A:F,6,FALSE),"")</f>
        <v>39552</v>
      </c>
      <c r="N1943" t="str">
        <f>IFERROR(VLOOKUP(VLOOKUP(A1943,'Sales Order'!A:G,7,FALSE),Shipper!A:B,2,FALSE),"Not Specified")</f>
        <v>Shipper ZHISN</v>
      </c>
      <c r="O1943" t="str">
        <f>IFERROR(VLOOKUP(A1943,'Sales Order'!A:I,9,FALSE),"Not Specified")</f>
        <v>Ship to 65-A</v>
      </c>
      <c r="P1943" t="str">
        <f>IFERROR(VLOOKUP(A1943,'Sales Order'!A:N,14,FALSE),"Not Specified")</f>
        <v>USA</v>
      </c>
      <c r="Q1943" t="str">
        <f>VLOOKUP(VLOOKUP(B1943,Product!A:C,3,FALSE),Supplier!A:B,2,FALSE)</f>
        <v>Supplier UNAHG</v>
      </c>
      <c r="R1943" t="str">
        <f>VLOOKUP(VLOOKUP(B1943,Product!A:C,3,FALSE),Supplier!A:I,9,FALSE)</f>
        <v>Brazil</v>
      </c>
      <c r="S1943" t="str">
        <f>IFERROR(IF(VLOOKUP(A1943,'Sales Order'!A:H,8,FALSE)&gt;100,"High Freight","Low Freight"),"Not Specified")</f>
        <v>Low Freight</v>
      </c>
      <c r="T1943">
        <f t="shared" si="61"/>
        <v>101.25</v>
      </c>
    </row>
    <row r="1944" spans="1:20">
      <c r="A1944" s="9">
        <v>11000</v>
      </c>
      <c r="B1944" s="6">
        <v>77</v>
      </c>
      <c r="C1944" s="6">
        <v>13</v>
      </c>
      <c r="D1944" s="6">
        <v>30</v>
      </c>
      <c r="E1944" s="18">
        <v>0</v>
      </c>
      <c r="F1944" s="6" t="str">
        <f>IFERROR(VLOOKUP(VLOOKUP(A1944,'Sales Order'!A:B,2,FALSE),Customer!A:C,3,FALSE),"Not Specified")</f>
        <v>Moore, Michael</v>
      </c>
      <c r="G1944" s="6" t="str">
        <f t="shared" si="60"/>
        <v>Moore Michael</v>
      </c>
      <c r="H1944" s="22" t="str">
        <f>IFERROR(VLOOKUP(VLOOKUP(A1944,'Sales Order'!A:C,3,FALSE),Employee!A:E,5,FALSE)&amp;" "&amp;VLOOKUP(VLOOKUP(A1944,'Sales Order'!A:C,3,FALSE),Employee!A:C,3,FALSE)&amp;" "&amp;VLOOKUP(VLOOKUP(A1944,'Sales Order'!A:C,3,FALSE),Employee!A:B,2,FALSE),"Not Specified")</f>
        <v>Dr. Don Funk</v>
      </c>
      <c r="I1944" t="str">
        <f>IFERROR(VLOOKUP(VLOOKUP(A1944,'Sales Order'!A:C,3,FALSE),Employee!A:J,10,FALSE),"Not Specified")</f>
        <v>WA</v>
      </c>
      <c r="J1944" t="str">
        <f>VLOOKUP(B1944,Product!A:B,2,FALSE)</f>
        <v>Product LUNZZ</v>
      </c>
      <c r="K1944" t="str">
        <f>VLOOKUP(VLOOKUP(B1944,Product!A:D,4,FALSE),Category!A:B,2,FALSE)</f>
        <v>Condiments</v>
      </c>
      <c r="L1944" s="24">
        <f>IFERROR(VLOOKUP(A1944,'Sales Order'!A:D,4,FALSE),"")</f>
        <v>39544</v>
      </c>
      <c r="M1944" s="24">
        <f>IFERROR(VLOOKUP(A1944,'Sales Order'!A:F,6,FALSE),"")</f>
        <v>39552</v>
      </c>
      <c r="N1944" t="str">
        <f>IFERROR(VLOOKUP(VLOOKUP(A1944,'Sales Order'!A:G,7,FALSE),Shipper!A:B,2,FALSE),"Not Specified")</f>
        <v>Shipper ZHISN</v>
      </c>
      <c r="O1944" t="str">
        <f>IFERROR(VLOOKUP(A1944,'Sales Order'!A:I,9,FALSE),"Not Specified")</f>
        <v>Ship to 65-A</v>
      </c>
      <c r="P1944" t="str">
        <f>IFERROR(VLOOKUP(A1944,'Sales Order'!A:N,14,FALSE),"Not Specified")</f>
        <v>USA</v>
      </c>
      <c r="Q1944" t="str">
        <f>VLOOKUP(VLOOKUP(B1944,Product!A:C,3,FALSE),Supplier!A:B,2,FALSE)</f>
        <v>Supplier SVIYA</v>
      </c>
      <c r="R1944" t="str">
        <f>VLOOKUP(VLOOKUP(B1944,Product!A:C,3,FALSE),Supplier!A:I,9,FALSE)</f>
        <v>Germany</v>
      </c>
      <c r="S1944" t="str">
        <f>IFERROR(IF(VLOOKUP(A1944,'Sales Order'!A:H,8,FALSE)&gt;100,"High Freight","Low Freight"),"Not Specified")</f>
        <v>Low Freight</v>
      </c>
      <c r="T1944">
        <f t="shared" si="61"/>
        <v>390</v>
      </c>
    </row>
    <row r="1945" spans="1:20">
      <c r="A1945" s="9">
        <v>11001</v>
      </c>
      <c r="B1945" s="6">
        <v>7</v>
      </c>
      <c r="C1945" s="6">
        <v>30</v>
      </c>
      <c r="D1945" s="6">
        <v>60</v>
      </c>
      <c r="E1945" s="18">
        <v>0</v>
      </c>
      <c r="F1945" s="6" t="str">
        <f>IFERROR(VLOOKUP(VLOOKUP(A1945,'Sales Order'!A:B,2,FALSE),Customer!A:C,3,FALSE),"Not Specified")</f>
        <v>San Juan, Patricia</v>
      </c>
      <c r="G1945" s="6" t="str">
        <f t="shared" si="60"/>
        <v>San Juan Patricia</v>
      </c>
      <c r="H1945" s="22" t="str">
        <f>IFERROR(VLOOKUP(VLOOKUP(A1945,'Sales Order'!A:C,3,FALSE),Employee!A:E,5,FALSE)&amp;" "&amp;VLOOKUP(VLOOKUP(A1945,'Sales Order'!A:C,3,FALSE),Employee!A:C,3,FALSE)&amp;" "&amp;VLOOKUP(VLOOKUP(A1945,'Sales Order'!A:C,3,FALSE),Employee!A:B,2,FALSE),"Not Specified")</f>
        <v>Dr. Don Funk</v>
      </c>
      <c r="I1945" t="str">
        <f>IFERROR(VLOOKUP(VLOOKUP(A1945,'Sales Order'!A:C,3,FALSE),Employee!A:J,10,FALSE),"Not Specified")</f>
        <v>WA</v>
      </c>
      <c r="J1945" t="str">
        <f>VLOOKUP(B1945,Product!A:B,2,FALSE)</f>
        <v>Product HMLNI</v>
      </c>
      <c r="K1945" t="str">
        <f>VLOOKUP(VLOOKUP(B1945,Product!A:D,4,FALSE),Category!A:B,2,FALSE)</f>
        <v>Produce</v>
      </c>
      <c r="L1945" s="24">
        <f>IFERROR(VLOOKUP(A1945,'Sales Order'!A:D,4,FALSE),"")</f>
        <v>39544</v>
      </c>
      <c r="M1945" s="24">
        <f>IFERROR(VLOOKUP(A1945,'Sales Order'!A:F,6,FALSE),"")</f>
        <v>39552</v>
      </c>
      <c r="N1945" t="str">
        <f>IFERROR(VLOOKUP(VLOOKUP(A1945,'Sales Order'!A:G,7,FALSE),Shipper!A:B,2,FALSE),"Not Specified")</f>
        <v>Shipper ETYNR</v>
      </c>
      <c r="O1945" t="str">
        <f>IFERROR(VLOOKUP(A1945,'Sales Order'!A:I,9,FALSE),"Not Specified")</f>
        <v>Destination YCMPK</v>
      </c>
      <c r="P1945" t="str">
        <f>IFERROR(VLOOKUP(A1945,'Sales Order'!A:N,14,FALSE),"Not Specified")</f>
        <v>Sweden</v>
      </c>
      <c r="Q1945" t="str">
        <f>VLOOKUP(VLOOKUP(B1945,Product!A:C,3,FALSE),Supplier!A:B,2,FALSE)</f>
        <v>Supplier STUAZ</v>
      </c>
      <c r="R1945" t="str">
        <f>VLOOKUP(VLOOKUP(B1945,Product!A:C,3,FALSE),Supplier!A:I,9,FALSE)</f>
        <v>USA</v>
      </c>
      <c r="S1945" t="str">
        <f>IFERROR(IF(VLOOKUP(A1945,'Sales Order'!A:H,8,FALSE)&gt;100,"High Freight","Low Freight"),"Not Specified")</f>
        <v>High Freight</v>
      </c>
      <c r="T1945">
        <f t="shared" si="61"/>
        <v>1800</v>
      </c>
    </row>
    <row r="1946" spans="1:20">
      <c r="A1946" s="9">
        <v>11001</v>
      </c>
      <c r="B1946" s="6">
        <v>22</v>
      </c>
      <c r="C1946" s="6">
        <v>21</v>
      </c>
      <c r="D1946" s="6">
        <v>25</v>
      </c>
      <c r="E1946" s="18">
        <v>0</v>
      </c>
      <c r="F1946" s="6" t="str">
        <f>IFERROR(VLOOKUP(VLOOKUP(A1946,'Sales Order'!A:B,2,FALSE),Customer!A:C,3,FALSE),"Not Specified")</f>
        <v>San Juan, Patricia</v>
      </c>
      <c r="G1946" s="6" t="str">
        <f t="shared" si="60"/>
        <v>San Juan Patricia</v>
      </c>
      <c r="H1946" s="22" t="str">
        <f>IFERROR(VLOOKUP(VLOOKUP(A1946,'Sales Order'!A:C,3,FALSE),Employee!A:E,5,FALSE)&amp;" "&amp;VLOOKUP(VLOOKUP(A1946,'Sales Order'!A:C,3,FALSE),Employee!A:C,3,FALSE)&amp;" "&amp;VLOOKUP(VLOOKUP(A1946,'Sales Order'!A:C,3,FALSE),Employee!A:B,2,FALSE),"Not Specified")</f>
        <v>Dr. Don Funk</v>
      </c>
      <c r="I1946" t="str">
        <f>IFERROR(VLOOKUP(VLOOKUP(A1946,'Sales Order'!A:C,3,FALSE),Employee!A:J,10,FALSE),"Not Specified")</f>
        <v>WA</v>
      </c>
      <c r="J1946" t="str">
        <f>VLOOKUP(B1946,Product!A:B,2,FALSE)</f>
        <v>Product CPHFY</v>
      </c>
      <c r="K1946" t="str">
        <f>VLOOKUP(VLOOKUP(B1946,Product!A:D,4,FALSE),Category!A:B,2,FALSE)</f>
        <v>Grains/Cereals</v>
      </c>
      <c r="L1946" s="24">
        <f>IFERROR(VLOOKUP(A1946,'Sales Order'!A:D,4,FALSE),"")</f>
        <v>39544</v>
      </c>
      <c r="M1946" s="24">
        <f>IFERROR(VLOOKUP(A1946,'Sales Order'!A:F,6,FALSE),"")</f>
        <v>39552</v>
      </c>
      <c r="N1946" t="str">
        <f>IFERROR(VLOOKUP(VLOOKUP(A1946,'Sales Order'!A:G,7,FALSE),Shipper!A:B,2,FALSE),"Not Specified")</f>
        <v>Shipper ETYNR</v>
      </c>
      <c r="O1946" t="str">
        <f>IFERROR(VLOOKUP(A1946,'Sales Order'!A:I,9,FALSE),"Not Specified")</f>
        <v>Destination YCMPK</v>
      </c>
      <c r="P1946" t="str">
        <f>IFERROR(VLOOKUP(A1946,'Sales Order'!A:N,14,FALSE),"Not Specified")</f>
        <v>Sweden</v>
      </c>
      <c r="Q1946" t="str">
        <f>VLOOKUP(VLOOKUP(B1946,Product!A:C,3,FALSE),Supplier!A:B,2,FALSE)</f>
        <v>Supplier QQYEU</v>
      </c>
      <c r="R1946" t="str">
        <f>VLOOKUP(VLOOKUP(B1946,Product!A:C,3,FALSE),Supplier!A:I,9,FALSE)</f>
        <v>Sweden</v>
      </c>
      <c r="S1946" t="str">
        <f>IFERROR(IF(VLOOKUP(A1946,'Sales Order'!A:H,8,FALSE)&gt;100,"High Freight","Low Freight"),"Not Specified")</f>
        <v>High Freight</v>
      </c>
      <c r="T1946">
        <f t="shared" si="61"/>
        <v>525</v>
      </c>
    </row>
    <row r="1947" spans="1:20">
      <c r="A1947" s="9">
        <v>11001</v>
      </c>
      <c r="B1947" s="6">
        <v>46</v>
      </c>
      <c r="C1947" s="6">
        <v>12</v>
      </c>
      <c r="D1947" s="6">
        <v>25</v>
      </c>
      <c r="E1947" s="18">
        <v>0</v>
      </c>
      <c r="F1947" s="6" t="str">
        <f>IFERROR(VLOOKUP(VLOOKUP(A1947,'Sales Order'!A:B,2,FALSE),Customer!A:C,3,FALSE),"Not Specified")</f>
        <v>San Juan, Patricia</v>
      </c>
      <c r="G1947" s="6" t="str">
        <f t="shared" si="60"/>
        <v>San Juan Patricia</v>
      </c>
      <c r="H1947" s="22" t="str">
        <f>IFERROR(VLOOKUP(VLOOKUP(A1947,'Sales Order'!A:C,3,FALSE),Employee!A:E,5,FALSE)&amp;" "&amp;VLOOKUP(VLOOKUP(A1947,'Sales Order'!A:C,3,FALSE),Employee!A:C,3,FALSE)&amp;" "&amp;VLOOKUP(VLOOKUP(A1947,'Sales Order'!A:C,3,FALSE),Employee!A:B,2,FALSE),"Not Specified")</f>
        <v>Dr. Don Funk</v>
      </c>
      <c r="I1947" t="str">
        <f>IFERROR(VLOOKUP(VLOOKUP(A1947,'Sales Order'!A:C,3,FALSE),Employee!A:J,10,FALSE),"Not Specified")</f>
        <v>WA</v>
      </c>
      <c r="J1947" t="str">
        <f>VLOOKUP(B1947,Product!A:B,2,FALSE)</f>
        <v>Product CBRRL</v>
      </c>
      <c r="K1947" t="str">
        <f>VLOOKUP(VLOOKUP(B1947,Product!A:D,4,FALSE),Category!A:B,2,FALSE)</f>
        <v>Seafood</v>
      </c>
      <c r="L1947" s="24">
        <f>IFERROR(VLOOKUP(A1947,'Sales Order'!A:D,4,FALSE),"")</f>
        <v>39544</v>
      </c>
      <c r="M1947" s="24">
        <f>IFERROR(VLOOKUP(A1947,'Sales Order'!A:F,6,FALSE),"")</f>
        <v>39552</v>
      </c>
      <c r="N1947" t="str">
        <f>IFERROR(VLOOKUP(VLOOKUP(A1947,'Sales Order'!A:G,7,FALSE),Shipper!A:B,2,FALSE),"Not Specified")</f>
        <v>Shipper ETYNR</v>
      </c>
      <c r="O1947" t="str">
        <f>IFERROR(VLOOKUP(A1947,'Sales Order'!A:I,9,FALSE),"Not Specified")</f>
        <v>Destination YCMPK</v>
      </c>
      <c r="P1947" t="str">
        <f>IFERROR(VLOOKUP(A1947,'Sales Order'!A:N,14,FALSE),"Not Specified")</f>
        <v>Sweden</v>
      </c>
      <c r="Q1947" t="str">
        <f>VLOOKUP(VLOOKUP(B1947,Product!A:C,3,FALSE),Supplier!A:B,2,FALSE)</f>
        <v>Supplier XOXZA</v>
      </c>
      <c r="R1947" t="str">
        <f>VLOOKUP(VLOOKUP(B1947,Product!A:C,3,FALSE),Supplier!A:I,9,FALSE)</f>
        <v>Denmark</v>
      </c>
      <c r="S1947" t="str">
        <f>IFERROR(IF(VLOOKUP(A1947,'Sales Order'!A:H,8,FALSE)&gt;100,"High Freight","Low Freight"),"Not Specified")</f>
        <v>High Freight</v>
      </c>
      <c r="T1947">
        <f t="shared" si="61"/>
        <v>300</v>
      </c>
    </row>
    <row r="1948" spans="1:20">
      <c r="A1948" s="9">
        <v>11001</v>
      </c>
      <c r="B1948" s="6">
        <v>55</v>
      </c>
      <c r="C1948" s="6">
        <v>24</v>
      </c>
      <c r="D1948" s="6">
        <v>6</v>
      </c>
      <c r="E1948" s="18">
        <v>0</v>
      </c>
      <c r="F1948" s="6" t="str">
        <f>IFERROR(VLOOKUP(VLOOKUP(A1948,'Sales Order'!A:B,2,FALSE),Customer!A:C,3,FALSE),"Not Specified")</f>
        <v>San Juan, Patricia</v>
      </c>
      <c r="G1948" s="6" t="str">
        <f t="shared" si="60"/>
        <v>San Juan Patricia</v>
      </c>
      <c r="H1948" s="22" t="str">
        <f>IFERROR(VLOOKUP(VLOOKUP(A1948,'Sales Order'!A:C,3,FALSE),Employee!A:E,5,FALSE)&amp;" "&amp;VLOOKUP(VLOOKUP(A1948,'Sales Order'!A:C,3,FALSE),Employee!A:C,3,FALSE)&amp;" "&amp;VLOOKUP(VLOOKUP(A1948,'Sales Order'!A:C,3,FALSE),Employee!A:B,2,FALSE),"Not Specified")</f>
        <v>Dr. Don Funk</v>
      </c>
      <c r="I1948" t="str">
        <f>IFERROR(VLOOKUP(VLOOKUP(A1948,'Sales Order'!A:C,3,FALSE),Employee!A:J,10,FALSE),"Not Specified")</f>
        <v>WA</v>
      </c>
      <c r="J1948" t="str">
        <f>VLOOKUP(B1948,Product!A:B,2,FALSE)</f>
        <v>Product YYWRT</v>
      </c>
      <c r="K1948" t="str">
        <f>VLOOKUP(VLOOKUP(B1948,Product!A:D,4,FALSE),Category!A:B,2,FALSE)</f>
        <v>Meat/Poultry</v>
      </c>
      <c r="L1948" s="24">
        <f>IFERROR(VLOOKUP(A1948,'Sales Order'!A:D,4,FALSE),"")</f>
        <v>39544</v>
      </c>
      <c r="M1948" s="24">
        <f>IFERROR(VLOOKUP(A1948,'Sales Order'!A:F,6,FALSE),"")</f>
        <v>39552</v>
      </c>
      <c r="N1948" t="str">
        <f>IFERROR(VLOOKUP(VLOOKUP(A1948,'Sales Order'!A:G,7,FALSE),Shipper!A:B,2,FALSE),"Not Specified")</f>
        <v>Shipper ETYNR</v>
      </c>
      <c r="O1948" t="str">
        <f>IFERROR(VLOOKUP(A1948,'Sales Order'!A:I,9,FALSE),"Not Specified")</f>
        <v>Destination YCMPK</v>
      </c>
      <c r="P1948" t="str">
        <f>IFERROR(VLOOKUP(A1948,'Sales Order'!A:N,14,FALSE),"Not Specified")</f>
        <v>Sweden</v>
      </c>
      <c r="Q1948" t="str">
        <f>VLOOKUP(VLOOKUP(B1948,Product!A:C,3,FALSE),Supplier!A:B,2,FALSE)</f>
        <v>Supplier ERVYZ</v>
      </c>
      <c r="R1948" t="str">
        <f>VLOOKUP(VLOOKUP(B1948,Product!A:C,3,FALSE),Supplier!A:I,9,FALSE)</f>
        <v>Canada</v>
      </c>
      <c r="S1948" t="str">
        <f>IFERROR(IF(VLOOKUP(A1948,'Sales Order'!A:H,8,FALSE)&gt;100,"High Freight","Low Freight"),"Not Specified")</f>
        <v>High Freight</v>
      </c>
      <c r="T1948">
        <f t="shared" si="61"/>
        <v>144</v>
      </c>
    </row>
    <row r="1949" spans="1:20">
      <c r="A1949" s="9">
        <v>11002</v>
      </c>
      <c r="B1949" s="6">
        <v>13</v>
      </c>
      <c r="C1949" s="6">
        <v>6</v>
      </c>
      <c r="D1949" s="6">
        <v>56</v>
      </c>
      <c r="E1949" s="18">
        <v>0</v>
      </c>
      <c r="F1949" s="6" t="str">
        <f>IFERROR(VLOOKUP(VLOOKUP(A1949,'Sales Order'!A:B,2,FALSE),Customer!A:C,3,FALSE),"Not Specified")</f>
        <v>Navarro, Tomás</v>
      </c>
      <c r="G1949" s="6" t="str">
        <f t="shared" si="60"/>
        <v>Navarro Tomás</v>
      </c>
      <c r="H1949" s="22" t="str">
        <f>IFERROR(VLOOKUP(VLOOKUP(A1949,'Sales Order'!A:C,3,FALSE),Employee!A:E,5,FALSE)&amp;" "&amp;VLOOKUP(VLOOKUP(A1949,'Sales Order'!A:C,3,FALSE),Employee!A:C,3,FALSE)&amp;" "&amp;VLOOKUP(VLOOKUP(A1949,'Sales Order'!A:C,3,FALSE),Employee!A:B,2,FALSE),"Not Specified")</f>
        <v>Mrs. Yael Peled</v>
      </c>
      <c r="I1949" t="str">
        <f>IFERROR(VLOOKUP(VLOOKUP(A1949,'Sales Order'!A:C,3,FALSE),Employee!A:J,10,FALSE),"Not Specified")</f>
        <v>WA</v>
      </c>
      <c r="J1949" t="str">
        <f>VLOOKUP(B1949,Product!A:B,2,FALSE)</f>
        <v>Product POXFU</v>
      </c>
      <c r="K1949" t="str">
        <f>VLOOKUP(VLOOKUP(B1949,Product!A:D,4,FALSE),Category!A:B,2,FALSE)</f>
        <v>Seafood</v>
      </c>
      <c r="L1949" s="24">
        <f>IFERROR(VLOOKUP(A1949,'Sales Order'!A:D,4,FALSE),"")</f>
        <v>39544</v>
      </c>
      <c r="M1949" s="24">
        <f>IFERROR(VLOOKUP(A1949,'Sales Order'!A:F,6,FALSE),"")</f>
        <v>39554</v>
      </c>
      <c r="N1949" t="str">
        <f>IFERROR(VLOOKUP(VLOOKUP(A1949,'Sales Order'!A:G,7,FALSE),Shipper!A:B,2,FALSE),"Not Specified")</f>
        <v>Shipper GVSUA</v>
      </c>
      <c r="O1949" t="str">
        <f>IFERROR(VLOOKUP(A1949,'Sales Order'!A:I,9,FALSE),"Not Specified")</f>
        <v>Ship to 71-A</v>
      </c>
      <c r="P1949" t="str">
        <f>IFERROR(VLOOKUP(A1949,'Sales Order'!A:N,14,FALSE),"Not Specified")</f>
        <v>USA</v>
      </c>
      <c r="Q1949" t="str">
        <f>VLOOKUP(VLOOKUP(B1949,Product!A:C,3,FALSE),Supplier!A:B,2,FALSE)</f>
        <v>Supplier QWUSF</v>
      </c>
      <c r="R1949" t="str">
        <f>VLOOKUP(VLOOKUP(B1949,Product!A:C,3,FALSE),Supplier!A:I,9,FALSE)</f>
        <v>Japan</v>
      </c>
      <c r="S1949" t="str">
        <f>IFERROR(IF(VLOOKUP(A1949,'Sales Order'!A:H,8,FALSE)&gt;100,"High Freight","Low Freight"),"Not Specified")</f>
        <v>High Freight</v>
      </c>
      <c r="T1949">
        <f t="shared" si="61"/>
        <v>336</v>
      </c>
    </row>
    <row r="1950" spans="1:20">
      <c r="A1950" s="9">
        <v>11002</v>
      </c>
      <c r="B1950" s="6">
        <v>35</v>
      </c>
      <c r="C1950" s="6">
        <v>18</v>
      </c>
      <c r="D1950" s="6">
        <v>15</v>
      </c>
      <c r="E1950" s="18">
        <v>0.15</v>
      </c>
      <c r="F1950" s="6" t="str">
        <f>IFERROR(VLOOKUP(VLOOKUP(A1950,'Sales Order'!A:B,2,FALSE),Customer!A:C,3,FALSE),"Not Specified")</f>
        <v>Navarro, Tomás</v>
      </c>
      <c r="G1950" s="6" t="str">
        <f t="shared" si="60"/>
        <v>Navarro Tomás</v>
      </c>
      <c r="H1950" s="22" t="str">
        <f>IFERROR(VLOOKUP(VLOOKUP(A1950,'Sales Order'!A:C,3,FALSE),Employee!A:E,5,FALSE)&amp;" "&amp;VLOOKUP(VLOOKUP(A1950,'Sales Order'!A:C,3,FALSE),Employee!A:C,3,FALSE)&amp;" "&amp;VLOOKUP(VLOOKUP(A1950,'Sales Order'!A:C,3,FALSE),Employee!A:B,2,FALSE),"Not Specified")</f>
        <v>Mrs. Yael Peled</v>
      </c>
      <c r="I1950" t="str">
        <f>IFERROR(VLOOKUP(VLOOKUP(A1950,'Sales Order'!A:C,3,FALSE),Employee!A:J,10,FALSE),"Not Specified")</f>
        <v>WA</v>
      </c>
      <c r="J1950" t="str">
        <f>VLOOKUP(B1950,Product!A:B,2,FALSE)</f>
        <v>Product NEVTJ</v>
      </c>
      <c r="K1950" t="str">
        <f>VLOOKUP(VLOOKUP(B1950,Product!A:D,4,FALSE),Category!A:B,2,FALSE)</f>
        <v>Beverages</v>
      </c>
      <c r="L1950" s="24">
        <f>IFERROR(VLOOKUP(A1950,'Sales Order'!A:D,4,FALSE),"")</f>
        <v>39544</v>
      </c>
      <c r="M1950" s="24">
        <f>IFERROR(VLOOKUP(A1950,'Sales Order'!A:F,6,FALSE),"")</f>
        <v>39554</v>
      </c>
      <c r="N1950" t="str">
        <f>IFERROR(VLOOKUP(VLOOKUP(A1950,'Sales Order'!A:G,7,FALSE),Shipper!A:B,2,FALSE),"Not Specified")</f>
        <v>Shipper GVSUA</v>
      </c>
      <c r="O1950" t="str">
        <f>IFERROR(VLOOKUP(A1950,'Sales Order'!A:I,9,FALSE),"Not Specified")</f>
        <v>Ship to 71-A</v>
      </c>
      <c r="P1950" t="str">
        <f>IFERROR(VLOOKUP(A1950,'Sales Order'!A:N,14,FALSE),"Not Specified")</f>
        <v>USA</v>
      </c>
      <c r="Q1950" t="str">
        <f>VLOOKUP(VLOOKUP(B1950,Product!A:C,3,FALSE),Supplier!A:B,2,FALSE)</f>
        <v>Supplier UHZRG</v>
      </c>
      <c r="R1950" t="str">
        <f>VLOOKUP(VLOOKUP(B1950,Product!A:C,3,FALSE),Supplier!A:I,9,FALSE)</f>
        <v>USA</v>
      </c>
      <c r="S1950" t="str">
        <f>IFERROR(IF(VLOOKUP(A1950,'Sales Order'!A:H,8,FALSE)&gt;100,"High Freight","Low Freight"),"Not Specified")</f>
        <v>High Freight</v>
      </c>
      <c r="T1950">
        <f t="shared" si="61"/>
        <v>229.5</v>
      </c>
    </row>
    <row r="1951" spans="1:20">
      <c r="A1951" s="9">
        <v>11002</v>
      </c>
      <c r="B1951" s="6">
        <v>42</v>
      </c>
      <c r="C1951" s="6">
        <v>14</v>
      </c>
      <c r="D1951" s="6">
        <v>24</v>
      </c>
      <c r="E1951" s="18">
        <v>0.15</v>
      </c>
      <c r="F1951" s="6" t="str">
        <f>IFERROR(VLOOKUP(VLOOKUP(A1951,'Sales Order'!A:B,2,FALSE),Customer!A:C,3,FALSE),"Not Specified")</f>
        <v>Navarro, Tomás</v>
      </c>
      <c r="G1951" s="6" t="str">
        <f t="shared" si="60"/>
        <v>Navarro Tomás</v>
      </c>
      <c r="H1951" s="22" t="str">
        <f>IFERROR(VLOOKUP(VLOOKUP(A1951,'Sales Order'!A:C,3,FALSE),Employee!A:E,5,FALSE)&amp;" "&amp;VLOOKUP(VLOOKUP(A1951,'Sales Order'!A:C,3,FALSE),Employee!A:C,3,FALSE)&amp;" "&amp;VLOOKUP(VLOOKUP(A1951,'Sales Order'!A:C,3,FALSE),Employee!A:B,2,FALSE),"Not Specified")</f>
        <v>Mrs. Yael Peled</v>
      </c>
      <c r="I1951" t="str">
        <f>IFERROR(VLOOKUP(VLOOKUP(A1951,'Sales Order'!A:C,3,FALSE),Employee!A:J,10,FALSE),"Not Specified")</f>
        <v>WA</v>
      </c>
      <c r="J1951" t="str">
        <f>VLOOKUP(B1951,Product!A:B,2,FALSE)</f>
        <v>Product RJVNM</v>
      </c>
      <c r="K1951" t="str">
        <f>VLOOKUP(VLOOKUP(B1951,Product!A:D,4,FALSE),Category!A:B,2,FALSE)</f>
        <v>Grains/Cereals</v>
      </c>
      <c r="L1951" s="24">
        <f>IFERROR(VLOOKUP(A1951,'Sales Order'!A:D,4,FALSE),"")</f>
        <v>39544</v>
      </c>
      <c r="M1951" s="24">
        <f>IFERROR(VLOOKUP(A1951,'Sales Order'!A:F,6,FALSE),"")</f>
        <v>39554</v>
      </c>
      <c r="N1951" t="str">
        <f>IFERROR(VLOOKUP(VLOOKUP(A1951,'Sales Order'!A:G,7,FALSE),Shipper!A:B,2,FALSE),"Not Specified")</f>
        <v>Shipper GVSUA</v>
      </c>
      <c r="O1951" t="str">
        <f>IFERROR(VLOOKUP(A1951,'Sales Order'!A:I,9,FALSE),"Not Specified")</f>
        <v>Ship to 71-A</v>
      </c>
      <c r="P1951" t="str">
        <f>IFERROR(VLOOKUP(A1951,'Sales Order'!A:N,14,FALSE),"Not Specified")</f>
        <v>USA</v>
      </c>
      <c r="Q1951" t="str">
        <f>VLOOKUP(VLOOKUP(B1951,Product!A:C,3,FALSE),Supplier!A:B,2,FALSE)</f>
        <v>Supplier CIYNM</v>
      </c>
      <c r="R1951" t="str">
        <f>VLOOKUP(VLOOKUP(B1951,Product!A:C,3,FALSE),Supplier!A:I,9,FALSE)</f>
        <v>Singapore</v>
      </c>
      <c r="S1951" t="str">
        <f>IFERROR(IF(VLOOKUP(A1951,'Sales Order'!A:H,8,FALSE)&gt;100,"High Freight","Low Freight"),"Not Specified")</f>
        <v>High Freight</v>
      </c>
      <c r="T1951">
        <f t="shared" si="61"/>
        <v>285.59999999999997</v>
      </c>
    </row>
    <row r="1952" spans="1:20">
      <c r="A1952" s="9">
        <v>11002</v>
      </c>
      <c r="B1952" s="6">
        <v>55</v>
      </c>
      <c r="C1952" s="6">
        <v>24</v>
      </c>
      <c r="D1952" s="6">
        <v>40</v>
      </c>
      <c r="E1952" s="18">
        <v>0</v>
      </c>
      <c r="F1952" s="6" t="str">
        <f>IFERROR(VLOOKUP(VLOOKUP(A1952,'Sales Order'!A:B,2,FALSE),Customer!A:C,3,FALSE),"Not Specified")</f>
        <v>Navarro, Tomás</v>
      </c>
      <c r="G1952" s="6" t="str">
        <f t="shared" si="60"/>
        <v>Navarro Tomás</v>
      </c>
      <c r="H1952" s="22" t="str">
        <f>IFERROR(VLOOKUP(VLOOKUP(A1952,'Sales Order'!A:C,3,FALSE),Employee!A:E,5,FALSE)&amp;" "&amp;VLOOKUP(VLOOKUP(A1952,'Sales Order'!A:C,3,FALSE),Employee!A:C,3,FALSE)&amp;" "&amp;VLOOKUP(VLOOKUP(A1952,'Sales Order'!A:C,3,FALSE),Employee!A:B,2,FALSE),"Not Specified")</f>
        <v>Mrs. Yael Peled</v>
      </c>
      <c r="I1952" t="str">
        <f>IFERROR(VLOOKUP(VLOOKUP(A1952,'Sales Order'!A:C,3,FALSE),Employee!A:J,10,FALSE),"Not Specified")</f>
        <v>WA</v>
      </c>
      <c r="J1952" t="str">
        <f>VLOOKUP(B1952,Product!A:B,2,FALSE)</f>
        <v>Product YYWRT</v>
      </c>
      <c r="K1952" t="str">
        <f>VLOOKUP(VLOOKUP(B1952,Product!A:D,4,FALSE),Category!A:B,2,FALSE)</f>
        <v>Meat/Poultry</v>
      </c>
      <c r="L1952" s="24">
        <f>IFERROR(VLOOKUP(A1952,'Sales Order'!A:D,4,FALSE),"")</f>
        <v>39544</v>
      </c>
      <c r="M1952" s="24">
        <f>IFERROR(VLOOKUP(A1952,'Sales Order'!A:F,6,FALSE),"")</f>
        <v>39554</v>
      </c>
      <c r="N1952" t="str">
        <f>IFERROR(VLOOKUP(VLOOKUP(A1952,'Sales Order'!A:G,7,FALSE),Shipper!A:B,2,FALSE),"Not Specified")</f>
        <v>Shipper GVSUA</v>
      </c>
      <c r="O1952" t="str">
        <f>IFERROR(VLOOKUP(A1952,'Sales Order'!A:I,9,FALSE),"Not Specified")</f>
        <v>Ship to 71-A</v>
      </c>
      <c r="P1952" t="str">
        <f>IFERROR(VLOOKUP(A1952,'Sales Order'!A:N,14,FALSE),"Not Specified")</f>
        <v>USA</v>
      </c>
      <c r="Q1952" t="str">
        <f>VLOOKUP(VLOOKUP(B1952,Product!A:C,3,FALSE),Supplier!A:B,2,FALSE)</f>
        <v>Supplier ERVYZ</v>
      </c>
      <c r="R1952" t="str">
        <f>VLOOKUP(VLOOKUP(B1952,Product!A:C,3,FALSE),Supplier!A:I,9,FALSE)</f>
        <v>Canada</v>
      </c>
      <c r="S1952" t="str">
        <f>IFERROR(IF(VLOOKUP(A1952,'Sales Order'!A:H,8,FALSE)&gt;100,"High Freight","Low Freight"),"Not Specified")</f>
        <v>High Freight</v>
      </c>
      <c r="T1952">
        <f t="shared" si="61"/>
        <v>960</v>
      </c>
    </row>
    <row r="1953" spans="1:20">
      <c r="A1953" s="9">
        <v>11003</v>
      </c>
      <c r="B1953" s="6">
        <v>1</v>
      </c>
      <c r="C1953" s="6">
        <v>18</v>
      </c>
      <c r="D1953" s="6">
        <v>4</v>
      </c>
      <c r="E1953" s="18">
        <v>0</v>
      </c>
      <c r="F1953" s="6" t="str">
        <f>IFERROR(VLOOKUP(VLOOKUP(A1953,'Sales Order'!A:B,2,FALSE),Customer!A:C,3,FALSE),"Not Specified")</f>
        <v>Young, Robin</v>
      </c>
      <c r="G1953" s="6" t="str">
        <f t="shared" si="60"/>
        <v>Young Robin</v>
      </c>
      <c r="H1953" s="22" t="str">
        <f>IFERROR(VLOOKUP(VLOOKUP(A1953,'Sales Order'!A:C,3,FALSE),Employee!A:E,5,FALSE)&amp;" "&amp;VLOOKUP(VLOOKUP(A1953,'Sales Order'!A:C,3,FALSE),Employee!A:C,3,FALSE)&amp;" "&amp;VLOOKUP(VLOOKUP(A1953,'Sales Order'!A:C,3,FALSE),Employee!A:B,2,FALSE),"Not Specified")</f>
        <v>Ms. Judy Lew</v>
      </c>
      <c r="I1953" t="str">
        <f>IFERROR(VLOOKUP(VLOOKUP(A1953,'Sales Order'!A:C,3,FALSE),Employee!A:J,10,FALSE),"Not Specified")</f>
        <v>WA</v>
      </c>
      <c r="J1953" t="str">
        <f>VLOOKUP(B1953,Product!A:B,2,FALSE)</f>
        <v>Product HHYDP</v>
      </c>
      <c r="K1953" t="str">
        <f>VLOOKUP(VLOOKUP(B1953,Product!A:D,4,FALSE),Category!A:B,2,FALSE)</f>
        <v>Beverages</v>
      </c>
      <c r="L1953" s="24">
        <f>IFERROR(VLOOKUP(A1953,'Sales Order'!A:D,4,FALSE),"")</f>
        <v>39544</v>
      </c>
      <c r="M1953" s="24">
        <f>IFERROR(VLOOKUP(A1953,'Sales Order'!A:F,6,FALSE),"")</f>
        <v>39546</v>
      </c>
      <c r="N1953" t="str">
        <f>IFERROR(VLOOKUP(VLOOKUP(A1953,'Sales Order'!A:G,7,FALSE),Shipper!A:B,2,FALSE),"Not Specified")</f>
        <v>Shipper ZHISN</v>
      </c>
      <c r="O1953" t="str">
        <f>IFERROR(VLOOKUP(A1953,'Sales Order'!A:I,9,FALSE),"Not Specified")</f>
        <v>Ship to 78-B</v>
      </c>
      <c r="P1953" t="str">
        <f>IFERROR(VLOOKUP(A1953,'Sales Order'!A:N,14,FALSE),"Not Specified")</f>
        <v>USA</v>
      </c>
      <c r="Q1953" t="str">
        <f>VLOOKUP(VLOOKUP(B1953,Product!A:C,3,FALSE),Supplier!A:B,2,FALSE)</f>
        <v>Supplier SWRXU</v>
      </c>
      <c r="R1953" t="str">
        <f>VLOOKUP(VLOOKUP(B1953,Product!A:C,3,FALSE),Supplier!A:I,9,FALSE)</f>
        <v>UK</v>
      </c>
      <c r="S1953" t="str">
        <f>IFERROR(IF(VLOOKUP(A1953,'Sales Order'!A:H,8,FALSE)&gt;100,"High Freight","Low Freight"),"Not Specified")</f>
        <v>Low Freight</v>
      </c>
      <c r="T1953">
        <f t="shared" si="61"/>
        <v>72</v>
      </c>
    </row>
    <row r="1954" spans="1:20">
      <c r="A1954" s="9">
        <v>11003</v>
      </c>
      <c r="B1954" s="6">
        <v>40</v>
      </c>
      <c r="C1954" s="6">
        <v>18.399999999999999</v>
      </c>
      <c r="D1954" s="6">
        <v>10</v>
      </c>
      <c r="E1954" s="18">
        <v>0</v>
      </c>
      <c r="F1954" s="6" t="str">
        <f>IFERROR(VLOOKUP(VLOOKUP(A1954,'Sales Order'!A:B,2,FALSE),Customer!A:C,3,FALSE),"Not Specified")</f>
        <v>Young, Robin</v>
      </c>
      <c r="G1954" s="6" t="str">
        <f t="shared" si="60"/>
        <v>Young Robin</v>
      </c>
      <c r="H1954" s="22" t="str">
        <f>IFERROR(VLOOKUP(VLOOKUP(A1954,'Sales Order'!A:C,3,FALSE),Employee!A:E,5,FALSE)&amp;" "&amp;VLOOKUP(VLOOKUP(A1954,'Sales Order'!A:C,3,FALSE),Employee!A:C,3,FALSE)&amp;" "&amp;VLOOKUP(VLOOKUP(A1954,'Sales Order'!A:C,3,FALSE),Employee!A:B,2,FALSE),"Not Specified")</f>
        <v>Ms. Judy Lew</v>
      </c>
      <c r="I1954" t="str">
        <f>IFERROR(VLOOKUP(VLOOKUP(A1954,'Sales Order'!A:C,3,FALSE),Employee!A:J,10,FALSE),"Not Specified")</f>
        <v>WA</v>
      </c>
      <c r="J1954" t="str">
        <f>VLOOKUP(B1954,Product!A:B,2,FALSE)</f>
        <v>Product YZIXQ</v>
      </c>
      <c r="K1954" t="str">
        <f>VLOOKUP(VLOOKUP(B1954,Product!A:D,4,FALSE),Category!A:B,2,FALSE)</f>
        <v>Seafood</v>
      </c>
      <c r="L1954" s="24">
        <f>IFERROR(VLOOKUP(A1954,'Sales Order'!A:D,4,FALSE),"")</f>
        <v>39544</v>
      </c>
      <c r="M1954" s="24">
        <f>IFERROR(VLOOKUP(A1954,'Sales Order'!A:F,6,FALSE),"")</f>
        <v>39546</v>
      </c>
      <c r="N1954" t="str">
        <f>IFERROR(VLOOKUP(VLOOKUP(A1954,'Sales Order'!A:G,7,FALSE),Shipper!A:B,2,FALSE),"Not Specified")</f>
        <v>Shipper ZHISN</v>
      </c>
      <c r="O1954" t="str">
        <f>IFERROR(VLOOKUP(A1954,'Sales Order'!A:I,9,FALSE),"Not Specified")</f>
        <v>Ship to 78-B</v>
      </c>
      <c r="P1954" t="str">
        <f>IFERROR(VLOOKUP(A1954,'Sales Order'!A:N,14,FALSE),"Not Specified")</f>
        <v>USA</v>
      </c>
      <c r="Q1954" t="str">
        <f>VLOOKUP(VLOOKUP(B1954,Product!A:C,3,FALSE),Supplier!A:B,2,FALSE)</f>
        <v>Supplier JDNUG</v>
      </c>
      <c r="R1954" t="str">
        <f>VLOOKUP(VLOOKUP(B1954,Product!A:C,3,FALSE),Supplier!A:I,9,FALSE)</f>
        <v>USA</v>
      </c>
      <c r="S1954" t="str">
        <f>IFERROR(IF(VLOOKUP(A1954,'Sales Order'!A:H,8,FALSE)&gt;100,"High Freight","Low Freight"),"Not Specified")</f>
        <v>Low Freight</v>
      </c>
      <c r="T1954">
        <f t="shared" si="61"/>
        <v>184</v>
      </c>
    </row>
    <row r="1955" spans="1:20">
      <c r="A1955" s="9">
        <v>11003</v>
      </c>
      <c r="B1955" s="6">
        <v>52</v>
      </c>
      <c r="C1955" s="6">
        <v>7</v>
      </c>
      <c r="D1955" s="6">
        <v>10</v>
      </c>
      <c r="E1955" s="18">
        <v>0</v>
      </c>
      <c r="F1955" s="6" t="str">
        <f>IFERROR(VLOOKUP(VLOOKUP(A1955,'Sales Order'!A:B,2,FALSE),Customer!A:C,3,FALSE),"Not Specified")</f>
        <v>Young, Robin</v>
      </c>
      <c r="G1955" s="6" t="str">
        <f t="shared" si="60"/>
        <v>Young Robin</v>
      </c>
      <c r="H1955" s="22" t="str">
        <f>IFERROR(VLOOKUP(VLOOKUP(A1955,'Sales Order'!A:C,3,FALSE),Employee!A:E,5,FALSE)&amp;" "&amp;VLOOKUP(VLOOKUP(A1955,'Sales Order'!A:C,3,FALSE),Employee!A:C,3,FALSE)&amp;" "&amp;VLOOKUP(VLOOKUP(A1955,'Sales Order'!A:C,3,FALSE),Employee!A:B,2,FALSE),"Not Specified")</f>
        <v>Ms. Judy Lew</v>
      </c>
      <c r="I1955" t="str">
        <f>IFERROR(VLOOKUP(VLOOKUP(A1955,'Sales Order'!A:C,3,FALSE),Employee!A:J,10,FALSE),"Not Specified")</f>
        <v>WA</v>
      </c>
      <c r="J1955" t="str">
        <f>VLOOKUP(B1955,Product!A:B,2,FALSE)</f>
        <v>Product QSRXF</v>
      </c>
      <c r="K1955" t="str">
        <f>VLOOKUP(VLOOKUP(B1955,Product!A:D,4,FALSE),Category!A:B,2,FALSE)</f>
        <v>Grains/Cereals</v>
      </c>
      <c r="L1955" s="24">
        <f>IFERROR(VLOOKUP(A1955,'Sales Order'!A:D,4,FALSE),"")</f>
        <v>39544</v>
      </c>
      <c r="M1955" s="24">
        <f>IFERROR(VLOOKUP(A1955,'Sales Order'!A:F,6,FALSE),"")</f>
        <v>39546</v>
      </c>
      <c r="N1955" t="str">
        <f>IFERROR(VLOOKUP(VLOOKUP(A1955,'Sales Order'!A:G,7,FALSE),Shipper!A:B,2,FALSE),"Not Specified")</f>
        <v>Shipper ZHISN</v>
      </c>
      <c r="O1955" t="str">
        <f>IFERROR(VLOOKUP(A1955,'Sales Order'!A:I,9,FALSE),"Not Specified")</f>
        <v>Ship to 78-B</v>
      </c>
      <c r="P1955" t="str">
        <f>IFERROR(VLOOKUP(A1955,'Sales Order'!A:N,14,FALSE),"Not Specified")</f>
        <v>USA</v>
      </c>
      <c r="Q1955" t="str">
        <f>VLOOKUP(VLOOKUP(B1955,Product!A:C,3,FALSE),Supplier!A:B,2,FALSE)</f>
        <v>Supplier JNNES</v>
      </c>
      <c r="R1955" t="str">
        <f>VLOOKUP(VLOOKUP(B1955,Product!A:C,3,FALSE),Supplier!A:I,9,FALSE)</f>
        <v>Australia</v>
      </c>
      <c r="S1955" t="str">
        <f>IFERROR(IF(VLOOKUP(A1955,'Sales Order'!A:H,8,FALSE)&gt;100,"High Freight","Low Freight"),"Not Specified")</f>
        <v>Low Freight</v>
      </c>
      <c r="T1955">
        <f t="shared" si="61"/>
        <v>70</v>
      </c>
    </row>
    <row r="1956" spans="1:20">
      <c r="A1956" s="9">
        <v>11004</v>
      </c>
      <c r="B1956" s="6">
        <v>26</v>
      </c>
      <c r="C1956" s="6">
        <v>31.23</v>
      </c>
      <c r="D1956" s="6">
        <v>6</v>
      </c>
      <c r="E1956" s="18">
        <v>0</v>
      </c>
      <c r="F1956" s="6" t="str">
        <f>IFERROR(VLOOKUP(VLOOKUP(A1956,'Sales Order'!A:B,2,FALSE),Customer!A:C,3,FALSE),"Not Specified")</f>
        <v>Mace, Donald</v>
      </c>
      <c r="G1956" s="6" t="str">
        <f t="shared" si="60"/>
        <v>Mace Donald</v>
      </c>
      <c r="H1956" s="22" t="str">
        <f>IFERROR(VLOOKUP(VLOOKUP(A1956,'Sales Order'!A:C,3,FALSE),Employee!A:E,5,FALSE)&amp;" "&amp;VLOOKUP(VLOOKUP(A1956,'Sales Order'!A:C,3,FALSE),Employee!A:C,3,FALSE)&amp;" "&amp;VLOOKUP(VLOOKUP(A1956,'Sales Order'!A:C,3,FALSE),Employee!A:B,2,FALSE),"Not Specified")</f>
        <v>Ms. Judy Lew</v>
      </c>
      <c r="I1956" t="str">
        <f>IFERROR(VLOOKUP(VLOOKUP(A1956,'Sales Order'!A:C,3,FALSE),Employee!A:J,10,FALSE),"Not Specified")</f>
        <v>WA</v>
      </c>
      <c r="J1956" t="str">
        <f>VLOOKUP(B1956,Product!A:B,2,FALSE)</f>
        <v>Product HLGZA</v>
      </c>
      <c r="K1956" t="str">
        <f>VLOOKUP(VLOOKUP(B1956,Product!A:D,4,FALSE),Category!A:B,2,FALSE)</f>
        <v>Confections</v>
      </c>
      <c r="L1956" s="24">
        <f>IFERROR(VLOOKUP(A1956,'Sales Order'!A:D,4,FALSE),"")</f>
        <v>39545</v>
      </c>
      <c r="M1956" s="24">
        <f>IFERROR(VLOOKUP(A1956,'Sales Order'!A:F,6,FALSE),"")</f>
        <v>39558</v>
      </c>
      <c r="N1956" t="str">
        <f>IFERROR(VLOOKUP(VLOOKUP(A1956,'Sales Order'!A:G,7,FALSE),Shipper!A:B,2,FALSE),"Not Specified")</f>
        <v>Shipper GVSUA</v>
      </c>
      <c r="O1956" t="str">
        <f>IFERROR(VLOOKUP(A1956,'Sales Order'!A:I,9,FALSE),"Not Specified")</f>
        <v>Ship to 50-C</v>
      </c>
      <c r="P1956" t="str">
        <f>IFERROR(VLOOKUP(A1956,'Sales Order'!A:N,14,FALSE),"Not Specified")</f>
        <v>Belgium</v>
      </c>
      <c r="Q1956" t="str">
        <f>VLOOKUP(VLOOKUP(B1956,Product!A:C,3,FALSE),Supplier!A:B,2,FALSE)</f>
        <v>Supplier ZPYVS</v>
      </c>
      <c r="R1956" t="str">
        <f>VLOOKUP(VLOOKUP(B1956,Product!A:C,3,FALSE),Supplier!A:I,9,FALSE)</f>
        <v>Germany</v>
      </c>
      <c r="S1956" t="str">
        <f>IFERROR(IF(VLOOKUP(A1956,'Sales Order'!A:H,8,FALSE)&gt;100,"High Freight","Low Freight"),"Not Specified")</f>
        <v>Low Freight</v>
      </c>
      <c r="T1956">
        <f t="shared" si="61"/>
        <v>187.38</v>
      </c>
    </row>
    <row r="1957" spans="1:20">
      <c r="A1957" s="9">
        <v>11004</v>
      </c>
      <c r="B1957" s="6">
        <v>76</v>
      </c>
      <c r="C1957" s="6">
        <v>18</v>
      </c>
      <c r="D1957" s="6">
        <v>6</v>
      </c>
      <c r="E1957" s="18">
        <v>0</v>
      </c>
      <c r="F1957" s="6" t="str">
        <f>IFERROR(VLOOKUP(VLOOKUP(A1957,'Sales Order'!A:B,2,FALSE),Customer!A:C,3,FALSE),"Not Specified")</f>
        <v>Mace, Donald</v>
      </c>
      <c r="G1957" s="6" t="str">
        <f t="shared" si="60"/>
        <v>Mace Donald</v>
      </c>
      <c r="H1957" s="22" t="str">
        <f>IFERROR(VLOOKUP(VLOOKUP(A1957,'Sales Order'!A:C,3,FALSE),Employee!A:E,5,FALSE)&amp;" "&amp;VLOOKUP(VLOOKUP(A1957,'Sales Order'!A:C,3,FALSE),Employee!A:C,3,FALSE)&amp;" "&amp;VLOOKUP(VLOOKUP(A1957,'Sales Order'!A:C,3,FALSE),Employee!A:B,2,FALSE),"Not Specified")</f>
        <v>Ms. Judy Lew</v>
      </c>
      <c r="I1957" t="str">
        <f>IFERROR(VLOOKUP(VLOOKUP(A1957,'Sales Order'!A:C,3,FALSE),Employee!A:J,10,FALSE),"Not Specified")</f>
        <v>WA</v>
      </c>
      <c r="J1957" t="str">
        <f>VLOOKUP(B1957,Product!A:B,2,FALSE)</f>
        <v>Product JYGFE</v>
      </c>
      <c r="K1957" t="str">
        <f>VLOOKUP(VLOOKUP(B1957,Product!A:D,4,FALSE),Category!A:B,2,FALSE)</f>
        <v>Beverages</v>
      </c>
      <c r="L1957" s="24">
        <f>IFERROR(VLOOKUP(A1957,'Sales Order'!A:D,4,FALSE),"")</f>
        <v>39545</v>
      </c>
      <c r="M1957" s="24">
        <f>IFERROR(VLOOKUP(A1957,'Sales Order'!A:F,6,FALSE),"")</f>
        <v>39558</v>
      </c>
      <c r="N1957" t="str">
        <f>IFERROR(VLOOKUP(VLOOKUP(A1957,'Sales Order'!A:G,7,FALSE),Shipper!A:B,2,FALSE),"Not Specified")</f>
        <v>Shipper GVSUA</v>
      </c>
      <c r="O1957" t="str">
        <f>IFERROR(VLOOKUP(A1957,'Sales Order'!A:I,9,FALSE),"Not Specified")</f>
        <v>Ship to 50-C</v>
      </c>
      <c r="P1957" t="str">
        <f>IFERROR(VLOOKUP(A1957,'Sales Order'!A:N,14,FALSE),"Not Specified")</f>
        <v>Belgium</v>
      </c>
      <c r="Q1957" t="str">
        <f>VLOOKUP(VLOOKUP(B1957,Product!A:C,3,FALSE),Supplier!A:B,2,FALSE)</f>
        <v>Supplier ELCRN</v>
      </c>
      <c r="R1957" t="str">
        <f>VLOOKUP(VLOOKUP(B1957,Product!A:C,3,FALSE),Supplier!A:I,9,FALSE)</f>
        <v>Finland</v>
      </c>
      <c r="S1957" t="str">
        <f>IFERROR(IF(VLOOKUP(A1957,'Sales Order'!A:H,8,FALSE)&gt;100,"High Freight","Low Freight"),"Not Specified")</f>
        <v>Low Freight</v>
      </c>
      <c r="T1957">
        <f t="shared" si="61"/>
        <v>108</v>
      </c>
    </row>
    <row r="1958" spans="1:20">
      <c r="A1958" s="9">
        <v>11005</v>
      </c>
      <c r="B1958" s="6">
        <v>1</v>
      </c>
      <c r="C1958" s="6">
        <v>18</v>
      </c>
      <c r="D1958" s="6">
        <v>2</v>
      </c>
      <c r="E1958" s="18">
        <v>0</v>
      </c>
      <c r="F1958" s="6" t="str">
        <f>IFERROR(VLOOKUP(VLOOKUP(A1958,'Sales Order'!A:B,2,FALSE),Customer!A:C,3,FALSE),"Not Specified")</f>
        <v>Larsson, Katarina</v>
      </c>
      <c r="G1958" s="6" t="str">
        <f t="shared" si="60"/>
        <v>Larsson Katarina</v>
      </c>
      <c r="H1958" s="22" t="str">
        <f>IFERROR(VLOOKUP(VLOOKUP(A1958,'Sales Order'!A:C,3,FALSE),Employee!A:E,5,FALSE)&amp;" "&amp;VLOOKUP(VLOOKUP(A1958,'Sales Order'!A:C,3,FALSE),Employee!A:C,3,FALSE)&amp;" "&amp;VLOOKUP(VLOOKUP(A1958,'Sales Order'!A:C,3,FALSE),Employee!A:B,2,FALSE),"Not Specified")</f>
        <v>Dr. Don Funk</v>
      </c>
      <c r="I1958" t="str">
        <f>IFERROR(VLOOKUP(VLOOKUP(A1958,'Sales Order'!A:C,3,FALSE),Employee!A:J,10,FALSE),"Not Specified")</f>
        <v>WA</v>
      </c>
      <c r="J1958" t="str">
        <f>VLOOKUP(B1958,Product!A:B,2,FALSE)</f>
        <v>Product HHYDP</v>
      </c>
      <c r="K1958" t="str">
        <f>VLOOKUP(VLOOKUP(B1958,Product!A:D,4,FALSE),Category!A:B,2,FALSE)</f>
        <v>Beverages</v>
      </c>
      <c r="L1958" s="24">
        <f>IFERROR(VLOOKUP(A1958,'Sales Order'!A:D,4,FALSE),"")</f>
        <v>39545</v>
      </c>
      <c r="M1958" s="24">
        <f>IFERROR(VLOOKUP(A1958,'Sales Order'!A:F,6,FALSE),"")</f>
        <v>39548</v>
      </c>
      <c r="N1958" t="str">
        <f>IFERROR(VLOOKUP(VLOOKUP(A1958,'Sales Order'!A:G,7,FALSE),Shipper!A:B,2,FALSE),"Not Specified")</f>
        <v>Shipper GVSUA</v>
      </c>
      <c r="O1958" t="str">
        <f>IFERROR(VLOOKUP(A1958,'Sales Order'!A:I,9,FALSE),"Not Specified")</f>
        <v>Ship to 90-A</v>
      </c>
      <c r="P1958" t="str">
        <f>IFERROR(VLOOKUP(A1958,'Sales Order'!A:N,14,FALSE),"Not Specified")</f>
        <v>Finland</v>
      </c>
      <c r="Q1958" t="str">
        <f>VLOOKUP(VLOOKUP(B1958,Product!A:C,3,FALSE),Supplier!A:B,2,FALSE)</f>
        <v>Supplier SWRXU</v>
      </c>
      <c r="R1958" t="str">
        <f>VLOOKUP(VLOOKUP(B1958,Product!A:C,3,FALSE),Supplier!A:I,9,FALSE)</f>
        <v>UK</v>
      </c>
      <c r="S1958" t="str">
        <f>IFERROR(IF(VLOOKUP(A1958,'Sales Order'!A:H,8,FALSE)&gt;100,"High Freight","Low Freight"),"Not Specified")</f>
        <v>Low Freight</v>
      </c>
      <c r="T1958">
        <f t="shared" si="61"/>
        <v>36</v>
      </c>
    </row>
    <row r="1959" spans="1:20">
      <c r="A1959" s="9">
        <v>11005</v>
      </c>
      <c r="B1959" s="6">
        <v>59</v>
      </c>
      <c r="C1959" s="6">
        <v>55</v>
      </c>
      <c r="D1959" s="6">
        <v>10</v>
      </c>
      <c r="E1959" s="18">
        <v>0</v>
      </c>
      <c r="F1959" s="6" t="str">
        <f>IFERROR(VLOOKUP(VLOOKUP(A1959,'Sales Order'!A:B,2,FALSE),Customer!A:C,3,FALSE),"Not Specified")</f>
        <v>Larsson, Katarina</v>
      </c>
      <c r="G1959" s="6" t="str">
        <f t="shared" si="60"/>
        <v>Larsson Katarina</v>
      </c>
      <c r="H1959" s="22" t="str">
        <f>IFERROR(VLOOKUP(VLOOKUP(A1959,'Sales Order'!A:C,3,FALSE),Employee!A:E,5,FALSE)&amp;" "&amp;VLOOKUP(VLOOKUP(A1959,'Sales Order'!A:C,3,FALSE),Employee!A:C,3,FALSE)&amp;" "&amp;VLOOKUP(VLOOKUP(A1959,'Sales Order'!A:C,3,FALSE),Employee!A:B,2,FALSE),"Not Specified")</f>
        <v>Dr. Don Funk</v>
      </c>
      <c r="I1959" t="str">
        <f>IFERROR(VLOOKUP(VLOOKUP(A1959,'Sales Order'!A:C,3,FALSE),Employee!A:J,10,FALSE),"Not Specified")</f>
        <v>WA</v>
      </c>
      <c r="J1959" t="str">
        <f>VLOOKUP(B1959,Product!A:B,2,FALSE)</f>
        <v>Product UKXRI</v>
      </c>
      <c r="K1959" t="str">
        <f>VLOOKUP(VLOOKUP(B1959,Product!A:D,4,FALSE),Category!A:B,2,FALSE)</f>
        <v>Dairy Product</v>
      </c>
      <c r="L1959" s="24">
        <f>IFERROR(VLOOKUP(A1959,'Sales Order'!A:D,4,FALSE),"")</f>
        <v>39545</v>
      </c>
      <c r="M1959" s="24">
        <f>IFERROR(VLOOKUP(A1959,'Sales Order'!A:F,6,FALSE),"")</f>
        <v>39548</v>
      </c>
      <c r="N1959" t="str">
        <f>IFERROR(VLOOKUP(VLOOKUP(A1959,'Sales Order'!A:G,7,FALSE),Shipper!A:B,2,FALSE),"Not Specified")</f>
        <v>Shipper GVSUA</v>
      </c>
      <c r="O1959" t="str">
        <f>IFERROR(VLOOKUP(A1959,'Sales Order'!A:I,9,FALSE),"Not Specified")</f>
        <v>Ship to 90-A</v>
      </c>
      <c r="P1959" t="str">
        <f>IFERROR(VLOOKUP(A1959,'Sales Order'!A:N,14,FALSE),"Not Specified")</f>
        <v>Finland</v>
      </c>
      <c r="Q1959" t="str">
        <f>VLOOKUP(VLOOKUP(B1959,Product!A:C,3,FALSE),Supplier!A:B,2,FALSE)</f>
        <v>Supplier OAVQT</v>
      </c>
      <c r="R1959" t="str">
        <f>VLOOKUP(VLOOKUP(B1959,Product!A:C,3,FALSE),Supplier!A:I,9,FALSE)</f>
        <v>France</v>
      </c>
      <c r="S1959" t="str">
        <f>IFERROR(IF(VLOOKUP(A1959,'Sales Order'!A:H,8,FALSE)&gt;100,"High Freight","Low Freight"),"Not Specified")</f>
        <v>Low Freight</v>
      </c>
      <c r="T1959">
        <f t="shared" si="61"/>
        <v>550</v>
      </c>
    </row>
    <row r="1960" spans="1:20">
      <c r="A1960" s="9">
        <v>11006</v>
      </c>
      <c r="B1960" s="6">
        <v>1</v>
      </c>
      <c r="C1960" s="6">
        <v>18</v>
      </c>
      <c r="D1960" s="6">
        <v>8</v>
      </c>
      <c r="E1960" s="18">
        <v>0</v>
      </c>
      <c r="F1960" s="6" t="str">
        <f>IFERROR(VLOOKUP(VLOOKUP(A1960,'Sales Order'!A:B,2,FALSE),Customer!A:C,3,FALSE),"Not Specified")</f>
        <v>Krishnan, Venky</v>
      </c>
      <c r="G1960" s="6" t="str">
        <f t="shared" si="60"/>
        <v>Krishnan Venky</v>
      </c>
      <c r="H1960" s="22" t="str">
        <f>IFERROR(VLOOKUP(VLOOKUP(A1960,'Sales Order'!A:C,3,FALSE),Employee!A:E,5,FALSE)&amp;" "&amp;VLOOKUP(VLOOKUP(A1960,'Sales Order'!A:C,3,FALSE),Employee!A:C,3,FALSE)&amp;" "&amp;VLOOKUP(VLOOKUP(A1960,'Sales Order'!A:C,3,FALSE),Employee!A:B,2,FALSE),"Not Specified")</f>
        <v>Ms. Judy Lew</v>
      </c>
      <c r="I1960" t="str">
        <f>IFERROR(VLOOKUP(VLOOKUP(A1960,'Sales Order'!A:C,3,FALSE),Employee!A:J,10,FALSE),"Not Specified")</f>
        <v>WA</v>
      </c>
      <c r="J1960" t="str">
        <f>VLOOKUP(B1960,Product!A:B,2,FALSE)</f>
        <v>Product HHYDP</v>
      </c>
      <c r="K1960" t="str">
        <f>VLOOKUP(VLOOKUP(B1960,Product!A:D,4,FALSE),Category!A:B,2,FALSE)</f>
        <v>Beverages</v>
      </c>
      <c r="L1960" s="24">
        <f>IFERROR(VLOOKUP(A1960,'Sales Order'!A:D,4,FALSE),"")</f>
        <v>39545</v>
      </c>
      <c r="M1960" s="24">
        <f>IFERROR(VLOOKUP(A1960,'Sales Order'!A:F,6,FALSE),"")</f>
        <v>39553</v>
      </c>
      <c r="N1960" t="str">
        <f>IFERROR(VLOOKUP(VLOOKUP(A1960,'Sales Order'!A:G,7,FALSE),Shipper!A:B,2,FALSE),"Not Specified")</f>
        <v>Shipper ETYNR</v>
      </c>
      <c r="O1960" t="str">
        <f>IFERROR(VLOOKUP(A1960,'Sales Order'!A:I,9,FALSE),"Not Specified")</f>
        <v>Destination LLUXZ</v>
      </c>
      <c r="P1960" t="str">
        <f>IFERROR(VLOOKUP(A1960,'Sales Order'!A:N,14,FALSE),"Not Specified")</f>
        <v>USA</v>
      </c>
      <c r="Q1960" t="str">
        <f>VLOOKUP(VLOOKUP(B1960,Product!A:C,3,FALSE),Supplier!A:B,2,FALSE)</f>
        <v>Supplier SWRXU</v>
      </c>
      <c r="R1960" t="str">
        <f>VLOOKUP(VLOOKUP(B1960,Product!A:C,3,FALSE),Supplier!A:I,9,FALSE)</f>
        <v>UK</v>
      </c>
      <c r="S1960" t="str">
        <f>IFERROR(IF(VLOOKUP(A1960,'Sales Order'!A:H,8,FALSE)&gt;100,"High Freight","Low Freight"),"Not Specified")</f>
        <v>Low Freight</v>
      </c>
      <c r="T1960">
        <f t="shared" si="61"/>
        <v>144</v>
      </c>
    </row>
    <row r="1961" spans="1:20">
      <c r="A1961" s="9">
        <v>11006</v>
      </c>
      <c r="B1961" s="6">
        <v>29</v>
      </c>
      <c r="C1961" s="6">
        <v>123.79</v>
      </c>
      <c r="D1961" s="6">
        <v>2</v>
      </c>
      <c r="E1961" s="18">
        <v>0.25</v>
      </c>
      <c r="F1961" s="6" t="str">
        <f>IFERROR(VLOOKUP(VLOOKUP(A1961,'Sales Order'!A:B,2,FALSE),Customer!A:C,3,FALSE),"Not Specified")</f>
        <v>Krishnan, Venky</v>
      </c>
      <c r="G1961" s="6" t="str">
        <f t="shared" si="60"/>
        <v>Krishnan Venky</v>
      </c>
      <c r="H1961" s="22" t="str">
        <f>IFERROR(VLOOKUP(VLOOKUP(A1961,'Sales Order'!A:C,3,FALSE),Employee!A:E,5,FALSE)&amp;" "&amp;VLOOKUP(VLOOKUP(A1961,'Sales Order'!A:C,3,FALSE),Employee!A:C,3,FALSE)&amp;" "&amp;VLOOKUP(VLOOKUP(A1961,'Sales Order'!A:C,3,FALSE),Employee!A:B,2,FALSE),"Not Specified")</f>
        <v>Ms. Judy Lew</v>
      </c>
      <c r="I1961" t="str">
        <f>IFERROR(VLOOKUP(VLOOKUP(A1961,'Sales Order'!A:C,3,FALSE),Employee!A:J,10,FALSE),"Not Specified")</f>
        <v>WA</v>
      </c>
      <c r="J1961" t="str">
        <f>VLOOKUP(B1961,Product!A:B,2,FALSE)</f>
        <v>Product VJXYN</v>
      </c>
      <c r="K1961" t="str">
        <f>VLOOKUP(VLOOKUP(B1961,Product!A:D,4,FALSE),Category!A:B,2,FALSE)</f>
        <v>Meat/Poultry</v>
      </c>
      <c r="L1961" s="24">
        <f>IFERROR(VLOOKUP(A1961,'Sales Order'!A:D,4,FALSE),"")</f>
        <v>39545</v>
      </c>
      <c r="M1961" s="24">
        <f>IFERROR(VLOOKUP(A1961,'Sales Order'!A:F,6,FALSE),"")</f>
        <v>39553</v>
      </c>
      <c r="N1961" t="str">
        <f>IFERROR(VLOOKUP(VLOOKUP(A1961,'Sales Order'!A:G,7,FALSE),Shipper!A:B,2,FALSE),"Not Specified")</f>
        <v>Shipper ETYNR</v>
      </c>
      <c r="O1961" t="str">
        <f>IFERROR(VLOOKUP(A1961,'Sales Order'!A:I,9,FALSE),"Not Specified")</f>
        <v>Destination LLUXZ</v>
      </c>
      <c r="P1961" t="str">
        <f>IFERROR(VLOOKUP(A1961,'Sales Order'!A:N,14,FALSE),"Not Specified")</f>
        <v>USA</v>
      </c>
      <c r="Q1961" t="str">
        <f>VLOOKUP(VLOOKUP(B1961,Product!A:C,3,FALSE),Supplier!A:B,2,FALSE)</f>
        <v>Supplier SVIYA</v>
      </c>
      <c r="R1961" t="str">
        <f>VLOOKUP(VLOOKUP(B1961,Product!A:C,3,FALSE),Supplier!A:I,9,FALSE)</f>
        <v>Germany</v>
      </c>
      <c r="S1961" t="str">
        <f>IFERROR(IF(VLOOKUP(A1961,'Sales Order'!A:H,8,FALSE)&gt;100,"High Freight","Low Freight"),"Not Specified")</f>
        <v>Low Freight</v>
      </c>
      <c r="T1961">
        <f t="shared" si="61"/>
        <v>185.685</v>
      </c>
    </row>
    <row r="1962" spans="1:20">
      <c r="A1962" s="9">
        <v>11007</v>
      </c>
      <c r="B1962" s="6">
        <v>8</v>
      </c>
      <c r="C1962" s="6">
        <v>40</v>
      </c>
      <c r="D1962" s="6">
        <v>30</v>
      </c>
      <c r="E1962" s="18">
        <v>0</v>
      </c>
      <c r="F1962" s="6" t="str">
        <f>IFERROR(VLOOKUP(VLOOKUP(A1962,'Sales Order'!A:B,2,FALSE),Customer!A:C,3,FALSE),"Not Specified")</f>
        <v>Uppal, Sunil</v>
      </c>
      <c r="G1962" s="6" t="str">
        <f t="shared" si="60"/>
        <v>Uppal Sunil</v>
      </c>
      <c r="H1962" s="22" t="str">
        <f>IFERROR(VLOOKUP(VLOOKUP(A1962,'Sales Order'!A:C,3,FALSE),Employee!A:E,5,FALSE)&amp;" "&amp;VLOOKUP(VLOOKUP(A1962,'Sales Order'!A:C,3,FALSE),Employee!A:C,3,FALSE)&amp;" "&amp;VLOOKUP(VLOOKUP(A1962,'Sales Order'!A:C,3,FALSE),Employee!A:B,2,FALSE),"Not Specified")</f>
        <v>Ms. Maria Cameron</v>
      </c>
      <c r="I1962" t="str">
        <f>IFERROR(VLOOKUP(VLOOKUP(A1962,'Sales Order'!A:C,3,FALSE),Employee!A:J,10,FALSE),"Not Specified")</f>
        <v>WA</v>
      </c>
      <c r="J1962" t="str">
        <f>VLOOKUP(B1962,Product!A:B,2,FALSE)</f>
        <v>Product WVJFP</v>
      </c>
      <c r="K1962" t="str">
        <f>VLOOKUP(VLOOKUP(B1962,Product!A:D,4,FALSE),Category!A:B,2,FALSE)</f>
        <v>Condiments</v>
      </c>
      <c r="L1962" s="24">
        <f>IFERROR(VLOOKUP(A1962,'Sales Order'!A:D,4,FALSE),"")</f>
        <v>39546</v>
      </c>
      <c r="M1962" s="24">
        <f>IFERROR(VLOOKUP(A1962,'Sales Order'!A:F,6,FALSE),"")</f>
        <v>39551</v>
      </c>
      <c r="N1962" t="str">
        <f>IFERROR(VLOOKUP(VLOOKUP(A1962,'Sales Order'!A:G,7,FALSE),Shipper!A:B,2,FALSE),"Not Specified")</f>
        <v>Shipper ETYNR</v>
      </c>
      <c r="O1962" t="str">
        <f>IFERROR(VLOOKUP(A1962,'Sales Order'!A:I,9,FALSE),"Not Specified")</f>
        <v>Ship to 60-C</v>
      </c>
      <c r="P1962" t="str">
        <f>IFERROR(VLOOKUP(A1962,'Sales Order'!A:N,14,FALSE),"Not Specified")</f>
        <v>Portugal</v>
      </c>
      <c r="Q1962" t="str">
        <f>VLOOKUP(VLOOKUP(B1962,Product!A:C,3,FALSE),Supplier!A:B,2,FALSE)</f>
        <v>Supplier STUAZ</v>
      </c>
      <c r="R1962" t="str">
        <f>VLOOKUP(VLOOKUP(B1962,Product!A:C,3,FALSE),Supplier!A:I,9,FALSE)</f>
        <v>USA</v>
      </c>
      <c r="S1962" t="str">
        <f>IFERROR(IF(VLOOKUP(A1962,'Sales Order'!A:H,8,FALSE)&gt;100,"High Freight","Low Freight"),"Not Specified")</f>
        <v>High Freight</v>
      </c>
      <c r="T1962">
        <f t="shared" si="61"/>
        <v>1200</v>
      </c>
    </row>
    <row r="1963" spans="1:20">
      <c r="A1963" s="9">
        <v>11007</v>
      </c>
      <c r="B1963" s="6">
        <v>29</v>
      </c>
      <c r="C1963" s="6">
        <v>123.79</v>
      </c>
      <c r="D1963" s="6">
        <v>10</v>
      </c>
      <c r="E1963" s="18">
        <v>0</v>
      </c>
      <c r="F1963" s="6" t="str">
        <f>IFERROR(VLOOKUP(VLOOKUP(A1963,'Sales Order'!A:B,2,FALSE),Customer!A:C,3,FALSE),"Not Specified")</f>
        <v>Uppal, Sunil</v>
      </c>
      <c r="G1963" s="6" t="str">
        <f t="shared" si="60"/>
        <v>Uppal Sunil</v>
      </c>
      <c r="H1963" s="22" t="str">
        <f>IFERROR(VLOOKUP(VLOOKUP(A1963,'Sales Order'!A:C,3,FALSE),Employee!A:E,5,FALSE)&amp;" "&amp;VLOOKUP(VLOOKUP(A1963,'Sales Order'!A:C,3,FALSE),Employee!A:C,3,FALSE)&amp;" "&amp;VLOOKUP(VLOOKUP(A1963,'Sales Order'!A:C,3,FALSE),Employee!A:B,2,FALSE),"Not Specified")</f>
        <v>Ms. Maria Cameron</v>
      </c>
      <c r="I1963" t="str">
        <f>IFERROR(VLOOKUP(VLOOKUP(A1963,'Sales Order'!A:C,3,FALSE),Employee!A:J,10,FALSE),"Not Specified")</f>
        <v>WA</v>
      </c>
      <c r="J1963" t="str">
        <f>VLOOKUP(B1963,Product!A:B,2,FALSE)</f>
        <v>Product VJXYN</v>
      </c>
      <c r="K1963" t="str">
        <f>VLOOKUP(VLOOKUP(B1963,Product!A:D,4,FALSE),Category!A:B,2,FALSE)</f>
        <v>Meat/Poultry</v>
      </c>
      <c r="L1963" s="24">
        <f>IFERROR(VLOOKUP(A1963,'Sales Order'!A:D,4,FALSE),"")</f>
        <v>39546</v>
      </c>
      <c r="M1963" s="24">
        <f>IFERROR(VLOOKUP(A1963,'Sales Order'!A:F,6,FALSE),"")</f>
        <v>39551</v>
      </c>
      <c r="N1963" t="str">
        <f>IFERROR(VLOOKUP(VLOOKUP(A1963,'Sales Order'!A:G,7,FALSE),Shipper!A:B,2,FALSE),"Not Specified")</f>
        <v>Shipper ETYNR</v>
      </c>
      <c r="O1963" t="str">
        <f>IFERROR(VLOOKUP(A1963,'Sales Order'!A:I,9,FALSE),"Not Specified")</f>
        <v>Ship to 60-C</v>
      </c>
      <c r="P1963" t="str">
        <f>IFERROR(VLOOKUP(A1963,'Sales Order'!A:N,14,FALSE),"Not Specified")</f>
        <v>Portugal</v>
      </c>
      <c r="Q1963" t="str">
        <f>VLOOKUP(VLOOKUP(B1963,Product!A:C,3,FALSE),Supplier!A:B,2,FALSE)</f>
        <v>Supplier SVIYA</v>
      </c>
      <c r="R1963" t="str">
        <f>VLOOKUP(VLOOKUP(B1963,Product!A:C,3,FALSE),Supplier!A:I,9,FALSE)</f>
        <v>Germany</v>
      </c>
      <c r="S1963" t="str">
        <f>IFERROR(IF(VLOOKUP(A1963,'Sales Order'!A:H,8,FALSE)&gt;100,"High Freight","Low Freight"),"Not Specified")</f>
        <v>High Freight</v>
      </c>
      <c r="T1963">
        <f t="shared" si="61"/>
        <v>1237.9000000000001</v>
      </c>
    </row>
    <row r="1964" spans="1:20">
      <c r="A1964" s="9">
        <v>11007</v>
      </c>
      <c r="B1964" s="6">
        <v>42</v>
      </c>
      <c r="C1964" s="6">
        <v>14</v>
      </c>
      <c r="D1964" s="6">
        <v>14</v>
      </c>
      <c r="E1964" s="18">
        <v>0</v>
      </c>
      <c r="F1964" s="6" t="str">
        <f>IFERROR(VLOOKUP(VLOOKUP(A1964,'Sales Order'!A:B,2,FALSE),Customer!A:C,3,FALSE),"Not Specified")</f>
        <v>Uppal, Sunil</v>
      </c>
      <c r="G1964" s="6" t="str">
        <f t="shared" si="60"/>
        <v>Uppal Sunil</v>
      </c>
      <c r="H1964" s="22" t="str">
        <f>IFERROR(VLOOKUP(VLOOKUP(A1964,'Sales Order'!A:C,3,FALSE),Employee!A:E,5,FALSE)&amp;" "&amp;VLOOKUP(VLOOKUP(A1964,'Sales Order'!A:C,3,FALSE),Employee!A:C,3,FALSE)&amp;" "&amp;VLOOKUP(VLOOKUP(A1964,'Sales Order'!A:C,3,FALSE),Employee!A:B,2,FALSE),"Not Specified")</f>
        <v>Ms. Maria Cameron</v>
      </c>
      <c r="I1964" t="str">
        <f>IFERROR(VLOOKUP(VLOOKUP(A1964,'Sales Order'!A:C,3,FALSE),Employee!A:J,10,FALSE),"Not Specified")</f>
        <v>WA</v>
      </c>
      <c r="J1964" t="str">
        <f>VLOOKUP(B1964,Product!A:B,2,FALSE)</f>
        <v>Product RJVNM</v>
      </c>
      <c r="K1964" t="str">
        <f>VLOOKUP(VLOOKUP(B1964,Product!A:D,4,FALSE),Category!A:B,2,FALSE)</f>
        <v>Grains/Cereals</v>
      </c>
      <c r="L1964" s="24">
        <f>IFERROR(VLOOKUP(A1964,'Sales Order'!A:D,4,FALSE),"")</f>
        <v>39546</v>
      </c>
      <c r="M1964" s="24">
        <f>IFERROR(VLOOKUP(A1964,'Sales Order'!A:F,6,FALSE),"")</f>
        <v>39551</v>
      </c>
      <c r="N1964" t="str">
        <f>IFERROR(VLOOKUP(VLOOKUP(A1964,'Sales Order'!A:G,7,FALSE),Shipper!A:B,2,FALSE),"Not Specified")</f>
        <v>Shipper ETYNR</v>
      </c>
      <c r="O1964" t="str">
        <f>IFERROR(VLOOKUP(A1964,'Sales Order'!A:I,9,FALSE),"Not Specified")</f>
        <v>Ship to 60-C</v>
      </c>
      <c r="P1964" t="str">
        <f>IFERROR(VLOOKUP(A1964,'Sales Order'!A:N,14,FALSE),"Not Specified")</f>
        <v>Portugal</v>
      </c>
      <c r="Q1964" t="str">
        <f>VLOOKUP(VLOOKUP(B1964,Product!A:C,3,FALSE),Supplier!A:B,2,FALSE)</f>
        <v>Supplier CIYNM</v>
      </c>
      <c r="R1964" t="str">
        <f>VLOOKUP(VLOOKUP(B1964,Product!A:C,3,FALSE),Supplier!A:I,9,FALSE)</f>
        <v>Singapore</v>
      </c>
      <c r="S1964" t="str">
        <f>IFERROR(IF(VLOOKUP(A1964,'Sales Order'!A:H,8,FALSE)&gt;100,"High Freight","Low Freight"),"Not Specified")</f>
        <v>High Freight</v>
      </c>
      <c r="T1964">
        <f t="shared" si="61"/>
        <v>196</v>
      </c>
    </row>
    <row r="1965" spans="1:20">
      <c r="A1965" s="9">
        <v>11008</v>
      </c>
      <c r="B1965" s="6">
        <v>28</v>
      </c>
      <c r="C1965" s="6">
        <v>45.6</v>
      </c>
      <c r="D1965" s="6">
        <v>70</v>
      </c>
      <c r="E1965" s="18">
        <v>0.05</v>
      </c>
      <c r="F1965" s="6" t="str">
        <f>IFERROR(VLOOKUP(VLOOKUP(A1965,'Sales Order'!A:B,2,FALSE),Customer!A:C,3,FALSE),"Not Specified")</f>
        <v>Kane, John</v>
      </c>
      <c r="G1965" s="6" t="str">
        <f t="shared" si="60"/>
        <v>Kane John</v>
      </c>
      <c r="H1965" s="22" t="str">
        <f>IFERROR(VLOOKUP(VLOOKUP(A1965,'Sales Order'!A:C,3,FALSE),Employee!A:E,5,FALSE)&amp;" "&amp;VLOOKUP(VLOOKUP(A1965,'Sales Order'!A:C,3,FALSE),Employee!A:C,3,FALSE)&amp;" "&amp;VLOOKUP(VLOOKUP(A1965,'Sales Order'!A:C,3,FALSE),Employee!A:B,2,FALSE),"Not Specified")</f>
        <v>Mr. Russell King</v>
      </c>
      <c r="I1965">
        <f>IFERROR(VLOOKUP(VLOOKUP(A1965,'Sales Order'!A:C,3,FALSE),Employee!A:J,10,FALSE),"Not Specified")</f>
        <v>0</v>
      </c>
      <c r="J1965" t="str">
        <f>VLOOKUP(B1965,Product!A:B,2,FALSE)</f>
        <v>Product OFBNT</v>
      </c>
      <c r="K1965" t="str">
        <f>VLOOKUP(VLOOKUP(B1965,Product!A:D,4,FALSE),Category!A:B,2,FALSE)</f>
        <v>Produce</v>
      </c>
      <c r="L1965" s="24">
        <f>IFERROR(VLOOKUP(A1965,'Sales Order'!A:D,4,FALSE),"")</f>
        <v>39546</v>
      </c>
      <c r="M1965" s="24">
        <f>IFERROR(VLOOKUP(A1965,'Sales Order'!A:F,6,FALSE),"")</f>
        <v>0</v>
      </c>
      <c r="N1965" t="str">
        <f>IFERROR(VLOOKUP(VLOOKUP(A1965,'Sales Order'!A:G,7,FALSE),Shipper!A:B,2,FALSE),"Not Specified")</f>
        <v>Shipper ZHISN</v>
      </c>
      <c r="O1965" t="str">
        <f>IFERROR(VLOOKUP(A1965,'Sales Order'!A:I,9,FALSE),"Not Specified")</f>
        <v>Destination CUVPF</v>
      </c>
      <c r="P1965" t="str">
        <f>IFERROR(VLOOKUP(A1965,'Sales Order'!A:N,14,FALSE),"Not Specified")</f>
        <v>Austria</v>
      </c>
      <c r="Q1965" t="str">
        <f>VLOOKUP(VLOOKUP(B1965,Product!A:C,3,FALSE),Supplier!A:B,2,FALSE)</f>
        <v>Supplier SVIYA</v>
      </c>
      <c r="R1965" t="str">
        <f>VLOOKUP(VLOOKUP(B1965,Product!A:C,3,FALSE),Supplier!A:I,9,FALSE)</f>
        <v>Germany</v>
      </c>
      <c r="S1965" t="str">
        <f>IFERROR(IF(VLOOKUP(A1965,'Sales Order'!A:H,8,FALSE)&gt;100,"High Freight","Low Freight"),"Not Specified")</f>
        <v>Low Freight</v>
      </c>
      <c r="T1965">
        <f t="shared" si="61"/>
        <v>3032.3999999999996</v>
      </c>
    </row>
    <row r="1966" spans="1:20">
      <c r="A1966" s="9">
        <v>11008</v>
      </c>
      <c r="B1966" s="6">
        <v>34</v>
      </c>
      <c r="C1966" s="6">
        <v>14</v>
      </c>
      <c r="D1966" s="6">
        <v>90</v>
      </c>
      <c r="E1966" s="18">
        <v>0.05</v>
      </c>
      <c r="F1966" s="6" t="str">
        <f>IFERROR(VLOOKUP(VLOOKUP(A1966,'Sales Order'!A:B,2,FALSE),Customer!A:C,3,FALSE),"Not Specified")</f>
        <v>Kane, John</v>
      </c>
      <c r="G1966" s="6" t="str">
        <f t="shared" si="60"/>
        <v>Kane John</v>
      </c>
      <c r="H1966" s="22" t="str">
        <f>IFERROR(VLOOKUP(VLOOKUP(A1966,'Sales Order'!A:C,3,FALSE),Employee!A:E,5,FALSE)&amp;" "&amp;VLOOKUP(VLOOKUP(A1966,'Sales Order'!A:C,3,FALSE),Employee!A:C,3,FALSE)&amp;" "&amp;VLOOKUP(VLOOKUP(A1966,'Sales Order'!A:C,3,FALSE),Employee!A:B,2,FALSE),"Not Specified")</f>
        <v>Mr. Russell King</v>
      </c>
      <c r="I1966">
        <f>IFERROR(VLOOKUP(VLOOKUP(A1966,'Sales Order'!A:C,3,FALSE),Employee!A:J,10,FALSE),"Not Specified")</f>
        <v>0</v>
      </c>
      <c r="J1966" t="str">
        <f>VLOOKUP(B1966,Product!A:B,2,FALSE)</f>
        <v>Product SWNJY</v>
      </c>
      <c r="K1966" t="str">
        <f>VLOOKUP(VLOOKUP(B1966,Product!A:D,4,FALSE),Category!A:B,2,FALSE)</f>
        <v>Beverages</v>
      </c>
      <c r="L1966" s="24">
        <f>IFERROR(VLOOKUP(A1966,'Sales Order'!A:D,4,FALSE),"")</f>
        <v>39546</v>
      </c>
      <c r="M1966" s="24">
        <f>IFERROR(VLOOKUP(A1966,'Sales Order'!A:F,6,FALSE),"")</f>
        <v>0</v>
      </c>
      <c r="N1966" t="str">
        <f>IFERROR(VLOOKUP(VLOOKUP(A1966,'Sales Order'!A:G,7,FALSE),Shipper!A:B,2,FALSE),"Not Specified")</f>
        <v>Shipper ZHISN</v>
      </c>
      <c r="O1966" t="str">
        <f>IFERROR(VLOOKUP(A1966,'Sales Order'!A:I,9,FALSE),"Not Specified")</f>
        <v>Destination CUVPF</v>
      </c>
      <c r="P1966" t="str">
        <f>IFERROR(VLOOKUP(A1966,'Sales Order'!A:N,14,FALSE),"Not Specified")</f>
        <v>Austria</v>
      </c>
      <c r="Q1966" t="str">
        <f>VLOOKUP(VLOOKUP(B1966,Product!A:C,3,FALSE),Supplier!A:B,2,FALSE)</f>
        <v>Supplier UHZRG</v>
      </c>
      <c r="R1966" t="str">
        <f>VLOOKUP(VLOOKUP(B1966,Product!A:C,3,FALSE),Supplier!A:I,9,FALSE)</f>
        <v>USA</v>
      </c>
      <c r="S1966" t="str">
        <f>IFERROR(IF(VLOOKUP(A1966,'Sales Order'!A:H,8,FALSE)&gt;100,"High Freight","Low Freight"),"Not Specified")</f>
        <v>Low Freight</v>
      </c>
      <c r="T1966">
        <f t="shared" si="61"/>
        <v>1197</v>
      </c>
    </row>
    <row r="1967" spans="1:20">
      <c r="A1967" s="9">
        <v>11008</v>
      </c>
      <c r="B1967" s="6">
        <v>71</v>
      </c>
      <c r="C1967" s="6">
        <v>21.5</v>
      </c>
      <c r="D1967" s="6">
        <v>21</v>
      </c>
      <c r="E1967" s="18">
        <v>0</v>
      </c>
      <c r="F1967" s="6" t="str">
        <f>IFERROR(VLOOKUP(VLOOKUP(A1967,'Sales Order'!A:B,2,FALSE),Customer!A:C,3,FALSE),"Not Specified")</f>
        <v>Kane, John</v>
      </c>
      <c r="G1967" s="6" t="str">
        <f t="shared" si="60"/>
        <v>Kane John</v>
      </c>
      <c r="H1967" s="22" t="str">
        <f>IFERROR(VLOOKUP(VLOOKUP(A1967,'Sales Order'!A:C,3,FALSE),Employee!A:E,5,FALSE)&amp;" "&amp;VLOOKUP(VLOOKUP(A1967,'Sales Order'!A:C,3,FALSE),Employee!A:C,3,FALSE)&amp;" "&amp;VLOOKUP(VLOOKUP(A1967,'Sales Order'!A:C,3,FALSE),Employee!A:B,2,FALSE),"Not Specified")</f>
        <v>Mr. Russell King</v>
      </c>
      <c r="I1967">
        <f>IFERROR(VLOOKUP(VLOOKUP(A1967,'Sales Order'!A:C,3,FALSE),Employee!A:J,10,FALSE),"Not Specified")</f>
        <v>0</v>
      </c>
      <c r="J1967" t="str">
        <f>VLOOKUP(B1967,Product!A:B,2,FALSE)</f>
        <v>Product MYMOI</v>
      </c>
      <c r="K1967" t="str">
        <f>VLOOKUP(VLOOKUP(B1967,Product!A:D,4,FALSE),Category!A:B,2,FALSE)</f>
        <v>Dairy Product</v>
      </c>
      <c r="L1967" s="24">
        <f>IFERROR(VLOOKUP(A1967,'Sales Order'!A:D,4,FALSE),"")</f>
        <v>39546</v>
      </c>
      <c r="M1967" s="24">
        <f>IFERROR(VLOOKUP(A1967,'Sales Order'!A:F,6,FALSE),"")</f>
        <v>0</v>
      </c>
      <c r="N1967" t="str">
        <f>IFERROR(VLOOKUP(VLOOKUP(A1967,'Sales Order'!A:G,7,FALSE),Shipper!A:B,2,FALSE),"Not Specified")</f>
        <v>Shipper ZHISN</v>
      </c>
      <c r="O1967" t="str">
        <f>IFERROR(VLOOKUP(A1967,'Sales Order'!A:I,9,FALSE),"Not Specified")</f>
        <v>Destination CUVPF</v>
      </c>
      <c r="P1967" t="str">
        <f>IFERROR(VLOOKUP(A1967,'Sales Order'!A:N,14,FALSE),"Not Specified")</f>
        <v>Austria</v>
      </c>
      <c r="Q1967" t="str">
        <f>VLOOKUP(VLOOKUP(B1967,Product!A:C,3,FALSE),Supplier!A:B,2,FALSE)</f>
        <v>Supplier NZLIF</v>
      </c>
      <c r="R1967" t="str">
        <f>VLOOKUP(VLOOKUP(B1967,Product!A:C,3,FALSE),Supplier!A:I,9,FALSE)</f>
        <v>Norway</v>
      </c>
      <c r="S1967" t="str">
        <f>IFERROR(IF(VLOOKUP(A1967,'Sales Order'!A:H,8,FALSE)&gt;100,"High Freight","Low Freight"),"Not Specified")</f>
        <v>Low Freight</v>
      </c>
      <c r="T1967">
        <f t="shared" si="61"/>
        <v>451.5</v>
      </c>
    </row>
    <row r="1968" spans="1:20">
      <c r="A1968" s="9">
        <v>11009</v>
      </c>
      <c r="B1968" s="6">
        <v>24</v>
      </c>
      <c r="C1968" s="6">
        <v>4.5</v>
      </c>
      <c r="D1968" s="6">
        <v>12</v>
      </c>
      <c r="E1968" s="18">
        <v>0</v>
      </c>
      <c r="F1968" s="6" t="str">
        <f>IFERROR(VLOOKUP(VLOOKUP(A1968,'Sales Order'!A:B,2,FALSE),Customer!A:C,3,FALSE),"Not Specified")</f>
        <v>Shabalin, Rostislav</v>
      </c>
      <c r="G1968" s="6" t="str">
        <f t="shared" si="60"/>
        <v>Shabalin Rostislav</v>
      </c>
      <c r="H1968" s="22" t="str">
        <f>IFERROR(VLOOKUP(VLOOKUP(A1968,'Sales Order'!A:C,3,FALSE),Employee!A:E,5,FALSE)&amp;" "&amp;VLOOKUP(VLOOKUP(A1968,'Sales Order'!A:C,3,FALSE),Employee!A:C,3,FALSE)&amp;" "&amp;VLOOKUP(VLOOKUP(A1968,'Sales Order'!A:C,3,FALSE),Employee!A:B,2,FALSE),"Not Specified")</f>
        <v>Dr. Don Funk</v>
      </c>
      <c r="I1968" t="str">
        <f>IFERROR(VLOOKUP(VLOOKUP(A1968,'Sales Order'!A:C,3,FALSE),Employee!A:J,10,FALSE),"Not Specified")</f>
        <v>WA</v>
      </c>
      <c r="J1968" t="str">
        <f>VLOOKUP(B1968,Product!A:B,2,FALSE)</f>
        <v>Product QOGNU</v>
      </c>
      <c r="K1968" t="str">
        <f>VLOOKUP(VLOOKUP(B1968,Product!A:D,4,FALSE),Category!A:B,2,FALSE)</f>
        <v>Beverages</v>
      </c>
      <c r="L1968" s="24">
        <f>IFERROR(VLOOKUP(A1968,'Sales Order'!A:D,4,FALSE),"")</f>
        <v>39546</v>
      </c>
      <c r="M1968" s="24">
        <f>IFERROR(VLOOKUP(A1968,'Sales Order'!A:F,6,FALSE),"")</f>
        <v>39548</v>
      </c>
      <c r="N1968" t="str">
        <f>IFERROR(VLOOKUP(VLOOKUP(A1968,'Sales Order'!A:G,7,FALSE),Shipper!A:B,2,FALSE),"Not Specified")</f>
        <v>Shipper GVSUA</v>
      </c>
      <c r="O1968" t="str">
        <f>IFERROR(VLOOKUP(A1968,'Sales Order'!A:I,9,FALSE),"Not Specified")</f>
        <v>Destination WVLDH</v>
      </c>
      <c r="P1968" t="str">
        <f>IFERROR(VLOOKUP(A1968,'Sales Order'!A:N,14,FALSE),"Not Specified")</f>
        <v>Spain</v>
      </c>
      <c r="Q1968" t="str">
        <f>VLOOKUP(VLOOKUP(B1968,Product!A:C,3,FALSE),Supplier!A:B,2,FALSE)</f>
        <v>Supplier UNAHG</v>
      </c>
      <c r="R1968" t="str">
        <f>VLOOKUP(VLOOKUP(B1968,Product!A:C,3,FALSE),Supplier!A:I,9,FALSE)</f>
        <v>Brazil</v>
      </c>
      <c r="S1968" t="str">
        <f>IFERROR(IF(VLOOKUP(A1968,'Sales Order'!A:H,8,FALSE)&gt;100,"High Freight","Low Freight"),"Not Specified")</f>
        <v>Low Freight</v>
      </c>
      <c r="T1968">
        <f t="shared" si="61"/>
        <v>54</v>
      </c>
    </row>
    <row r="1969" spans="1:20">
      <c r="A1969" s="9">
        <v>11009</v>
      </c>
      <c r="B1969" s="6">
        <v>36</v>
      </c>
      <c r="C1969" s="6">
        <v>19</v>
      </c>
      <c r="D1969" s="6">
        <v>18</v>
      </c>
      <c r="E1969" s="18">
        <v>0.25</v>
      </c>
      <c r="F1969" s="6" t="str">
        <f>IFERROR(VLOOKUP(VLOOKUP(A1969,'Sales Order'!A:B,2,FALSE),Customer!A:C,3,FALSE),"Not Specified")</f>
        <v>Shabalin, Rostislav</v>
      </c>
      <c r="G1969" s="6" t="str">
        <f t="shared" si="60"/>
        <v>Shabalin Rostislav</v>
      </c>
      <c r="H1969" s="22" t="str">
        <f>IFERROR(VLOOKUP(VLOOKUP(A1969,'Sales Order'!A:C,3,FALSE),Employee!A:E,5,FALSE)&amp;" "&amp;VLOOKUP(VLOOKUP(A1969,'Sales Order'!A:C,3,FALSE),Employee!A:C,3,FALSE)&amp;" "&amp;VLOOKUP(VLOOKUP(A1969,'Sales Order'!A:C,3,FALSE),Employee!A:B,2,FALSE),"Not Specified")</f>
        <v>Dr. Don Funk</v>
      </c>
      <c r="I1969" t="str">
        <f>IFERROR(VLOOKUP(VLOOKUP(A1969,'Sales Order'!A:C,3,FALSE),Employee!A:J,10,FALSE),"Not Specified")</f>
        <v>WA</v>
      </c>
      <c r="J1969" t="str">
        <f>VLOOKUP(B1969,Product!A:B,2,FALSE)</f>
        <v>Product GMKIJ</v>
      </c>
      <c r="K1969" t="str">
        <f>VLOOKUP(VLOOKUP(B1969,Product!A:D,4,FALSE),Category!A:B,2,FALSE)</f>
        <v>Seafood</v>
      </c>
      <c r="L1969" s="24">
        <f>IFERROR(VLOOKUP(A1969,'Sales Order'!A:D,4,FALSE),"")</f>
        <v>39546</v>
      </c>
      <c r="M1969" s="24">
        <f>IFERROR(VLOOKUP(A1969,'Sales Order'!A:F,6,FALSE),"")</f>
        <v>39548</v>
      </c>
      <c r="N1969" t="str">
        <f>IFERROR(VLOOKUP(VLOOKUP(A1969,'Sales Order'!A:G,7,FALSE),Shipper!A:B,2,FALSE),"Not Specified")</f>
        <v>Shipper GVSUA</v>
      </c>
      <c r="O1969" t="str">
        <f>IFERROR(VLOOKUP(A1969,'Sales Order'!A:I,9,FALSE),"Not Specified")</f>
        <v>Destination WVLDH</v>
      </c>
      <c r="P1969" t="str">
        <f>IFERROR(VLOOKUP(A1969,'Sales Order'!A:N,14,FALSE),"Not Specified")</f>
        <v>Spain</v>
      </c>
      <c r="Q1969" t="str">
        <f>VLOOKUP(VLOOKUP(B1969,Product!A:C,3,FALSE),Supplier!A:B,2,FALSE)</f>
        <v>Supplier QZGUF</v>
      </c>
      <c r="R1969" t="str">
        <f>VLOOKUP(VLOOKUP(B1969,Product!A:C,3,FALSE),Supplier!A:I,9,FALSE)</f>
        <v>Sweden</v>
      </c>
      <c r="S1969" t="str">
        <f>IFERROR(IF(VLOOKUP(A1969,'Sales Order'!A:H,8,FALSE)&gt;100,"High Freight","Low Freight"),"Not Specified")</f>
        <v>Low Freight</v>
      </c>
      <c r="T1969">
        <f t="shared" si="61"/>
        <v>256.5</v>
      </c>
    </row>
    <row r="1970" spans="1:20">
      <c r="A1970" s="9">
        <v>11009</v>
      </c>
      <c r="B1970" s="6">
        <v>60</v>
      </c>
      <c r="C1970" s="6">
        <v>34</v>
      </c>
      <c r="D1970" s="6">
        <v>9</v>
      </c>
      <c r="E1970" s="18">
        <v>0</v>
      </c>
      <c r="F1970" s="6" t="str">
        <f>IFERROR(VLOOKUP(VLOOKUP(A1970,'Sales Order'!A:B,2,FALSE),Customer!A:C,3,FALSE),"Not Specified")</f>
        <v>Shabalin, Rostislav</v>
      </c>
      <c r="G1970" s="6" t="str">
        <f t="shared" si="60"/>
        <v>Shabalin Rostislav</v>
      </c>
      <c r="H1970" s="22" t="str">
        <f>IFERROR(VLOOKUP(VLOOKUP(A1970,'Sales Order'!A:C,3,FALSE),Employee!A:E,5,FALSE)&amp;" "&amp;VLOOKUP(VLOOKUP(A1970,'Sales Order'!A:C,3,FALSE),Employee!A:C,3,FALSE)&amp;" "&amp;VLOOKUP(VLOOKUP(A1970,'Sales Order'!A:C,3,FALSE),Employee!A:B,2,FALSE),"Not Specified")</f>
        <v>Dr. Don Funk</v>
      </c>
      <c r="I1970" t="str">
        <f>IFERROR(VLOOKUP(VLOOKUP(A1970,'Sales Order'!A:C,3,FALSE),Employee!A:J,10,FALSE),"Not Specified")</f>
        <v>WA</v>
      </c>
      <c r="J1970" t="str">
        <f>VLOOKUP(B1970,Product!A:B,2,FALSE)</f>
        <v>Product WHBYK</v>
      </c>
      <c r="K1970" t="str">
        <f>VLOOKUP(VLOOKUP(B1970,Product!A:D,4,FALSE),Category!A:B,2,FALSE)</f>
        <v>Dairy Product</v>
      </c>
      <c r="L1970" s="24">
        <f>IFERROR(VLOOKUP(A1970,'Sales Order'!A:D,4,FALSE),"")</f>
        <v>39546</v>
      </c>
      <c r="M1970" s="24">
        <f>IFERROR(VLOOKUP(A1970,'Sales Order'!A:F,6,FALSE),"")</f>
        <v>39548</v>
      </c>
      <c r="N1970" t="str">
        <f>IFERROR(VLOOKUP(VLOOKUP(A1970,'Sales Order'!A:G,7,FALSE),Shipper!A:B,2,FALSE),"Not Specified")</f>
        <v>Shipper GVSUA</v>
      </c>
      <c r="O1970" t="str">
        <f>IFERROR(VLOOKUP(A1970,'Sales Order'!A:I,9,FALSE),"Not Specified")</f>
        <v>Destination WVLDH</v>
      </c>
      <c r="P1970" t="str">
        <f>IFERROR(VLOOKUP(A1970,'Sales Order'!A:N,14,FALSE),"Not Specified")</f>
        <v>Spain</v>
      </c>
      <c r="Q1970" t="str">
        <f>VLOOKUP(VLOOKUP(B1970,Product!A:C,3,FALSE),Supplier!A:B,2,FALSE)</f>
        <v>Supplier OAVQT</v>
      </c>
      <c r="R1970" t="str">
        <f>VLOOKUP(VLOOKUP(B1970,Product!A:C,3,FALSE),Supplier!A:I,9,FALSE)</f>
        <v>France</v>
      </c>
      <c r="S1970" t="str">
        <f>IFERROR(IF(VLOOKUP(A1970,'Sales Order'!A:H,8,FALSE)&gt;100,"High Freight","Low Freight"),"Not Specified")</f>
        <v>Low Freight</v>
      </c>
      <c r="T1970">
        <f t="shared" si="61"/>
        <v>306</v>
      </c>
    </row>
    <row r="1971" spans="1:20">
      <c r="A1971" s="9">
        <v>11010</v>
      </c>
      <c r="B1971" s="6">
        <v>7</v>
      </c>
      <c r="C1971" s="6">
        <v>30</v>
      </c>
      <c r="D1971" s="6">
        <v>20</v>
      </c>
      <c r="E1971" s="18">
        <v>0</v>
      </c>
      <c r="F1971" s="6" t="str">
        <f>IFERROR(VLOOKUP(VLOOKUP(A1971,'Sales Order'!A:B,2,FALSE),Customer!A:C,3,FALSE),"Not Specified")</f>
        <v>Voss, Florian</v>
      </c>
      <c r="G1971" s="6" t="str">
        <f t="shared" si="60"/>
        <v>Voss Florian</v>
      </c>
      <c r="H1971" s="22" t="str">
        <f>IFERROR(VLOOKUP(VLOOKUP(A1971,'Sales Order'!A:C,3,FALSE),Employee!A:E,5,FALSE)&amp;" "&amp;VLOOKUP(VLOOKUP(A1971,'Sales Order'!A:C,3,FALSE),Employee!A:C,3,FALSE)&amp;" "&amp;VLOOKUP(VLOOKUP(A1971,'Sales Order'!A:C,3,FALSE),Employee!A:B,2,FALSE),"Not Specified")</f>
        <v>Dr. Don Funk</v>
      </c>
      <c r="I1971" t="str">
        <f>IFERROR(VLOOKUP(VLOOKUP(A1971,'Sales Order'!A:C,3,FALSE),Employee!A:J,10,FALSE),"Not Specified")</f>
        <v>WA</v>
      </c>
      <c r="J1971" t="str">
        <f>VLOOKUP(B1971,Product!A:B,2,FALSE)</f>
        <v>Product HMLNI</v>
      </c>
      <c r="K1971" t="str">
        <f>VLOOKUP(VLOOKUP(B1971,Product!A:D,4,FALSE),Category!A:B,2,FALSE)</f>
        <v>Produce</v>
      </c>
      <c r="L1971" s="24">
        <f>IFERROR(VLOOKUP(A1971,'Sales Order'!A:D,4,FALSE),"")</f>
        <v>39547</v>
      </c>
      <c r="M1971" s="24">
        <f>IFERROR(VLOOKUP(A1971,'Sales Order'!A:F,6,FALSE),"")</f>
        <v>39559</v>
      </c>
      <c r="N1971" t="str">
        <f>IFERROR(VLOOKUP(VLOOKUP(A1971,'Sales Order'!A:G,7,FALSE),Shipper!A:B,2,FALSE),"Not Specified")</f>
        <v>Shipper ETYNR</v>
      </c>
      <c r="O1971" t="str">
        <f>IFERROR(VLOOKUP(A1971,'Sales Order'!A:I,9,FALSE),"Not Specified")</f>
        <v>Ship to 66-A</v>
      </c>
      <c r="P1971" t="str">
        <f>IFERROR(VLOOKUP(A1971,'Sales Order'!A:N,14,FALSE),"Not Specified")</f>
        <v>Italy</v>
      </c>
      <c r="Q1971" t="str">
        <f>VLOOKUP(VLOOKUP(B1971,Product!A:C,3,FALSE),Supplier!A:B,2,FALSE)</f>
        <v>Supplier STUAZ</v>
      </c>
      <c r="R1971" t="str">
        <f>VLOOKUP(VLOOKUP(B1971,Product!A:C,3,FALSE),Supplier!A:I,9,FALSE)</f>
        <v>USA</v>
      </c>
      <c r="S1971" t="str">
        <f>IFERROR(IF(VLOOKUP(A1971,'Sales Order'!A:H,8,FALSE)&gt;100,"High Freight","Low Freight"),"Not Specified")</f>
        <v>Low Freight</v>
      </c>
      <c r="T1971">
        <f t="shared" si="61"/>
        <v>600</v>
      </c>
    </row>
    <row r="1972" spans="1:20">
      <c r="A1972" s="9">
        <v>11010</v>
      </c>
      <c r="B1972" s="6">
        <v>24</v>
      </c>
      <c r="C1972" s="6">
        <v>4.5</v>
      </c>
      <c r="D1972" s="6">
        <v>10</v>
      </c>
      <c r="E1972" s="18">
        <v>0</v>
      </c>
      <c r="F1972" s="6" t="str">
        <f>IFERROR(VLOOKUP(VLOOKUP(A1972,'Sales Order'!A:B,2,FALSE),Customer!A:C,3,FALSE),"Not Specified")</f>
        <v>Voss, Florian</v>
      </c>
      <c r="G1972" s="6" t="str">
        <f t="shared" si="60"/>
        <v>Voss Florian</v>
      </c>
      <c r="H1972" s="22" t="str">
        <f>IFERROR(VLOOKUP(VLOOKUP(A1972,'Sales Order'!A:C,3,FALSE),Employee!A:E,5,FALSE)&amp;" "&amp;VLOOKUP(VLOOKUP(A1972,'Sales Order'!A:C,3,FALSE),Employee!A:C,3,FALSE)&amp;" "&amp;VLOOKUP(VLOOKUP(A1972,'Sales Order'!A:C,3,FALSE),Employee!A:B,2,FALSE),"Not Specified")</f>
        <v>Dr. Don Funk</v>
      </c>
      <c r="I1972" t="str">
        <f>IFERROR(VLOOKUP(VLOOKUP(A1972,'Sales Order'!A:C,3,FALSE),Employee!A:J,10,FALSE),"Not Specified")</f>
        <v>WA</v>
      </c>
      <c r="J1972" t="str">
        <f>VLOOKUP(B1972,Product!A:B,2,FALSE)</f>
        <v>Product QOGNU</v>
      </c>
      <c r="K1972" t="str">
        <f>VLOOKUP(VLOOKUP(B1972,Product!A:D,4,FALSE),Category!A:B,2,FALSE)</f>
        <v>Beverages</v>
      </c>
      <c r="L1972" s="24">
        <f>IFERROR(VLOOKUP(A1972,'Sales Order'!A:D,4,FALSE),"")</f>
        <v>39547</v>
      </c>
      <c r="M1972" s="24">
        <f>IFERROR(VLOOKUP(A1972,'Sales Order'!A:F,6,FALSE),"")</f>
        <v>39559</v>
      </c>
      <c r="N1972" t="str">
        <f>IFERROR(VLOOKUP(VLOOKUP(A1972,'Sales Order'!A:G,7,FALSE),Shipper!A:B,2,FALSE),"Not Specified")</f>
        <v>Shipper ETYNR</v>
      </c>
      <c r="O1972" t="str">
        <f>IFERROR(VLOOKUP(A1972,'Sales Order'!A:I,9,FALSE),"Not Specified")</f>
        <v>Ship to 66-A</v>
      </c>
      <c r="P1972" t="str">
        <f>IFERROR(VLOOKUP(A1972,'Sales Order'!A:N,14,FALSE),"Not Specified")</f>
        <v>Italy</v>
      </c>
      <c r="Q1972" t="str">
        <f>VLOOKUP(VLOOKUP(B1972,Product!A:C,3,FALSE),Supplier!A:B,2,FALSE)</f>
        <v>Supplier UNAHG</v>
      </c>
      <c r="R1972" t="str">
        <f>VLOOKUP(VLOOKUP(B1972,Product!A:C,3,FALSE),Supplier!A:I,9,FALSE)</f>
        <v>Brazil</v>
      </c>
      <c r="S1972" t="str">
        <f>IFERROR(IF(VLOOKUP(A1972,'Sales Order'!A:H,8,FALSE)&gt;100,"High Freight","Low Freight"),"Not Specified")</f>
        <v>Low Freight</v>
      </c>
      <c r="T1972">
        <f t="shared" si="61"/>
        <v>45</v>
      </c>
    </row>
    <row r="1973" spans="1:20">
      <c r="A1973" s="9">
        <v>11011</v>
      </c>
      <c r="B1973" s="6">
        <v>58</v>
      </c>
      <c r="C1973" s="6">
        <v>13.25</v>
      </c>
      <c r="D1973" s="6">
        <v>40</v>
      </c>
      <c r="E1973" s="18">
        <v>0.05</v>
      </c>
      <c r="F1973" s="6" t="str">
        <f>IFERROR(VLOOKUP(VLOOKUP(A1973,'Sales Order'!A:B,2,FALSE),Customer!A:C,3,FALSE),"Not Specified")</f>
        <v>Allen, Michael</v>
      </c>
      <c r="G1973" s="6" t="str">
        <f t="shared" si="60"/>
        <v>Allen Michael</v>
      </c>
      <c r="H1973" s="22" t="str">
        <f>IFERROR(VLOOKUP(VLOOKUP(A1973,'Sales Order'!A:C,3,FALSE),Employee!A:E,5,FALSE)&amp;" "&amp;VLOOKUP(VLOOKUP(A1973,'Sales Order'!A:C,3,FALSE),Employee!A:C,3,FALSE)&amp;" "&amp;VLOOKUP(VLOOKUP(A1973,'Sales Order'!A:C,3,FALSE),Employee!A:B,2,FALSE),"Not Specified")</f>
        <v>Ms. Judy Lew</v>
      </c>
      <c r="I1973" t="str">
        <f>IFERROR(VLOOKUP(VLOOKUP(A1973,'Sales Order'!A:C,3,FALSE),Employee!A:J,10,FALSE),"Not Specified")</f>
        <v>WA</v>
      </c>
      <c r="J1973" t="str">
        <f>VLOOKUP(B1973,Product!A:B,2,FALSE)</f>
        <v>Product ACRVI</v>
      </c>
      <c r="K1973" t="str">
        <f>VLOOKUP(VLOOKUP(B1973,Product!A:D,4,FALSE),Category!A:B,2,FALSE)</f>
        <v>Seafood</v>
      </c>
      <c r="L1973" s="24">
        <f>IFERROR(VLOOKUP(A1973,'Sales Order'!A:D,4,FALSE),"")</f>
        <v>39547</v>
      </c>
      <c r="M1973" s="24">
        <f>IFERROR(VLOOKUP(A1973,'Sales Order'!A:F,6,FALSE),"")</f>
        <v>39551</v>
      </c>
      <c r="N1973" t="str">
        <f>IFERROR(VLOOKUP(VLOOKUP(A1973,'Sales Order'!A:G,7,FALSE),Shipper!A:B,2,FALSE),"Not Specified")</f>
        <v>Shipper GVSUA</v>
      </c>
      <c r="O1973" t="str">
        <f>IFERROR(VLOOKUP(A1973,'Sales Order'!A:I,9,FALSE),"Not Specified")</f>
        <v>Destination LOUIE</v>
      </c>
      <c r="P1973" t="str">
        <f>IFERROR(VLOOKUP(A1973,'Sales Order'!A:N,14,FALSE),"Not Specified")</f>
        <v>Germany</v>
      </c>
      <c r="Q1973" t="str">
        <f>VLOOKUP(VLOOKUP(B1973,Product!A:C,3,FALSE),Supplier!A:B,2,FALSE)</f>
        <v>Supplier ZRYDZ</v>
      </c>
      <c r="R1973" t="str">
        <f>VLOOKUP(VLOOKUP(B1973,Product!A:C,3,FALSE),Supplier!A:I,9,FALSE)</f>
        <v>France</v>
      </c>
      <c r="S1973" t="str">
        <f>IFERROR(IF(VLOOKUP(A1973,'Sales Order'!A:H,8,FALSE)&gt;100,"High Freight","Low Freight"),"Not Specified")</f>
        <v>Low Freight</v>
      </c>
      <c r="T1973">
        <f t="shared" si="61"/>
        <v>503.5</v>
      </c>
    </row>
    <row r="1974" spans="1:20">
      <c r="A1974" s="9">
        <v>11011</v>
      </c>
      <c r="B1974" s="6">
        <v>71</v>
      </c>
      <c r="C1974" s="6">
        <v>21.5</v>
      </c>
      <c r="D1974" s="6">
        <v>20</v>
      </c>
      <c r="E1974" s="18">
        <v>0</v>
      </c>
      <c r="F1974" s="6" t="str">
        <f>IFERROR(VLOOKUP(VLOOKUP(A1974,'Sales Order'!A:B,2,FALSE),Customer!A:C,3,FALSE),"Not Specified")</f>
        <v>Allen, Michael</v>
      </c>
      <c r="G1974" s="6" t="str">
        <f t="shared" si="60"/>
        <v>Allen Michael</v>
      </c>
      <c r="H1974" s="22" t="str">
        <f>IFERROR(VLOOKUP(VLOOKUP(A1974,'Sales Order'!A:C,3,FALSE),Employee!A:E,5,FALSE)&amp;" "&amp;VLOOKUP(VLOOKUP(A1974,'Sales Order'!A:C,3,FALSE),Employee!A:C,3,FALSE)&amp;" "&amp;VLOOKUP(VLOOKUP(A1974,'Sales Order'!A:C,3,FALSE),Employee!A:B,2,FALSE),"Not Specified")</f>
        <v>Ms. Judy Lew</v>
      </c>
      <c r="I1974" t="str">
        <f>IFERROR(VLOOKUP(VLOOKUP(A1974,'Sales Order'!A:C,3,FALSE),Employee!A:J,10,FALSE),"Not Specified")</f>
        <v>WA</v>
      </c>
      <c r="J1974" t="str">
        <f>VLOOKUP(B1974,Product!A:B,2,FALSE)</f>
        <v>Product MYMOI</v>
      </c>
      <c r="K1974" t="str">
        <f>VLOOKUP(VLOOKUP(B1974,Product!A:D,4,FALSE),Category!A:B,2,FALSE)</f>
        <v>Dairy Product</v>
      </c>
      <c r="L1974" s="24">
        <f>IFERROR(VLOOKUP(A1974,'Sales Order'!A:D,4,FALSE),"")</f>
        <v>39547</v>
      </c>
      <c r="M1974" s="24">
        <f>IFERROR(VLOOKUP(A1974,'Sales Order'!A:F,6,FALSE),"")</f>
        <v>39551</v>
      </c>
      <c r="N1974" t="str">
        <f>IFERROR(VLOOKUP(VLOOKUP(A1974,'Sales Order'!A:G,7,FALSE),Shipper!A:B,2,FALSE),"Not Specified")</f>
        <v>Shipper GVSUA</v>
      </c>
      <c r="O1974" t="str">
        <f>IFERROR(VLOOKUP(A1974,'Sales Order'!A:I,9,FALSE),"Not Specified")</f>
        <v>Destination LOUIE</v>
      </c>
      <c r="P1974" t="str">
        <f>IFERROR(VLOOKUP(A1974,'Sales Order'!A:N,14,FALSE),"Not Specified")</f>
        <v>Germany</v>
      </c>
      <c r="Q1974" t="str">
        <f>VLOOKUP(VLOOKUP(B1974,Product!A:C,3,FALSE),Supplier!A:B,2,FALSE)</f>
        <v>Supplier NZLIF</v>
      </c>
      <c r="R1974" t="str">
        <f>VLOOKUP(VLOOKUP(B1974,Product!A:C,3,FALSE),Supplier!A:I,9,FALSE)</f>
        <v>Norway</v>
      </c>
      <c r="S1974" t="str">
        <f>IFERROR(IF(VLOOKUP(A1974,'Sales Order'!A:H,8,FALSE)&gt;100,"High Freight","Low Freight"),"Not Specified")</f>
        <v>Low Freight</v>
      </c>
      <c r="T1974">
        <f t="shared" si="61"/>
        <v>430</v>
      </c>
    </row>
    <row r="1975" spans="1:20">
      <c r="A1975" s="9">
        <v>11012</v>
      </c>
      <c r="B1975" s="6">
        <v>19</v>
      </c>
      <c r="C1975" s="6">
        <v>9.1999999999999993</v>
      </c>
      <c r="D1975" s="6">
        <v>50</v>
      </c>
      <c r="E1975" s="18">
        <v>0.05</v>
      </c>
      <c r="F1975" s="6" t="str">
        <f>IFERROR(VLOOKUP(VLOOKUP(A1975,'Sales Order'!A:B,2,FALSE),Customer!A:C,3,FALSE),"Not Specified")</f>
        <v>Carlson, Jason</v>
      </c>
      <c r="G1975" s="6" t="str">
        <f t="shared" si="60"/>
        <v>Carlson Jason</v>
      </c>
      <c r="H1975" s="22" t="str">
        <f>IFERROR(VLOOKUP(VLOOKUP(A1975,'Sales Order'!A:C,3,FALSE),Employee!A:E,5,FALSE)&amp;" "&amp;VLOOKUP(VLOOKUP(A1975,'Sales Order'!A:C,3,FALSE),Employee!A:C,3,FALSE)&amp;" "&amp;VLOOKUP(VLOOKUP(A1975,'Sales Order'!A:C,3,FALSE),Employee!A:B,2,FALSE),"Not Specified")</f>
        <v>Ms. Sara Davis</v>
      </c>
      <c r="I1975" t="str">
        <f>IFERROR(VLOOKUP(VLOOKUP(A1975,'Sales Order'!A:C,3,FALSE),Employee!A:J,10,FALSE),"Not Specified")</f>
        <v>WA</v>
      </c>
      <c r="J1975" t="str">
        <f>VLOOKUP(B1975,Product!A:B,2,FALSE)</f>
        <v>Product XKXDO</v>
      </c>
      <c r="K1975" t="str">
        <f>VLOOKUP(VLOOKUP(B1975,Product!A:D,4,FALSE),Category!A:B,2,FALSE)</f>
        <v>Confections</v>
      </c>
      <c r="L1975" s="24">
        <f>IFERROR(VLOOKUP(A1975,'Sales Order'!A:D,4,FALSE),"")</f>
        <v>39547</v>
      </c>
      <c r="M1975" s="24">
        <f>IFERROR(VLOOKUP(A1975,'Sales Order'!A:F,6,FALSE),"")</f>
        <v>39555</v>
      </c>
      <c r="N1975" t="str">
        <f>IFERROR(VLOOKUP(VLOOKUP(A1975,'Sales Order'!A:G,7,FALSE),Shipper!A:B,2,FALSE),"Not Specified")</f>
        <v>Shipper ZHISN</v>
      </c>
      <c r="O1975" t="str">
        <f>IFERROR(VLOOKUP(A1975,'Sales Order'!A:I,9,FALSE),"Not Specified")</f>
        <v>Destination WEGWI</v>
      </c>
      <c r="P1975" t="str">
        <f>IFERROR(VLOOKUP(A1975,'Sales Order'!A:N,14,FALSE),"Not Specified")</f>
        <v>Germany</v>
      </c>
      <c r="Q1975" t="str">
        <f>VLOOKUP(VLOOKUP(B1975,Product!A:C,3,FALSE),Supplier!A:B,2,FALSE)</f>
        <v>Supplier BWGYE</v>
      </c>
      <c r="R1975" t="str">
        <f>VLOOKUP(VLOOKUP(B1975,Product!A:C,3,FALSE),Supplier!A:I,9,FALSE)</f>
        <v>UK</v>
      </c>
      <c r="S1975" t="str">
        <f>IFERROR(IF(VLOOKUP(A1975,'Sales Order'!A:H,8,FALSE)&gt;100,"High Freight","Low Freight"),"Not Specified")</f>
        <v>High Freight</v>
      </c>
      <c r="T1975">
        <f t="shared" si="61"/>
        <v>436.99999999999994</v>
      </c>
    </row>
    <row r="1976" spans="1:20">
      <c r="A1976" s="9">
        <v>11012</v>
      </c>
      <c r="B1976" s="6">
        <v>60</v>
      </c>
      <c r="C1976" s="6">
        <v>34</v>
      </c>
      <c r="D1976" s="6">
        <v>36</v>
      </c>
      <c r="E1976" s="18">
        <v>0.05</v>
      </c>
      <c r="F1976" s="6" t="str">
        <f>IFERROR(VLOOKUP(VLOOKUP(A1976,'Sales Order'!A:B,2,FALSE),Customer!A:C,3,FALSE),"Not Specified")</f>
        <v>Carlson, Jason</v>
      </c>
      <c r="G1976" s="6" t="str">
        <f t="shared" si="60"/>
        <v>Carlson Jason</v>
      </c>
      <c r="H1976" s="22" t="str">
        <f>IFERROR(VLOOKUP(VLOOKUP(A1976,'Sales Order'!A:C,3,FALSE),Employee!A:E,5,FALSE)&amp;" "&amp;VLOOKUP(VLOOKUP(A1976,'Sales Order'!A:C,3,FALSE),Employee!A:C,3,FALSE)&amp;" "&amp;VLOOKUP(VLOOKUP(A1976,'Sales Order'!A:C,3,FALSE),Employee!A:B,2,FALSE),"Not Specified")</f>
        <v>Ms. Sara Davis</v>
      </c>
      <c r="I1976" t="str">
        <f>IFERROR(VLOOKUP(VLOOKUP(A1976,'Sales Order'!A:C,3,FALSE),Employee!A:J,10,FALSE),"Not Specified")</f>
        <v>WA</v>
      </c>
      <c r="J1976" t="str">
        <f>VLOOKUP(B1976,Product!A:B,2,FALSE)</f>
        <v>Product WHBYK</v>
      </c>
      <c r="K1976" t="str">
        <f>VLOOKUP(VLOOKUP(B1976,Product!A:D,4,FALSE),Category!A:B,2,FALSE)</f>
        <v>Dairy Product</v>
      </c>
      <c r="L1976" s="24">
        <f>IFERROR(VLOOKUP(A1976,'Sales Order'!A:D,4,FALSE),"")</f>
        <v>39547</v>
      </c>
      <c r="M1976" s="24">
        <f>IFERROR(VLOOKUP(A1976,'Sales Order'!A:F,6,FALSE),"")</f>
        <v>39555</v>
      </c>
      <c r="N1976" t="str">
        <f>IFERROR(VLOOKUP(VLOOKUP(A1976,'Sales Order'!A:G,7,FALSE),Shipper!A:B,2,FALSE),"Not Specified")</f>
        <v>Shipper ZHISN</v>
      </c>
      <c r="O1976" t="str">
        <f>IFERROR(VLOOKUP(A1976,'Sales Order'!A:I,9,FALSE),"Not Specified")</f>
        <v>Destination WEGWI</v>
      </c>
      <c r="P1976" t="str">
        <f>IFERROR(VLOOKUP(A1976,'Sales Order'!A:N,14,FALSE),"Not Specified")</f>
        <v>Germany</v>
      </c>
      <c r="Q1976" t="str">
        <f>VLOOKUP(VLOOKUP(B1976,Product!A:C,3,FALSE),Supplier!A:B,2,FALSE)</f>
        <v>Supplier OAVQT</v>
      </c>
      <c r="R1976" t="str">
        <f>VLOOKUP(VLOOKUP(B1976,Product!A:C,3,FALSE),Supplier!A:I,9,FALSE)</f>
        <v>France</v>
      </c>
      <c r="S1976" t="str">
        <f>IFERROR(IF(VLOOKUP(A1976,'Sales Order'!A:H,8,FALSE)&gt;100,"High Freight","Low Freight"),"Not Specified")</f>
        <v>High Freight</v>
      </c>
      <c r="T1976">
        <f t="shared" si="61"/>
        <v>1162.8</v>
      </c>
    </row>
    <row r="1977" spans="1:20">
      <c r="A1977" s="9">
        <v>11012</v>
      </c>
      <c r="B1977" s="6">
        <v>71</v>
      </c>
      <c r="C1977" s="6">
        <v>21.5</v>
      </c>
      <c r="D1977" s="6">
        <v>60</v>
      </c>
      <c r="E1977" s="18">
        <v>0.05</v>
      </c>
      <c r="F1977" s="6" t="str">
        <f>IFERROR(VLOOKUP(VLOOKUP(A1977,'Sales Order'!A:B,2,FALSE),Customer!A:C,3,FALSE),"Not Specified")</f>
        <v>Carlson, Jason</v>
      </c>
      <c r="G1977" s="6" t="str">
        <f t="shared" si="60"/>
        <v>Carlson Jason</v>
      </c>
      <c r="H1977" s="22" t="str">
        <f>IFERROR(VLOOKUP(VLOOKUP(A1977,'Sales Order'!A:C,3,FALSE),Employee!A:E,5,FALSE)&amp;" "&amp;VLOOKUP(VLOOKUP(A1977,'Sales Order'!A:C,3,FALSE),Employee!A:C,3,FALSE)&amp;" "&amp;VLOOKUP(VLOOKUP(A1977,'Sales Order'!A:C,3,FALSE),Employee!A:B,2,FALSE),"Not Specified")</f>
        <v>Ms. Sara Davis</v>
      </c>
      <c r="I1977" t="str">
        <f>IFERROR(VLOOKUP(VLOOKUP(A1977,'Sales Order'!A:C,3,FALSE),Employee!A:J,10,FALSE),"Not Specified")</f>
        <v>WA</v>
      </c>
      <c r="J1977" t="str">
        <f>VLOOKUP(B1977,Product!A:B,2,FALSE)</f>
        <v>Product MYMOI</v>
      </c>
      <c r="K1977" t="str">
        <f>VLOOKUP(VLOOKUP(B1977,Product!A:D,4,FALSE),Category!A:B,2,FALSE)</f>
        <v>Dairy Product</v>
      </c>
      <c r="L1977" s="24">
        <f>IFERROR(VLOOKUP(A1977,'Sales Order'!A:D,4,FALSE),"")</f>
        <v>39547</v>
      </c>
      <c r="M1977" s="24">
        <f>IFERROR(VLOOKUP(A1977,'Sales Order'!A:F,6,FALSE),"")</f>
        <v>39555</v>
      </c>
      <c r="N1977" t="str">
        <f>IFERROR(VLOOKUP(VLOOKUP(A1977,'Sales Order'!A:G,7,FALSE),Shipper!A:B,2,FALSE),"Not Specified")</f>
        <v>Shipper ZHISN</v>
      </c>
      <c r="O1977" t="str">
        <f>IFERROR(VLOOKUP(A1977,'Sales Order'!A:I,9,FALSE),"Not Specified")</f>
        <v>Destination WEGWI</v>
      </c>
      <c r="P1977" t="str">
        <f>IFERROR(VLOOKUP(A1977,'Sales Order'!A:N,14,FALSE),"Not Specified")</f>
        <v>Germany</v>
      </c>
      <c r="Q1977" t="str">
        <f>VLOOKUP(VLOOKUP(B1977,Product!A:C,3,FALSE),Supplier!A:B,2,FALSE)</f>
        <v>Supplier NZLIF</v>
      </c>
      <c r="R1977" t="str">
        <f>VLOOKUP(VLOOKUP(B1977,Product!A:C,3,FALSE),Supplier!A:I,9,FALSE)</f>
        <v>Norway</v>
      </c>
      <c r="S1977" t="str">
        <f>IFERROR(IF(VLOOKUP(A1977,'Sales Order'!A:H,8,FALSE)&gt;100,"High Freight","Low Freight"),"Not Specified")</f>
        <v>High Freight</v>
      </c>
      <c r="T1977">
        <f t="shared" si="61"/>
        <v>1225.5</v>
      </c>
    </row>
    <row r="1978" spans="1:20">
      <c r="A1978" s="9">
        <v>11013</v>
      </c>
      <c r="B1978" s="6">
        <v>23</v>
      </c>
      <c r="C1978" s="6">
        <v>9</v>
      </c>
      <c r="D1978" s="6">
        <v>10</v>
      </c>
      <c r="E1978" s="18">
        <v>0</v>
      </c>
      <c r="F1978" s="6" t="str">
        <f>IFERROR(VLOOKUP(VLOOKUP(A1978,'Sales Order'!A:B,2,FALSE),Customer!A:C,3,FALSE),"Not Specified")</f>
        <v>Watters, Jason M.</v>
      </c>
      <c r="G1978" s="6" t="str">
        <f t="shared" si="60"/>
        <v>Watters Jason M.</v>
      </c>
      <c r="H1978" s="22" t="str">
        <f>IFERROR(VLOOKUP(VLOOKUP(A1978,'Sales Order'!A:C,3,FALSE),Employee!A:E,5,FALSE)&amp;" "&amp;VLOOKUP(VLOOKUP(A1978,'Sales Order'!A:C,3,FALSE),Employee!A:C,3,FALSE)&amp;" "&amp;VLOOKUP(VLOOKUP(A1978,'Sales Order'!A:C,3,FALSE),Employee!A:B,2,FALSE),"Not Specified")</f>
        <v>Dr. Don Funk</v>
      </c>
      <c r="I1978" t="str">
        <f>IFERROR(VLOOKUP(VLOOKUP(A1978,'Sales Order'!A:C,3,FALSE),Employee!A:J,10,FALSE),"Not Specified")</f>
        <v>WA</v>
      </c>
      <c r="J1978" t="str">
        <f>VLOOKUP(B1978,Product!A:B,2,FALSE)</f>
        <v>Product JLUDZ</v>
      </c>
      <c r="K1978" t="str">
        <f>VLOOKUP(VLOOKUP(B1978,Product!A:D,4,FALSE),Category!A:B,2,FALSE)</f>
        <v>Grains/Cereals</v>
      </c>
      <c r="L1978" s="24">
        <f>IFERROR(VLOOKUP(A1978,'Sales Order'!A:D,4,FALSE),"")</f>
        <v>39547</v>
      </c>
      <c r="M1978" s="24">
        <f>IFERROR(VLOOKUP(A1978,'Sales Order'!A:F,6,FALSE),"")</f>
        <v>39548</v>
      </c>
      <c r="N1978" t="str">
        <f>IFERROR(VLOOKUP(VLOOKUP(A1978,'Sales Order'!A:G,7,FALSE),Shipper!A:B,2,FALSE),"Not Specified")</f>
        <v>Shipper GVSUA</v>
      </c>
      <c r="O1978" t="str">
        <f>IFERROR(VLOOKUP(A1978,'Sales Order'!A:I,9,FALSE),"Not Specified")</f>
        <v>Ship to 69-A</v>
      </c>
      <c r="P1978" t="str">
        <f>IFERROR(VLOOKUP(A1978,'Sales Order'!A:N,14,FALSE),"Not Specified")</f>
        <v>Spain</v>
      </c>
      <c r="Q1978" t="str">
        <f>VLOOKUP(VLOOKUP(B1978,Product!A:C,3,FALSE),Supplier!A:B,2,FALSE)</f>
        <v>Supplier QQYEU</v>
      </c>
      <c r="R1978" t="str">
        <f>VLOOKUP(VLOOKUP(B1978,Product!A:C,3,FALSE),Supplier!A:I,9,FALSE)</f>
        <v>Sweden</v>
      </c>
      <c r="S1978" t="str">
        <f>IFERROR(IF(VLOOKUP(A1978,'Sales Order'!A:H,8,FALSE)&gt;100,"High Freight","Low Freight"),"Not Specified")</f>
        <v>Low Freight</v>
      </c>
      <c r="T1978">
        <f t="shared" si="61"/>
        <v>90</v>
      </c>
    </row>
    <row r="1979" spans="1:20">
      <c r="A1979" s="9">
        <v>11013</v>
      </c>
      <c r="B1979" s="6">
        <v>42</v>
      </c>
      <c r="C1979" s="6">
        <v>14</v>
      </c>
      <c r="D1979" s="6">
        <v>4</v>
      </c>
      <c r="E1979" s="18">
        <v>0</v>
      </c>
      <c r="F1979" s="6" t="str">
        <f>IFERROR(VLOOKUP(VLOOKUP(A1979,'Sales Order'!A:B,2,FALSE),Customer!A:C,3,FALSE),"Not Specified")</f>
        <v>Watters, Jason M.</v>
      </c>
      <c r="G1979" s="6" t="str">
        <f t="shared" si="60"/>
        <v>Watters Jason M.</v>
      </c>
      <c r="H1979" s="22" t="str">
        <f>IFERROR(VLOOKUP(VLOOKUP(A1979,'Sales Order'!A:C,3,FALSE),Employee!A:E,5,FALSE)&amp;" "&amp;VLOOKUP(VLOOKUP(A1979,'Sales Order'!A:C,3,FALSE),Employee!A:C,3,FALSE)&amp;" "&amp;VLOOKUP(VLOOKUP(A1979,'Sales Order'!A:C,3,FALSE),Employee!A:B,2,FALSE),"Not Specified")</f>
        <v>Dr. Don Funk</v>
      </c>
      <c r="I1979" t="str">
        <f>IFERROR(VLOOKUP(VLOOKUP(A1979,'Sales Order'!A:C,3,FALSE),Employee!A:J,10,FALSE),"Not Specified")</f>
        <v>WA</v>
      </c>
      <c r="J1979" t="str">
        <f>VLOOKUP(B1979,Product!A:B,2,FALSE)</f>
        <v>Product RJVNM</v>
      </c>
      <c r="K1979" t="str">
        <f>VLOOKUP(VLOOKUP(B1979,Product!A:D,4,FALSE),Category!A:B,2,FALSE)</f>
        <v>Grains/Cereals</v>
      </c>
      <c r="L1979" s="24">
        <f>IFERROR(VLOOKUP(A1979,'Sales Order'!A:D,4,FALSE),"")</f>
        <v>39547</v>
      </c>
      <c r="M1979" s="24">
        <f>IFERROR(VLOOKUP(A1979,'Sales Order'!A:F,6,FALSE),"")</f>
        <v>39548</v>
      </c>
      <c r="N1979" t="str">
        <f>IFERROR(VLOOKUP(VLOOKUP(A1979,'Sales Order'!A:G,7,FALSE),Shipper!A:B,2,FALSE),"Not Specified")</f>
        <v>Shipper GVSUA</v>
      </c>
      <c r="O1979" t="str">
        <f>IFERROR(VLOOKUP(A1979,'Sales Order'!A:I,9,FALSE),"Not Specified")</f>
        <v>Ship to 69-A</v>
      </c>
      <c r="P1979" t="str">
        <f>IFERROR(VLOOKUP(A1979,'Sales Order'!A:N,14,FALSE),"Not Specified")</f>
        <v>Spain</v>
      </c>
      <c r="Q1979" t="str">
        <f>VLOOKUP(VLOOKUP(B1979,Product!A:C,3,FALSE),Supplier!A:B,2,FALSE)</f>
        <v>Supplier CIYNM</v>
      </c>
      <c r="R1979" t="str">
        <f>VLOOKUP(VLOOKUP(B1979,Product!A:C,3,FALSE),Supplier!A:I,9,FALSE)</f>
        <v>Singapore</v>
      </c>
      <c r="S1979" t="str">
        <f>IFERROR(IF(VLOOKUP(A1979,'Sales Order'!A:H,8,FALSE)&gt;100,"High Freight","Low Freight"),"Not Specified")</f>
        <v>Low Freight</v>
      </c>
      <c r="T1979">
        <f t="shared" si="61"/>
        <v>56</v>
      </c>
    </row>
    <row r="1980" spans="1:20">
      <c r="A1980" s="9">
        <v>11013</v>
      </c>
      <c r="B1980" s="6">
        <v>45</v>
      </c>
      <c r="C1980" s="6">
        <v>9.5</v>
      </c>
      <c r="D1980" s="6">
        <v>20</v>
      </c>
      <c r="E1980" s="18">
        <v>0</v>
      </c>
      <c r="F1980" s="6" t="str">
        <f>IFERROR(VLOOKUP(VLOOKUP(A1980,'Sales Order'!A:B,2,FALSE),Customer!A:C,3,FALSE),"Not Specified")</f>
        <v>Watters, Jason M.</v>
      </c>
      <c r="G1980" s="6" t="str">
        <f t="shared" si="60"/>
        <v>Watters Jason M.</v>
      </c>
      <c r="H1980" s="22" t="str">
        <f>IFERROR(VLOOKUP(VLOOKUP(A1980,'Sales Order'!A:C,3,FALSE),Employee!A:E,5,FALSE)&amp;" "&amp;VLOOKUP(VLOOKUP(A1980,'Sales Order'!A:C,3,FALSE),Employee!A:C,3,FALSE)&amp;" "&amp;VLOOKUP(VLOOKUP(A1980,'Sales Order'!A:C,3,FALSE),Employee!A:B,2,FALSE),"Not Specified")</f>
        <v>Dr. Don Funk</v>
      </c>
      <c r="I1980" t="str">
        <f>IFERROR(VLOOKUP(VLOOKUP(A1980,'Sales Order'!A:C,3,FALSE),Employee!A:J,10,FALSE),"Not Specified")</f>
        <v>WA</v>
      </c>
      <c r="J1980" t="str">
        <f>VLOOKUP(B1980,Product!A:B,2,FALSE)</f>
        <v>Product AQOKR</v>
      </c>
      <c r="K1980" t="str">
        <f>VLOOKUP(VLOOKUP(B1980,Product!A:D,4,FALSE),Category!A:B,2,FALSE)</f>
        <v>Seafood</v>
      </c>
      <c r="L1980" s="24">
        <f>IFERROR(VLOOKUP(A1980,'Sales Order'!A:D,4,FALSE),"")</f>
        <v>39547</v>
      </c>
      <c r="M1980" s="24">
        <f>IFERROR(VLOOKUP(A1980,'Sales Order'!A:F,6,FALSE),"")</f>
        <v>39548</v>
      </c>
      <c r="N1980" t="str">
        <f>IFERROR(VLOOKUP(VLOOKUP(A1980,'Sales Order'!A:G,7,FALSE),Shipper!A:B,2,FALSE),"Not Specified")</f>
        <v>Shipper GVSUA</v>
      </c>
      <c r="O1980" t="str">
        <f>IFERROR(VLOOKUP(A1980,'Sales Order'!A:I,9,FALSE),"Not Specified")</f>
        <v>Ship to 69-A</v>
      </c>
      <c r="P1980" t="str">
        <f>IFERROR(VLOOKUP(A1980,'Sales Order'!A:N,14,FALSE),"Not Specified")</f>
        <v>Spain</v>
      </c>
      <c r="Q1980" t="str">
        <f>VLOOKUP(VLOOKUP(B1980,Product!A:C,3,FALSE),Supplier!A:B,2,FALSE)</f>
        <v>Supplier XOXZA</v>
      </c>
      <c r="R1980" t="str">
        <f>VLOOKUP(VLOOKUP(B1980,Product!A:C,3,FALSE),Supplier!A:I,9,FALSE)</f>
        <v>Denmark</v>
      </c>
      <c r="S1980" t="str">
        <f>IFERROR(IF(VLOOKUP(A1980,'Sales Order'!A:H,8,FALSE)&gt;100,"High Freight","Low Freight"),"Not Specified")</f>
        <v>Low Freight</v>
      </c>
      <c r="T1980">
        <f t="shared" si="61"/>
        <v>190</v>
      </c>
    </row>
    <row r="1981" spans="1:20">
      <c r="A1981" s="9">
        <v>11013</v>
      </c>
      <c r="B1981" s="6">
        <v>68</v>
      </c>
      <c r="C1981" s="6">
        <v>12.5</v>
      </c>
      <c r="D1981" s="6">
        <v>2</v>
      </c>
      <c r="E1981" s="18">
        <v>0</v>
      </c>
      <c r="F1981" s="6" t="str">
        <f>IFERROR(VLOOKUP(VLOOKUP(A1981,'Sales Order'!A:B,2,FALSE),Customer!A:C,3,FALSE),"Not Specified")</f>
        <v>Watters, Jason M.</v>
      </c>
      <c r="G1981" s="6" t="str">
        <f t="shared" si="60"/>
        <v>Watters Jason M.</v>
      </c>
      <c r="H1981" s="22" t="str">
        <f>IFERROR(VLOOKUP(VLOOKUP(A1981,'Sales Order'!A:C,3,FALSE),Employee!A:E,5,FALSE)&amp;" "&amp;VLOOKUP(VLOOKUP(A1981,'Sales Order'!A:C,3,FALSE),Employee!A:C,3,FALSE)&amp;" "&amp;VLOOKUP(VLOOKUP(A1981,'Sales Order'!A:C,3,FALSE),Employee!A:B,2,FALSE),"Not Specified")</f>
        <v>Dr. Don Funk</v>
      </c>
      <c r="I1981" t="str">
        <f>IFERROR(VLOOKUP(VLOOKUP(A1981,'Sales Order'!A:C,3,FALSE),Employee!A:J,10,FALSE),"Not Specified")</f>
        <v>WA</v>
      </c>
      <c r="J1981" t="str">
        <f>VLOOKUP(B1981,Product!A:B,2,FALSE)</f>
        <v>Product TBTBL</v>
      </c>
      <c r="K1981" t="str">
        <f>VLOOKUP(VLOOKUP(B1981,Product!A:D,4,FALSE),Category!A:B,2,FALSE)</f>
        <v>Confections</v>
      </c>
      <c r="L1981" s="24">
        <f>IFERROR(VLOOKUP(A1981,'Sales Order'!A:D,4,FALSE),"")</f>
        <v>39547</v>
      </c>
      <c r="M1981" s="24">
        <f>IFERROR(VLOOKUP(A1981,'Sales Order'!A:F,6,FALSE),"")</f>
        <v>39548</v>
      </c>
      <c r="N1981" t="str">
        <f>IFERROR(VLOOKUP(VLOOKUP(A1981,'Sales Order'!A:G,7,FALSE),Shipper!A:B,2,FALSE),"Not Specified")</f>
        <v>Shipper GVSUA</v>
      </c>
      <c r="O1981" t="str">
        <f>IFERROR(VLOOKUP(A1981,'Sales Order'!A:I,9,FALSE),"Not Specified")</f>
        <v>Ship to 69-A</v>
      </c>
      <c r="P1981" t="str">
        <f>IFERROR(VLOOKUP(A1981,'Sales Order'!A:N,14,FALSE),"Not Specified")</f>
        <v>Spain</v>
      </c>
      <c r="Q1981" t="str">
        <f>VLOOKUP(VLOOKUP(B1981,Product!A:C,3,FALSE),Supplier!A:B,2,FALSE)</f>
        <v>Supplier BWGYE</v>
      </c>
      <c r="R1981" t="str">
        <f>VLOOKUP(VLOOKUP(B1981,Product!A:C,3,FALSE),Supplier!A:I,9,FALSE)</f>
        <v>UK</v>
      </c>
      <c r="S1981" t="str">
        <f>IFERROR(IF(VLOOKUP(A1981,'Sales Order'!A:H,8,FALSE)&gt;100,"High Freight","Low Freight"),"Not Specified")</f>
        <v>Low Freight</v>
      </c>
      <c r="T1981">
        <f t="shared" si="61"/>
        <v>25</v>
      </c>
    </row>
    <row r="1982" spans="1:20">
      <c r="A1982" s="9">
        <v>11014</v>
      </c>
      <c r="B1982" s="6">
        <v>41</v>
      </c>
      <c r="C1982" s="6">
        <v>9.65</v>
      </c>
      <c r="D1982" s="6">
        <v>28</v>
      </c>
      <c r="E1982" s="18">
        <v>0.1</v>
      </c>
      <c r="F1982" s="6" t="str">
        <f>IFERROR(VLOOKUP(VLOOKUP(A1982,'Sales Order'!A:B,2,FALSE),Customer!A:C,3,FALSE),"Not Specified")</f>
        <v>Lupu, Cornel</v>
      </c>
      <c r="G1982" s="6" t="str">
        <f t="shared" si="60"/>
        <v>Lupu Cornel</v>
      </c>
      <c r="H1982" s="22" t="str">
        <f>IFERROR(VLOOKUP(VLOOKUP(A1982,'Sales Order'!A:C,3,FALSE),Employee!A:E,5,FALSE)&amp;" "&amp;VLOOKUP(VLOOKUP(A1982,'Sales Order'!A:C,3,FALSE),Employee!A:C,3,FALSE)&amp;" "&amp;VLOOKUP(VLOOKUP(A1982,'Sales Order'!A:C,3,FALSE),Employee!A:B,2,FALSE),"Not Specified")</f>
        <v>Dr. Don Funk</v>
      </c>
      <c r="I1982" t="str">
        <f>IFERROR(VLOOKUP(VLOOKUP(A1982,'Sales Order'!A:C,3,FALSE),Employee!A:J,10,FALSE),"Not Specified")</f>
        <v>WA</v>
      </c>
      <c r="J1982" t="str">
        <f>VLOOKUP(B1982,Product!A:B,2,FALSE)</f>
        <v>Product TTEEX</v>
      </c>
      <c r="K1982" t="str">
        <f>VLOOKUP(VLOOKUP(B1982,Product!A:D,4,FALSE),Category!A:B,2,FALSE)</f>
        <v>Seafood</v>
      </c>
      <c r="L1982" s="24">
        <f>IFERROR(VLOOKUP(A1982,'Sales Order'!A:D,4,FALSE),"")</f>
        <v>39548</v>
      </c>
      <c r="M1982" s="24">
        <f>IFERROR(VLOOKUP(A1982,'Sales Order'!A:F,6,FALSE),"")</f>
        <v>39553</v>
      </c>
      <c r="N1982" t="str">
        <f>IFERROR(VLOOKUP(VLOOKUP(A1982,'Sales Order'!A:G,7,FALSE),Shipper!A:B,2,FALSE),"Not Specified")</f>
        <v>Shipper ZHISN</v>
      </c>
      <c r="O1982" t="str">
        <f>IFERROR(VLOOKUP(A1982,'Sales Order'!A:I,9,FALSE),"Not Specified")</f>
        <v>Ship to 47-A</v>
      </c>
      <c r="P1982" t="str">
        <f>IFERROR(VLOOKUP(A1982,'Sales Order'!A:N,14,FALSE),"Not Specified")</f>
        <v>Venezuela</v>
      </c>
      <c r="Q1982" t="str">
        <f>VLOOKUP(VLOOKUP(B1982,Product!A:C,3,FALSE),Supplier!A:B,2,FALSE)</f>
        <v>Supplier JDNUG</v>
      </c>
      <c r="R1982" t="str">
        <f>VLOOKUP(VLOOKUP(B1982,Product!A:C,3,FALSE),Supplier!A:I,9,FALSE)</f>
        <v>USA</v>
      </c>
      <c r="S1982" t="str">
        <f>IFERROR(IF(VLOOKUP(A1982,'Sales Order'!A:H,8,FALSE)&gt;100,"High Freight","Low Freight"),"Not Specified")</f>
        <v>Low Freight</v>
      </c>
      <c r="T1982">
        <f t="shared" si="61"/>
        <v>243.18</v>
      </c>
    </row>
    <row r="1983" spans="1:20">
      <c r="A1983" s="9">
        <v>11015</v>
      </c>
      <c r="B1983" s="6">
        <v>30</v>
      </c>
      <c r="C1983" s="6">
        <v>25.89</v>
      </c>
      <c r="D1983" s="6">
        <v>15</v>
      </c>
      <c r="E1983" s="18">
        <v>0</v>
      </c>
      <c r="F1983" s="6" t="str">
        <f>IFERROR(VLOOKUP(VLOOKUP(A1983,'Sales Order'!A:B,2,FALSE),Customer!A:C,3,FALSE),"Not Specified")</f>
        <v>Ginters, Kaspars</v>
      </c>
      <c r="G1983" s="6" t="str">
        <f t="shared" si="60"/>
        <v>Ginters Kaspars</v>
      </c>
      <c r="H1983" s="22" t="str">
        <f>IFERROR(VLOOKUP(VLOOKUP(A1983,'Sales Order'!A:C,3,FALSE),Employee!A:E,5,FALSE)&amp;" "&amp;VLOOKUP(VLOOKUP(A1983,'Sales Order'!A:C,3,FALSE),Employee!A:C,3,FALSE)&amp;" "&amp;VLOOKUP(VLOOKUP(A1983,'Sales Order'!A:C,3,FALSE),Employee!A:B,2,FALSE),"Not Specified")</f>
        <v>Dr. Don Funk</v>
      </c>
      <c r="I1983" t="str">
        <f>IFERROR(VLOOKUP(VLOOKUP(A1983,'Sales Order'!A:C,3,FALSE),Employee!A:J,10,FALSE),"Not Specified")</f>
        <v>WA</v>
      </c>
      <c r="J1983" t="str">
        <f>VLOOKUP(B1983,Product!A:B,2,FALSE)</f>
        <v>Product LYERX</v>
      </c>
      <c r="K1983" t="str">
        <f>VLOOKUP(VLOOKUP(B1983,Product!A:D,4,FALSE),Category!A:B,2,FALSE)</f>
        <v>Seafood</v>
      </c>
      <c r="L1983" s="24">
        <f>IFERROR(VLOOKUP(A1983,'Sales Order'!A:D,4,FALSE),"")</f>
        <v>39548</v>
      </c>
      <c r="M1983" s="24">
        <f>IFERROR(VLOOKUP(A1983,'Sales Order'!A:F,6,FALSE),"")</f>
        <v>39558</v>
      </c>
      <c r="N1983" t="str">
        <f>IFERROR(VLOOKUP(VLOOKUP(A1983,'Sales Order'!A:G,7,FALSE),Shipper!A:B,2,FALSE),"Not Specified")</f>
        <v>Shipper ETYNR</v>
      </c>
      <c r="O1983" t="str">
        <f>IFERROR(VLOOKUP(A1983,'Sales Order'!A:I,9,FALSE),"Not Specified")</f>
        <v>Ship to 70-C</v>
      </c>
      <c r="P1983" t="str">
        <f>IFERROR(VLOOKUP(A1983,'Sales Order'!A:N,14,FALSE),"Not Specified")</f>
        <v>Norway</v>
      </c>
      <c r="Q1983" t="str">
        <f>VLOOKUP(VLOOKUP(B1983,Product!A:C,3,FALSE),Supplier!A:B,2,FALSE)</f>
        <v>Supplier TEGSC</v>
      </c>
      <c r="R1983" t="str">
        <f>VLOOKUP(VLOOKUP(B1983,Product!A:C,3,FALSE),Supplier!A:I,9,FALSE)</f>
        <v>Germany</v>
      </c>
      <c r="S1983" t="str">
        <f>IFERROR(IF(VLOOKUP(A1983,'Sales Order'!A:H,8,FALSE)&gt;100,"High Freight","Low Freight"),"Not Specified")</f>
        <v>Low Freight</v>
      </c>
      <c r="T1983">
        <f t="shared" si="61"/>
        <v>388.35</v>
      </c>
    </row>
    <row r="1984" spans="1:20">
      <c r="A1984" s="9">
        <v>11015</v>
      </c>
      <c r="B1984" s="6">
        <v>77</v>
      </c>
      <c r="C1984" s="6">
        <v>13</v>
      </c>
      <c r="D1984" s="6">
        <v>18</v>
      </c>
      <c r="E1984" s="18">
        <v>0</v>
      </c>
      <c r="F1984" s="6" t="str">
        <f>IFERROR(VLOOKUP(VLOOKUP(A1984,'Sales Order'!A:B,2,FALSE),Customer!A:C,3,FALSE),"Not Specified")</f>
        <v>Ginters, Kaspars</v>
      </c>
      <c r="G1984" s="6" t="str">
        <f t="shared" si="60"/>
        <v>Ginters Kaspars</v>
      </c>
      <c r="H1984" s="22" t="str">
        <f>IFERROR(VLOOKUP(VLOOKUP(A1984,'Sales Order'!A:C,3,FALSE),Employee!A:E,5,FALSE)&amp;" "&amp;VLOOKUP(VLOOKUP(A1984,'Sales Order'!A:C,3,FALSE),Employee!A:C,3,FALSE)&amp;" "&amp;VLOOKUP(VLOOKUP(A1984,'Sales Order'!A:C,3,FALSE),Employee!A:B,2,FALSE),"Not Specified")</f>
        <v>Dr. Don Funk</v>
      </c>
      <c r="I1984" t="str">
        <f>IFERROR(VLOOKUP(VLOOKUP(A1984,'Sales Order'!A:C,3,FALSE),Employee!A:J,10,FALSE),"Not Specified")</f>
        <v>WA</v>
      </c>
      <c r="J1984" t="str">
        <f>VLOOKUP(B1984,Product!A:B,2,FALSE)</f>
        <v>Product LUNZZ</v>
      </c>
      <c r="K1984" t="str">
        <f>VLOOKUP(VLOOKUP(B1984,Product!A:D,4,FALSE),Category!A:B,2,FALSE)</f>
        <v>Condiments</v>
      </c>
      <c r="L1984" s="24">
        <f>IFERROR(VLOOKUP(A1984,'Sales Order'!A:D,4,FALSE),"")</f>
        <v>39548</v>
      </c>
      <c r="M1984" s="24">
        <f>IFERROR(VLOOKUP(A1984,'Sales Order'!A:F,6,FALSE),"")</f>
        <v>39558</v>
      </c>
      <c r="N1984" t="str">
        <f>IFERROR(VLOOKUP(VLOOKUP(A1984,'Sales Order'!A:G,7,FALSE),Shipper!A:B,2,FALSE),"Not Specified")</f>
        <v>Shipper ETYNR</v>
      </c>
      <c r="O1984" t="str">
        <f>IFERROR(VLOOKUP(A1984,'Sales Order'!A:I,9,FALSE),"Not Specified")</f>
        <v>Ship to 70-C</v>
      </c>
      <c r="P1984" t="str">
        <f>IFERROR(VLOOKUP(A1984,'Sales Order'!A:N,14,FALSE),"Not Specified")</f>
        <v>Norway</v>
      </c>
      <c r="Q1984" t="str">
        <f>VLOOKUP(VLOOKUP(B1984,Product!A:C,3,FALSE),Supplier!A:B,2,FALSE)</f>
        <v>Supplier SVIYA</v>
      </c>
      <c r="R1984" t="str">
        <f>VLOOKUP(VLOOKUP(B1984,Product!A:C,3,FALSE),Supplier!A:I,9,FALSE)</f>
        <v>Germany</v>
      </c>
      <c r="S1984" t="str">
        <f>IFERROR(IF(VLOOKUP(A1984,'Sales Order'!A:H,8,FALSE)&gt;100,"High Freight","Low Freight"),"Not Specified")</f>
        <v>Low Freight</v>
      </c>
      <c r="T1984">
        <f t="shared" si="61"/>
        <v>234</v>
      </c>
    </row>
    <row r="1985" spans="1:20">
      <c r="A1985" s="9">
        <v>11016</v>
      </c>
      <c r="B1985" s="6">
        <v>31</v>
      </c>
      <c r="C1985" s="6">
        <v>12.5</v>
      </c>
      <c r="D1985" s="6">
        <v>15</v>
      </c>
      <c r="E1985" s="18">
        <v>0</v>
      </c>
      <c r="F1985" s="6" t="str">
        <f>IFERROR(VLOOKUP(VLOOKUP(A1985,'Sales Order'!A:B,2,FALSE),Customer!A:C,3,FALSE),"Not Specified")</f>
        <v>Arndt, Torsten</v>
      </c>
      <c r="G1985" s="6" t="str">
        <f t="shared" si="60"/>
        <v>Arndt Torsten</v>
      </c>
      <c r="H1985" s="22" t="str">
        <f>IFERROR(VLOOKUP(VLOOKUP(A1985,'Sales Order'!A:C,3,FALSE),Employee!A:E,5,FALSE)&amp;" "&amp;VLOOKUP(VLOOKUP(A1985,'Sales Order'!A:C,3,FALSE),Employee!A:C,3,FALSE)&amp;" "&amp;VLOOKUP(VLOOKUP(A1985,'Sales Order'!A:C,3,FALSE),Employee!A:B,2,FALSE),"Not Specified")</f>
        <v>Ms. Zoya Dolgopyatova</v>
      </c>
      <c r="I1985">
        <f>IFERROR(VLOOKUP(VLOOKUP(A1985,'Sales Order'!A:C,3,FALSE),Employee!A:J,10,FALSE),"Not Specified")</f>
        <v>0</v>
      </c>
      <c r="J1985" t="str">
        <f>VLOOKUP(B1985,Product!A:B,2,FALSE)</f>
        <v>Product XWOXC</v>
      </c>
      <c r="K1985" t="str">
        <f>VLOOKUP(VLOOKUP(B1985,Product!A:D,4,FALSE),Category!A:B,2,FALSE)</f>
        <v>Dairy Product</v>
      </c>
      <c r="L1985" s="24">
        <f>IFERROR(VLOOKUP(A1985,'Sales Order'!A:D,4,FALSE),"")</f>
        <v>39548</v>
      </c>
      <c r="M1985" s="24">
        <f>IFERROR(VLOOKUP(A1985,'Sales Order'!A:F,6,FALSE),"")</f>
        <v>39551</v>
      </c>
      <c r="N1985" t="str">
        <f>IFERROR(VLOOKUP(VLOOKUP(A1985,'Sales Order'!A:G,7,FALSE),Shipper!A:B,2,FALSE),"Not Specified")</f>
        <v>Shipper ETYNR</v>
      </c>
      <c r="O1985" t="str">
        <f>IFERROR(VLOOKUP(A1985,'Sales Order'!A:I,9,FALSE),"Not Specified")</f>
        <v>Ship to 4-A</v>
      </c>
      <c r="P1985" t="str">
        <f>IFERROR(VLOOKUP(A1985,'Sales Order'!A:N,14,FALSE),"Not Specified")</f>
        <v>UK</v>
      </c>
      <c r="Q1985" t="str">
        <f>VLOOKUP(VLOOKUP(B1985,Product!A:C,3,FALSE),Supplier!A:B,2,FALSE)</f>
        <v>Supplier KEREV</v>
      </c>
      <c r="R1985" t="str">
        <f>VLOOKUP(VLOOKUP(B1985,Product!A:C,3,FALSE),Supplier!A:I,9,FALSE)</f>
        <v>Italy</v>
      </c>
      <c r="S1985" t="str">
        <f>IFERROR(IF(VLOOKUP(A1985,'Sales Order'!A:H,8,FALSE)&gt;100,"High Freight","Low Freight"),"Not Specified")</f>
        <v>Low Freight</v>
      </c>
      <c r="T1985">
        <f t="shared" si="61"/>
        <v>187.5</v>
      </c>
    </row>
    <row r="1986" spans="1:20">
      <c r="A1986" s="9">
        <v>11016</v>
      </c>
      <c r="B1986" s="6">
        <v>36</v>
      </c>
      <c r="C1986" s="6">
        <v>19</v>
      </c>
      <c r="D1986" s="6">
        <v>16</v>
      </c>
      <c r="E1986" s="18">
        <v>0</v>
      </c>
      <c r="F1986" s="6" t="str">
        <f>IFERROR(VLOOKUP(VLOOKUP(A1986,'Sales Order'!A:B,2,FALSE),Customer!A:C,3,FALSE),"Not Specified")</f>
        <v>Arndt, Torsten</v>
      </c>
      <c r="G1986" s="6" t="str">
        <f t="shared" si="60"/>
        <v>Arndt Torsten</v>
      </c>
      <c r="H1986" s="22" t="str">
        <f>IFERROR(VLOOKUP(VLOOKUP(A1986,'Sales Order'!A:C,3,FALSE),Employee!A:E,5,FALSE)&amp;" "&amp;VLOOKUP(VLOOKUP(A1986,'Sales Order'!A:C,3,FALSE),Employee!A:C,3,FALSE)&amp;" "&amp;VLOOKUP(VLOOKUP(A1986,'Sales Order'!A:C,3,FALSE),Employee!A:B,2,FALSE),"Not Specified")</f>
        <v>Ms. Zoya Dolgopyatova</v>
      </c>
      <c r="I1986">
        <f>IFERROR(VLOOKUP(VLOOKUP(A1986,'Sales Order'!A:C,3,FALSE),Employee!A:J,10,FALSE),"Not Specified")</f>
        <v>0</v>
      </c>
      <c r="J1986" t="str">
        <f>VLOOKUP(B1986,Product!A:B,2,FALSE)</f>
        <v>Product GMKIJ</v>
      </c>
      <c r="K1986" t="str">
        <f>VLOOKUP(VLOOKUP(B1986,Product!A:D,4,FALSE),Category!A:B,2,FALSE)</f>
        <v>Seafood</v>
      </c>
      <c r="L1986" s="24">
        <f>IFERROR(VLOOKUP(A1986,'Sales Order'!A:D,4,FALSE),"")</f>
        <v>39548</v>
      </c>
      <c r="M1986" s="24">
        <f>IFERROR(VLOOKUP(A1986,'Sales Order'!A:F,6,FALSE),"")</f>
        <v>39551</v>
      </c>
      <c r="N1986" t="str">
        <f>IFERROR(VLOOKUP(VLOOKUP(A1986,'Sales Order'!A:G,7,FALSE),Shipper!A:B,2,FALSE),"Not Specified")</f>
        <v>Shipper ETYNR</v>
      </c>
      <c r="O1986" t="str">
        <f>IFERROR(VLOOKUP(A1986,'Sales Order'!A:I,9,FALSE),"Not Specified")</f>
        <v>Ship to 4-A</v>
      </c>
      <c r="P1986" t="str">
        <f>IFERROR(VLOOKUP(A1986,'Sales Order'!A:N,14,FALSE),"Not Specified")</f>
        <v>UK</v>
      </c>
      <c r="Q1986" t="str">
        <f>VLOOKUP(VLOOKUP(B1986,Product!A:C,3,FALSE),Supplier!A:B,2,FALSE)</f>
        <v>Supplier QZGUF</v>
      </c>
      <c r="R1986" t="str">
        <f>VLOOKUP(VLOOKUP(B1986,Product!A:C,3,FALSE),Supplier!A:I,9,FALSE)</f>
        <v>Sweden</v>
      </c>
      <c r="S1986" t="str">
        <f>IFERROR(IF(VLOOKUP(A1986,'Sales Order'!A:H,8,FALSE)&gt;100,"High Freight","Low Freight"),"Not Specified")</f>
        <v>Low Freight</v>
      </c>
      <c r="T1986">
        <f t="shared" si="61"/>
        <v>304</v>
      </c>
    </row>
    <row r="1987" spans="1:20">
      <c r="A1987" s="9">
        <v>11017</v>
      </c>
      <c r="B1987" s="6">
        <v>3</v>
      </c>
      <c r="C1987" s="6">
        <v>10</v>
      </c>
      <c r="D1987" s="6">
        <v>25</v>
      </c>
      <c r="E1987" s="18">
        <v>0</v>
      </c>
      <c r="F1987" s="6" t="str">
        <f>IFERROR(VLOOKUP(VLOOKUP(A1987,'Sales Order'!A:B,2,FALSE),Customer!A:C,3,FALSE),"Not Specified")</f>
        <v>Kane, John</v>
      </c>
      <c r="G1987" s="6" t="str">
        <f t="shared" ref="G1987:G2050" si="62">SUBSTITUTE(F1987,",","",1)</f>
        <v>Kane John</v>
      </c>
      <c r="H1987" s="22" t="str">
        <f>IFERROR(VLOOKUP(VLOOKUP(A1987,'Sales Order'!A:C,3,FALSE),Employee!A:E,5,FALSE)&amp;" "&amp;VLOOKUP(VLOOKUP(A1987,'Sales Order'!A:C,3,FALSE),Employee!A:C,3,FALSE)&amp;" "&amp;VLOOKUP(VLOOKUP(A1987,'Sales Order'!A:C,3,FALSE),Employee!A:B,2,FALSE),"Not Specified")</f>
        <v>Ms. Zoya Dolgopyatova</v>
      </c>
      <c r="I1987">
        <f>IFERROR(VLOOKUP(VLOOKUP(A1987,'Sales Order'!A:C,3,FALSE),Employee!A:J,10,FALSE),"Not Specified")</f>
        <v>0</v>
      </c>
      <c r="J1987" t="str">
        <f>VLOOKUP(B1987,Product!A:B,2,FALSE)</f>
        <v>Product IMEHJ</v>
      </c>
      <c r="K1987" t="str">
        <f>VLOOKUP(VLOOKUP(B1987,Product!A:D,4,FALSE),Category!A:B,2,FALSE)</f>
        <v>Condiments</v>
      </c>
      <c r="L1987" s="24">
        <f>IFERROR(VLOOKUP(A1987,'Sales Order'!A:D,4,FALSE),"")</f>
        <v>39551</v>
      </c>
      <c r="M1987" s="24">
        <f>IFERROR(VLOOKUP(A1987,'Sales Order'!A:F,6,FALSE),"")</f>
        <v>39558</v>
      </c>
      <c r="N1987" t="str">
        <f>IFERROR(VLOOKUP(VLOOKUP(A1987,'Sales Order'!A:G,7,FALSE),Shipper!A:B,2,FALSE),"Not Specified")</f>
        <v>Shipper ETYNR</v>
      </c>
      <c r="O1987" t="str">
        <f>IFERROR(VLOOKUP(A1987,'Sales Order'!A:I,9,FALSE),"Not Specified")</f>
        <v>Destination CUVPF</v>
      </c>
      <c r="P1987" t="str">
        <f>IFERROR(VLOOKUP(A1987,'Sales Order'!A:N,14,FALSE),"Not Specified")</f>
        <v>Austria</v>
      </c>
      <c r="Q1987" t="str">
        <f>VLOOKUP(VLOOKUP(B1987,Product!A:C,3,FALSE),Supplier!A:B,2,FALSE)</f>
        <v>Supplier SWRXU</v>
      </c>
      <c r="R1987" t="str">
        <f>VLOOKUP(VLOOKUP(B1987,Product!A:C,3,FALSE),Supplier!A:I,9,FALSE)</f>
        <v>UK</v>
      </c>
      <c r="S1987" t="str">
        <f>IFERROR(IF(VLOOKUP(A1987,'Sales Order'!A:H,8,FALSE)&gt;100,"High Freight","Low Freight"),"Not Specified")</f>
        <v>High Freight</v>
      </c>
      <c r="T1987">
        <f t="shared" ref="T1987:T2050" si="63">C1987*D1987*(1-E1987)</f>
        <v>250</v>
      </c>
    </row>
    <row r="1988" spans="1:20">
      <c r="A1988" s="9">
        <v>11017</v>
      </c>
      <c r="B1988" s="6">
        <v>59</v>
      </c>
      <c r="C1988" s="6">
        <v>55</v>
      </c>
      <c r="D1988" s="6">
        <v>110</v>
      </c>
      <c r="E1988" s="18">
        <v>0</v>
      </c>
      <c r="F1988" s="6" t="str">
        <f>IFERROR(VLOOKUP(VLOOKUP(A1988,'Sales Order'!A:B,2,FALSE),Customer!A:C,3,FALSE),"Not Specified")</f>
        <v>Kane, John</v>
      </c>
      <c r="G1988" s="6" t="str">
        <f t="shared" si="62"/>
        <v>Kane John</v>
      </c>
      <c r="H1988" s="22" t="str">
        <f>IFERROR(VLOOKUP(VLOOKUP(A1988,'Sales Order'!A:C,3,FALSE),Employee!A:E,5,FALSE)&amp;" "&amp;VLOOKUP(VLOOKUP(A1988,'Sales Order'!A:C,3,FALSE),Employee!A:C,3,FALSE)&amp;" "&amp;VLOOKUP(VLOOKUP(A1988,'Sales Order'!A:C,3,FALSE),Employee!A:B,2,FALSE),"Not Specified")</f>
        <v>Ms. Zoya Dolgopyatova</v>
      </c>
      <c r="I1988">
        <f>IFERROR(VLOOKUP(VLOOKUP(A1988,'Sales Order'!A:C,3,FALSE),Employee!A:J,10,FALSE),"Not Specified")</f>
        <v>0</v>
      </c>
      <c r="J1988" t="str">
        <f>VLOOKUP(B1988,Product!A:B,2,FALSE)</f>
        <v>Product UKXRI</v>
      </c>
      <c r="K1988" t="str">
        <f>VLOOKUP(VLOOKUP(B1988,Product!A:D,4,FALSE),Category!A:B,2,FALSE)</f>
        <v>Dairy Product</v>
      </c>
      <c r="L1988" s="24">
        <f>IFERROR(VLOOKUP(A1988,'Sales Order'!A:D,4,FALSE),"")</f>
        <v>39551</v>
      </c>
      <c r="M1988" s="24">
        <f>IFERROR(VLOOKUP(A1988,'Sales Order'!A:F,6,FALSE),"")</f>
        <v>39558</v>
      </c>
      <c r="N1988" t="str">
        <f>IFERROR(VLOOKUP(VLOOKUP(A1988,'Sales Order'!A:G,7,FALSE),Shipper!A:B,2,FALSE),"Not Specified")</f>
        <v>Shipper ETYNR</v>
      </c>
      <c r="O1988" t="str">
        <f>IFERROR(VLOOKUP(A1988,'Sales Order'!A:I,9,FALSE),"Not Specified")</f>
        <v>Destination CUVPF</v>
      </c>
      <c r="P1988" t="str">
        <f>IFERROR(VLOOKUP(A1988,'Sales Order'!A:N,14,FALSE),"Not Specified")</f>
        <v>Austria</v>
      </c>
      <c r="Q1988" t="str">
        <f>VLOOKUP(VLOOKUP(B1988,Product!A:C,3,FALSE),Supplier!A:B,2,FALSE)</f>
        <v>Supplier OAVQT</v>
      </c>
      <c r="R1988" t="str">
        <f>VLOOKUP(VLOOKUP(B1988,Product!A:C,3,FALSE),Supplier!A:I,9,FALSE)</f>
        <v>France</v>
      </c>
      <c r="S1988" t="str">
        <f>IFERROR(IF(VLOOKUP(A1988,'Sales Order'!A:H,8,FALSE)&gt;100,"High Freight","Low Freight"),"Not Specified")</f>
        <v>High Freight</v>
      </c>
      <c r="T1988">
        <f t="shared" si="63"/>
        <v>6050</v>
      </c>
    </row>
    <row r="1989" spans="1:20">
      <c r="A1989" s="9">
        <v>11017</v>
      </c>
      <c r="B1989" s="6">
        <v>70</v>
      </c>
      <c r="C1989" s="6">
        <v>15</v>
      </c>
      <c r="D1989" s="6">
        <v>30</v>
      </c>
      <c r="E1989" s="18">
        <v>0</v>
      </c>
      <c r="F1989" s="6" t="str">
        <f>IFERROR(VLOOKUP(VLOOKUP(A1989,'Sales Order'!A:B,2,FALSE),Customer!A:C,3,FALSE),"Not Specified")</f>
        <v>Kane, John</v>
      </c>
      <c r="G1989" s="6" t="str">
        <f t="shared" si="62"/>
        <v>Kane John</v>
      </c>
      <c r="H1989" s="22" t="str">
        <f>IFERROR(VLOOKUP(VLOOKUP(A1989,'Sales Order'!A:C,3,FALSE),Employee!A:E,5,FALSE)&amp;" "&amp;VLOOKUP(VLOOKUP(A1989,'Sales Order'!A:C,3,FALSE),Employee!A:C,3,FALSE)&amp;" "&amp;VLOOKUP(VLOOKUP(A1989,'Sales Order'!A:C,3,FALSE),Employee!A:B,2,FALSE),"Not Specified")</f>
        <v>Ms. Zoya Dolgopyatova</v>
      </c>
      <c r="I1989">
        <f>IFERROR(VLOOKUP(VLOOKUP(A1989,'Sales Order'!A:C,3,FALSE),Employee!A:J,10,FALSE),"Not Specified")</f>
        <v>0</v>
      </c>
      <c r="J1989" t="str">
        <f>VLOOKUP(B1989,Product!A:B,2,FALSE)</f>
        <v>Product TOONT</v>
      </c>
      <c r="K1989" t="str">
        <f>VLOOKUP(VLOOKUP(B1989,Product!A:D,4,FALSE),Category!A:B,2,FALSE)</f>
        <v>Beverages</v>
      </c>
      <c r="L1989" s="24">
        <f>IFERROR(VLOOKUP(A1989,'Sales Order'!A:D,4,FALSE),"")</f>
        <v>39551</v>
      </c>
      <c r="M1989" s="24">
        <f>IFERROR(VLOOKUP(A1989,'Sales Order'!A:F,6,FALSE),"")</f>
        <v>39558</v>
      </c>
      <c r="N1989" t="str">
        <f>IFERROR(VLOOKUP(VLOOKUP(A1989,'Sales Order'!A:G,7,FALSE),Shipper!A:B,2,FALSE),"Not Specified")</f>
        <v>Shipper ETYNR</v>
      </c>
      <c r="O1989" t="str">
        <f>IFERROR(VLOOKUP(A1989,'Sales Order'!A:I,9,FALSE),"Not Specified")</f>
        <v>Destination CUVPF</v>
      </c>
      <c r="P1989" t="str">
        <f>IFERROR(VLOOKUP(A1989,'Sales Order'!A:N,14,FALSE),"Not Specified")</f>
        <v>Austria</v>
      </c>
      <c r="Q1989" t="str">
        <f>VLOOKUP(VLOOKUP(B1989,Product!A:C,3,FALSE),Supplier!A:B,2,FALSE)</f>
        <v>Supplier GQRCV</v>
      </c>
      <c r="R1989" t="str">
        <f>VLOOKUP(VLOOKUP(B1989,Product!A:C,3,FALSE),Supplier!A:I,9,FALSE)</f>
        <v>Australia</v>
      </c>
      <c r="S1989" t="str">
        <f>IFERROR(IF(VLOOKUP(A1989,'Sales Order'!A:H,8,FALSE)&gt;100,"High Freight","Low Freight"),"Not Specified")</f>
        <v>High Freight</v>
      </c>
      <c r="T1989">
        <f t="shared" si="63"/>
        <v>450</v>
      </c>
    </row>
    <row r="1990" spans="1:20">
      <c r="A1990" s="9">
        <v>11018</v>
      </c>
      <c r="B1990" s="6">
        <v>12</v>
      </c>
      <c r="C1990" s="6">
        <v>38</v>
      </c>
      <c r="D1990" s="6">
        <v>20</v>
      </c>
      <c r="E1990" s="18">
        <v>0</v>
      </c>
      <c r="F1990" s="6" t="str">
        <f>IFERROR(VLOOKUP(VLOOKUP(A1990,'Sales Order'!A:B,2,FALSE),Customer!A:C,3,FALSE),"Not Specified")</f>
        <v>Szymczak, Radosław</v>
      </c>
      <c r="G1990" s="6" t="str">
        <f t="shared" si="62"/>
        <v>Szymczak Radosław</v>
      </c>
      <c r="H1990" s="22" t="str">
        <f>IFERROR(VLOOKUP(VLOOKUP(A1990,'Sales Order'!A:C,3,FALSE),Employee!A:E,5,FALSE)&amp;" "&amp;VLOOKUP(VLOOKUP(A1990,'Sales Order'!A:C,3,FALSE),Employee!A:C,3,FALSE)&amp;" "&amp;VLOOKUP(VLOOKUP(A1990,'Sales Order'!A:C,3,FALSE),Employee!A:B,2,FALSE),"Not Specified")</f>
        <v>Mrs. Yael Peled</v>
      </c>
      <c r="I1990" t="str">
        <f>IFERROR(VLOOKUP(VLOOKUP(A1990,'Sales Order'!A:C,3,FALSE),Employee!A:J,10,FALSE),"Not Specified")</f>
        <v>WA</v>
      </c>
      <c r="J1990" t="str">
        <f>VLOOKUP(B1990,Product!A:B,2,FALSE)</f>
        <v>Product OSFNS</v>
      </c>
      <c r="K1990" t="str">
        <f>VLOOKUP(VLOOKUP(B1990,Product!A:D,4,FALSE),Category!A:B,2,FALSE)</f>
        <v>Dairy Product</v>
      </c>
      <c r="L1990" s="24">
        <f>IFERROR(VLOOKUP(A1990,'Sales Order'!A:D,4,FALSE),"")</f>
        <v>39551</v>
      </c>
      <c r="M1990" s="24">
        <f>IFERROR(VLOOKUP(A1990,'Sales Order'!A:F,6,FALSE),"")</f>
        <v>39554</v>
      </c>
      <c r="N1990" t="str">
        <f>IFERROR(VLOOKUP(VLOOKUP(A1990,'Sales Order'!A:G,7,FALSE),Shipper!A:B,2,FALSE),"Not Specified")</f>
        <v>Shipper ETYNR</v>
      </c>
      <c r="O1990" t="str">
        <f>IFERROR(VLOOKUP(A1990,'Sales Order'!A:I,9,FALSE),"Not Specified")</f>
        <v>Ship to 48-B</v>
      </c>
      <c r="P1990" t="str">
        <f>IFERROR(VLOOKUP(A1990,'Sales Order'!A:N,14,FALSE),"Not Specified")</f>
        <v>USA</v>
      </c>
      <c r="Q1990" t="str">
        <f>VLOOKUP(VLOOKUP(B1990,Product!A:C,3,FALSE),Supplier!A:B,2,FALSE)</f>
        <v>Supplier EQPNC</v>
      </c>
      <c r="R1990" t="str">
        <f>VLOOKUP(VLOOKUP(B1990,Product!A:C,3,FALSE),Supplier!A:I,9,FALSE)</f>
        <v>Spain</v>
      </c>
      <c r="S1990" t="str">
        <f>IFERROR(IF(VLOOKUP(A1990,'Sales Order'!A:H,8,FALSE)&gt;100,"High Freight","Low Freight"),"Not Specified")</f>
        <v>Low Freight</v>
      </c>
      <c r="T1990">
        <f t="shared" si="63"/>
        <v>760</v>
      </c>
    </row>
    <row r="1991" spans="1:20">
      <c r="A1991" s="9">
        <v>11018</v>
      </c>
      <c r="B1991" s="6">
        <v>18</v>
      </c>
      <c r="C1991" s="6">
        <v>62.5</v>
      </c>
      <c r="D1991" s="6">
        <v>10</v>
      </c>
      <c r="E1991" s="18">
        <v>0</v>
      </c>
      <c r="F1991" s="6" t="str">
        <f>IFERROR(VLOOKUP(VLOOKUP(A1991,'Sales Order'!A:B,2,FALSE),Customer!A:C,3,FALSE),"Not Specified")</f>
        <v>Szymczak, Radosław</v>
      </c>
      <c r="G1991" s="6" t="str">
        <f t="shared" si="62"/>
        <v>Szymczak Radosław</v>
      </c>
      <c r="H1991" s="22" t="str">
        <f>IFERROR(VLOOKUP(VLOOKUP(A1991,'Sales Order'!A:C,3,FALSE),Employee!A:E,5,FALSE)&amp;" "&amp;VLOOKUP(VLOOKUP(A1991,'Sales Order'!A:C,3,FALSE),Employee!A:C,3,FALSE)&amp;" "&amp;VLOOKUP(VLOOKUP(A1991,'Sales Order'!A:C,3,FALSE),Employee!A:B,2,FALSE),"Not Specified")</f>
        <v>Mrs. Yael Peled</v>
      </c>
      <c r="I1991" t="str">
        <f>IFERROR(VLOOKUP(VLOOKUP(A1991,'Sales Order'!A:C,3,FALSE),Employee!A:J,10,FALSE),"Not Specified")</f>
        <v>WA</v>
      </c>
      <c r="J1991" t="str">
        <f>VLOOKUP(B1991,Product!A:B,2,FALSE)</f>
        <v>Product CKEDC</v>
      </c>
      <c r="K1991" t="str">
        <f>VLOOKUP(VLOOKUP(B1991,Product!A:D,4,FALSE),Category!A:B,2,FALSE)</f>
        <v>Seafood</v>
      </c>
      <c r="L1991" s="24">
        <f>IFERROR(VLOOKUP(A1991,'Sales Order'!A:D,4,FALSE),"")</f>
        <v>39551</v>
      </c>
      <c r="M1991" s="24">
        <f>IFERROR(VLOOKUP(A1991,'Sales Order'!A:F,6,FALSE),"")</f>
        <v>39554</v>
      </c>
      <c r="N1991" t="str">
        <f>IFERROR(VLOOKUP(VLOOKUP(A1991,'Sales Order'!A:G,7,FALSE),Shipper!A:B,2,FALSE),"Not Specified")</f>
        <v>Shipper ETYNR</v>
      </c>
      <c r="O1991" t="str">
        <f>IFERROR(VLOOKUP(A1991,'Sales Order'!A:I,9,FALSE),"Not Specified")</f>
        <v>Ship to 48-B</v>
      </c>
      <c r="P1991" t="str">
        <f>IFERROR(VLOOKUP(A1991,'Sales Order'!A:N,14,FALSE),"Not Specified")</f>
        <v>USA</v>
      </c>
      <c r="Q1991" t="str">
        <f>VLOOKUP(VLOOKUP(B1991,Product!A:C,3,FALSE),Supplier!A:B,2,FALSE)</f>
        <v>Supplier GQRCV</v>
      </c>
      <c r="R1991" t="str">
        <f>VLOOKUP(VLOOKUP(B1991,Product!A:C,3,FALSE),Supplier!A:I,9,FALSE)</f>
        <v>Australia</v>
      </c>
      <c r="S1991" t="str">
        <f>IFERROR(IF(VLOOKUP(A1991,'Sales Order'!A:H,8,FALSE)&gt;100,"High Freight","Low Freight"),"Not Specified")</f>
        <v>Low Freight</v>
      </c>
      <c r="T1991">
        <f t="shared" si="63"/>
        <v>625</v>
      </c>
    </row>
    <row r="1992" spans="1:20">
      <c r="A1992" s="9">
        <v>11018</v>
      </c>
      <c r="B1992" s="6">
        <v>56</v>
      </c>
      <c r="C1992" s="6">
        <v>38</v>
      </c>
      <c r="D1992" s="6">
        <v>5</v>
      </c>
      <c r="E1992" s="18">
        <v>0</v>
      </c>
      <c r="F1992" s="6" t="str">
        <f>IFERROR(VLOOKUP(VLOOKUP(A1992,'Sales Order'!A:B,2,FALSE),Customer!A:C,3,FALSE),"Not Specified")</f>
        <v>Szymczak, Radosław</v>
      </c>
      <c r="G1992" s="6" t="str">
        <f t="shared" si="62"/>
        <v>Szymczak Radosław</v>
      </c>
      <c r="H1992" s="22" t="str">
        <f>IFERROR(VLOOKUP(VLOOKUP(A1992,'Sales Order'!A:C,3,FALSE),Employee!A:E,5,FALSE)&amp;" "&amp;VLOOKUP(VLOOKUP(A1992,'Sales Order'!A:C,3,FALSE),Employee!A:C,3,FALSE)&amp;" "&amp;VLOOKUP(VLOOKUP(A1992,'Sales Order'!A:C,3,FALSE),Employee!A:B,2,FALSE),"Not Specified")</f>
        <v>Mrs. Yael Peled</v>
      </c>
      <c r="I1992" t="str">
        <f>IFERROR(VLOOKUP(VLOOKUP(A1992,'Sales Order'!A:C,3,FALSE),Employee!A:J,10,FALSE),"Not Specified")</f>
        <v>WA</v>
      </c>
      <c r="J1992" t="str">
        <f>VLOOKUP(B1992,Product!A:B,2,FALSE)</f>
        <v>Product VKCMF</v>
      </c>
      <c r="K1992" t="str">
        <f>VLOOKUP(VLOOKUP(B1992,Product!A:D,4,FALSE),Category!A:B,2,FALSE)</f>
        <v>Grains/Cereals</v>
      </c>
      <c r="L1992" s="24">
        <f>IFERROR(VLOOKUP(A1992,'Sales Order'!A:D,4,FALSE),"")</f>
        <v>39551</v>
      </c>
      <c r="M1992" s="24">
        <f>IFERROR(VLOOKUP(A1992,'Sales Order'!A:F,6,FALSE),"")</f>
        <v>39554</v>
      </c>
      <c r="N1992" t="str">
        <f>IFERROR(VLOOKUP(VLOOKUP(A1992,'Sales Order'!A:G,7,FALSE),Shipper!A:B,2,FALSE),"Not Specified")</f>
        <v>Shipper ETYNR</v>
      </c>
      <c r="O1992" t="str">
        <f>IFERROR(VLOOKUP(A1992,'Sales Order'!A:I,9,FALSE),"Not Specified")</f>
        <v>Ship to 48-B</v>
      </c>
      <c r="P1992" t="str">
        <f>IFERROR(VLOOKUP(A1992,'Sales Order'!A:N,14,FALSE),"Not Specified")</f>
        <v>USA</v>
      </c>
      <c r="Q1992" t="str">
        <f>VLOOKUP(VLOOKUP(B1992,Product!A:C,3,FALSE),Supplier!A:B,2,FALSE)</f>
        <v>Supplier ZWZDM</v>
      </c>
      <c r="R1992" t="str">
        <f>VLOOKUP(VLOOKUP(B1992,Product!A:C,3,FALSE),Supplier!A:I,9,FALSE)</f>
        <v>Italy</v>
      </c>
      <c r="S1992" t="str">
        <f>IFERROR(IF(VLOOKUP(A1992,'Sales Order'!A:H,8,FALSE)&gt;100,"High Freight","Low Freight"),"Not Specified")</f>
        <v>Low Freight</v>
      </c>
      <c r="T1992">
        <f t="shared" si="63"/>
        <v>190</v>
      </c>
    </row>
    <row r="1993" spans="1:20">
      <c r="A1993" s="9">
        <v>11019</v>
      </c>
      <c r="B1993" s="6">
        <v>46</v>
      </c>
      <c r="C1993" s="6">
        <v>12</v>
      </c>
      <c r="D1993" s="6">
        <v>3</v>
      </c>
      <c r="E1993" s="18">
        <v>0</v>
      </c>
      <c r="F1993" s="6" t="str">
        <f>IFERROR(VLOOKUP(VLOOKUP(A1993,'Sales Order'!A:B,2,FALSE),Customer!A:C,3,FALSE),"Not Specified")</f>
        <v>Gaffney, Lawrie</v>
      </c>
      <c r="G1993" s="6" t="str">
        <f t="shared" si="62"/>
        <v>Gaffney Lawrie</v>
      </c>
      <c r="H1993" s="22" t="str">
        <f>IFERROR(VLOOKUP(VLOOKUP(A1993,'Sales Order'!A:C,3,FALSE),Employee!A:E,5,FALSE)&amp;" "&amp;VLOOKUP(VLOOKUP(A1993,'Sales Order'!A:C,3,FALSE),Employee!A:C,3,FALSE)&amp;" "&amp;VLOOKUP(VLOOKUP(A1993,'Sales Order'!A:C,3,FALSE),Employee!A:B,2,FALSE),"Not Specified")</f>
        <v>Mr. Paul Suurs</v>
      </c>
      <c r="I1993">
        <f>IFERROR(VLOOKUP(VLOOKUP(A1993,'Sales Order'!A:C,3,FALSE),Employee!A:J,10,FALSE),"Not Specified")</f>
        <v>0</v>
      </c>
      <c r="J1993" t="str">
        <f>VLOOKUP(B1993,Product!A:B,2,FALSE)</f>
        <v>Product CBRRL</v>
      </c>
      <c r="K1993" t="str">
        <f>VLOOKUP(VLOOKUP(B1993,Product!A:D,4,FALSE),Category!A:B,2,FALSE)</f>
        <v>Seafood</v>
      </c>
      <c r="L1993" s="24">
        <f>IFERROR(VLOOKUP(A1993,'Sales Order'!A:D,4,FALSE),"")</f>
        <v>39551</v>
      </c>
      <c r="M1993" s="24">
        <f>IFERROR(VLOOKUP(A1993,'Sales Order'!A:F,6,FALSE),"")</f>
        <v>0</v>
      </c>
      <c r="N1993" t="str">
        <f>IFERROR(VLOOKUP(VLOOKUP(A1993,'Sales Order'!A:G,7,FALSE),Shipper!A:B,2,FALSE),"Not Specified")</f>
        <v>Shipper ZHISN</v>
      </c>
      <c r="O1993" t="str">
        <f>IFERROR(VLOOKUP(A1993,'Sales Order'!A:I,9,FALSE),"Not Specified")</f>
        <v>Ship to 64-B</v>
      </c>
      <c r="P1993" t="str">
        <f>IFERROR(VLOOKUP(A1993,'Sales Order'!A:N,14,FALSE),"Not Specified")</f>
        <v>Argentina</v>
      </c>
      <c r="Q1993" t="str">
        <f>VLOOKUP(VLOOKUP(B1993,Product!A:C,3,FALSE),Supplier!A:B,2,FALSE)</f>
        <v>Supplier XOXZA</v>
      </c>
      <c r="R1993" t="str">
        <f>VLOOKUP(VLOOKUP(B1993,Product!A:C,3,FALSE),Supplier!A:I,9,FALSE)</f>
        <v>Denmark</v>
      </c>
      <c r="S1993" t="str">
        <f>IFERROR(IF(VLOOKUP(A1993,'Sales Order'!A:H,8,FALSE)&gt;100,"High Freight","Low Freight"),"Not Specified")</f>
        <v>Low Freight</v>
      </c>
      <c r="T1993">
        <f t="shared" si="63"/>
        <v>36</v>
      </c>
    </row>
    <row r="1994" spans="1:20">
      <c r="A1994" s="9">
        <v>11019</v>
      </c>
      <c r="B1994" s="6">
        <v>49</v>
      </c>
      <c r="C1994" s="6">
        <v>20</v>
      </c>
      <c r="D1994" s="6">
        <v>2</v>
      </c>
      <c r="E1994" s="18">
        <v>0</v>
      </c>
      <c r="F1994" s="6" t="str">
        <f>IFERROR(VLOOKUP(VLOOKUP(A1994,'Sales Order'!A:B,2,FALSE),Customer!A:C,3,FALSE),"Not Specified")</f>
        <v>Gaffney, Lawrie</v>
      </c>
      <c r="G1994" s="6" t="str">
        <f t="shared" si="62"/>
        <v>Gaffney Lawrie</v>
      </c>
      <c r="H1994" s="22" t="str">
        <f>IFERROR(VLOOKUP(VLOOKUP(A1994,'Sales Order'!A:C,3,FALSE),Employee!A:E,5,FALSE)&amp;" "&amp;VLOOKUP(VLOOKUP(A1994,'Sales Order'!A:C,3,FALSE),Employee!A:C,3,FALSE)&amp;" "&amp;VLOOKUP(VLOOKUP(A1994,'Sales Order'!A:C,3,FALSE),Employee!A:B,2,FALSE),"Not Specified")</f>
        <v>Mr. Paul Suurs</v>
      </c>
      <c r="I1994">
        <f>IFERROR(VLOOKUP(VLOOKUP(A1994,'Sales Order'!A:C,3,FALSE),Employee!A:J,10,FALSE),"Not Specified")</f>
        <v>0</v>
      </c>
      <c r="J1994" t="str">
        <f>VLOOKUP(B1994,Product!A:B,2,FALSE)</f>
        <v>Product FPYPN</v>
      </c>
      <c r="K1994" t="str">
        <f>VLOOKUP(VLOOKUP(B1994,Product!A:D,4,FALSE),Category!A:B,2,FALSE)</f>
        <v>Confections</v>
      </c>
      <c r="L1994" s="24">
        <f>IFERROR(VLOOKUP(A1994,'Sales Order'!A:D,4,FALSE),"")</f>
        <v>39551</v>
      </c>
      <c r="M1994" s="24">
        <f>IFERROR(VLOOKUP(A1994,'Sales Order'!A:F,6,FALSE),"")</f>
        <v>0</v>
      </c>
      <c r="N1994" t="str">
        <f>IFERROR(VLOOKUP(VLOOKUP(A1994,'Sales Order'!A:G,7,FALSE),Shipper!A:B,2,FALSE),"Not Specified")</f>
        <v>Shipper ZHISN</v>
      </c>
      <c r="O1994" t="str">
        <f>IFERROR(VLOOKUP(A1994,'Sales Order'!A:I,9,FALSE),"Not Specified")</f>
        <v>Ship to 64-B</v>
      </c>
      <c r="P1994" t="str">
        <f>IFERROR(VLOOKUP(A1994,'Sales Order'!A:N,14,FALSE),"Not Specified")</f>
        <v>Argentina</v>
      </c>
      <c r="Q1994" t="str">
        <f>VLOOKUP(VLOOKUP(B1994,Product!A:C,3,FALSE),Supplier!A:B,2,FALSE)</f>
        <v>Supplier ELCRN</v>
      </c>
      <c r="R1994" t="str">
        <f>VLOOKUP(VLOOKUP(B1994,Product!A:C,3,FALSE),Supplier!A:I,9,FALSE)</f>
        <v>Finland</v>
      </c>
      <c r="S1994" t="str">
        <f>IFERROR(IF(VLOOKUP(A1994,'Sales Order'!A:H,8,FALSE)&gt;100,"High Freight","Low Freight"),"Not Specified")</f>
        <v>Low Freight</v>
      </c>
      <c r="T1994">
        <f t="shared" si="63"/>
        <v>40</v>
      </c>
    </row>
    <row r="1995" spans="1:20">
      <c r="A1995" s="9">
        <v>11020</v>
      </c>
      <c r="B1995" s="6">
        <v>10</v>
      </c>
      <c r="C1995" s="6">
        <v>31</v>
      </c>
      <c r="D1995" s="6">
        <v>24</v>
      </c>
      <c r="E1995" s="18">
        <v>0.15</v>
      </c>
      <c r="F1995" s="6" t="str">
        <f>IFERROR(VLOOKUP(VLOOKUP(A1995,'Sales Order'!A:B,2,FALSE),Customer!A:C,3,FALSE),"Not Specified")</f>
        <v>Marinova, Nadejda</v>
      </c>
      <c r="G1995" s="6" t="str">
        <f t="shared" si="62"/>
        <v>Marinova Nadejda</v>
      </c>
      <c r="H1995" s="22" t="str">
        <f>IFERROR(VLOOKUP(VLOOKUP(A1995,'Sales Order'!A:C,3,FALSE),Employee!A:E,5,FALSE)&amp;" "&amp;VLOOKUP(VLOOKUP(A1995,'Sales Order'!A:C,3,FALSE),Employee!A:C,3,FALSE)&amp;" "&amp;VLOOKUP(VLOOKUP(A1995,'Sales Order'!A:C,3,FALSE),Employee!A:B,2,FALSE),"Not Specified")</f>
        <v>Dr. Don Funk</v>
      </c>
      <c r="I1995" t="str">
        <f>IFERROR(VLOOKUP(VLOOKUP(A1995,'Sales Order'!A:C,3,FALSE),Employee!A:J,10,FALSE),"Not Specified")</f>
        <v>WA</v>
      </c>
      <c r="J1995" t="str">
        <f>VLOOKUP(B1995,Product!A:B,2,FALSE)</f>
        <v>Product YHXGE</v>
      </c>
      <c r="K1995" t="str">
        <f>VLOOKUP(VLOOKUP(B1995,Product!A:D,4,FALSE),Category!A:B,2,FALSE)</f>
        <v>Seafood</v>
      </c>
      <c r="L1995" s="24">
        <f>IFERROR(VLOOKUP(A1995,'Sales Order'!A:D,4,FALSE),"")</f>
        <v>39552</v>
      </c>
      <c r="M1995" s="24">
        <f>IFERROR(VLOOKUP(A1995,'Sales Order'!A:F,6,FALSE),"")</f>
        <v>39554</v>
      </c>
      <c r="N1995" t="str">
        <f>IFERROR(VLOOKUP(VLOOKUP(A1995,'Sales Order'!A:G,7,FALSE),Shipper!A:B,2,FALSE),"Not Specified")</f>
        <v>Shipper ETYNR</v>
      </c>
      <c r="O1995" t="str">
        <f>IFERROR(VLOOKUP(A1995,'Sales Order'!A:I,9,FALSE),"Not Specified")</f>
        <v>Ship to 56-B</v>
      </c>
      <c r="P1995" t="str">
        <f>IFERROR(VLOOKUP(A1995,'Sales Order'!A:N,14,FALSE),"Not Specified")</f>
        <v>Germany</v>
      </c>
      <c r="Q1995" t="str">
        <f>VLOOKUP(VLOOKUP(B1995,Product!A:C,3,FALSE),Supplier!A:B,2,FALSE)</f>
        <v>Supplier QOVFD</v>
      </c>
      <c r="R1995" t="str">
        <f>VLOOKUP(VLOOKUP(B1995,Product!A:C,3,FALSE),Supplier!A:I,9,FALSE)</f>
        <v>Japan</v>
      </c>
      <c r="S1995" t="str">
        <f>IFERROR(IF(VLOOKUP(A1995,'Sales Order'!A:H,8,FALSE)&gt;100,"High Freight","Low Freight"),"Not Specified")</f>
        <v>Low Freight</v>
      </c>
      <c r="T1995">
        <f t="shared" si="63"/>
        <v>632.4</v>
      </c>
    </row>
    <row r="1996" spans="1:20">
      <c r="A1996" s="9">
        <v>11021</v>
      </c>
      <c r="B1996" s="6">
        <v>2</v>
      </c>
      <c r="C1996" s="6">
        <v>19</v>
      </c>
      <c r="D1996" s="6">
        <v>11</v>
      </c>
      <c r="E1996" s="18">
        <v>0.25</v>
      </c>
      <c r="F1996" s="6" t="str">
        <f>IFERROR(VLOOKUP(VLOOKUP(A1996,'Sales Order'!A:B,2,FALSE),Customer!A:C,3,FALSE),"Not Specified")</f>
        <v>Veronesi, Giorgio</v>
      </c>
      <c r="G1996" s="6" t="str">
        <f t="shared" si="62"/>
        <v>Veronesi Giorgio</v>
      </c>
      <c r="H1996" s="22" t="str">
        <f>IFERROR(VLOOKUP(VLOOKUP(A1996,'Sales Order'!A:C,3,FALSE),Employee!A:E,5,FALSE)&amp;" "&amp;VLOOKUP(VLOOKUP(A1996,'Sales Order'!A:C,3,FALSE),Employee!A:C,3,FALSE)&amp;" "&amp;VLOOKUP(VLOOKUP(A1996,'Sales Order'!A:C,3,FALSE),Employee!A:B,2,FALSE),"Not Specified")</f>
        <v>Ms. Judy Lew</v>
      </c>
      <c r="I1996" t="str">
        <f>IFERROR(VLOOKUP(VLOOKUP(A1996,'Sales Order'!A:C,3,FALSE),Employee!A:J,10,FALSE),"Not Specified")</f>
        <v>WA</v>
      </c>
      <c r="J1996" t="str">
        <f>VLOOKUP(B1996,Product!A:B,2,FALSE)</f>
        <v>Product RECZE</v>
      </c>
      <c r="K1996" t="str">
        <f>VLOOKUP(VLOOKUP(B1996,Product!A:D,4,FALSE),Category!A:B,2,FALSE)</f>
        <v>Beverages</v>
      </c>
      <c r="L1996" s="24">
        <f>IFERROR(VLOOKUP(A1996,'Sales Order'!A:D,4,FALSE),"")</f>
        <v>39552</v>
      </c>
      <c r="M1996" s="24">
        <f>IFERROR(VLOOKUP(A1996,'Sales Order'!A:F,6,FALSE),"")</f>
        <v>39559</v>
      </c>
      <c r="N1996" t="str">
        <f>IFERROR(VLOOKUP(VLOOKUP(A1996,'Sales Order'!A:G,7,FALSE),Shipper!A:B,2,FALSE),"Not Specified")</f>
        <v>Shipper GVSUA</v>
      </c>
      <c r="O1996" t="str">
        <f>IFERROR(VLOOKUP(A1996,'Sales Order'!A:I,9,FALSE),"Not Specified")</f>
        <v>Ship to 63-B</v>
      </c>
      <c r="P1996" t="str">
        <f>IFERROR(VLOOKUP(A1996,'Sales Order'!A:N,14,FALSE),"Not Specified")</f>
        <v>Germany</v>
      </c>
      <c r="Q1996" t="str">
        <f>VLOOKUP(VLOOKUP(B1996,Product!A:C,3,FALSE),Supplier!A:B,2,FALSE)</f>
        <v>Supplier SWRXU</v>
      </c>
      <c r="R1996" t="str">
        <f>VLOOKUP(VLOOKUP(B1996,Product!A:C,3,FALSE),Supplier!A:I,9,FALSE)</f>
        <v>UK</v>
      </c>
      <c r="S1996" t="str">
        <f>IFERROR(IF(VLOOKUP(A1996,'Sales Order'!A:H,8,FALSE)&gt;100,"High Freight","Low Freight"),"Not Specified")</f>
        <v>High Freight</v>
      </c>
      <c r="T1996">
        <f t="shared" si="63"/>
        <v>156.75</v>
      </c>
    </row>
    <row r="1997" spans="1:20">
      <c r="A1997" s="9">
        <v>11021</v>
      </c>
      <c r="B1997" s="6">
        <v>20</v>
      </c>
      <c r="C1997" s="6">
        <v>81</v>
      </c>
      <c r="D1997" s="6">
        <v>15</v>
      </c>
      <c r="E1997" s="18">
        <v>0</v>
      </c>
      <c r="F1997" s="6" t="str">
        <f>IFERROR(VLOOKUP(VLOOKUP(A1997,'Sales Order'!A:B,2,FALSE),Customer!A:C,3,FALSE),"Not Specified")</f>
        <v>Veronesi, Giorgio</v>
      </c>
      <c r="G1997" s="6" t="str">
        <f t="shared" si="62"/>
        <v>Veronesi Giorgio</v>
      </c>
      <c r="H1997" s="22" t="str">
        <f>IFERROR(VLOOKUP(VLOOKUP(A1997,'Sales Order'!A:C,3,FALSE),Employee!A:E,5,FALSE)&amp;" "&amp;VLOOKUP(VLOOKUP(A1997,'Sales Order'!A:C,3,FALSE),Employee!A:C,3,FALSE)&amp;" "&amp;VLOOKUP(VLOOKUP(A1997,'Sales Order'!A:C,3,FALSE),Employee!A:B,2,FALSE),"Not Specified")</f>
        <v>Ms. Judy Lew</v>
      </c>
      <c r="I1997" t="str">
        <f>IFERROR(VLOOKUP(VLOOKUP(A1997,'Sales Order'!A:C,3,FALSE),Employee!A:J,10,FALSE),"Not Specified")</f>
        <v>WA</v>
      </c>
      <c r="J1997" t="str">
        <f>VLOOKUP(B1997,Product!A:B,2,FALSE)</f>
        <v>Product QHFFP</v>
      </c>
      <c r="K1997" t="str">
        <f>VLOOKUP(VLOOKUP(B1997,Product!A:D,4,FALSE),Category!A:B,2,FALSE)</f>
        <v>Confections</v>
      </c>
      <c r="L1997" s="24">
        <f>IFERROR(VLOOKUP(A1997,'Sales Order'!A:D,4,FALSE),"")</f>
        <v>39552</v>
      </c>
      <c r="M1997" s="24">
        <f>IFERROR(VLOOKUP(A1997,'Sales Order'!A:F,6,FALSE),"")</f>
        <v>39559</v>
      </c>
      <c r="N1997" t="str">
        <f>IFERROR(VLOOKUP(VLOOKUP(A1997,'Sales Order'!A:G,7,FALSE),Shipper!A:B,2,FALSE),"Not Specified")</f>
        <v>Shipper GVSUA</v>
      </c>
      <c r="O1997" t="str">
        <f>IFERROR(VLOOKUP(A1997,'Sales Order'!A:I,9,FALSE),"Not Specified")</f>
        <v>Ship to 63-B</v>
      </c>
      <c r="P1997" t="str">
        <f>IFERROR(VLOOKUP(A1997,'Sales Order'!A:N,14,FALSE),"Not Specified")</f>
        <v>Germany</v>
      </c>
      <c r="Q1997" t="str">
        <f>VLOOKUP(VLOOKUP(B1997,Product!A:C,3,FALSE),Supplier!A:B,2,FALSE)</f>
        <v>Supplier BWGYE</v>
      </c>
      <c r="R1997" t="str">
        <f>VLOOKUP(VLOOKUP(B1997,Product!A:C,3,FALSE),Supplier!A:I,9,FALSE)</f>
        <v>UK</v>
      </c>
      <c r="S1997" t="str">
        <f>IFERROR(IF(VLOOKUP(A1997,'Sales Order'!A:H,8,FALSE)&gt;100,"High Freight","Low Freight"),"Not Specified")</f>
        <v>High Freight</v>
      </c>
      <c r="T1997">
        <f t="shared" si="63"/>
        <v>1215</v>
      </c>
    </row>
    <row r="1998" spans="1:20">
      <c r="A1998" s="9">
        <v>11021</v>
      </c>
      <c r="B1998" s="6">
        <v>26</v>
      </c>
      <c r="C1998" s="6">
        <v>31.23</v>
      </c>
      <c r="D1998" s="6">
        <v>63</v>
      </c>
      <c r="E1998" s="18">
        <v>0</v>
      </c>
      <c r="F1998" s="6" t="str">
        <f>IFERROR(VLOOKUP(VLOOKUP(A1998,'Sales Order'!A:B,2,FALSE),Customer!A:C,3,FALSE),"Not Specified")</f>
        <v>Veronesi, Giorgio</v>
      </c>
      <c r="G1998" s="6" t="str">
        <f t="shared" si="62"/>
        <v>Veronesi Giorgio</v>
      </c>
      <c r="H1998" s="22" t="str">
        <f>IFERROR(VLOOKUP(VLOOKUP(A1998,'Sales Order'!A:C,3,FALSE),Employee!A:E,5,FALSE)&amp;" "&amp;VLOOKUP(VLOOKUP(A1998,'Sales Order'!A:C,3,FALSE),Employee!A:C,3,FALSE)&amp;" "&amp;VLOOKUP(VLOOKUP(A1998,'Sales Order'!A:C,3,FALSE),Employee!A:B,2,FALSE),"Not Specified")</f>
        <v>Ms. Judy Lew</v>
      </c>
      <c r="I1998" t="str">
        <f>IFERROR(VLOOKUP(VLOOKUP(A1998,'Sales Order'!A:C,3,FALSE),Employee!A:J,10,FALSE),"Not Specified")</f>
        <v>WA</v>
      </c>
      <c r="J1998" t="str">
        <f>VLOOKUP(B1998,Product!A:B,2,FALSE)</f>
        <v>Product HLGZA</v>
      </c>
      <c r="K1998" t="str">
        <f>VLOOKUP(VLOOKUP(B1998,Product!A:D,4,FALSE),Category!A:B,2,FALSE)</f>
        <v>Confections</v>
      </c>
      <c r="L1998" s="24">
        <f>IFERROR(VLOOKUP(A1998,'Sales Order'!A:D,4,FALSE),"")</f>
        <v>39552</v>
      </c>
      <c r="M1998" s="24">
        <f>IFERROR(VLOOKUP(A1998,'Sales Order'!A:F,6,FALSE),"")</f>
        <v>39559</v>
      </c>
      <c r="N1998" t="str">
        <f>IFERROR(VLOOKUP(VLOOKUP(A1998,'Sales Order'!A:G,7,FALSE),Shipper!A:B,2,FALSE),"Not Specified")</f>
        <v>Shipper GVSUA</v>
      </c>
      <c r="O1998" t="str">
        <f>IFERROR(VLOOKUP(A1998,'Sales Order'!A:I,9,FALSE),"Not Specified")</f>
        <v>Ship to 63-B</v>
      </c>
      <c r="P1998" t="str">
        <f>IFERROR(VLOOKUP(A1998,'Sales Order'!A:N,14,FALSE),"Not Specified")</f>
        <v>Germany</v>
      </c>
      <c r="Q1998" t="str">
        <f>VLOOKUP(VLOOKUP(B1998,Product!A:C,3,FALSE),Supplier!A:B,2,FALSE)</f>
        <v>Supplier ZPYVS</v>
      </c>
      <c r="R1998" t="str">
        <f>VLOOKUP(VLOOKUP(B1998,Product!A:C,3,FALSE),Supplier!A:I,9,FALSE)</f>
        <v>Germany</v>
      </c>
      <c r="S1998" t="str">
        <f>IFERROR(IF(VLOOKUP(A1998,'Sales Order'!A:H,8,FALSE)&gt;100,"High Freight","Low Freight"),"Not Specified")</f>
        <v>High Freight</v>
      </c>
      <c r="T1998">
        <f t="shared" si="63"/>
        <v>1967.49</v>
      </c>
    </row>
    <row r="1999" spans="1:20">
      <c r="A1999" s="9">
        <v>11021</v>
      </c>
      <c r="B1999" s="6">
        <v>51</v>
      </c>
      <c r="C1999" s="6">
        <v>53</v>
      </c>
      <c r="D1999" s="6">
        <v>44</v>
      </c>
      <c r="E1999" s="18">
        <v>0.25</v>
      </c>
      <c r="F1999" s="6" t="str">
        <f>IFERROR(VLOOKUP(VLOOKUP(A1999,'Sales Order'!A:B,2,FALSE),Customer!A:C,3,FALSE),"Not Specified")</f>
        <v>Veronesi, Giorgio</v>
      </c>
      <c r="G1999" s="6" t="str">
        <f t="shared" si="62"/>
        <v>Veronesi Giorgio</v>
      </c>
      <c r="H1999" s="22" t="str">
        <f>IFERROR(VLOOKUP(VLOOKUP(A1999,'Sales Order'!A:C,3,FALSE),Employee!A:E,5,FALSE)&amp;" "&amp;VLOOKUP(VLOOKUP(A1999,'Sales Order'!A:C,3,FALSE),Employee!A:C,3,FALSE)&amp;" "&amp;VLOOKUP(VLOOKUP(A1999,'Sales Order'!A:C,3,FALSE),Employee!A:B,2,FALSE),"Not Specified")</f>
        <v>Ms. Judy Lew</v>
      </c>
      <c r="I1999" t="str">
        <f>IFERROR(VLOOKUP(VLOOKUP(A1999,'Sales Order'!A:C,3,FALSE),Employee!A:J,10,FALSE),"Not Specified")</f>
        <v>WA</v>
      </c>
      <c r="J1999" t="str">
        <f>VLOOKUP(B1999,Product!A:B,2,FALSE)</f>
        <v>Product APITJ</v>
      </c>
      <c r="K1999" t="str">
        <f>VLOOKUP(VLOOKUP(B1999,Product!A:D,4,FALSE),Category!A:B,2,FALSE)</f>
        <v>Produce</v>
      </c>
      <c r="L1999" s="24">
        <f>IFERROR(VLOOKUP(A1999,'Sales Order'!A:D,4,FALSE),"")</f>
        <v>39552</v>
      </c>
      <c r="M1999" s="24">
        <f>IFERROR(VLOOKUP(A1999,'Sales Order'!A:F,6,FALSE),"")</f>
        <v>39559</v>
      </c>
      <c r="N1999" t="str">
        <f>IFERROR(VLOOKUP(VLOOKUP(A1999,'Sales Order'!A:G,7,FALSE),Shipper!A:B,2,FALSE),"Not Specified")</f>
        <v>Shipper GVSUA</v>
      </c>
      <c r="O1999" t="str">
        <f>IFERROR(VLOOKUP(A1999,'Sales Order'!A:I,9,FALSE),"Not Specified")</f>
        <v>Ship to 63-B</v>
      </c>
      <c r="P1999" t="str">
        <f>IFERROR(VLOOKUP(A1999,'Sales Order'!A:N,14,FALSE),"Not Specified")</f>
        <v>Germany</v>
      </c>
      <c r="Q1999" t="str">
        <f>VLOOKUP(VLOOKUP(B1999,Product!A:C,3,FALSE),Supplier!A:B,2,FALSE)</f>
        <v>Supplier JNNES</v>
      </c>
      <c r="R1999" t="str">
        <f>VLOOKUP(VLOOKUP(B1999,Product!A:C,3,FALSE),Supplier!A:I,9,FALSE)</f>
        <v>Australia</v>
      </c>
      <c r="S1999" t="str">
        <f>IFERROR(IF(VLOOKUP(A1999,'Sales Order'!A:H,8,FALSE)&gt;100,"High Freight","Low Freight"),"Not Specified")</f>
        <v>High Freight</v>
      </c>
      <c r="T1999">
        <f t="shared" si="63"/>
        <v>1749</v>
      </c>
    </row>
    <row r="2000" spans="1:20">
      <c r="A2000" s="9">
        <v>11021</v>
      </c>
      <c r="B2000" s="6">
        <v>72</v>
      </c>
      <c r="C2000" s="6">
        <v>34.799999999999997</v>
      </c>
      <c r="D2000" s="6">
        <v>35</v>
      </c>
      <c r="E2000" s="18">
        <v>0</v>
      </c>
      <c r="F2000" s="6" t="str">
        <f>IFERROR(VLOOKUP(VLOOKUP(A2000,'Sales Order'!A:B,2,FALSE),Customer!A:C,3,FALSE),"Not Specified")</f>
        <v>Veronesi, Giorgio</v>
      </c>
      <c r="G2000" s="6" t="str">
        <f t="shared" si="62"/>
        <v>Veronesi Giorgio</v>
      </c>
      <c r="H2000" s="22" t="str">
        <f>IFERROR(VLOOKUP(VLOOKUP(A2000,'Sales Order'!A:C,3,FALSE),Employee!A:E,5,FALSE)&amp;" "&amp;VLOOKUP(VLOOKUP(A2000,'Sales Order'!A:C,3,FALSE),Employee!A:C,3,FALSE)&amp;" "&amp;VLOOKUP(VLOOKUP(A2000,'Sales Order'!A:C,3,FALSE),Employee!A:B,2,FALSE),"Not Specified")</f>
        <v>Ms. Judy Lew</v>
      </c>
      <c r="I2000" t="str">
        <f>IFERROR(VLOOKUP(VLOOKUP(A2000,'Sales Order'!A:C,3,FALSE),Employee!A:J,10,FALSE),"Not Specified")</f>
        <v>WA</v>
      </c>
      <c r="J2000" t="str">
        <f>VLOOKUP(B2000,Product!A:B,2,FALSE)</f>
        <v>Product GEEOO</v>
      </c>
      <c r="K2000" t="str">
        <f>VLOOKUP(VLOOKUP(B2000,Product!A:D,4,FALSE),Category!A:B,2,FALSE)</f>
        <v>Dairy Product</v>
      </c>
      <c r="L2000" s="24">
        <f>IFERROR(VLOOKUP(A2000,'Sales Order'!A:D,4,FALSE),"")</f>
        <v>39552</v>
      </c>
      <c r="M2000" s="24">
        <f>IFERROR(VLOOKUP(A2000,'Sales Order'!A:F,6,FALSE),"")</f>
        <v>39559</v>
      </c>
      <c r="N2000" t="str">
        <f>IFERROR(VLOOKUP(VLOOKUP(A2000,'Sales Order'!A:G,7,FALSE),Shipper!A:B,2,FALSE),"Not Specified")</f>
        <v>Shipper GVSUA</v>
      </c>
      <c r="O2000" t="str">
        <f>IFERROR(VLOOKUP(A2000,'Sales Order'!A:I,9,FALSE),"Not Specified")</f>
        <v>Ship to 63-B</v>
      </c>
      <c r="P2000" t="str">
        <f>IFERROR(VLOOKUP(A2000,'Sales Order'!A:N,14,FALSE),"Not Specified")</f>
        <v>Germany</v>
      </c>
      <c r="Q2000" t="str">
        <f>VLOOKUP(VLOOKUP(B2000,Product!A:C,3,FALSE),Supplier!A:B,2,FALSE)</f>
        <v>Supplier KEREV</v>
      </c>
      <c r="R2000" t="str">
        <f>VLOOKUP(VLOOKUP(B2000,Product!A:C,3,FALSE),Supplier!A:I,9,FALSE)</f>
        <v>Italy</v>
      </c>
      <c r="S2000" t="str">
        <f>IFERROR(IF(VLOOKUP(A2000,'Sales Order'!A:H,8,FALSE)&gt;100,"High Freight","Low Freight"),"Not Specified")</f>
        <v>High Freight</v>
      </c>
      <c r="T2000">
        <f t="shared" si="63"/>
        <v>1218</v>
      </c>
    </row>
    <row r="2001" spans="1:20">
      <c r="A2001" s="9">
        <v>11022</v>
      </c>
      <c r="B2001" s="6">
        <v>19</v>
      </c>
      <c r="C2001" s="6">
        <v>9.1999999999999993</v>
      </c>
      <c r="D2001" s="6">
        <v>35</v>
      </c>
      <c r="E2001" s="18">
        <v>0</v>
      </c>
      <c r="F2001" s="6" t="str">
        <f>IFERROR(VLOOKUP(VLOOKUP(A2001,'Sales Order'!A:B,2,FALSE),Customer!A:C,3,FALSE),"Not Specified")</f>
        <v>Cohen, Shy</v>
      </c>
      <c r="G2001" s="6" t="str">
        <f t="shared" si="62"/>
        <v>Cohen Shy</v>
      </c>
      <c r="H2001" s="22" t="str">
        <f>IFERROR(VLOOKUP(VLOOKUP(A2001,'Sales Order'!A:C,3,FALSE),Employee!A:E,5,FALSE)&amp;" "&amp;VLOOKUP(VLOOKUP(A2001,'Sales Order'!A:C,3,FALSE),Employee!A:C,3,FALSE)&amp;" "&amp;VLOOKUP(VLOOKUP(A2001,'Sales Order'!A:C,3,FALSE),Employee!A:B,2,FALSE),"Not Specified")</f>
        <v>Ms. Zoya Dolgopyatova</v>
      </c>
      <c r="I2001">
        <f>IFERROR(VLOOKUP(VLOOKUP(A2001,'Sales Order'!A:C,3,FALSE),Employee!A:J,10,FALSE),"Not Specified")</f>
        <v>0</v>
      </c>
      <c r="J2001" t="str">
        <f>VLOOKUP(B2001,Product!A:B,2,FALSE)</f>
        <v>Product XKXDO</v>
      </c>
      <c r="K2001" t="str">
        <f>VLOOKUP(VLOOKUP(B2001,Product!A:D,4,FALSE),Category!A:B,2,FALSE)</f>
        <v>Confections</v>
      </c>
      <c r="L2001" s="24">
        <f>IFERROR(VLOOKUP(A2001,'Sales Order'!A:D,4,FALSE),"")</f>
        <v>39552</v>
      </c>
      <c r="M2001" s="24">
        <f>IFERROR(VLOOKUP(A2001,'Sales Order'!A:F,6,FALSE),"")</f>
        <v>39572</v>
      </c>
      <c r="N2001" t="str">
        <f>IFERROR(VLOOKUP(VLOOKUP(A2001,'Sales Order'!A:G,7,FALSE),Shipper!A:B,2,FALSE),"Not Specified")</f>
        <v>Shipper ETYNR</v>
      </c>
      <c r="O2001" t="str">
        <f>IFERROR(VLOOKUP(A2001,'Sales Order'!A:I,9,FALSE),"Not Specified")</f>
        <v>Destination SCQXA</v>
      </c>
      <c r="P2001" t="str">
        <f>IFERROR(VLOOKUP(A2001,'Sales Order'!A:N,14,FALSE),"Not Specified")</f>
        <v>Brazil</v>
      </c>
      <c r="Q2001" t="str">
        <f>VLOOKUP(VLOOKUP(B2001,Product!A:C,3,FALSE),Supplier!A:B,2,FALSE)</f>
        <v>Supplier BWGYE</v>
      </c>
      <c r="R2001" t="str">
        <f>VLOOKUP(VLOOKUP(B2001,Product!A:C,3,FALSE),Supplier!A:I,9,FALSE)</f>
        <v>UK</v>
      </c>
      <c r="S2001" t="str">
        <f>IFERROR(IF(VLOOKUP(A2001,'Sales Order'!A:H,8,FALSE)&gt;100,"High Freight","Low Freight"),"Not Specified")</f>
        <v>Low Freight</v>
      </c>
      <c r="T2001">
        <f t="shared" si="63"/>
        <v>322</v>
      </c>
    </row>
    <row r="2002" spans="1:20">
      <c r="A2002" s="9">
        <v>11022</v>
      </c>
      <c r="B2002" s="6">
        <v>69</v>
      </c>
      <c r="C2002" s="6">
        <v>36</v>
      </c>
      <c r="D2002" s="6">
        <v>30</v>
      </c>
      <c r="E2002" s="18">
        <v>0</v>
      </c>
      <c r="F2002" s="6" t="str">
        <f>IFERROR(VLOOKUP(VLOOKUP(A2002,'Sales Order'!A:B,2,FALSE),Customer!A:C,3,FALSE),"Not Specified")</f>
        <v>Cohen, Shy</v>
      </c>
      <c r="G2002" s="6" t="str">
        <f t="shared" si="62"/>
        <v>Cohen Shy</v>
      </c>
      <c r="H2002" s="22" t="str">
        <f>IFERROR(VLOOKUP(VLOOKUP(A2002,'Sales Order'!A:C,3,FALSE),Employee!A:E,5,FALSE)&amp;" "&amp;VLOOKUP(VLOOKUP(A2002,'Sales Order'!A:C,3,FALSE),Employee!A:C,3,FALSE)&amp;" "&amp;VLOOKUP(VLOOKUP(A2002,'Sales Order'!A:C,3,FALSE),Employee!A:B,2,FALSE),"Not Specified")</f>
        <v>Ms. Zoya Dolgopyatova</v>
      </c>
      <c r="I2002">
        <f>IFERROR(VLOOKUP(VLOOKUP(A2002,'Sales Order'!A:C,3,FALSE),Employee!A:J,10,FALSE),"Not Specified")</f>
        <v>0</v>
      </c>
      <c r="J2002" t="str">
        <f>VLOOKUP(B2002,Product!A:B,2,FALSE)</f>
        <v>Product COAXA</v>
      </c>
      <c r="K2002" t="str">
        <f>VLOOKUP(VLOOKUP(B2002,Product!A:D,4,FALSE),Category!A:B,2,FALSE)</f>
        <v>Dairy Product</v>
      </c>
      <c r="L2002" s="24">
        <f>IFERROR(VLOOKUP(A2002,'Sales Order'!A:D,4,FALSE),"")</f>
        <v>39552</v>
      </c>
      <c r="M2002" s="24">
        <f>IFERROR(VLOOKUP(A2002,'Sales Order'!A:F,6,FALSE),"")</f>
        <v>39572</v>
      </c>
      <c r="N2002" t="str">
        <f>IFERROR(VLOOKUP(VLOOKUP(A2002,'Sales Order'!A:G,7,FALSE),Shipper!A:B,2,FALSE),"Not Specified")</f>
        <v>Shipper ETYNR</v>
      </c>
      <c r="O2002" t="str">
        <f>IFERROR(VLOOKUP(A2002,'Sales Order'!A:I,9,FALSE),"Not Specified")</f>
        <v>Destination SCQXA</v>
      </c>
      <c r="P2002" t="str">
        <f>IFERROR(VLOOKUP(A2002,'Sales Order'!A:N,14,FALSE),"Not Specified")</f>
        <v>Brazil</v>
      </c>
      <c r="Q2002" t="str">
        <f>VLOOKUP(VLOOKUP(B2002,Product!A:C,3,FALSE),Supplier!A:B,2,FALSE)</f>
        <v>Supplier NZLIF</v>
      </c>
      <c r="R2002" t="str">
        <f>VLOOKUP(VLOOKUP(B2002,Product!A:C,3,FALSE),Supplier!A:I,9,FALSE)</f>
        <v>Norway</v>
      </c>
      <c r="S2002" t="str">
        <f>IFERROR(IF(VLOOKUP(A2002,'Sales Order'!A:H,8,FALSE)&gt;100,"High Freight","Low Freight"),"Not Specified")</f>
        <v>Low Freight</v>
      </c>
      <c r="T2002">
        <f t="shared" si="63"/>
        <v>1080</v>
      </c>
    </row>
    <row r="2003" spans="1:20">
      <c r="A2003" s="9">
        <v>11023</v>
      </c>
      <c r="B2003" s="6">
        <v>7</v>
      </c>
      <c r="C2003" s="6">
        <v>30</v>
      </c>
      <c r="D2003" s="6">
        <v>4</v>
      </c>
      <c r="E2003" s="18">
        <v>0</v>
      </c>
      <c r="F2003" s="6" t="str">
        <f>IFERROR(VLOOKUP(VLOOKUP(A2003,'Sales Order'!A:B,2,FALSE),Customer!A:C,3,FALSE),"Not Specified")</f>
        <v>Jaffe, David</v>
      </c>
      <c r="G2003" s="6" t="str">
        <f t="shared" si="62"/>
        <v>Jaffe David</v>
      </c>
      <c r="H2003" s="22" t="str">
        <f>IFERROR(VLOOKUP(VLOOKUP(A2003,'Sales Order'!A:C,3,FALSE),Employee!A:E,5,FALSE)&amp;" "&amp;VLOOKUP(VLOOKUP(A2003,'Sales Order'!A:C,3,FALSE),Employee!A:C,3,FALSE)&amp;" "&amp;VLOOKUP(VLOOKUP(A2003,'Sales Order'!A:C,3,FALSE),Employee!A:B,2,FALSE),"Not Specified")</f>
        <v>Ms. Sara Davis</v>
      </c>
      <c r="I2003" t="str">
        <f>IFERROR(VLOOKUP(VLOOKUP(A2003,'Sales Order'!A:C,3,FALSE),Employee!A:J,10,FALSE),"Not Specified")</f>
        <v>WA</v>
      </c>
      <c r="J2003" t="str">
        <f>VLOOKUP(B2003,Product!A:B,2,FALSE)</f>
        <v>Product HMLNI</v>
      </c>
      <c r="K2003" t="str">
        <f>VLOOKUP(VLOOKUP(B2003,Product!A:D,4,FALSE),Category!A:B,2,FALSE)</f>
        <v>Produce</v>
      </c>
      <c r="L2003" s="24">
        <f>IFERROR(VLOOKUP(A2003,'Sales Order'!A:D,4,FALSE),"")</f>
        <v>39552</v>
      </c>
      <c r="M2003" s="24">
        <f>IFERROR(VLOOKUP(A2003,'Sales Order'!A:F,6,FALSE),"")</f>
        <v>39562</v>
      </c>
      <c r="N2003" t="str">
        <f>IFERROR(VLOOKUP(VLOOKUP(A2003,'Sales Order'!A:G,7,FALSE),Shipper!A:B,2,FALSE),"Not Specified")</f>
        <v>Shipper ETYNR</v>
      </c>
      <c r="O2003" t="str">
        <f>IFERROR(VLOOKUP(A2003,'Sales Order'!A:I,9,FALSE),"Not Specified")</f>
        <v>Destination NZASL</v>
      </c>
      <c r="P2003" t="str">
        <f>IFERROR(VLOOKUP(A2003,'Sales Order'!A:N,14,FALSE),"Not Specified")</f>
        <v>UK</v>
      </c>
      <c r="Q2003" t="str">
        <f>VLOOKUP(VLOOKUP(B2003,Product!A:C,3,FALSE),Supplier!A:B,2,FALSE)</f>
        <v>Supplier STUAZ</v>
      </c>
      <c r="R2003" t="str">
        <f>VLOOKUP(VLOOKUP(B2003,Product!A:C,3,FALSE),Supplier!A:I,9,FALSE)</f>
        <v>USA</v>
      </c>
      <c r="S2003" t="str">
        <f>IFERROR(IF(VLOOKUP(A2003,'Sales Order'!A:H,8,FALSE)&gt;100,"High Freight","Low Freight"),"Not Specified")</f>
        <v>High Freight</v>
      </c>
      <c r="T2003">
        <f t="shared" si="63"/>
        <v>120</v>
      </c>
    </row>
    <row r="2004" spans="1:20">
      <c r="A2004" s="9">
        <v>11023</v>
      </c>
      <c r="B2004" s="6">
        <v>43</v>
      </c>
      <c r="C2004" s="6">
        <v>46</v>
      </c>
      <c r="D2004" s="6">
        <v>30</v>
      </c>
      <c r="E2004" s="18">
        <v>0</v>
      </c>
      <c r="F2004" s="6" t="str">
        <f>IFERROR(VLOOKUP(VLOOKUP(A2004,'Sales Order'!A:B,2,FALSE),Customer!A:C,3,FALSE),"Not Specified")</f>
        <v>Jaffe, David</v>
      </c>
      <c r="G2004" s="6" t="str">
        <f t="shared" si="62"/>
        <v>Jaffe David</v>
      </c>
      <c r="H2004" s="22" t="str">
        <f>IFERROR(VLOOKUP(VLOOKUP(A2004,'Sales Order'!A:C,3,FALSE),Employee!A:E,5,FALSE)&amp;" "&amp;VLOOKUP(VLOOKUP(A2004,'Sales Order'!A:C,3,FALSE),Employee!A:C,3,FALSE)&amp;" "&amp;VLOOKUP(VLOOKUP(A2004,'Sales Order'!A:C,3,FALSE),Employee!A:B,2,FALSE),"Not Specified")</f>
        <v>Ms. Sara Davis</v>
      </c>
      <c r="I2004" t="str">
        <f>IFERROR(VLOOKUP(VLOOKUP(A2004,'Sales Order'!A:C,3,FALSE),Employee!A:J,10,FALSE),"Not Specified")</f>
        <v>WA</v>
      </c>
      <c r="J2004" t="str">
        <f>VLOOKUP(B2004,Product!A:B,2,FALSE)</f>
        <v>Product ZZZHR</v>
      </c>
      <c r="K2004" t="str">
        <f>VLOOKUP(VLOOKUP(B2004,Product!A:D,4,FALSE),Category!A:B,2,FALSE)</f>
        <v>Beverages</v>
      </c>
      <c r="L2004" s="24">
        <f>IFERROR(VLOOKUP(A2004,'Sales Order'!A:D,4,FALSE),"")</f>
        <v>39552</v>
      </c>
      <c r="M2004" s="24">
        <f>IFERROR(VLOOKUP(A2004,'Sales Order'!A:F,6,FALSE),"")</f>
        <v>39562</v>
      </c>
      <c r="N2004" t="str">
        <f>IFERROR(VLOOKUP(VLOOKUP(A2004,'Sales Order'!A:G,7,FALSE),Shipper!A:B,2,FALSE),"Not Specified")</f>
        <v>Shipper ETYNR</v>
      </c>
      <c r="O2004" t="str">
        <f>IFERROR(VLOOKUP(A2004,'Sales Order'!A:I,9,FALSE),"Not Specified")</f>
        <v>Destination NZASL</v>
      </c>
      <c r="P2004" t="str">
        <f>IFERROR(VLOOKUP(A2004,'Sales Order'!A:N,14,FALSE),"Not Specified")</f>
        <v>UK</v>
      </c>
      <c r="Q2004" t="str">
        <f>VLOOKUP(VLOOKUP(B2004,Product!A:C,3,FALSE),Supplier!A:B,2,FALSE)</f>
        <v>Supplier CIYNM</v>
      </c>
      <c r="R2004" t="str">
        <f>VLOOKUP(VLOOKUP(B2004,Product!A:C,3,FALSE),Supplier!A:I,9,FALSE)</f>
        <v>Singapore</v>
      </c>
      <c r="S2004" t="str">
        <f>IFERROR(IF(VLOOKUP(A2004,'Sales Order'!A:H,8,FALSE)&gt;100,"High Freight","Low Freight"),"Not Specified")</f>
        <v>High Freight</v>
      </c>
      <c r="T2004">
        <f t="shared" si="63"/>
        <v>1380</v>
      </c>
    </row>
    <row r="2005" spans="1:20">
      <c r="A2005" s="9">
        <v>11024</v>
      </c>
      <c r="B2005" s="6">
        <v>26</v>
      </c>
      <c r="C2005" s="6">
        <v>31.23</v>
      </c>
      <c r="D2005" s="6">
        <v>12</v>
      </c>
      <c r="E2005" s="18">
        <v>0</v>
      </c>
      <c r="F2005" s="6" t="str">
        <f>IFERROR(VLOOKUP(VLOOKUP(A2005,'Sales Order'!A:B,2,FALSE),Customer!A:C,3,FALSE),"Not Specified")</f>
        <v>Boseman, Randall</v>
      </c>
      <c r="G2005" s="6" t="str">
        <f t="shared" si="62"/>
        <v>Boseman Randall</v>
      </c>
      <c r="H2005" s="22" t="str">
        <f>IFERROR(VLOOKUP(VLOOKUP(A2005,'Sales Order'!A:C,3,FALSE),Employee!A:E,5,FALSE)&amp;" "&amp;VLOOKUP(VLOOKUP(A2005,'Sales Order'!A:C,3,FALSE),Employee!A:C,3,FALSE)&amp;" "&amp;VLOOKUP(VLOOKUP(A2005,'Sales Order'!A:C,3,FALSE),Employee!A:B,2,FALSE),"Not Specified")</f>
        <v>Mrs. Yael Peled</v>
      </c>
      <c r="I2005" t="str">
        <f>IFERROR(VLOOKUP(VLOOKUP(A2005,'Sales Order'!A:C,3,FALSE),Employee!A:J,10,FALSE),"Not Specified")</f>
        <v>WA</v>
      </c>
      <c r="J2005" t="str">
        <f>VLOOKUP(B2005,Product!A:B,2,FALSE)</f>
        <v>Product HLGZA</v>
      </c>
      <c r="K2005" t="str">
        <f>VLOOKUP(VLOOKUP(B2005,Product!A:D,4,FALSE),Category!A:B,2,FALSE)</f>
        <v>Confections</v>
      </c>
      <c r="L2005" s="24">
        <f>IFERROR(VLOOKUP(A2005,'Sales Order'!A:D,4,FALSE),"")</f>
        <v>39553</v>
      </c>
      <c r="M2005" s="24">
        <f>IFERROR(VLOOKUP(A2005,'Sales Order'!A:F,6,FALSE),"")</f>
        <v>39558</v>
      </c>
      <c r="N2005" t="str">
        <f>IFERROR(VLOOKUP(VLOOKUP(A2005,'Sales Order'!A:G,7,FALSE),Shipper!A:B,2,FALSE),"Not Specified")</f>
        <v>Shipper GVSUA</v>
      </c>
      <c r="O2005" t="str">
        <f>IFERROR(VLOOKUP(A2005,'Sales Order'!A:I,9,FALSE),"Not Specified")</f>
        <v>Destination BBMRT</v>
      </c>
      <c r="P2005" t="str">
        <f>IFERROR(VLOOKUP(A2005,'Sales Order'!A:N,14,FALSE),"Not Specified")</f>
        <v>UK</v>
      </c>
      <c r="Q2005" t="str">
        <f>VLOOKUP(VLOOKUP(B2005,Product!A:C,3,FALSE),Supplier!A:B,2,FALSE)</f>
        <v>Supplier ZPYVS</v>
      </c>
      <c r="R2005" t="str">
        <f>VLOOKUP(VLOOKUP(B2005,Product!A:C,3,FALSE),Supplier!A:I,9,FALSE)</f>
        <v>Germany</v>
      </c>
      <c r="S2005" t="str">
        <f>IFERROR(IF(VLOOKUP(A2005,'Sales Order'!A:H,8,FALSE)&gt;100,"High Freight","Low Freight"),"Not Specified")</f>
        <v>Low Freight</v>
      </c>
      <c r="T2005">
        <f t="shared" si="63"/>
        <v>374.76</v>
      </c>
    </row>
    <row r="2006" spans="1:20">
      <c r="A2006" s="9">
        <v>11024</v>
      </c>
      <c r="B2006" s="6">
        <v>33</v>
      </c>
      <c r="C2006" s="6">
        <v>2.5</v>
      </c>
      <c r="D2006" s="6">
        <v>30</v>
      </c>
      <c r="E2006" s="18">
        <v>0</v>
      </c>
      <c r="F2006" s="6" t="str">
        <f>IFERROR(VLOOKUP(VLOOKUP(A2006,'Sales Order'!A:B,2,FALSE),Customer!A:C,3,FALSE),"Not Specified")</f>
        <v>Boseman, Randall</v>
      </c>
      <c r="G2006" s="6" t="str">
        <f t="shared" si="62"/>
        <v>Boseman Randall</v>
      </c>
      <c r="H2006" s="22" t="str">
        <f>IFERROR(VLOOKUP(VLOOKUP(A2006,'Sales Order'!A:C,3,FALSE),Employee!A:E,5,FALSE)&amp;" "&amp;VLOOKUP(VLOOKUP(A2006,'Sales Order'!A:C,3,FALSE),Employee!A:C,3,FALSE)&amp;" "&amp;VLOOKUP(VLOOKUP(A2006,'Sales Order'!A:C,3,FALSE),Employee!A:B,2,FALSE),"Not Specified")</f>
        <v>Mrs. Yael Peled</v>
      </c>
      <c r="I2006" t="str">
        <f>IFERROR(VLOOKUP(VLOOKUP(A2006,'Sales Order'!A:C,3,FALSE),Employee!A:J,10,FALSE),"Not Specified")</f>
        <v>WA</v>
      </c>
      <c r="J2006" t="str">
        <f>VLOOKUP(B2006,Product!A:B,2,FALSE)</f>
        <v>Product ASTMN</v>
      </c>
      <c r="K2006" t="str">
        <f>VLOOKUP(VLOOKUP(B2006,Product!A:D,4,FALSE),Category!A:B,2,FALSE)</f>
        <v>Dairy Product</v>
      </c>
      <c r="L2006" s="24">
        <f>IFERROR(VLOOKUP(A2006,'Sales Order'!A:D,4,FALSE),"")</f>
        <v>39553</v>
      </c>
      <c r="M2006" s="24">
        <f>IFERROR(VLOOKUP(A2006,'Sales Order'!A:F,6,FALSE),"")</f>
        <v>39558</v>
      </c>
      <c r="N2006" t="str">
        <f>IFERROR(VLOOKUP(VLOOKUP(A2006,'Sales Order'!A:G,7,FALSE),Shipper!A:B,2,FALSE),"Not Specified")</f>
        <v>Shipper GVSUA</v>
      </c>
      <c r="O2006" t="str">
        <f>IFERROR(VLOOKUP(A2006,'Sales Order'!A:I,9,FALSE),"Not Specified")</f>
        <v>Destination BBMRT</v>
      </c>
      <c r="P2006" t="str">
        <f>IFERROR(VLOOKUP(A2006,'Sales Order'!A:N,14,FALSE),"Not Specified")</f>
        <v>UK</v>
      </c>
      <c r="Q2006" t="str">
        <f>VLOOKUP(VLOOKUP(B2006,Product!A:C,3,FALSE),Supplier!A:B,2,FALSE)</f>
        <v>Supplier NZLIF</v>
      </c>
      <c r="R2006" t="str">
        <f>VLOOKUP(VLOOKUP(B2006,Product!A:C,3,FALSE),Supplier!A:I,9,FALSE)</f>
        <v>Norway</v>
      </c>
      <c r="S2006" t="str">
        <f>IFERROR(IF(VLOOKUP(A2006,'Sales Order'!A:H,8,FALSE)&gt;100,"High Freight","Low Freight"),"Not Specified")</f>
        <v>Low Freight</v>
      </c>
      <c r="T2006">
        <f t="shared" si="63"/>
        <v>75</v>
      </c>
    </row>
    <row r="2007" spans="1:20">
      <c r="A2007" s="9">
        <v>11024</v>
      </c>
      <c r="B2007" s="6">
        <v>65</v>
      </c>
      <c r="C2007" s="6">
        <v>21.05</v>
      </c>
      <c r="D2007" s="6">
        <v>21</v>
      </c>
      <c r="E2007" s="18">
        <v>0</v>
      </c>
      <c r="F2007" s="6" t="str">
        <f>IFERROR(VLOOKUP(VLOOKUP(A2007,'Sales Order'!A:B,2,FALSE),Customer!A:C,3,FALSE),"Not Specified")</f>
        <v>Boseman, Randall</v>
      </c>
      <c r="G2007" s="6" t="str">
        <f t="shared" si="62"/>
        <v>Boseman Randall</v>
      </c>
      <c r="H2007" s="22" t="str">
        <f>IFERROR(VLOOKUP(VLOOKUP(A2007,'Sales Order'!A:C,3,FALSE),Employee!A:E,5,FALSE)&amp;" "&amp;VLOOKUP(VLOOKUP(A2007,'Sales Order'!A:C,3,FALSE),Employee!A:C,3,FALSE)&amp;" "&amp;VLOOKUP(VLOOKUP(A2007,'Sales Order'!A:C,3,FALSE),Employee!A:B,2,FALSE),"Not Specified")</f>
        <v>Mrs. Yael Peled</v>
      </c>
      <c r="I2007" t="str">
        <f>IFERROR(VLOOKUP(VLOOKUP(A2007,'Sales Order'!A:C,3,FALSE),Employee!A:J,10,FALSE),"Not Specified")</f>
        <v>WA</v>
      </c>
      <c r="J2007" t="str">
        <f>VLOOKUP(B2007,Product!A:B,2,FALSE)</f>
        <v>Product XYWBZ</v>
      </c>
      <c r="K2007" t="str">
        <f>VLOOKUP(VLOOKUP(B2007,Product!A:D,4,FALSE),Category!A:B,2,FALSE)</f>
        <v>Condiments</v>
      </c>
      <c r="L2007" s="24">
        <f>IFERROR(VLOOKUP(A2007,'Sales Order'!A:D,4,FALSE),"")</f>
        <v>39553</v>
      </c>
      <c r="M2007" s="24">
        <f>IFERROR(VLOOKUP(A2007,'Sales Order'!A:F,6,FALSE),"")</f>
        <v>39558</v>
      </c>
      <c r="N2007" t="str">
        <f>IFERROR(VLOOKUP(VLOOKUP(A2007,'Sales Order'!A:G,7,FALSE),Shipper!A:B,2,FALSE),"Not Specified")</f>
        <v>Shipper GVSUA</v>
      </c>
      <c r="O2007" t="str">
        <f>IFERROR(VLOOKUP(A2007,'Sales Order'!A:I,9,FALSE),"Not Specified")</f>
        <v>Destination BBMRT</v>
      </c>
      <c r="P2007" t="str">
        <f>IFERROR(VLOOKUP(A2007,'Sales Order'!A:N,14,FALSE),"Not Specified")</f>
        <v>UK</v>
      </c>
      <c r="Q2007" t="str">
        <f>VLOOKUP(VLOOKUP(B2007,Product!A:C,3,FALSE),Supplier!A:B,2,FALSE)</f>
        <v>Supplier VHQZD</v>
      </c>
      <c r="R2007" t="str">
        <f>VLOOKUP(VLOOKUP(B2007,Product!A:C,3,FALSE),Supplier!A:I,9,FALSE)</f>
        <v>USA</v>
      </c>
      <c r="S2007" t="str">
        <f>IFERROR(IF(VLOOKUP(A2007,'Sales Order'!A:H,8,FALSE)&gt;100,"High Freight","Low Freight"),"Not Specified")</f>
        <v>Low Freight</v>
      </c>
      <c r="T2007">
        <f t="shared" si="63"/>
        <v>442.05</v>
      </c>
    </row>
    <row r="2008" spans="1:20">
      <c r="A2008" s="9">
        <v>11024</v>
      </c>
      <c r="B2008" s="6">
        <v>71</v>
      </c>
      <c r="C2008" s="6">
        <v>21.5</v>
      </c>
      <c r="D2008" s="6">
        <v>50</v>
      </c>
      <c r="E2008" s="18">
        <v>0</v>
      </c>
      <c r="F2008" s="6" t="str">
        <f>IFERROR(VLOOKUP(VLOOKUP(A2008,'Sales Order'!A:B,2,FALSE),Customer!A:C,3,FALSE),"Not Specified")</f>
        <v>Boseman, Randall</v>
      </c>
      <c r="G2008" s="6" t="str">
        <f t="shared" si="62"/>
        <v>Boseman Randall</v>
      </c>
      <c r="H2008" s="22" t="str">
        <f>IFERROR(VLOOKUP(VLOOKUP(A2008,'Sales Order'!A:C,3,FALSE),Employee!A:E,5,FALSE)&amp;" "&amp;VLOOKUP(VLOOKUP(A2008,'Sales Order'!A:C,3,FALSE),Employee!A:C,3,FALSE)&amp;" "&amp;VLOOKUP(VLOOKUP(A2008,'Sales Order'!A:C,3,FALSE),Employee!A:B,2,FALSE),"Not Specified")</f>
        <v>Mrs. Yael Peled</v>
      </c>
      <c r="I2008" t="str">
        <f>IFERROR(VLOOKUP(VLOOKUP(A2008,'Sales Order'!A:C,3,FALSE),Employee!A:J,10,FALSE),"Not Specified")</f>
        <v>WA</v>
      </c>
      <c r="J2008" t="str">
        <f>VLOOKUP(B2008,Product!A:B,2,FALSE)</f>
        <v>Product MYMOI</v>
      </c>
      <c r="K2008" t="str">
        <f>VLOOKUP(VLOOKUP(B2008,Product!A:D,4,FALSE),Category!A:B,2,FALSE)</f>
        <v>Dairy Product</v>
      </c>
      <c r="L2008" s="24">
        <f>IFERROR(VLOOKUP(A2008,'Sales Order'!A:D,4,FALSE),"")</f>
        <v>39553</v>
      </c>
      <c r="M2008" s="24">
        <f>IFERROR(VLOOKUP(A2008,'Sales Order'!A:F,6,FALSE),"")</f>
        <v>39558</v>
      </c>
      <c r="N2008" t="str">
        <f>IFERROR(VLOOKUP(VLOOKUP(A2008,'Sales Order'!A:G,7,FALSE),Shipper!A:B,2,FALSE),"Not Specified")</f>
        <v>Shipper GVSUA</v>
      </c>
      <c r="O2008" t="str">
        <f>IFERROR(VLOOKUP(A2008,'Sales Order'!A:I,9,FALSE),"Not Specified")</f>
        <v>Destination BBMRT</v>
      </c>
      <c r="P2008" t="str">
        <f>IFERROR(VLOOKUP(A2008,'Sales Order'!A:N,14,FALSE),"Not Specified")</f>
        <v>UK</v>
      </c>
      <c r="Q2008" t="str">
        <f>VLOOKUP(VLOOKUP(B2008,Product!A:C,3,FALSE),Supplier!A:B,2,FALSE)</f>
        <v>Supplier NZLIF</v>
      </c>
      <c r="R2008" t="str">
        <f>VLOOKUP(VLOOKUP(B2008,Product!A:C,3,FALSE),Supplier!A:I,9,FALSE)</f>
        <v>Norway</v>
      </c>
      <c r="S2008" t="str">
        <f>IFERROR(IF(VLOOKUP(A2008,'Sales Order'!A:H,8,FALSE)&gt;100,"High Freight","Low Freight"),"Not Specified")</f>
        <v>Low Freight</v>
      </c>
      <c r="T2008">
        <f t="shared" si="63"/>
        <v>1075</v>
      </c>
    </row>
    <row r="2009" spans="1:20">
      <c r="A2009" s="9">
        <v>11025</v>
      </c>
      <c r="B2009" s="6">
        <v>1</v>
      </c>
      <c r="C2009" s="6">
        <v>18</v>
      </c>
      <c r="D2009" s="6">
        <v>10</v>
      </c>
      <c r="E2009" s="18">
        <v>0.1</v>
      </c>
      <c r="F2009" s="6" t="str">
        <f>IFERROR(VLOOKUP(VLOOKUP(A2009,'Sales Order'!A:B,2,FALSE),Customer!A:C,3,FALSE),"Not Specified")</f>
        <v>Ludwig, Michael</v>
      </c>
      <c r="G2009" s="6" t="str">
        <f t="shared" si="62"/>
        <v>Ludwig Michael</v>
      </c>
      <c r="H2009" s="22" t="str">
        <f>IFERROR(VLOOKUP(VLOOKUP(A2009,'Sales Order'!A:C,3,FALSE),Employee!A:E,5,FALSE)&amp;" "&amp;VLOOKUP(VLOOKUP(A2009,'Sales Order'!A:C,3,FALSE),Employee!A:C,3,FALSE)&amp;" "&amp;VLOOKUP(VLOOKUP(A2009,'Sales Order'!A:C,3,FALSE),Employee!A:B,2,FALSE),"Not Specified")</f>
        <v>Mr. Paul Suurs</v>
      </c>
      <c r="I2009">
        <f>IFERROR(VLOOKUP(VLOOKUP(A2009,'Sales Order'!A:C,3,FALSE),Employee!A:J,10,FALSE),"Not Specified")</f>
        <v>0</v>
      </c>
      <c r="J2009" t="str">
        <f>VLOOKUP(B2009,Product!A:B,2,FALSE)</f>
        <v>Product HHYDP</v>
      </c>
      <c r="K2009" t="str">
        <f>VLOOKUP(VLOOKUP(B2009,Product!A:D,4,FALSE),Category!A:B,2,FALSE)</f>
        <v>Beverages</v>
      </c>
      <c r="L2009" s="24">
        <f>IFERROR(VLOOKUP(A2009,'Sales Order'!A:D,4,FALSE),"")</f>
        <v>39553</v>
      </c>
      <c r="M2009" s="24">
        <f>IFERROR(VLOOKUP(A2009,'Sales Order'!A:F,6,FALSE),"")</f>
        <v>39562</v>
      </c>
      <c r="N2009" t="str">
        <f>IFERROR(VLOOKUP(VLOOKUP(A2009,'Sales Order'!A:G,7,FALSE),Shipper!A:B,2,FALSE),"Not Specified")</f>
        <v>Shipper ZHISN</v>
      </c>
      <c r="O2009" t="str">
        <f>IFERROR(VLOOKUP(A2009,'Sales Order'!A:I,9,FALSE),"Not Specified")</f>
        <v>Ship to 87-C</v>
      </c>
      <c r="P2009" t="str">
        <f>IFERROR(VLOOKUP(A2009,'Sales Order'!A:N,14,FALSE),"Not Specified")</f>
        <v>Finland</v>
      </c>
      <c r="Q2009" t="str">
        <f>VLOOKUP(VLOOKUP(B2009,Product!A:C,3,FALSE),Supplier!A:B,2,FALSE)</f>
        <v>Supplier SWRXU</v>
      </c>
      <c r="R2009" t="str">
        <f>VLOOKUP(VLOOKUP(B2009,Product!A:C,3,FALSE),Supplier!A:I,9,FALSE)</f>
        <v>UK</v>
      </c>
      <c r="S2009" t="str">
        <f>IFERROR(IF(VLOOKUP(A2009,'Sales Order'!A:H,8,FALSE)&gt;100,"High Freight","Low Freight"),"Not Specified")</f>
        <v>Low Freight</v>
      </c>
      <c r="T2009">
        <f t="shared" si="63"/>
        <v>162</v>
      </c>
    </row>
    <row r="2010" spans="1:20">
      <c r="A2010" s="9">
        <v>11025</v>
      </c>
      <c r="B2010" s="6">
        <v>13</v>
      </c>
      <c r="C2010" s="6">
        <v>6</v>
      </c>
      <c r="D2010" s="6">
        <v>20</v>
      </c>
      <c r="E2010" s="18">
        <v>0.1</v>
      </c>
      <c r="F2010" s="6" t="str">
        <f>IFERROR(VLOOKUP(VLOOKUP(A2010,'Sales Order'!A:B,2,FALSE),Customer!A:C,3,FALSE),"Not Specified")</f>
        <v>Ludwig, Michael</v>
      </c>
      <c r="G2010" s="6" t="str">
        <f t="shared" si="62"/>
        <v>Ludwig Michael</v>
      </c>
      <c r="H2010" s="22" t="str">
        <f>IFERROR(VLOOKUP(VLOOKUP(A2010,'Sales Order'!A:C,3,FALSE),Employee!A:E,5,FALSE)&amp;" "&amp;VLOOKUP(VLOOKUP(A2010,'Sales Order'!A:C,3,FALSE),Employee!A:C,3,FALSE)&amp;" "&amp;VLOOKUP(VLOOKUP(A2010,'Sales Order'!A:C,3,FALSE),Employee!A:B,2,FALSE),"Not Specified")</f>
        <v>Mr. Paul Suurs</v>
      </c>
      <c r="I2010">
        <f>IFERROR(VLOOKUP(VLOOKUP(A2010,'Sales Order'!A:C,3,FALSE),Employee!A:J,10,FALSE),"Not Specified")</f>
        <v>0</v>
      </c>
      <c r="J2010" t="str">
        <f>VLOOKUP(B2010,Product!A:B,2,FALSE)</f>
        <v>Product POXFU</v>
      </c>
      <c r="K2010" t="str">
        <f>VLOOKUP(VLOOKUP(B2010,Product!A:D,4,FALSE),Category!A:B,2,FALSE)</f>
        <v>Seafood</v>
      </c>
      <c r="L2010" s="24">
        <f>IFERROR(VLOOKUP(A2010,'Sales Order'!A:D,4,FALSE),"")</f>
        <v>39553</v>
      </c>
      <c r="M2010" s="24">
        <f>IFERROR(VLOOKUP(A2010,'Sales Order'!A:F,6,FALSE),"")</f>
        <v>39562</v>
      </c>
      <c r="N2010" t="str">
        <f>IFERROR(VLOOKUP(VLOOKUP(A2010,'Sales Order'!A:G,7,FALSE),Shipper!A:B,2,FALSE),"Not Specified")</f>
        <v>Shipper ZHISN</v>
      </c>
      <c r="O2010" t="str">
        <f>IFERROR(VLOOKUP(A2010,'Sales Order'!A:I,9,FALSE),"Not Specified")</f>
        <v>Ship to 87-C</v>
      </c>
      <c r="P2010" t="str">
        <f>IFERROR(VLOOKUP(A2010,'Sales Order'!A:N,14,FALSE),"Not Specified")</f>
        <v>Finland</v>
      </c>
      <c r="Q2010" t="str">
        <f>VLOOKUP(VLOOKUP(B2010,Product!A:C,3,FALSE),Supplier!A:B,2,FALSE)</f>
        <v>Supplier QWUSF</v>
      </c>
      <c r="R2010" t="str">
        <f>VLOOKUP(VLOOKUP(B2010,Product!A:C,3,FALSE),Supplier!A:I,9,FALSE)</f>
        <v>Japan</v>
      </c>
      <c r="S2010" t="str">
        <f>IFERROR(IF(VLOOKUP(A2010,'Sales Order'!A:H,8,FALSE)&gt;100,"High Freight","Low Freight"),"Not Specified")</f>
        <v>Low Freight</v>
      </c>
      <c r="T2010">
        <f t="shared" si="63"/>
        <v>108</v>
      </c>
    </row>
    <row r="2011" spans="1:20">
      <c r="A2011" s="9">
        <v>11026</v>
      </c>
      <c r="B2011" s="6">
        <v>18</v>
      </c>
      <c r="C2011" s="6">
        <v>62.5</v>
      </c>
      <c r="D2011" s="6">
        <v>8</v>
      </c>
      <c r="E2011" s="18">
        <v>0</v>
      </c>
      <c r="F2011" s="6" t="str">
        <f>IFERROR(VLOOKUP(VLOOKUP(A2011,'Sales Order'!A:B,2,FALSE),Customer!A:C,3,FALSE),"Not Specified")</f>
        <v>Schmöllerl, Martin</v>
      </c>
      <c r="G2011" s="6" t="str">
        <f t="shared" si="62"/>
        <v>Schmöllerl Martin</v>
      </c>
      <c r="H2011" s="22" t="str">
        <f>IFERROR(VLOOKUP(VLOOKUP(A2011,'Sales Order'!A:C,3,FALSE),Employee!A:E,5,FALSE)&amp;" "&amp;VLOOKUP(VLOOKUP(A2011,'Sales Order'!A:C,3,FALSE),Employee!A:C,3,FALSE)&amp;" "&amp;VLOOKUP(VLOOKUP(A2011,'Sales Order'!A:C,3,FALSE),Employee!A:B,2,FALSE),"Not Specified")</f>
        <v>Mrs. Yael Peled</v>
      </c>
      <c r="I2011" t="str">
        <f>IFERROR(VLOOKUP(VLOOKUP(A2011,'Sales Order'!A:C,3,FALSE),Employee!A:J,10,FALSE),"Not Specified")</f>
        <v>WA</v>
      </c>
      <c r="J2011" t="str">
        <f>VLOOKUP(B2011,Product!A:B,2,FALSE)</f>
        <v>Product CKEDC</v>
      </c>
      <c r="K2011" t="str">
        <f>VLOOKUP(VLOOKUP(B2011,Product!A:D,4,FALSE),Category!A:B,2,FALSE)</f>
        <v>Seafood</v>
      </c>
      <c r="L2011" s="24">
        <f>IFERROR(VLOOKUP(A2011,'Sales Order'!A:D,4,FALSE),"")</f>
        <v>39553</v>
      </c>
      <c r="M2011" s="24">
        <f>IFERROR(VLOOKUP(A2011,'Sales Order'!A:F,6,FALSE),"")</f>
        <v>39566</v>
      </c>
      <c r="N2011" t="str">
        <f>IFERROR(VLOOKUP(VLOOKUP(A2011,'Sales Order'!A:G,7,FALSE),Shipper!A:B,2,FALSE),"Not Specified")</f>
        <v>Shipper GVSUA</v>
      </c>
      <c r="O2011" t="str">
        <f>IFERROR(VLOOKUP(A2011,'Sales Order'!A:I,9,FALSE),"Not Specified")</f>
        <v>Destination DICGM</v>
      </c>
      <c r="P2011" t="str">
        <f>IFERROR(VLOOKUP(A2011,'Sales Order'!A:N,14,FALSE),"Not Specified")</f>
        <v>Italy</v>
      </c>
      <c r="Q2011" t="str">
        <f>VLOOKUP(VLOOKUP(B2011,Product!A:C,3,FALSE),Supplier!A:B,2,FALSE)</f>
        <v>Supplier GQRCV</v>
      </c>
      <c r="R2011" t="str">
        <f>VLOOKUP(VLOOKUP(B2011,Product!A:C,3,FALSE),Supplier!A:I,9,FALSE)</f>
        <v>Australia</v>
      </c>
      <c r="S2011" t="str">
        <f>IFERROR(IF(VLOOKUP(A2011,'Sales Order'!A:H,8,FALSE)&gt;100,"High Freight","Low Freight"),"Not Specified")</f>
        <v>Low Freight</v>
      </c>
      <c r="T2011">
        <f t="shared" si="63"/>
        <v>500</v>
      </c>
    </row>
    <row r="2012" spans="1:20">
      <c r="A2012" s="9">
        <v>11026</v>
      </c>
      <c r="B2012" s="6">
        <v>51</v>
      </c>
      <c r="C2012" s="6">
        <v>53</v>
      </c>
      <c r="D2012" s="6">
        <v>10</v>
      </c>
      <c r="E2012" s="18">
        <v>0</v>
      </c>
      <c r="F2012" s="6" t="str">
        <f>IFERROR(VLOOKUP(VLOOKUP(A2012,'Sales Order'!A:B,2,FALSE),Customer!A:C,3,FALSE),"Not Specified")</f>
        <v>Schmöllerl, Martin</v>
      </c>
      <c r="G2012" s="6" t="str">
        <f t="shared" si="62"/>
        <v>Schmöllerl Martin</v>
      </c>
      <c r="H2012" s="22" t="str">
        <f>IFERROR(VLOOKUP(VLOOKUP(A2012,'Sales Order'!A:C,3,FALSE),Employee!A:E,5,FALSE)&amp;" "&amp;VLOOKUP(VLOOKUP(A2012,'Sales Order'!A:C,3,FALSE),Employee!A:C,3,FALSE)&amp;" "&amp;VLOOKUP(VLOOKUP(A2012,'Sales Order'!A:C,3,FALSE),Employee!A:B,2,FALSE),"Not Specified")</f>
        <v>Mrs. Yael Peled</v>
      </c>
      <c r="I2012" t="str">
        <f>IFERROR(VLOOKUP(VLOOKUP(A2012,'Sales Order'!A:C,3,FALSE),Employee!A:J,10,FALSE),"Not Specified")</f>
        <v>WA</v>
      </c>
      <c r="J2012" t="str">
        <f>VLOOKUP(B2012,Product!A:B,2,FALSE)</f>
        <v>Product APITJ</v>
      </c>
      <c r="K2012" t="str">
        <f>VLOOKUP(VLOOKUP(B2012,Product!A:D,4,FALSE),Category!A:B,2,FALSE)</f>
        <v>Produce</v>
      </c>
      <c r="L2012" s="24">
        <f>IFERROR(VLOOKUP(A2012,'Sales Order'!A:D,4,FALSE),"")</f>
        <v>39553</v>
      </c>
      <c r="M2012" s="24">
        <f>IFERROR(VLOOKUP(A2012,'Sales Order'!A:F,6,FALSE),"")</f>
        <v>39566</v>
      </c>
      <c r="N2012" t="str">
        <f>IFERROR(VLOOKUP(VLOOKUP(A2012,'Sales Order'!A:G,7,FALSE),Shipper!A:B,2,FALSE),"Not Specified")</f>
        <v>Shipper GVSUA</v>
      </c>
      <c r="O2012" t="str">
        <f>IFERROR(VLOOKUP(A2012,'Sales Order'!A:I,9,FALSE),"Not Specified")</f>
        <v>Destination DICGM</v>
      </c>
      <c r="P2012" t="str">
        <f>IFERROR(VLOOKUP(A2012,'Sales Order'!A:N,14,FALSE),"Not Specified")</f>
        <v>Italy</v>
      </c>
      <c r="Q2012" t="str">
        <f>VLOOKUP(VLOOKUP(B2012,Product!A:C,3,FALSE),Supplier!A:B,2,FALSE)</f>
        <v>Supplier JNNES</v>
      </c>
      <c r="R2012" t="str">
        <f>VLOOKUP(VLOOKUP(B2012,Product!A:C,3,FALSE),Supplier!A:I,9,FALSE)</f>
        <v>Australia</v>
      </c>
      <c r="S2012" t="str">
        <f>IFERROR(IF(VLOOKUP(A2012,'Sales Order'!A:H,8,FALSE)&gt;100,"High Freight","Low Freight"),"Not Specified")</f>
        <v>Low Freight</v>
      </c>
      <c r="T2012">
        <f t="shared" si="63"/>
        <v>530</v>
      </c>
    </row>
    <row r="2013" spans="1:20">
      <c r="A2013" s="9">
        <v>11027</v>
      </c>
      <c r="B2013" s="6">
        <v>24</v>
      </c>
      <c r="C2013" s="6">
        <v>4.5</v>
      </c>
      <c r="D2013" s="6">
        <v>30</v>
      </c>
      <c r="E2013" s="18">
        <v>0.25</v>
      </c>
      <c r="F2013" s="6" t="str">
        <f>IFERROR(VLOOKUP(VLOOKUP(A2013,'Sales Order'!A:B,2,FALSE),Customer!A:C,3,FALSE),"Not Specified")</f>
        <v>Bassols, Pilar Colome</v>
      </c>
      <c r="G2013" s="6" t="str">
        <f t="shared" si="62"/>
        <v>Bassols Pilar Colome</v>
      </c>
      <c r="H2013" s="22" t="str">
        <f>IFERROR(VLOOKUP(VLOOKUP(A2013,'Sales Order'!A:C,3,FALSE),Employee!A:E,5,FALSE)&amp;" "&amp;VLOOKUP(VLOOKUP(A2013,'Sales Order'!A:C,3,FALSE),Employee!A:C,3,FALSE)&amp;" "&amp;VLOOKUP(VLOOKUP(A2013,'Sales Order'!A:C,3,FALSE),Employee!A:B,2,FALSE),"Not Specified")</f>
        <v>Ms. Sara Davis</v>
      </c>
      <c r="I2013" t="str">
        <f>IFERROR(VLOOKUP(VLOOKUP(A2013,'Sales Order'!A:C,3,FALSE),Employee!A:J,10,FALSE),"Not Specified")</f>
        <v>WA</v>
      </c>
      <c r="J2013" t="str">
        <f>VLOOKUP(B2013,Product!A:B,2,FALSE)</f>
        <v>Product QOGNU</v>
      </c>
      <c r="K2013" t="str">
        <f>VLOOKUP(VLOOKUP(B2013,Product!A:D,4,FALSE),Category!A:B,2,FALSE)</f>
        <v>Beverages</v>
      </c>
      <c r="L2013" s="24">
        <f>IFERROR(VLOOKUP(A2013,'Sales Order'!A:D,4,FALSE),"")</f>
        <v>39554</v>
      </c>
      <c r="M2013" s="24">
        <f>IFERROR(VLOOKUP(A2013,'Sales Order'!A:F,6,FALSE),"")</f>
        <v>39558</v>
      </c>
      <c r="N2013" t="str">
        <f>IFERROR(VLOOKUP(VLOOKUP(A2013,'Sales Order'!A:G,7,FALSE),Shipper!A:B,2,FALSE),"Not Specified")</f>
        <v>Shipper GVSUA</v>
      </c>
      <c r="O2013" t="str">
        <f>IFERROR(VLOOKUP(A2013,'Sales Order'!A:I,9,FALSE),"Not Specified")</f>
        <v>Destination XJIBQ</v>
      </c>
      <c r="P2013" t="str">
        <f>IFERROR(VLOOKUP(A2013,'Sales Order'!A:N,14,FALSE),"Not Specified")</f>
        <v>Canada</v>
      </c>
      <c r="Q2013" t="str">
        <f>VLOOKUP(VLOOKUP(B2013,Product!A:C,3,FALSE),Supplier!A:B,2,FALSE)</f>
        <v>Supplier UNAHG</v>
      </c>
      <c r="R2013" t="str">
        <f>VLOOKUP(VLOOKUP(B2013,Product!A:C,3,FALSE),Supplier!A:I,9,FALSE)</f>
        <v>Brazil</v>
      </c>
      <c r="S2013" t="str">
        <f>IFERROR(IF(VLOOKUP(A2013,'Sales Order'!A:H,8,FALSE)&gt;100,"High Freight","Low Freight"),"Not Specified")</f>
        <v>Low Freight</v>
      </c>
      <c r="T2013">
        <f t="shared" si="63"/>
        <v>101.25</v>
      </c>
    </row>
    <row r="2014" spans="1:20">
      <c r="A2014" s="9">
        <v>11027</v>
      </c>
      <c r="B2014" s="6">
        <v>62</v>
      </c>
      <c r="C2014" s="6">
        <v>49.3</v>
      </c>
      <c r="D2014" s="6">
        <v>21</v>
      </c>
      <c r="E2014" s="18">
        <v>0.25</v>
      </c>
      <c r="F2014" s="6" t="str">
        <f>IFERROR(VLOOKUP(VLOOKUP(A2014,'Sales Order'!A:B,2,FALSE),Customer!A:C,3,FALSE),"Not Specified")</f>
        <v>Bassols, Pilar Colome</v>
      </c>
      <c r="G2014" s="6" t="str">
        <f t="shared" si="62"/>
        <v>Bassols Pilar Colome</v>
      </c>
      <c r="H2014" s="22" t="str">
        <f>IFERROR(VLOOKUP(VLOOKUP(A2014,'Sales Order'!A:C,3,FALSE),Employee!A:E,5,FALSE)&amp;" "&amp;VLOOKUP(VLOOKUP(A2014,'Sales Order'!A:C,3,FALSE),Employee!A:C,3,FALSE)&amp;" "&amp;VLOOKUP(VLOOKUP(A2014,'Sales Order'!A:C,3,FALSE),Employee!A:B,2,FALSE),"Not Specified")</f>
        <v>Ms. Sara Davis</v>
      </c>
      <c r="I2014" t="str">
        <f>IFERROR(VLOOKUP(VLOOKUP(A2014,'Sales Order'!A:C,3,FALSE),Employee!A:J,10,FALSE),"Not Specified")</f>
        <v>WA</v>
      </c>
      <c r="J2014" t="str">
        <f>VLOOKUP(B2014,Product!A:B,2,FALSE)</f>
        <v>Product WUXYK</v>
      </c>
      <c r="K2014" t="str">
        <f>VLOOKUP(VLOOKUP(B2014,Product!A:D,4,FALSE),Category!A:B,2,FALSE)</f>
        <v>Confections</v>
      </c>
      <c r="L2014" s="24">
        <f>IFERROR(VLOOKUP(A2014,'Sales Order'!A:D,4,FALSE),"")</f>
        <v>39554</v>
      </c>
      <c r="M2014" s="24">
        <f>IFERROR(VLOOKUP(A2014,'Sales Order'!A:F,6,FALSE),"")</f>
        <v>39558</v>
      </c>
      <c r="N2014" t="str">
        <f>IFERROR(VLOOKUP(VLOOKUP(A2014,'Sales Order'!A:G,7,FALSE),Shipper!A:B,2,FALSE),"Not Specified")</f>
        <v>Shipper GVSUA</v>
      </c>
      <c r="O2014" t="str">
        <f>IFERROR(VLOOKUP(A2014,'Sales Order'!A:I,9,FALSE),"Not Specified")</f>
        <v>Destination XJIBQ</v>
      </c>
      <c r="P2014" t="str">
        <f>IFERROR(VLOOKUP(A2014,'Sales Order'!A:N,14,FALSE),"Not Specified")</f>
        <v>Canada</v>
      </c>
      <c r="Q2014" t="str">
        <f>VLOOKUP(VLOOKUP(B2014,Product!A:C,3,FALSE),Supplier!A:B,2,FALSE)</f>
        <v>Supplier OGLRK</v>
      </c>
      <c r="R2014" t="str">
        <f>VLOOKUP(VLOOKUP(B2014,Product!A:C,3,FALSE),Supplier!A:I,9,FALSE)</f>
        <v>Canada</v>
      </c>
      <c r="S2014" t="str">
        <f>IFERROR(IF(VLOOKUP(A2014,'Sales Order'!A:H,8,FALSE)&gt;100,"High Freight","Low Freight"),"Not Specified")</f>
        <v>Low Freight</v>
      </c>
      <c r="T2014">
        <f t="shared" si="63"/>
        <v>776.47499999999991</v>
      </c>
    </row>
    <row r="2015" spans="1:20">
      <c r="A2015" s="9">
        <v>11028</v>
      </c>
      <c r="B2015" s="6">
        <v>55</v>
      </c>
      <c r="C2015" s="6">
        <v>24</v>
      </c>
      <c r="D2015" s="6">
        <v>35</v>
      </c>
      <c r="E2015" s="18">
        <v>0</v>
      </c>
      <c r="F2015" s="6" t="str">
        <f>IFERROR(VLOOKUP(VLOOKUP(A2015,'Sales Order'!A:B,2,FALSE),Customer!A:C,3,FALSE),"Not Specified")</f>
        <v>Song, Lolan</v>
      </c>
      <c r="G2015" s="6" t="str">
        <f t="shared" si="62"/>
        <v>Song Lolan</v>
      </c>
      <c r="H2015" s="22" t="str">
        <f>IFERROR(VLOOKUP(VLOOKUP(A2015,'Sales Order'!A:C,3,FALSE),Employee!A:E,5,FALSE)&amp;" "&amp;VLOOKUP(VLOOKUP(A2015,'Sales Order'!A:C,3,FALSE),Employee!A:C,3,FALSE)&amp;" "&amp;VLOOKUP(VLOOKUP(A2015,'Sales Order'!A:C,3,FALSE),Employee!A:B,2,FALSE),"Not Specified")</f>
        <v>Dr. Don Funk</v>
      </c>
      <c r="I2015" t="str">
        <f>IFERROR(VLOOKUP(VLOOKUP(A2015,'Sales Order'!A:C,3,FALSE),Employee!A:J,10,FALSE),"Not Specified")</f>
        <v>WA</v>
      </c>
      <c r="J2015" t="str">
        <f>VLOOKUP(B2015,Product!A:B,2,FALSE)</f>
        <v>Product YYWRT</v>
      </c>
      <c r="K2015" t="str">
        <f>VLOOKUP(VLOOKUP(B2015,Product!A:D,4,FALSE),Category!A:B,2,FALSE)</f>
        <v>Meat/Poultry</v>
      </c>
      <c r="L2015" s="24">
        <f>IFERROR(VLOOKUP(A2015,'Sales Order'!A:D,4,FALSE),"")</f>
        <v>39554</v>
      </c>
      <c r="M2015" s="24">
        <f>IFERROR(VLOOKUP(A2015,'Sales Order'!A:F,6,FALSE),"")</f>
        <v>39560</v>
      </c>
      <c r="N2015" t="str">
        <f>IFERROR(VLOOKUP(VLOOKUP(A2015,'Sales Order'!A:G,7,FALSE),Shipper!A:B,2,FALSE),"Not Specified")</f>
        <v>Shipper GVSUA</v>
      </c>
      <c r="O2015" t="str">
        <f>IFERROR(VLOOKUP(A2015,'Sales Order'!A:I,9,FALSE),"Not Specified")</f>
        <v>Destination DKMQA</v>
      </c>
      <c r="P2015" t="str">
        <f>IFERROR(VLOOKUP(A2015,'Sales Order'!A:N,14,FALSE),"Not Specified")</f>
        <v>Germany</v>
      </c>
      <c r="Q2015" t="str">
        <f>VLOOKUP(VLOOKUP(B2015,Product!A:C,3,FALSE),Supplier!A:B,2,FALSE)</f>
        <v>Supplier ERVYZ</v>
      </c>
      <c r="R2015" t="str">
        <f>VLOOKUP(VLOOKUP(B2015,Product!A:C,3,FALSE),Supplier!A:I,9,FALSE)</f>
        <v>Canada</v>
      </c>
      <c r="S2015" t="str">
        <f>IFERROR(IF(VLOOKUP(A2015,'Sales Order'!A:H,8,FALSE)&gt;100,"High Freight","Low Freight"),"Not Specified")</f>
        <v>Low Freight</v>
      </c>
      <c r="T2015">
        <f t="shared" si="63"/>
        <v>840</v>
      </c>
    </row>
    <row r="2016" spans="1:20">
      <c r="A2016" s="9">
        <v>11028</v>
      </c>
      <c r="B2016" s="6">
        <v>59</v>
      </c>
      <c r="C2016" s="6">
        <v>55</v>
      </c>
      <c r="D2016" s="6">
        <v>24</v>
      </c>
      <c r="E2016" s="18">
        <v>0</v>
      </c>
      <c r="F2016" s="6" t="str">
        <f>IFERROR(VLOOKUP(VLOOKUP(A2016,'Sales Order'!A:B,2,FALSE),Customer!A:C,3,FALSE),"Not Specified")</f>
        <v>Song, Lolan</v>
      </c>
      <c r="G2016" s="6" t="str">
        <f t="shared" si="62"/>
        <v>Song Lolan</v>
      </c>
      <c r="H2016" s="22" t="str">
        <f>IFERROR(VLOOKUP(VLOOKUP(A2016,'Sales Order'!A:C,3,FALSE),Employee!A:E,5,FALSE)&amp;" "&amp;VLOOKUP(VLOOKUP(A2016,'Sales Order'!A:C,3,FALSE),Employee!A:C,3,FALSE)&amp;" "&amp;VLOOKUP(VLOOKUP(A2016,'Sales Order'!A:C,3,FALSE),Employee!A:B,2,FALSE),"Not Specified")</f>
        <v>Dr. Don Funk</v>
      </c>
      <c r="I2016" t="str">
        <f>IFERROR(VLOOKUP(VLOOKUP(A2016,'Sales Order'!A:C,3,FALSE),Employee!A:J,10,FALSE),"Not Specified")</f>
        <v>WA</v>
      </c>
      <c r="J2016" t="str">
        <f>VLOOKUP(B2016,Product!A:B,2,FALSE)</f>
        <v>Product UKXRI</v>
      </c>
      <c r="K2016" t="str">
        <f>VLOOKUP(VLOOKUP(B2016,Product!A:D,4,FALSE),Category!A:B,2,FALSE)</f>
        <v>Dairy Product</v>
      </c>
      <c r="L2016" s="24">
        <f>IFERROR(VLOOKUP(A2016,'Sales Order'!A:D,4,FALSE),"")</f>
        <v>39554</v>
      </c>
      <c r="M2016" s="24">
        <f>IFERROR(VLOOKUP(A2016,'Sales Order'!A:F,6,FALSE),"")</f>
        <v>39560</v>
      </c>
      <c r="N2016" t="str">
        <f>IFERROR(VLOOKUP(VLOOKUP(A2016,'Sales Order'!A:G,7,FALSE),Shipper!A:B,2,FALSE),"Not Specified")</f>
        <v>Shipper GVSUA</v>
      </c>
      <c r="O2016" t="str">
        <f>IFERROR(VLOOKUP(A2016,'Sales Order'!A:I,9,FALSE),"Not Specified")</f>
        <v>Destination DKMQA</v>
      </c>
      <c r="P2016" t="str">
        <f>IFERROR(VLOOKUP(A2016,'Sales Order'!A:N,14,FALSE),"Not Specified")</f>
        <v>Germany</v>
      </c>
      <c r="Q2016" t="str">
        <f>VLOOKUP(VLOOKUP(B2016,Product!A:C,3,FALSE),Supplier!A:B,2,FALSE)</f>
        <v>Supplier OAVQT</v>
      </c>
      <c r="R2016" t="str">
        <f>VLOOKUP(VLOOKUP(B2016,Product!A:C,3,FALSE),Supplier!A:I,9,FALSE)</f>
        <v>France</v>
      </c>
      <c r="S2016" t="str">
        <f>IFERROR(IF(VLOOKUP(A2016,'Sales Order'!A:H,8,FALSE)&gt;100,"High Freight","Low Freight"),"Not Specified")</f>
        <v>Low Freight</v>
      </c>
      <c r="T2016">
        <f t="shared" si="63"/>
        <v>1320</v>
      </c>
    </row>
    <row r="2017" spans="1:20">
      <c r="A2017" s="9">
        <v>11029</v>
      </c>
      <c r="B2017" s="6">
        <v>56</v>
      </c>
      <c r="C2017" s="6">
        <v>38</v>
      </c>
      <c r="D2017" s="6">
        <v>20</v>
      </c>
      <c r="E2017" s="18">
        <v>0</v>
      </c>
      <c r="F2017" s="6" t="str">
        <f>IFERROR(VLOOKUP(VLOOKUP(A2017,'Sales Order'!A:B,2,FALSE),Customer!A:C,3,FALSE),"Not Specified")</f>
        <v>Jelitto, Jacek</v>
      </c>
      <c r="G2017" s="6" t="str">
        <f t="shared" si="62"/>
        <v>Jelitto Jacek</v>
      </c>
      <c r="H2017" s="22" t="str">
        <f>IFERROR(VLOOKUP(VLOOKUP(A2017,'Sales Order'!A:C,3,FALSE),Employee!A:E,5,FALSE)&amp;" "&amp;VLOOKUP(VLOOKUP(A2017,'Sales Order'!A:C,3,FALSE),Employee!A:C,3,FALSE)&amp;" "&amp;VLOOKUP(VLOOKUP(A2017,'Sales Order'!A:C,3,FALSE),Employee!A:B,2,FALSE),"Not Specified")</f>
        <v>Mrs. Yael Peled</v>
      </c>
      <c r="I2017" t="str">
        <f>IFERROR(VLOOKUP(VLOOKUP(A2017,'Sales Order'!A:C,3,FALSE),Employee!A:J,10,FALSE),"Not Specified")</f>
        <v>WA</v>
      </c>
      <c r="J2017" t="str">
        <f>VLOOKUP(B2017,Product!A:B,2,FALSE)</f>
        <v>Product VKCMF</v>
      </c>
      <c r="K2017" t="str">
        <f>VLOOKUP(VLOOKUP(B2017,Product!A:D,4,FALSE),Category!A:B,2,FALSE)</f>
        <v>Grains/Cereals</v>
      </c>
      <c r="L2017" s="24">
        <f>IFERROR(VLOOKUP(A2017,'Sales Order'!A:D,4,FALSE),"")</f>
        <v>39554</v>
      </c>
      <c r="M2017" s="24">
        <f>IFERROR(VLOOKUP(A2017,'Sales Order'!A:F,6,FALSE),"")</f>
        <v>39565</v>
      </c>
      <c r="N2017" t="str">
        <f>IFERROR(VLOOKUP(VLOOKUP(A2017,'Sales Order'!A:G,7,FALSE),Shipper!A:B,2,FALSE),"Not Specified")</f>
        <v>Shipper GVSUA</v>
      </c>
      <c r="O2017" t="str">
        <f>IFERROR(VLOOKUP(A2017,'Sales Order'!A:I,9,FALSE),"Not Specified")</f>
        <v>Destination YUJRD</v>
      </c>
      <c r="P2017" t="str">
        <f>IFERROR(VLOOKUP(A2017,'Sales Order'!A:N,14,FALSE),"Not Specified")</f>
        <v>Switzerland</v>
      </c>
      <c r="Q2017" t="str">
        <f>VLOOKUP(VLOOKUP(B2017,Product!A:C,3,FALSE),Supplier!A:B,2,FALSE)</f>
        <v>Supplier ZWZDM</v>
      </c>
      <c r="R2017" t="str">
        <f>VLOOKUP(VLOOKUP(B2017,Product!A:C,3,FALSE),Supplier!A:I,9,FALSE)</f>
        <v>Italy</v>
      </c>
      <c r="S2017" t="str">
        <f>IFERROR(IF(VLOOKUP(A2017,'Sales Order'!A:H,8,FALSE)&gt;100,"High Freight","Low Freight"),"Not Specified")</f>
        <v>Low Freight</v>
      </c>
      <c r="T2017">
        <f t="shared" si="63"/>
        <v>760</v>
      </c>
    </row>
    <row r="2018" spans="1:20">
      <c r="A2018" s="9">
        <v>11029</v>
      </c>
      <c r="B2018" s="6">
        <v>63</v>
      </c>
      <c r="C2018" s="6">
        <v>43.9</v>
      </c>
      <c r="D2018" s="6">
        <v>12</v>
      </c>
      <c r="E2018" s="18">
        <v>0</v>
      </c>
      <c r="F2018" s="6" t="str">
        <f>IFERROR(VLOOKUP(VLOOKUP(A2018,'Sales Order'!A:B,2,FALSE),Customer!A:C,3,FALSE),"Not Specified")</f>
        <v>Jelitto, Jacek</v>
      </c>
      <c r="G2018" s="6" t="str">
        <f t="shared" si="62"/>
        <v>Jelitto Jacek</v>
      </c>
      <c r="H2018" s="22" t="str">
        <f>IFERROR(VLOOKUP(VLOOKUP(A2018,'Sales Order'!A:C,3,FALSE),Employee!A:E,5,FALSE)&amp;" "&amp;VLOOKUP(VLOOKUP(A2018,'Sales Order'!A:C,3,FALSE),Employee!A:C,3,FALSE)&amp;" "&amp;VLOOKUP(VLOOKUP(A2018,'Sales Order'!A:C,3,FALSE),Employee!A:B,2,FALSE),"Not Specified")</f>
        <v>Mrs. Yael Peled</v>
      </c>
      <c r="I2018" t="str">
        <f>IFERROR(VLOOKUP(VLOOKUP(A2018,'Sales Order'!A:C,3,FALSE),Employee!A:J,10,FALSE),"Not Specified")</f>
        <v>WA</v>
      </c>
      <c r="J2018" t="str">
        <f>VLOOKUP(B2018,Product!A:B,2,FALSE)</f>
        <v>Product ICKNK</v>
      </c>
      <c r="K2018" t="str">
        <f>VLOOKUP(VLOOKUP(B2018,Product!A:D,4,FALSE),Category!A:B,2,FALSE)</f>
        <v>Condiments</v>
      </c>
      <c r="L2018" s="24">
        <f>IFERROR(VLOOKUP(A2018,'Sales Order'!A:D,4,FALSE),"")</f>
        <v>39554</v>
      </c>
      <c r="M2018" s="24">
        <f>IFERROR(VLOOKUP(A2018,'Sales Order'!A:F,6,FALSE),"")</f>
        <v>39565</v>
      </c>
      <c r="N2018" t="str">
        <f>IFERROR(VLOOKUP(VLOOKUP(A2018,'Sales Order'!A:G,7,FALSE),Shipper!A:B,2,FALSE),"Not Specified")</f>
        <v>Shipper GVSUA</v>
      </c>
      <c r="O2018" t="str">
        <f>IFERROR(VLOOKUP(A2018,'Sales Order'!A:I,9,FALSE),"Not Specified")</f>
        <v>Destination YUJRD</v>
      </c>
      <c r="P2018" t="str">
        <f>IFERROR(VLOOKUP(A2018,'Sales Order'!A:N,14,FALSE),"Not Specified")</f>
        <v>Switzerland</v>
      </c>
      <c r="Q2018" t="str">
        <f>VLOOKUP(VLOOKUP(B2018,Product!A:C,3,FALSE),Supplier!A:B,2,FALSE)</f>
        <v>Supplier GQRCV</v>
      </c>
      <c r="R2018" t="str">
        <f>VLOOKUP(VLOOKUP(B2018,Product!A:C,3,FALSE),Supplier!A:I,9,FALSE)</f>
        <v>Australia</v>
      </c>
      <c r="S2018" t="str">
        <f>IFERROR(IF(VLOOKUP(A2018,'Sales Order'!A:H,8,FALSE)&gt;100,"High Freight","Low Freight"),"Not Specified")</f>
        <v>Low Freight</v>
      </c>
      <c r="T2018">
        <f t="shared" si="63"/>
        <v>526.79999999999995</v>
      </c>
    </row>
    <row r="2019" spans="1:20">
      <c r="A2019" s="9">
        <v>11030</v>
      </c>
      <c r="B2019" s="6">
        <v>2</v>
      </c>
      <c r="C2019" s="6">
        <v>19</v>
      </c>
      <c r="D2019" s="6">
        <v>100</v>
      </c>
      <c r="E2019" s="18">
        <v>0.25</v>
      </c>
      <c r="F2019" s="6" t="str">
        <f>IFERROR(VLOOKUP(VLOOKUP(A2019,'Sales Order'!A:B,2,FALSE),Customer!A:C,3,FALSE),"Not Specified")</f>
        <v>Navarro, Tomás</v>
      </c>
      <c r="G2019" s="6" t="str">
        <f t="shared" si="62"/>
        <v>Navarro Tomás</v>
      </c>
      <c r="H2019" s="22" t="str">
        <f>IFERROR(VLOOKUP(VLOOKUP(A2019,'Sales Order'!A:C,3,FALSE),Employee!A:E,5,FALSE)&amp;" "&amp;VLOOKUP(VLOOKUP(A2019,'Sales Order'!A:C,3,FALSE),Employee!A:C,3,FALSE)&amp;" "&amp;VLOOKUP(VLOOKUP(A2019,'Sales Order'!A:C,3,FALSE),Employee!A:B,2,FALSE),"Not Specified")</f>
        <v>Mr. Russell King</v>
      </c>
      <c r="I2019">
        <f>IFERROR(VLOOKUP(VLOOKUP(A2019,'Sales Order'!A:C,3,FALSE),Employee!A:J,10,FALSE),"Not Specified")</f>
        <v>0</v>
      </c>
      <c r="J2019" t="str">
        <f>VLOOKUP(B2019,Product!A:B,2,FALSE)</f>
        <v>Product RECZE</v>
      </c>
      <c r="K2019" t="str">
        <f>VLOOKUP(VLOOKUP(B2019,Product!A:D,4,FALSE),Category!A:B,2,FALSE)</f>
        <v>Beverages</v>
      </c>
      <c r="L2019" s="24">
        <f>IFERROR(VLOOKUP(A2019,'Sales Order'!A:D,4,FALSE),"")</f>
        <v>39555</v>
      </c>
      <c r="M2019" s="24">
        <f>IFERROR(VLOOKUP(A2019,'Sales Order'!A:F,6,FALSE),"")</f>
        <v>39565</v>
      </c>
      <c r="N2019" t="str">
        <f>IFERROR(VLOOKUP(VLOOKUP(A2019,'Sales Order'!A:G,7,FALSE),Shipper!A:B,2,FALSE),"Not Specified")</f>
        <v>Shipper ETYNR</v>
      </c>
      <c r="O2019" t="str">
        <f>IFERROR(VLOOKUP(A2019,'Sales Order'!A:I,9,FALSE),"Not Specified")</f>
        <v>Ship to 71-C</v>
      </c>
      <c r="P2019" t="str">
        <f>IFERROR(VLOOKUP(A2019,'Sales Order'!A:N,14,FALSE),"Not Specified")</f>
        <v>USA</v>
      </c>
      <c r="Q2019" t="str">
        <f>VLOOKUP(VLOOKUP(B2019,Product!A:C,3,FALSE),Supplier!A:B,2,FALSE)</f>
        <v>Supplier SWRXU</v>
      </c>
      <c r="R2019" t="str">
        <f>VLOOKUP(VLOOKUP(B2019,Product!A:C,3,FALSE),Supplier!A:I,9,FALSE)</f>
        <v>UK</v>
      </c>
      <c r="S2019" t="str">
        <f>IFERROR(IF(VLOOKUP(A2019,'Sales Order'!A:H,8,FALSE)&gt;100,"High Freight","Low Freight"),"Not Specified")</f>
        <v>High Freight</v>
      </c>
      <c r="T2019">
        <f t="shared" si="63"/>
        <v>1425</v>
      </c>
    </row>
    <row r="2020" spans="1:20">
      <c r="A2020" s="9">
        <v>11030</v>
      </c>
      <c r="B2020" s="6">
        <v>5</v>
      </c>
      <c r="C2020" s="6">
        <v>21.35</v>
      </c>
      <c r="D2020" s="6">
        <v>70</v>
      </c>
      <c r="E2020" s="18">
        <v>0</v>
      </c>
      <c r="F2020" s="6" t="str">
        <f>IFERROR(VLOOKUP(VLOOKUP(A2020,'Sales Order'!A:B,2,FALSE),Customer!A:C,3,FALSE),"Not Specified")</f>
        <v>Navarro, Tomás</v>
      </c>
      <c r="G2020" s="6" t="str">
        <f t="shared" si="62"/>
        <v>Navarro Tomás</v>
      </c>
      <c r="H2020" s="22" t="str">
        <f>IFERROR(VLOOKUP(VLOOKUP(A2020,'Sales Order'!A:C,3,FALSE),Employee!A:E,5,FALSE)&amp;" "&amp;VLOOKUP(VLOOKUP(A2020,'Sales Order'!A:C,3,FALSE),Employee!A:C,3,FALSE)&amp;" "&amp;VLOOKUP(VLOOKUP(A2020,'Sales Order'!A:C,3,FALSE),Employee!A:B,2,FALSE),"Not Specified")</f>
        <v>Mr. Russell King</v>
      </c>
      <c r="I2020">
        <f>IFERROR(VLOOKUP(VLOOKUP(A2020,'Sales Order'!A:C,3,FALSE),Employee!A:J,10,FALSE),"Not Specified")</f>
        <v>0</v>
      </c>
      <c r="J2020" t="str">
        <f>VLOOKUP(B2020,Product!A:B,2,FALSE)</f>
        <v>Product EPEIM</v>
      </c>
      <c r="K2020" t="str">
        <f>VLOOKUP(VLOOKUP(B2020,Product!A:D,4,FALSE),Category!A:B,2,FALSE)</f>
        <v>Condiments</v>
      </c>
      <c r="L2020" s="24">
        <f>IFERROR(VLOOKUP(A2020,'Sales Order'!A:D,4,FALSE),"")</f>
        <v>39555</v>
      </c>
      <c r="M2020" s="24">
        <f>IFERROR(VLOOKUP(A2020,'Sales Order'!A:F,6,FALSE),"")</f>
        <v>39565</v>
      </c>
      <c r="N2020" t="str">
        <f>IFERROR(VLOOKUP(VLOOKUP(A2020,'Sales Order'!A:G,7,FALSE),Shipper!A:B,2,FALSE),"Not Specified")</f>
        <v>Shipper ETYNR</v>
      </c>
      <c r="O2020" t="str">
        <f>IFERROR(VLOOKUP(A2020,'Sales Order'!A:I,9,FALSE),"Not Specified")</f>
        <v>Ship to 71-C</v>
      </c>
      <c r="P2020" t="str">
        <f>IFERROR(VLOOKUP(A2020,'Sales Order'!A:N,14,FALSE),"Not Specified")</f>
        <v>USA</v>
      </c>
      <c r="Q2020" t="str">
        <f>VLOOKUP(VLOOKUP(B2020,Product!A:C,3,FALSE),Supplier!A:B,2,FALSE)</f>
        <v>Supplier VHQZD</v>
      </c>
      <c r="R2020" t="str">
        <f>VLOOKUP(VLOOKUP(B2020,Product!A:C,3,FALSE),Supplier!A:I,9,FALSE)</f>
        <v>USA</v>
      </c>
      <c r="S2020" t="str">
        <f>IFERROR(IF(VLOOKUP(A2020,'Sales Order'!A:H,8,FALSE)&gt;100,"High Freight","Low Freight"),"Not Specified")</f>
        <v>High Freight</v>
      </c>
      <c r="T2020">
        <f t="shared" si="63"/>
        <v>1494.5</v>
      </c>
    </row>
    <row r="2021" spans="1:20">
      <c r="A2021" s="9">
        <v>11030</v>
      </c>
      <c r="B2021" s="6">
        <v>29</v>
      </c>
      <c r="C2021" s="6">
        <v>123.79</v>
      </c>
      <c r="D2021" s="6">
        <v>60</v>
      </c>
      <c r="E2021" s="18">
        <v>0.25</v>
      </c>
      <c r="F2021" s="6" t="str">
        <f>IFERROR(VLOOKUP(VLOOKUP(A2021,'Sales Order'!A:B,2,FALSE),Customer!A:C,3,FALSE),"Not Specified")</f>
        <v>Navarro, Tomás</v>
      </c>
      <c r="G2021" s="6" t="str">
        <f t="shared" si="62"/>
        <v>Navarro Tomás</v>
      </c>
      <c r="H2021" s="22" t="str">
        <f>IFERROR(VLOOKUP(VLOOKUP(A2021,'Sales Order'!A:C,3,FALSE),Employee!A:E,5,FALSE)&amp;" "&amp;VLOOKUP(VLOOKUP(A2021,'Sales Order'!A:C,3,FALSE),Employee!A:C,3,FALSE)&amp;" "&amp;VLOOKUP(VLOOKUP(A2021,'Sales Order'!A:C,3,FALSE),Employee!A:B,2,FALSE),"Not Specified")</f>
        <v>Mr. Russell King</v>
      </c>
      <c r="I2021">
        <f>IFERROR(VLOOKUP(VLOOKUP(A2021,'Sales Order'!A:C,3,FALSE),Employee!A:J,10,FALSE),"Not Specified")</f>
        <v>0</v>
      </c>
      <c r="J2021" t="str">
        <f>VLOOKUP(B2021,Product!A:B,2,FALSE)</f>
        <v>Product VJXYN</v>
      </c>
      <c r="K2021" t="str">
        <f>VLOOKUP(VLOOKUP(B2021,Product!A:D,4,FALSE),Category!A:B,2,FALSE)</f>
        <v>Meat/Poultry</v>
      </c>
      <c r="L2021" s="24">
        <f>IFERROR(VLOOKUP(A2021,'Sales Order'!A:D,4,FALSE),"")</f>
        <v>39555</v>
      </c>
      <c r="M2021" s="24">
        <f>IFERROR(VLOOKUP(A2021,'Sales Order'!A:F,6,FALSE),"")</f>
        <v>39565</v>
      </c>
      <c r="N2021" t="str">
        <f>IFERROR(VLOOKUP(VLOOKUP(A2021,'Sales Order'!A:G,7,FALSE),Shipper!A:B,2,FALSE),"Not Specified")</f>
        <v>Shipper ETYNR</v>
      </c>
      <c r="O2021" t="str">
        <f>IFERROR(VLOOKUP(A2021,'Sales Order'!A:I,9,FALSE),"Not Specified")</f>
        <v>Ship to 71-C</v>
      </c>
      <c r="P2021" t="str">
        <f>IFERROR(VLOOKUP(A2021,'Sales Order'!A:N,14,FALSE),"Not Specified")</f>
        <v>USA</v>
      </c>
      <c r="Q2021" t="str">
        <f>VLOOKUP(VLOOKUP(B2021,Product!A:C,3,FALSE),Supplier!A:B,2,FALSE)</f>
        <v>Supplier SVIYA</v>
      </c>
      <c r="R2021" t="str">
        <f>VLOOKUP(VLOOKUP(B2021,Product!A:C,3,FALSE),Supplier!A:I,9,FALSE)</f>
        <v>Germany</v>
      </c>
      <c r="S2021" t="str">
        <f>IFERROR(IF(VLOOKUP(A2021,'Sales Order'!A:H,8,FALSE)&gt;100,"High Freight","Low Freight"),"Not Specified")</f>
        <v>High Freight</v>
      </c>
      <c r="T2021">
        <f t="shared" si="63"/>
        <v>5570.55</v>
      </c>
    </row>
    <row r="2022" spans="1:20">
      <c r="A2022" s="9">
        <v>11030</v>
      </c>
      <c r="B2022" s="6">
        <v>59</v>
      </c>
      <c r="C2022" s="6">
        <v>55</v>
      </c>
      <c r="D2022" s="6">
        <v>100</v>
      </c>
      <c r="E2022" s="18">
        <v>0.25</v>
      </c>
      <c r="F2022" s="6" t="str">
        <f>IFERROR(VLOOKUP(VLOOKUP(A2022,'Sales Order'!A:B,2,FALSE),Customer!A:C,3,FALSE),"Not Specified")</f>
        <v>Navarro, Tomás</v>
      </c>
      <c r="G2022" s="6" t="str">
        <f t="shared" si="62"/>
        <v>Navarro Tomás</v>
      </c>
      <c r="H2022" s="22" t="str">
        <f>IFERROR(VLOOKUP(VLOOKUP(A2022,'Sales Order'!A:C,3,FALSE),Employee!A:E,5,FALSE)&amp;" "&amp;VLOOKUP(VLOOKUP(A2022,'Sales Order'!A:C,3,FALSE),Employee!A:C,3,FALSE)&amp;" "&amp;VLOOKUP(VLOOKUP(A2022,'Sales Order'!A:C,3,FALSE),Employee!A:B,2,FALSE),"Not Specified")</f>
        <v>Mr. Russell King</v>
      </c>
      <c r="I2022">
        <f>IFERROR(VLOOKUP(VLOOKUP(A2022,'Sales Order'!A:C,3,FALSE),Employee!A:J,10,FALSE),"Not Specified")</f>
        <v>0</v>
      </c>
      <c r="J2022" t="str">
        <f>VLOOKUP(B2022,Product!A:B,2,FALSE)</f>
        <v>Product UKXRI</v>
      </c>
      <c r="K2022" t="str">
        <f>VLOOKUP(VLOOKUP(B2022,Product!A:D,4,FALSE),Category!A:B,2,FALSE)</f>
        <v>Dairy Product</v>
      </c>
      <c r="L2022" s="24">
        <f>IFERROR(VLOOKUP(A2022,'Sales Order'!A:D,4,FALSE),"")</f>
        <v>39555</v>
      </c>
      <c r="M2022" s="24">
        <f>IFERROR(VLOOKUP(A2022,'Sales Order'!A:F,6,FALSE),"")</f>
        <v>39565</v>
      </c>
      <c r="N2022" t="str">
        <f>IFERROR(VLOOKUP(VLOOKUP(A2022,'Sales Order'!A:G,7,FALSE),Shipper!A:B,2,FALSE),"Not Specified")</f>
        <v>Shipper ETYNR</v>
      </c>
      <c r="O2022" t="str">
        <f>IFERROR(VLOOKUP(A2022,'Sales Order'!A:I,9,FALSE),"Not Specified")</f>
        <v>Ship to 71-C</v>
      </c>
      <c r="P2022" t="str">
        <f>IFERROR(VLOOKUP(A2022,'Sales Order'!A:N,14,FALSE),"Not Specified")</f>
        <v>USA</v>
      </c>
      <c r="Q2022" t="str">
        <f>VLOOKUP(VLOOKUP(B2022,Product!A:C,3,FALSE),Supplier!A:B,2,FALSE)</f>
        <v>Supplier OAVQT</v>
      </c>
      <c r="R2022" t="str">
        <f>VLOOKUP(VLOOKUP(B2022,Product!A:C,3,FALSE),Supplier!A:I,9,FALSE)</f>
        <v>France</v>
      </c>
      <c r="S2022" t="str">
        <f>IFERROR(IF(VLOOKUP(A2022,'Sales Order'!A:H,8,FALSE)&gt;100,"High Freight","Low Freight"),"Not Specified")</f>
        <v>High Freight</v>
      </c>
      <c r="T2022">
        <f t="shared" si="63"/>
        <v>4125</v>
      </c>
    </row>
    <row r="2023" spans="1:20">
      <c r="A2023" s="9">
        <v>11031</v>
      </c>
      <c r="B2023" s="6">
        <v>1</v>
      </c>
      <c r="C2023" s="6">
        <v>18</v>
      </c>
      <c r="D2023" s="6">
        <v>45</v>
      </c>
      <c r="E2023" s="18">
        <v>0</v>
      </c>
      <c r="F2023" s="6" t="str">
        <f>IFERROR(VLOOKUP(VLOOKUP(A2023,'Sales Order'!A:B,2,FALSE),Customer!A:C,3,FALSE),"Not Specified")</f>
        <v>Navarro, Tomás</v>
      </c>
      <c r="G2023" s="6" t="str">
        <f t="shared" si="62"/>
        <v>Navarro Tomás</v>
      </c>
      <c r="H2023" s="22" t="str">
        <f>IFERROR(VLOOKUP(VLOOKUP(A2023,'Sales Order'!A:C,3,FALSE),Employee!A:E,5,FALSE)&amp;" "&amp;VLOOKUP(VLOOKUP(A2023,'Sales Order'!A:C,3,FALSE),Employee!A:C,3,FALSE)&amp;" "&amp;VLOOKUP(VLOOKUP(A2023,'Sales Order'!A:C,3,FALSE),Employee!A:B,2,FALSE),"Not Specified")</f>
        <v>Mr. Paul Suurs</v>
      </c>
      <c r="I2023">
        <f>IFERROR(VLOOKUP(VLOOKUP(A2023,'Sales Order'!A:C,3,FALSE),Employee!A:J,10,FALSE),"Not Specified")</f>
        <v>0</v>
      </c>
      <c r="J2023" t="str">
        <f>VLOOKUP(B2023,Product!A:B,2,FALSE)</f>
        <v>Product HHYDP</v>
      </c>
      <c r="K2023" t="str">
        <f>VLOOKUP(VLOOKUP(B2023,Product!A:D,4,FALSE),Category!A:B,2,FALSE)</f>
        <v>Beverages</v>
      </c>
      <c r="L2023" s="24">
        <f>IFERROR(VLOOKUP(A2023,'Sales Order'!A:D,4,FALSE),"")</f>
        <v>39555</v>
      </c>
      <c r="M2023" s="24">
        <f>IFERROR(VLOOKUP(A2023,'Sales Order'!A:F,6,FALSE),"")</f>
        <v>39562</v>
      </c>
      <c r="N2023" t="str">
        <f>IFERROR(VLOOKUP(VLOOKUP(A2023,'Sales Order'!A:G,7,FALSE),Shipper!A:B,2,FALSE),"Not Specified")</f>
        <v>Shipper ETYNR</v>
      </c>
      <c r="O2023" t="str">
        <f>IFERROR(VLOOKUP(A2023,'Sales Order'!A:I,9,FALSE),"Not Specified")</f>
        <v>Ship to 71-C</v>
      </c>
      <c r="P2023" t="str">
        <f>IFERROR(VLOOKUP(A2023,'Sales Order'!A:N,14,FALSE),"Not Specified")</f>
        <v>USA</v>
      </c>
      <c r="Q2023" t="str">
        <f>VLOOKUP(VLOOKUP(B2023,Product!A:C,3,FALSE),Supplier!A:B,2,FALSE)</f>
        <v>Supplier SWRXU</v>
      </c>
      <c r="R2023" t="str">
        <f>VLOOKUP(VLOOKUP(B2023,Product!A:C,3,FALSE),Supplier!A:I,9,FALSE)</f>
        <v>UK</v>
      </c>
      <c r="S2023" t="str">
        <f>IFERROR(IF(VLOOKUP(A2023,'Sales Order'!A:H,8,FALSE)&gt;100,"High Freight","Low Freight"),"Not Specified")</f>
        <v>High Freight</v>
      </c>
      <c r="T2023">
        <f t="shared" si="63"/>
        <v>810</v>
      </c>
    </row>
    <row r="2024" spans="1:20">
      <c r="A2024" s="9">
        <v>11031</v>
      </c>
      <c r="B2024" s="6">
        <v>13</v>
      </c>
      <c r="C2024" s="6">
        <v>6</v>
      </c>
      <c r="D2024" s="6">
        <v>80</v>
      </c>
      <c r="E2024" s="18">
        <v>0</v>
      </c>
      <c r="F2024" s="6" t="str">
        <f>IFERROR(VLOOKUP(VLOOKUP(A2024,'Sales Order'!A:B,2,FALSE),Customer!A:C,3,FALSE),"Not Specified")</f>
        <v>Navarro, Tomás</v>
      </c>
      <c r="G2024" s="6" t="str">
        <f t="shared" si="62"/>
        <v>Navarro Tomás</v>
      </c>
      <c r="H2024" s="22" t="str">
        <f>IFERROR(VLOOKUP(VLOOKUP(A2024,'Sales Order'!A:C,3,FALSE),Employee!A:E,5,FALSE)&amp;" "&amp;VLOOKUP(VLOOKUP(A2024,'Sales Order'!A:C,3,FALSE),Employee!A:C,3,FALSE)&amp;" "&amp;VLOOKUP(VLOOKUP(A2024,'Sales Order'!A:C,3,FALSE),Employee!A:B,2,FALSE),"Not Specified")</f>
        <v>Mr. Paul Suurs</v>
      </c>
      <c r="I2024">
        <f>IFERROR(VLOOKUP(VLOOKUP(A2024,'Sales Order'!A:C,3,FALSE),Employee!A:J,10,FALSE),"Not Specified")</f>
        <v>0</v>
      </c>
      <c r="J2024" t="str">
        <f>VLOOKUP(B2024,Product!A:B,2,FALSE)</f>
        <v>Product POXFU</v>
      </c>
      <c r="K2024" t="str">
        <f>VLOOKUP(VLOOKUP(B2024,Product!A:D,4,FALSE),Category!A:B,2,FALSE)</f>
        <v>Seafood</v>
      </c>
      <c r="L2024" s="24">
        <f>IFERROR(VLOOKUP(A2024,'Sales Order'!A:D,4,FALSE),"")</f>
        <v>39555</v>
      </c>
      <c r="M2024" s="24">
        <f>IFERROR(VLOOKUP(A2024,'Sales Order'!A:F,6,FALSE),"")</f>
        <v>39562</v>
      </c>
      <c r="N2024" t="str">
        <f>IFERROR(VLOOKUP(VLOOKUP(A2024,'Sales Order'!A:G,7,FALSE),Shipper!A:B,2,FALSE),"Not Specified")</f>
        <v>Shipper ETYNR</v>
      </c>
      <c r="O2024" t="str">
        <f>IFERROR(VLOOKUP(A2024,'Sales Order'!A:I,9,FALSE),"Not Specified")</f>
        <v>Ship to 71-C</v>
      </c>
      <c r="P2024" t="str">
        <f>IFERROR(VLOOKUP(A2024,'Sales Order'!A:N,14,FALSE),"Not Specified")</f>
        <v>USA</v>
      </c>
      <c r="Q2024" t="str">
        <f>VLOOKUP(VLOOKUP(B2024,Product!A:C,3,FALSE),Supplier!A:B,2,FALSE)</f>
        <v>Supplier QWUSF</v>
      </c>
      <c r="R2024" t="str">
        <f>VLOOKUP(VLOOKUP(B2024,Product!A:C,3,FALSE),Supplier!A:I,9,FALSE)</f>
        <v>Japan</v>
      </c>
      <c r="S2024" t="str">
        <f>IFERROR(IF(VLOOKUP(A2024,'Sales Order'!A:H,8,FALSE)&gt;100,"High Freight","Low Freight"),"Not Specified")</f>
        <v>High Freight</v>
      </c>
      <c r="T2024">
        <f t="shared" si="63"/>
        <v>480</v>
      </c>
    </row>
    <row r="2025" spans="1:20">
      <c r="A2025" s="9">
        <v>11031</v>
      </c>
      <c r="B2025" s="6">
        <v>24</v>
      </c>
      <c r="C2025" s="6">
        <v>4.5</v>
      </c>
      <c r="D2025" s="6">
        <v>21</v>
      </c>
      <c r="E2025" s="18">
        <v>0</v>
      </c>
      <c r="F2025" s="6" t="str">
        <f>IFERROR(VLOOKUP(VLOOKUP(A2025,'Sales Order'!A:B,2,FALSE),Customer!A:C,3,FALSE),"Not Specified")</f>
        <v>Navarro, Tomás</v>
      </c>
      <c r="G2025" s="6" t="str">
        <f t="shared" si="62"/>
        <v>Navarro Tomás</v>
      </c>
      <c r="H2025" s="22" t="str">
        <f>IFERROR(VLOOKUP(VLOOKUP(A2025,'Sales Order'!A:C,3,FALSE),Employee!A:E,5,FALSE)&amp;" "&amp;VLOOKUP(VLOOKUP(A2025,'Sales Order'!A:C,3,FALSE),Employee!A:C,3,FALSE)&amp;" "&amp;VLOOKUP(VLOOKUP(A2025,'Sales Order'!A:C,3,FALSE),Employee!A:B,2,FALSE),"Not Specified")</f>
        <v>Mr. Paul Suurs</v>
      </c>
      <c r="I2025">
        <f>IFERROR(VLOOKUP(VLOOKUP(A2025,'Sales Order'!A:C,3,FALSE),Employee!A:J,10,FALSE),"Not Specified")</f>
        <v>0</v>
      </c>
      <c r="J2025" t="str">
        <f>VLOOKUP(B2025,Product!A:B,2,FALSE)</f>
        <v>Product QOGNU</v>
      </c>
      <c r="K2025" t="str">
        <f>VLOOKUP(VLOOKUP(B2025,Product!A:D,4,FALSE),Category!A:B,2,FALSE)</f>
        <v>Beverages</v>
      </c>
      <c r="L2025" s="24">
        <f>IFERROR(VLOOKUP(A2025,'Sales Order'!A:D,4,FALSE),"")</f>
        <v>39555</v>
      </c>
      <c r="M2025" s="24">
        <f>IFERROR(VLOOKUP(A2025,'Sales Order'!A:F,6,FALSE),"")</f>
        <v>39562</v>
      </c>
      <c r="N2025" t="str">
        <f>IFERROR(VLOOKUP(VLOOKUP(A2025,'Sales Order'!A:G,7,FALSE),Shipper!A:B,2,FALSE),"Not Specified")</f>
        <v>Shipper ETYNR</v>
      </c>
      <c r="O2025" t="str">
        <f>IFERROR(VLOOKUP(A2025,'Sales Order'!A:I,9,FALSE),"Not Specified")</f>
        <v>Ship to 71-C</v>
      </c>
      <c r="P2025" t="str">
        <f>IFERROR(VLOOKUP(A2025,'Sales Order'!A:N,14,FALSE),"Not Specified")</f>
        <v>USA</v>
      </c>
      <c r="Q2025" t="str">
        <f>VLOOKUP(VLOOKUP(B2025,Product!A:C,3,FALSE),Supplier!A:B,2,FALSE)</f>
        <v>Supplier UNAHG</v>
      </c>
      <c r="R2025" t="str">
        <f>VLOOKUP(VLOOKUP(B2025,Product!A:C,3,FALSE),Supplier!A:I,9,FALSE)</f>
        <v>Brazil</v>
      </c>
      <c r="S2025" t="str">
        <f>IFERROR(IF(VLOOKUP(A2025,'Sales Order'!A:H,8,FALSE)&gt;100,"High Freight","Low Freight"),"Not Specified")</f>
        <v>High Freight</v>
      </c>
      <c r="T2025">
        <f t="shared" si="63"/>
        <v>94.5</v>
      </c>
    </row>
    <row r="2026" spans="1:20">
      <c r="A2026" s="9">
        <v>11031</v>
      </c>
      <c r="B2026" s="6">
        <v>64</v>
      </c>
      <c r="C2026" s="6">
        <v>33.25</v>
      </c>
      <c r="D2026" s="6">
        <v>20</v>
      </c>
      <c r="E2026" s="18">
        <v>0</v>
      </c>
      <c r="F2026" s="6" t="str">
        <f>IFERROR(VLOOKUP(VLOOKUP(A2026,'Sales Order'!A:B,2,FALSE),Customer!A:C,3,FALSE),"Not Specified")</f>
        <v>Navarro, Tomás</v>
      </c>
      <c r="G2026" s="6" t="str">
        <f t="shared" si="62"/>
        <v>Navarro Tomás</v>
      </c>
      <c r="H2026" s="22" t="str">
        <f>IFERROR(VLOOKUP(VLOOKUP(A2026,'Sales Order'!A:C,3,FALSE),Employee!A:E,5,FALSE)&amp;" "&amp;VLOOKUP(VLOOKUP(A2026,'Sales Order'!A:C,3,FALSE),Employee!A:C,3,FALSE)&amp;" "&amp;VLOOKUP(VLOOKUP(A2026,'Sales Order'!A:C,3,FALSE),Employee!A:B,2,FALSE),"Not Specified")</f>
        <v>Mr. Paul Suurs</v>
      </c>
      <c r="I2026">
        <f>IFERROR(VLOOKUP(VLOOKUP(A2026,'Sales Order'!A:C,3,FALSE),Employee!A:J,10,FALSE),"Not Specified")</f>
        <v>0</v>
      </c>
      <c r="J2026" t="str">
        <f>VLOOKUP(B2026,Product!A:B,2,FALSE)</f>
        <v>Product HCQDE</v>
      </c>
      <c r="K2026" t="str">
        <f>VLOOKUP(VLOOKUP(B2026,Product!A:D,4,FALSE),Category!A:B,2,FALSE)</f>
        <v>Grains/Cereals</v>
      </c>
      <c r="L2026" s="24">
        <f>IFERROR(VLOOKUP(A2026,'Sales Order'!A:D,4,FALSE),"")</f>
        <v>39555</v>
      </c>
      <c r="M2026" s="24">
        <f>IFERROR(VLOOKUP(A2026,'Sales Order'!A:F,6,FALSE),"")</f>
        <v>39562</v>
      </c>
      <c r="N2026" t="str">
        <f>IFERROR(VLOOKUP(VLOOKUP(A2026,'Sales Order'!A:G,7,FALSE),Shipper!A:B,2,FALSE),"Not Specified")</f>
        <v>Shipper ETYNR</v>
      </c>
      <c r="O2026" t="str">
        <f>IFERROR(VLOOKUP(A2026,'Sales Order'!A:I,9,FALSE),"Not Specified")</f>
        <v>Ship to 71-C</v>
      </c>
      <c r="P2026" t="str">
        <f>IFERROR(VLOOKUP(A2026,'Sales Order'!A:N,14,FALSE),"Not Specified")</f>
        <v>USA</v>
      </c>
      <c r="Q2026" t="str">
        <f>VLOOKUP(VLOOKUP(B2026,Product!A:C,3,FALSE),Supplier!A:B,2,FALSE)</f>
        <v>Supplier SVIYA</v>
      </c>
      <c r="R2026" t="str">
        <f>VLOOKUP(VLOOKUP(B2026,Product!A:C,3,FALSE),Supplier!A:I,9,FALSE)</f>
        <v>Germany</v>
      </c>
      <c r="S2026" t="str">
        <f>IFERROR(IF(VLOOKUP(A2026,'Sales Order'!A:H,8,FALSE)&gt;100,"High Freight","Low Freight"),"Not Specified")</f>
        <v>High Freight</v>
      </c>
      <c r="T2026">
        <f t="shared" si="63"/>
        <v>665</v>
      </c>
    </row>
    <row r="2027" spans="1:20">
      <c r="A2027" s="9">
        <v>11031</v>
      </c>
      <c r="B2027" s="6">
        <v>71</v>
      </c>
      <c r="C2027" s="6">
        <v>21.5</v>
      </c>
      <c r="D2027" s="6">
        <v>16</v>
      </c>
      <c r="E2027" s="18">
        <v>0</v>
      </c>
      <c r="F2027" s="6" t="str">
        <f>IFERROR(VLOOKUP(VLOOKUP(A2027,'Sales Order'!A:B,2,FALSE),Customer!A:C,3,FALSE),"Not Specified")</f>
        <v>Navarro, Tomás</v>
      </c>
      <c r="G2027" s="6" t="str">
        <f t="shared" si="62"/>
        <v>Navarro Tomás</v>
      </c>
      <c r="H2027" s="22" t="str">
        <f>IFERROR(VLOOKUP(VLOOKUP(A2027,'Sales Order'!A:C,3,FALSE),Employee!A:E,5,FALSE)&amp;" "&amp;VLOOKUP(VLOOKUP(A2027,'Sales Order'!A:C,3,FALSE),Employee!A:C,3,FALSE)&amp;" "&amp;VLOOKUP(VLOOKUP(A2027,'Sales Order'!A:C,3,FALSE),Employee!A:B,2,FALSE),"Not Specified")</f>
        <v>Mr. Paul Suurs</v>
      </c>
      <c r="I2027">
        <f>IFERROR(VLOOKUP(VLOOKUP(A2027,'Sales Order'!A:C,3,FALSE),Employee!A:J,10,FALSE),"Not Specified")</f>
        <v>0</v>
      </c>
      <c r="J2027" t="str">
        <f>VLOOKUP(B2027,Product!A:B,2,FALSE)</f>
        <v>Product MYMOI</v>
      </c>
      <c r="K2027" t="str">
        <f>VLOOKUP(VLOOKUP(B2027,Product!A:D,4,FALSE),Category!A:B,2,FALSE)</f>
        <v>Dairy Product</v>
      </c>
      <c r="L2027" s="24">
        <f>IFERROR(VLOOKUP(A2027,'Sales Order'!A:D,4,FALSE),"")</f>
        <v>39555</v>
      </c>
      <c r="M2027" s="24">
        <f>IFERROR(VLOOKUP(A2027,'Sales Order'!A:F,6,FALSE),"")</f>
        <v>39562</v>
      </c>
      <c r="N2027" t="str">
        <f>IFERROR(VLOOKUP(VLOOKUP(A2027,'Sales Order'!A:G,7,FALSE),Shipper!A:B,2,FALSE),"Not Specified")</f>
        <v>Shipper ETYNR</v>
      </c>
      <c r="O2027" t="str">
        <f>IFERROR(VLOOKUP(A2027,'Sales Order'!A:I,9,FALSE),"Not Specified")</f>
        <v>Ship to 71-C</v>
      </c>
      <c r="P2027" t="str">
        <f>IFERROR(VLOOKUP(A2027,'Sales Order'!A:N,14,FALSE),"Not Specified")</f>
        <v>USA</v>
      </c>
      <c r="Q2027" t="str">
        <f>VLOOKUP(VLOOKUP(B2027,Product!A:C,3,FALSE),Supplier!A:B,2,FALSE)</f>
        <v>Supplier NZLIF</v>
      </c>
      <c r="R2027" t="str">
        <f>VLOOKUP(VLOOKUP(B2027,Product!A:C,3,FALSE),Supplier!A:I,9,FALSE)</f>
        <v>Norway</v>
      </c>
      <c r="S2027" t="str">
        <f>IFERROR(IF(VLOOKUP(A2027,'Sales Order'!A:H,8,FALSE)&gt;100,"High Freight","Low Freight"),"Not Specified")</f>
        <v>High Freight</v>
      </c>
      <c r="T2027">
        <f t="shared" si="63"/>
        <v>344</v>
      </c>
    </row>
    <row r="2028" spans="1:20">
      <c r="A2028" s="9">
        <v>11032</v>
      </c>
      <c r="B2028" s="6">
        <v>36</v>
      </c>
      <c r="C2028" s="6">
        <v>19</v>
      </c>
      <c r="D2028" s="6">
        <v>35</v>
      </c>
      <c r="E2028" s="18">
        <v>0</v>
      </c>
      <c r="F2028" s="6" t="str">
        <f>IFERROR(VLOOKUP(VLOOKUP(A2028,'Sales Order'!A:B,2,FALSE),Customer!A:C,3,FALSE),"Not Specified")</f>
        <v>Smith Jr., Ronaldo</v>
      </c>
      <c r="G2028" s="6" t="str">
        <f t="shared" si="62"/>
        <v>Smith Jr. Ronaldo</v>
      </c>
      <c r="H2028" s="22" t="str">
        <f>IFERROR(VLOOKUP(VLOOKUP(A2028,'Sales Order'!A:C,3,FALSE),Employee!A:E,5,FALSE)&amp;" "&amp;VLOOKUP(VLOOKUP(A2028,'Sales Order'!A:C,3,FALSE),Employee!A:C,3,FALSE)&amp;" "&amp;VLOOKUP(VLOOKUP(A2028,'Sales Order'!A:C,3,FALSE),Employee!A:B,2,FALSE),"Not Specified")</f>
        <v>Dr. Don Funk</v>
      </c>
      <c r="I2028" t="str">
        <f>IFERROR(VLOOKUP(VLOOKUP(A2028,'Sales Order'!A:C,3,FALSE),Employee!A:J,10,FALSE),"Not Specified")</f>
        <v>WA</v>
      </c>
      <c r="J2028" t="str">
        <f>VLOOKUP(B2028,Product!A:B,2,FALSE)</f>
        <v>Product GMKIJ</v>
      </c>
      <c r="K2028" t="str">
        <f>VLOOKUP(VLOOKUP(B2028,Product!A:D,4,FALSE),Category!A:B,2,FALSE)</f>
        <v>Seafood</v>
      </c>
      <c r="L2028" s="24">
        <f>IFERROR(VLOOKUP(A2028,'Sales Order'!A:D,4,FALSE),"")</f>
        <v>39555</v>
      </c>
      <c r="M2028" s="24">
        <f>IFERROR(VLOOKUP(A2028,'Sales Order'!A:F,6,FALSE),"")</f>
        <v>39561</v>
      </c>
      <c r="N2028" t="str">
        <f>IFERROR(VLOOKUP(VLOOKUP(A2028,'Sales Order'!A:G,7,FALSE),Shipper!A:B,2,FALSE),"Not Specified")</f>
        <v>Shipper ZHISN</v>
      </c>
      <c r="O2028" t="str">
        <f>IFERROR(VLOOKUP(A2028,'Sales Order'!A:I,9,FALSE),"Not Specified")</f>
        <v>Ship to 89-B</v>
      </c>
      <c r="P2028" t="str">
        <f>IFERROR(VLOOKUP(A2028,'Sales Order'!A:N,14,FALSE),"Not Specified")</f>
        <v>USA</v>
      </c>
      <c r="Q2028" t="str">
        <f>VLOOKUP(VLOOKUP(B2028,Product!A:C,3,FALSE),Supplier!A:B,2,FALSE)</f>
        <v>Supplier QZGUF</v>
      </c>
      <c r="R2028" t="str">
        <f>VLOOKUP(VLOOKUP(B2028,Product!A:C,3,FALSE),Supplier!A:I,9,FALSE)</f>
        <v>Sweden</v>
      </c>
      <c r="S2028" t="str">
        <f>IFERROR(IF(VLOOKUP(A2028,'Sales Order'!A:H,8,FALSE)&gt;100,"High Freight","Low Freight"),"Not Specified")</f>
        <v>High Freight</v>
      </c>
      <c r="T2028">
        <f t="shared" si="63"/>
        <v>665</v>
      </c>
    </row>
    <row r="2029" spans="1:20">
      <c r="A2029" s="9">
        <v>11032</v>
      </c>
      <c r="B2029" s="6">
        <v>38</v>
      </c>
      <c r="C2029" s="6">
        <v>263.5</v>
      </c>
      <c r="D2029" s="6">
        <v>25</v>
      </c>
      <c r="E2029" s="18">
        <v>0</v>
      </c>
      <c r="F2029" s="6" t="str">
        <f>IFERROR(VLOOKUP(VLOOKUP(A2029,'Sales Order'!A:B,2,FALSE),Customer!A:C,3,FALSE),"Not Specified")</f>
        <v>Smith Jr., Ronaldo</v>
      </c>
      <c r="G2029" s="6" t="str">
        <f t="shared" si="62"/>
        <v>Smith Jr. Ronaldo</v>
      </c>
      <c r="H2029" s="22" t="str">
        <f>IFERROR(VLOOKUP(VLOOKUP(A2029,'Sales Order'!A:C,3,FALSE),Employee!A:E,5,FALSE)&amp;" "&amp;VLOOKUP(VLOOKUP(A2029,'Sales Order'!A:C,3,FALSE),Employee!A:C,3,FALSE)&amp;" "&amp;VLOOKUP(VLOOKUP(A2029,'Sales Order'!A:C,3,FALSE),Employee!A:B,2,FALSE),"Not Specified")</f>
        <v>Dr. Don Funk</v>
      </c>
      <c r="I2029" t="str">
        <f>IFERROR(VLOOKUP(VLOOKUP(A2029,'Sales Order'!A:C,3,FALSE),Employee!A:J,10,FALSE),"Not Specified")</f>
        <v>WA</v>
      </c>
      <c r="J2029" t="str">
        <f>VLOOKUP(B2029,Product!A:B,2,FALSE)</f>
        <v>Product QDOMO</v>
      </c>
      <c r="K2029" t="str">
        <f>VLOOKUP(VLOOKUP(B2029,Product!A:D,4,FALSE),Category!A:B,2,FALSE)</f>
        <v>Beverages</v>
      </c>
      <c r="L2029" s="24">
        <f>IFERROR(VLOOKUP(A2029,'Sales Order'!A:D,4,FALSE),"")</f>
        <v>39555</v>
      </c>
      <c r="M2029" s="24">
        <f>IFERROR(VLOOKUP(A2029,'Sales Order'!A:F,6,FALSE),"")</f>
        <v>39561</v>
      </c>
      <c r="N2029" t="str">
        <f>IFERROR(VLOOKUP(VLOOKUP(A2029,'Sales Order'!A:G,7,FALSE),Shipper!A:B,2,FALSE),"Not Specified")</f>
        <v>Shipper ZHISN</v>
      </c>
      <c r="O2029" t="str">
        <f>IFERROR(VLOOKUP(A2029,'Sales Order'!A:I,9,FALSE),"Not Specified")</f>
        <v>Ship to 89-B</v>
      </c>
      <c r="P2029" t="str">
        <f>IFERROR(VLOOKUP(A2029,'Sales Order'!A:N,14,FALSE),"Not Specified")</f>
        <v>USA</v>
      </c>
      <c r="Q2029" t="str">
        <f>VLOOKUP(VLOOKUP(B2029,Product!A:C,3,FALSE),Supplier!A:B,2,FALSE)</f>
        <v>Supplier LVJUA</v>
      </c>
      <c r="R2029" t="str">
        <f>VLOOKUP(VLOOKUP(B2029,Product!A:C,3,FALSE),Supplier!A:I,9,FALSE)</f>
        <v>France</v>
      </c>
      <c r="S2029" t="str">
        <f>IFERROR(IF(VLOOKUP(A2029,'Sales Order'!A:H,8,FALSE)&gt;100,"High Freight","Low Freight"),"Not Specified")</f>
        <v>High Freight</v>
      </c>
      <c r="T2029">
        <f t="shared" si="63"/>
        <v>6587.5</v>
      </c>
    </row>
    <row r="2030" spans="1:20">
      <c r="A2030" s="9">
        <v>11032</v>
      </c>
      <c r="B2030" s="6">
        <v>59</v>
      </c>
      <c r="C2030" s="6">
        <v>55</v>
      </c>
      <c r="D2030" s="6">
        <v>30</v>
      </c>
      <c r="E2030" s="18">
        <v>0</v>
      </c>
      <c r="F2030" s="6" t="str">
        <f>IFERROR(VLOOKUP(VLOOKUP(A2030,'Sales Order'!A:B,2,FALSE),Customer!A:C,3,FALSE),"Not Specified")</f>
        <v>Smith Jr., Ronaldo</v>
      </c>
      <c r="G2030" s="6" t="str">
        <f t="shared" si="62"/>
        <v>Smith Jr. Ronaldo</v>
      </c>
      <c r="H2030" s="22" t="str">
        <f>IFERROR(VLOOKUP(VLOOKUP(A2030,'Sales Order'!A:C,3,FALSE),Employee!A:E,5,FALSE)&amp;" "&amp;VLOOKUP(VLOOKUP(A2030,'Sales Order'!A:C,3,FALSE),Employee!A:C,3,FALSE)&amp;" "&amp;VLOOKUP(VLOOKUP(A2030,'Sales Order'!A:C,3,FALSE),Employee!A:B,2,FALSE),"Not Specified")</f>
        <v>Dr. Don Funk</v>
      </c>
      <c r="I2030" t="str">
        <f>IFERROR(VLOOKUP(VLOOKUP(A2030,'Sales Order'!A:C,3,FALSE),Employee!A:J,10,FALSE),"Not Specified")</f>
        <v>WA</v>
      </c>
      <c r="J2030" t="str">
        <f>VLOOKUP(B2030,Product!A:B,2,FALSE)</f>
        <v>Product UKXRI</v>
      </c>
      <c r="K2030" t="str">
        <f>VLOOKUP(VLOOKUP(B2030,Product!A:D,4,FALSE),Category!A:B,2,FALSE)</f>
        <v>Dairy Product</v>
      </c>
      <c r="L2030" s="24">
        <f>IFERROR(VLOOKUP(A2030,'Sales Order'!A:D,4,FALSE),"")</f>
        <v>39555</v>
      </c>
      <c r="M2030" s="24">
        <f>IFERROR(VLOOKUP(A2030,'Sales Order'!A:F,6,FALSE),"")</f>
        <v>39561</v>
      </c>
      <c r="N2030" t="str">
        <f>IFERROR(VLOOKUP(VLOOKUP(A2030,'Sales Order'!A:G,7,FALSE),Shipper!A:B,2,FALSE),"Not Specified")</f>
        <v>Shipper ZHISN</v>
      </c>
      <c r="O2030" t="str">
        <f>IFERROR(VLOOKUP(A2030,'Sales Order'!A:I,9,FALSE),"Not Specified")</f>
        <v>Ship to 89-B</v>
      </c>
      <c r="P2030" t="str">
        <f>IFERROR(VLOOKUP(A2030,'Sales Order'!A:N,14,FALSE),"Not Specified")</f>
        <v>USA</v>
      </c>
      <c r="Q2030" t="str">
        <f>VLOOKUP(VLOOKUP(B2030,Product!A:C,3,FALSE),Supplier!A:B,2,FALSE)</f>
        <v>Supplier OAVQT</v>
      </c>
      <c r="R2030" t="str">
        <f>VLOOKUP(VLOOKUP(B2030,Product!A:C,3,FALSE),Supplier!A:I,9,FALSE)</f>
        <v>France</v>
      </c>
      <c r="S2030" t="str">
        <f>IFERROR(IF(VLOOKUP(A2030,'Sales Order'!A:H,8,FALSE)&gt;100,"High Freight","Low Freight"),"Not Specified")</f>
        <v>High Freight</v>
      </c>
      <c r="T2030">
        <f t="shared" si="63"/>
        <v>1650</v>
      </c>
    </row>
    <row r="2031" spans="1:20">
      <c r="A2031" s="9">
        <v>11033</v>
      </c>
      <c r="B2031" s="6">
        <v>53</v>
      </c>
      <c r="C2031" s="6">
        <v>32.799999999999997</v>
      </c>
      <c r="D2031" s="6">
        <v>70</v>
      </c>
      <c r="E2031" s="18">
        <v>0.1</v>
      </c>
      <c r="F2031" s="6" t="str">
        <f>IFERROR(VLOOKUP(VLOOKUP(A2031,'Sales Order'!A:B,2,FALSE),Customer!A:C,3,FALSE),"Not Specified")</f>
        <v>Myrcha, Jacek</v>
      </c>
      <c r="G2031" s="6" t="str">
        <f t="shared" si="62"/>
        <v>Myrcha Jacek</v>
      </c>
      <c r="H2031" s="22" t="str">
        <f>IFERROR(VLOOKUP(VLOOKUP(A2031,'Sales Order'!A:C,3,FALSE),Employee!A:E,5,FALSE)&amp;" "&amp;VLOOKUP(VLOOKUP(A2031,'Sales Order'!A:C,3,FALSE),Employee!A:C,3,FALSE)&amp;" "&amp;VLOOKUP(VLOOKUP(A2031,'Sales Order'!A:C,3,FALSE),Employee!A:B,2,FALSE),"Not Specified")</f>
        <v>Mr. Russell King</v>
      </c>
      <c r="I2031">
        <f>IFERROR(VLOOKUP(VLOOKUP(A2031,'Sales Order'!A:C,3,FALSE),Employee!A:J,10,FALSE),"Not Specified")</f>
        <v>0</v>
      </c>
      <c r="J2031" t="str">
        <f>VLOOKUP(B2031,Product!A:B,2,FALSE)</f>
        <v>Product BKGEA</v>
      </c>
      <c r="K2031" t="str">
        <f>VLOOKUP(VLOOKUP(B2031,Product!A:D,4,FALSE),Category!A:B,2,FALSE)</f>
        <v>Meat/Poultry</v>
      </c>
      <c r="L2031" s="24">
        <f>IFERROR(VLOOKUP(A2031,'Sales Order'!A:D,4,FALSE),"")</f>
        <v>39555</v>
      </c>
      <c r="M2031" s="24">
        <f>IFERROR(VLOOKUP(A2031,'Sales Order'!A:F,6,FALSE),"")</f>
        <v>39561</v>
      </c>
      <c r="N2031" t="str">
        <f>IFERROR(VLOOKUP(VLOOKUP(A2031,'Sales Order'!A:G,7,FALSE),Shipper!A:B,2,FALSE),"Not Specified")</f>
        <v>Shipper ZHISN</v>
      </c>
      <c r="O2031" t="str">
        <f>IFERROR(VLOOKUP(A2031,'Sales Order'!A:I,9,FALSE),"Not Specified")</f>
        <v>Ship to 68-A</v>
      </c>
      <c r="P2031" t="str">
        <f>IFERROR(VLOOKUP(A2031,'Sales Order'!A:N,14,FALSE),"Not Specified")</f>
        <v>Switzerland</v>
      </c>
      <c r="Q2031" t="str">
        <f>VLOOKUP(VLOOKUP(B2031,Product!A:C,3,FALSE),Supplier!A:B,2,FALSE)</f>
        <v>Supplier JNNES</v>
      </c>
      <c r="R2031" t="str">
        <f>VLOOKUP(VLOOKUP(B2031,Product!A:C,3,FALSE),Supplier!A:I,9,FALSE)</f>
        <v>Australia</v>
      </c>
      <c r="S2031" t="str">
        <f>IFERROR(IF(VLOOKUP(A2031,'Sales Order'!A:H,8,FALSE)&gt;100,"High Freight","Low Freight"),"Not Specified")</f>
        <v>Low Freight</v>
      </c>
      <c r="T2031">
        <f t="shared" si="63"/>
        <v>2066.4</v>
      </c>
    </row>
    <row r="2032" spans="1:20">
      <c r="A2032" s="9">
        <v>11033</v>
      </c>
      <c r="B2032" s="6">
        <v>69</v>
      </c>
      <c r="C2032" s="6">
        <v>36</v>
      </c>
      <c r="D2032" s="6">
        <v>36</v>
      </c>
      <c r="E2032" s="18">
        <v>0.1</v>
      </c>
      <c r="F2032" s="6" t="str">
        <f>IFERROR(VLOOKUP(VLOOKUP(A2032,'Sales Order'!A:B,2,FALSE),Customer!A:C,3,FALSE),"Not Specified")</f>
        <v>Myrcha, Jacek</v>
      </c>
      <c r="G2032" s="6" t="str">
        <f t="shared" si="62"/>
        <v>Myrcha Jacek</v>
      </c>
      <c r="H2032" s="22" t="str">
        <f>IFERROR(VLOOKUP(VLOOKUP(A2032,'Sales Order'!A:C,3,FALSE),Employee!A:E,5,FALSE)&amp;" "&amp;VLOOKUP(VLOOKUP(A2032,'Sales Order'!A:C,3,FALSE),Employee!A:C,3,FALSE)&amp;" "&amp;VLOOKUP(VLOOKUP(A2032,'Sales Order'!A:C,3,FALSE),Employee!A:B,2,FALSE),"Not Specified")</f>
        <v>Mr. Russell King</v>
      </c>
      <c r="I2032">
        <f>IFERROR(VLOOKUP(VLOOKUP(A2032,'Sales Order'!A:C,3,FALSE),Employee!A:J,10,FALSE),"Not Specified")</f>
        <v>0</v>
      </c>
      <c r="J2032" t="str">
        <f>VLOOKUP(B2032,Product!A:B,2,FALSE)</f>
        <v>Product COAXA</v>
      </c>
      <c r="K2032" t="str">
        <f>VLOOKUP(VLOOKUP(B2032,Product!A:D,4,FALSE),Category!A:B,2,FALSE)</f>
        <v>Dairy Product</v>
      </c>
      <c r="L2032" s="24">
        <f>IFERROR(VLOOKUP(A2032,'Sales Order'!A:D,4,FALSE),"")</f>
        <v>39555</v>
      </c>
      <c r="M2032" s="24">
        <f>IFERROR(VLOOKUP(A2032,'Sales Order'!A:F,6,FALSE),"")</f>
        <v>39561</v>
      </c>
      <c r="N2032" t="str">
        <f>IFERROR(VLOOKUP(VLOOKUP(A2032,'Sales Order'!A:G,7,FALSE),Shipper!A:B,2,FALSE),"Not Specified")</f>
        <v>Shipper ZHISN</v>
      </c>
      <c r="O2032" t="str">
        <f>IFERROR(VLOOKUP(A2032,'Sales Order'!A:I,9,FALSE),"Not Specified")</f>
        <v>Ship to 68-A</v>
      </c>
      <c r="P2032" t="str">
        <f>IFERROR(VLOOKUP(A2032,'Sales Order'!A:N,14,FALSE),"Not Specified")</f>
        <v>Switzerland</v>
      </c>
      <c r="Q2032" t="str">
        <f>VLOOKUP(VLOOKUP(B2032,Product!A:C,3,FALSE),Supplier!A:B,2,FALSE)</f>
        <v>Supplier NZLIF</v>
      </c>
      <c r="R2032" t="str">
        <f>VLOOKUP(VLOOKUP(B2032,Product!A:C,3,FALSE),Supplier!A:I,9,FALSE)</f>
        <v>Norway</v>
      </c>
      <c r="S2032" t="str">
        <f>IFERROR(IF(VLOOKUP(A2032,'Sales Order'!A:H,8,FALSE)&gt;100,"High Freight","Low Freight"),"Not Specified")</f>
        <v>Low Freight</v>
      </c>
      <c r="T2032">
        <f t="shared" si="63"/>
        <v>1166.4000000000001</v>
      </c>
    </row>
    <row r="2033" spans="1:20">
      <c r="A2033" s="9">
        <v>11034</v>
      </c>
      <c r="B2033" s="6">
        <v>21</v>
      </c>
      <c r="C2033" s="6">
        <v>10</v>
      </c>
      <c r="D2033" s="6">
        <v>15</v>
      </c>
      <c r="E2033" s="18">
        <v>0.1</v>
      </c>
      <c r="F2033" s="6" t="str">
        <f>IFERROR(VLOOKUP(VLOOKUP(A2033,'Sales Order'!A:B,2,FALSE),Customer!A:C,3,FALSE),"Not Specified")</f>
        <v>Egelund-Muller, Anja</v>
      </c>
      <c r="G2033" s="6" t="str">
        <f t="shared" si="62"/>
        <v>Egelund-Muller Anja</v>
      </c>
      <c r="H2033" s="22" t="str">
        <f>IFERROR(VLOOKUP(VLOOKUP(A2033,'Sales Order'!A:C,3,FALSE),Employee!A:E,5,FALSE)&amp;" "&amp;VLOOKUP(VLOOKUP(A2033,'Sales Order'!A:C,3,FALSE),Employee!A:C,3,FALSE)&amp;" "&amp;VLOOKUP(VLOOKUP(A2033,'Sales Order'!A:C,3,FALSE),Employee!A:B,2,FALSE),"Not Specified")</f>
        <v>Ms. Maria Cameron</v>
      </c>
      <c r="I2033" t="str">
        <f>IFERROR(VLOOKUP(VLOOKUP(A2033,'Sales Order'!A:C,3,FALSE),Employee!A:J,10,FALSE),"Not Specified")</f>
        <v>WA</v>
      </c>
      <c r="J2033" t="str">
        <f>VLOOKUP(B2033,Product!A:B,2,FALSE)</f>
        <v>Product VJZZH</v>
      </c>
      <c r="K2033" t="str">
        <f>VLOOKUP(VLOOKUP(B2033,Product!A:D,4,FALSE),Category!A:B,2,FALSE)</f>
        <v>Confections</v>
      </c>
      <c r="L2033" s="24">
        <f>IFERROR(VLOOKUP(A2033,'Sales Order'!A:D,4,FALSE),"")</f>
        <v>39558</v>
      </c>
      <c r="M2033" s="24">
        <f>IFERROR(VLOOKUP(A2033,'Sales Order'!A:F,6,FALSE),"")</f>
        <v>39565</v>
      </c>
      <c r="N2033" t="str">
        <f>IFERROR(VLOOKUP(VLOOKUP(A2033,'Sales Order'!A:G,7,FALSE),Shipper!A:B,2,FALSE),"Not Specified")</f>
        <v>Shipper GVSUA</v>
      </c>
      <c r="O2033" t="str">
        <f>IFERROR(VLOOKUP(A2033,'Sales Order'!A:I,9,FALSE),"Not Specified")</f>
        <v>Ship to 55-B</v>
      </c>
      <c r="P2033" t="str">
        <f>IFERROR(VLOOKUP(A2033,'Sales Order'!A:N,14,FALSE),"Not Specified")</f>
        <v>USA</v>
      </c>
      <c r="Q2033" t="str">
        <f>VLOOKUP(VLOOKUP(B2033,Product!A:C,3,FALSE),Supplier!A:B,2,FALSE)</f>
        <v>Supplier BWGYE</v>
      </c>
      <c r="R2033" t="str">
        <f>VLOOKUP(VLOOKUP(B2033,Product!A:C,3,FALSE),Supplier!A:I,9,FALSE)</f>
        <v>UK</v>
      </c>
      <c r="S2033" t="str">
        <f>IFERROR(IF(VLOOKUP(A2033,'Sales Order'!A:H,8,FALSE)&gt;100,"High Freight","Low Freight"),"Not Specified")</f>
        <v>Low Freight</v>
      </c>
      <c r="T2033">
        <f t="shared" si="63"/>
        <v>135</v>
      </c>
    </row>
    <row r="2034" spans="1:20">
      <c r="A2034" s="9">
        <v>11034</v>
      </c>
      <c r="B2034" s="6">
        <v>44</v>
      </c>
      <c r="C2034" s="6">
        <v>19.45</v>
      </c>
      <c r="D2034" s="6">
        <v>12</v>
      </c>
      <c r="E2034" s="18">
        <v>0</v>
      </c>
      <c r="F2034" s="6" t="str">
        <f>IFERROR(VLOOKUP(VLOOKUP(A2034,'Sales Order'!A:B,2,FALSE),Customer!A:C,3,FALSE),"Not Specified")</f>
        <v>Egelund-Muller, Anja</v>
      </c>
      <c r="G2034" s="6" t="str">
        <f t="shared" si="62"/>
        <v>Egelund-Muller Anja</v>
      </c>
      <c r="H2034" s="22" t="str">
        <f>IFERROR(VLOOKUP(VLOOKUP(A2034,'Sales Order'!A:C,3,FALSE),Employee!A:E,5,FALSE)&amp;" "&amp;VLOOKUP(VLOOKUP(A2034,'Sales Order'!A:C,3,FALSE),Employee!A:C,3,FALSE)&amp;" "&amp;VLOOKUP(VLOOKUP(A2034,'Sales Order'!A:C,3,FALSE),Employee!A:B,2,FALSE),"Not Specified")</f>
        <v>Ms. Maria Cameron</v>
      </c>
      <c r="I2034" t="str">
        <f>IFERROR(VLOOKUP(VLOOKUP(A2034,'Sales Order'!A:C,3,FALSE),Employee!A:J,10,FALSE),"Not Specified")</f>
        <v>WA</v>
      </c>
      <c r="J2034" t="str">
        <f>VLOOKUP(B2034,Product!A:B,2,FALSE)</f>
        <v>Product VJIEO</v>
      </c>
      <c r="K2034" t="str">
        <f>VLOOKUP(VLOOKUP(B2034,Product!A:D,4,FALSE),Category!A:B,2,FALSE)</f>
        <v>Condiments</v>
      </c>
      <c r="L2034" s="24">
        <f>IFERROR(VLOOKUP(A2034,'Sales Order'!A:D,4,FALSE),"")</f>
        <v>39558</v>
      </c>
      <c r="M2034" s="24">
        <f>IFERROR(VLOOKUP(A2034,'Sales Order'!A:F,6,FALSE),"")</f>
        <v>39565</v>
      </c>
      <c r="N2034" t="str">
        <f>IFERROR(VLOOKUP(VLOOKUP(A2034,'Sales Order'!A:G,7,FALSE),Shipper!A:B,2,FALSE),"Not Specified")</f>
        <v>Shipper GVSUA</v>
      </c>
      <c r="O2034" t="str">
        <f>IFERROR(VLOOKUP(A2034,'Sales Order'!A:I,9,FALSE),"Not Specified")</f>
        <v>Ship to 55-B</v>
      </c>
      <c r="P2034" t="str">
        <f>IFERROR(VLOOKUP(A2034,'Sales Order'!A:N,14,FALSE),"Not Specified")</f>
        <v>USA</v>
      </c>
      <c r="Q2034" t="str">
        <f>VLOOKUP(VLOOKUP(B2034,Product!A:C,3,FALSE),Supplier!A:B,2,FALSE)</f>
        <v>Supplier CIYNM</v>
      </c>
      <c r="R2034" t="str">
        <f>VLOOKUP(VLOOKUP(B2034,Product!A:C,3,FALSE),Supplier!A:I,9,FALSE)</f>
        <v>Singapore</v>
      </c>
      <c r="S2034" t="str">
        <f>IFERROR(IF(VLOOKUP(A2034,'Sales Order'!A:H,8,FALSE)&gt;100,"High Freight","Low Freight"),"Not Specified")</f>
        <v>Low Freight</v>
      </c>
      <c r="T2034">
        <f t="shared" si="63"/>
        <v>233.39999999999998</v>
      </c>
    </row>
    <row r="2035" spans="1:20">
      <c r="A2035" s="9">
        <v>11034</v>
      </c>
      <c r="B2035" s="6">
        <v>61</v>
      </c>
      <c r="C2035" s="6">
        <v>28.5</v>
      </c>
      <c r="D2035" s="6">
        <v>6</v>
      </c>
      <c r="E2035" s="18">
        <v>0</v>
      </c>
      <c r="F2035" s="6" t="str">
        <f>IFERROR(VLOOKUP(VLOOKUP(A2035,'Sales Order'!A:B,2,FALSE),Customer!A:C,3,FALSE),"Not Specified")</f>
        <v>Egelund-Muller, Anja</v>
      </c>
      <c r="G2035" s="6" t="str">
        <f t="shared" si="62"/>
        <v>Egelund-Muller Anja</v>
      </c>
      <c r="H2035" s="22" t="str">
        <f>IFERROR(VLOOKUP(VLOOKUP(A2035,'Sales Order'!A:C,3,FALSE),Employee!A:E,5,FALSE)&amp;" "&amp;VLOOKUP(VLOOKUP(A2035,'Sales Order'!A:C,3,FALSE),Employee!A:C,3,FALSE)&amp;" "&amp;VLOOKUP(VLOOKUP(A2035,'Sales Order'!A:C,3,FALSE),Employee!A:B,2,FALSE),"Not Specified")</f>
        <v>Ms. Maria Cameron</v>
      </c>
      <c r="I2035" t="str">
        <f>IFERROR(VLOOKUP(VLOOKUP(A2035,'Sales Order'!A:C,3,FALSE),Employee!A:J,10,FALSE),"Not Specified")</f>
        <v>WA</v>
      </c>
      <c r="J2035" t="str">
        <f>VLOOKUP(B2035,Product!A:B,2,FALSE)</f>
        <v>Product XYZPE</v>
      </c>
      <c r="K2035" t="str">
        <f>VLOOKUP(VLOOKUP(B2035,Product!A:D,4,FALSE),Category!A:B,2,FALSE)</f>
        <v>Condiments</v>
      </c>
      <c r="L2035" s="24">
        <f>IFERROR(VLOOKUP(A2035,'Sales Order'!A:D,4,FALSE),"")</f>
        <v>39558</v>
      </c>
      <c r="M2035" s="24">
        <f>IFERROR(VLOOKUP(A2035,'Sales Order'!A:F,6,FALSE),"")</f>
        <v>39565</v>
      </c>
      <c r="N2035" t="str">
        <f>IFERROR(VLOOKUP(VLOOKUP(A2035,'Sales Order'!A:G,7,FALSE),Shipper!A:B,2,FALSE),"Not Specified")</f>
        <v>Shipper GVSUA</v>
      </c>
      <c r="O2035" t="str">
        <f>IFERROR(VLOOKUP(A2035,'Sales Order'!A:I,9,FALSE),"Not Specified")</f>
        <v>Ship to 55-B</v>
      </c>
      <c r="P2035" t="str">
        <f>IFERROR(VLOOKUP(A2035,'Sales Order'!A:N,14,FALSE),"Not Specified")</f>
        <v>USA</v>
      </c>
      <c r="Q2035" t="str">
        <f>VLOOKUP(VLOOKUP(B2035,Product!A:C,3,FALSE),Supplier!A:B,2,FALSE)</f>
        <v>Supplier OGLRK</v>
      </c>
      <c r="R2035" t="str">
        <f>VLOOKUP(VLOOKUP(B2035,Product!A:C,3,FALSE),Supplier!A:I,9,FALSE)</f>
        <v>Canada</v>
      </c>
      <c r="S2035" t="str">
        <f>IFERROR(IF(VLOOKUP(A2035,'Sales Order'!A:H,8,FALSE)&gt;100,"High Freight","Low Freight"),"Not Specified")</f>
        <v>Low Freight</v>
      </c>
      <c r="T2035">
        <f t="shared" si="63"/>
        <v>171</v>
      </c>
    </row>
    <row r="2036" spans="1:20">
      <c r="A2036" s="9">
        <v>11035</v>
      </c>
      <c r="B2036" s="6">
        <v>1</v>
      </c>
      <c r="C2036" s="6">
        <v>18</v>
      </c>
      <c r="D2036" s="6">
        <v>10</v>
      </c>
      <c r="E2036" s="18">
        <v>0</v>
      </c>
      <c r="F2036" s="6" t="str">
        <f>IFERROR(VLOOKUP(VLOOKUP(A2036,'Sales Order'!A:B,2,FALSE),Customer!A:C,3,FALSE),"Not Specified")</f>
        <v>Gulbis, Katrin</v>
      </c>
      <c r="G2036" s="6" t="str">
        <f t="shared" si="62"/>
        <v>Gulbis Katrin</v>
      </c>
      <c r="H2036" s="22" t="str">
        <f>IFERROR(VLOOKUP(VLOOKUP(A2036,'Sales Order'!A:C,3,FALSE),Employee!A:E,5,FALSE)&amp;" "&amp;VLOOKUP(VLOOKUP(A2036,'Sales Order'!A:C,3,FALSE),Employee!A:C,3,FALSE)&amp;" "&amp;VLOOKUP(VLOOKUP(A2036,'Sales Order'!A:C,3,FALSE),Employee!A:B,2,FALSE),"Not Specified")</f>
        <v>Dr. Don Funk</v>
      </c>
      <c r="I2036" t="str">
        <f>IFERROR(VLOOKUP(VLOOKUP(A2036,'Sales Order'!A:C,3,FALSE),Employee!A:J,10,FALSE),"Not Specified")</f>
        <v>WA</v>
      </c>
      <c r="J2036" t="str">
        <f>VLOOKUP(B2036,Product!A:B,2,FALSE)</f>
        <v>Product HHYDP</v>
      </c>
      <c r="K2036" t="str">
        <f>VLOOKUP(VLOOKUP(B2036,Product!A:D,4,FALSE),Category!A:B,2,FALSE)</f>
        <v>Beverages</v>
      </c>
      <c r="L2036" s="24">
        <f>IFERROR(VLOOKUP(A2036,'Sales Order'!A:D,4,FALSE),"")</f>
        <v>39558</v>
      </c>
      <c r="M2036" s="24">
        <f>IFERROR(VLOOKUP(A2036,'Sales Order'!A:F,6,FALSE),"")</f>
        <v>39562</v>
      </c>
      <c r="N2036" t="str">
        <f>IFERROR(VLOOKUP(VLOOKUP(A2036,'Sales Order'!A:G,7,FALSE),Shipper!A:B,2,FALSE),"Not Specified")</f>
        <v>Shipper ETYNR</v>
      </c>
      <c r="O2036" t="str">
        <f>IFERROR(VLOOKUP(A2036,'Sales Order'!A:I,9,FALSE),"Not Specified")</f>
        <v>Ship to 76-B</v>
      </c>
      <c r="P2036" t="str">
        <f>IFERROR(VLOOKUP(A2036,'Sales Order'!A:N,14,FALSE),"Not Specified")</f>
        <v>Belgium</v>
      </c>
      <c r="Q2036" t="str">
        <f>VLOOKUP(VLOOKUP(B2036,Product!A:C,3,FALSE),Supplier!A:B,2,FALSE)</f>
        <v>Supplier SWRXU</v>
      </c>
      <c r="R2036" t="str">
        <f>VLOOKUP(VLOOKUP(B2036,Product!A:C,3,FALSE),Supplier!A:I,9,FALSE)</f>
        <v>UK</v>
      </c>
      <c r="S2036" t="str">
        <f>IFERROR(IF(VLOOKUP(A2036,'Sales Order'!A:H,8,FALSE)&gt;100,"High Freight","Low Freight"),"Not Specified")</f>
        <v>Low Freight</v>
      </c>
      <c r="T2036">
        <f t="shared" si="63"/>
        <v>180</v>
      </c>
    </row>
    <row r="2037" spans="1:20">
      <c r="A2037" s="9">
        <v>11035</v>
      </c>
      <c r="B2037" s="6">
        <v>35</v>
      </c>
      <c r="C2037" s="6">
        <v>18</v>
      </c>
      <c r="D2037" s="6">
        <v>60</v>
      </c>
      <c r="E2037" s="18">
        <v>0</v>
      </c>
      <c r="F2037" s="6" t="str">
        <f>IFERROR(VLOOKUP(VLOOKUP(A2037,'Sales Order'!A:B,2,FALSE),Customer!A:C,3,FALSE),"Not Specified")</f>
        <v>Gulbis, Katrin</v>
      </c>
      <c r="G2037" s="6" t="str">
        <f t="shared" si="62"/>
        <v>Gulbis Katrin</v>
      </c>
      <c r="H2037" s="22" t="str">
        <f>IFERROR(VLOOKUP(VLOOKUP(A2037,'Sales Order'!A:C,3,FALSE),Employee!A:E,5,FALSE)&amp;" "&amp;VLOOKUP(VLOOKUP(A2037,'Sales Order'!A:C,3,FALSE),Employee!A:C,3,FALSE)&amp;" "&amp;VLOOKUP(VLOOKUP(A2037,'Sales Order'!A:C,3,FALSE),Employee!A:B,2,FALSE),"Not Specified")</f>
        <v>Dr. Don Funk</v>
      </c>
      <c r="I2037" t="str">
        <f>IFERROR(VLOOKUP(VLOOKUP(A2037,'Sales Order'!A:C,3,FALSE),Employee!A:J,10,FALSE),"Not Specified")</f>
        <v>WA</v>
      </c>
      <c r="J2037" t="str">
        <f>VLOOKUP(B2037,Product!A:B,2,FALSE)</f>
        <v>Product NEVTJ</v>
      </c>
      <c r="K2037" t="str">
        <f>VLOOKUP(VLOOKUP(B2037,Product!A:D,4,FALSE),Category!A:B,2,FALSE)</f>
        <v>Beverages</v>
      </c>
      <c r="L2037" s="24">
        <f>IFERROR(VLOOKUP(A2037,'Sales Order'!A:D,4,FALSE),"")</f>
        <v>39558</v>
      </c>
      <c r="M2037" s="24">
        <f>IFERROR(VLOOKUP(A2037,'Sales Order'!A:F,6,FALSE),"")</f>
        <v>39562</v>
      </c>
      <c r="N2037" t="str">
        <f>IFERROR(VLOOKUP(VLOOKUP(A2037,'Sales Order'!A:G,7,FALSE),Shipper!A:B,2,FALSE),"Not Specified")</f>
        <v>Shipper ETYNR</v>
      </c>
      <c r="O2037" t="str">
        <f>IFERROR(VLOOKUP(A2037,'Sales Order'!A:I,9,FALSE),"Not Specified")</f>
        <v>Ship to 76-B</v>
      </c>
      <c r="P2037" t="str">
        <f>IFERROR(VLOOKUP(A2037,'Sales Order'!A:N,14,FALSE),"Not Specified")</f>
        <v>Belgium</v>
      </c>
      <c r="Q2037" t="str">
        <f>VLOOKUP(VLOOKUP(B2037,Product!A:C,3,FALSE),Supplier!A:B,2,FALSE)</f>
        <v>Supplier UHZRG</v>
      </c>
      <c r="R2037" t="str">
        <f>VLOOKUP(VLOOKUP(B2037,Product!A:C,3,FALSE),Supplier!A:I,9,FALSE)</f>
        <v>USA</v>
      </c>
      <c r="S2037" t="str">
        <f>IFERROR(IF(VLOOKUP(A2037,'Sales Order'!A:H,8,FALSE)&gt;100,"High Freight","Low Freight"),"Not Specified")</f>
        <v>Low Freight</v>
      </c>
      <c r="T2037">
        <f t="shared" si="63"/>
        <v>1080</v>
      </c>
    </row>
    <row r="2038" spans="1:20">
      <c r="A2038" s="9">
        <v>11035</v>
      </c>
      <c r="B2038" s="6">
        <v>42</v>
      </c>
      <c r="C2038" s="6">
        <v>14</v>
      </c>
      <c r="D2038" s="6">
        <v>30</v>
      </c>
      <c r="E2038" s="18">
        <v>0</v>
      </c>
      <c r="F2038" s="6" t="str">
        <f>IFERROR(VLOOKUP(VLOOKUP(A2038,'Sales Order'!A:B,2,FALSE),Customer!A:C,3,FALSE),"Not Specified")</f>
        <v>Gulbis, Katrin</v>
      </c>
      <c r="G2038" s="6" t="str">
        <f t="shared" si="62"/>
        <v>Gulbis Katrin</v>
      </c>
      <c r="H2038" s="22" t="str">
        <f>IFERROR(VLOOKUP(VLOOKUP(A2038,'Sales Order'!A:C,3,FALSE),Employee!A:E,5,FALSE)&amp;" "&amp;VLOOKUP(VLOOKUP(A2038,'Sales Order'!A:C,3,FALSE),Employee!A:C,3,FALSE)&amp;" "&amp;VLOOKUP(VLOOKUP(A2038,'Sales Order'!A:C,3,FALSE),Employee!A:B,2,FALSE),"Not Specified")</f>
        <v>Dr. Don Funk</v>
      </c>
      <c r="I2038" t="str">
        <f>IFERROR(VLOOKUP(VLOOKUP(A2038,'Sales Order'!A:C,3,FALSE),Employee!A:J,10,FALSE),"Not Specified")</f>
        <v>WA</v>
      </c>
      <c r="J2038" t="str">
        <f>VLOOKUP(B2038,Product!A:B,2,FALSE)</f>
        <v>Product RJVNM</v>
      </c>
      <c r="K2038" t="str">
        <f>VLOOKUP(VLOOKUP(B2038,Product!A:D,4,FALSE),Category!A:B,2,FALSE)</f>
        <v>Grains/Cereals</v>
      </c>
      <c r="L2038" s="24">
        <f>IFERROR(VLOOKUP(A2038,'Sales Order'!A:D,4,FALSE),"")</f>
        <v>39558</v>
      </c>
      <c r="M2038" s="24">
        <f>IFERROR(VLOOKUP(A2038,'Sales Order'!A:F,6,FALSE),"")</f>
        <v>39562</v>
      </c>
      <c r="N2038" t="str">
        <f>IFERROR(VLOOKUP(VLOOKUP(A2038,'Sales Order'!A:G,7,FALSE),Shipper!A:B,2,FALSE),"Not Specified")</f>
        <v>Shipper ETYNR</v>
      </c>
      <c r="O2038" t="str">
        <f>IFERROR(VLOOKUP(A2038,'Sales Order'!A:I,9,FALSE),"Not Specified")</f>
        <v>Ship to 76-B</v>
      </c>
      <c r="P2038" t="str">
        <f>IFERROR(VLOOKUP(A2038,'Sales Order'!A:N,14,FALSE),"Not Specified")</f>
        <v>Belgium</v>
      </c>
      <c r="Q2038" t="str">
        <f>VLOOKUP(VLOOKUP(B2038,Product!A:C,3,FALSE),Supplier!A:B,2,FALSE)</f>
        <v>Supplier CIYNM</v>
      </c>
      <c r="R2038" t="str">
        <f>VLOOKUP(VLOOKUP(B2038,Product!A:C,3,FALSE),Supplier!A:I,9,FALSE)</f>
        <v>Singapore</v>
      </c>
      <c r="S2038" t="str">
        <f>IFERROR(IF(VLOOKUP(A2038,'Sales Order'!A:H,8,FALSE)&gt;100,"High Freight","Low Freight"),"Not Specified")</f>
        <v>Low Freight</v>
      </c>
      <c r="T2038">
        <f t="shared" si="63"/>
        <v>420</v>
      </c>
    </row>
    <row r="2039" spans="1:20">
      <c r="A2039" s="9">
        <v>11035</v>
      </c>
      <c r="B2039" s="6">
        <v>54</v>
      </c>
      <c r="C2039" s="6">
        <v>7.45</v>
      </c>
      <c r="D2039" s="6">
        <v>10</v>
      </c>
      <c r="E2039" s="18">
        <v>0</v>
      </c>
      <c r="F2039" s="6" t="str">
        <f>IFERROR(VLOOKUP(VLOOKUP(A2039,'Sales Order'!A:B,2,FALSE),Customer!A:C,3,FALSE),"Not Specified")</f>
        <v>Gulbis, Katrin</v>
      </c>
      <c r="G2039" s="6" t="str">
        <f t="shared" si="62"/>
        <v>Gulbis Katrin</v>
      </c>
      <c r="H2039" s="22" t="str">
        <f>IFERROR(VLOOKUP(VLOOKUP(A2039,'Sales Order'!A:C,3,FALSE),Employee!A:E,5,FALSE)&amp;" "&amp;VLOOKUP(VLOOKUP(A2039,'Sales Order'!A:C,3,FALSE),Employee!A:C,3,FALSE)&amp;" "&amp;VLOOKUP(VLOOKUP(A2039,'Sales Order'!A:C,3,FALSE),Employee!A:B,2,FALSE),"Not Specified")</f>
        <v>Dr. Don Funk</v>
      </c>
      <c r="I2039" t="str">
        <f>IFERROR(VLOOKUP(VLOOKUP(A2039,'Sales Order'!A:C,3,FALSE),Employee!A:J,10,FALSE),"Not Specified")</f>
        <v>WA</v>
      </c>
      <c r="J2039" t="str">
        <f>VLOOKUP(B2039,Product!A:B,2,FALSE)</f>
        <v>Product QAQRL</v>
      </c>
      <c r="K2039" t="str">
        <f>VLOOKUP(VLOOKUP(B2039,Product!A:D,4,FALSE),Category!A:B,2,FALSE)</f>
        <v>Meat/Poultry</v>
      </c>
      <c r="L2039" s="24">
        <f>IFERROR(VLOOKUP(A2039,'Sales Order'!A:D,4,FALSE),"")</f>
        <v>39558</v>
      </c>
      <c r="M2039" s="24">
        <f>IFERROR(VLOOKUP(A2039,'Sales Order'!A:F,6,FALSE),"")</f>
        <v>39562</v>
      </c>
      <c r="N2039" t="str">
        <f>IFERROR(VLOOKUP(VLOOKUP(A2039,'Sales Order'!A:G,7,FALSE),Shipper!A:B,2,FALSE),"Not Specified")</f>
        <v>Shipper ETYNR</v>
      </c>
      <c r="O2039" t="str">
        <f>IFERROR(VLOOKUP(A2039,'Sales Order'!A:I,9,FALSE),"Not Specified")</f>
        <v>Ship to 76-B</v>
      </c>
      <c r="P2039" t="str">
        <f>IFERROR(VLOOKUP(A2039,'Sales Order'!A:N,14,FALSE),"Not Specified")</f>
        <v>Belgium</v>
      </c>
      <c r="Q2039" t="str">
        <f>VLOOKUP(VLOOKUP(B2039,Product!A:C,3,FALSE),Supplier!A:B,2,FALSE)</f>
        <v>Supplier ERVYZ</v>
      </c>
      <c r="R2039" t="str">
        <f>VLOOKUP(VLOOKUP(B2039,Product!A:C,3,FALSE),Supplier!A:I,9,FALSE)</f>
        <v>Canada</v>
      </c>
      <c r="S2039" t="str">
        <f>IFERROR(IF(VLOOKUP(A2039,'Sales Order'!A:H,8,FALSE)&gt;100,"High Freight","Low Freight"),"Not Specified")</f>
        <v>Low Freight</v>
      </c>
      <c r="T2039">
        <f t="shared" si="63"/>
        <v>74.5</v>
      </c>
    </row>
    <row r="2040" spans="1:20">
      <c r="A2040" s="9">
        <v>11036</v>
      </c>
      <c r="B2040" s="6">
        <v>13</v>
      </c>
      <c r="C2040" s="6">
        <v>6</v>
      </c>
      <c r="D2040" s="6">
        <v>7</v>
      </c>
      <c r="E2040" s="18">
        <v>0</v>
      </c>
      <c r="F2040" s="6" t="str">
        <f>IFERROR(VLOOKUP(VLOOKUP(A2040,'Sales Order'!A:B,2,FALSE),Customer!A:C,3,FALSE),"Not Specified")</f>
        <v>Jones, TiAnna</v>
      </c>
      <c r="G2040" s="6" t="str">
        <f t="shared" si="62"/>
        <v>Jones TiAnna</v>
      </c>
      <c r="H2040" s="22" t="str">
        <f>IFERROR(VLOOKUP(VLOOKUP(A2040,'Sales Order'!A:C,3,FALSE),Employee!A:E,5,FALSE)&amp;" "&amp;VLOOKUP(VLOOKUP(A2040,'Sales Order'!A:C,3,FALSE),Employee!A:C,3,FALSE)&amp;" "&amp;VLOOKUP(VLOOKUP(A2040,'Sales Order'!A:C,3,FALSE),Employee!A:B,2,FALSE),"Not Specified")</f>
        <v>Ms. Maria Cameron</v>
      </c>
      <c r="I2040" t="str">
        <f>IFERROR(VLOOKUP(VLOOKUP(A2040,'Sales Order'!A:C,3,FALSE),Employee!A:J,10,FALSE),"Not Specified")</f>
        <v>WA</v>
      </c>
      <c r="J2040" t="str">
        <f>VLOOKUP(B2040,Product!A:B,2,FALSE)</f>
        <v>Product POXFU</v>
      </c>
      <c r="K2040" t="str">
        <f>VLOOKUP(VLOOKUP(B2040,Product!A:D,4,FALSE),Category!A:B,2,FALSE)</f>
        <v>Seafood</v>
      </c>
      <c r="L2040" s="24">
        <f>IFERROR(VLOOKUP(A2040,'Sales Order'!A:D,4,FALSE),"")</f>
        <v>39558</v>
      </c>
      <c r="M2040" s="24">
        <f>IFERROR(VLOOKUP(A2040,'Sales Order'!A:F,6,FALSE),"")</f>
        <v>39560</v>
      </c>
      <c r="N2040" t="str">
        <f>IFERROR(VLOOKUP(VLOOKUP(A2040,'Sales Order'!A:G,7,FALSE),Shipper!A:B,2,FALSE),"Not Specified")</f>
        <v>Shipper ZHISN</v>
      </c>
      <c r="O2040" t="str">
        <f>IFERROR(VLOOKUP(A2040,'Sales Order'!A:I,9,FALSE),"Not Specified")</f>
        <v>Destination YPUYI</v>
      </c>
      <c r="P2040" t="str">
        <f>IFERROR(VLOOKUP(A2040,'Sales Order'!A:N,14,FALSE),"Not Specified")</f>
        <v>Germany</v>
      </c>
      <c r="Q2040" t="str">
        <f>VLOOKUP(VLOOKUP(B2040,Product!A:C,3,FALSE),Supplier!A:B,2,FALSE)</f>
        <v>Supplier QWUSF</v>
      </c>
      <c r="R2040" t="str">
        <f>VLOOKUP(VLOOKUP(B2040,Product!A:C,3,FALSE),Supplier!A:I,9,FALSE)</f>
        <v>Japan</v>
      </c>
      <c r="S2040" t="str">
        <f>IFERROR(IF(VLOOKUP(A2040,'Sales Order'!A:H,8,FALSE)&gt;100,"High Freight","Low Freight"),"Not Specified")</f>
        <v>High Freight</v>
      </c>
      <c r="T2040">
        <f t="shared" si="63"/>
        <v>42</v>
      </c>
    </row>
    <row r="2041" spans="1:20">
      <c r="A2041" s="9">
        <v>11036</v>
      </c>
      <c r="B2041" s="6">
        <v>59</v>
      </c>
      <c r="C2041" s="6">
        <v>55</v>
      </c>
      <c r="D2041" s="6">
        <v>30</v>
      </c>
      <c r="E2041" s="18">
        <v>0</v>
      </c>
      <c r="F2041" s="6" t="str">
        <f>IFERROR(VLOOKUP(VLOOKUP(A2041,'Sales Order'!A:B,2,FALSE),Customer!A:C,3,FALSE),"Not Specified")</f>
        <v>Jones, TiAnna</v>
      </c>
      <c r="G2041" s="6" t="str">
        <f t="shared" si="62"/>
        <v>Jones TiAnna</v>
      </c>
      <c r="H2041" s="22" t="str">
        <f>IFERROR(VLOOKUP(VLOOKUP(A2041,'Sales Order'!A:C,3,FALSE),Employee!A:E,5,FALSE)&amp;" "&amp;VLOOKUP(VLOOKUP(A2041,'Sales Order'!A:C,3,FALSE),Employee!A:C,3,FALSE)&amp;" "&amp;VLOOKUP(VLOOKUP(A2041,'Sales Order'!A:C,3,FALSE),Employee!A:B,2,FALSE),"Not Specified")</f>
        <v>Ms. Maria Cameron</v>
      </c>
      <c r="I2041" t="str">
        <f>IFERROR(VLOOKUP(VLOOKUP(A2041,'Sales Order'!A:C,3,FALSE),Employee!A:J,10,FALSE),"Not Specified")</f>
        <v>WA</v>
      </c>
      <c r="J2041" t="str">
        <f>VLOOKUP(B2041,Product!A:B,2,FALSE)</f>
        <v>Product UKXRI</v>
      </c>
      <c r="K2041" t="str">
        <f>VLOOKUP(VLOOKUP(B2041,Product!A:D,4,FALSE),Category!A:B,2,FALSE)</f>
        <v>Dairy Product</v>
      </c>
      <c r="L2041" s="24">
        <f>IFERROR(VLOOKUP(A2041,'Sales Order'!A:D,4,FALSE),"")</f>
        <v>39558</v>
      </c>
      <c r="M2041" s="24">
        <f>IFERROR(VLOOKUP(A2041,'Sales Order'!A:F,6,FALSE),"")</f>
        <v>39560</v>
      </c>
      <c r="N2041" t="str">
        <f>IFERROR(VLOOKUP(VLOOKUP(A2041,'Sales Order'!A:G,7,FALSE),Shipper!A:B,2,FALSE),"Not Specified")</f>
        <v>Shipper ZHISN</v>
      </c>
      <c r="O2041" t="str">
        <f>IFERROR(VLOOKUP(A2041,'Sales Order'!A:I,9,FALSE),"Not Specified")</f>
        <v>Destination YPUYI</v>
      </c>
      <c r="P2041" t="str">
        <f>IFERROR(VLOOKUP(A2041,'Sales Order'!A:N,14,FALSE),"Not Specified")</f>
        <v>Germany</v>
      </c>
      <c r="Q2041" t="str">
        <f>VLOOKUP(VLOOKUP(B2041,Product!A:C,3,FALSE),Supplier!A:B,2,FALSE)</f>
        <v>Supplier OAVQT</v>
      </c>
      <c r="R2041" t="str">
        <f>VLOOKUP(VLOOKUP(B2041,Product!A:C,3,FALSE),Supplier!A:I,9,FALSE)</f>
        <v>France</v>
      </c>
      <c r="S2041" t="str">
        <f>IFERROR(IF(VLOOKUP(A2041,'Sales Order'!A:H,8,FALSE)&gt;100,"High Freight","Low Freight"),"Not Specified")</f>
        <v>High Freight</v>
      </c>
      <c r="T2041">
        <f t="shared" si="63"/>
        <v>1650</v>
      </c>
    </row>
    <row r="2042" spans="1:20">
      <c r="A2042" s="9">
        <v>11037</v>
      </c>
      <c r="B2042" s="6">
        <v>70</v>
      </c>
      <c r="C2042" s="6">
        <v>15</v>
      </c>
      <c r="D2042" s="6">
        <v>4</v>
      </c>
      <c r="E2042" s="18">
        <v>0</v>
      </c>
      <c r="F2042" s="6" t="str">
        <f>IFERROR(VLOOKUP(VLOOKUP(A2042,'Sales Order'!A:B,2,FALSE),Customer!A:C,3,FALSE),"Not Specified")</f>
        <v>Shabalin, Rostislav</v>
      </c>
      <c r="G2042" s="6" t="str">
        <f t="shared" si="62"/>
        <v>Shabalin Rostislav</v>
      </c>
      <c r="H2042" s="22" t="str">
        <f>IFERROR(VLOOKUP(VLOOKUP(A2042,'Sales Order'!A:C,3,FALSE),Employee!A:E,5,FALSE)&amp;" "&amp;VLOOKUP(VLOOKUP(A2042,'Sales Order'!A:C,3,FALSE),Employee!A:C,3,FALSE)&amp;" "&amp;VLOOKUP(VLOOKUP(A2042,'Sales Order'!A:C,3,FALSE),Employee!A:B,2,FALSE),"Not Specified")</f>
        <v>Mr. Russell King</v>
      </c>
      <c r="I2042">
        <f>IFERROR(VLOOKUP(VLOOKUP(A2042,'Sales Order'!A:C,3,FALSE),Employee!A:J,10,FALSE),"Not Specified")</f>
        <v>0</v>
      </c>
      <c r="J2042" t="str">
        <f>VLOOKUP(B2042,Product!A:B,2,FALSE)</f>
        <v>Product TOONT</v>
      </c>
      <c r="K2042" t="str">
        <f>VLOOKUP(VLOOKUP(B2042,Product!A:D,4,FALSE),Category!A:B,2,FALSE)</f>
        <v>Beverages</v>
      </c>
      <c r="L2042" s="24">
        <f>IFERROR(VLOOKUP(A2042,'Sales Order'!A:D,4,FALSE),"")</f>
        <v>39559</v>
      </c>
      <c r="M2042" s="24">
        <f>IFERROR(VLOOKUP(A2042,'Sales Order'!A:F,6,FALSE),"")</f>
        <v>39565</v>
      </c>
      <c r="N2042" t="str">
        <f>IFERROR(VLOOKUP(VLOOKUP(A2042,'Sales Order'!A:G,7,FALSE),Shipper!A:B,2,FALSE),"Not Specified")</f>
        <v>Shipper GVSUA</v>
      </c>
      <c r="O2042" t="str">
        <f>IFERROR(VLOOKUP(A2042,'Sales Order'!A:I,9,FALSE),"Not Specified")</f>
        <v>Destination GGQIR</v>
      </c>
      <c r="P2042" t="str">
        <f>IFERROR(VLOOKUP(A2042,'Sales Order'!A:N,14,FALSE),"Not Specified")</f>
        <v>Spain</v>
      </c>
      <c r="Q2042" t="str">
        <f>VLOOKUP(VLOOKUP(B2042,Product!A:C,3,FALSE),Supplier!A:B,2,FALSE)</f>
        <v>Supplier GQRCV</v>
      </c>
      <c r="R2042" t="str">
        <f>VLOOKUP(VLOOKUP(B2042,Product!A:C,3,FALSE),Supplier!A:I,9,FALSE)</f>
        <v>Australia</v>
      </c>
      <c r="S2042" t="str">
        <f>IFERROR(IF(VLOOKUP(A2042,'Sales Order'!A:H,8,FALSE)&gt;100,"High Freight","Low Freight"),"Not Specified")</f>
        <v>Low Freight</v>
      </c>
      <c r="T2042">
        <f t="shared" si="63"/>
        <v>60</v>
      </c>
    </row>
    <row r="2043" spans="1:20">
      <c r="A2043" s="9">
        <v>11038</v>
      </c>
      <c r="B2043" s="6">
        <v>40</v>
      </c>
      <c r="C2043" s="6">
        <v>18.399999999999999</v>
      </c>
      <c r="D2043" s="6">
        <v>5</v>
      </c>
      <c r="E2043" s="18">
        <v>0.2</v>
      </c>
      <c r="F2043" s="6" t="str">
        <f>IFERROR(VLOOKUP(VLOOKUP(A2043,'Sales Order'!A:B,2,FALSE),Customer!A:C,3,FALSE),"Not Specified")</f>
        <v>Gulbis, Katrin</v>
      </c>
      <c r="G2043" s="6" t="str">
        <f t="shared" si="62"/>
        <v>Gulbis Katrin</v>
      </c>
      <c r="H2043" s="22" t="str">
        <f>IFERROR(VLOOKUP(VLOOKUP(A2043,'Sales Order'!A:C,3,FALSE),Employee!A:E,5,FALSE)&amp;" "&amp;VLOOKUP(VLOOKUP(A2043,'Sales Order'!A:C,3,FALSE),Employee!A:C,3,FALSE)&amp;" "&amp;VLOOKUP(VLOOKUP(A2043,'Sales Order'!A:C,3,FALSE),Employee!A:B,2,FALSE),"Not Specified")</f>
        <v>Ms. Sara Davis</v>
      </c>
      <c r="I2043" t="str">
        <f>IFERROR(VLOOKUP(VLOOKUP(A2043,'Sales Order'!A:C,3,FALSE),Employee!A:J,10,FALSE),"Not Specified")</f>
        <v>WA</v>
      </c>
      <c r="J2043" t="str">
        <f>VLOOKUP(B2043,Product!A:B,2,FALSE)</f>
        <v>Product YZIXQ</v>
      </c>
      <c r="K2043" t="str">
        <f>VLOOKUP(VLOOKUP(B2043,Product!A:D,4,FALSE),Category!A:B,2,FALSE)</f>
        <v>Seafood</v>
      </c>
      <c r="L2043" s="24">
        <f>IFERROR(VLOOKUP(A2043,'Sales Order'!A:D,4,FALSE),"")</f>
        <v>39559</v>
      </c>
      <c r="M2043" s="24">
        <f>IFERROR(VLOOKUP(A2043,'Sales Order'!A:F,6,FALSE),"")</f>
        <v>39568</v>
      </c>
      <c r="N2043" t="str">
        <f>IFERROR(VLOOKUP(VLOOKUP(A2043,'Sales Order'!A:G,7,FALSE),Shipper!A:B,2,FALSE),"Not Specified")</f>
        <v>Shipper ETYNR</v>
      </c>
      <c r="O2043" t="str">
        <f>IFERROR(VLOOKUP(A2043,'Sales Order'!A:I,9,FALSE),"Not Specified")</f>
        <v>Ship to 76-A</v>
      </c>
      <c r="P2043" t="str">
        <f>IFERROR(VLOOKUP(A2043,'Sales Order'!A:N,14,FALSE),"Not Specified")</f>
        <v>Belgium</v>
      </c>
      <c r="Q2043" t="str">
        <f>VLOOKUP(VLOOKUP(B2043,Product!A:C,3,FALSE),Supplier!A:B,2,FALSE)</f>
        <v>Supplier JDNUG</v>
      </c>
      <c r="R2043" t="str">
        <f>VLOOKUP(VLOOKUP(B2043,Product!A:C,3,FALSE),Supplier!A:I,9,FALSE)</f>
        <v>USA</v>
      </c>
      <c r="S2043" t="str">
        <f>IFERROR(IF(VLOOKUP(A2043,'Sales Order'!A:H,8,FALSE)&gt;100,"High Freight","Low Freight"),"Not Specified")</f>
        <v>Low Freight</v>
      </c>
      <c r="T2043">
        <f t="shared" si="63"/>
        <v>73.600000000000009</v>
      </c>
    </row>
    <row r="2044" spans="1:20">
      <c r="A2044" s="9">
        <v>11038</v>
      </c>
      <c r="B2044" s="6">
        <v>52</v>
      </c>
      <c r="C2044" s="6">
        <v>7</v>
      </c>
      <c r="D2044" s="6">
        <v>2</v>
      </c>
      <c r="E2044" s="18">
        <v>0</v>
      </c>
      <c r="F2044" s="6" t="str">
        <f>IFERROR(VLOOKUP(VLOOKUP(A2044,'Sales Order'!A:B,2,FALSE),Customer!A:C,3,FALSE),"Not Specified")</f>
        <v>Gulbis, Katrin</v>
      </c>
      <c r="G2044" s="6" t="str">
        <f t="shared" si="62"/>
        <v>Gulbis Katrin</v>
      </c>
      <c r="H2044" s="22" t="str">
        <f>IFERROR(VLOOKUP(VLOOKUP(A2044,'Sales Order'!A:C,3,FALSE),Employee!A:E,5,FALSE)&amp;" "&amp;VLOOKUP(VLOOKUP(A2044,'Sales Order'!A:C,3,FALSE),Employee!A:C,3,FALSE)&amp;" "&amp;VLOOKUP(VLOOKUP(A2044,'Sales Order'!A:C,3,FALSE),Employee!A:B,2,FALSE),"Not Specified")</f>
        <v>Ms. Sara Davis</v>
      </c>
      <c r="I2044" t="str">
        <f>IFERROR(VLOOKUP(VLOOKUP(A2044,'Sales Order'!A:C,3,FALSE),Employee!A:J,10,FALSE),"Not Specified")</f>
        <v>WA</v>
      </c>
      <c r="J2044" t="str">
        <f>VLOOKUP(B2044,Product!A:B,2,FALSE)</f>
        <v>Product QSRXF</v>
      </c>
      <c r="K2044" t="str">
        <f>VLOOKUP(VLOOKUP(B2044,Product!A:D,4,FALSE),Category!A:B,2,FALSE)</f>
        <v>Grains/Cereals</v>
      </c>
      <c r="L2044" s="24">
        <f>IFERROR(VLOOKUP(A2044,'Sales Order'!A:D,4,FALSE),"")</f>
        <v>39559</v>
      </c>
      <c r="M2044" s="24">
        <f>IFERROR(VLOOKUP(A2044,'Sales Order'!A:F,6,FALSE),"")</f>
        <v>39568</v>
      </c>
      <c r="N2044" t="str">
        <f>IFERROR(VLOOKUP(VLOOKUP(A2044,'Sales Order'!A:G,7,FALSE),Shipper!A:B,2,FALSE),"Not Specified")</f>
        <v>Shipper ETYNR</v>
      </c>
      <c r="O2044" t="str">
        <f>IFERROR(VLOOKUP(A2044,'Sales Order'!A:I,9,FALSE),"Not Specified")</f>
        <v>Ship to 76-A</v>
      </c>
      <c r="P2044" t="str">
        <f>IFERROR(VLOOKUP(A2044,'Sales Order'!A:N,14,FALSE),"Not Specified")</f>
        <v>Belgium</v>
      </c>
      <c r="Q2044" t="str">
        <f>VLOOKUP(VLOOKUP(B2044,Product!A:C,3,FALSE),Supplier!A:B,2,FALSE)</f>
        <v>Supplier JNNES</v>
      </c>
      <c r="R2044" t="str">
        <f>VLOOKUP(VLOOKUP(B2044,Product!A:C,3,FALSE),Supplier!A:I,9,FALSE)</f>
        <v>Australia</v>
      </c>
      <c r="S2044" t="str">
        <f>IFERROR(IF(VLOOKUP(A2044,'Sales Order'!A:H,8,FALSE)&gt;100,"High Freight","Low Freight"),"Not Specified")</f>
        <v>Low Freight</v>
      </c>
      <c r="T2044">
        <f t="shared" si="63"/>
        <v>14</v>
      </c>
    </row>
    <row r="2045" spans="1:20">
      <c r="A2045" s="9">
        <v>11038</v>
      </c>
      <c r="B2045" s="6">
        <v>71</v>
      </c>
      <c r="C2045" s="6">
        <v>21.5</v>
      </c>
      <c r="D2045" s="6">
        <v>30</v>
      </c>
      <c r="E2045" s="18">
        <v>0</v>
      </c>
      <c r="F2045" s="6" t="str">
        <f>IFERROR(VLOOKUP(VLOOKUP(A2045,'Sales Order'!A:B,2,FALSE),Customer!A:C,3,FALSE),"Not Specified")</f>
        <v>Gulbis, Katrin</v>
      </c>
      <c r="G2045" s="6" t="str">
        <f t="shared" si="62"/>
        <v>Gulbis Katrin</v>
      </c>
      <c r="H2045" s="22" t="str">
        <f>IFERROR(VLOOKUP(VLOOKUP(A2045,'Sales Order'!A:C,3,FALSE),Employee!A:E,5,FALSE)&amp;" "&amp;VLOOKUP(VLOOKUP(A2045,'Sales Order'!A:C,3,FALSE),Employee!A:C,3,FALSE)&amp;" "&amp;VLOOKUP(VLOOKUP(A2045,'Sales Order'!A:C,3,FALSE),Employee!A:B,2,FALSE),"Not Specified")</f>
        <v>Ms. Sara Davis</v>
      </c>
      <c r="I2045" t="str">
        <f>IFERROR(VLOOKUP(VLOOKUP(A2045,'Sales Order'!A:C,3,FALSE),Employee!A:J,10,FALSE),"Not Specified")</f>
        <v>WA</v>
      </c>
      <c r="J2045" t="str">
        <f>VLOOKUP(B2045,Product!A:B,2,FALSE)</f>
        <v>Product MYMOI</v>
      </c>
      <c r="K2045" t="str">
        <f>VLOOKUP(VLOOKUP(B2045,Product!A:D,4,FALSE),Category!A:B,2,FALSE)</f>
        <v>Dairy Product</v>
      </c>
      <c r="L2045" s="24">
        <f>IFERROR(VLOOKUP(A2045,'Sales Order'!A:D,4,FALSE),"")</f>
        <v>39559</v>
      </c>
      <c r="M2045" s="24">
        <f>IFERROR(VLOOKUP(A2045,'Sales Order'!A:F,6,FALSE),"")</f>
        <v>39568</v>
      </c>
      <c r="N2045" t="str">
        <f>IFERROR(VLOOKUP(VLOOKUP(A2045,'Sales Order'!A:G,7,FALSE),Shipper!A:B,2,FALSE),"Not Specified")</f>
        <v>Shipper ETYNR</v>
      </c>
      <c r="O2045" t="str">
        <f>IFERROR(VLOOKUP(A2045,'Sales Order'!A:I,9,FALSE),"Not Specified")</f>
        <v>Ship to 76-A</v>
      </c>
      <c r="P2045" t="str">
        <f>IFERROR(VLOOKUP(A2045,'Sales Order'!A:N,14,FALSE),"Not Specified")</f>
        <v>Belgium</v>
      </c>
      <c r="Q2045" t="str">
        <f>VLOOKUP(VLOOKUP(B2045,Product!A:C,3,FALSE),Supplier!A:B,2,FALSE)</f>
        <v>Supplier NZLIF</v>
      </c>
      <c r="R2045" t="str">
        <f>VLOOKUP(VLOOKUP(B2045,Product!A:C,3,FALSE),Supplier!A:I,9,FALSE)</f>
        <v>Norway</v>
      </c>
      <c r="S2045" t="str">
        <f>IFERROR(IF(VLOOKUP(A2045,'Sales Order'!A:H,8,FALSE)&gt;100,"High Freight","Low Freight"),"Not Specified")</f>
        <v>Low Freight</v>
      </c>
      <c r="T2045">
        <f t="shared" si="63"/>
        <v>645</v>
      </c>
    </row>
    <row r="2046" spans="1:20">
      <c r="A2046" s="9">
        <v>11039</v>
      </c>
      <c r="B2046" s="6">
        <v>28</v>
      </c>
      <c r="C2046" s="6">
        <v>45.6</v>
      </c>
      <c r="D2046" s="6">
        <v>20</v>
      </c>
      <c r="E2046" s="18">
        <v>0</v>
      </c>
      <c r="F2046" s="6" t="str">
        <f>IFERROR(VLOOKUP(VLOOKUP(A2046,'Sales Order'!A:B,2,FALSE),Customer!A:C,3,FALSE),"Not Specified")</f>
        <v>Lupu, Cornel</v>
      </c>
      <c r="G2046" s="6" t="str">
        <f t="shared" si="62"/>
        <v>Lupu Cornel</v>
      </c>
      <c r="H2046" s="22" t="str">
        <f>IFERROR(VLOOKUP(VLOOKUP(A2046,'Sales Order'!A:C,3,FALSE),Employee!A:E,5,FALSE)&amp;" "&amp;VLOOKUP(VLOOKUP(A2046,'Sales Order'!A:C,3,FALSE),Employee!A:C,3,FALSE)&amp;" "&amp;VLOOKUP(VLOOKUP(A2046,'Sales Order'!A:C,3,FALSE),Employee!A:B,2,FALSE),"Not Specified")</f>
        <v>Ms. Sara Davis</v>
      </c>
      <c r="I2046" t="str">
        <f>IFERROR(VLOOKUP(VLOOKUP(A2046,'Sales Order'!A:C,3,FALSE),Employee!A:J,10,FALSE),"Not Specified")</f>
        <v>WA</v>
      </c>
      <c r="J2046" t="str">
        <f>VLOOKUP(B2046,Product!A:B,2,FALSE)</f>
        <v>Product OFBNT</v>
      </c>
      <c r="K2046" t="str">
        <f>VLOOKUP(VLOOKUP(B2046,Product!A:D,4,FALSE),Category!A:B,2,FALSE)</f>
        <v>Produce</v>
      </c>
      <c r="L2046" s="24">
        <f>IFERROR(VLOOKUP(A2046,'Sales Order'!A:D,4,FALSE),"")</f>
        <v>39559</v>
      </c>
      <c r="M2046" s="24">
        <f>IFERROR(VLOOKUP(A2046,'Sales Order'!A:F,6,FALSE),"")</f>
        <v>0</v>
      </c>
      <c r="N2046" t="str">
        <f>IFERROR(VLOOKUP(VLOOKUP(A2046,'Sales Order'!A:G,7,FALSE),Shipper!A:B,2,FALSE),"Not Specified")</f>
        <v>Shipper ETYNR</v>
      </c>
      <c r="O2046" t="str">
        <f>IFERROR(VLOOKUP(A2046,'Sales Order'!A:I,9,FALSE),"Not Specified")</f>
        <v>Ship to 47-C</v>
      </c>
      <c r="P2046" t="str">
        <f>IFERROR(VLOOKUP(A2046,'Sales Order'!A:N,14,FALSE),"Not Specified")</f>
        <v>Venezuela</v>
      </c>
      <c r="Q2046" t="str">
        <f>VLOOKUP(VLOOKUP(B2046,Product!A:C,3,FALSE),Supplier!A:B,2,FALSE)</f>
        <v>Supplier SVIYA</v>
      </c>
      <c r="R2046" t="str">
        <f>VLOOKUP(VLOOKUP(B2046,Product!A:C,3,FALSE),Supplier!A:I,9,FALSE)</f>
        <v>Germany</v>
      </c>
      <c r="S2046" t="str">
        <f>IFERROR(IF(VLOOKUP(A2046,'Sales Order'!A:H,8,FALSE)&gt;100,"High Freight","Low Freight"),"Not Specified")</f>
        <v>Low Freight</v>
      </c>
      <c r="T2046">
        <f t="shared" si="63"/>
        <v>912</v>
      </c>
    </row>
    <row r="2047" spans="1:20">
      <c r="A2047" s="9">
        <v>11039</v>
      </c>
      <c r="B2047" s="6">
        <v>35</v>
      </c>
      <c r="C2047" s="6">
        <v>18</v>
      </c>
      <c r="D2047" s="6">
        <v>24</v>
      </c>
      <c r="E2047" s="18">
        <v>0</v>
      </c>
      <c r="F2047" s="6" t="str">
        <f>IFERROR(VLOOKUP(VLOOKUP(A2047,'Sales Order'!A:B,2,FALSE),Customer!A:C,3,FALSE),"Not Specified")</f>
        <v>Lupu, Cornel</v>
      </c>
      <c r="G2047" s="6" t="str">
        <f t="shared" si="62"/>
        <v>Lupu Cornel</v>
      </c>
      <c r="H2047" s="22" t="str">
        <f>IFERROR(VLOOKUP(VLOOKUP(A2047,'Sales Order'!A:C,3,FALSE),Employee!A:E,5,FALSE)&amp;" "&amp;VLOOKUP(VLOOKUP(A2047,'Sales Order'!A:C,3,FALSE),Employee!A:C,3,FALSE)&amp;" "&amp;VLOOKUP(VLOOKUP(A2047,'Sales Order'!A:C,3,FALSE),Employee!A:B,2,FALSE),"Not Specified")</f>
        <v>Ms. Sara Davis</v>
      </c>
      <c r="I2047" t="str">
        <f>IFERROR(VLOOKUP(VLOOKUP(A2047,'Sales Order'!A:C,3,FALSE),Employee!A:J,10,FALSE),"Not Specified")</f>
        <v>WA</v>
      </c>
      <c r="J2047" t="str">
        <f>VLOOKUP(B2047,Product!A:B,2,FALSE)</f>
        <v>Product NEVTJ</v>
      </c>
      <c r="K2047" t="str">
        <f>VLOOKUP(VLOOKUP(B2047,Product!A:D,4,FALSE),Category!A:B,2,FALSE)</f>
        <v>Beverages</v>
      </c>
      <c r="L2047" s="24">
        <f>IFERROR(VLOOKUP(A2047,'Sales Order'!A:D,4,FALSE),"")</f>
        <v>39559</v>
      </c>
      <c r="M2047" s="24">
        <f>IFERROR(VLOOKUP(A2047,'Sales Order'!A:F,6,FALSE),"")</f>
        <v>0</v>
      </c>
      <c r="N2047" t="str">
        <f>IFERROR(VLOOKUP(VLOOKUP(A2047,'Sales Order'!A:G,7,FALSE),Shipper!A:B,2,FALSE),"Not Specified")</f>
        <v>Shipper ETYNR</v>
      </c>
      <c r="O2047" t="str">
        <f>IFERROR(VLOOKUP(A2047,'Sales Order'!A:I,9,FALSE),"Not Specified")</f>
        <v>Ship to 47-C</v>
      </c>
      <c r="P2047" t="str">
        <f>IFERROR(VLOOKUP(A2047,'Sales Order'!A:N,14,FALSE),"Not Specified")</f>
        <v>Venezuela</v>
      </c>
      <c r="Q2047" t="str">
        <f>VLOOKUP(VLOOKUP(B2047,Product!A:C,3,FALSE),Supplier!A:B,2,FALSE)</f>
        <v>Supplier UHZRG</v>
      </c>
      <c r="R2047" t="str">
        <f>VLOOKUP(VLOOKUP(B2047,Product!A:C,3,FALSE),Supplier!A:I,9,FALSE)</f>
        <v>USA</v>
      </c>
      <c r="S2047" t="str">
        <f>IFERROR(IF(VLOOKUP(A2047,'Sales Order'!A:H,8,FALSE)&gt;100,"High Freight","Low Freight"),"Not Specified")</f>
        <v>Low Freight</v>
      </c>
      <c r="T2047">
        <f t="shared" si="63"/>
        <v>432</v>
      </c>
    </row>
    <row r="2048" spans="1:20">
      <c r="A2048" s="9">
        <v>11039</v>
      </c>
      <c r="B2048" s="6">
        <v>49</v>
      </c>
      <c r="C2048" s="6">
        <v>20</v>
      </c>
      <c r="D2048" s="6">
        <v>60</v>
      </c>
      <c r="E2048" s="18">
        <v>0</v>
      </c>
      <c r="F2048" s="6" t="str">
        <f>IFERROR(VLOOKUP(VLOOKUP(A2048,'Sales Order'!A:B,2,FALSE),Customer!A:C,3,FALSE),"Not Specified")</f>
        <v>Lupu, Cornel</v>
      </c>
      <c r="G2048" s="6" t="str">
        <f t="shared" si="62"/>
        <v>Lupu Cornel</v>
      </c>
      <c r="H2048" s="22" t="str">
        <f>IFERROR(VLOOKUP(VLOOKUP(A2048,'Sales Order'!A:C,3,FALSE),Employee!A:E,5,FALSE)&amp;" "&amp;VLOOKUP(VLOOKUP(A2048,'Sales Order'!A:C,3,FALSE),Employee!A:C,3,FALSE)&amp;" "&amp;VLOOKUP(VLOOKUP(A2048,'Sales Order'!A:C,3,FALSE),Employee!A:B,2,FALSE),"Not Specified")</f>
        <v>Ms. Sara Davis</v>
      </c>
      <c r="I2048" t="str">
        <f>IFERROR(VLOOKUP(VLOOKUP(A2048,'Sales Order'!A:C,3,FALSE),Employee!A:J,10,FALSE),"Not Specified")</f>
        <v>WA</v>
      </c>
      <c r="J2048" t="str">
        <f>VLOOKUP(B2048,Product!A:B,2,FALSE)</f>
        <v>Product FPYPN</v>
      </c>
      <c r="K2048" t="str">
        <f>VLOOKUP(VLOOKUP(B2048,Product!A:D,4,FALSE),Category!A:B,2,FALSE)</f>
        <v>Confections</v>
      </c>
      <c r="L2048" s="24">
        <f>IFERROR(VLOOKUP(A2048,'Sales Order'!A:D,4,FALSE),"")</f>
        <v>39559</v>
      </c>
      <c r="M2048" s="24">
        <f>IFERROR(VLOOKUP(A2048,'Sales Order'!A:F,6,FALSE),"")</f>
        <v>0</v>
      </c>
      <c r="N2048" t="str">
        <f>IFERROR(VLOOKUP(VLOOKUP(A2048,'Sales Order'!A:G,7,FALSE),Shipper!A:B,2,FALSE),"Not Specified")</f>
        <v>Shipper ETYNR</v>
      </c>
      <c r="O2048" t="str">
        <f>IFERROR(VLOOKUP(A2048,'Sales Order'!A:I,9,FALSE),"Not Specified")</f>
        <v>Ship to 47-C</v>
      </c>
      <c r="P2048" t="str">
        <f>IFERROR(VLOOKUP(A2048,'Sales Order'!A:N,14,FALSE),"Not Specified")</f>
        <v>Venezuela</v>
      </c>
      <c r="Q2048" t="str">
        <f>VLOOKUP(VLOOKUP(B2048,Product!A:C,3,FALSE),Supplier!A:B,2,FALSE)</f>
        <v>Supplier ELCRN</v>
      </c>
      <c r="R2048" t="str">
        <f>VLOOKUP(VLOOKUP(B2048,Product!A:C,3,FALSE),Supplier!A:I,9,FALSE)</f>
        <v>Finland</v>
      </c>
      <c r="S2048" t="str">
        <f>IFERROR(IF(VLOOKUP(A2048,'Sales Order'!A:H,8,FALSE)&gt;100,"High Freight","Low Freight"),"Not Specified")</f>
        <v>Low Freight</v>
      </c>
      <c r="T2048">
        <f t="shared" si="63"/>
        <v>1200</v>
      </c>
    </row>
    <row r="2049" spans="1:20">
      <c r="A2049" s="9">
        <v>11039</v>
      </c>
      <c r="B2049" s="6">
        <v>57</v>
      </c>
      <c r="C2049" s="6">
        <v>19.5</v>
      </c>
      <c r="D2049" s="6">
        <v>28</v>
      </c>
      <c r="E2049" s="18">
        <v>0</v>
      </c>
      <c r="F2049" s="6" t="str">
        <f>IFERROR(VLOOKUP(VLOOKUP(A2049,'Sales Order'!A:B,2,FALSE),Customer!A:C,3,FALSE),"Not Specified")</f>
        <v>Lupu, Cornel</v>
      </c>
      <c r="G2049" s="6" t="str">
        <f t="shared" si="62"/>
        <v>Lupu Cornel</v>
      </c>
      <c r="H2049" s="22" t="str">
        <f>IFERROR(VLOOKUP(VLOOKUP(A2049,'Sales Order'!A:C,3,FALSE),Employee!A:E,5,FALSE)&amp;" "&amp;VLOOKUP(VLOOKUP(A2049,'Sales Order'!A:C,3,FALSE),Employee!A:C,3,FALSE)&amp;" "&amp;VLOOKUP(VLOOKUP(A2049,'Sales Order'!A:C,3,FALSE),Employee!A:B,2,FALSE),"Not Specified")</f>
        <v>Ms. Sara Davis</v>
      </c>
      <c r="I2049" t="str">
        <f>IFERROR(VLOOKUP(VLOOKUP(A2049,'Sales Order'!A:C,3,FALSE),Employee!A:J,10,FALSE),"Not Specified")</f>
        <v>WA</v>
      </c>
      <c r="J2049" t="str">
        <f>VLOOKUP(B2049,Product!A:B,2,FALSE)</f>
        <v>Product OVLQI</v>
      </c>
      <c r="K2049" t="str">
        <f>VLOOKUP(VLOOKUP(B2049,Product!A:D,4,FALSE),Category!A:B,2,FALSE)</f>
        <v>Grains/Cereals</v>
      </c>
      <c r="L2049" s="24">
        <f>IFERROR(VLOOKUP(A2049,'Sales Order'!A:D,4,FALSE),"")</f>
        <v>39559</v>
      </c>
      <c r="M2049" s="24">
        <f>IFERROR(VLOOKUP(A2049,'Sales Order'!A:F,6,FALSE),"")</f>
        <v>0</v>
      </c>
      <c r="N2049" t="str">
        <f>IFERROR(VLOOKUP(VLOOKUP(A2049,'Sales Order'!A:G,7,FALSE),Shipper!A:B,2,FALSE),"Not Specified")</f>
        <v>Shipper ETYNR</v>
      </c>
      <c r="O2049" t="str">
        <f>IFERROR(VLOOKUP(A2049,'Sales Order'!A:I,9,FALSE),"Not Specified")</f>
        <v>Ship to 47-C</v>
      </c>
      <c r="P2049" t="str">
        <f>IFERROR(VLOOKUP(A2049,'Sales Order'!A:N,14,FALSE),"Not Specified")</f>
        <v>Venezuela</v>
      </c>
      <c r="Q2049" t="str">
        <f>VLOOKUP(VLOOKUP(B2049,Product!A:C,3,FALSE),Supplier!A:B,2,FALSE)</f>
        <v>Supplier ZWZDM</v>
      </c>
      <c r="R2049" t="str">
        <f>VLOOKUP(VLOOKUP(B2049,Product!A:C,3,FALSE),Supplier!A:I,9,FALSE)</f>
        <v>Italy</v>
      </c>
      <c r="S2049" t="str">
        <f>IFERROR(IF(VLOOKUP(A2049,'Sales Order'!A:H,8,FALSE)&gt;100,"High Freight","Low Freight"),"Not Specified")</f>
        <v>Low Freight</v>
      </c>
      <c r="T2049">
        <f t="shared" si="63"/>
        <v>546</v>
      </c>
    </row>
    <row r="2050" spans="1:20">
      <c r="A2050" s="9">
        <v>11040</v>
      </c>
      <c r="B2050" s="6">
        <v>21</v>
      </c>
      <c r="C2050" s="6">
        <v>10</v>
      </c>
      <c r="D2050" s="6">
        <v>20</v>
      </c>
      <c r="E2050" s="18">
        <v>0</v>
      </c>
      <c r="F2050" s="6" t="str">
        <f>IFERROR(VLOOKUP(VLOOKUP(A2050,'Sales Order'!A:B,2,FALSE),Customer!A:C,3,FALSE),"Not Specified")</f>
        <v>Krishnan, Venky</v>
      </c>
      <c r="G2050" s="6" t="str">
        <f t="shared" si="62"/>
        <v>Krishnan Venky</v>
      </c>
      <c r="H2050" s="22" t="str">
        <f>IFERROR(VLOOKUP(VLOOKUP(A2050,'Sales Order'!A:C,3,FALSE),Employee!A:E,5,FALSE)&amp;" "&amp;VLOOKUP(VLOOKUP(A2050,'Sales Order'!A:C,3,FALSE),Employee!A:C,3,FALSE)&amp;" "&amp;VLOOKUP(VLOOKUP(A2050,'Sales Order'!A:C,3,FALSE),Employee!A:B,2,FALSE),"Not Specified")</f>
        <v>Mrs. Yael Peled</v>
      </c>
      <c r="I2050" t="str">
        <f>IFERROR(VLOOKUP(VLOOKUP(A2050,'Sales Order'!A:C,3,FALSE),Employee!A:J,10,FALSE),"Not Specified")</f>
        <v>WA</v>
      </c>
      <c r="J2050" t="str">
        <f>VLOOKUP(B2050,Product!A:B,2,FALSE)</f>
        <v>Product VJZZH</v>
      </c>
      <c r="K2050" t="str">
        <f>VLOOKUP(VLOOKUP(B2050,Product!A:D,4,FALSE),Category!A:B,2,FALSE)</f>
        <v>Confections</v>
      </c>
      <c r="L2050" s="24">
        <f>IFERROR(VLOOKUP(A2050,'Sales Order'!A:D,4,FALSE),"")</f>
        <v>39560</v>
      </c>
      <c r="M2050" s="24">
        <f>IFERROR(VLOOKUP(A2050,'Sales Order'!A:F,6,FALSE),"")</f>
        <v>0</v>
      </c>
      <c r="N2050" t="str">
        <f>IFERROR(VLOOKUP(VLOOKUP(A2050,'Sales Order'!A:G,7,FALSE),Shipper!A:B,2,FALSE),"Not Specified")</f>
        <v>Shipper ZHISN</v>
      </c>
      <c r="O2050" t="str">
        <f>IFERROR(VLOOKUP(A2050,'Sales Order'!A:I,9,FALSE),"Not Specified")</f>
        <v>Destination VYOBK</v>
      </c>
      <c r="P2050" t="str">
        <f>IFERROR(VLOOKUP(A2050,'Sales Order'!A:N,14,FALSE),"Not Specified")</f>
        <v>USA</v>
      </c>
      <c r="Q2050" t="str">
        <f>VLOOKUP(VLOOKUP(B2050,Product!A:C,3,FALSE),Supplier!A:B,2,FALSE)</f>
        <v>Supplier BWGYE</v>
      </c>
      <c r="R2050" t="str">
        <f>VLOOKUP(VLOOKUP(B2050,Product!A:C,3,FALSE),Supplier!A:I,9,FALSE)</f>
        <v>UK</v>
      </c>
      <c r="S2050" t="str">
        <f>IFERROR(IF(VLOOKUP(A2050,'Sales Order'!A:H,8,FALSE)&gt;100,"High Freight","Low Freight"),"Not Specified")</f>
        <v>Low Freight</v>
      </c>
      <c r="T2050">
        <f t="shared" si="63"/>
        <v>200</v>
      </c>
    </row>
    <row r="2051" spans="1:20">
      <c r="A2051" s="9">
        <v>11041</v>
      </c>
      <c r="B2051" s="6">
        <v>2</v>
      </c>
      <c r="C2051" s="6">
        <v>19</v>
      </c>
      <c r="D2051" s="6">
        <v>30</v>
      </c>
      <c r="E2051" s="18">
        <v>0.2</v>
      </c>
      <c r="F2051" s="6" t="str">
        <f>IFERROR(VLOOKUP(VLOOKUP(A2051,'Sales Order'!A:B,2,FALSE),Customer!A:C,3,FALSE),"Not Specified")</f>
        <v>Jelitto, Jacek</v>
      </c>
      <c r="G2051" s="6" t="str">
        <f t="shared" ref="G2051:G2114" si="64">SUBSTITUTE(F2051,",","",1)</f>
        <v>Jelitto Jacek</v>
      </c>
      <c r="H2051" s="22" t="str">
        <f>IFERROR(VLOOKUP(VLOOKUP(A2051,'Sales Order'!A:C,3,FALSE),Employee!A:E,5,FALSE)&amp;" "&amp;VLOOKUP(VLOOKUP(A2051,'Sales Order'!A:C,3,FALSE),Employee!A:C,3,FALSE)&amp;" "&amp;VLOOKUP(VLOOKUP(A2051,'Sales Order'!A:C,3,FALSE),Employee!A:B,2,FALSE),"Not Specified")</f>
        <v>Ms. Judy Lew</v>
      </c>
      <c r="I2051" t="str">
        <f>IFERROR(VLOOKUP(VLOOKUP(A2051,'Sales Order'!A:C,3,FALSE),Employee!A:J,10,FALSE),"Not Specified")</f>
        <v>WA</v>
      </c>
      <c r="J2051" t="str">
        <f>VLOOKUP(B2051,Product!A:B,2,FALSE)</f>
        <v>Product RECZE</v>
      </c>
      <c r="K2051" t="str">
        <f>VLOOKUP(VLOOKUP(B2051,Product!A:D,4,FALSE),Category!A:B,2,FALSE)</f>
        <v>Beverages</v>
      </c>
      <c r="L2051" s="24">
        <f>IFERROR(VLOOKUP(A2051,'Sales Order'!A:D,4,FALSE),"")</f>
        <v>39560</v>
      </c>
      <c r="M2051" s="24">
        <f>IFERROR(VLOOKUP(A2051,'Sales Order'!A:F,6,FALSE),"")</f>
        <v>39566</v>
      </c>
      <c r="N2051" t="str">
        <f>IFERROR(VLOOKUP(VLOOKUP(A2051,'Sales Order'!A:G,7,FALSE),Shipper!A:B,2,FALSE),"Not Specified")</f>
        <v>Shipper ETYNR</v>
      </c>
      <c r="O2051" t="str">
        <f>IFERROR(VLOOKUP(A2051,'Sales Order'!A:I,9,FALSE),"Not Specified")</f>
        <v>Destination YUJRD</v>
      </c>
      <c r="P2051" t="str">
        <f>IFERROR(VLOOKUP(A2051,'Sales Order'!A:N,14,FALSE),"Not Specified")</f>
        <v>Switzerland</v>
      </c>
      <c r="Q2051" t="str">
        <f>VLOOKUP(VLOOKUP(B2051,Product!A:C,3,FALSE),Supplier!A:B,2,FALSE)</f>
        <v>Supplier SWRXU</v>
      </c>
      <c r="R2051" t="str">
        <f>VLOOKUP(VLOOKUP(B2051,Product!A:C,3,FALSE),Supplier!A:I,9,FALSE)</f>
        <v>UK</v>
      </c>
      <c r="S2051" t="str">
        <f>IFERROR(IF(VLOOKUP(A2051,'Sales Order'!A:H,8,FALSE)&gt;100,"High Freight","Low Freight"),"Not Specified")</f>
        <v>Low Freight</v>
      </c>
      <c r="T2051">
        <f t="shared" ref="T2051:T2114" si="65">C2051*D2051*(1-E2051)</f>
        <v>456</v>
      </c>
    </row>
    <row r="2052" spans="1:20">
      <c r="A2052" s="9">
        <v>11041</v>
      </c>
      <c r="B2052" s="6">
        <v>63</v>
      </c>
      <c r="C2052" s="6">
        <v>43.9</v>
      </c>
      <c r="D2052" s="6">
        <v>30</v>
      </c>
      <c r="E2052" s="18">
        <v>0</v>
      </c>
      <c r="F2052" s="6" t="str">
        <f>IFERROR(VLOOKUP(VLOOKUP(A2052,'Sales Order'!A:B,2,FALSE),Customer!A:C,3,FALSE),"Not Specified")</f>
        <v>Jelitto, Jacek</v>
      </c>
      <c r="G2052" s="6" t="str">
        <f t="shared" si="64"/>
        <v>Jelitto Jacek</v>
      </c>
      <c r="H2052" s="22" t="str">
        <f>IFERROR(VLOOKUP(VLOOKUP(A2052,'Sales Order'!A:C,3,FALSE),Employee!A:E,5,FALSE)&amp;" "&amp;VLOOKUP(VLOOKUP(A2052,'Sales Order'!A:C,3,FALSE),Employee!A:C,3,FALSE)&amp;" "&amp;VLOOKUP(VLOOKUP(A2052,'Sales Order'!A:C,3,FALSE),Employee!A:B,2,FALSE),"Not Specified")</f>
        <v>Ms. Judy Lew</v>
      </c>
      <c r="I2052" t="str">
        <f>IFERROR(VLOOKUP(VLOOKUP(A2052,'Sales Order'!A:C,3,FALSE),Employee!A:J,10,FALSE),"Not Specified")</f>
        <v>WA</v>
      </c>
      <c r="J2052" t="str">
        <f>VLOOKUP(B2052,Product!A:B,2,FALSE)</f>
        <v>Product ICKNK</v>
      </c>
      <c r="K2052" t="str">
        <f>VLOOKUP(VLOOKUP(B2052,Product!A:D,4,FALSE),Category!A:B,2,FALSE)</f>
        <v>Condiments</v>
      </c>
      <c r="L2052" s="24">
        <f>IFERROR(VLOOKUP(A2052,'Sales Order'!A:D,4,FALSE),"")</f>
        <v>39560</v>
      </c>
      <c r="M2052" s="24">
        <f>IFERROR(VLOOKUP(A2052,'Sales Order'!A:F,6,FALSE),"")</f>
        <v>39566</v>
      </c>
      <c r="N2052" t="str">
        <f>IFERROR(VLOOKUP(VLOOKUP(A2052,'Sales Order'!A:G,7,FALSE),Shipper!A:B,2,FALSE),"Not Specified")</f>
        <v>Shipper ETYNR</v>
      </c>
      <c r="O2052" t="str">
        <f>IFERROR(VLOOKUP(A2052,'Sales Order'!A:I,9,FALSE),"Not Specified")</f>
        <v>Destination YUJRD</v>
      </c>
      <c r="P2052" t="str">
        <f>IFERROR(VLOOKUP(A2052,'Sales Order'!A:N,14,FALSE),"Not Specified")</f>
        <v>Switzerland</v>
      </c>
      <c r="Q2052" t="str">
        <f>VLOOKUP(VLOOKUP(B2052,Product!A:C,3,FALSE),Supplier!A:B,2,FALSE)</f>
        <v>Supplier GQRCV</v>
      </c>
      <c r="R2052" t="str">
        <f>VLOOKUP(VLOOKUP(B2052,Product!A:C,3,FALSE),Supplier!A:I,9,FALSE)</f>
        <v>Australia</v>
      </c>
      <c r="S2052" t="str">
        <f>IFERROR(IF(VLOOKUP(A2052,'Sales Order'!A:H,8,FALSE)&gt;100,"High Freight","Low Freight"),"Not Specified")</f>
        <v>Low Freight</v>
      </c>
      <c r="T2052">
        <f t="shared" si="65"/>
        <v>1317</v>
      </c>
    </row>
    <row r="2053" spans="1:20">
      <c r="A2053" s="9">
        <v>11042</v>
      </c>
      <c r="B2053" s="6">
        <v>44</v>
      </c>
      <c r="C2053" s="6">
        <v>19.45</v>
      </c>
      <c r="D2053" s="6">
        <v>15</v>
      </c>
      <c r="E2053" s="18">
        <v>0</v>
      </c>
      <c r="F2053" s="6" t="str">
        <f>IFERROR(VLOOKUP(VLOOKUP(A2053,'Sales Order'!A:B,2,FALSE),Customer!A:C,3,FALSE),"Not Specified")</f>
        <v>Richardson, Shawn</v>
      </c>
      <c r="G2053" s="6" t="str">
        <f t="shared" si="64"/>
        <v>Richardson Shawn</v>
      </c>
      <c r="H2053" s="22" t="str">
        <f>IFERROR(VLOOKUP(VLOOKUP(A2053,'Sales Order'!A:C,3,FALSE),Employee!A:E,5,FALSE)&amp;" "&amp;VLOOKUP(VLOOKUP(A2053,'Sales Order'!A:C,3,FALSE),Employee!A:C,3,FALSE)&amp;" "&amp;VLOOKUP(VLOOKUP(A2053,'Sales Order'!A:C,3,FALSE),Employee!A:B,2,FALSE),"Not Specified")</f>
        <v>Dr. Don Funk</v>
      </c>
      <c r="I2053" t="str">
        <f>IFERROR(VLOOKUP(VLOOKUP(A2053,'Sales Order'!A:C,3,FALSE),Employee!A:J,10,FALSE),"Not Specified")</f>
        <v>WA</v>
      </c>
      <c r="J2053" t="str">
        <f>VLOOKUP(B2053,Product!A:B,2,FALSE)</f>
        <v>Product VJIEO</v>
      </c>
      <c r="K2053" t="str">
        <f>VLOOKUP(VLOOKUP(B2053,Product!A:D,4,FALSE),Category!A:B,2,FALSE)</f>
        <v>Condiments</v>
      </c>
      <c r="L2053" s="24">
        <f>IFERROR(VLOOKUP(A2053,'Sales Order'!A:D,4,FALSE),"")</f>
        <v>39560</v>
      </c>
      <c r="M2053" s="24">
        <f>IFERROR(VLOOKUP(A2053,'Sales Order'!A:F,6,FALSE),"")</f>
        <v>39569</v>
      </c>
      <c r="N2053" t="str">
        <f>IFERROR(VLOOKUP(VLOOKUP(A2053,'Sales Order'!A:G,7,FALSE),Shipper!A:B,2,FALSE),"Not Specified")</f>
        <v>Shipper GVSUA</v>
      </c>
      <c r="O2053" t="str">
        <f>IFERROR(VLOOKUP(A2053,'Sales Order'!A:I,9,FALSE),"Not Specified")</f>
        <v>Destination EVHYA</v>
      </c>
      <c r="P2053" t="str">
        <f>IFERROR(VLOOKUP(A2053,'Sales Order'!A:N,14,FALSE),"Not Specified")</f>
        <v>Brazil</v>
      </c>
      <c r="Q2053" t="str">
        <f>VLOOKUP(VLOOKUP(B2053,Product!A:C,3,FALSE),Supplier!A:B,2,FALSE)</f>
        <v>Supplier CIYNM</v>
      </c>
      <c r="R2053" t="str">
        <f>VLOOKUP(VLOOKUP(B2053,Product!A:C,3,FALSE),Supplier!A:I,9,FALSE)</f>
        <v>Singapore</v>
      </c>
      <c r="S2053" t="str">
        <f>IFERROR(IF(VLOOKUP(A2053,'Sales Order'!A:H,8,FALSE)&gt;100,"High Freight","Low Freight"),"Not Specified")</f>
        <v>Low Freight</v>
      </c>
      <c r="T2053">
        <f t="shared" si="65"/>
        <v>291.75</v>
      </c>
    </row>
    <row r="2054" spans="1:20">
      <c r="A2054" s="9">
        <v>11042</v>
      </c>
      <c r="B2054" s="6">
        <v>61</v>
      </c>
      <c r="C2054" s="6">
        <v>28.5</v>
      </c>
      <c r="D2054" s="6">
        <v>4</v>
      </c>
      <c r="E2054" s="18">
        <v>0</v>
      </c>
      <c r="F2054" s="6" t="str">
        <f>IFERROR(VLOOKUP(VLOOKUP(A2054,'Sales Order'!A:B,2,FALSE),Customer!A:C,3,FALSE),"Not Specified")</f>
        <v>Richardson, Shawn</v>
      </c>
      <c r="G2054" s="6" t="str">
        <f t="shared" si="64"/>
        <v>Richardson Shawn</v>
      </c>
      <c r="H2054" s="22" t="str">
        <f>IFERROR(VLOOKUP(VLOOKUP(A2054,'Sales Order'!A:C,3,FALSE),Employee!A:E,5,FALSE)&amp;" "&amp;VLOOKUP(VLOOKUP(A2054,'Sales Order'!A:C,3,FALSE),Employee!A:C,3,FALSE)&amp;" "&amp;VLOOKUP(VLOOKUP(A2054,'Sales Order'!A:C,3,FALSE),Employee!A:B,2,FALSE),"Not Specified")</f>
        <v>Dr. Don Funk</v>
      </c>
      <c r="I2054" t="str">
        <f>IFERROR(VLOOKUP(VLOOKUP(A2054,'Sales Order'!A:C,3,FALSE),Employee!A:J,10,FALSE),"Not Specified")</f>
        <v>WA</v>
      </c>
      <c r="J2054" t="str">
        <f>VLOOKUP(B2054,Product!A:B,2,FALSE)</f>
        <v>Product XYZPE</v>
      </c>
      <c r="K2054" t="str">
        <f>VLOOKUP(VLOOKUP(B2054,Product!A:D,4,FALSE),Category!A:B,2,FALSE)</f>
        <v>Condiments</v>
      </c>
      <c r="L2054" s="24">
        <f>IFERROR(VLOOKUP(A2054,'Sales Order'!A:D,4,FALSE),"")</f>
        <v>39560</v>
      </c>
      <c r="M2054" s="24">
        <f>IFERROR(VLOOKUP(A2054,'Sales Order'!A:F,6,FALSE),"")</f>
        <v>39569</v>
      </c>
      <c r="N2054" t="str">
        <f>IFERROR(VLOOKUP(VLOOKUP(A2054,'Sales Order'!A:G,7,FALSE),Shipper!A:B,2,FALSE),"Not Specified")</f>
        <v>Shipper GVSUA</v>
      </c>
      <c r="O2054" t="str">
        <f>IFERROR(VLOOKUP(A2054,'Sales Order'!A:I,9,FALSE),"Not Specified")</f>
        <v>Destination EVHYA</v>
      </c>
      <c r="P2054" t="str">
        <f>IFERROR(VLOOKUP(A2054,'Sales Order'!A:N,14,FALSE),"Not Specified")</f>
        <v>Brazil</v>
      </c>
      <c r="Q2054" t="str">
        <f>VLOOKUP(VLOOKUP(B2054,Product!A:C,3,FALSE),Supplier!A:B,2,FALSE)</f>
        <v>Supplier OGLRK</v>
      </c>
      <c r="R2054" t="str">
        <f>VLOOKUP(VLOOKUP(B2054,Product!A:C,3,FALSE),Supplier!A:I,9,FALSE)</f>
        <v>Canada</v>
      </c>
      <c r="S2054" t="str">
        <f>IFERROR(IF(VLOOKUP(A2054,'Sales Order'!A:H,8,FALSE)&gt;100,"High Freight","Low Freight"),"Not Specified")</f>
        <v>Low Freight</v>
      </c>
      <c r="T2054">
        <f t="shared" si="65"/>
        <v>114</v>
      </c>
    </row>
    <row r="2055" spans="1:20">
      <c r="A2055" s="9">
        <v>11043</v>
      </c>
      <c r="B2055" s="6">
        <v>11</v>
      </c>
      <c r="C2055" s="6">
        <v>21</v>
      </c>
      <c r="D2055" s="6">
        <v>10</v>
      </c>
      <c r="E2055" s="18">
        <v>0</v>
      </c>
      <c r="F2055" s="6" t="str">
        <f>IFERROR(VLOOKUP(VLOOKUP(A2055,'Sales Order'!A:B,2,FALSE),Customer!A:C,3,FALSE),"Not Specified")</f>
        <v>O’Brien, Dave</v>
      </c>
      <c r="G2055" s="6" t="str">
        <f t="shared" si="64"/>
        <v>O’Brien Dave</v>
      </c>
      <c r="H2055" s="22" t="str">
        <f>IFERROR(VLOOKUP(VLOOKUP(A2055,'Sales Order'!A:C,3,FALSE),Employee!A:E,5,FALSE)&amp;" "&amp;VLOOKUP(VLOOKUP(A2055,'Sales Order'!A:C,3,FALSE),Employee!A:C,3,FALSE)&amp;" "&amp;VLOOKUP(VLOOKUP(A2055,'Sales Order'!A:C,3,FALSE),Employee!A:B,2,FALSE),"Not Specified")</f>
        <v>Mr. Sven Buck</v>
      </c>
      <c r="I2055">
        <f>IFERROR(VLOOKUP(VLOOKUP(A2055,'Sales Order'!A:C,3,FALSE),Employee!A:J,10,FALSE),"Not Specified")</f>
        <v>0</v>
      </c>
      <c r="J2055" t="str">
        <f>VLOOKUP(B2055,Product!A:B,2,FALSE)</f>
        <v>Product QMVUN</v>
      </c>
      <c r="K2055" t="str">
        <f>VLOOKUP(VLOOKUP(B2055,Product!A:D,4,FALSE),Category!A:B,2,FALSE)</f>
        <v>Dairy Product</v>
      </c>
      <c r="L2055" s="24">
        <f>IFERROR(VLOOKUP(A2055,'Sales Order'!A:D,4,FALSE),"")</f>
        <v>39560</v>
      </c>
      <c r="M2055" s="24">
        <f>IFERROR(VLOOKUP(A2055,'Sales Order'!A:F,6,FALSE),"")</f>
        <v>39567</v>
      </c>
      <c r="N2055" t="str">
        <f>IFERROR(VLOOKUP(VLOOKUP(A2055,'Sales Order'!A:G,7,FALSE),Shipper!A:B,2,FALSE),"Not Specified")</f>
        <v>Shipper ETYNR</v>
      </c>
      <c r="O2055" t="str">
        <f>IFERROR(VLOOKUP(A2055,'Sales Order'!A:I,9,FALSE),"Not Specified")</f>
        <v>Ship to 74-B</v>
      </c>
      <c r="P2055" t="str">
        <f>IFERROR(VLOOKUP(A2055,'Sales Order'!A:N,14,FALSE),"Not Specified")</f>
        <v>France</v>
      </c>
      <c r="Q2055" t="str">
        <f>VLOOKUP(VLOOKUP(B2055,Product!A:C,3,FALSE),Supplier!A:B,2,FALSE)</f>
        <v>Supplier EQPNC</v>
      </c>
      <c r="R2055" t="str">
        <f>VLOOKUP(VLOOKUP(B2055,Product!A:C,3,FALSE),Supplier!A:I,9,FALSE)</f>
        <v>Spain</v>
      </c>
      <c r="S2055" t="str">
        <f>IFERROR(IF(VLOOKUP(A2055,'Sales Order'!A:H,8,FALSE)&gt;100,"High Freight","Low Freight"),"Not Specified")</f>
        <v>Low Freight</v>
      </c>
      <c r="T2055">
        <f t="shared" si="65"/>
        <v>210</v>
      </c>
    </row>
    <row r="2056" spans="1:20">
      <c r="A2056" s="9">
        <v>11044</v>
      </c>
      <c r="B2056" s="6">
        <v>62</v>
      </c>
      <c r="C2056" s="6">
        <v>49.3</v>
      </c>
      <c r="D2056" s="6">
        <v>12</v>
      </c>
      <c r="E2056" s="18">
        <v>0</v>
      </c>
      <c r="F2056" s="6" t="str">
        <f>IFERROR(VLOOKUP(VLOOKUP(A2056,'Sales Order'!A:B,2,FALSE),Customer!A:C,3,FALSE),"Not Specified")</f>
        <v>Conn, Steve</v>
      </c>
      <c r="G2056" s="6" t="str">
        <f t="shared" si="64"/>
        <v>Conn Steve</v>
      </c>
      <c r="H2056" s="22" t="str">
        <f>IFERROR(VLOOKUP(VLOOKUP(A2056,'Sales Order'!A:C,3,FALSE),Employee!A:E,5,FALSE)&amp;" "&amp;VLOOKUP(VLOOKUP(A2056,'Sales Order'!A:C,3,FALSE),Employee!A:C,3,FALSE)&amp;" "&amp;VLOOKUP(VLOOKUP(A2056,'Sales Order'!A:C,3,FALSE),Employee!A:B,2,FALSE),"Not Specified")</f>
        <v>Mrs. Yael Peled</v>
      </c>
      <c r="I2056" t="str">
        <f>IFERROR(VLOOKUP(VLOOKUP(A2056,'Sales Order'!A:C,3,FALSE),Employee!A:J,10,FALSE),"Not Specified")</f>
        <v>WA</v>
      </c>
      <c r="J2056" t="str">
        <f>VLOOKUP(B2056,Product!A:B,2,FALSE)</f>
        <v>Product WUXYK</v>
      </c>
      <c r="K2056" t="str">
        <f>VLOOKUP(VLOOKUP(B2056,Product!A:D,4,FALSE),Category!A:B,2,FALSE)</f>
        <v>Confections</v>
      </c>
      <c r="L2056" s="24">
        <f>IFERROR(VLOOKUP(A2056,'Sales Order'!A:D,4,FALSE),"")</f>
        <v>39561</v>
      </c>
      <c r="M2056" s="24">
        <f>IFERROR(VLOOKUP(A2056,'Sales Order'!A:F,6,FALSE),"")</f>
        <v>39569</v>
      </c>
      <c r="N2056" t="str">
        <f>IFERROR(VLOOKUP(VLOOKUP(A2056,'Sales Order'!A:G,7,FALSE),Shipper!A:B,2,FALSE),"Not Specified")</f>
        <v>Shipper GVSUA</v>
      </c>
      <c r="O2056" t="str">
        <f>IFERROR(VLOOKUP(A2056,'Sales Order'!A:I,9,FALSE),"Not Specified")</f>
        <v>Ship to 91-B</v>
      </c>
      <c r="P2056" t="str">
        <f>IFERROR(VLOOKUP(A2056,'Sales Order'!A:N,14,FALSE),"Not Specified")</f>
        <v>Poland</v>
      </c>
      <c r="Q2056" t="str">
        <f>VLOOKUP(VLOOKUP(B2056,Product!A:C,3,FALSE),Supplier!A:B,2,FALSE)</f>
        <v>Supplier OGLRK</v>
      </c>
      <c r="R2056" t="str">
        <f>VLOOKUP(VLOOKUP(B2056,Product!A:C,3,FALSE),Supplier!A:I,9,FALSE)</f>
        <v>Canada</v>
      </c>
      <c r="S2056" t="str">
        <f>IFERROR(IF(VLOOKUP(A2056,'Sales Order'!A:H,8,FALSE)&gt;100,"High Freight","Low Freight"),"Not Specified")</f>
        <v>Low Freight</v>
      </c>
      <c r="T2056">
        <f t="shared" si="65"/>
        <v>591.59999999999991</v>
      </c>
    </row>
    <row r="2057" spans="1:20">
      <c r="A2057" s="9">
        <v>11045</v>
      </c>
      <c r="B2057" s="6">
        <v>33</v>
      </c>
      <c r="C2057" s="6">
        <v>2.5</v>
      </c>
      <c r="D2057" s="6">
        <v>15</v>
      </c>
      <c r="E2057" s="18">
        <v>0</v>
      </c>
      <c r="F2057" s="6" t="str">
        <f>IFERROR(VLOOKUP(VLOOKUP(A2057,'Sales Order'!A:B,2,FALSE),Customer!A:C,3,FALSE),"Not Specified")</f>
        <v>Bassols, Pilar Colome</v>
      </c>
      <c r="G2057" s="6" t="str">
        <f t="shared" si="64"/>
        <v>Bassols Pilar Colome</v>
      </c>
      <c r="H2057" s="22" t="str">
        <f>IFERROR(VLOOKUP(VLOOKUP(A2057,'Sales Order'!A:C,3,FALSE),Employee!A:E,5,FALSE)&amp;" "&amp;VLOOKUP(VLOOKUP(A2057,'Sales Order'!A:C,3,FALSE),Employee!A:C,3,FALSE)&amp;" "&amp;VLOOKUP(VLOOKUP(A2057,'Sales Order'!A:C,3,FALSE),Employee!A:B,2,FALSE),"Not Specified")</f>
        <v>Mr. Paul Suurs</v>
      </c>
      <c r="I2057">
        <f>IFERROR(VLOOKUP(VLOOKUP(A2057,'Sales Order'!A:C,3,FALSE),Employee!A:J,10,FALSE),"Not Specified")</f>
        <v>0</v>
      </c>
      <c r="J2057" t="str">
        <f>VLOOKUP(B2057,Product!A:B,2,FALSE)</f>
        <v>Product ASTMN</v>
      </c>
      <c r="K2057" t="str">
        <f>VLOOKUP(VLOOKUP(B2057,Product!A:D,4,FALSE),Category!A:B,2,FALSE)</f>
        <v>Dairy Product</v>
      </c>
      <c r="L2057" s="24">
        <f>IFERROR(VLOOKUP(A2057,'Sales Order'!A:D,4,FALSE),"")</f>
        <v>39561</v>
      </c>
      <c r="M2057" s="24">
        <f>IFERROR(VLOOKUP(A2057,'Sales Order'!A:F,6,FALSE),"")</f>
        <v>0</v>
      </c>
      <c r="N2057" t="str">
        <f>IFERROR(VLOOKUP(VLOOKUP(A2057,'Sales Order'!A:G,7,FALSE),Shipper!A:B,2,FALSE),"Not Specified")</f>
        <v>Shipper ETYNR</v>
      </c>
      <c r="O2057" t="str">
        <f>IFERROR(VLOOKUP(A2057,'Sales Order'!A:I,9,FALSE),"Not Specified")</f>
        <v>Destination LPHSI</v>
      </c>
      <c r="P2057" t="str">
        <f>IFERROR(VLOOKUP(A2057,'Sales Order'!A:N,14,FALSE),"Not Specified")</f>
        <v>Canada</v>
      </c>
      <c r="Q2057" t="str">
        <f>VLOOKUP(VLOOKUP(B2057,Product!A:C,3,FALSE),Supplier!A:B,2,FALSE)</f>
        <v>Supplier NZLIF</v>
      </c>
      <c r="R2057" t="str">
        <f>VLOOKUP(VLOOKUP(B2057,Product!A:C,3,FALSE),Supplier!A:I,9,FALSE)</f>
        <v>Norway</v>
      </c>
      <c r="S2057" t="str">
        <f>IFERROR(IF(VLOOKUP(A2057,'Sales Order'!A:H,8,FALSE)&gt;100,"High Freight","Low Freight"),"Not Specified")</f>
        <v>Low Freight</v>
      </c>
      <c r="T2057">
        <f t="shared" si="65"/>
        <v>37.5</v>
      </c>
    </row>
    <row r="2058" spans="1:20">
      <c r="A2058" s="9">
        <v>11045</v>
      </c>
      <c r="B2058" s="6">
        <v>51</v>
      </c>
      <c r="C2058" s="6">
        <v>53</v>
      </c>
      <c r="D2058" s="6">
        <v>24</v>
      </c>
      <c r="E2058" s="18">
        <v>0</v>
      </c>
      <c r="F2058" s="6" t="str">
        <f>IFERROR(VLOOKUP(VLOOKUP(A2058,'Sales Order'!A:B,2,FALSE),Customer!A:C,3,FALSE),"Not Specified")</f>
        <v>Bassols, Pilar Colome</v>
      </c>
      <c r="G2058" s="6" t="str">
        <f t="shared" si="64"/>
        <v>Bassols Pilar Colome</v>
      </c>
      <c r="H2058" s="22" t="str">
        <f>IFERROR(VLOOKUP(VLOOKUP(A2058,'Sales Order'!A:C,3,FALSE),Employee!A:E,5,FALSE)&amp;" "&amp;VLOOKUP(VLOOKUP(A2058,'Sales Order'!A:C,3,FALSE),Employee!A:C,3,FALSE)&amp;" "&amp;VLOOKUP(VLOOKUP(A2058,'Sales Order'!A:C,3,FALSE),Employee!A:B,2,FALSE),"Not Specified")</f>
        <v>Mr. Paul Suurs</v>
      </c>
      <c r="I2058">
        <f>IFERROR(VLOOKUP(VLOOKUP(A2058,'Sales Order'!A:C,3,FALSE),Employee!A:J,10,FALSE),"Not Specified")</f>
        <v>0</v>
      </c>
      <c r="J2058" t="str">
        <f>VLOOKUP(B2058,Product!A:B,2,FALSE)</f>
        <v>Product APITJ</v>
      </c>
      <c r="K2058" t="str">
        <f>VLOOKUP(VLOOKUP(B2058,Product!A:D,4,FALSE),Category!A:B,2,FALSE)</f>
        <v>Produce</v>
      </c>
      <c r="L2058" s="24">
        <f>IFERROR(VLOOKUP(A2058,'Sales Order'!A:D,4,FALSE),"")</f>
        <v>39561</v>
      </c>
      <c r="M2058" s="24">
        <f>IFERROR(VLOOKUP(A2058,'Sales Order'!A:F,6,FALSE),"")</f>
        <v>0</v>
      </c>
      <c r="N2058" t="str">
        <f>IFERROR(VLOOKUP(VLOOKUP(A2058,'Sales Order'!A:G,7,FALSE),Shipper!A:B,2,FALSE),"Not Specified")</f>
        <v>Shipper ETYNR</v>
      </c>
      <c r="O2058" t="str">
        <f>IFERROR(VLOOKUP(A2058,'Sales Order'!A:I,9,FALSE),"Not Specified")</f>
        <v>Destination LPHSI</v>
      </c>
      <c r="P2058" t="str">
        <f>IFERROR(VLOOKUP(A2058,'Sales Order'!A:N,14,FALSE),"Not Specified")</f>
        <v>Canada</v>
      </c>
      <c r="Q2058" t="str">
        <f>VLOOKUP(VLOOKUP(B2058,Product!A:C,3,FALSE),Supplier!A:B,2,FALSE)</f>
        <v>Supplier JNNES</v>
      </c>
      <c r="R2058" t="str">
        <f>VLOOKUP(VLOOKUP(B2058,Product!A:C,3,FALSE),Supplier!A:I,9,FALSE)</f>
        <v>Australia</v>
      </c>
      <c r="S2058" t="str">
        <f>IFERROR(IF(VLOOKUP(A2058,'Sales Order'!A:H,8,FALSE)&gt;100,"High Freight","Low Freight"),"Not Specified")</f>
        <v>Low Freight</v>
      </c>
      <c r="T2058">
        <f t="shared" si="65"/>
        <v>1272</v>
      </c>
    </row>
    <row r="2059" spans="1:20">
      <c r="A2059" s="9">
        <v>11046</v>
      </c>
      <c r="B2059" s="6">
        <v>12</v>
      </c>
      <c r="C2059" s="6">
        <v>38</v>
      </c>
      <c r="D2059" s="6">
        <v>20</v>
      </c>
      <c r="E2059" s="18">
        <v>0.05</v>
      </c>
      <c r="F2059" s="6" t="str">
        <f>IFERROR(VLOOKUP(VLOOKUP(A2059,'Sales Order'!A:B,2,FALSE),Customer!A:C,3,FALSE),"Not Specified")</f>
        <v>Syamala, Manoj</v>
      </c>
      <c r="G2059" s="6" t="str">
        <f t="shared" si="64"/>
        <v>Syamala Manoj</v>
      </c>
      <c r="H2059" s="22" t="str">
        <f>IFERROR(VLOOKUP(VLOOKUP(A2059,'Sales Order'!A:C,3,FALSE),Employee!A:E,5,FALSE)&amp;" "&amp;VLOOKUP(VLOOKUP(A2059,'Sales Order'!A:C,3,FALSE),Employee!A:C,3,FALSE)&amp;" "&amp;VLOOKUP(VLOOKUP(A2059,'Sales Order'!A:C,3,FALSE),Employee!A:B,2,FALSE),"Not Specified")</f>
        <v>Ms. Maria Cameron</v>
      </c>
      <c r="I2059" t="str">
        <f>IFERROR(VLOOKUP(VLOOKUP(A2059,'Sales Order'!A:C,3,FALSE),Employee!A:J,10,FALSE),"Not Specified")</f>
        <v>WA</v>
      </c>
      <c r="J2059" t="str">
        <f>VLOOKUP(B2059,Product!A:B,2,FALSE)</f>
        <v>Product OSFNS</v>
      </c>
      <c r="K2059" t="str">
        <f>VLOOKUP(VLOOKUP(B2059,Product!A:D,4,FALSE),Category!A:B,2,FALSE)</f>
        <v>Dairy Product</v>
      </c>
      <c r="L2059" s="24">
        <f>IFERROR(VLOOKUP(A2059,'Sales Order'!A:D,4,FALSE),"")</f>
        <v>39561</v>
      </c>
      <c r="M2059" s="24">
        <f>IFERROR(VLOOKUP(A2059,'Sales Order'!A:F,6,FALSE),"")</f>
        <v>39562</v>
      </c>
      <c r="N2059" t="str">
        <f>IFERROR(VLOOKUP(VLOOKUP(A2059,'Sales Order'!A:G,7,FALSE),Shipper!A:B,2,FALSE),"Not Specified")</f>
        <v>Shipper ETYNR</v>
      </c>
      <c r="O2059" t="str">
        <f>IFERROR(VLOOKUP(A2059,'Sales Order'!A:I,9,FALSE),"Not Specified")</f>
        <v>Ship to 86-C</v>
      </c>
      <c r="P2059" t="str">
        <f>IFERROR(VLOOKUP(A2059,'Sales Order'!A:N,14,FALSE),"Not Specified")</f>
        <v>Germany</v>
      </c>
      <c r="Q2059" t="str">
        <f>VLOOKUP(VLOOKUP(B2059,Product!A:C,3,FALSE),Supplier!A:B,2,FALSE)</f>
        <v>Supplier EQPNC</v>
      </c>
      <c r="R2059" t="str">
        <f>VLOOKUP(VLOOKUP(B2059,Product!A:C,3,FALSE),Supplier!A:I,9,FALSE)</f>
        <v>Spain</v>
      </c>
      <c r="S2059" t="str">
        <f>IFERROR(IF(VLOOKUP(A2059,'Sales Order'!A:H,8,FALSE)&gt;100,"High Freight","Low Freight"),"Not Specified")</f>
        <v>Low Freight</v>
      </c>
      <c r="T2059">
        <f t="shared" si="65"/>
        <v>722</v>
      </c>
    </row>
    <row r="2060" spans="1:20">
      <c r="A2060" s="9">
        <v>11046</v>
      </c>
      <c r="B2060" s="6">
        <v>32</v>
      </c>
      <c r="C2060" s="6">
        <v>32</v>
      </c>
      <c r="D2060" s="6">
        <v>15</v>
      </c>
      <c r="E2060" s="18">
        <v>0.05</v>
      </c>
      <c r="F2060" s="6" t="str">
        <f>IFERROR(VLOOKUP(VLOOKUP(A2060,'Sales Order'!A:B,2,FALSE),Customer!A:C,3,FALSE),"Not Specified")</f>
        <v>Syamala, Manoj</v>
      </c>
      <c r="G2060" s="6" t="str">
        <f t="shared" si="64"/>
        <v>Syamala Manoj</v>
      </c>
      <c r="H2060" s="22" t="str">
        <f>IFERROR(VLOOKUP(VLOOKUP(A2060,'Sales Order'!A:C,3,FALSE),Employee!A:E,5,FALSE)&amp;" "&amp;VLOOKUP(VLOOKUP(A2060,'Sales Order'!A:C,3,FALSE),Employee!A:C,3,FALSE)&amp;" "&amp;VLOOKUP(VLOOKUP(A2060,'Sales Order'!A:C,3,FALSE),Employee!A:B,2,FALSE),"Not Specified")</f>
        <v>Ms. Maria Cameron</v>
      </c>
      <c r="I2060" t="str">
        <f>IFERROR(VLOOKUP(VLOOKUP(A2060,'Sales Order'!A:C,3,FALSE),Employee!A:J,10,FALSE),"Not Specified")</f>
        <v>WA</v>
      </c>
      <c r="J2060" t="str">
        <f>VLOOKUP(B2060,Product!A:B,2,FALSE)</f>
        <v>Product NUNAW</v>
      </c>
      <c r="K2060" t="str">
        <f>VLOOKUP(VLOOKUP(B2060,Product!A:D,4,FALSE),Category!A:B,2,FALSE)</f>
        <v>Dairy Product</v>
      </c>
      <c r="L2060" s="24">
        <f>IFERROR(VLOOKUP(A2060,'Sales Order'!A:D,4,FALSE),"")</f>
        <v>39561</v>
      </c>
      <c r="M2060" s="24">
        <f>IFERROR(VLOOKUP(A2060,'Sales Order'!A:F,6,FALSE),"")</f>
        <v>39562</v>
      </c>
      <c r="N2060" t="str">
        <f>IFERROR(VLOOKUP(VLOOKUP(A2060,'Sales Order'!A:G,7,FALSE),Shipper!A:B,2,FALSE),"Not Specified")</f>
        <v>Shipper ETYNR</v>
      </c>
      <c r="O2060" t="str">
        <f>IFERROR(VLOOKUP(A2060,'Sales Order'!A:I,9,FALSE),"Not Specified")</f>
        <v>Ship to 86-C</v>
      </c>
      <c r="P2060" t="str">
        <f>IFERROR(VLOOKUP(A2060,'Sales Order'!A:N,14,FALSE),"Not Specified")</f>
        <v>Germany</v>
      </c>
      <c r="Q2060" t="str">
        <f>VLOOKUP(VLOOKUP(B2060,Product!A:C,3,FALSE),Supplier!A:B,2,FALSE)</f>
        <v>Supplier KEREV</v>
      </c>
      <c r="R2060" t="str">
        <f>VLOOKUP(VLOOKUP(B2060,Product!A:C,3,FALSE),Supplier!A:I,9,FALSE)</f>
        <v>Italy</v>
      </c>
      <c r="S2060" t="str">
        <f>IFERROR(IF(VLOOKUP(A2060,'Sales Order'!A:H,8,FALSE)&gt;100,"High Freight","Low Freight"),"Not Specified")</f>
        <v>Low Freight</v>
      </c>
      <c r="T2060">
        <f t="shared" si="65"/>
        <v>456</v>
      </c>
    </row>
    <row r="2061" spans="1:20">
      <c r="A2061" s="9">
        <v>11046</v>
      </c>
      <c r="B2061" s="6">
        <v>35</v>
      </c>
      <c r="C2061" s="6">
        <v>18</v>
      </c>
      <c r="D2061" s="6">
        <v>18</v>
      </c>
      <c r="E2061" s="18">
        <v>0.05</v>
      </c>
      <c r="F2061" s="6" t="str">
        <f>IFERROR(VLOOKUP(VLOOKUP(A2061,'Sales Order'!A:B,2,FALSE),Customer!A:C,3,FALSE),"Not Specified")</f>
        <v>Syamala, Manoj</v>
      </c>
      <c r="G2061" s="6" t="str">
        <f t="shared" si="64"/>
        <v>Syamala Manoj</v>
      </c>
      <c r="H2061" s="22" t="str">
        <f>IFERROR(VLOOKUP(VLOOKUP(A2061,'Sales Order'!A:C,3,FALSE),Employee!A:E,5,FALSE)&amp;" "&amp;VLOOKUP(VLOOKUP(A2061,'Sales Order'!A:C,3,FALSE),Employee!A:C,3,FALSE)&amp;" "&amp;VLOOKUP(VLOOKUP(A2061,'Sales Order'!A:C,3,FALSE),Employee!A:B,2,FALSE),"Not Specified")</f>
        <v>Ms. Maria Cameron</v>
      </c>
      <c r="I2061" t="str">
        <f>IFERROR(VLOOKUP(VLOOKUP(A2061,'Sales Order'!A:C,3,FALSE),Employee!A:J,10,FALSE),"Not Specified")</f>
        <v>WA</v>
      </c>
      <c r="J2061" t="str">
        <f>VLOOKUP(B2061,Product!A:B,2,FALSE)</f>
        <v>Product NEVTJ</v>
      </c>
      <c r="K2061" t="str">
        <f>VLOOKUP(VLOOKUP(B2061,Product!A:D,4,FALSE),Category!A:B,2,FALSE)</f>
        <v>Beverages</v>
      </c>
      <c r="L2061" s="24">
        <f>IFERROR(VLOOKUP(A2061,'Sales Order'!A:D,4,FALSE),"")</f>
        <v>39561</v>
      </c>
      <c r="M2061" s="24">
        <f>IFERROR(VLOOKUP(A2061,'Sales Order'!A:F,6,FALSE),"")</f>
        <v>39562</v>
      </c>
      <c r="N2061" t="str">
        <f>IFERROR(VLOOKUP(VLOOKUP(A2061,'Sales Order'!A:G,7,FALSE),Shipper!A:B,2,FALSE),"Not Specified")</f>
        <v>Shipper ETYNR</v>
      </c>
      <c r="O2061" t="str">
        <f>IFERROR(VLOOKUP(A2061,'Sales Order'!A:I,9,FALSE),"Not Specified")</f>
        <v>Ship to 86-C</v>
      </c>
      <c r="P2061" t="str">
        <f>IFERROR(VLOOKUP(A2061,'Sales Order'!A:N,14,FALSE),"Not Specified")</f>
        <v>Germany</v>
      </c>
      <c r="Q2061" t="str">
        <f>VLOOKUP(VLOOKUP(B2061,Product!A:C,3,FALSE),Supplier!A:B,2,FALSE)</f>
        <v>Supplier UHZRG</v>
      </c>
      <c r="R2061" t="str">
        <f>VLOOKUP(VLOOKUP(B2061,Product!A:C,3,FALSE),Supplier!A:I,9,FALSE)</f>
        <v>USA</v>
      </c>
      <c r="S2061" t="str">
        <f>IFERROR(IF(VLOOKUP(A2061,'Sales Order'!A:H,8,FALSE)&gt;100,"High Freight","Low Freight"),"Not Specified")</f>
        <v>Low Freight</v>
      </c>
      <c r="T2061">
        <f t="shared" si="65"/>
        <v>307.8</v>
      </c>
    </row>
    <row r="2062" spans="1:20">
      <c r="A2062" s="9">
        <v>11047</v>
      </c>
      <c r="B2062" s="6">
        <v>1</v>
      </c>
      <c r="C2062" s="6">
        <v>18</v>
      </c>
      <c r="D2062" s="6">
        <v>25</v>
      </c>
      <c r="E2062" s="18">
        <v>0.25</v>
      </c>
      <c r="F2062" s="6" t="str">
        <f>IFERROR(VLOOKUP(VLOOKUP(A2062,'Sales Order'!A:B,2,FALSE),Customer!A:C,3,FALSE),"Not Specified")</f>
        <v>Boseman, Randall</v>
      </c>
      <c r="G2062" s="6" t="str">
        <f t="shared" si="64"/>
        <v>Boseman Randall</v>
      </c>
      <c r="H2062" s="22" t="str">
        <f>IFERROR(VLOOKUP(VLOOKUP(A2062,'Sales Order'!A:C,3,FALSE),Employee!A:E,5,FALSE)&amp;" "&amp;VLOOKUP(VLOOKUP(A2062,'Sales Order'!A:C,3,FALSE),Employee!A:C,3,FALSE)&amp;" "&amp;VLOOKUP(VLOOKUP(A2062,'Sales Order'!A:C,3,FALSE),Employee!A:B,2,FALSE),"Not Specified")</f>
        <v>Mr. Russell King</v>
      </c>
      <c r="I2062">
        <f>IFERROR(VLOOKUP(VLOOKUP(A2062,'Sales Order'!A:C,3,FALSE),Employee!A:J,10,FALSE),"Not Specified")</f>
        <v>0</v>
      </c>
      <c r="J2062" t="str">
        <f>VLOOKUP(B2062,Product!A:B,2,FALSE)</f>
        <v>Product HHYDP</v>
      </c>
      <c r="K2062" t="str">
        <f>VLOOKUP(VLOOKUP(B2062,Product!A:D,4,FALSE),Category!A:B,2,FALSE)</f>
        <v>Beverages</v>
      </c>
      <c r="L2062" s="24">
        <f>IFERROR(VLOOKUP(A2062,'Sales Order'!A:D,4,FALSE),"")</f>
        <v>39562</v>
      </c>
      <c r="M2062" s="24">
        <f>IFERROR(VLOOKUP(A2062,'Sales Order'!A:F,6,FALSE),"")</f>
        <v>39569</v>
      </c>
      <c r="N2062" t="str">
        <f>IFERROR(VLOOKUP(VLOOKUP(A2062,'Sales Order'!A:G,7,FALSE),Shipper!A:B,2,FALSE),"Not Specified")</f>
        <v>Shipper ZHISN</v>
      </c>
      <c r="O2062" t="str">
        <f>IFERROR(VLOOKUP(A2062,'Sales Order'!A:I,9,FALSE),"Not Specified")</f>
        <v>Destination FRCGJ</v>
      </c>
      <c r="P2062" t="str">
        <f>IFERROR(VLOOKUP(A2062,'Sales Order'!A:N,14,FALSE),"Not Specified")</f>
        <v>UK</v>
      </c>
      <c r="Q2062" t="str">
        <f>VLOOKUP(VLOOKUP(B2062,Product!A:C,3,FALSE),Supplier!A:B,2,FALSE)</f>
        <v>Supplier SWRXU</v>
      </c>
      <c r="R2062" t="str">
        <f>VLOOKUP(VLOOKUP(B2062,Product!A:C,3,FALSE),Supplier!A:I,9,FALSE)</f>
        <v>UK</v>
      </c>
      <c r="S2062" t="str">
        <f>IFERROR(IF(VLOOKUP(A2062,'Sales Order'!A:H,8,FALSE)&gt;100,"High Freight","Low Freight"),"Not Specified")</f>
        <v>Low Freight</v>
      </c>
      <c r="T2062">
        <f t="shared" si="65"/>
        <v>337.5</v>
      </c>
    </row>
    <row r="2063" spans="1:20">
      <c r="A2063" s="9">
        <v>11047</v>
      </c>
      <c r="B2063" s="6">
        <v>5</v>
      </c>
      <c r="C2063" s="6">
        <v>21.35</v>
      </c>
      <c r="D2063" s="6">
        <v>30</v>
      </c>
      <c r="E2063" s="18">
        <v>0.25</v>
      </c>
      <c r="F2063" s="6" t="str">
        <f>IFERROR(VLOOKUP(VLOOKUP(A2063,'Sales Order'!A:B,2,FALSE),Customer!A:C,3,FALSE),"Not Specified")</f>
        <v>Boseman, Randall</v>
      </c>
      <c r="G2063" s="6" t="str">
        <f t="shared" si="64"/>
        <v>Boseman Randall</v>
      </c>
      <c r="H2063" s="22" t="str">
        <f>IFERROR(VLOOKUP(VLOOKUP(A2063,'Sales Order'!A:C,3,FALSE),Employee!A:E,5,FALSE)&amp;" "&amp;VLOOKUP(VLOOKUP(A2063,'Sales Order'!A:C,3,FALSE),Employee!A:C,3,FALSE)&amp;" "&amp;VLOOKUP(VLOOKUP(A2063,'Sales Order'!A:C,3,FALSE),Employee!A:B,2,FALSE),"Not Specified")</f>
        <v>Mr. Russell King</v>
      </c>
      <c r="I2063">
        <f>IFERROR(VLOOKUP(VLOOKUP(A2063,'Sales Order'!A:C,3,FALSE),Employee!A:J,10,FALSE),"Not Specified")</f>
        <v>0</v>
      </c>
      <c r="J2063" t="str">
        <f>VLOOKUP(B2063,Product!A:B,2,FALSE)</f>
        <v>Product EPEIM</v>
      </c>
      <c r="K2063" t="str">
        <f>VLOOKUP(VLOOKUP(B2063,Product!A:D,4,FALSE),Category!A:B,2,FALSE)</f>
        <v>Condiments</v>
      </c>
      <c r="L2063" s="24">
        <f>IFERROR(VLOOKUP(A2063,'Sales Order'!A:D,4,FALSE),"")</f>
        <v>39562</v>
      </c>
      <c r="M2063" s="24">
        <f>IFERROR(VLOOKUP(A2063,'Sales Order'!A:F,6,FALSE),"")</f>
        <v>39569</v>
      </c>
      <c r="N2063" t="str">
        <f>IFERROR(VLOOKUP(VLOOKUP(A2063,'Sales Order'!A:G,7,FALSE),Shipper!A:B,2,FALSE),"Not Specified")</f>
        <v>Shipper ZHISN</v>
      </c>
      <c r="O2063" t="str">
        <f>IFERROR(VLOOKUP(A2063,'Sales Order'!A:I,9,FALSE),"Not Specified")</f>
        <v>Destination FRCGJ</v>
      </c>
      <c r="P2063" t="str">
        <f>IFERROR(VLOOKUP(A2063,'Sales Order'!A:N,14,FALSE),"Not Specified")</f>
        <v>UK</v>
      </c>
      <c r="Q2063" t="str">
        <f>VLOOKUP(VLOOKUP(B2063,Product!A:C,3,FALSE),Supplier!A:B,2,FALSE)</f>
        <v>Supplier VHQZD</v>
      </c>
      <c r="R2063" t="str">
        <f>VLOOKUP(VLOOKUP(B2063,Product!A:C,3,FALSE),Supplier!A:I,9,FALSE)</f>
        <v>USA</v>
      </c>
      <c r="S2063" t="str">
        <f>IFERROR(IF(VLOOKUP(A2063,'Sales Order'!A:H,8,FALSE)&gt;100,"High Freight","Low Freight"),"Not Specified")</f>
        <v>Low Freight</v>
      </c>
      <c r="T2063">
        <f t="shared" si="65"/>
        <v>480.375</v>
      </c>
    </row>
    <row r="2064" spans="1:20">
      <c r="A2064" s="9">
        <v>11048</v>
      </c>
      <c r="B2064" s="6">
        <v>68</v>
      </c>
      <c r="C2064" s="6">
        <v>12.5</v>
      </c>
      <c r="D2064" s="6">
        <v>42</v>
      </c>
      <c r="E2064" s="18">
        <v>0</v>
      </c>
      <c r="F2064" s="6" t="str">
        <f>IFERROR(VLOOKUP(VLOOKUP(A2064,'Sales Order'!A:B,2,FALSE),Customer!A:C,3,FALSE),"Not Specified")</f>
        <v>Bassols, Pilar Colome</v>
      </c>
      <c r="G2064" s="6" t="str">
        <f t="shared" si="64"/>
        <v>Bassols Pilar Colome</v>
      </c>
      <c r="H2064" s="22" t="str">
        <f>IFERROR(VLOOKUP(VLOOKUP(A2064,'Sales Order'!A:C,3,FALSE),Employee!A:E,5,FALSE)&amp;" "&amp;VLOOKUP(VLOOKUP(A2064,'Sales Order'!A:C,3,FALSE),Employee!A:C,3,FALSE)&amp;" "&amp;VLOOKUP(VLOOKUP(A2064,'Sales Order'!A:C,3,FALSE),Employee!A:B,2,FALSE),"Not Specified")</f>
        <v>Mr. Russell King</v>
      </c>
      <c r="I2064">
        <f>IFERROR(VLOOKUP(VLOOKUP(A2064,'Sales Order'!A:C,3,FALSE),Employee!A:J,10,FALSE),"Not Specified")</f>
        <v>0</v>
      </c>
      <c r="J2064" t="str">
        <f>VLOOKUP(B2064,Product!A:B,2,FALSE)</f>
        <v>Product TBTBL</v>
      </c>
      <c r="K2064" t="str">
        <f>VLOOKUP(VLOOKUP(B2064,Product!A:D,4,FALSE),Category!A:B,2,FALSE)</f>
        <v>Confections</v>
      </c>
      <c r="L2064" s="24">
        <f>IFERROR(VLOOKUP(A2064,'Sales Order'!A:D,4,FALSE),"")</f>
        <v>39562</v>
      </c>
      <c r="M2064" s="24">
        <f>IFERROR(VLOOKUP(A2064,'Sales Order'!A:F,6,FALSE),"")</f>
        <v>39568</v>
      </c>
      <c r="N2064" t="str">
        <f>IFERROR(VLOOKUP(VLOOKUP(A2064,'Sales Order'!A:G,7,FALSE),Shipper!A:B,2,FALSE),"Not Specified")</f>
        <v>Shipper ZHISN</v>
      </c>
      <c r="O2064" t="str">
        <f>IFERROR(VLOOKUP(A2064,'Sales Order'!A:I,9,FALSE),"Not Specified")</f>
        <v>Destination XJIBQ</v>
      </c>
      <c r="P2064" t="str">
        <f>IFERROR(VLOOKUP(A2064,'Sales Order'!A:N,14,FALSE),"Not Specified")</f>
        <v>Canada</v>
      </c>
      <c r="Q2064" t="str">
        <f>VLOOKUP(VLOOKUP(B2064,Product!A:C,3,FALSE),Supplier!A:B,2,FALSE)</f>
        <v>Supplier BWGYE</v>
      </c>
      <c r="R2064" t="str">
        <f>VLOOKUP(VLOOKUP(B2064,Product!A:C,3,FALSE),Supplier!A:I,9,FALSE)</f>
        <v>UK</v>
      </c>
      <c r="S2064" t="str">
        <f>IFERROR(IF(VLOOKUP(A2064,'Sales Order'!A:H,8,FALSE)&gt;100,"High Freight","Low Freight"),"Not Specified")</f>
        <v>Low Freight</v>
      </c>
      <c r="T2064">
        <f t="shared" si="65"/>
        <v>525</v>
      </c>
    </row>
    <row r="2065" spans="1:20">
      <c r="A2065" s="9">
        <v>11049</v>
      </c>
      <c r="B2065" s="6">
        <v>2</v>
      </c>
      <c r="C2065" s="6">
        <v>19</v>
      </c>
      <c r="D2065" s="6">
        <v>10</v>
      </c>
      <c r="E2065" s="18">
        <v>0.2</v>
      </c>
      <c r="F2065" s="6" t="str">
        <f>IFERROR(VLOOKUP(VLOOKUP(A2065,'Sales Order'!A:B,2,FALSE),Customer!A:C,3,FALSE),"Not Specified")</f>
        <v>Cheng, Yao-Qiang</v>
      </c>
      <c r="G2065" s="6" t="str">
        <f t="shared" si="64"/>
        <v>Cheng Yao-Qiang</v>
      </c>
      <c r="H2065" s="22" t="str">
        <f>IFERROR(VLOOKUP(VLOOKUP(A2065,'Sales Order'!A:C,3,FALSE),Employee!A:E,5,FALSE)&amp;" "&amp;VLOOKUP(VLOOKUP(A2065,'Sales Order'!A:C,3,FALSE),Employee!A:C,3,FALSE)&amp;" "&amp;VLOOKUP(VLOOKUP(A2065,'Sales Order'!A:C,3,FALSE),Employee!A:B,2,FALSE),"Not Specified")</f>
        <v>Ms. Judy Lew</v>
      </c>
      <c r="I2065" t="str">
        <f>IFERROR(VLOOKUP(VLOOKUP(A2065,'Sales Order'!A:C,3,FALSE),Employee!A:J,10,FALSE),"Not Specified")</f>
        <v>WA</v>
      </c>
      <c r="J2065" t="str">
        <f>VLOOKUP(B2065,Product!A:B,2,FALSE)</f>
        <v>Product RECZE</v>
      </c>
      <c r="K2065" t="str">
        <f>VLOOKUP(VLOOKUP(B2065,Product!A:D,4,FALSE),Category!A:B,2,FALSE)</f>
        <v>Beverages</v>
      </c>
      <c r="L2065" s="24">
        <f>IFERROR(VLOOKUP(A2065,'Sales Order'!A:D,4,FALSE),"")</f>
        <v>39562</v>
      </c>
      <c r="M2065" s="24">
        <f>IFERROR(VLOOKUP(A2065,'Sales Order'!A:F,6,FALSE),"")</f>
        <v>39572</v>
      </c>
      <c r="N2065" t="str">
        <f>IFERROR(VLOOKUP(VLOOKUP(A2065,'Sales Order'!A:G,7,FALSE),Shipper!A:B,2,FALSE),"Not Specified")</f>
        <v>Shipper GVSUA</v>
      </c>
      <c r="O2065" t="str">
        <f>IFERROR(VLOOKUP(A2065,'Sales Order'!A:I,9,FALSE),"Not Specified")</f>
        <v>Destination XOIGC</v>
      </c>
      <c r="P2065" t="str">
        <f>IFERROR(VLOOKUP(A2065,'Sales Order'!A:N,14,FALSE),"Not Specified")</f>
        <v>Brazil</v>
      </c>
      <c r="Q2065" t="str">
        <f>VLOOKUP(VLOOKUP(B2065,Product!A:C,3,FALSE),Supplier!A:B,2,FALSE)</f>
        <v>Supplier SWRXU</v>
      </c>
      <c r="R2065" t="str">
        <f>VLOOKUP(VLOOKUP(B2065,Product!A:C,3,FALSE),Supplier!A:I,9,FALSE)</f>
        <v>UK</v>
      </c>
      <c r="S2065" t="str">
        <f>IFERROR(IF(VLOOKUP(A2065,'Sales Order'!A:H,8,FALSE)&gt;100,"High Freight","Low Freight"),"Not Specified")</f>
        <v>Low Freight</v>
      </c>
      <c r="T2065">
        <f t="shared" si="65"/>
        <v>152</v>
      </c>
    </row>
    <row r="2066" spans="1:20">
      <c r="A2066" s="9">
        <v>11049</v>
      </c>
      <c r="B2066" s="6">
        <v>12</v>
      </c>
      <c r="C2066" s="6">
        <v>38</v>
      </c>
      <c r="D2066" s="6">
        <v>4</v>
      </c>
      <c r="E2066" s="18">
        <v>0.2</v>
      </c>
      <c r="F2066" s="6" t="str">
        <f>IFERROR(VLOOKUP(VLOOKUP(A2066,'Sales Order'!A:B,2,FALSE),Customer!A:C,3,FALSE),"Not Specified")</f>
        <v>Cheng, Yao-Qiang</v>
      </c>
      <c r="G2066" s="6" t="str">
        <f t="shared" si="64"/>
        <v>Cheng Yao-Qiang</v>
      </c>
      <c r="H2066" s="22" t="str">
        <f>IFERROR(VLOOKUP(VLOOKUP(A2066,'Sales Order'!A:C,3,FALSE),Employee!A:E,5,FALSE)&amp;" "&amp;VLOOKUP(VLOOKUP(A2066,'Sales Order'!A:C,3,FALSE),Employee!A:C,3,FALSE)&amp;" "&amp;VLOOKUP(VLOOKUP(A2066,'Sales Order'!A:C,3,FALSE),Employee!A:B,2,FALSE),"Not Specified")</f>
        <v>Ms. Judy Lew</v>
      </c>
      <c r="I2066" t="str">
        <f>IFERROR(VLOOKUP(VLOOKUP(A2066,'Sales Order'!A:C,3,FALSE),Employee!A:J,10,FALSE),"Not Specified")</f>
        <v>WA</v>
      </c>
      <c r="J2066" t="str">
        <f>VLOOKUP(B2066,Product!A:B,2,FALSE)</f>
        <v>Product OSFNS</v>
      </c>
      <c r="K2066" t="str">
        <f>VLOOKUP(VLOOKUP(B2066,Product!A:D,4,FALSE),Category!A:B,2,FALSE)</f>
        <v>Dairy Product</v>
      </c>
      <c r="L2066" s="24">
        <f>IFERROR(VLOOKUP(A2066,'Sales Order'!A:D,4,FALSE),"")</f>
        <v>39562</v>
      </c>
      <c r="M2066" s="24">
        <f>IFERROR(VLOOKUP(A2066,'Sales Order'!A:F,6,FALSE),"")</f>
        <v>39572</v>
      </c>
      <c r="N2066" t="str">
        <f>IFERROR(VLOOKUP(VLOOKUP(A2066,'Sales Order'!A:G,7,FALSE),Shipper!A:B,2,FALSE),"Not Specified")</f>
        <v>Shipper GVSUA</v>
      </c>
      <c r="O2066" t="str">
        <f>IFERROR(VLOOKUP(A2066,'Sales Order'!A:I,9,FALSE),"Not Specified")</f>
        <v>Destination XOIGC</v>
      </c>
      <c r="P2066" t="str">
        <f>IFERROR(VLOOKUP(A2066,'Sales Order'!A:N,14,FALSE),"Not Specified")</f>
        <v>Brazil</v>
      </c>
      <c r="Q2066" t="str">
        <f>VLOOKUP(VLOOKUP(B2066,Product!A:C,3,FALSE),Supplier!A:B,2,FALSE)</f>
        <v>Supplier EQPNC</v>
      </c>
      <c r="R2066" t="str">
        <f>VLOOKUP(VLOOKUP(B2066,Product!A:C,3,FALSE),Supplier!A:I,9,FALSE)</f>
        <v>Spain</v>
      </c>
      <c r="S2066" t="str">
        <f>IFERROR(IF(VLOOKUP(A2066,'Sales Order'!A:H,8,FALSE)&gt;100,"High Freight","Low Freight"),"Not Specified")</f>
        <v>Low Freight</v>
      </c>
      <c r="T2066">
        <f t="shared" si="65"/>
        <v>121.60000000000001</v>
      </c>
    </row>
    <row r="2067" spans="1:20">
      <c r="A2067" s="9">
        <v>11050</v>
      </c>
      <c r="B2067" s="6">
        <v>76</v>
      </c>
      <c r="C2067" s="6">
        <v>18</v>
      </c>
      <c r="D2067" s="6">
        <v>50</v>
      </c>
      <c r="E2067" s="18">
        <v>0.1</v>
      </c>
      <c r="F2067" s="6" t="str">
        <f>IFERROR(VLOOKUP(VLOOKUP(A2067,'Sales Order'!A:B,2,FALSE),Customer!A:C,3,FALSE),"Not Specified")</f>
        <v>San Juan, Patricia</v>
      </c>
      <c r="G2067" s="6" t="str">
        <f t="shared" si="64"/>
        <v>San Juan Patricia</v>
      </c>
      <c r="H2067" s="22" t="str">
        <f>IFERROR(VLOOKUP(VLOOKUP(A2067,'Sales Order'!A:C,3,FALSE),Employee!A:E,5,FALSE)&amp;" "&amp;VLOOKUP(VLOOKUP(A2067,'Sales Order'!A:C,3,FALSE),Employee!A:C,3,FALSE)&amp;" "&amp;VLOOKUP(VLOOKUP(A2067,'Sales Order'!A:C,3,FALSE),Employee!A:B,2,FALSE),"Not Specified")</f>
        <v>Ms. Maria Cameron</v>
      </c>
      <c r="I2067" t="str">
        <f>IFERROR(VLOOKUP(VLOOKUP(A2067,'Sales Order'!A:C,3,FALSE),Employee!A:J,10,FALSE),"Not Specified")</f>
        <v>WA</v>
      </c>
      <c r="J2067" t="str">
        <f>VLOOKUP(B2067,Product!A:B,2,FALSE)</f>
        <v>Product JYGFE</v>
      </c>
      <c r="K2067" t="str">
        <f>VLOOKUP(VLOOKUP(B2067,Product!A:D,4,FALSE),Category!A:B,2,FALSE)</f>
        <v>Beverages</v>
      </c>
      <c r="L2067" s="24">
        <f>IFERROR(VLOOKUP(A2067,'Sales Order'!A:D,4,FALSE),"")</f>
        <v>39565</v>
      </c>
      <c r="M2067" s="24">
        <f>IFERROR(VLOOKUP(A2067,'Sales Order'!A:F,6,FALSE),"")</f>
        <v>39573</v>
      </c>
      <c r="N2067" t="str">
        <f>IFERROR(VLOOKUP(VLOOKUP(A2067,'Sales Order'!A:G,7,FALSE),Shipper!A:B,2,FALSE),"Not Specified")</f>
        <v>Shipper ETYNR</v>
      </c>
      <c r="O2067" t="str">
        <f>IFERROR(VLOOKUP(A2067,'Sales Order'!A:I,9,FALSE),"Not Specified")</f>
        <v>Destination YCMPK</v>
      </c>
      <c r="P2067" t="str">
        <f>IFERROR(VLOOKUP(A2067,'Sales Order'!A:N,14,FALSE),"Not Specified")</f>
        <v>Sweden</v>
      </c>
      <c r="Q2067" t="str">
        <f>VLOOKUP(VLOOKUP(B2067,Product!A:C,3,FALSE),Supplier!A:B,2,FALSE)</f>
        <v>Supplier ELCRN</v>
      </c>
      <c r="R2067" t="str">
        <f>VLOOKUP(VLOOKUP(B2067,Product!A:C,3,FALSE),Supplier!A:I,9,FALSE)</f>
        <v>Finland</v>
      </c>
      <c r="S2067" t="str">
        <f>IFERROR(IF(VLOOKUP(A2067,'Sales Order'!A:H,8,FALSE)&gt;100,"High Freight","Low Freight"),"Not Specified")</f>
        <v>Low Freight</v>
      </c>
      <c r="T2067">
        <f t="shared" si="65"/>
        <v>810</v>
      </c>
    </row>
    <row r="2068" spans="1:20">
      <c r="A2068" s="9">
        <v>11051</v>
      </c>
      <c r="B2068" s="6">
        <v>24</v>
      </c>
      <c r="C2068" s="6">
        <v>4.5</v>
      </c>
      <c r="D2068" s="6">
        <v>10</v>
      </c>
      <c r="E2068" s="18">
        <v>0.2</v>
      </c>
      <c r="F2068" s="6" t="str">
        <f>IFERROR(VLOOKUP(VLOOKUP(A2068,'Sales Order'!A:B,2,FALSE),Customer!A:C,3,FALSE),"Not Specified")</f>
        <v>Litton, Tim</v>
      </c>
      <c r="G2068" s="6" t="str">
        <f t="shared" si="64"/>
        <v>Litton Tim</v>
      </c>
      <c r="H2068" s="22" t="str">
        <f>IFERROR(VLOOKUP(VLOOKUP(A2068,'Sales Order'!A:C,3,FALSE),Employee!A:E,5,FALSE)&amp;" "&amp;VLOOKUP(VLOOKUP(A2068,'Sales Order'!A:C,3,FALSE),Employee!A:C,3,FALSE)&amp;" "&amp;VLOOKUP(VLOOKUP(A2068,'Sales Order'!A:C,3,FALSE),Employee!A:B,2,FALSE),"Not Specified")</f>
        <v>Mr. Russell King</v>
      </c>
      <c r="I2068">
        <f>IFERROR(VLOOKUP(VLOOKUP(A2068,'Sales Order'!A:C,3,FALSE),Employee!A:J,10,FALSE),"Not Specified")</f>
        <v>0</v>
      </c>
      <c r="J2068" t="str">
        <f>VLOOKUP(B2068,Product!A:B,2,FALSE)</f>
        <v>Product QOGNU</v>
      </c>
      <c r="K2068" t="str">
        <f>VLOOKUP(VLOOKUP(B2068,Product!A:D,4,FALSE),Category!A:B,2,FALSE)</f>
        <v>Beverages</v>
      </c>
      <c r="L2068" s="24">
        <f>IFERROR(VLOOKUP(A2068,'Sales Order'!A:D,4,FALSE),"")</f>
        <v>39565</v>
      </c>
      <c r="M2068" s="24">
        <f>IFERROR(VLOOKUP(A2068,'Sales Order'!A:F,6,FALSE),"")</f>
        <v>0</v>
      </c>
      <c r="N2068" t="str">
        <f>IFERROR(VLOOKUP(VLOOKUP(A2068,'Sales Order'!A:G,7,FALSE),Shipper!A:B,2,FALSE),"Not Specified")</f>
        <v>Shipper ZHISN</v>
      </c>
      <c r="O2068" t="str">
        <f>IFERROR(VLOOKUP(A2068,'Sales Order'!A:I,9,FALSE),"Not Specified")</f>
        <v>Destination OLJND</v>
      </c>
      <c r="P2068" t="str">
        <f>IFERROR(VLOOKUP(A2068,'Sales Order'!A:N,14,FALSE),"Not Specified")</f>
        <v>France</v>
      </c>
      <c r="Q2068" t="str">
        <f>VLOOKUP(VLOOKUP(B2068,Product!A:C,3,FALSE),Supplier!A:B,2,FALSE)</f>
        <v>Supplier UNAHG</v>
      </c>
      <c r="R2068" t="str">
        <f>VLOOKUP(VLOOKUP(B2068,Product!A:C,3,FALSE),Supplier!A:I,9,FALSE)</f>
        <v>Brazil</v>
      </c>
      <c r="S2068" t="str">
        <f>IFERROR(IF(VLOOKUP(A2068,'Sales Order'!A:H,8,FALSE)&gt;100,"High Freight","Low Freight"),"Not Specified")</f>
        <v>Low Freight</v>
      </c>
      <c r="T2068">
        <f t="shared" si="65"/>
        <v>36</v>
      </c>
    </row>
    <row r="2069" spans="1:20">
      <c r="A2069" s="9">
        <v>11052</v>
      </c>
      <c r="B2069" s="6">
        <v>43</v>
      </c>
      <c r="C2069" s="6">
        <v>46</v>
      </c>
      <c r="D2069" s="6">
        <v>30</v>
      </c>
      <c r="E2069" s="18">
        <v>0.2</v>
      </c>
      <c r="F2069" s="6" t="str">
        <f>IFERROR(VLOOKUP(VLOOKUP(A2069,'Sales Order'!A:B,2,FALSE),Customer!A:C,3,FALSE),"Not Specified")</f>
        <v>Cohen, Shy</v>
      </c>
      <c r="G2069" s="6" t="str">
        <f t="shared" si="64"/>
        <v>Cohen Shy</v>
      </c>
      <c r="H2069" s="22" t="str">
        <f>IFERROR(VLOOKUP(VLOOKUP(A2069,'Sales Order'!A:C,3,FALSE),Employee!A:E,5,FALSE)&amp;" "&amp;VLOOKUP(VLOOKUP(A2069,'Sales Order'!A:C,3,FALSE),Employee!A:C,3,FALSE)&amp;" "&amp;VLOOKUP(VLOOKUP(A2069,'Sales Order'!A:C,3,FALSE),Employee!A:B,2,FALSE),"Not Specified")</f>
        <v>Ms. Judy Lew</v>
      </c>
      <c r="I2069" t="str">
        <f>IFERROR(VLOOKUP(VLOOKUP(A2069,'Sales Order'!A:C,3,FALSE),Employee!A:J,10,FALSE),"Not Specified")</f>
        <v>WA</v>
      </c>
      <c r="J2069" t="str">
        <f>VLOOKUP(B2069,Product!A:B,2,FALSE)</f>
        <v>Product ZZZHR</v>
      </c>
      <c r="K2069" t="str">
        <f>VLOOKUP(VLOOKUP(B2069,Product!A:D,4,FALSE),Category!A:B,2,FALSE)</f>
        <v>Beverages</v>
      </c>
      <c r="L2069" s="24">
        <f>IFERROR(VLOOKUP(A2069,'Sales Order'!A:D,4,FALSE),"")</f>
        <v>39565</v>
      </c>
      <c r="M2069" s="24">
        <f>IFERROR(VLOOKUP(A2069,'Sales Order'!A:F,6,FALSE),"")</f>
        <v>39569</v>
      </c>
      <c r="N2069" t="str">
        <f>IFERROR(VLOOKUP(VLOOKUP(A2069,'Sales Order'!A:G,7,FALSE),Shipper!A:B,2,FALSE),"Not Specified")</f>
        <v>Shipper GVSUA</v>
      </c>
      <c r="O2069" t="str">
        <f>IFERROR(VLOOKUP(A2069,'Sales Order'!A:I,9,FALSE),"Not Specified")</f>
        <v>Destination DPCVR</v>
      </c>
      <c r="P2069" t="str">
        <f>IFERROR(VLOOKUP(A2069,'Sales Order'!A:N,14,FALSE),"Not Specified")</f>
        <v>Brazil</v>
      </c>
      <c r="Q2069" t="str">
        <f>VLOOKUP(VLOOKUP(B2069,Product!A:C,3,FALSE),Supplier!A:B,2,FALSE)</f>
        <v>Supplier CIYNM</v>
      </c>
      <c r="R2069" t="str">
        <f>VLOOKUP(VLOOKUP(B2069,Product!A:C,3,FALSE),Supplier!A:I,9,FALSE)</f>
        <v>Singapore</v>
      </c>
      <c r="S2069" t="str">
        <f>IFERROR(IF(VLOOKUP(A2069,'Sales Order'!A:H,8,FALSE)&gt;100,"High Freight","Low Freight"),"Not Specified")</f>
        <v>Low Freight</v>
      </c>
      <c r="T2069">
        <f t="shared" si="65"/>
        <v>1104</v>
      </c>
    </row>
    <row r="2070" spans="1:20">
      <c r="A2070" s="9">
        <v>11052</v>
      </c>
      <c r="B2070" s="6">
        <v>61</v>
      </c>
      <c r="C2070" s="6">
        <v>28.5</v>
      </c>
      <c r="D2070" s="6">
        <v>10</v>
      </c>
      <c r="E2070" s="18">
        <v>0.2</v>
      </c>
      <c r="F2070" s="6" t="str">
        <f>IFERROR(VLOOKUP(VLOOKUP(A2070,'Sales Order'!A:B,2,FALSE),Customer!A:C,3,FALSE),"Not Specified")</f>
        <v>Cohen, Shy</v>
      </c>
      <c r="G2070" s="6" t="str">
        <f t="shared" si="64"/>
        <v>Cohen Shy</v>
      </c>
      <c r="H2070" s="22" t="str">
        <f>IFERROR(VLOOKUP(VLOOKUP(A2070,'Sales Order'!A:C,3,FALSE),Employee!A:E,5,FALSE)&amp;" "&amp;VLOOKUP(VLOOKUP(A2070,'Sales Order'!A:C,3,FALSE),Employee!A:C,3,FALSE)&amp;" "&amp;VLOOKUP(VLOOKUP(A2070,'Sales Order'!A:C,3,FALSE),Employee!A:B,2,FALSE),"Not Specified")</f>
        <v>Ms. Judy Lew</v>
      </c>
      <c r="I2070" t="str">
        <f>IFERROR(VLOOKUP(VLOOKUP(A2070,'Sales Order'!A:C,3,FALSE),Employee!A:J,10,FALSE),"Not Specified")</f>
        <v>WA</v>
      </c>
      <c r="J2070" t="str">
        <f>VLOOKUP(B2070,Product!A:B,2,FALSE)</f>
        <v>Product XYZPE</v>
      </c>
      <c r="K2070" t="str">
        <f>VLOOKUP(VLOOKUP(B2070,Product!A:D,4,FALSE),Category!A:B,2,FALSE)</f>
        <v>Condiments</v>
      </c>
      <c r="L2070" s="24">
        <f>IFERROR(VLOOKUP(A2070,'Sales Order'!A:D,4,FALSE),"")</f>
        <v>39565</v>
      </c>
      <c r="M2070" s="24">
        <f>IFERROR(VLOOKUP(A2070,'Sales Order'!A:F,6,FALSE),"")</f>
        <v>39569</v>
      </c>
      <c r="N2070" t="str">
        <f>IFERROR(VLOOKUP(VLOOKUP(A2070,'Sales Order'!A:G,7,FALSE),Shipper!A:B,2,FALSE),"Not Specified")</f>
        <v>Shipper GVSUA</v>
      </c>
      <c r="O2070" t="str">
        <f>IFERROR(VLOOKUP(A2070,'Sales Order'!A:I,9,FALSE),"Not Specified")</f>
        <v>Destination DPCVR</v>
      </c>
      <c r="P2070" t="str">
        <f>IFERROR(VLOOKUP(A2070,'Sales Order'!A:N,14,FALSE),"Not Specified")</f>
        <v>Brazil</v>
      </c>
      <c r="Q2070" t="str">
        <f>VLOOKUP(VLOOKUP(B2070,Product!A:C,3,FALSE),Supplier!A:B,2,FALSE)</f>
        <v>Supplier OGLRK</v>
      </c>
      <c r="R2070" t="str">
        <f>VLOOKUP(VLOOKUP(B2070,Product!A:C,3,FALSE),Supplier!A:I,9,FALSE)</f>
        <v>Canada</v>
      </c>
      <c r="S2070" t="str">
        <f>IFERROR(IF(VLOOKUP(A2070,'Sales Order'!A:H,8,FALSE)&gt;100,"High Freight","Low Freight"),"Not Specified")</f>
        <v>Low Freight</v>
      </c>
      <c r="T2070">
        <f t="shared" si="65"/>
        <v>228</v>
      </c>
    </row>
    <row r="2071" spans="1:20">
      <c r="A2071" s="9">
        <v>11053</v>
      </c>
      <c r="B2071" s="6">
        <v>18</v>
      </c>
      <c r="C2071" s="6">
        <v>62.5</v>
      </c>
      <c r="D2071" s="6">
        <v>35</v>
      </c>
      <c r="E2071" s="18">
        <v>0.2</v>
      </c>
      <c r="F2071" s="6" t="str">
        <f>IFERROR(VLOOKUP(VLOOKUP(A2071,'Sales Order'!A:B,2,FALSE),Customer!A:C,3,FALSE),"Not Specified")</f>
        <v>Meston, Tosh</v>
      </c>
      <c r="G2071" s="6" t="str">
        <f t="shared" si="64"/>
        <v>Meston Tosh</v>
      </c>
      <c r="H2071" s="22" t="str">
        <f>IFERROR(VLOOKUP(VLOOKUP(A2071,'Sales Order'!A:C,3,FALSE),Employee!A:E,5,FALSE)&amp;" "&amp;VLOOKUP(VLOOKUP(A2071,'Sales Order'!A:C,3,FALSE),Employee!A:C,3,FALSE)&amp;" "&amp;VLOOKUP(VLOOKUP(A2071,'Sales Order'!A:C,3,FALSE),Employee!A:B,2,FALSE),"Not Specified")</f>
        <v>Dr. Don Funk</v>
      </c>
      <c r="I2071" t="str">
        <f>IFERROR(VLOOKUP(VLOOKUP(A2071,'Sales Order'!A:C,3,FALSE),Employee!A:J,10,FALSE),"Not Specified")</f>
        <v>WA</v>
      </c>
      <c r="J2071" t="str">
        <f>VLOOKUP(B2071,Product!A:B,2,FALSE)</f>
        <v>Product CKEDC</v>
      </c>
      <c r="K2071" t="str">
        <f>VLOOKUP(VLOOKUP(B2071,Product!A:D,4,FALSE),Category!A:B,2,FALSE)</f>
        <v>Seafood</v>
      </c>
      <c r="L2071" s="24">
        <f>IFERROR(VLOOKUP(A2071,'Sales Order'!A:D,4,FALSE),"")</f>
        <v>39565</v>
      </c>
      <c r="M2071" s="24">
        <f>IFERROR(VLOOKUP(A2071,'Sales Order'!A:F,6,FALSE),"")</f>
        <v>39567</v>
      </c>
      <c r="N2071" t="str">
        <f>IFERROR(VLOOKUP(VLOOKUP(A2071,'Sales Order'!A:G,7,FALSE),Shipper!A:B,2,FALSE),"Not Specified")</f>
        <v>Shipper ETYNR</v>
      </c>
      <c r="O2071" t="str">
        <f>IFERROR(VLOOKUP(A2071,'Sales Order'!A:I,9,FALSE),"Not Specified")</f>
        <v>Ship to 59-A</v>
      </c>
      <c r="P2071" t="str">
        <f>IFERROR(VLOOKUP(A2071,'Sales Order'!A:N,14,FALSE),"Not Specified")</f>
        <v>Austria</v>
      </c>
      <c r="Q2071" t="str">
        <f>VLOOKUP(VLOOKUP(B2071,Product!A:C,3,FALSE),Supplier!A:B,2,FALSE)</f>
        <v>Supplier GQRCV</v>
      </c>
      <c r="R2071" t="str">
        <f>VLOOKUP(VLOOKUP(B2071,Product!A:C,3,FALSE),Supplier!A:I,9,FALSE)</f>
        <v>Australia</v>
      </c>
      <c r="S2071" t="str">
        <f>IFERROR(IF(VLOOKUP(A2071,'Sales Order'!A:H,8,FALSE)&gt;100,"High Freight","Low Freight"),"Not Specified")</f>
        <v>Low Freight</v>
      </c>
      <c r="T2071">
        <f t="shared" si="65"/>
        <v>1750</v>
      </c>
    </row>
    <row r="2072" spans="1:20">
      <c r="A2072" s="9">
        <v>11053</v>
      </c>
      <c r="B2072" s="6">
        <v>32</v>
      </c>
      <c r="C2072" s="6">
        <v>32</v>
      </c>
      <c r="D2072" s="6">
        <v>20</v>
      </c>
      <c r="E2072" s="18">
        <v>0</v>
      </c>
      <c r="F2072" s="6" t="str">
        <f>IFERROR(VLOOKUP(VLOOKUP(A2072,'Sales Order'!A:B,2,FALSE),Customer!A:C,3,FALSE),"Not Specified")</f>
        <v>Meston, Tosh</v>
      </c>
      <c r="G2072" s="6" t="str">
        <f t="shared" si="64"/>
        <v>Meston Tosh</v>
      </c>
      <c r="H2072" s="22" t="str">
        <f>IFERROR(VLOOKUP(VLOOKUP(A2072,'Sales Order'!A:C,3,FALSE),Employee!A:E,5,FALSE)&amp;" "&amp;VLOOKUP(VLOOKUP(A2072,'Sales Order'!A:C,3,FALSE),Employee!A:C,3,FALSE)&amp;" "&amp;VLOOKUP(VLOOKUP(A2072,'Sales Order'!A:C,3,FALSE),Employee!A:B,2,FALSE),"Not Specified")</f>
        <v>Dr. Don Funk</v>
      </c>
      <c r="I2072" t="str">
        <f>IFERROR(VLOOKUP(VLOOKUP(A2072,'Sales Order'!A:C,3,FALSE),Employee!A:J,10,FALSE),"Not Specified")</f>
        <v>WA</v>
      </c>
      <c r="J2072" t="str">
        <f>VLOOKUP(B2072,Product!A:B,2,FALSE)</f>
        <v>Product NUNAW</v>
      </c>
      <c r="K2072" t="str">
        <f>VLOOKUP(VLOOKUP(B2072,Product!A:D,4,FALSE),Category!A:B,2,FALSE)</f>
        <v>Dairy Product</v>
      </c>
      <c r="L2072" s="24">
        <f>IFERROR(VLOOKUP(A2072,'Sales Order'!A:D,4,FALSE),"")</f>
        <v>39565</v>
      </c>
      <c r="M2072" s="24">
        <f>IFERROR(VLOOKUP(A2072,'Sales Order'!A:F,6,FALSE),"")</f>
        <v>39567</v>
      </c>
      <c r="N2072" t="str">
        <f>IFERROR(VLOOKUP(VLOOKUP(A2072,'Sales Order'!A:G,7,FALSE),Shipper!A:B,2,FALSE),"Not Specified")</f>
        <v>Shipper ETYNR</v>
      </c>
      <c r="O2072" t="str">
        <f>IFERROR(VLOOKUP(A2072,'Sales Order'!A:I,9,FALSE),"Not Specified")</f>
        <v>Ship to 59-A</v>
      </c>
      <c r="P2072" t="str">
        <f>IFERROR(VLOOKUP(A2072,'Sales Order'!A:N,14,FALSE),"Not Specified")</f>
        <v>Austria</v>
      </c>
      <c r="Q2072" t="str">
        <f>VLOOKUP(VLOOKUP(B2072,Product!A:C,3,FALSE),Supplier!A:B,2,FALSE)</f>
        <v>Supplier KEREV</v>
      </c>
      <c r="R2072" t="str">
        <f>VLOOKUP(VLOOKUP(B2072,Product!A:C,3,FALSE),Supplier!A:I,9,FALSE)</f>
        <v>Italy</v>
      </c>
      <c r="S2072" t="str">
        <f>IFERROR(IF(VLOOKUP(A2072,'Sales Order'!A:H,8,FALSE)&gt;100,"High Freight","Low Freight"),"Not Specified")</f>
        <v>Low Freight</v>
      </c>
      <c r="T2072">
        <f t="shared" si="65"/>
        <v>640</v>
      </c>
    </row>
    <row r="2073" spans="1:20">
      <c r="A2073" s="9">
        <v>11053</v>
      </c>
      <c r="B2073" s="6">
        <v>64</v>
      </c>
      <c r="C2073" s="6">
        <v>33.25</v>
      </c>
      <c r="D2073" s="6">
        <v>25</v>
      </c>
      <c r="E2073" s="18">
        <v>0.2</v>
      </c>
      <c r="F2073" s="6" t="str">
        <f>IFERROR(VLOOKUP(VLOOKUP(A2073,'Sales Order'!A:B,2,FALSE),Customer!A:C,3,FALSE),"Not Specified")</f>
        <v>Meston, Tosh</v>
      </c>
      <c r="G2073" s="6" t="str">
        <f t="shared" si="64"/>
        <v>Meston Tosh</v>
      </c>
      <c r="H2073" s="22" t="str">
        <f>IFERROR(VLOOKUP(VLOOKUP(A2073,'Sales Order'!A:C,3,FALSE),Employee!A:E,5,FALSE)&amp;" "&amp;VLOOKUP(VLOOKUP(A2073,'Sales Order'!A:C,3,FALSE),Employee!A:C,3,FALSE)&amp;" "&amp;VLOOKUP(VLOOKUP(A2073,'Sales Order'!A:C,3,FALSE),Employee!A:B,2,FALSE),"Not Specified")</f>
        <v>Dr. Don Funk</v>
      </c>
      <c r="I2073" t="str">
        <f>IFERROR(VLOOKUP(VLOOKUP(A2073,'Sales Order'!A:C,3,FALSE),Employee!A:J,10,FALSE),"Not Specified")</f>
        <v>WA</v>
      </c>
      <c r="J2073" t="str">
        <f>VLOOKUP(B2073,Product!A:B,2,FALSE)</f>
        <v>Product HCQDE</v>
      </c>
      <c r="K2073" t="str">
        <f>VLOOKUP(VLOOKUP(B2073,Product!A:D,4,FALSE),Category!A:B,2,FALSE)</f>
        <v>Grains/Cereals</v>
      </c>
      <c r="L2073" s="24">
        <f>IFERROR(VLOOKUP(A2073,'Sales Order'!A:D,4,FALSE),"")</f>
        <v>39565</v>
      </c>
      <c r="M2073" s="24">
        <f>IFERROR(VLOOKUP(A2073,'Sales Order'!A:F,6,FALSE),"")</f>
        <v>39567</v>
      </c>
      <c r="N2073" t="str">
        <f>IFERROR(VLOOKUP(VLOOKUP(A2073,'Sales Order'!A:G,7,FALSE),Shipper!A:B,2,FALSE),"Not Specified")</f>
        <v>Shipper ETYNR</v>
      </c>
      <c r="O2073" t="str">
        <f>IFERROR(VLOOKUP(A2073,'Sales Order'!A:I,9,FALSE),"Not Specified")</f>
        <v>Ship to 59-A</v>
      </c>
      <c r="P2073" t="str">
        <f>IFERROR(VLOOKUP(A2073,'Sales Order'!A:N,14,FALSE),"Not Specified")</f>
        <v>Austria</v>
      </c>
      <c r="Q2073" t="str">
        <f>VLOOKUP(VLOOKUP(B2073,Product!A:C,3,FALSE),Supplier!A:B,2,FALSE)</f>
        <v>Supplier SVIYA</v>
      </c>
      <c r="R2073" t="str">
        <f>VLOOKUP(VLOOKUP(B2073,Product!A:C,3,FALSE),Supplier!A:I,9,FALSE)</f>
        <v>Germany</v>
      </c>
      <c r="S2073" t="str">
        <f>IFERROR(IF(VLOOKUP(A2073,'Sales Order'!A:H,8,FALSE)&gt;100,"High Freight","Low Freight"),"Not Specified")</f>
        <v>Low Freight</v>
      </c>
      <c r="T2073">
        <f t="shared" si="65"/>
        <v>665</v>
      </c>
    </row>
    <row r="2074" spans="1:20">
      <c r="A2074" s="9">
        <v>11054</v>
      </c>
      <c r="B2074" s="6">
        <v>33</v>
      </c>
      <c r="C2074" s="6">
        <v>2.5</v>
      </c>
      <c r="D2074" s="6">
        <v>10</v>
      </c>
      <c r="E2074" s="18">
        <v>0</v>
      </c>
      <c r="F2074" s="6" t="str">
        <f>IFERROR(VLOOKUP(VLOOKUP(A2074,'Sales Order'!A:B,2,FALSE),Customer!A:C,3,FALSE),"Not Specified")</f>
        <v>Ray, Mike</v>
      </c>
      <c r="G2074" s="6" t="str">
        <f t="shared" si="64"/>
        <v>Ray Mike</v>
      </c>
      <c r="H2074" s="22" t="str">
        <f>IFERROR(VLOOKUP(VLOOKUP(A2074,'Sales Order'!A:C,3,FALSE),Employee!A:E,5,FALSE)&amp;" "&amp;VLOOKUP(VLOOKUP(A2074,'Sales Order'!A:C,3,FALSE),Employee!A:C,3,FALSE)&amp;" "&amp;VLOOKUP(VLOOKUP(A2074,'Sales Order'!A:C,3,FALSE),Employee!A:B,2,FALSE),"Not Specified")</f>
        <v>Ms. Maria Cameron</v>
      </c>
      <c r="I2074" t="str">
        <f>IFERROR(VLOOKUP(VLOOKUP(A2074,'Sales Order'!A:C,3,FALSE),Employee!A:J,10,FALSE),"Not Specified")</f>
        <v>WA</v>
      </c>
      <c r="J2074" t="str">
        <f>VLOOKUP(B2074,Product!A:B,2,FALSE)</f>
        <v>Product ASTMN</v>
      </c>
      <c r="K2074" t="str">
        <f>VLOOKUP(VLOOKUP(B2074,Product!A:D,4,FALSE),Category!A:B,2,FALSE)</f>
        <v>Dairy Product</v>
      </c>
      <c r="L2074" s="24">
        <f>IFERROR(VLOOKUP(A2074,'Sales Order'!A:D,4,FALSE),"")</f>
        <v>39566</v>
      </c>
      <c r="M2074" s="24">
        <f>IFERROR(VLOOKUP(A2074,'Sales Order'!A:F,6,FALSE),"")</f>
        <v>0</v>
      </c>
      <c r="N2074" t="str">
        <f>IFERROR(VLOOKUP(VLOOKUP(A2074,'Sales Order'!A:G,7,FALSE),Shipper!A:B,2,FALSE),"Not Specified")</f>
        <v>Shipper GVSUA</v>
      </c>
      <c r="O2074" t="str">
        <f>IFERROR(VLOOKUP(A2074,'Sales Order'!A:I,9,FALSE),"Not Specified")</f>
        <v>Destination QTHBC</v>
      </c>
      <c r="P2074" t="str">
        <f>IFERROR(VLOOKUP(A2074,'Sales Order'!A:N,14,FALSE),"Not Specified")</f>
        <v>Argentina</v>
      </c>
      <c r="Q2074" t="str">
        <f>VLOOKUP(VLOOKUP(B2074,Product!A:C,3,FALSE),Supplier!A:B,2,FALSE)</f>
        <v>Supplier NZLIF</v>
      </c>
      <c r="R2074" t="str">
        <f>VLOOKUP(VLOOKUP(B2074,Product!A:C,3,FALSE),Supplier!A:I,9,FALSE)</f>
        <v>Norway</v>
      </c>
      <c r="S2074" t="str">
        <f>IFERROR(IF(VLOOKUP(A2074,'Sales Order'!A:H,8,FALSE)&gt;100,"High Freight","Low Freight"),"Not Specified")</f>
        <v>Low Freight</v>
      </c>
      <c r="T2074">
        <f t="shared" si="65"/>
        <v>25</v>
      </c>
    </row>
    <row r="2075" spans="1:20">
      <c r="A2075" s="9">
        <v>11054</v>
      </c>
      <c r="B2075" s="6">
        <v>67</v>
      </c>
      <c r="C2075" s="6">
        <v>14</v>
      </c>
      <c r="D2075" s="6">
        <v>20</v>
      </c>
      <c r="E2075" s="18">
        <v>0</v>
      </c>
      <c r="F2075" s="6" t="str">
        <f>IFERROR(VLOOKUP(VLOOKUP(A2075,'Sales Order'!A:B,2,FALSE),Customer!A:C,3,FALSE),"Not Specified")</f>
        <v>Ray, Mike</v>
      </c>
      <c r="G2075" s="6" t="str">
        <f t="shared" si="64"/>
        <v>Ray Mike</v>
      </c>
      <c r="H2075" s="22" t="str">
        <f>IFERROR(VLOOKUP(VLOOKUP(A2075,'Sales Order'!A:C,3,FALSE),Employee!A:E,5,FALSE)&amp;" "&amp;VLOOKUP(VLOOKUP(A2075,'Sales Order'!A:C,3,FALSE),Employee!A:C,3,FALSE)&amp;" "&amp;VLOOKUP(VLOOKUP(A2075,'Sales Order'!A:C,3,FALSE),Employee!A:B,2,FALSE),"Not Specified")</f>
        <v>Ms. Maria Cameron</v>
      </c>
      <c r="I2075" t="str">
        <f>IFERROR(VLOOKUP(VLOOKUP(A2075,'Sales Order'!A:C,3,FALSE),Employee!A:J,10,FALSE),"Not Specified")</f>
        <v>WA</v>
      </c>
      <c r="J2075" t="str">
        <f>VLOOKUP(B2075,Product!A:B,2,FALSE)</f>
        <v>Product XLXQF</v>
      </c>
      <c r="K2075" t="str">
        <f>VLOOKUP(VLOOKUP(B2075,Product!A:D,4,FALSE),Category!A:B,2,FALSE)</f>
        <v>Beverages</v>
      </c>
      <c r="L2075" s="24">
        <f>IFERROR(VLOOKUP(A2075,'Sales Order'!A:D,4,FALSE),"")</f>
        <v>39566</v>
      </c>
      <c r="M2075" s="24">
        <f>IFERROR(VLOOKUP(A2075,'Sales Order'!A:F,6,FALSE),"")</f>
        <v>0</v>
      </c>
      <c r="N2075" t="str">
        <f>IFERROR(VLOOKUP(VLOOKUP(A2075,'Sales Order'!A:G,7,FALSE),Shipper!A:B,2,FALSE),"Not Specified")</f>
        <v>Shipper GVSUA</v>
      </c>
      <c r="O2075" t="str">
        <f>IFERROR(VLOOKUP(A2075,'Sales Order'!A:I,9,FALSE),"Not Specified")</f>
        <v>Destination QTHBC</v>
      </c>
      <c r="P2075" t="str">
        <f>IFERROR(VLOOKUP(A2075,'Sales Order'!A:N,14,FALSE),"Not Specified")</f>
        <v>Argentina</v>
      </c>
      <c r="Q2075" t="str">
        <f>VLOOKUP(VLOOKUP(B2075,Product!A:C,3,FALSE),Supplier!A:B,2,FALSE)</f>
        <v>Supplier UHZRG</v>
      </c>
      <c r="R2075" t="str">
        <f>VLOOKUP(VLOOKUP(B2075,Product!A:C,3,FALSE),Supplier!A:I,9,FALSE)</f>
        <v>USA</v>
      </c>
      <c r="S2075" t="str">
        <f>IFERROR(IF(VLOOKUP(A2075,'Sales Order'!A:H,8,FALSE)&gt;100,"High Freight","Low Freight"),"Not Specified")</f>
        <v>Low Freight</v>
      </c>
      <c r="T2075">
        <f t="shared" si="65"/>
        <v>280</v>
      </c>
    </row>
    <row r="2076" spans="1:20">
      <c r="A2076" s="9">
        <v>11055</v>
      </c>
      <c r="B2076" s="6">
        <v>24</v>
      </c>
      <c r="C2076" s="6">
        <v>4.5</v>
      </c>
      <c r="D2076" s="6">
        <v>15</v>
      </c>
      <c r="E2076" s="18">
        <v>0</v>
      </c>
      <c r="F2076" s="6" t="str">
        <f>IFERROR(VLOOKUP(VLOOKUP(A2076,'Sales Order'!A:B,2,FALSE),Customer!A:C,3,FALSE),"Not Specified")</f>
        <v>Langohr, Kris</v>
      </c>
      <c r="G2076" s="6" t="str">
        <f t="shared" si="64"/>
        <v>Langohr Kris</v>
      </c>
      <c r="H2076" s="22" t="str">
        <f>IFERROR(VLOOKUP(VLOOKUP(A2076,'Sales Order'!A:C,3,FALSE),Employee!A:E,5,FALSE)&amp;" "&amp;VLOOKUP(VLOOKUP(A2076,'Sales Order'!A:C,3,FALSE),Employee!A:C,3,FALSE)&amp;" "&amp;VLOOKUP(VLOOKUP(A2076,'Sales Order'!A:C,3,FALSE),Employee!A:B,2,FALSE),"Not Specified")</f>
        <v>Mr. Russell King</v>
      </c>
      <c r="I2076">
        <f>IFERROR(VLOOKUP(VLOOKUP(A2076,'Sales Order'!A:C,3,FALSE),Employee!A:J,10,FALSE),"Not Specified")</f>
        <v>0</v>
      </c>
      <c r="J2076" t="str">
        <f>VLOOKUP(B2076,Product!A:B,2,FALSE)</f>
        <v>Product QOGNU</v>
      </c>
      <c r="K2076" t="str">
        <f>VLOOKUP(VLOOKUP(B2076,Product!A:D,4,FALSE),Category!A:B,2,FALSE)</f>
        <v>Beverages</v>
      </c>
      <c r="L2076" s="24">
        <f>IFERROR(VLOOKUP(A2076,'Sales Order'!A:D,4,FALSE),"")</f>
        <v>39566</v>
      </c>
      <c r="M2076" s="24">
        <f>IFERROR(VLOOKUP(A2076,'Sales Order'!A:F,6,FALSE),"")</f>
        <v>39573</v>
      </c>
      <c r="N2076" t="str">
        <f>IFERROR(VLOOKUP(VLOOKUP(A2076,'Sales Order'!A:G,7,FALSE),Shipper!A:B,2,FALSE),"Not Specified")</f>
        <v>Shipper ETYNR</v>
      </c>
      <c r="O2076" t="str">
        <f>IFERROR(VLOOKUP(A2076,'Sales Order'!A:I,9,FALSE),"Not Specified")</f>
        <v>Destination JYDLM</v>
      </c>
      <c r="P2076" t="str">
        <f>IFERROR(VLOOKUP(A2076,'Sales Order'!A:N,14,FALSE),"Not Specified")</f>
        <v>Venezuela</v>
      </c>
      <c r="Q2076" t="str">
        <f>VLOOKUP(VLOOKUP(B2076,Product!A:C,3,FALSE),Supplier!A:B,2,FALSE)</f>
        <v>Supplier UNAHG</v>
      </c>
      <c r="R2076" t="str">
        <f>VLOOKUP(VLOOKUP(B2076,Product!A:C,3,FALSE),Supplier!A:I,9,FALSE)</f>
        <v>Brazil</v>
      </c>
      <c r="S2076" t="str">
        <f>IFERROR(IF(VLOOKUP(A2076,'Sales Order'!A:H,8,FALSE)&gt;100,"High Freight","Low Freight"),"Not Specified")</f>
        <v>High Freight</v>
      </c>
      <c r="T2076">
        <f t="shared" si="65"/>
        <v>67.5</v>
      </c>
    </row>
    <row r="2077" spans="1:20">
      <c r="A2077" s="9">
        <v>11055</v>
      </c>
      <c r="B2077" s="6">
        <v>25</v>
      </c>
      <c r="C2077" s="6">
        <v>14</v>
      </c>
      <c r="D2077" s="6">
        <v>15</v>
      </c>
      <c r="E2077" s="18">
        <v>0</v>
      </c>
      <c r="F2077" s="6" t="str">
        <f>IFERROR(VLOOKUP(VLOOKUP(A2077,'Sales Order'!A:B,2,FALSE),Customer!A:C,3,FALSE),"Not Specified")</f>
        <v>Langohr, Kris</v>
      </c>
      <c r="G2077" s="6" t="str">
        <f t="shared" si="64"/>
        <v>Langohr Kris</v>
      </c>
      <c r="H2077" s="22" t="str">
        <f>IFERROR(VLOOKUP(VLOOKUP(A2077,'Sales Order'!A:C,3,FALSE),Employee!A:E,5,FALSE)&amp;" "&amp;VLOOKUP(VLOOKUP(A2077,'Sales Order'!A:C,3,FALSE),Employee!A:C,3,FALSE)&amp;" "&amp;VLOOKUP(VLOOKUP(A2077,'Sales Order'!A:C,3,FALSE),Employee!A:B,2,FALSE),"Not Specified")</f>
        <v>Mr. Russell King</v>
      </c>
      <c r="I2077">
        <f>IFERROR(VLOOKUP(VLOOKUP(A2077,'Sales Order'!A:C,3,FALSE),Employee!A:J,10,FALSE),"Not Specified")</f>
        <v>0</v>
      </c>
      <c r="J2077" t="str">
        <f>VLOOKUP(B2077,Product!A:B,2,FALSE)</f>
        <v>Product LYLNI</v>
      </c>
      <c r="K2077" t="str">
        <f>VLOOKUP(VLOOKUP(B2077,Product!A:D,4,FALSE),Category!A:B,2,FALSE)</f>
        <v>Confections</v>
      </c>
      <c r="L2077" s="24">
        <f>IFERROR(VLOOKUP(A2077,'Sales Order'!A:D,4,FALSE),"")</f>
        <v>39566</v>
      </c>
      <c r="M2077" s="24">
        <f>IFERROR(VLOOKUP(A2077,'Sales Order'!A:F,6,FALSE),"")</f>
        <v>39573</v>
      </c>
      <c r="N2077" t="str">
        <f>IFERROR(VLOOKUP(VLOOKUP(A2077,'Sales Order'!A:G,7,FALSE),Shipper!A:B,2,FALSE),"Not Specified")</f>
        <v>Shipper ETYNR</v>
      </c>
      <c r="O2077" t="str">
        <f>IFERROR(VLOOKUP(A2077,'Sales Order'!A:I,9,FALSE),"Not Specified")</f>
        <v>Destination JYDLM</v>
      </c>
      <c r="P2077" t="str">
        <f>IFERROR(VLOOKUP(A2077,'Sales Order'!A:N,14,FALSE),"Not Specified")</f>
        <v>Venezuela</v>
      </c>
      <c r="Q2077" t="str">
        <f>VLOOKUP(VLOOKUP(B2077,Product!A:C,3,FALSE),Supplier!A:B,2,FALSE)</f>
        <v>Supplier ZPYVS</v>
      </c>
      <c r="R2077" t="str">
        <f>VLOOKUP(VLOOKUP(B2077,Product!A:C,3,FALSE),Supplier!A:I,9,FALSE)</f>
        <v>Germany</v>
      </c>
      <c r="S2077" t="str">
        <f>IFERROR(IF(VLOOKUP(A2077,'Sales Order'!A:H,8,FALSE)&gt;100,"High Freight","Low Freight"),"Not Specified")</f>
        <v>High Freight</v>
      </c>
      <c r="T2077">
        <f t="shared" si="65"/>
        <v>210</v>
      </c>
    </row>
    <row r="2078" spans="1:20">
      <c r="A2078" s="9">
        <v>11055</v>
      </c>
      <c r="B2078" s="6">
        <v>51</v>
      </c>
      <c r="C2078" s="6">
        <v>53</v>
      </c>
      <c r="D2078" s="6">
        <v>20</v>
      </c>
      <c r="E2078" s="18">
        <v>0</v>
      </c>
      <c r="F2078" s="6" t="str">
        <f>IFERROR(VLOOKUP(VLOOKUP(A2078,'Sales Order'!A:B,2,FALSE),Customer!A:C,3,FALSE),"Not Specified")</f>
        <v>Langohr, Kris</v>
      </c>
      <c r="G2078" s="6" t="str">
        <f t="shared" si="64"/>
        <v>Langohr Kris</v>
      </c>
      <c r="H2078" s="22" t="str">
        <f>IFERROR(VLOOKUP(VLOOKUP(A2078,'Sales Order'!A:C,3,FALSE),Employee!A:E,5,FALSE)&amp;" "&amp;VLOOKUP(VLOOKUP(A2078,'Sales Order'!A:C,3,FALSE),Employee!A:C,3,FALSE)&amp;" "&amp;VLOOKUP(VLOOKUP(A2078,'Sales Order'!A:C,3,FALSE),Employee!A:B,2,FALSE),"Not Specified")</f>
        <v>Mr. Russell King</v>
      </c>
      <c r="I2078">
        <f>IFERROR(VLOOKUP(VLOOKUP(A2078,'Sales Order'!A:C,3,FALSE),Employee!A:J,10,FALSE),"Not Specified")</f>
        <v>0</v>
      </c>
      <c r="J2078" t="str">
        <f>VLOOKUP(B2078,Product!A:B,2,FALSE)</f>
        <v>Product APITJ</v>
      </c>
      <c r="K2078" t="str">
        <f>VLOOKUP(VLOOKUP(B2078,Product!A:D,4,FALSE),Category!A:B,2,FALSE)</f>
        <v>Produce</v>
      </c>
      <c r="L2078" s="24">
        <f>IFERROR(VLOOKUP(A2078,'Sales Order'!A:D,4,FALSE),"")</f>
        <v>39566</v>
      </c>
      <c r="M2078" s="24">
        <f>IFERROR(VLOOKUP(A2078,'Sales Order'!A:F,6,FALSE),"")</f>
        <v>39573</v>
      </c>
      <c r="N2078" t="str">
        <f>IFERROR(VLOOKUP(VLOOKUP(A2078,'Sales Order'!A:G,7,FALSE),Shipper!A:B,2,FALSE),"Not Specified")</f>
        <v>Shipper ETYNR</v>
      </c>
      <c r="O2078" t="str">
        <f>IFERROR(VLOOKUP(A2078,'Sales Order'!A:I,9,FALSE),"Not Specified")</f>
        <v>Destination JYDLM</v>
      </c>
      <c r="P2078" t="str">
        <f>IFERROR(VLOOKUP(A2078,'Sales Order'!A:N,14,FALSE),"Not Specified")</f>
        <v>Venezuela</v>
      </c>
      <c r="Q2078" t="str">
        <f>VLOOKUP(VLOOKUP(B2078,Product!A:C,3,FALSE),Supplier!A:B,2,FALSE)</f>
        <v>Supplier JNNES</v>
      </c>
      <c r="R2078" t="str">
        <f>VLOOKUP(VLOOKUP(B2078,Product!A:C,3,FALSE),Supplier!A:I,9,FALSE)</f>
        <v>Australia</v>
      </c>
      <c r="S2078" t="str">
        <f>IFERROR(IF(VLOOKUP(A2078,'Sales Order'!A:H,8,FALSE)&gt;100,"High Freight","Low Freight"),"Not Specified")</f>
        <v>High Freight</v>
      </c>
      <c r="T2078">
        <f t="shared" si="65"/>
        <v>1060</v>
      </c>
    </row>
    <row r="2079" spans="1:20">
      <c r="A2079" s="9">
        <v>11055</v>
      </c>
      <c r="B2079" s="6">
        <v>57</v>
      </c>
      <c r="C2079" s="6">
        <v>19.5</v>
      </c>
      <c r="D2079" s="6">
        <v>20</v>
      </c>
      <c r="E2079" s="18">
        <v>0</v>
      </c>
      <c r="F2079" s="6" t="str">
        <f>IFERROR(VLOOKUP(VLOOKUP(A2079,'Sales Order'!A:B,2,FALSE),Customer!A:C,3,FALSE),"Not Specified")</f>
        <v>Langohr, Kris</v>
      </c>
      <c r="G2079" s="6" t="str">
        <f t="shared" si="64"/>
        <v>Langohr Kris</v>
      </c>
      <c r="H2079" s="22" t="str">
        <f>IFERROR(VLOOKUP(VLOOKUP(A2079,'Sales Order'!A:C,3,FALSE),Employee!A:E,5,FALSE)&amp;" "&amp;VLOOKUP(VLOOKUP(A2079,'Sales Order'!A:C,3,FALSE),Employee!A:C,3,FALSE)&amp;" "&amp;VLOOKUP(VLOOKUP(A2079,'Sales Order'!A:C,3,FALSE),Employee!A:B,2,FALSE),"Not Specified")</f>
        <v>Mr. Russell King</v>
      </c>
      <c r="I2079">
        <f>IFERROR(VLOOKUP(VLOOKUP(A2079,'Sales Order'!A:C,3,FALSE),Employee!A:J,10,FALSE),"Not Specified")</f>
        <v>0</v>
      </c>
      <c r="J2079" t="str">
        <f>VLOOKUP(B2079,Product!A:B,2,FALSE)</f>
        <v>Product OVLQI</v>
      </c>
      <c r="K2079" t="str">
        <f>VLOOKUP(VLOOKUP(B2079,Product!A:D,4,FALSE),Category!A:B,2,FALSE)</f>
        <v>Grains/Cereals</v>
      </c>
      <c r="L2079" s="24">
        <f>IFERROR(VLOOKUP(A2079,'Sales Order'!A:D,4,FALSE),"")</f>
        <v>39566</v>
      </c>
      <c r="M2079" s="24">
        <f>IFERROR(VLOOKUP(A2079,'Sales Order'!A:F,6,FALSE),"")</f>
        <v>39573</v>
      </c>
      <c r="N2079" t="str">
        <f>IFERROR(VLOOKUP(VLOOKUP(A2079,'Sales Order'!A:G,7,FALSE),Shipper!A:B,2,FALSE),"Not Specified")</f>
        <v>Shipper ETYNR</v>
      </c>
      <c r="O2079" t="str">
        <f>IFERROR(VLOOKUP(A2079,'Sales Order'!A:I,9,FALSE),"Not Specified")</f>
        <v>Destination JYDLM</v>
      </c>
      <c r="P2079" t="str">
        <f>IFERROR(VLOOKUP(A2079,'Sales Order'!A:N,14,FALSE),"Not Specified")</f>
        <v>Venezuela</v>
      </c>
      <c r="Q2079" t="str">
        <f>VLOOKUP(VLOOKUP(B2079,Product!A:C,3,FALSE),Supplier!A:B,2,FALSE)</f>
        <v>Supplier ZWZDM</v>
      </c>
      <c r="R2079" t="str">
        <f>VLOOKUP(VLOOKUP(B2079,Product!A:C,3,FALSE),Supplier!A:I,9,FALSE)</f>
        <v>Italy</v>
      </c>
      <c r="S2079" t="str">
        <f>IFERROR(IF(VLOOKUP(A2079,'Sales Order'!A:H,8,FALSE)&gt;100,"High Freight","Low Freight"),"Not Specified")</f>
        <v>High Freight</v>
      </c>
      <c r="T2079">
        <f t="shared" si="65"/>
        <v>390</v>
      </c>
    </row>
    <row r="2080" spans="1:20">
      <c r="A2080" s="9">
        <v>11056</v>
      </c>
      <c r="B2080" s="6">
        <v>7</v>
      </c>
      <c r="C2080" s="6">
        <v>30</v>
      </c>
      <c r="D2080" s="6">
        <v>40</v>
      </c>
      <c r="E2080" s="18">
        <v>0</v>
      </c>
      <c r="F2080" s="6" t="str">
        <f>IFERROR(VLOOKUP(VLOOKUP(A2080,'Sales Order'!A:B,2,FALSE),Customer!A:C,3,FALSE),"Not Specified")</f>
        <v>Boseman, Randall</v>
      </c>
      <c r="G2080" s="6" t="str">
        <f t="shared" si="64"/>
        <v>Boseman Randall</v>
      </c>
      <c r="H2080" s="22" t="str">
        <f>IFERROR(VLOOKUP(VLOOKUP(A2080,'Sales Order'!A:C,3,FALSE),Employee!A:E,5,FALSE)&amp;" "&amp;VLOOKUP(VLOOKUP(A2080,'Sales Order'!A:C,3,FALSE),Employee!A:C,3,FALSE)&amp;" "&amp;VLOOKUP(VLOOKUP(A2080,'Sales Order'!A:C,3,FALSE),Employee!A:B,2,FALSE),"Not Specified")</f>
        <v>Ms. Maria Cameron</v>
      </c>
      <c r="I2080" t="str">
        <f>IFERROR(VLOOKUP(VLOOKUP(A2080,'Sales Order'!A:C,3,FALSE),Employee!A:J,10,FALSE),"Not Specified")</f>
        <v>WA</v>
      </c>
      <c r="J2080" t="str">
        <f>VLOOKUP(B2080,Product!A:B,2,FALSE)</f>
        <v>Product HMLNI</v>
      </c>
      <c r="K2080" t="str">
        <f>VLOOKUP(VLOOKUP(B2080,Product!A:D,4,FALSE),Category!A:B,2,FALSE)</f>
        <v>Produce</v>
      </c>
      <c r="L2080" s="24">
        <f>IFERROR(VLOOKUP(A2080,'Sales Order'!A:D,4,FALSE),"")</f>
        <v>39566</v>
      </c>
      <c r="M2080" s="24">
        <f>IFERROR(VLOOKUP(A2080,'Sales Order'!A:F,6,FALSE),"")</f>
        <v>39569</v>
      </c>
      <c r="N2080" t="str">
        <f>IFERROR(VLOOKUP(VLOOKUP(A2080,'Sales Order'!A:G,7,FALSE),Shipper!A:B,2,FALSE),"Not Specified")</f>
        <v>Shipper ETYNR</v>
      </c>
      <c r="O2080" t="str">
        <f>IFERROR(VLOOKUP(A2080,'Sales Order'!A:I,9,FALSE),"Not Specified")</f>
        <v>Destination QTKCU</v>
      </c>
      <c r="P2080" t="str">
        <f>IFERROR(VLOOKUP(A2080,'Sales Order'!A:N,14,FALSE),"Not Specified")</f>
        <v>UK</v>
      </c>
      <c r="Q2080" t="str">
        <f>VLOOKUP(VLOOKUP(B2080,Product!A:C,3,FALSE),Supplier!A:B,2,FALSE)</f>
        <v>Supplier STUAZ</v>
      </c>
      <c r="R2080" t="str">
        <f>VLOOKUP(VLOOKUP(B2080,Product!A:C,3,FALSE),Supplier!A:I,9,FALSE)</f>
        <v>USA</v>
      </c>
      <c r="S2080" t="str">
        <f>IFERROR(IF(VLOOKUP(A2080,'Sales Order'!A:H,8,FALSE)&gt;100,"High Freight","Low Freight"),"Not Specified")</f>
        <v>High Freight</v>
      </c>
      <c r="T2080">
        <f t="shared" si="65"/>
        <v>1200</v>
      </c>
    </row>
    <row r="2081" spans="1:20">
      <c r="A2081" s="9">
        <v>11056</v>
      </c>
      <c r="B2081" s="6">
        <v>55</v>
      </c>
      <c r="C2081" s="6">
        <v>24</v>
      </c>
      <c r="D2081" s="6">
        <v>35</v>
      </c>
      <c r="E2081" s="18">
        <v>0</v>
      </c>
      <c r="F2081" s="6" t="str">
        <f>IFERROR(VLOOKUP(VLOOKUP(A2081,'Sales Order'!A:B,2,FALSE),Customer!A:C,3,FALSE),"Not Specified")</f>
        <v>Boseman, Randall</v>
      </c>
      <c r="G2081" s="6" t="str">
        <f t="shared" si="64"/>
        <v>Boseman Randall</v>
      </c>
      <c r="H2081" s="22" t="str">
        <f>IFERROR(VLOOKUP(VLOOKUP(A2081,'Sales Order'!A:C,3,FALSE),Employee!A:E,5,FALSE)&amp;" "&amp;VLOOKUP(VLOOKUP(A2081,'Sales Order'!A:C,3,FALSE),Employee!A:C,3,FALSE)&amp;" "&amp;VLOOKUP(VLOOKUP(A2081,'Sales Order'!A:C,3,FALSE),Employee!A:B,2,FALSE),"Not Specified")</f>
        <v>Ms. Maria Cameron</v>
      </c>
      <c r="I2081" t="str">
        <f>IFERROR(VLOOKUP(VLOOKUP(A2081,'Sales Order'!A:C,3,FALSE),Employee!A:J,10,FALSE),"Not Specified")</f>
        <v>WA</v>
      </c>
      <c r="J2081" t="str">
        <f>VLOOKUP(B2081,Product!A:B,2,FALSE)</f>
        <v>Product YYWRT</v>
      </c>
      <c r="K2081" t="str">
        <f>VLOOKUP(VLOOKUP(B2081,Product!A:D,4,FALSE),Category!A:B,2,FALSE)</f>
        <v>Meat/Poultry</v>
      </c>
      <c r="L2081" s="24">
        <f>IFERROR(VLOOKUP(A2081,'Sales Order'!A:D,4,FALSE),"")</f>
        <v>39566</v>
      </c>
      <c r="M2081" s="24">
        <f>IFERROR(VLOOKUP(A2081,'Sales Order'!A:F,6,FALSE),"")</f>
        <v>39569</v>
      </c>
      <c r="N2081" t="str">
        <f>IFERROR(VLOOKUP(VLOOKUP(A2081,'Sales Order'!A:G,7,FALSE),Shipper!A:B,2,FALSE),"Not Specified")</f>
        <v>Shipper ETYNR</v>
      </c>
      <c r="O2081" t="str">
        <f>IFERROR(VLOOKUP(A2081,'Sales Order'!A:I,9,FALSE),"Not Specified")</f>
        <v>Destination QTKCU</v>
      </c>
      <c r="P2081" t="str">
        <f>IFERROR(VLOOKUP(A2081,'Sales Order'!A:N,14,FALSE),"Not Specified")</f>
        <v>UK</v>
      </c>
      <c r="Q2081" t="str">
        <f>VLOOKUP(VLOOKUP(B2081,Product!A:C,3,FALSE),Supplier!A:B,2,FALSE)</f>
        <v>Supplier ERVYZ</v>
      </c>
      <c r="R2081" t="str">
        <f>VLOOKUP(VLOOKUP(B2081,Product!A:C,3,FALSE),Supplier!A:I,9,FALSE)</f>
        <v>Canada</v>
      </c>
      <c r="S2081" t="str">
        <f>IFERROR(IF(VLOOKUP(A2081,'Sales Order'!A:H,8,FALSE)&gt;100,"High Freight","Low Freight"),"Not Specified")</f>
        <v>High Freight</v>
      </c>
      <c r="T2081">
        <f t="shared" si="65"/>
        <v>840</v>
      </c>
    </row>
    <row r="2082" spans="1:20">
      <c r="A2082" s="9">
        <v>11056</v>
      </c>
      <c r="B2082" s="6">
        <v>60</v>
      </c>
      <c r="C2082" s="6">
        <v>34</v>
      </c>
      <c r="D2082" s="6">
        <v>50</v>
      </c>
      <c r="E2082" s="18">
        <v>0</v>
      </c>
      <c r="F2082" s="6" t="str">
        <f>IFERROR(VLOOKUP(VLOOKUP(A2082,'Sales Order'!A:B,2,FALSE),Customer!A:C,3,FALSE),"Not Specified")</f>
        <v>Boseman, Randall</v>
      </c>
      <c r="G2082" s="6" t="str">
        <f t="shared" si="64"/>
        <v>Boseman Randall</v>
      </c>
      <c r="H2082" s="22" t="str">
        <f>IFERROR(VLOOKUP(VLOOKUP(A2082,'Sales Order'!A:C,3,FALSE),Employee!A:E,5,FALSE)&amp;" "&amp;VLOOKUP(VLOOKUP(A2082,'Sales Order'!A:C,3,FALSE),Employee!A:C,3,FALSE)&amp;" "&amp;VLOOKUP(VLOOKUP(A2082,'Sales Order'!A:C,3,FALSE),Employee!A:B,2,FALSE),"Not Specified")</f>
        <v>Ms. Maria Cameron</v>
      </c>
      <c r="I2082" t="str">
        <f>IFERROR(VLOOKUP(VLOOKUP(A2082,'Sales Order'!A:C,3,FALSE),Employee!A:J,10,FALSE),"Not Specified")</f>
        <v>WA</v>
      </c>
      <c r="J2082" t="str">
        <f>VLOOKUP(B2082,Product!A:B,2,FALSE)</f>
        <v>Product WHBYK</v>
      </c>
      <c r="K2082" t="str">
        <f>VLOOKUP(VLOOKUP(B2082,Product!A:D,4,FALSE),Category!A:B,2,FALSE)</f>
        <v>Dairy Product</v>
      </c>
      <c r="L2082" s="24">
        <f>IFERROR(VLOOKUP(A2082,'Sales Order'!A:D,4,FALSE),"")</f>
        <v>39566</v>
      </c>
      <c r="M2082" s="24">
        <f>IFERROR(VLOOKUP(A2082,'Sales Order'!A:F,6,FALSE),"")</f>
        <v>39569</v>
      </c>
      <c r="N2082" t="str">
        <f>IFERROR(VLOOKUP(VLOOKUP(A2082,'Sales Order'!A:G,7,FALSE),Shipper!A:B,2,FALSE),"Not Specified")</f>
        <v>Shipper ETYNR</v>
      </c>
      <c r="O2082" t="str">
        <f>IFERROR(VLOOKUP(A2082,'Sales Order'!A:I,9,FALSE),"Not Specified")</f>
        <v>Destination QTKCU</v>
      </c>
      <c r="P2082" t="str">
        <f>IFERROR(VLOOKUP(A2082,'Sales Order'!A:N,14,FALSE),"Not Specified")</f>
        <v>UK</v>
      </c>
      <c r="Q2082" t="str">
        <f>VLOOKUP(VLOOKUP(B2082,Product!A:C,3,FALSE),Supplier!A:B,2,FALSE)</f>
        <v>Supplier OAVQT</v>
      </c>
      <c r="R2082" t="str">
        <f>VLOOKUP(VLOOKUP(B2082,Product!A:C,3,FALSE),Supplier!A:I,9,FALSE)</f>
        <v>France</v>
      </c>
      <c r="S2082" t="str">
        <f>IFERROR(IF(VLOOKUP(A2082,'Sales Order'!A:H,8,FALSE)&gt;100,"High Freight","Low Freight"),"Not Specified")</f>
        <v>High Freight</v>
      </c>
      <c r="T2082">
        <f t="shared" si="65"/>
        <v>1700</v>
      </c>
    </row>
    <row r="2083" spans="1:20">
      <c r="A2083" s="9">
        <v>11057</v>
      </c>
      <c r="B2083" s="6">
        <v>70</v>
      </c>
      <c r="C2083" s="6">
        <v>15</v>
      </c>
      <c r="D2083" s="6">
        <v>3</v>
      </c>
      <c r="E2083" s="18">
        <v>0</v>
      </c>
      <c r="F2083" s="6" t="str">
        <f>IFERROR(VLOOKUP(VLOOKUP(A2083,'Sales Order'!A:B,2,FALSE),Customer!A:C,3,FALSE),"Not Specified")</f>
        <v>Mallit, Ken</v>
      </c>
      <c r="G2083" s="6" t="str">
        <f t="shared" si="64"/>
        <v>Mallit Ken</v>
      </c>
      <c r="H2083" s="22" t="str">
        <f>IFERROR(VLOOKUP(VLOOKUP(A2083,'Sales Order'!A:C,3,FALSE),Employee!A:E,5,FALSE)&amp;" "&amp;VLOOKUP(VLOOKUP(A2083,'Sales Order'!A:C,3,FALSE),Employee!A:C,3,FALSE)&amp;" "&amp;VLOOKUP(VLOOKUP(A2083,'Sales Order'!A:C,3,FALSE),Employee!A:B,2,FALSE),"Not Specified")</f>
        <v>Ms. Judy Lew</v>
      </c>
      <c r="I2083" t="str">
        <f>IFERROR(VLOOKUP(VLOOKUP(A2083,'Sales Order'!A:C,3,FALSE),Employee!A:J,10,FALSE),"Not Specified")</f>
        <v>WA</v>
      </c>
      <c r="J2083" t="str">
        <f>VLOOKUP(B2083,Product!A:B,2,FALSE)</f>
        <v>Product TOONT</v>
      </c>
      <c r="K2083" t="str">
        <f>VLOOKUP(VLOOKUP(B2083,Product!A:D,4,FALSE),Category!A:B,2,FALSE)</f>
        <v>Beverages</v>
      </c>
      <c r="L2083" s="24">
        <f>IFERROR(VLOOKUP(A2083,'Sales Order'!A:D,4,FALSE),"")</f>
        <v>39567</v>
      </c>
      <c r="M2083" s="24">
        <f>IFERROR(VLOOKUP(A2083,'Sales Order'!A:F,6,FALSE),"")</f>
        <v>39569</v>
      </c>
      <c r="N2083" t="str">
        <f>IFERROR(VLOOKUP(VLOOKUP(A2083,'Sales Order'!A:G,7,FALSE),Shipper!A:B,2,FALSE),"Not Specified")</f>
        <v>Shipper ZHISN</v>
      </c>
      <c r="O2083" t="str">
        <f>IFERROR(VLOOKUP(A2083,'Sales Order'!A:I,9,FALSE),"Not Specified")</f>
        <v>Ship to 53-C</v>
      </c>
      <c r="P2083" t="str">
        <f>IFERROR(VLOOKUP(A2083,'Sales Order'!A:N,14,FALSE),"Not Specified")</f>
        <v>UK</v>
      </c>
      <c r="Q2083" t="str">
        <f>VLOOKUP(VLOOKUP(B2083,Product!A:C,3,FALSE),Supplier!A:B,2,FALSE)</f>
        <v>Supplier GQRCV</v>
      </c>
      <c r="R2083" t="str">
        <f>VLOOKUP(VLOOKUP(B2083,Product!A:C,3,FALSE),Supplier!A:I,9,FALSE)</f>
        <v>Australia</v>
      </c>
      <c r="S2083" t="str">
        <f>IFERROR(IF(VLOOKUP(A2083,'Sales Order'!A:H,8,FALSE)&gt;100,"High Freight","Low Freight"),"Not Specified")</f>
        <v>Low Freight</v>
      </c>
      <c r="T2083">
        <f t="shared" si="65"/>
        <v>45</v>
      </c>
    </row>
    <row r="2084" spans="1:20">
      <c r="A2084" s="9">
        <v>11058</v>
      </c>
      <c r="B2084" s="6">
        <v>21</v>
      </c>
      <c r="C2084" s="6">
        <v>10</v>
      </c>
      <c r="D2084" s="6">
        <v>3</v>
      </c>
      <c r="E2084" s="18">
        <v>0</v>
      </c>
      <c r="F2084" s="6" t="str">
        <f>IFERROR(VLOOKUP(VLOOKUP(A2084,'Sales Order'!A:B,2,FALSE),Customer!A:C,3,FALSE),"Not Specified")</f>
        <v>Poland, Carole</v>
      </c>
      <c r="G2084" s="6" t="str">
        <f t="shared" si="64"/>
        <v>Poland Carole</v>
      </c>
      <c r="H2084" s="22" t="str">
        <f>IFERROR(VLOOKUP(VLOOKUP(A2084,'Sales Order'!A:C,3,FALSE),Employee!A:E,5,FALSE)&amp;" "&amp;VLOOKUP(VLOOKUP(A2084,'Sales Order'!A:C,3,FALSE),Employee!A:C,3,FALSE)&amp;" "&amp;VLOOKUP(VLOOKUP(A2084,'Sales Order'!A:C,3,FALSE),Employee!A:B,2,FALSE),"Not Specified")</f>
        <v>Ms. Zoya Dolgopyatova</v>
      </c>
      <c r="I2084">
        <f>IFERROR(VLOOKUP(VLOOKUP(A2084,'Sales Order'!A:C,3,FALSE),Employee!A:J,10,FALSE),"Not Specified")</f>
        <v>0</v>
      </c>
      <c r="J2084" t="str">
        <f>VLOOKUP(B2084,Product!A:B,2,FALSE)</f>
        <v>Product VJZZH</v>
      </c>
      <c r="K2084" t="str">
        <f>VLOOKUP(VLOOKUP(B2084,Product!A:D,4,FALSE),Category!A:B,2,FALSE)</f>
        <v>Confections</v>
      </c>
      <c r="L2084" s="24">
        <f>IFERROR(VLOOKUP(A2084,'Sales Order'!A:D,4,FALSE),"")</f>
        <v>39567</v>
      </c>
      <c r="M2084" s="24">
        <f>IFERROR(VLOOKUP(A2084,'Sales Order'!A:F,6,FALSE),"")</f>
        <v>0</v>
      </c>
      <c r="N2084" t="str">
        <f>IFERROR(VLOOKUP(VLOOKUP(A2084,'Sales Order'!A:G,7,FALSE),Shipper!A:B,2,FALSE),"Not Specified")</f>
        <v>Shipper ZHISN</v>
      </c>
      <c r="O2084" t="str">
        <f>IFERROR(VLOOKUP(A2084,'Sales Order'!A:I,9,FALSE),"Not Specified")</f>
        <v>Ship to 6-A</v>
      </c>
      <c r="P2084" t="str">
        <f>IFERROR(VLOOKUP(A2084,'Sales Order'!A:N,14,FALSE),"Not Specified")</f>
        <v>Germany</v>
      </c>
      <c r="Q2084" t="str">
        <f>VLOOKUP(VLOOKUP(B2084,Product!A:C,3,FALSE),Supplier!A:B,2,FALSE)</f>
        <v>Supplier BWGYE</v>
      </c>
      <c r="R2084" t="str">
        <f>VLOOKUP(VLOOKUP(B2084,Product!A:C,3,FALSE),Supplier!A:I,9,FALSE)</f>
        <v>UK</v>
      </c>
      <c r="S2084" t="str">
        <f>IFERROR(IF(VLOOKUP(A2084,'Sales Order'!A:H,8,FALSE)&gt;100,"High Freight","Low Freight"),"Not Specified")</f>
        <v>Low Freight</v>
      </c>
      <c r="T2084">
        <f t="shared" si="65"/>
        <v>30</v>
      </c>
    </row>
    <row r="2085" spans="1:20">
      <c r="A2085" s="9">
        <v>11058</v>
      </c>
      <c r="B2085" s="6">
        <v>60</v>
      </c>
      <c r="C2085" s="6">
        <v>34</v>
      </c>
      <c r="D2085" s="6">
        <v>21</v>
      </c>
      <c r="E2085" s="18">
        <v>0</v>
      </c>
      <c r="F2085" s="6" t="str">
        <f>IFERROR(VLOOKUP(VLOOKUP(A2085,'Sales Order'!A:B,2,FALSE),Customer!A:C,3,FALSE),"Not Specified")</f>
        <v>Poland, Carole</v>
      </c>
      <c r="G2085" s="6" t="str">
        <f t="shared" si="64"/>
        <v>Poland Carole</v>
      </c>
      <c r="H2085" s="22" t="str">
        <f>IFERROR(VLOOKUP(VLOOKUP(A2085,'Sales Order'!A:C,3,FALSE),Employee!A:E,5,FALSE)&amp;" "&amp;VLOOKUP(VLOOKUP(A2085,'Sales Order'!A:C,3,FALSE),Employee!A:C,3,FALSE)&amp;" "&amp;VLOOKUP(VLOOKUP(A2085,'Sales Order'!A:C,3,FALSE),Employee!A:B,2,FALSE),"Not Specified")</f>
        <v>Ms. Zoya Dolgopyatova</v>
      </c>
      <c r="I2085">
        <f>IFERROR(VLOOKUP(VLOOKUP(A2085,'Sales Order'!A:C,3,FALSE),Employee!A:J,10,FALSE),"Not Specified")</f>
        <v>0</v>
      </c>
      <c r="J2085" t="str">
        <f>VLOOKUP(B2085,Product!A:B,2,FALSE)</f>
        <v>Product WHBYK</v>
      </c>
      <c r="K2085" t="str">
        <f>VLOOKUP(VLOOKUP(B2085,Product!A:D,4,FALSE),Category!A:B,2,FALSE)</f>
        <v>Dairy Product</v>
      </c>
      <c r="L2085" s="24">
        <f>IFERROR(VLOOKUP(A2085,'Sales Order'!A:D,4,FALSE),"")</f>
        <v>39567</v>
      </c>
      <c r="M2085" s="24">
        <f>IFERROR(VLOOKUP(A2085,'Sales Order'!A:F,6,FALSE),"")</f>
        <v>0</v>
      </c>
      <c r="N2085" t="str">
        <f>IFERROR(VLOOKUP(VLOOKUP(A2085,'Sales Order'!A:G,7,FALSE),Shipper!A:B,2,FALSE),"Not Specified")</f>
        <v>Shipper ZHISN</v>
      </c>
      <c r="O2085" t="str">
        <f>IFERROR(VLOOKUP(A2085,'Sales Order'!A:I,9,FALSE),"Not Specified")</f>
        <v>Ship to 6-A</v>
      </c>
      <c r="P2085" t="str">
        <f>IFERROR(VLOOKUP(A2085,'Sales Order'!A:N,14,FALSE),"Not Specified")</f>
        <v>Germany</v>
      </c>
      <c r="Q2085" t="str">
        <f>VLOOKUP(VLOOKUP(B2085,Product!A:C,3,FALSE),Supplier!A:B,2,FALSE)</f>
        <v>Supplier OAVQT</v>
      </c>
      <c r="R2085" t="str">
        <f>VLOOKUP(VLOOKUP(B2085,Product!A:C,3,FALSE),Supplier!A:I,9,FALSE)</f>
        <v>France</v>
      </c>
      <c r="S2085" t="str">
        <f>IFERROR(IF(VLOOKUP(A2085,'Sales Order'!A:H,8,FALSE)&gt;100,"High Freight","Low Freight"),"Not Specified")</f>
        <v>Low Freight</v>
      </c>
      <c r="T2085">
        <f t="shared" si="65"/>
        <v>714</v>
      </c>
    </row>
    <row r="2086" spans="1:20">
      <c r="A2086" s="9">
        <v>11058</v>
      </c>
      <c r="B2086" s="6">
        <v>61</v>
      </c>
      <c r="C2086" s="6">
        <v>28.5</v>
      </c>
      <c r="D2086" s="6">
        <v>4</v>
      </c>
      <c r="E2086" s="18">
        <v>0</v>
      </c>
      <c r="F2086" s="6" t="str">
        <f>IFERROR(VLOOKUP(VLOOKUP(A2086,'Sales Order'!A:B,2,FALSE),Customer!A:C,3,FALSE),"Not Specified")</f>
        <v>Poland, Carole</v>
      </c>
      <c r="G2086" s="6" t="str">
        <f t="shared" si="64"/>
        <v>Poland Carole</v>
      </c>
      <c r="H2086" s="22" t="str">
        <f>IFERROR(VLOOKUP(VLOOKUP(A2086,'Sales Order'!A:C,3,FALSE),Employee!A:E,5,FALSE)&amp;" "&amp;VLOOKUP(VLOOKUP(A2086,'Sales Order'!A:C,3,FALSE),Employee!A:C,3,FALSE)&amp;" "&amp;VLOOKUP(VLOOKUP(A2086,'Sales Order'!A:C,3,FALSE),Employee!A:B,2,FALSE),"Not Specified")</f>
        <v>Ms. Zoya Dolgopyatova</v>
      </c>
      <c r="I2086">
        <f>IFERROR(VLOOKUP(VLOOKUP(A2086,'Sales Order'!A:C,3,FALSE),Employee!A:J,10,FALSE),"Not Specified")</f>
        <v>0</v>
      </c>
      <c r="J2086" t="str">
        <f>VLOOKUP(B2086,Product!A:B,2,FALSE)</f>
        <v>Product XYZPE</v>
      </c>
      <c r="K2086" t="str">
        <f>VLOOKUP(VLOOKUP(B2086,Product!A:D,4,FALSE),Category!A:B,2,FALSE)</f>
        <v>Condiments</v>
      </c>
      <c r="L2086" s="24">
        <f>IFERROR(VLOOKUP(A2086,'Sales Order'!A:D,4,FALSE),"")</f>
        <v>39567</v>
      </c>
      <c r="M2086" s="24">
        <f>IFERROR(VLOOKUP(A2086,'Sales Order'!A:F,6,FALSE),"")</f>
        <v>0</v>
      </c>
      <c r="N2086" t="str">
        <f>IFERROR(VLOOKUP(VLOOKUP(A2086,'Sales Order'!A:G,7,FALSE),Shipper!A:B,2,FALSE),"Not Specified")</f>
        <v>Shipper ZHISN</v>
      </c>
      <c r="O2086" t="str">
        <f>IFERROR(VLOOKUP(A2086,'Sales Order'!A:I,9,FALSE),"Not Specified")</f>
        <v>Ship to 6-A</v>
      </c>
      <c r="P2086" t="str">
        <f>IFERROR(VLOOKUP(A2086,'Sales Order'!A:N,14,FALSE),"Not Specified")</f>
        <v>Germany</v>
      </c>
      <c r="Q2086" t="str">
        <f>VLOOKUP(VLOOKUP(B2086,Product!A:C,3,FALSE),Supplier!A:B,2,FALSE)</f>
        <v>Supplier OGLRK</v>
      </c>
      <c r="R2086" t="str">
        <f>VLOOKUP(VLOOKUP(B2086,Product!A:C,3,FALSE),Supplier!A:I,9,FALSE)</f>
        <v>Canada</v>
      </c>
      <c r="S2086" t="str">
        <f>IFERROR(IF(VLOOKUP(A2086,'Sales Order'!A:H,8,FALSE)&gt;100,"High Freight","Low Freight"),"Not Specified")</f>
        <v>Low Freight</v>
      </c>
      <c r="T2086">
        <f t="shared" si="65"/>
        <v>114</v>
      </c>
    </row>
    <row r="2087" spans="1:20">
      <c r="A2087" s="9">
        <v>11059</v>
      </c>
      <c r="B2087" s="6">
        <v>13</v>
      </c>
      <c r="C2087" s="6">
        <v>6</v>
      </c>
      <c r="D2087" s="6">
        <v>30</v>
      </c>
      <c r="E2087" s="18">
        <v>0</v>
      </c>
      <c r="F2087" s="6" t="str">
        <f>IFERROR(VLOOKUP(VLOOKUP(A2087,'Sales Order'!A:B,2,FALSE),Customer!A:C,3,FALSE),"Not Specified")</f>
        <v>Garden, Euan</v>
      </c>
      <c r="G2087" s="6" t="str">
        <f t="shared" si="64"/>
        <v>Garden Euan</v>
      </c>
      <c r="H2087" s="22" t="str">
        <f>IFERROR(VLOOKUP(VLOOKUP(A2087,'Sales Order'!A:C,3,FALSE),Employee!A:E,5,FALSE)&amp;" "&amp;VLOOKUP(VLOOKUP(A2087,'Sales Order'!A:C,3,FALSE),Employee!A:C,3,FALSE)&amp;" "&amp;VLOOKUP(VLOOKUP(A2087,'Sales Order'!A:C,3,FALSE),Employee!A:B,2,FALSE),"Not Specified")</f>
        <v>Dr. Don Funk</v>
      </c>
      <c r="I2087" t="str">
        <f>IFERROR(VLOOKUP(VLOOKUP(A2087,'Sales Order'!A:C,3,FALSE),Employee!A:J,10,FALSE),"Not Specified")</f>
        <v>WA</v>
      </c>
      <c r="J2087" t="str">
        <f>VLOOKUP(B2087,Product!A:B,2,FALSE)</f>
        <v>Product POXFU</v>
      </c>
      <c r="K2087" t="str">
        <f>VLOOKUP(VLOOKUP(B2087,Product!A:D,4,FALSE),Category!A:B,2,FALSE)</f>
        <v>Seafood</v>
      </c>
      <c r="L2087" s="24">
        <f>IFERROR(VLOOKUP(A2087,'Sales Order'!A:D,4,FALSE),"")</f>
        <v>39567</v>
      </c>
      <c r="M2087" s="24">
        <f>IFERROR(VLOOKUP(A2087,'Sales Order'!A:F,6,FALSE),"")</f>
        <v>0</v>
      </c>
      <c r="N2087" t="str">
        <f>IFERROR(VLOOKUP(VLOOKUP(A2087,'Sales Order'!A:G,7,FALSE),Shipper!A:B,2,FALSE),"Not Specified")</f>
        <v>Shipper ETYNR</v>
      </c>
      <c r="O2087" t="str">
        <f>IFERROR(VLOOKUP(A2087,'Sales Order'!A:I,9,FALSE),"Not Specified")</f>
        <v>Ship to 67-A</v>
      </c>
      <c r="P2087" t="str">
        <f>IFERROR(VLOOKUP(A2087,'Sales Order'!A:N,14,FALSE),"Not Specified")</f>
        <v>Brazil</v>
      </c>
      <c r="Q2087" t="str">
        <f>VLOOKUP(VLOOKUP(B2087,Product!A:C,3,FALSE),Supplier!A:B,2,FALSE)</f>
        <v>Supplier QWUSF</v>
      </c>
      <c r="R2087" t="str">
        <f>VLOOKUP(VLOOKUP(B2087,Product!A:C,3,FALSE),Supplier!A:I,9,FALSE)</f>
        <v>Japan</v>
      </c>
      <c r="S2087" t="str">
        <f>IFERROR(IF(VLOOKUP(A2087,'Sales Order'!A:H,8,FALSE)&gt;100,"High Freight","Low Freight"),"Not Specified")</f>
        <v>Low Freight</v>
      </c>
      <c r="T2087">
        <f t="shared" si="65"/>
        <v>180</v>
      </c>
    </row>
    <row r="2088" spans="1:20">
      <c r="A2088" s="9">
        <v>11059</v>
      </c>
      <c r="B2088" s="6">
        <v>17</v>
      </c>
      <c r="C2088" s="6">
        <v>39</v>
      </c>
      <c r="D2088" s="6">
        <v>12</v>
      </c>
      <c r="E2088" s="18">
        <v>0</v>
      </c>
      <c r="F2088" s="6" t="str">
        <f>IFERROR(VLOOKUP(VLOOKUP(A2088,'Sales Order'!A:B,2,FALSE),Customer!A:C,3,FALSE),"Not Specified")</f>
        <v>Garden, Euan</v>
      </c>
      <c r="G2088" s="6" t="str">
        <f t="shared" si="64"/>
        <v>Garden Euan</v>
      </c>
      <c r="H2088" s="22" t="str">
        <f>IFERROR(VLOOKUP(VLOOKUP(A2088,'Sales Order'!A:C,3,FALSE),Employee!A:E,5,FALSE)&amp;" "&amp;VLOOKUP(VLOOKUP(A2088,'Sales Order'!A:C,3,FALSE),Employee!A:C,3,FALSE)&amp;" "&amp;VLOOKUP(VLOOKUP(A2088,'Sales Order'!A:C,3,FALSE),Employee!A:B,2,FALSE),"Not Specified")</f>
        <v>Dr. Don Funk</v>
      </c>
      <c r="I2088" t="str">
        <f>IFERROR(VLOOKUP(VLOOKUP(A2088,'Sales Order'!A:C,3,FALSE),Employee!A:J,10,FALSE),"Not Specified")</f>
        <v>WA</v>
      </c>
      <c r="J2088" t="str">
        <f>VLOOKUP(B2088,Product!A:B,2,FALSE)</f>
        <v>Product BLCAX</v>
      </c>
      <c r="K2088" t="str">
        <f>VLOOKUP(VLOOKUP(B2088,Product!A:D,4,FALSE),Category!A:B,2,FALSE)</f>
        <v>Meat/Poultry</v>
      </c>
      <c r="L2088" s="24">
        <f>IFERROR(VLOOKUP(A2088,'Sales Order'!A:D,4,FALSE),"")</f>
        <v>39567</v>
      </c>
      <c r="M2088" s="24">
        <f>IFERROR(VLOOKUP(A2088,'Sales Order'!A:F,6,FALSE),"")</f>
        <v>0</v>
      </c>
      <c r="N2088" t="str">
        <f>IFERROR(VLOOKUP(VLOOKUP(A2088,'Sales Order'!A:G,7,FALSE),Shipper!A:B,2,FALSE),"Not Specified")</f>
        <v>Shipper ETYNR</v>
      </c>
      <c r="O2088" t="str">
        <f>IFERROR(VLOOKUP(A2088,'Sales Order'!A:I,9,FALSE),"Not Specified")</f>
        <v>Ship to 67-A</v>
      </c>
      <c r="P2088" t="str">
        <f>IFERROR(VLOOKUP(A2088,'Sales Order'!A:N,14,FALSE),"Not Specified")</f>
        <v>Brazil</v>
      </c>
      <c r="Q2088" t="str">
        <f>VLOOKUP(VLOOKUP(B2088,Product!A:C,3,FALSE),Supplier!A:B,2,FALSE)</f>
        <v>Supplier GQRCV</v>
      </c>
      <c r="R2088" t="str">
        <f>VLOOKUP(VLOOKUP(B2088,Product!A:C,3,FALSE),Supplier!A:I,9,FALSE)</f>
        <v>Australia</v>
      </c>
      <c r="S2088" t="str">
        <f>IFERROR(IF(VLOOKUP(A2088,'Sales Order'!A:H,8,FALSE)&gt;100,"High Freight","Low Freight"),"Not Specified")</f>
        <v>Low Freight</v>
      </c>
      <c r="T2088">
        <f t="shared" si="65"/>
        <v>468</v>
      </c>
    </row>
    <row r="2089" spans="1:20">
      <c r="A2089" s="9">
        <v>11059</v>
      </c>
      <c r="B2089" s="6">
        <v>60</v>
      </c>
      <c r="C2089" s="6">
        <v>34</v>
      </c>
      <c r="D2089" s="6">
        <v>35</v>
      </c>
      <c r="E2089" s="18">
        <v>0</v>
      </c>
      <c r="F2089" s="6" t="str">
        <f>IFERROR(VLOOKUP(VLOOKUP(A2089,'Sales Order'!A:B,2,FALSE),Customer!A:C,3,FALSE),"Not Specified")</f>
        <v>Garden, Euan</v>
      </c>
      <c r="G2089" s="6" t="str">
        <f t="shared" si="64"/>
        <v>Garden Euan</v>
      </c>
      <c r="H2089" s="22" t="str">
        <f>IFERROR(VLOOKUP(VLOOKUP(A2089,'Sales Order'!A:C,3,FALSE),Employee!A:E,5,FALSE)&amp;" "&amp;VLOOKUP(VLOOKUP(A2089,'Sales Order'!A:C,3,FALSE),Employee!A:C,3,FALSE)&amp;" "&amp;VLOOKUP(VLOOKUP(A2089,'Sales Order'!A:C,3,FALSE),Employee!A:B,2,FALSE),"Not Specified")</f>
        <v>Dr. Don Funk</v>
      </c>
      <c r="I2089" t="str">
        <f>IFERROR(VLOOKUP(VLOOKUP(A2089,'Sales Order'!A:C,3,FALSE),Employee!A:J,10,FALSE),"Not Specified")</f>
        <v>WA</v>
      </c>
      <c r="J2089" t="str">
        <f>VLOOKUP(B2089,Product!A:B,2,FALSE)</f>
        <v>Product WHBYK</v>
      </c>
      <c r="K2089" t="str">
        <f>VLOOKUP(VLOOKUP(B2089,Product!A:D,4,FALSE),Category!A:B,2,FALSE)</f>
        <v>Dairy Product</v>
      </c>
      <c r="L2089" s="24">
        <f>IFERROR(VLOOKUP(A2089,'Sales Order'!A:D,4,FALSE),"")</f>
        <v>39567</v>
      </c>
      <c r="M2089" s="24">
        <f>IFERROR(VLOOKUP(A2089,'Sales Order'!A:F,6,FALSE),"")</f>
        <v>0</v>
      </c>
      <c r="N2089" t="str">
        <f>IFERROR(VLOOKUP(VLOOKUP(A2089,'Sales Order'!A:G,7,FALSE),Shipper!A:B,2,FALSE),"Not Specified")</f>
        <v>Shipper ETYNR</v>
      </c>
      <c r="O2089" t="str">
        <f>IFERROR(VLOOKUP(A2089,'Sales Order'!A:I,9,FALSE),"Not Specified")</f>
        <v>Ship to 67-A</v>
      </c>
      <c r="P2089" t="str">
        <f>IFERROR(VLOOKUP(A2089,'Sales Order'!A:N,14,FALSE),"Not Specified")</f>
        <v>Brazil</v>
      </c>
      <c r="Q2089" t="str">
        <f>VLOOKUP(VLOOKUP(B2089,Product!A:C,3,FALSE),Supplier!A:B,2,FALSE)</f>
        <v>Supplier OAVQT</v>
      </c>
      <c r="R2089" t="str">
        <f>VLOOKUP(VLOOKUP(B2089,Product!A:C,3,FALSE),Supplier!A:I,9,FALSE)</f>
        <v>France</v>
      </c>
      <c r="S2089" t="str">
        <f>IFERROR(IF(VLOOKUP(A2089,'Sales Order'!A:H,8,FALSE)&gt;100,"High Freight","Low Freight"),"Not Specified")</f>
        <v>Low Freight</v>
      </c>
      <c r="T2089">
        <f t="shared" si="65"/>
        <v>1190</v>
      </c>
    </row>
    <row r="2090" spans="1:20">
      <c r="A2090" s="9">
        <v>11060</v>
      </c>
      <c r="B2090" s="6">
        <v>60</v>
      </c>
      <c r="C2090" s="6">
        <v>34</v>
      </c>
      <c r="D2090" s="6">
        <v>4</v>
      </c>
      <c r="E2090" s="18">
        <v>0</v>
      </c>
      <c r="F2090" s="6" t="str">
        <f>IFERROR(VLOOKUP(VLOOKUP(A2090,'Sales Order'!A:B,2,FALSE),Customer!A:C,3,FALSE),"Not Specified")</f>
        <v>Schmöllerl, Martin</v>
      </c>
      <c r="G2090" s="6" t="str">
        <f t="shared" si="64"/>
        <v>Schmöllerl Martin</v>
      </c>
      <c r="H2090" s="22" t="str">
        <f>IFERROR(VLOOKUP(VLOOKUP(A2090,'Sales Order'!A:C,3,FALSE),Employee!A:E,5,FALSE)&amp;" "&amp;VLOOKUP(VLOOKUP(A2090,'Sales Order'!A:C,3,FALSE),Employee!A:C,3,FALSE)&amp;" "&amp;VLOOKUP(VLOOKUP(A2090,'Sales Order'!A:C,3,FALSE),Employee!A:B,2,FALSE),"Not Specified")</f>
        <v>Dr. Don Funk</v>
      </c>
      <c r="I2090" t="str">
        <f>IFERROR(VLOOKUP(VLOOKUP(A2090,'Sales Order'!A:C,3,FALSE),Employee!A:J,10,FALSE),"Not Specified")</f>
        <v>WA</v>
      </c>
      <c r="J2090" t="str">
        <f>VLOOKUP(B2090,Product!A:B,2,FALSE)</f>
        <v>Product WHBYK</v>
      </c>
      <c r="K2090" t="str">
        <f>VLOOKUP(VLOOKUP(B2090,Product!A:D,4,FALSE),Category!A:B,2,FALSE)</f>
        <v>Dairy Product</v>
      </c>
      <c r="L2090" s="24">
        <f>IFERROR(VLOOKUP(A2090,'Sales Order'!A:D,4,FALSE),"")</f>
        <v>39568</v>
      </c>
      <c r="M2090" s="24">
        <f>IFERROR(VLOOKUP(A2090,'Sales Order'!A:F,6,FALSE),"")</f>
        <v>39572</v>
      </c>
      <c r="N2090" t="str">
        <f>IFERROR(VLOOKUP(VLOOKUP(A2090,'Sales Order'!A:G,7,FALSE),Shipper!A:B,2,FALSE),"Not Specified")</f>
        <v>Shipper ETYNR</v>
      </c>
      <c r="O2090" t="str">
        <f>IFERROR(VLOOKUP(A2090,'Sales Order'!A:I,9,FALSE),"Not Specified")</f>
        <v>Destination DICGM</v>
      </c>
      <c r="P2090" t="str">
        <f>IFERROR(VLOOKUP(A2090,'Sales Order'!A:N,14,FALSE),"Not Specified")</f>
        <v>Italy</v>
      </c>
      <c r="Q2090" t="str">
        <f>VLOOKUP(VLOOKUP(B2090,Product!A:C,3,FALSE),Supplier!A:B,2,FALSE)</f>
        <v>Supplier OAVQT</v>
      </c>
      <c r="R2090" t="str">
        <f>VLOOKUP(VLOOKUP(B2090,Product!A:C,3,FALSE),Supplier!A:I,9,FALSE)</f>
        <v>France</v>
      </c>
      <c r="S2090" t="str">
        <f>IFERROR(IF(VLOOKUP(A2090,'Sales Order'!A:H,8,FALSE)&gt;100,"High Freight","Low Freight"),"Not Specified")</f>
        <v>Low Freight</v>
      </c>
      <c r="T2090">
        <f t="shared" si="65"/>
        <v>136</v>
      </c>
    </row>
    <row r="2091" spans="1:20">
      <c r="A2091" s="9">
        <v>11060</v>
      </c>
      <c r="B2091" s="6">
        <v>77</v>
      </c>
      <c r="C2091" s="6">
        <v>13</v>
      </c>
      <c r="D2091" s="6">
        <v>10</v>
      </c>
      <c r="E2091" s="18">
        <v>0</v>
      </c>
      <c r="F2091" s="6" t="str">
        <f>IFERROR(VLOOKUP(VLOOKUP(A2091,'Sales Order'!A:B,2,FALSE),Customer!A:C,3,FALSE),"Not Specified")</f>
        <v>Schmöllerl, Martin</v>
      </c>
      <c r="G2091" s="6" t="str">
        <f t="shared" si="64"/>
        <v>Schmöllerl Martin</v>
      </c>
      <c r="H2091" s="22" t="str">
        <f>IFERROR(VLOOKUP(VLOOKUP(A2091,'Sales Order'!A:C,3,FALSE),Employee!A:E,5,FALSE)&amp;" "&amp;VLOOKUP(VLOOKUP(A2091,'Sales Order'!A:C,3,FALSE),Employee!A:C,3,FALSE)&amp;" "&amp;VLOOKUP(VLOOKUP(A2091,'Sales Order'!A:C,3,FALSE),Employee!A:B,2,FALSE),"Not Specified")</f>
        <v>Dr. Don Funk</v>
      </c>
      <c r="I2091" t="str">
        <f>IFERROR(VLOOKUP(VLOOKUP(A2091,'Sales Order'!A:C,3,FALSE),Employee!A:J,10,FALSE),"Not Specified")</f>
        <v>WA</v>
      </c>
      <c r="J2091" t="str">
        <f>VLOOKUP(B2091,Product!A:B,2,FALSE)</f>
        <v>Product LUNZZ</v>
      </c>
      <c r="K2091" t="str">
        <f>VLOOKUP(VLOOKUP(B2091,Product!A:D,4,FALSE),Category!A:B,2,FALSE)</f>
        <v>Condiments</v>
      </c>
      <c r="L2091" s="24">
        <f>IFERROR(VLOOKUP(A2091,'Sales Order'!A:D,4,FALSE),"")</f>
        <v>39568</v>
      </c>
      <c r="M2091" s="24">
        <f>IFERROR(VLOOKUP(A2091,'Sales Order'!A:F,6,FALSE),"")</f>
        <v>39572</v>
      </c>
      <c r="N2091" t="str">
        <f>IFERROR(VLOOKUP(VLOOKUP(A2091,'Sales Order'!A:G,7,FALSE),Shipper!A:B,2,FALSE),"Not Specified")</f>
        <v>Shipper ETYNR</v>
      </c>
      <c r="O2091" t="str">
        <f>IFERROR(VLOOKUP(A2091,'Sales Order'!A:I,9,FALSE),"Not Specified")</f>
        <v>Destination DICGM</v>
      </c>
      <c r="P2091" t="str">
        <f>IFERROR(VLOOKUP(A2091,'Sales Order'!A:N,14,FALSE),"Not Specified")</f>
        <v>Italy</v>
      </c>
      <c r="Q2091" t="str">
        <f>VLOOKUP(VLOOKUP(B2091,Product!A:C,3,FALSE),Supplier!A:B,2,FALSE)</f>
        <v>Supplier SVIYA</v>
      </c>
      <c r="R2091" t="str">
        <f>VLOOKUP(VLOOKUP(B2091,Product!A:C,3,FALSE),Supplier!A:I,9,FALSE)</f>
        <v>Germany</v>
      </c>
      <c r="S2091" t="str">
        <f>IFERROR(IF(VLOOKUP(A2091,'Sales Order'!A:H,8,FALSE)&gt;100,"High Freight","Low Freight"),"Not Specified")</f>
        <v>Low Freight</v>
      </c>
      <c r="T2091">
        <f t="shared" si="65"/>
        <v>130</v>
      </c>
    </row>
    <row r="2092" spans="1:20">
      <c r="A2092" s="9">
        <v>11061</v>
      </c>
      <c r="B2092" s="6">
        <v>60</v>
      </c>
      <c r="C2092" s="6">
        <v>34</v>
      </c>
      <c r="D2092" s="6">
        <v>15</v>
      </c>
      <c r="E2092" s="18">
        <v>0</v>
      </c>
      <c r="F2092" s="6" t="str">
        <f>IFERROR(VLOOKUP(VLOOKUP(A2092,'Sales Order'!A:B,2,FALSE),Customer!A:C,3,FALSE),"Not Specified")</f>
        <v>Krishnan, Venky</v>
      </c>
      <c r="G2092" s="6" t="str">
        <f t="shared" si="64"/>
        <v>Krishnan Venky</v>
      </c>
      <c r="H2092" s="22" t="str">
        <f>IFERROR(VLOOKUP(VLOOKUP(A2092,'Sales Order'!A:C,3,FALSE),Employee!A:E,5,FALSE)&amp;" "&amp;VLOOKUP(VLOOKUP(A2092,'Sales Order'!A:C,3,FALSE),Employee!A:C,3,FALSE)&amp;" "&amp;VLOOKUP(VLOOKUP(A2092,'Sales Order'!A:C,3,FALSE),Employee!A:B,2,FALSE),"Not Specified")</f>
        <v>Mrs. Yael Peled</v>
      </c>
      <c r="I2092" t="str">
        <f>IFERROR(VLOOKUP(VLOOKUP(A2092,'Sales Order'!A:C,3,FALSE),Employee!A:J,10,FALSE),"Not Specified")</f>
        <v>WA</v>
      </c>
      <c r="J2092" t="str">
        <f>VLOOKUP(B2092,Product!A:B,2,FALSE)</f>
        <v>Product WHBYK</v>
      </c>
      <c r="K2092" t="str">
        <f>VLOOKUP(VLOOKUP(B2092,Product!A:D,4,FALSE),Category!A:B,2,FALSE)</f>
        <v>Dairy Product</v>
      </c>
      <c r="L2092" s="24">
        <f>IFERROR(VLOOKUP(A2092,'Sales Order'!A:D,4,FALSE),"")</f>
        <v>39568</v>
      </c>
      <c r="M2092" s="24">
        <f>IFERROR(VLOOKUP(A2092,'Sales Order'!A:F,6,FALSE),"")</f>
        <v>0</v>
      </c>
      <c r="N2092" t="str">
        <f>IFERROR(VLOOKUP(VLOOKUP(A2092,'Sales Order'!A:G,7,FALSE),Shipper!A:B,2,FALSE),"Not Specified")</f>
        <v>Shipper ZHISN</v>
      </c>
      <c r="O2092" t="str">
        <f>IFERROR(VLOOKUP(A2092,'Sales Order'!A:I,9,FALSE),"Not Specified")</f>
        <v>Destination VYOBK</v>
      </c>
      <c r="P2092" t="str">
        <f>IFERROR(VLOOKUP(A2092,'Sales Order'!A:N,14,FALSE),"Not Specified")</f>
        <v>USA</v>
      </c>
      <c r="Q2092" t="str">
        <f>VLOOKUP(VLOOKUP(B2092,Product!A:C,3,FALSE),Supplier!A:B,2,FALSE)</f>
        <v>Supplier OAVQT</v>
      </c>
      <c r="R2092" t="str">
        <f>VLOOKUP(VLOOKUP(B2092,Product!A:C,3,FALSE),Supplier!A:I,9,FALSE)</f>
        <v>France</v>
      </c>
      <c r="S2092" t="str">
        <f>IFERROR(IF(VLOOKUP(A2092,'Sales Order'!A:H,8,FALSE)&gt;100,"High Freight","Low Freight"),"Not Specified")</f>
        <v>Low Freight</v>
      </c>
      <c r="T2092">
        <f t="shared" si="65"/>
        <v>510</v>
      </c>
    </row>
    <row r="2093" spans="1:20">
      <c r="A2093" s="9">
        <v>11062</v>
      </c>
      <c r="B2093" s="6">
        <v>53</v>
      </c>
      <c r="C2093" s="6">
        <v>32.799999999999997</v>
      </c>
      <c r="D2093" s="6">
        <v>10</v>
      </c>
      <c r="E2093" s="18">
        <v>0.2</v>
      </c>
      <c r="F2093" s="6" t="str">
        <f>IFERROR(VLOOKUP(VLOOKUP(A2093,'Sales Order'!A:B,2,FALSE),Customer!A:C,3,FALSE),"Not Specified")</f>
        <v>Voss, Florian</v>
      </c>
      <c r="G2093" s="6" t="str">
        <f t="shared" si="64"/>
        <v>Voss Florian</v>
      </c>
      <c r="H2093" s="22" t="str">
        <f>IFERROR(VLOOKUP(VLOOKUP(A2093,'Sales Order'!A:C,3,FALSE),Employee!A:E,5,FALSE)&amp;" "&amp;VLOOKUP(VLOOKUP(A2093,'Sales Order'!A:C,3,FALSE),Employee!A:C,3,FALSE)&amp;" "&amp;VLOOKUP(VLOOKUP(A2093,'Sales Order'!A:C,3,FALSE),Employee!A:B,2,FALSE),"Not Specified")</f>
        <v>Mrs. Yael Peled</v>
      </c>
      <c r="I2093" t="str">
        <f>IFERROR(VLOOKUP(VLOOKUP(A2093,'Sales Order'!A:C,3,FALSE),Employee!A:J,10,FALSE),"Not Specified")</f>
        <v>WA</v>
      </c>
      <c r="J2093" t="str">
        <f>VLOOKUP(B2093,Product!A:B,2,FALSE)</f>
        <v>Product BKGEA</v>
      </c>
      <c r="K2093" t="str">
        <f>VLOOKUP(VLOOKUP(B2093,Product!A:D,4,FALSE),Category!A:B,2,FALSE)</f>
        <v>Meat/Poultry</v>
      </c>
      <c r="L2093" s="24">
        <f>IFERROR(VLOOKUP(A2093,'Sales Order'!A:D,4,FALSE),"")</f>
        <v>39568</v>
      </c>
      <c r="M2093" s="24">
        <f>IFERROR(VLOOKUP(A2093,'Sales Order'!A:F,6,FALSE),"")</f>
        <v>0</v>
      </c>
      <c r="N2093" t="str">
        <f>IFERROR(VLOOKUP(VLOOKUP(A2093,'Sales Order'!A:G,7,FALSE),Shipper!A:B,2,FALSE),"Not Specified")</f>
        <v>Shipper ETYNR</v>
      </c>
      <c r="O2093" t="str">
        <f>IFERROR(VLOOKUP(A2093,'Sales Order'!A:I,9,FALSE),"Not Specified")</f>
        <v>Ship to 66-B</v>
      </c>
      <c r="P2093" t="str">
        <f>IFERROR(VLOOKUP(A2093,'Sales Order'!A:N,14,FALSE),"Not Specified")</f>
        <v>Italy</v>
      </c>
      <c r="Q2093" t="str">
        <f>VLOOKUP(VLOOKUP(B2093,Product!A:C,3,FALSE),Supplier!A:B,2,FALSE)</f>
        <v>Supplier JNNES</v>
      </c>
      <c r="R2093" t="str">
        <f>VLOOKUP(VLOOKUP(B2093,Product!A:C,3,FALSE),Supplier!A:I,9,FALSE)</f>
        <v>Australia</v>
      </c>
      <c r="S2093" t="str">
        <f>IFERROR(IF(VLOOKUP(A2093,'Sales Order'!A:H,8,FALSE)&gt;100,"High Freight","Low Freight"),"Not Specified")</f>
        <v>Low Freight</v>
      </c>
      <c r="T2093">
        <f t="shared" si="65"/>
        <v>262.40000000000003</v>
      </c>
    </row>
    <row r="2094" spans="1:20">
      <c r="A2094" s="9">
        <v>11062</v>
      </c>
      <c r="B2094" s="6">
        <v>70</v>
      </c>
      <c r="C2094" s="6">
        <v>15</v>
      </c>
      <c r="D2094" s="6">
        <v>12</v>
      </c>
      <c r="E2094" s="18">
        <v>0.2</v>
      </c>
      <c r="F2094" s="6" t="str">
        <f>IFERROR(VLOOKUP(VLOOKUP(A2094,'Sales Order'!A:B,2,FALSE),Customer!A:C,3,FALSE),"Not Specified")</f>
        <v>Voss, Florian</v>
      </c>
      <c r="G2094" s="6" t="str">
        <f t="shared" si="64"/>
        <v>Voss Florian</v>
      </c>
      <c r="H2094" s="22" t="str">
        <f>IFERROR(VLOOKUP(VLOOKUP(A2094,'Sales Order'!A:C,3,FALSE),Employee!A:E,5,FALSE)&amp;" "&amp;VLOOKUP(VLOOKUP(A2094,'Sales Order'!A:C,3,FALSE),Employee!A:C,3,FALSE)&amp;" "&amp;VLOOKUP(VLOOKUP(A2094,'Sales Order'!A:C,3,FALSE),Employee!A:B,2,FALSE),"Not Specified")</f>
        <v>Mrs. Yael Peled</v>
      </c>
      <c r="I2094" t="str">
        <f>IFERROR(VLOOKUP(VLOOKUP(A2094,'Sales Order'!A:C,3,FALSE),Employee!A:J,10,FALSE),"Not Specified")</f>
        <v>WA</v>
      </c>
      <c r="J2094" t="str">
        <f>VLOOKUP(B2094,Product!A:B,2,FALSE)</f>
        <v>Product TOONT</v>
      </c>
      <c r="K2094" t="str">
        <f>VLOOKUP(VLOOKUP(B2094,Product!A:D,4,FALSE),Category!A:B,2,FALSE)</f>
        <v>Beverages</v>
      </c>
      <c r="L2094" s="24">
        <f>IFERROR(VLOOKUP(A2094,'Sales Order'!A:D,4,FALSE),"")</f>
        <v>39568</v>
      </c>
      <c r="M2094" s="24">
        <f>IFERROR(VLOOKUP(A2094,'Sales Order'!A:F,6,FALSE),"")</f>
        <v>0</v>
      </c>
      <c r="N2094" t="str">
        <f>IFERROR(VLOOKUP(VLOOKUP(A2094,'Sales Order'!A:G,7,FALSE),Shipper!A:B,2,FALSE),"Not Specified")</f>
        <v>Shipper ETYNR</v>
      </c>
      <c r="O2094" t="str">
        <f>IFERROR(VLOOKUP(A2094,'Sales Order'!A:I,9,FALSE),"Not Specified")</f>
        <v>Ship to 66-B</v>
      </c>
      <c r="P2094" t="str">
        <f>IFERROR(VLOOKUP(A2094,'Sales Order'!A:N,14,FALSE),"Not Specified")</f>
        <v>Italy</v>
      </c>
      <c r="Q2094" t="str">
        <f>VLOOKUP(VLOOKUP(B2094,Product!A:C,3,FALSE),Supplier!A:B,2,FALSE)</f>
        <v>Supplier GQRCV</v>
      </c>
      <c r="R2094" t="str">
        <f>VLOOKUP(VLOOKUP(B2094,Product!A:C,3,FALSE),Supplier!A:I,9,FALSE)</f>
        <v>Australia</v>
      </c>
      <c r="S2094" t="str">
        <f>IFERROR(IF(VLOOKUP(A2094,'Sales Order'!A:H,8,FALSE)&gt;100,"High Freight","Low Freight"),"Not Specified")</f>
        <v>Low Freight</v>
      </c>
      <c r="T2094">
        <f t="shared" si="65"/>
        <v>144</v>
      </c>
    </row>
    <row r="2095" spans="1:20">
      <c r="A2095" s="9">
        <v>11063</v>
      </c>
      <c r="B2095" s="6">
        <v>34</v>
      </c>
      <c r="C2095" s="6">
        <v>14</v>
      </c>
      <c r="D2095" s="6">
        <v>30</v>
      </c>
      <c r="E2095" s="18">
        <v>0</v>
      </c>
      <c r="F2095" s="6" t="str">
        <f>IFERROR(VLOOKUP(VLOOKUP(A2095,'Sales Order'!A:B,2,FALSE),Customer!A:C,3,FALSE),"Not Specified")</f>
        <v>Crăciun, Ovidiu V.</v>
      </c>
      <c r="G2095" s="6" t="str">
        <f t="shared" si="64"/>
        <v>Crăciun Ovidiu V.</v>
      </c>
      <c r="H2095" s="22" t="str">
        <f>IFERROR(VLOOKUP(VLOOKUP(A2095,'Sales Order'!A:C,3,FALSE),Employee!A:E,5,FALSE)&amp;" "&amp;VLOOKUP(VLOOKUP(A2095,'Sales Order'!A:C,3,FALSE),Employee!A:C,3,FALSE)&amp;" "&amp;VLOOKUP(VLOOKUP(A2095,'Sales Order'!A:C,3,FALSE),Employee!A:B,2,FALSE),"Not Specified")</f>
        <v>Ms. Judy Lew</v>
      </c>
      <c r="I2095" t="str">
        <f>IFERROR(VLOOKUP(VLOOKUP(A2095,'Sales Order'!A:C,3,FALSE),Employee!A:J,10,FALSE),"Not Specified")</f>
        <v>WA</v>
      </c>
      <c r="J2095" t="str">
        <f>VLOOKUP(B2095,Product!A:B,2,FALSE)</f>
        <v>Product SWNJY</v>
      </c>
      <c r="K2095" t="str">
        <f>VLOOKUP(VLOOKUP(B2095,Product!A:D,4,FALSE),Category!A:B,2,FALSE)</f>
        <v>Beverages</v>
      </c>
      <c r="L2095" s="24">
        <f>IFERROR(VLOOKUP(A2095,'Sales Order'!A:D,4,FALSE),"")</f>
        <v>39568</v>
      </c>
      <c r="M2095" s="24">
        <f>IFERROR(VLOOKUP(A2095,'Sales Order'!A:F,6,FALSE),"")</f>
        <v>39574</v>
      </c>
      <c r="N2095" t="str">
        <f>IFERROR(VLOOKUP(VLOOKUP(A2095,'Sales Order'!A:G,7,FALSE),Shipper!A:B,2,FALSE),"Not Specified")</f>
        <v>Shipper ETYNR</v>
      </c>
      <c r="O2095" t="str">
        <f>IFERROR(VLOOKUP(A2095,'Sales Order'!A:I,9,FALSE),"Not Specified")</f>
        <v>Destination KPVYJ</v>
      </c>
      <c r="P2095" t="str">
        <f>IFERROR(VLOOKUP(A2095,'Sales Order'!A:N,14,FALSE),"Not Specified")</f>
        <v>Ireland</v>
      </c>
      <c r="Q2095" t="str">
        <f>VLOOKUP(VLOOKUP(B2095,Product!A:C,3,FALSE),Supplier!A:B,2,FALSE)</f>
        <v>Supplier UHZRG</v>
      </c>
      <c r="R2095" t="str">
        <f>VLOOKUP(VLOOKUP(B2095,Product!A:C,3,FALSE),Supplier!A:I,9,FALSE)</f>
        <v>USA</v>
      </c>
      <c r="S2095" t="str">
        <f>IFERROR(IF(VLOOKUP(A2095,'Sales Order'!A:H,8,FALSE)&gt;100,"High Freight","Low Freight"),"Not Specified")</f>
        <v>Low Freight</v>
      </c>
      <c r="T2095">
        <f t="shared" si="65"/>
        <v>420</v>
      </c>
    </row>
    <row r="2096" spans="1:20">
      <c r="A2096" s="9">
        <v>11063</v>
      </c>
      <c r="B2096" s="6">
        <v>40</v>
      </c>
      <c r="C2096" s="6">
        <v>18.399999999999999</v>
      </c>
      <c r="D2096" s="6">
        <v>40</v>
      </c>
      <c r="E2096" s="18">
        <v>0.1</v>
      </c>
      <c r="F2096" s="6" t="str">
        <f>IFERROR(VLOOKUP(VLOOKUP(A2096,'Sales Order'!A:B,2,FALSE),Customer!A:C,3,FALSE),"Not Specified")</f>
        <v>Crăciun, Ovidiu V.</v>
      </c>
      <c r="G2096" s="6" t="str">
        <f t="shared" si="64"/>
        <v>Crăciun Ovidiu V.</v>
      </c>
      <c r="H2096" s="22" t="str">
        <f>IFERROR(VLOOKUP(VLOOKUP(A2096,'Sales Order'!A:C,3,FALSE),Employee!A:E,5,FALSE)&amp;" "&amp;VLOOKUP(VLOOKUP(A2096,'Sales Order'!A:C,3,FALSE),Employee!A:C,3,FALSE)&amp;" "&amp;VLOOKUP(VLOOKUP(A2096,'Sales Order'!A:C,3,FALSE),Employee!A:B,2,FALSE),"Not Specified")</f>
        <v>Ms. Judy Lew</v>
      </c>
      <c r="I2096" t="str">
        <f>IFERROR(VLOOKUP(VLOOKUP(A2096,'Sales Order'!A:C,3,FALSE),Employee!A:J,10,FALSE),"Not Specified")</f>
        <v>WA</v>
      </c>
      <c r="J2096" t="str">
        <f>VLOOKUP(B2096,Product!A:B,2,FALSE)</f>
        <v>Product YZIXQ</v>
      </c>
      <c r="K2096" t="str">
        <f>VLOOKUP(VLOOKUP(B2096,Product!A:D,4,FALSE),Category!A:B,2,FALSE)</f>
        <v>Seafood</v>
      </c>
      <c r="L2096" s="24">
        <f>IFERROR(VLOOKUP(A2096,'Sales Order'!A:D,4,FALSE),"")</f>
        <v>39568</v>
      </c>
      <c r="M2096" s="24">
        <f>IFERROR(VLOOKUP(A2096,'Sales Order'!A:F,6,FALSE),"")</f>
        <v>39574</v>
      </c>
      <c r="N2096" t="str">
        <f>IFERROR(VLOOKUP(VLOOKUP(A2096,'Sales Order'!A:G,7,FALSE),Shipper!A:B,2,FALSE),"Not Specified")</f>
        <v>Shipper ETYNR</v>
      </c>
      <c r="O2096" t="str">
        <f>IFERROR(VLOOKUP(A2096,'Sales Order'!A:I,9,FALSE),"Not Specified")</f>
        <v>Destination KPVYJ</v>
      </c>
      <c r="P2096" t="str">
        <f>IFERROR(VLOOKUP(A2096,'Sales Order'!A:N,14,FALSE),"Not Specified")</f>
        <v>Ireland</v>
      </c>
      <c r="Q2096" t="str">
        <f>VLOOKUP(VLOOKUP(B2096,Product!A:C,3,FALSE),Supplier!A:B,2,FALSE)</f>
        <v>Supplier JDNUG</v>
      </c>
      <c r="R2096" t="str">
        <f>VLOOKUP(VLOOKUP(B2096,Product!A:C,3,FALSE),Supplier!A:I,9,FALSE)</f>
        <v>USA</v>
      </c>
      <c r="S2096" t="str">
        <f>IFERROR(IF(VLOOKUP(A2096,'Sales Order'!A:H,8,FALSE)&gt;100,"High Freight","Low Freight"),"Not Specified")</f>
        <v>Low Freight</v>
      </c>
      <c r="T2096">
        <f t="shared" si="65"/>
        <v>662.4</v>
      </c>
    </row>
    <row r="2097" spans="1:20">
      <c r="A2097" s="9">
        <v>11063</v>
      </c>
      <c r="B2097" s="6">
        <v>41</v>
      </c>
      <c r="C2097" s="6">
        <v>9.65</v>
      </c>
      <c r="D2097" s="6">
        <v>30</v>
      </c>
      <c r="E2097" s="18">
        <v>0.1</v>
      </c>
      <c r="F2097" s="6" t="str">
        <f>IFERROR(VLOOKUP(VLOOKUP(A2097,'Sales Order'!A:B,2,FALSE),Customer!A:C,3,FALSE),"Not Specified")</f>
        <v>Crăciun, Ovidiu V.</v>
      </c>
      <c r="G2097" s="6" t="str">
        <f t="shared" si="64"/>
        <v>Crăciun Ovidiu V.</v>
      </c>
      <c r="H2097" s="22" t="str">
        <f>IFERROR(VLOOKUP(VLOOKUP(A2097,'Sales Order'!A:C,3,FALSE),Employee!A:E,5,FALSE)&amp;" "&amp;VLOOKUP(VLOOKUP(A2097,'Sales Order'!A:C,3,FALSE),Employee!A:C,3,FALSE)&amp;" "&amp;VLOOKUP(VLOOKUP(A2097,'Sales Order'!A:C,3,FALSE),Employee!A:B,2,FALSE),"Not Specified")</f>
        <v>Ms. Judy Lew</v>
      </c>
      <c r="I2097" t="str">
        <f>IFERROR(VLOOKUP(VLOOKUP(A2097,'Sales Order'!A:C,3,FALSE),Employee!A:J,10,FALSE),"Not Specified")</f>
        <v>WA</v>
      </c>
      <c r="J2097" t="str">
        <f>VLOOKUP(B2097,Product!A:B,2,FALSE)</f>
        <v>Product TTEEX</v>
      </c>
      <c r="K2097" t="str">
        <f>VLOOKUP(VLOOKUP(B2097,Product!A:D,4,FALSE),Category!A:B,2,FALSE)</f>
        <v>Seafood</v>
      </c>
      <c r="L2097" s="24">
        <f>IFERROR(VLOOKUP(A2097,'Sales Order'!A:D,4,FALSE),"")</f>
        <v>39568</v>
      </c>
      <c r="M2097" s="24">
        <f>IFERROR(VLOOKUP(A2097,'Sales Order'!A:F,6,FALSE),"")</f>
        <v>39574</v>
      </c>
      <c r="N2097" t="str">
        <f>IFERROR(VLOOKUP(VLOOKUP(A2097,'Sales Order'!A:G,7,FALSE),Shipper!A:B,2,FALSE),"Not Specified")</f>
        <v>Shipper ETYNR</v>
      </c>
      <c r="O2097" t="str">
        <f>IFERROR(VLOOKUP(A2097,'Sales Order'!A:I,9,FALSE),"Not Specified")</f>
        <v>Destination KPVYJ</v>
      </c>
      <c r="P2097" t="str">
        <f>IFERROR(VLOOKUP(A2097,'Sales Order'!A:N,14,FALSE),"Not Specified")</f>
        <v>Ireland</v>
      </c>
      <c r="Q2097" t="str">
        <f>VLOOKUP(VLOOKUP(B2097,Product!A:C,3,FALSE),Supplier!A:B,2,FALSE)</f>
        <v>Supplier JDNUG</v>
      </c>
      <c r="R2097" t="str">
        <f>VLOOKUP(VLOOKUP(B2097,Product!A:C,3,FALSE),Supplier!A:I,9,FALSE)</f>
        <v>USA</v>
      </c>
      <c r="S2097" t="str">
        <f>IFERROR(IF(VLOOKUP(A2097,'Sales Order'!A:H,8,FALSE)&gt;100,"High Freight","Low Freight"),"Not Specified")</f>
        <v>Low Freight</v>
      </c>
      <c r="T2097">
        <f t="shared" si="65"/>
        <v>260.55</v>
      </c>
    </row>
    <row r="2098" spans="1:20">
      <c r="A2098" s="9">
        <v>11064</v>
      </c>
      <c r="B2098" s="6">
        <v>17</v>
      </c>
      <c r="C2098" s="6">
        <v>39</v>
      </c>
      <c r="D2098" s="6">
        <v>77</v>
      </c>
      <c r="E2098" s="18">
        <v>0.1</v>
      </c>
      <c r="F2098" s="6" t="str">
        <f>IFERROR(VLOOKUP(VLOOKUP(A2098,'Sales Order'!A:B,2,FALSE),Customer!A:C,3,FALSE),"Not Specified")</f>
        <v>Navarro, Tomás</v>
      </c>
      <c r="G2098" s="6" t="str">
        <f t="shared" si="64"/>
        <v>Navarro Tomás</v>
      </c>
      <c r="H2098" s="22" t="str">
        <f>IFERROR(VLOOKUP(VLOOKUP(A2098,'Sales Order'!A:C,3,FALSE),Employee!A:E,5,FALSE)&amp;" "&amp;VLOOKUP(VLOOKUP(A2098,'Sales Order'!A:C,3,FALSE),Employee!A:C,3,FALSE)&amp;" "&amp;VLOOKUP(VLOOKUP(A2098,'Sales Order'!A:C,3,FALSE),Employee!A:B,2,FALSE),"Not Specified")</f>
        <v>Ms. Sara Davis</v>
      </c>
      <c r="I2098" t="str">
        <f>IFERROR(VLOOKUP(VLOOKUP(A2098,'Sales Order'!A:C,3,FALSE),Employee!A:J,10,FALSE),"Not Specified")</f>
        <v>WA</v>
      </c>
      <c r="J2098" t="str">
        <f>VLOOKUP(B2098,Product!A:B,2,FALSE)</f>
        <v>Product BLCAX</v>
      </c>
      <c r="K2098" t="str">
        <f>VLOOKUP(VLOOKUP(B2098,Product!A:D,4,FALSE),Category!A:B,2,FALSE)</f>
        <v>Meat/Poultry</v>
      </c>
      <c r="L2098" s="24">
        <f>IFERROR(VLOOKUP(A2098,'Sales Order'!A:D,4,FALSE),"")</f>
        <v>39569</v>
      </c>
      <c r="M2098" s="24">
        <f>IFERROR(VLOOKUP(A2098,'Sales Order'!A:F,6,FALSE),"")</f>
        <v>39572</v>
      </c>
      <c r="N2098" t="str">
        <f>IFERROR(VLOOKUP(VLOOKUP(A2098,'Sales Order'!A:G,7,FALSE),Shipper!A:B,2,FALSE),"Not Specified")</f>
        <v>Shipper GVSUA</v>
      </c>
      <c r="O2098" t="str">
        <f>IFERROR(VLOOKUP(A2098,'Sales Order'!A:I,9,FALSE),"Not Specified")</f>
        <v>Ship to 71-C</v>
      </c>
      <c r="P2098" t="str">
        <f>IFERROR(VLOOKUP(A2098,'Sales Order'!A:N,14,FALSE),"Not Specified")</f>
        <v>USA</v>
      </c>
      <c r="Q2098" t="str">
        <f>VLOOKUP(VLOOKUP(B2098,Product!A:C,3,FALSE),Supplier!A:B,2,FALSE)</f>
        <v>Supplier GQRCV</v>
      </c>
      <c r="R2098" t="str">
        <f>VLOOKUP(VLOOKUP(B2098,Product!A:C,3,FALSE),Supplier!A:I,9,FALSE)</f>
        <v>Australia</v>
      </c>
      <c r="S2098" t="str">
        <f>IFERROR(IF(VLOOKUP(A2098,'Sales Order'!A:H,8,FALSE)&gt;100,"High Freight","Low Freight"),"Not Specified")</f>
        <v>Low Freight</v>
      </c>
      <c r="T2098">
        <f t="shared" si="65"/>
        <v>2702.7000000000003</v>
      </c>
    </row>
    <row r="2099" spans="1:20">
      <c r="A2099" s="9">
        <v>11064</v>
      </c>
      <c r="B2099" s="6">
        <v>41</v>
      </c>
      <c r="C2099" s="6">
        <v>9.65</v>
      </c>
      <c r="D2099" s="6">
        <v>12</v>
      </c>
      <c r="E2099" s="18">
        <v>0</v>
      </c>
      <c r="F2099" s="6" t="str">
        <f>IFERROR(VLOOKUP(VLOOKUP(A2099,'Sales Order'!A:B,2,FALSE),Customer!A:C,3,FALSE),"Not Specified")</f>
        <v>Navarro, Tomás</v>
      </c>
      <c r="G2099" s="6" t="str">
        <f t="shared" si="64"/>
        <v>Navarro Tomás</v>
      </c>
      <c r="H2099" s="22" t="str">
        <f>IFERROR(VLOOKUP(VLOOKUP(A2099,'Sales Order'!A:C,3,FALSE),Employee!A:E,5,FALSE)&amp;" "&amp;VLOOKUP(VLOOKUP(A2099,'Sales Order'!A:C,3,FALSE),Employee!A:C,3,FALSE)&amp;" "&amp;VLOOKUP(VLOOKUP(A2099,'Sales Order'!A:C,3,FALSE),Employee!A:B,2,FALSE),"Not Specified")</f>
        <v>Ms. Sara Davis</v>
      </c>
      <c r="I2099" t="str">
        <f>IFERROR(VLOOKUP(VLOOKUP(A2099,'Sales Order'!A:C,3,FALSE),Employee!A:J,10,FALSE),"Not Specified")</f>
        <v>WA</v>
      </c>
      <c r="J2099" t="str">
        <f>VLOOKUP(B2099,Product!A:B,2,FALSE)</f>
        <v>Product TTEEX</v>
      </c>
      <c r="K2099" t="str">
        <f>VLOOKUP(VLOOKUP(B2099,Product!A:D,4,FALSE),Category!A:B,2,FALSE)</f>
        <v>Seafood</v>
      </c>
      <c r="L2099" s="24">
        <f>IFERROR(VLOOKUP(A2099,'Sales Order'!A:D,4,FALSE),"")</f>
        <v>39569</v>
      </c>
      <c r="M2099" s="24">
        <f>IFERROR(VLOOKUP(A2099,'Sales Order'!A:F,6,FALSE),"")</f>
        <v>39572</v>
      </c>
      <c r="N2099" t="str">
        <f>IFERROR(VLOOKUP(VLOOKUP(A2099,'Sales Order'!A:G,7,FALSE),Shipper!A:B,2,FALSE),"Not Specified")</f>
        <v>Shipper GVSUA</v>
      </c>
      <c r="O2099" t="str">
        <f>IFERROR(VLOOKUP(A2099,'Sales Order'!A:I,9,FALSE),"Not Specified")</f>
        <v>Ship to 71-C</v>
      </c>
      <c r="P2099" t="str">
        <f>IFERROR(VLOOKUP(A2099,'Sales Order'!A:N,14,FALSE),"Not Specified")</f>
        <v>USA</v>
      </c>
      <c r="Q2099" t="str">
        <f>VLOOKUP(VLOOKUP(B2099,Product!A:C,3,FALSE),Supplier!A:B,2,FALSE)</f>
        <v>Supplier JDNUG</v>
      </c>
      <c r="R2099" t="str">
        <f>VLOOKUP(VLOOKUP(B2099,Product!A:C,3,FALSE),Supplier!A:I,9,FALSE)</f>
        <v>USA</v>
      </c>
      <c r="S2099" t="str">
        <f>IFERROR(IF(VLOOKUP(A2099,'Sales Order'!A:H,8,FALSE)&gt;100,"High Freight","Low Freight"),"Not Specified")</f>
        <v>Low Freight</v>
      </c>
      <c r="T2099">
        <f t="shared" si="65"/>
        <v>115.80000000000001</v>
      </c>
    </row>
    <row r="2100" spans="1:20">
      <c r="A2100" s="9">
        <v>11064</v>
      </c>
      <c r="B2100" s="6">
        <v>53</v>
      </c>
      <c r="C2100" s="6">
        <v>32.799999999999997</v>
      </c>
      <c r="D2100" s="6">
        <v>25</v>
      </c>
      <c r="E2100" s="18">
        <v>0.1</v>
      </c>
      <c r="F2100" s="6" t="str">
        <f>IFERROR(VLOOKUP(VLOOKUP(A2100,'Sales Order'!A:B,2,FALSE),Customer!A:C,3,FALSE),"Not Specified")</f>
        <v>Navarro, Tomás</v>
      </c>
      <c r="G2100" s="6" t="str">
        <f t="shared" si="64"/>
        <v>Navarro Tomás</v>
      </c>
      <c r="H2100" s="22" t="str">
        <f>IFERROR(VLOOKUP(VLOOKUP(A2100,'Sales Order'!A:C,3,FALSE),Employee!A:E,5,FALSE)&amp;" "&amp;VLOOKUP(VLOOKUP(A2100,'Sales Order'!A:C,3,FALSE),Employee!A:C,3,FALSE)&amp;" "&amp;VLOOKUP(VLOOKUP(A2100,'Sales Order'!A:C,3,FALSE),Employee!A:B,2,FALSE),"Not Specified")</f>
        <v>Ms. Sara Davis</v>
      </c>
      <c r="I2100" t="str">
        <f>IFERROR(VLOOKUP(VLOOKUP(A2100,'Sales Order'!A:C,3,FALSE),Employee!A:J,10,FALSE),"Not Specified")</f>
        <v>WA</v>
      </c>
      <c r="J2100" t="str">
        <f>VLOOKUP(B2100,Product!A:B,2,FALSE)</f>
        <v>Product BKGEA</v>
      </c>
      <c r="K2100" t="str">
        <f>VLOOKUP(VLOOKUP(B2100,Product!A:D,4,FALSE),Category!A:B,2,FALSE)</f>
        <v>Meat/Poultry</v>
      </c>
      <c r="L2100" s="24">
        <f>IFERROR(VLOOKUP(A2100,'Sales Order'!A:D,4,FALSE),"")</f>
        <v>39569</v>
      </c>
      <c r="M2100" s="24">
        <f>IFERROR(VLOOKUP(A2100,'Sales Order'!A:F,6,FALSE),"")</f>
        <v>39572</v>
      </c>
      <c r="N2100" t="str">
        <f>IFERROR(VLOOKUP(VLOOKUP(A2100,'Sales Order'!A:G,7,FALSE),Shipper!A:B,2,FALSE),"Not Specified")</f>
        <v>Shipper GVSUA</v>
      </c>
      <c r="O2100" t="str">
        <f>IFERROR(VLOOKUP(A2100,'Sales Order'!A:I,9,FALSE),"Not Specified")</f>
        <v>Ship to 71-C</v>
      </c>
      <c r="P2100" t="str">
        <f>IFERROR(VLOOKUP(A2100,'Sales Order'!A:N,14,FALSE),"Not Specified")</f>
        <v>USA</v>
      </c>
      <c r="Q2100" t="str">
        <f>VLOOKUP(VLOOKUP(B2100,Product!A:C,3,FALSE),Supplier!A:B,2,FALSE)</f>
        <v>Supplier JNNES</v>
      </c>
      <c r="R2100" t="str">
        <f>VLOOKUP(VLOOKUP(B2100,Product!A:C,3,FALSE),Supplier!A:I,9,FALSE)</f>
        <v>Australia</v>
      </c>
      <c r="S2100" t="str">
        <f>IFERROR(IF(VLOOKUP(A2100,'Sales Order'!A:H,8,FALSE)&gt;100,"High Freight","Low Freight"),"Not Specified")</f>
        <v>Low Freight</v>
      </c>
      <c r="T2100">
        <f t="shared" si="65"/>
        <v>737.99999999999989</v>
      </c>
    </row>
    <row r="2101" spans="1:20">
      <c r="A2101" s="9">
        <v>11064</v>
      </c>
      <c r="B2101" s="6">
        <v>55</v>
      </c>
      <c r="C2101" s="6">
        <v>24</v>
      </c>
      <c r="D2101" s="6">
        <v>4</v>
      </c>
      <c r="E2101" s="18">
        <v>0.1</v>
      </c>
      <c r="F2101" s="6" t="str">
        <f>IFERROR(VLOOKUP(VLOOKUP(A2101,'Sales Order'!A:B,2,FALSE),Customer!A:C,3,FALSE),"Not Specified")</f>
        <v>Navarro, Tomás</v>
      </c>
      <c r="G2101" s="6" t="str">
        <f t="shared" si="64"/>
        <v>Navarro Tomás</v>
      </c>
      <c r="H2101" s="22" t="str">
        <f>IFERROR(VLOOKUP(VLOOKUP(A2101,'Sales Order'!A:C,3,FALSE),Employee!A:E,5,FALSE)&amp;" "&amp;VLOOKUP(VLOOKUP(A2101,'Sales Order'!A:C,3,FALSE),Employee!A:C,3,FALSE)&amp;" "&amp;VLOOKUP(VLOOKUP(A2101,'Sales Order'!A:C,3,FALSE),Employee!A:B,2,FALSE),"Not Specified")</f>
        <v>Ms. Sara Davis</v>
      </c>
      <c r="I2101" t="str">
        <f>IFERROR(VLOOKUP(VLOOKUP(A2101,'Sales Order'!A:C,3,FALSE),Employee!A:J,10,FALSE),"Not Specified")</f>
        <v>WA</v>
      </c>
      <c r="J2101" t="str">
        <f>VLOOKUP(B2101,Product!A:B,2,FALSE)</f>
        <v>Product YYWRT</v>
      </c>
      <c r="K2101" t="str">
        <f>VLOOKUP(VLOOKUP(B2101,Product!A:D,4,FALSE),Category!A:B,2,FALSE)</f>
        <v>Meat/Poultry</v>
      </c>
      <c r="L2101" s="24">
        <f>IFERROR(VLOOKUP(A2101,'Sales Order'!A:D,4,FALSE),"")</f>
        <v>39569</v>
      </c>
      <c r="M2101" s="24">
        <f>IFERROR(VLOOKUP(A2101,'Sales Order'!A:F,6,FALSE),"")</f>
        <v>39572</v>
      </c>
      <c r="N2101" t="str">
        <f>IFERROR(VLOOKUP(VLOOKUP(A2101,'Sales Order'!A:G,7,FALSE),Shipper!A:B,2,FALSE),"Not Specified")</f>
        <v>Shipper GVSUA</v>
      </c>
      <c r="O2101" t="str">
        <f>IFERROR(VLOOKUP(A2101,'Sales Order'!A:I,9,FALSE),"Not Specified")</f>
        <v>Ship to 71-C</v>
      </c>
      <c r="P2101" t="str">
        <f>IFERROR(VLOOKUP(A2101,'Sales Order'!A:N,14,FALSE),"Not Specified")</f>
        <v>USA</v>
      </c>
      <c r="Q2101" t="str">
        <f>VLOOKUP(VLOOKUP(B2101,Product!A:C,3,FALSE),Supplier!A:B,2,FALSE)</f>
        <v>Supplier ERVYZ</v>
      </c>
      <c r="R2101" t="str">
        <f>VLOOKUP(VLOOKUP(B2101,Product!A:C,3,FALSE),Supplier!A:I,9,FALSE)</f>
        <v>Canada</v>
      </c>
      <c r="S2101" t="str">
        <f>IFERROR(IF(VLOOKUP(A2101,'Sales Order'!A:H,8,FALSE)&gt;100,"High Freight","Low Freight"),"Not Specified")</f>
        <v>Low Freight</v>
      </c>
      <c r="T2101">
        <f t="shared" si="65"/>
        <v>86.4</v>
      </c>
    </row>
    <row r="2102" spans="1:20">
      <c r="A2102" s="9">
        <v>11064</v>
      </c>
      <c r="B2102" s="6">
        <v>68</v>
      </c>
      <c r="C2102" s="6">
        <v>12.5</v>
      </c>
      <c r="D2102" s="6">
        <v>55</v>
      </c>
      <c r="E2102" s="18">
        <v>0</v>
      </c>
      <c r="F2102" s="6" t="str">
        <f>IFERROR(VLOOKUP(VLOOKUP(A2102,'Sales Order'!A:B,2,FALSE),Customer!A:C,3,FALSE),"Not Specified")</f>
        <v>Navarro, Tomás</v>
      </c>
      <c r="G2102" s="6" t="str">
        <f t="shared" si="64"/>
        <v>Navarro Tomás</v>
      </c>
      <c r="H2102" s="22" t="str">
        <f>IFERROR(VLOOKUP(VLOOKUP(A2102,'Sales Order'!A:C,3,FALSE),Employee!A:E,5,FALSE)&amp;" "&amp;VLOOKUP(VLOOKUP(A2102,'Sales Order'!A:C,3,FALSE),Employee!A:C,3,FALSE)&amp;" "&amp;VLOOKUP(VLOOKUP(A2102,'Sales Order'!A:C,3,FALSE),Employee!A:B,2,FALSE),"Not Specified")</f>
        <v>Ms. Sara Davis</v>
      </c>
      <c r="I2102" t="str">
        <f>IFERROR(VLOOKUP(VLOOKUP(A2102,'Sales Order'!A:C,3,FALSE),Employee!A:J,10,FALSE),"Not Specified")</f>
        <v>WA</v>
      </c>
      <c r="J2102" t="str">
        <f>VLOOKUP(B2102,Product!A:B,2,FALSE)</f>
        <v>Product TBTBL</v>
      </c>
      <c r="K2102" t="str">
        <f>VLOOKUP(VLOOKUP(B2102,Product!A:D,4,FALSE),Category!A:B,2,FALSE)</f>
        <v>Confections</v>
      </c>
      <c r="L2102" s="24">
        <f>IFERROR(VLOOKUP(A2102,'Sales Order'!A:D,4,FALSE),"")</f>
        <v>39569</v>
      </c>
      <c r="M2102" s="24">
        <f>IFERROR(VLOOKUP(A2102,'Sales Order'!A:F,6,FALSE),"")</f>
        <v>39572</v>
      </c>
      <c r="N2102" t="str">
        <f>IFERROR(VLOOKUP(VLOOKUP(A2102,'Sales Order'!A:G,7,FALSE),Shipper!A:B,2,FALSE),"Not Specified")</f>
        <v>Shipper GVSUA</v>
      </c>
      <c r="O2102" t="str">
        <f>IFERROR(VLOOKUP(A2102,'Sales Order'!A:I,9,FALSE),"Not Specified")</f>
        <v>Ship to 71-C</v>
      </c>
      <c r="P2102" t="str">
        <f>IFERROR(VLOOKUP(A2102,'Sales Order'!A:N,14,FALSE),"Not Specified")</f>
        <v>USA</v>
      </c>
      <c r="Q2102" t="str">
        <f>VLOOKUP(VLOOKUP(B2102,Product!A:C,3,FALSE),Supplier!A:B,2,FALSE)</f>
        <v>Supplier BWGYE</v>
      </c>
      <c r="R2102" t="str">
        <f>VLOOKUP(VLOOKUP(B2102,Product!A:C,3,FALSE),Supplier!A:I,9,FALSE)</f>
        <v>UK</v>
      </c>
      <c r="S2102" t="str">
        <f>IFERROR(IF(VLOOKUP(A2102,'Sales Order'!A:H,8,FALSE)&gt;100,"High Freight","Low Freight"),"Not Specified")</f>
        <v>Low Freight</v>
      </c>
      <c r="T2102">
        <f t="shared" si="65"/>
        <v>687.5</v>
      </c>
    </row>
    <row r="2103" spans="1:20">
      <c r="A2103" s="9">
        <v>11065</v>
      </c>
      <c r="B2103" s="6">
        <v>30</v>
      </c>
      <c r="C2103" s="6">
        <v>25.89</v>
      </c>
      <c r="D2103" s="6">
        <v>4</v>
      </c>
      <c r="E2103" s="18">
        <v>0.25</v>
      </c>
      <c r="F2103" s="6" t="str">
        <f>IFERROR(VLOOKUP(VLOOKUP(A2103,'Sales Order'!A:B,2,FALSE),Customer!A:C,3,FALSE),"Not Specified")</f>
        <v>Dressler, Marlies</v>
      </c>
      <c r="G2103" s="6" t="str">
        <f t="shared" si="64"/>
        <v>Dressler Marlies</v>
      </c>
      <c r="H2103" s="22" t="str">
        <f>IFERROR(VLOOKUP(VLOOKUP(A2103,'Sales Order'!A:C,3,FALSE),Employee!A:E,5,FALSE)&amp;" "&amp;VLOOKUP(VLOOKUP(A2103,'Sales Order'!A:C,3,FALSE),Employee!A:C,3,FALSE)&amp;" "&amp;VLOOKUP(VLOOKUP(A2103,'Sales Order'!A:C,3,FALSE),Employee!A:B,2,FALSE),"Not Specified")</f>
        <v>Ms. Maria Cameron</v>
      </c>
      <c r="I2103" t="str">
        <f>IFERROR(VLOOKUP(VLOOKUP(A2103,'Sales Order'!A:C,3,FALSE),Employee!A:J,10,FALSE),"Not Specified")</f>
        <v>WA</v>
      </c>
      <c r="J2103" t="str">
        <f>VLOOKUP(B2103,Product!A:B,2,FALSE)</f>
        <v>Product LYERX</v>
      </c>
      <c r="K2103" t="str">
        <f>VLOOKUP(VLOOKUP(B2103,Product!A:D,4,FALSE),Category!A:B,2,FALSE)</f>
        <v>Seafood</v>
      </c>
      <c r="L2103" s="24">
        <f>IFERROR(VLOOKUP(A2103,'Sales Order'!A:D,4,FALSE),"")</f>
        <v>39569</v>
      </c>
      <c r="M2103" s="24">
        <f>IFERROR(VLOOKUP(A2103,'Sales Order'!A:F,6,FALSE),"")</f>
        <v>0</v>
      </c>
      <c r="N2103" t="str">
        <f>IFERROR(VLOOKUP(VLOOKUP(A2103,'Sales Order'!A:G,7,FALSE),Shipper!A:B,2,FALSE),"Not Specified")</f>
        <v>Shipper GVSUA</v>
      </c>
      <c r="O2103" t="str">
        <f>IFERROR(VLOOKUP(A2103,'Sales Order'!A:I,9,FALSE),"Not Specified")</f>
        <v>Ship to 46-C</v>
      </c>
      <c r="P2103" t="str">
        <f>IFERROR(VLOOKUP(A2103,'Sales Order'!A:N,14,FALSE),"Not Specified")</f>
        <v>Venezuela</v>
      </c>
      <c r="Q2103" t="str">
        <f>VLOOKUP(VLOOKUP(B2103,Product!A:C,3,FALSE),Supplier!A:B,2,FALSE)</f>
        <v>Supplier TEGSC</v>
      </c>
      <c r="R2103" t="str">
        <f>VLOOKUP(VLOOKUP(B2103,Product!A:C,3,FALSE),Supplier!A:I,9,FALSE)</f>
        <v>Germany</v>
      </c>
      <c r="S2103" t="str">
        <f>IFERROR(IF(VLOOKUP(A2103,'Sales Order'!A:H,8,FALSE)&gt;100,"High Freight","Low Freight"),"Not Specified")</f>
        <v>Low Freight</v>
      </c>
      <c r="T2103">
        <f t="shared" si="65"/>
        <v>77.67</v>
      </c>
    </row>
    <row r="2104" spans="1:20">
      <c r="A2104" s="9">
        <v>11065</v>
      </c>
      <c r="B2104" s="6">
        <v>54</v>
      </c>
      <c r="C2104" s="6">
        <v>7.45</v>
      </c>
      <c r="D2104" s="6">
        <v>20</v>
      </c>
      <c r="E2104" s="18">
        <v>0.25</v>
      </c>
      <c r="F2104" s="6" t="str">
        <f>IFERROR(VLOOKUP(VLOOKUP(A2104,'Sales Order'!A:B,2,FALSE),Customer!A:C,3,FALSE),"Not Specified")</f>
        <v>Dressler, Marlies</v>
      </c>
      <c r="G2104" s="6" t="str">
        <f t="shared" si="64"/>
        <v>Dressler Marlies</v>
      </c>
      <c r="H2104" s="22" t="str">
        <f>IFERROR(VLOOKUP(VLOOKUP(A2104,'Sales Order'!A:C,3,FALSE),Employee!A:E,5,FALSE)&amp;" "&amp;VLOOKUP(VLOOKUP(A2104,'Sales Order'!A:C,3,FALSE),Employee!A:C,3,FALSE)&amp;" "&amp;VLOOKUP(VLOOKUP(A2104,'Sales Order'!A:C,3,FALSE),Employee!A:B,2,FALSE),"Not Specified")</f>
        <v>Ms. Maria Cameron</v>
      </c>
      <c r="I2104" t="str">
        <f>IFERROR(VLOOKUP(VLOOKUP(A2104,'Sales Order'!A:C,3,FALSE),Employee!A:J,10,FALSE),"Not Specified")</f>
        <v>WA</v>
      </c>
      <c r="J2104" t="str">
        <f>VLOOKUP(B2104,Product!A:B,2,FALSE)</f>
        <v>Product QAQRL</v>
      </c>
      <c r="K2104" t="str">
        <f>VLOOKUP(VLOOKUP(B2104,Product!A:D,4,FALSE),Category!A:B,2,FALSE)</f>
        <v>Meat/Poultry</v>
      </c>
      <c r="L2104" s="24">
        <f>IFERROR(VLOOKUP(A2104,'Sales Order'!A:D,4,FALSE),"")</f>
        <v>39569</v>
      </c>
      <c r="M2104" s="24">
        <f>IFERROR(VLOOKUP(A2104,'Sales Order'!A:F,6,FALSE),"")</f>
        <v>0</v>
      </c>
      <c r="N2104" t="str">
        <f>IFERROR(VLOOKUP(VLOOKUP(A2104,'Sales Order'!A:G,7,FALSE),Shipper!A:B,2,FALSE),"Not Specified")</f>
        <v>Shipper GVSUA</v>
      </c>
      <c r="O2104" t="str">
        <f>IFERROR(VLOOKUP(A2104,'Sales Order'!A:I,9,FALSE),"Not Specified")</f>
        <v>Ship to 46-C</v>
      </c>
      <c r="P2104" t="str">
        <f>IFERROR(VLOOKUP(A2104,'Sales Order'!A:N,14,FALSE),"Not Specified")</f>
        <v>Venezuela</v>
      </c>
      <c r="Q2104" t="str">
        <f>VLOOKUP(VLOOKUP(B2104,Product!A:C,3,FALSE),Supplier!A:B,2,FALSE)</f>
        <v>Supplier ERVYZ</v>
      </c>
      <c r="R2104" t="str">
        <f>VLOOKUP(VLOOKUP(B2104,Product!A:C,3,FALSE),Supplier!A:I,9,FALSE)</f>
        <v>Canada</v>
      </c>
      <c r="S2104" t="str">
        <f>IFERROR(IF(VLOOKUP(A2104,'Sales Order'!A:H,8,FALSE)&gt;100,"High Freight","Low Freight"),"Not Specified")</f>
        <v>Low Freight</v>
      </c>
      <c r="T2104">
        <f t="shared" si="65"/>
        <v>111.75</v>
      </c>
    </row>
    <row r="2105" spans="1:20">
      <c r="A2105" s="9">
        <v>11066</v>
      </c>
      <c r="B2105" s="6">
        <v>16</v>
      </c>
      <c r="C2105" s="6">
        <v>17.45</v>
      </c>
      <c r="D2105" s="6">
        <v>3</v>
      </c>
      <c r="E2105" s="18">
        <v>0</v>
      </c>
      <c r="F2105" s="6" t="str">
        <f>IFERROR(VLOOKUP(VLOOKUP(A2105,'Sales Order'!A:B,2,FALSE),Customer!A:C,3,FALSE),"Not Specified")</f>
        <v>Smith Jr., Ronaldo</v>
      </c>
      <c r="G2105" s="6" t="str">
        <f t="shared" si="64"/>
        <v>Smith Jr. Ronaldo</v>
      </c>
      <c r="H2105" s="22" t="str">
        <f>IFERROR(VLOOKUP(VLOOKUP(A2105,'Sales Order'!A:C,3,FALSE),Employee!A:E,5,FALSE)&amp;" "&amp;VLOOKUP(VLOOKUP(A2105,'Sales Order'!A:C,3,FALSE),Employee!A:C,3,FALSE)&amp;" "&amp;VLOOKUP(VLOOKUP(A2105,'Sales Order'!A:C,3,FALSE),Employee!A:B,2,FALSE),"Not Specified")</f>
        <v>Mr. Russell King</v>
      </c>
      <c r="I2105">
        <f>IFERROR(VLOOKUP(VLOOKUP(A2105,'Sales Order'!A:C,3,FALSE),Employee!A:J,10,FALSE),"Not Specified")</f>
        <v>0</v>
      </c>
      <c r="J2105" t="str">
        <f>VLOOKUP(B2105,Product!A:B,2,FALSE)</f>
        <v>Product PAFRH</v>
      </c>
      <c r="K2105" t="str">
        <f>VLOOKUP(VLOOKUP(B2105,Product!A:D,4,FALSE),Category!A:B,2,FALSE)</f>
        <v>Confections</v>
      </c>
      <c r="L2105" s="24">
        <f>IFERROR(VLOOKUP(A2105,'Sales Order'!A:D,4,FALSE),"")</f>
        <v>39569</v>
      </c>
      <c r="M2105" s="24">
        <f>IFERROR(VLOOKUP(A2105,'Sales Order'!A:F,6,FALSE),"")</f>
        <v>39572</v>
      </c>
      <c r="N2105" t="str">
        <f>IFERROR(VLOOKUP(VLOOKUP(A2105,'Sales Order'!A:G,7,FALSE),Shipper!A:B,2,FALSE),"Not Specified")</f>
        <v>Shipper ETYNR</v>
      </c>
      <c r="O2105" t="str">
        <f>IFERROR(VLOOKUP(A2105,'Sales Order'!A:I,9,FALSE),"Not Specified")</f>
        <v>Ship to 89-A</v>
      </c>
      <c r="P2105" t="str">
        <f>IFERROR(VLOOKUP(A2105,'Sales Order'!A:N,14,FALSE),"Not Specified")</f>
        <v>USA</v>
      </c>
      <c r="Q2105" t="str">
        <f>VLOOKUP(VLOOKUP(B2105,Product!A:C,3,FALSE),Supplier!A:B,2,FALSE)</f>
        <v>Supplier GQRCV</v>
      </c>
      <c r="R2105" t="str">
        <f>VLOOKUP(VLOOKUP(B2105,Product!A:C,3,FALSE),Supplier!A:I,9,FALSE)</f>
        <v>Australia</v>
      </c>
      <c r="S2105" t="str">
        <f>IFERROR(IF(VLOOKUP(A2105,'Sales Order'!A:H,8,FALSE)&gt;100,"High Freight","Low Freight"),"Not Specified")</f>
        <v>Low Freight</v>
      </c>
      <c r="T2105">
        <f t="shared" si="65"/>
        <v>52.349999999999994</v>
      </c>
    </row>
    <row r="2106" spans="1:20">
      <c r="A2106" s="9">
        <v>11066</v>
      </c>
      <c r="B2106" s="6">
        <v>19</v>
      </c>
      <c r="C2106" s="6">
        <v>9.1999999999999993</v>
      </c>
      <c r="D2106" s="6">
        <v>42</v>
      </c>
      <c r="E2106" s="18">
        <v>0</v>
      </c>
      <c r="F2106" s="6" t="str">
        <f>IFERROR(VLOOKUP(VLOOKUP(A2106,'Sales Order'!A:B,2,FALSE),Customer!A:C,3,FALSE),"Not Specified")</f>
        <v>Smith Jr., Ronaldo</v>
      </c>
      <c r="G2106" s="6" t="str">
        <f t="shared" si="64"/>
        <v>Smith Jr. Ronaldo</v>
      </c>
      <c r="H2106" s="22" t="str">
        <f>IFERROR(VLOOKUP(VLOOKUP(A2106,'Sales Order'!A:C,3,FALSE),Employee!A:E,5,FALSE)&amp;" "&amp;VLOOKUP(VLOOKUP(A2106,'Sales Order'!A:C,3,FALSE),Employee!A:C,3,FALSE)&amp;" "&amp;VLOOKUP(VLOOKUP(A2106,'Sales Order'!A:C,3,FALSE),Employee!A:B,2,FALSE),"Not Specified")</f>
        <v>Mr. Russell King</v>
      </c>
      <c r="I2106">
        <f>IFERROR(VLOOKUP(VLOOKUP(A2106,'Sales Order'!A:C,3,FALSE),Employee!A:J,10,FALSE),"Not Specified")</f>
        <v>0</v>
      </c>
      <c r="J2106" t="str">
        <f>VLOOKUP(B2106,Product!A:B,2,FALSE)</f>
        <v>Product XKXDO</v>
      </c>
      <c r="K2106" t="str">
        <f>VLOOKUP(VLOOKUP(B2106,Product!A:D,4,FALSE),Category!A:B,2,FALSE)</f>
        <v>Confections</v>
      </c>
      <c r="L2106" s="24">
        <f>IFERROR(VLOOKUP(A2106,'Sales Order'!A:D,4,FALSE),"")</f>
        <v>39569</v>
      </c>
      <c r="M2106" s="24">
        <f>IFERROR(VLOOKUP(A2106,'Sales Order'!A:F,6,FALSE),"")</f>
        <v>39572</v>
      </c>
      <c r="N2106" t="str">
        <f>IFERROR(VLOOKUP(VLOOKUP(A2106,'Sales Order'!A:G,7,FALSE),Shipper!A:B,2,FALSE),"Not Specified")</f>
        <v>Shipper ETYNR</v>
      </c>
      <c r="O2106" t="str">
        <f>IFERROR(VLOOKUP(A2106,'Sales Order'!A:I,9,FALSE),"Not Specified")</f>
        <v>Ship to 89-A</v>
      </c>
      <c r="P2106" t="str">
        <f>IFERROR(VLOOKUP(A2106,'Sales Order'!A:N,14,FALSE),"Not Specified")</f>
        <v>USA</v>
      </c>
      <c r="Q2106" t="str">
        <f>VLOOKUP(VLOOKUP(B2106,Product!A:C,3,FALSE),Supplier!A:B,2,FALSE)</f>
        <v>Supplier BWGYE</v>
      </c>
      <c r="R2106" t="str">
        <f>VLOOKUP(VLOOKUP(B2106,Product!A:C,3,FALSE),Supplier!A:I,9,FALSE)</f>
        <v>UK</v>
      </c>
      <c r="S2106" t="str">
        <f>IFERROR(IF(VLOOKUP(A2106,'Sales Order'!A:H,8,FALSE)&gt;100,"High Freight","Low Freight"),"Not Specified")</f>
        <v>Low Freight</v>
      </c>
      <c r="T2106">
        <f t="shared" si="65"/>
        <v>386.4</v>
      </c>
    </row>
    <row r="2107" spans="1:20">
      <c r="A2107" s="9">
        <v>11066</v>
      </c>
      <c r="B2107" s="6">
        <v>34</v>
      </c>
      <c r="C2107" s="6">
        <v>14</v>
      </c>
      <c r="D2107" s="6">
        <v>35</v>
      </c>
      <c r="E2107" s="18">
        <v>0</v>
      </c>
      <c r="F2107" s="6" t="str">
        <f>IFERROR(VLOOKUP(VLOOKUP(A2107,'Sales Order'!A:B,2,FALSE),Customer!A:C,3,FALSE),"Not Specified")</f>
        <v>Smith Jr., Ronaldo</v>
      </c>
      <c r="G2107" s="6" t="str">
        <f t="shared" si="64"/>
        <v>Smith Jr. Ronaldo</v>
      </c>
      <c r="H2107" s="22" t="str">
        <f>IFERROR(VLOOKUP(VLOOKUP(A2107,'Sales Order'!A:C,3,FALSE),Employee!A:E,5,FALSE)&amp;" "&amp;VLOOKUP(VLOOKUP(A2107,'Sales Order'!A:C,3,FALSE),Employee!A:C,3,FALSE)&amp;" "&amp;VLOOKUP(VLOOKUP(A2107,'Sales Order'!A:C,3,FALSE),Employee!A:B,2,FALSE),"Not Specified")</f>
        <v>Mr. Russell King</v>
      </c>
      <c r="I2107">
        <f>IFERROR(VLOOKUP(VLOOKUP(A2107,'Sales Order'!A:C,3,FALSE),Employee!A:J,10,FALSE),"Not Specified")</f>
        <v>0</v>
      </c>
      <c r="J2107" t="str">
        <f>VLOOKUP(B2107,Product!A:B,2,FALSE)</f>
        <v>Product SWNJY</v>
      </c>
      <c r="K2107" t="str">
        <f>VLOOKUP(VLOOKUP(B2107,Product!A:D,4,FALSE),Category!A:B,2,FALSE)</f>
        <v>Beverages</v>
      </c>
      <c r="L2107" s="24">
        <f>IFERROR(VLOOKUP(A2107,'Sales Order'!A:D,4,FALSE),"")</f>
        <v>39569</v>
      </c>
      <c r="M2107" s="24">
        <f>IFERROR(VLOOKUP(A2107,'Sales Order'!A:F,6,FALSE),"")</f>
        <v>39572</v>
      </c>
      <c r="N2107" t="str">
        <f>IFERROR(VLOOKUP(VLOOKUP(A2107,'Sales Order'!A:G,7,FALSE),Shipper!A:B,2,FALSE),"Not Specified")</f>
        <v>Shipper ETYNR</v>
      </c>
      <c r="O2107" t="str">
        <f>IFERROR(VLOOKUP(A2107,'Sales Order'!A:I,9,FALSE),"Not Specified")</f>
        <v>Ship to 89-A</v>
      </c>
      <c r="P2107" t="str">
        <f>IFERROR(VLOOKUP(A2107,'Sales Order'!A:N,14,FALSE),"Not Specified")</f>
        <v>USA</v>
      </c>
      <c r="Q2107" t="str">
        <f>VLOOKUP(VLOOKUP(B2107,Product!A:C,3,FALSE),Supplier!A:B,2,FALSE)</f>
        <v>Supplier UHZRG</v>
      </c>
      <c r="R2107" t="str">
        <f>VLOOKUP(VLOOKUP(B2107,Product!A:C,3,FALSE),Supplier!A:I,9,FALSE)</f>
        <v>USA</v>
      </c>
      <c r="S2107" t="str">
        <f>IFERROR(IF(VLOOKUP(A2107,'Sales Order'!A:H,8,FALSE)&gt;100,"High Freight","Low Freight"),"Not Specified")</f>
        <v>Low Freight</v>
      </c>
      <c r="T2107">
        <f t="shared" si="65"/>
        <v>490</v>
      </c>
    </row>
    <row r="2108" spans="1:20">
      <c r="A2108" s="9">
        <v>11067</v>
      </c>
      <c r="B2108" s="6">
        <v>41</v>
      </c>
      <c r="C2108" s="6">
        <v>9.65</v>
      </c>
      <c r="D2108" s="6">
        <v>9</v>
      </c>
      <c r="E2108" s="18">
        <v>0</v>
      </c>
      <c r="F2108" s="6" t="str">
        <f>IFERROR(VLOOKUP(VLOOKUP(A2108,'Sales Order'!A:B,2,FALSE),Customer!A:C,3,FALSE),"Not Specified")</f>
        <v>Jones, TiAnna</v>
      </c>
      <c r="G2108" s="6" t="str">
        <f t="shared" si="64"/>
        <v>Jones TiAnna</v>
      </c>
      <c r="H2108" s="22" t="str">
        <f>IFERROR(VLOOKUP(VLOOKUP(A2108,'Sales Order'!A:C,3,FALSE),Employee!A:E,5,FALSE)&amp;" "&amp;VLOOKUP(VLOOKUP(A2108,'Sales Order'!A:C,3,FALSE),Employee!A:C,3,FALSE)&amp;" "&amp;VLOOKUP(VLOOKUP(A2108,'Sales Order'!A:C,3,FALSE),Employee!A:B,2,FALSE),"Not Specified")</f>
        <v>Ms. Sara Davis</v>
      </c>
      <c r="I2108" t="str">
        <f>IFERROR(VLOOKUP(VLOOKUP(A2108,'Sales Order'!A:C,3,FALSE),Employee!A:J,10,FALSE),"Not Specified")</f>
        <v>WA</v>
      </c>
      <c r="J2108" t="str">
        <f>VLOOKUP(B2108,Product!A:B,2,FALSE)</f>
        <v>Product TTEEX</v>
      </c>
      <c r="K2108" t="str">
        <f>VLOOKUP(VLOOKUP(B2108,Product!A:D,4,FALSE),Category!A:B,2,FALSE)</f>
        <v>Seafood</v>
      </c>
      <c r="L2108" s="24">
        <f>IFERROR(VLOOKUP(A2108,'Sales Order'!A:D,4,FALSE),"")</f>
        <v>39572</v>
      </c>
      <c r="M2108" s="24">
        <f>IFERROR(VLOOKUP(A2108,'Sales Order'!A:F,6,FALSE),"")</f>
        <v>39574</v>
      </c>
      <c r="N2108" t="str">
        <f>IFERROR(VLOOKUP(VLOOKUP(A2108,'Sales Order'!A:G,7,FALSE),Shipper!A:B,2,FALSE),"Not Specified")</f>
        <v>Shipper ETYNR</v>
      </c>
      <c r="O2108" t="str">
        <f>IFERROR(VLOOKUP(A2108,'Sales Order'!A:I,9,FALSE),"Not Specified")</f>
        <v>Destination BJCXA</v>
      </c>
      <c r="P2108" t="str">
        <f>IFERROR(VLOOKUP(A2108,'Sales Order'!A:N,14,FALSE),"Not Specified")</f>
        <v>Germany</v>
      </c>
      <c r="Q2108" t="str">
        <f>VLOOKUP(VLOOKUP(B2108,Product!A:C,3,FALSE),Supplier!A:B,2,FALSE)</f>
        <v>Supplier JDNUG</v>
      </c>
      <c r="R2108" t="str">
        <f>VLOOKUP(VLOOKUP(B2108,Product!A:C,3,FALSE),Supplier!A:I,9,FALSE)</f>
        <v>USA</v>
      </c>
      <c r="S2108" t="str">
        <f>IFERROR(IF(VLOOKUP(A2108,'Sales Order'!A:H,8,FALSE)&gt;100,"High Freight","Low Freight"),"Not Specified")</f>
        <v>Low Freight</v>
      </c>
      <c r="T2108">
        <f t="shared" si="65"/>
        <v>86.850000000000009</v>
      </c>
    </row>
    <row r="2109" spans="1:20">
      <c r="A2109" s="9">
        <v>11068</v>
      </c>
      <c r="B2109" s="6">
        <v>28</v>
      </c>
      <c r="C2109" s="6">
        <v>45.6</v>
      </c>
      <c r="D2109" s="6">
        <v>8</v>
      </c>
      <c r="E2109" s="18">
        <v>0.15</v>
      </c>
      <c r="F2109" s="6" t="str">
        <f>IFERROR(VLOOKUP(VLOOKUP(A2109,'Sales Order'!A:B,2,FALSE),Customer!A:C,3,FALSE),"Not Specified")</f>
        <v>Misiec, Anna</v>
      </c>
      <c r="G2109" s="6" t="str">
        <f t="shared" si="64"/>
        <v>Misiec Anna</v>
      </c>
      <c r="H2109" s="22" t="str">
        <f>IFERROR(VLOOKUP(VLOOKUP(A2109,'Sales Order'!A:C,3,FALSE),Employee!A:E,5,FALSE)&amp;" "&amp;VLOOKUP(VLOOKUP(A2109,'Sales Order'!A:C,3,FALSE),Employee!A:C,3,FALSE)&amp;" "&amp;VLOOKUP(VLOOKUP(A2109,'Sales Order'!A:C,3,FALSE),Employee!A:B,2,FALSE),"Not Specified")</f>
        <v>Ms. Maria Cameron</v>
      </c>
      <c r="I2109" t="str">
        <f>IFERROR(VLOOKUP(VLOOKUP(A2109,'Sales Order'!A:C,3,FALSE),Employee!A:J,10,FALSE),"Not Specified")</f>
        <v>WA</v>
      </c>
      <c r="J2109" t="str">
        <f>VLOOKUP(B2109,Product!A:B,2,FALSE)</f>
        <v>Product OFBNT</v>
      </c>
      <c r="K2109" t="str">
        <f>VLOOKUP(VLOOKUP(B2109,Product!A:D,4,FALSE),Category!A:B,2,FALSE)</f>
        <v>Produce</v>
      </c>
      <c r="L2109" s="24">
        <f>IFERROR(VLOOKUP(A2109,'Sales Order'!A:D,4,FALSE),"")</f>
        <v>39572</v>
      </c>
      <c r="M2109" s="24">
        <f>IFERROR(VLOOKUP(A2109,'Sales Order'!A:F,6,FALSE),"")</f>
        <v>0</v>
      </c>
      <c r="N2109" t="str">
        <f>IFERROR(VLOOKUP(VLOOKUP(A2109,'Sales Order'!A:G,7,FALSE),Shipper!A:B,2,FALSE),"Not Specified")</f>
        <v>Shipper ETYNR</v>
      </c>
      <c r="O2109" t="str">
        <f>IFERROR(VLOOKUP(A2109,'Sales Order'!A:I,9,FALSE),"Not Specified")</f>
        <v>Ship to 62-A</v>
      </c>
      <c r="P2109" t="str">
        <f>IFERROR(VLOOKUP(A2109,'Sales Order'!A:N,14,FALSE),"Not Specified")</f>
        <v>Brazil</v>
      </c>
      <c r="Q2109" t="str">
        <f>VLOOKUP(VLOOKUP(B2109,Product!A:C,3,FALSE),Supplier!A:B,2,FALSE)</f>
        <v>Supplier SVIYA</v>
      </c>
      <c r="R2109" t="str">
        <f>VLOOKUP(VLOOKUP(B2109,Product!A:C,3,FALSE),Supplier!A:I,9,FALSE)</f>
        <v>Germany</v>
      </c>
      <c r="S2109" t="str">
        <f>IFERROR(IF(VLOOKUP(A2109,'Sales Order'!A:H,8,FALSE)&gt;100,"High Freight","Low Freight"),"Not Specified")</f>
        <v>Low Freight</v>
      </c>
      <c r="T2109">
        <f t="shared" si="65"/>
        <v>310.08</v>
      </c>
    </row>
    <row r="2110" spans="1:20">
      <c r="A2110" s="9">
        <v>11068</v>
      </c>
      <c r="B2110" s="6">
        <v>43</v>
      </c>
      <c r="C2110" s="6">
        <v>46</v>
      </c>
      <c r="D2110" s="6">
        <v>36</v>
      </c>
      <c r="E2110" s="18">
        <v>0.15</v>
      </c>
      <c r="F2110" s="6" t="str">
        <f>IFERROR(VLOOKUP(VLOOKUP(A2110,'Sales Order'!A:B,2,FALSE),Customer!A:C,3,FALSE),"Not Specified")</f>
        <v>Misiec, Anna</v>
      </c>
      <c r="G2110" s="6" t="str">
        <f t="shared" si="64"/>
        <v>Misiec Anna</v>
      </c>
      <c r="H2110" s="22" t="str">
        <f>IFERROR(VLOOKUP(VLOOKUP(A2110,'Sales Order'!A:C,3,FALSE),Employee!A:E,5,FALSE)&amp;" "&amp;VLOOKUP(VLOOKUP(A2110,'Sales Order'!A:C,3,FALSE),Employee!A:C,3,FALSE)&amp;" "&amp;VLOOKUP(VLOOKUP(A2110,'Sales Order'!A:C,3,FALSE),Employee!A:B,2,FALSE),"Not Specified")</f>
        <v>Ms. Maria Cameron</v>
      </c>
      <c r="I2110" t="str">
        <f>IFERROR(VLOOKUP(VLOOKUP(A2110,'Sales Order'!A:C,3,FALSE),Employee!A:J,10,FALSE),"Not Specified")</f>
        <v>WA</v>
      </c>
      <c r="J2110" t="str">
        <f>VLOOKUP(B2110,Product!A:B,2,FALSE)</f>
        <v>Product ZZZHR</v>
      </c>
      <c r="K2110" t="str">
        <f>VLOOKUP(VLOOKUP(B2110,Product!A:D,4,FALSE),Category!A:B,2,FALSE)</f>
        <v>Beverages</v>
      </c>
      <c r="L2110" s="24">
        <f>IFERROR(VLOOKUP(A2110,'Sales Order'!A:D,4,FALSE),"")</f>
        <v>39572</v>
      </c>
      <c r="M2110" s="24">
        <f>IFERROR(VLOOKUP(A2110,'Sales Order'!A:F,6,FALSE),"")</f>
        <v>0</v>
      </c>
      <c r="N2110" t="str">
        <f>IFERROR(VLOOKUP(VLOOKUP(A2110,'Sales Order'!A:G,7,FALSE),Shipper!A:B,2,FALSE),"Not Specified")</f>
        <v>Shipper ETYNR</v>
      </c>
      <c r="O2110" t="str">
        <f>IFERROR(VLOOKUP(A2110,'Sales Order'!A:I,9,FALSE),"Not Specified")</f>
        <v>Ship to 62-A</v>
      </c>
      <c r="P2110" t="str">
        <f>IFERROR(VLOOKUP(A2110,'Sales Order'!A:N,14,FALSE),"Not Specified")</f>
        <v>Brazil</v>
      </c>
      <c r="Q2110" t="str">
        <f>VLOOKUP(VLOOKUP(B2110,Product!A:C,3,FALSE),Supplier!A:B,2,FALSE)</f>
        <v>Supplier CIYNM</v>
      </c>
      <c r="R2110" t="str">
        <f>VLOOKUP(VLOOKUP(B2110,Product!A:C,3,FALSE),Supplier!A:I,9,FALSE)</f>
        <v>Singapore</v>
      </c>
      <c r="S2110" t="str">
        <f>IFERROR(IF(VLOOKUP(A2110,'Sales Order'!A:H,8,FALSE)&gt;100,"High Freight","Low Freight"),"Not Specified")</f>
        <v>Low Freight</v>
      </c>
      <c r="T2110">
        <f t="shared" si="65"/>
        <v>1407.6</v>
      </c>
    </row>
    <row r="2111" spans="1:20">
      <c r="A2111" s="9">
        <v>11068</v>
      </c>
      <c r="B2111" s="6">
        <v>77</v>
      </c>
      <c r="C2111" s="6">
        <v>13</v>
      </c>
      <c r="D2111" s="6">
        <v>28</v>
      </c>
      <c r="E2111" s="18">
        <v>0.15</v>
      </c>
      <c r="F2111" s="6" t="str">
        <f>IFERROR(VLOOKUP(VLOOKUP(A2111,'Sales Order'!A:B,2,FALSE),Customer!A:C,3,FALSE),"Not Specified")</f>
        <v>Misiec, Anna</v>
      </c>
      <c r="G2111" s="6" t="str">
        <f t="shared" si="64"/>
        <v>Misiec Anna</v>
      </c>
      <c r="H2111" s="22" t="str">
        <f>IFERROR(VLOOKUP(VLOOKUP(A2111,'Sales Order'!A:C,3,FALSE),Employee!A:E,5,FALSE)&amp;" "&amp;VLOOKUP(VLOOKUP(A2111,'Sales Order'!A:C,3,FALSE),Employee!A:C,3,FALSE)&amp;" "&amp;VLOOKUP(VLOOKUP(A2111,'Sales Order'!A:C,3,FALSE),Employee!A:B,2,FALSE),"Not Specified")</f>
        <v>Ms. Maria Cameron</v>
      </c>
      <c r="I2111" t="str">
        <f>IFERROR(VLOOKUP(VLOOKUP(A2111,'Sales Order'!A:C,3,FALSE),Employee!A:J,10,FALSE),"Not Specified")</f>
        <v>WA</v>
      </c>
      <c r="J2111" t="str">
        <f>VLOOKUP(B2111,Product!A:B,2,FALSE)</f>
        <v>Product LUNZZ</v>
      </c>
      <c r="K2111" t="str">
        <f>VLOOKUP(VLOOKUP(B2111,Product!A:D,4,FALSE),Category!A:B,2,FALSE)</f>
        <v>Condiments</v>
      </c>
      <c r="L2111" s="24">
        <f>IFERROR(VLOOKUP(A2111,'Sales Order'!A:D,4,FALSE),"")</f>
        <v>39572</v>
      </c>
      <c r="M2111" s="24">
        <f>IFERROR(VLOOKUP(A2111,'Sales Order'!A:F,6,FALSE),"")</f>
        <v>0</v>
      </c>
      <c r="N2111" t="str">
        <f>IFERROR(VLOOKUP(VLOOKUP(A2111,'Sales Order'!A:G,7,FALSE),Shipper!A:B,2,FALSE),"Not Specified")</f>
        <v>Shipper ETYNR</v>
      </c>
      <c r="O2111" t="str">
        <f>IFERROR(VLOOKUP(A2111,'Sales Order'!A:I,9,FALSE),"Not Specified")</f>
        <v>Ship to 62-A</v>
      </c>
      <c r="P2111" t="str">
        <f>IFERROR(VLOOKUP(A2111,'Sales Order'!A:N,14,FALSE),"Not Specified")</f>
        <v>Brazil</v>
      </c>
      <c r="Q2111" t="str">
        <f>VLOOKUP(VLOOKUP(B2111,Product!A:C,3,FALSE),Supplier!A:B,2,FALSE)</f>
        <v>Supplier SVIYA</v>
      </c>
      <c r="R2111" t="str">
        <f>VLOOKUP(VLOOKUP(B2111,Product!A:C,3,FALSE),Supplier!A:I,9,FALSE)</f>
        <v>Germany</v>
      </c>
      <c r="S2111" t="str">
        <f>IFERROR(IF(VLOOKUP(A2111,'Sales Order'!A:H,8,FALSE)&gt;100,"High Freight","Low Freight"),"Not Specified")</f>
        <v>Low Freight</v>
      </c>
      <c r="T2111">
        <f t="shared" si="65"/>
        <v>309.39999999999998</v>
      </c>
    </row>
    <row r="2112" spans="1:20">
      <c r="A2112" s="9">
        <v>11069</v>
      </c>
      <c r="B2112" s="6">
        <v>39</v>
      </c>
      <c r="C2112" s="6">
        <v>18</v>
      </c>
      <c r="D2112" s="6">
        <v>20</v>
      </c>
      <c r="E2112" s="18">
        <v>0</v>
      </c>
      <c r="F2112" s="6" t="str">
        <f>IFERROR(VLOOKUP(VLOOKUP(A2112,'Sales Order'!A:B,2,FALSE),Customer!A:C,3,FALSE),"Not Specified")</f>
        <v>Geschwandtner, Jens</v>
      </c>
      <c r="G2112" s="6" t="str">
        <f t="shared" si="64"/>
        <v>Geschwandtner Jens</v>
      </c>
      <c r="H2112" s="22" t="str">
        <f>IFERROR(VLOOKUP(VLOOKUP(A2112,'Sales Order'!A:C,3,FALSE),Employee!A:E,5,FALSE)&amp;" "&amp;VLOOKUP(VLOOKUP(A2112,'Sales Order'!A:C,3,FALSE),Employee!A:C,3,FALSE)&amp;" "&amp;VLOOKUP(VLOOKUP(A2112,'Sales Order'!A:C,3,FALSE),Employee!A:B,2,FALSE),"Not Specified")</f>
        <v>Ms. Sara Davis</v>
      </c>
      <c r="I2112" t="str">
        <f>IFERROR(VLOOKUP(VLOOKUP(A2112,'Sales Order'!A:C,3,FALSE),Employee!A:J,10,FALSE),"Not Specified")</f>
        <v>WA</v>
      </c>
      <c r="J2112" t="str">
        <f>VLOOKUP(B2112,Product!A:B,2,FALSE)</f>
        <v>Product LSOFL</v>
      </c>
      <c r="K2112" t="str">
        <f>VLOOKUP(VLOOKUP(B2112,Product!A:D,4,FALSE),Category!A:B,2,FALSE)</f>
        <v>Beverages</v>
      </c>
      <c r="L2112" s="24">
        <f>IFERROR(VLOOKUP(A2112,'Sales Order'!A:D,4,FALSE),"")</f>
        <v>39572</v>
      </c>
      <c r="M2112" s="24">
        <f>IFERROR(VLOOKUP(A2112,'Sales Order'!A:F,6,FALSE),"")</f>
        <v>39574</v>
      </c>
      <c r="N2112" t="str">
        <f>IFERROR(VLOOKUP(VLOOKUP(A2112,'Sales Order'!A:G,7,FALSE),Shipper!A:B,2,FALSE),"Not Specified")</f>
        <v>Shipper ETYNR</v>
      </c>
      <c r="O2112" t="str">
        <f>IFERROR(VLOOKUP(A2112,'Sales Order'!A:I,9,FALSE),"Not Specified")</f>
        <v>Ship to 80-B</v>
      </c>
      <c r="P2112" t="str">
        <f>IFERROR(VLOOKUP(A2112,'Sales Order'!A:N,14,FALSE),"Not Specified")</f>
        <v>Mexico</v>
      </c>
      <c r="Q2112" t="str">
        <f>VLOOKUP(VLOOKUP(B2112,Product!A:C,3,FALSE),Supplier!A:B,2,FALSE)</f>
        <v>Supplier LVJUA</v>
      </c>
      <c r="R2112" t="str">
        <f>VLOOKUP(VLOOKUP(B2112,Product!A:C,3,FALSE),Supplier!A:I,9,FALSE)</f>
        <v>France</v>
      </c>
      <c r="S2112" t="str">
        <f>IFERROR(IF(VLOOKUP(A2112,'Sales Order'!A:H,8,FALSE)&gt;100,"High Freight","Low Freight"),"Not Specified")</f>
        <v>Low Freight</v>
      </c>
      <c r="T2112">
        <f t="shared" si="65"/>
        <v>360</v>
      </c>
    </row>
    <row r="2113" spans="1:20">
      <c r="A2113" s="9">
        <v>11070</v>
      </c>
      <c r="B2113" s="6">
        <v>1</v>
      </c>
      <c r="C2113" s="6">
        <v>18</v>
      </c>
      <c r="D2113" s="6">
        <v>40</v>
      </c>
      <c r="E2113" s="18">
        <v>0.15</v>
      </c>
      <c r="F2113" s="6" t="str">
        <f>IFERROR(VLOOKUP(VLOOKUP(A2113,'Sales Order'!A:B,2,FALSE),Customer!A:C,3,FALSE),"Not Specified")</f>
        <v>Louverdis, George</v>
      </c>
      <c r="G2113" s="6" t="str">
        <f t="shared" si="64"/>
        <v>Louverdis George</v>
      </c>
      <c r="H2113" s="22" t="str">
        <f>IFERROR(VLOOKUP(VLOOKUP(A2113,'Sales Order'!A:C,3,FALSE),Employee!A:E,5,FALSE)&amp;" "&amp;VLOOKUP(VLOOKUP(A2113,'Sales Order'!A:C,3,FALSE),Employee!A:C,3,FALSE)&amp;" "&amp;VLOOKUP(VLOOKUP(A2113,'Sales Order'!A:C,3,FALSE),Employee!A:B,2,FALSE),"Not Specified")</f>
        <v>Dr. Don Funk</v>
      </c>
      <c r="I2113" t="str">
        <f>IFERROR(VLOOKUP(VLOOKUP(A2113,'Sales Order'!A:C,3,FALSE),Employee!A:J,10,FALSE),"Not Specified")</f>
        <v>WA</v>
      </c>
      <c r="J2113" t="str">
        <f>VLOOKUP(B2113,Product!A:B,2,FALSE)</f>
        <v>Product HHYDP</v>
      </c>
      <c r="K2113" t="str">
        <f>VLOOKUP(VLOOKUP(B2113,Product!A:D,4,FALSE),Category!A:B,2,FALSE)</f>
        <v>Beverages</v>
      </c>
      <c r="L2113" s="24">
        <f>IFERROR(VLOOKUP(A2113,'Sales Order'!A:D,4,FALSE),"")</f>
        <v>39573</v>
      </c>
      <c r="M2113" s="24">
        <f>IFERROR(VLOOKUP(A2113,'Sales Order'!A:F,6,FALSE),"")</f>
        <v>0</v>
      </c>
      <c r="N2113" t="str">
        <f>IFERROR(VLOOKUP(VLOOKUP(A2113,'Sales Order'!A:G,7,FALSE),Shipper!A:B,2,FALSE),"Not Specified")</f>
        <v>Shipper GVSUA</v>
      </c>
      <c r="O2113" t="str">
        <f>IFERROR(VLOOKUP(A2113,'Sales Order'!A:I,9,FALSE),"Not Specified")</f>
        <v>Ship to 44-A</v>
      </c>
      <c r="P2113" t="str">
        <f>IFERROR(VLOOKUP(A2113,'Sales Order'!A:N,14,FALSE),"Not Specified")</f>
        <v>Germany</v>
      </c>
      <c r="Q2113" t="str">
        <f>VLOOKUP(VLOOKUP(B2113,Product!A:C,3,FALSE),Supplier!A:B,2,FALSE)</f>
        <v>Supplier SWRXU</v>
      </c>
      <c r="R2113" t="str">
        <f>VLOOKUP(VLOOKUP(B2113,Product!A:C,3,FALSE),Supplier!A:I,9,FALSE)</f>
        <v>UK</v>
      </c>
      <c r="S2113" t="str">
        <f>IFERROR(IF(VLOOKUP(A2113,'Sales Order'!A:H,8,FALSE)&gt;100,"High Freight","Low Freight"),"Not Specified")</f>
        <v>High Freight</v>
      </c>
      <c r="T2113">
        <f t="shared" si="65"/>
        <v>612</v>
      </c>
    </row>
    <row r="2114" spans="1:20">
      <c r="A2114" s="9">
        <v>11070</v>
      </c>
      <c r="B2114" s="6">
        <v>2</v>
      </c>
      <c r="C2114" s="6">
        <v>19</v>
      </c>
      <c r="D2114" s="6">
        <v>20</v>
      </c>
      <c r="E2114" s="18">
        <v>0.15</v>
      </c>
      <c r="F2114" s="6" t="str">
        <f>IFERROR(VLOOKUP(VLOOKUP(A2114,'Sales Order'!A:B,2,FALSE),Customer!A:C,3,FALSE),"Not Specified")</f>
        <v>Louverdis, George</v>
      </c>
      <c r="G2114" s="6" t="str">
        <f t="shared" si="64"/>
        <v>Louverdis George</v>
      </c>
      <c r="H2114" s="22" t="str">
        <f>IFERROR(VLOOKUP(VLOOKUP(A2114,'Sales Order'!A:C,3,FALSE),Employee!A:E,5,FALSE)&amp;" "&amp;VLOOKUP(VLOOKUP(A2114,'Sales Order'!A:C,3,FALSE),Employee!A:C,3,FALSE)&amp;" "&amp;VLOOKUP(VLOOKUP(A2114,'Sales Order'!A:C,3,FALSE),Employee!A:B,2,FALSE),"Not Specified")</f>
        <v>Dr. Don Funk</v>
      </c>
      <c r="I2114" t="str">
        <f>IFERROR(VLOOKUP(VLOOKUP(A2114,'Sales Order'!A:C,3,FALSE),Employee!A:J,10,FALSE),"Not Specified")</f>
        <v>WA</v>
      </c>
      <c r="J2114" t="str">
        <f>VLOOKUP(B2114,Product!A:B,2,FALSE)</f>
        <v>Product RECZE</v>
      </c>
      <c r="K2114" t="str">
        <f>VLOOKUP(VLOOKUP(B2114,Product!A:D,4,FALSE),Category!A:B,2,FALSE)</f>
        <v>Beverages</v>
      </c>
      <c r="L2114" s="24">
        <f>IFERROR(VLOOKUP(A2114,'Sales Order'!A:D,4,FALSE),"")</f>
        <v>39573</v>
      </c>
      <c r="M2114" s="24">
        <f>IFERROR(VLOOKUP(A2114,'Sales Order'!A:F,6,FALSE),"")</f>
        <v>0</v>
      </c>
      <c r="N2114" t="str">
        <f>IFERROR(VLOOKUP(VLOOKUP(A2114,'Sales Order'!A:G,7,FALSE),Shipper!A:B,2,FALSE),"Not Specified")</f>
        <v>Shipper GVSUA</v>
      </c>
      <c r="O2114" t="str">
        <f>IFERROR(VLOOKUP(A2114,'Sales Order'!A:I,9,FALSE),"Not Specified")</f>
        <v>Ship to 44-A</v>
      </c>
      <c r="P2114" t="str">
        <f>IFERROR(VLOOKUP(A2114,'Sales Order'!A:N,14,FALSE),"Not Specified")</f>
        <v>Germany</v>
      </c>
      <c r="Q2114" t="str">
        <f>VLOOKUP(VLOOKUP(B2114,Product!A:C,3,FALSE),Supplier!A:B,2,FALSE)</f>
        <v>Supplier SWRXU</v>
      </c>
      <c r="R2114" t="str">
        <f>VLOOKUP(VLOOKUP(B2114,Product!A:C,3,FALSE),Supplier!A:I,9,FALSE)</f>
        <v>UK</v>
      </c>
      <c r="S2114" t="str">
        <f>IFERROR(IF(VLOOKUP(A2114,'Sales Order'!A:H,8,FALSE)&gt;100,"High Freight","Low Freight"),"Not Specified")</f>
        <v>High Freight</v>
      </c>
      <c r="T2114">
        <f t="shared" si="65"/>
        <v>323</v>
      </c>
    </row>
    <row r="2115" spans="1:20">
      <c r="A2115" s="9">
        <v>11070</v>
      </c>
      <c r="B2115" s="6">
        <v>16</v>
      </c>
      <c r="C2115" s="6">
        <v>17.45</v>
      </c>
      <c r="D2115" s="6">
        <v>30</v>
      </c>
      <c r="E2115" s="18">
        <v>0.15</v>
      </c>
      <c r="F2115" s="6" t="str">
        <f>IFERROR(VLOOKUP(VLOOKUP(A2115,'Sales Order'!A:B,2,FALSE),Customer!A:C,3,FALSE),"Not Specified")</f>
        <v>Louverdis, George</v>
      </c>
      <c r="G2115" s="6" t="str">
        <f t="shared" ref="G2115:G2156" si="66">SUBSTITUTE(F2115,",","",1)</f>
        <v>Louverdis George</v>
      </c>
      <c r="H2115" s="22" t="str">
        <f>IFERROR(VLOOKUP(VLOOKUP(A2115,'Sales Order'!A:C,3,FALSE),Employee!A:E,5,FALSE)&amp;" "&amp;VLOOKUP(VLOOKUP(A2115,'Sales Order'!A:C,3,FALSE),Employee!A:C,3,FALSE)&amp;" "&amp;VLOOKUP(VLOOKUP(A2115,'Sales Order'!A:C,3,FALSE),Employee!A:B,2,FALSE),"Not Specified")</f>
        <v>Dr. Don Funk</v>
      </c>
      <c r="I2115" t="str">
        <f>IFERROR(VLOOKUP(VLOOKUP(A2115,'Sales Order'!A:C,3,FALSE),Employee!A:J,10,FALSE),"Not Specified")</f>
        <v>WA</v>
      </c>
      <c r="J2115" t="str">
        <f>VLOOKUP(B2115,Product!A:B,2,FALSE)</f>
        <v>Product PAFRH</v>
      </c>
      <c r="K2115" t="str">
        <f>VLOOKUP(VLOOKUP(B2115,Product!A:D,4,FALSE),Category!A:B,2,FALSE)</f>
        <v>Confections</v>
      </c>
      <c r="L2115" s="24">
        <f>IFERROR(VLOOKUP(A2115,'Sales Order'!A:D,4,FALSE),"")</f>
        <v>39573</v>
      </c>
      <c r="M2115" s="24">
        <f>IFERROR(VLOOKUP(A2115,'Sales Order'!A:F,6,FALSE),"")</f>
        <v>0</v>
      </c>
      <c r="N2115" t="str">
        <f>IFERROR(VLOOKUP(VLOOKUP(A2115,'Sales Order'!A:G,7,FALSE),Shipper!A:B,2,FALSE),"Not Specified")</f>
        <v>Shipper GVSUA</v>
      </c>
      <c r="O2115" t="str">
        <f>IFERROR(VLOOKUP(A2115,'Sales Order'!A:I,9,FALSE),"Not Specified")</f>
        <v>Ship to 44-A</v>
      </c>
      <c r="P2115" t="str">
        <f>IFERROR(VLOOKUP(A2115,'Sales Order'!A:N,14,FALSE),"Not Specified")</f>
        <v>Germany</v>
      </c>
      <c r="Q2115" t="str">
        <f>VLOOKUP(VLOOKUP(B2115,Product!A:C,3,FALSE),Supplier!A:B,2,FALSE)</f>
        <v>Supplier GQRCV</v>
      </c>
      <c r="R2115" t="str">
        <f>VLOOKUP(VLOOKUP(B2115,Product!A:C,3,FALSE),Supplier!A:I,9,FALSE)</f>
        <v>Australia</v>
      </c>
      <c r="S2115" t="str">
        <f>IFERROR(IF(VLOOKUP(A2115,'Sales Order'!A:H,8,FALSE)&gt;100,"High Freight","Low Freight"),"Not Specified")</f>
        <v>High Freight</v>
      </c>
      <c r="T2115">
        <f t="shared" ref="T2115:T2156" si="67">C2115*D2115*(1-E2115)</f>
        <v>444.97499999999997</v>
      </c>
    </row>
    <row r="2116" spans="1:20">
      <c r="A2116" s="9">
        <v>11070</v>
      </c>
      <c r="B2116" s="6">
        <v>31</v>
      </c>
      <c r="C2116" s="6">
        <v>12.5</v>
      </c>
      <c r="D2116" s="6">
        <v>20</v>
      </c>
      <c r="E2116" s="18">
        <v>0</v>
      </c>
      <c r="F2116" s="6" t="str">
        <f>IFERROR(VLOOKUP(VLOOKUP(A2116,'Sales Order'!A:B,2,FALSE),Customer!A:C,3,FALSE),"Not Specified")</f>
        <v>Louverdis, George</v>
      </c>
      <c r="G2116" s="6" t="str">
        <f t="shared" si="66"/>
        <v>Louverdis George</v>
      </c>
      <c r="H2116" s="22" t="str">
        <f>IFERROR(VLOOKUP(VLOOKUP(A2116,'Sales Order'!A:C,3,FALSE),Employee!A:E,5,FALSE)&amp;" "&amp;VLOOKUP(VLOOKUP(A2116,'Sales Order'!A:C,3,FALSE),Employee!A:C,3,FALSE)&amp;" "&amp;VLOOKUP(VLOOKUP(A2116,'Sales Order'!A:C,3,FALSE),Employee!A:B,2,FALSE),"Not Specified")</f>
        <v>Dr. Don Funk</v>
      </c>
      <c r="I2116" t="str">
        <f>IFERROR(VLOOKUP(VLOOKUP(A2116,'Sales Order'!A:C,3,FALSE),Employee!A:J,10,FALSE),"Not Specified")</f>
        <v>WA</v>
      </c>
      <c r="J2116" t="str">
        <f>VLOOKUP(B2116,Product!A:B,2,FALSE)</f>
        <v>Product XWOXC</v>
      </c>
      <c r="K2116" t="str">
        <f>VLOOKUP(VLOOKUP(B2116,Product!A:D,4,FALSE),Category!A:B,2,FALSE)</f>
        <v>Dairy Product</v>
      </c>
      <c r="L2116" s="24">
        <f>IFERROR(VLOOKUP(A2116,'Sales Order'!A:D,4,FALSE),"")</f>
        <v>39573</v>
      </c>
      <c r="M2116" s="24">
        <f>IFERROR(VLOOKUP(A2116,'Sales Order'!A:F,6,FALSE),"")</f>
        <v>0</v>
      </c>
      <c r="N2116" t="str">
        <f>IFERROR(VLOOKUP(VLOOKUP(A2116,'Sales Order'!A:G,7,FALSE),Shipper!A:B,2,FALSE),"Not Specified")</f>
        <v>Shipper GVSUA</v>
      </c>
      <c r="O2116" t="str">
        <f>IFERROR(VLOOKUP(A2116,'Sales Order'!A:I,9,FALSE),"Not Specified")</f>
        <v>Ship to 44-A</v>
      </c>
      <c r="P2116" t="str">
        <f>IFERROR(VLOOKUP(A2116,'Sales Order'!A:N,14,FALSE),"Not Specified")</f>
        <v>Germany</v>
      </c>
      <c r="Q2116" t="str">
        <f>VLOOKUP(VLOOKUP(B2116,Product!A:C,3,FALSE),Supplier!A:B,2,FALSE)</f>
        <v>Supplier KEREV</v>
      </c>
      <c r="R2116" t="str">
        <f>VLOOKUP(VLOOKUP(B2116,Product!A:C,3,FALSE),Supplier!A:I,9,FALSE)</f>
        <v>Italy</v>
      </c>
      <c r="S2116" t="str">
        <f>IFERROR(IF(VLOOKUP(A2116,'Sales Order'!A:H,8,FALSE)&gt;100,"High Freight","Low Freight"),"Not Specified")</f>
        <v>High Freight</v>
      </c>
      <c r="T2116">
        <f t="shared" si="67"/>
        <v>250</v>
      </c>
    </row>
    <row r="2117" spans="1:20">
      <c r="A2117" s="9">
        <v>11071</v>
      </c>
      <c r="B2117" s="6">
        <v>7</v>
      </c>
      <c r="C2117" s="6">
        <v>30</v>
      </c>
      <c r="D2117" s="6">
        <v>15</v>
      </c>
      <c r="E2117" s="18">
        <v>0.05</v>
      </c>
      <c r="F2117" s="6" t="str">
        <f>IFERROR(VLOOKUP(VLOOKUP(A2117,'Sales Order'!A:B,2,FALSE),Customer!A:C,3,FALSE),"Not Specified")</f>
        <v>Dressler, Marlies</v>
      </c>
      <c r="G2117" s="6" t="str">
        <f t="shared" si="66"/>
        <v>Dressler Marlies</v>
      </c>
      <c r="H2117" s="22" t="str">
        <f>IFERROR(VLOOKUP(VLOOKUP(A2117,'Sales Order'!A:C,3,FALSE),Employee!A:E,5,FALSE)&amp;" "&amp;VLOOKUP(VLOOKUP(A2117,'Sales Order'!A:C,3,FALSE),Employee!A:C,3,FALSE)&amp;" "&amp;VLOOKUP(VLOOKUP(A2117,'Sales Order'!A:C,3,FALSE),Employee!A:B,2,FALSE),"Not Specified")</f>
        <v>Ms. Sara Davis</v>
      </c>
      <c r="I2117" t="str">
        <f>IFERROR(VLOOKUP(VLOOKUP(A2117,'Sales Order'!A:C,3,FALSE),Employee!A:J,10,FALSE),"Not Specified")</f>
        <v>WA</v>
      </c>
      <c r="J2117" t="str">
        <f>VLOOKUP(B2117,Product!A:B,2,FALSE)</f>
        <v>Product HMLNI</v>
      </c>
      <c r="K2117" t="str">
        <f>VLOOKUP(VLOOKUP(B2117,Product!A:D,4,FALSE),Category!A:B,2,FALSE)</f>
        <v>Produce</v>
      </c>
      <c r="L2117" s="24">
        <f>IFERROR(VLOOKUP(A2117,'Sales Order'!A:D,4,FALSE),"")</f>
        <v>39573</v>
      </c>
      <c r="M2117" s="24">
        <f>IFERROR(VLOOKUP(A2117,'Sales Order'!A:F,6,FALSE),"")</f>
        <v>0</v>
      </c>
      <c r="N2117" t="str">
        <f>IFERROR(VLOOKUP(VLOOKUP(A2117,'Sales Order'!A:G,7,FALSE),Shipper!A:B,2,FALSE),"Not Specified")</f>
        <v>Shipper GVSUA</v>
      </c>
      <c r="O2117" t="str">
        <f>IFERROR(VLOOKUP(A2117,'Sales Order'!A:I,9,FALSE),"Not Specified")</f>
        <v>Ship to 46-B</v>
      </c>
      <c r="P2117" t="str">
        <f>IFERROR(VLOOKUP(A2117,'Sales Order'!A:N,14,FALSE),"Not Specified")</f>
        <v>Venezuela</v>
      </c>
      <c r="Q2117" t="str">
        <f>VLOOKUP(VLOOKUP(B2117,Product!A:C,3,FALSE),Supplier!A:B,2,FALSE)</f>
        <v>Supplier STUAZ</v>
      </c>
      <c r="R2117" t="str">
        <f>VLOOKUP(VLOOKUP(B2117,Product!A:C,3,FALSE),Supplier!A:I,9,FALSE)</f>
        <v>USA</v>
      </c>
      <c r="S2117" t="str">
        <f>IFERROR(IF(VLOOKUP(A2117,'Sales Order'!A:H,8,FALSE)&gt;100,"High Freight","Low Freight"),"Not Specified")</f>
        <v>Low Freight</v>
      </c>
      <c r="T2117">
        <f t="shared" si="67"/>
        <v>427.5</v>
      </c>
    </row>
    <row r="2118" spans="1:20">
      <c r="A2118" s="9">
        <v>11071</v>
      </c>
      <c r="B2118" s="6">
        <v>13</v>
      </c>
      <c r="C2118" s="6">
        <v>6</v>
      </c>
      <c r="D2118" s="6">
        <v>10</v>
      </c>
      <c r="E2118" s="18">
        <v>0.05</v>
      </c>
      <c r="F2118" s="6" t="str">
        <f>IFERROR(VLOOKUP(VLOOKUP(A2118,'Sales Order'!A:B,2,FALSE),Customer!A:C,3,FALSE),"Not Specified")</f>
        <v>Dressler, Marlies</v>
      </c>
      <c r="G2118" s="6" t="str">
        <f t="shared" si="66"/>
        <v>Dressler Marlies</v>
      </c>
      <c r="H2118" s="22" t="str">
        <f>IFERROR(VLOOKUP(VLOOKUP(A2118,'Sales Order'!A:C,3,FALSE),Employee!A:E,5,FALSE)&amp;" "&amp;VLOOKUP(VLOOKUP(A2118,'Sales Order'!A:C,3,FALSE),Employee!A:C,3,FALSE)&amp;" "&amp;VLOOKUP(VLOOKUP(A2118,'Sales Order'!A:C,3,FALSE),Employee!A:B,2,FALSE),"Not Specified")</f>
        <v>Ms. Sara Davis</v>
      </c>
      <c r="I2118" t="str">
        <f>IFERROR(VLOOKUP(VLOOKUP(A2118,'Sales Order'!A:C,3,FALSE),Employee!A:J,10,FALSE),"Not Specified")</f>
        <v>WA</v>
      </c>
      <c r="J2118" t="str">
        <f>VLOOKUP(B2118,Product!A:B,2,FALSE)</f>
        <v>Product POXFU</v>
      </c>
      <c r="K2118" t="str">
        <f>VLOOKUP(VLOOKUP(B2118,Product!A:D,4,FALSE),Category!A:B,2,FALSE)</f>
        <v>Seafood</v>
      </c>
      <c r="L2118" s="24">
        <f>IFERROR(VLOOKUP(A2118,'Sales Order'!A:D,4,FALSE),"")</f>
        <v>39573</v>
      </c>
      <c r="M2118" s="24">
        <f>IFERROR(VLOOKUP(A2118,'Sales Order'!A:F,6,FALSE),"")</f>
        <v>0</v>
      </c>
      <c r="N2118" t="str">
        <f>IFERROR(VLOOKUP(VLOOKUP(A2118,'Sales Order'!A:G,7,FALSE),Shipper!A:B,2,FALSE),"Not Specified")</f>
        <v>Shipper GVSUA</v>
      </c>
      <c r="O2118" t="str">
        <f>IFERROR(VLOOKUP(A2118,'Sales Order'!A:I,9,FALSE),"Not Specified")</f>
        <v>Ship to 46-B</v>
      </c>
      <c r="P2118" t="str">
        <f>IFERROR(VLOOKUP(A2118,'Sales Order'!A:N,14,FALSE),"Not Specified")</f>
        <v>Venezuela</v>
      </c>
      <c r="Q2118" t="str">
        <f>VLOOKUP(VLOOKUP(B2118,Product!A:C,3,FALSE),Supplier!A:B,2,FALSE)</f>
        <v>Supplier QWUSF</v>
      </c>
      <c r="R2118" t="str">
        <f>VLOOKUP(VLOOKUP(B2118,Product!A:C,3,FALSE),Supplier!A:I,9,FALSE)</f>
        <v>Japan</v>
      </c>
      <c r="S2118" t="str">
        <f>IFERROR(IF(VLOOKUP(A2118,'Sales Order'!A:H,8,FALSE)&gt;100,"High Freight","Low Freight"),"Not Specified")</f>
        <v>Low Freight</v>
      </c>
      <c r="T2118">
        <f t="shared" si="67"/>
        <v>57</v>
      </c>
    </row>
    <row r="2119" spans="1:20">
      <c r="A2119" s="9">
        <v>11072</v>
      </c>
      <c r="B2119" s="6">
        <v>2</v>
      </c>
      <c r="C2119" s="6">
        <v>19</v>
      </c>
      <c r="D2119" s="6">
        <v>8</v>
      </c>
      <c r="E2119" s="18">
        <v>0</v>
      </c>
      <c r="F2119" s="6" t="str">
        <f>IFERROR(VLOOKUP(VLOOKUP(A2119,'Sales Order'!A:B,2,FALSE),Customer!A:C,3,FALSE),"Not Specified")</f>
        <v>Kane, John</v>
      </c>
      <c r="G2119" s="6" t="str">
        <f t="shared" si="66"/>
        <v>Kane John</v>
      </c>
      <c r="H2119" s="22" t="str">
        <f>IFERROR(VLOOKUP(VLOOKUP(A2119,'Sales Order'!A:C,3,FALSE),Employee!A:E,5,FALSE)&amp;" "&amp;VLOOKUP(VLOOKUP(A2119,'Sales Order'!A:C,3,FALSE),Employee!A:C,3,FALSE)&amp;" "&amp;VLOOKUP(VLOOKUP(A2119,'Sales Order'!A:C,3,FALSE),Employee!A:B,2,FALSE),"Not Specified")</f>
        <v>Mrs. Yael Peled</v>
      </c>
      <c r="I2119" t="str">
        <f>IFERROR(VLOOKUP(VLOOKUP(A2119,'Sales Order'!A:C,3,FALSE),Employee!A:J,10,FALSE),"Not Specified")</f>
        <v>WA</v>
      </c>
      <c r="J2119" t="str">
        <f>VLOOKUP(B2119,Product!A:B,2,FALSE)</f>
        <v>Product RECZE</v>
      </c>
      <c r="K2119" t="str">
        <f>VLOOKUP(VLOOKUP(B2119,Product!A:D,4,FALSE),Category!A:B,2,FALSE)</f>
        <v>Beverages</v>
      </c>
      <c r="L2119" s="24">
        <f>IFERROR(VLOOKUP(A2119,'Sales Order'!A:D,4,FALSE),"")</f>
        <v>39573</v>
      </c>
      <c r="M2119" s="24">
        <f>IFERROR(VLOOKUP(A2119,'Sales Order'!A:F,6,FALSE),"")</f>
        <v>0</v>
      </c>
      <c r="N2119" t="str">
        <f>IFERROR(VLOOKUP(VLOOKUP(A2119,'Sales Order'!A:G,7,FALSE),Shipper!A:B,2,FALSE),"Not Specified")</f>
        <v>Shipper ETYNR</v>
      </c>
      <c r="O2119" t="str">
        <f>IFERROR(VLOOKUP(A2119,'Sales Order'!A:I,9,FALSE),"Not Specified")</f>
        <v>Destination RVDMF</v>
      </c>
      <c r="P2119" t="str">
        <f>IFERROR(VLOOKUP(A2119,'Sales Order'!A:N,14,FALSE),"Not Specified")</f>
        <v>Austria</v>
      </c>
      <c r="Q2119" t="str">
        <f>VLOOKUP(VLOOKUP(B2119,Product!A:C,3,FALSE),Supplier!A:B,2,FALSE)</f>
        <v>Supplier SWRXU</v>
      </c>
      <c r="R2119" t="str">
        <f>VLOOKUP(VLOOKUP(B2119,Product!A:C,3,FALSE),Supplier!A:I,9,FALSE)</f>
        <v>UK</v>
      </c>
      <c r="S2119" t="str">
        <f>IFERROR(IF(VLOOKUP(A2119,'Sales Order'!A:H,8,FALSE)&gt;100,"High Freight","Low Freight"),"Not Specified")</f>
        <v>High Freight</v>
      </c>
      <c r="T2119">
        <f t="shared" si="67"/>
        <v>152</v>
      </c>
    </row>
    <row r="2120" spans="1:20">
      <c r="A2120" s="9">
        <v>11072</v>
      </c>
      <c r="B2120" s="6">
        <v>41</v>
      </c>
      <c r="C2120" s="6">
        <v>9.65</v>
      </c>
      <c r="D2120" s="6">
        <v>40</v>
      </c>
      <c r="E2120" s="18">
        <v>0</v>
      </c>
      <c r="F2120" s="6" t="str">
        <f>IFERROR(VLOOKUP(VLOOKUP(A2120,'Sales Order'!A:B,2,FALSE),Customer!A:C,3,FALSE),"Not Specified")</f>
        <v>Kane, John</v>
      </c>
      <c r="G2120" s="6" t="str">
        <f t="shared" si="66"/>
        <v>Kane John</v>
      </c>
      <c r="H2120" s="22" t="str">
        <f>IFERROR(VLOOKUP(VLOOKUP(A2120,'Sales Order'!A:C,3,FALSE),Employee!A:E,5,FALSE)&amp;" "&amp;VLOOKUP(VLOOKUP(A2120,'Sales Order'!A:C,3,FALSE),Employee!A:C,3,FALSE)&amp;" "&amp;VLOOKUP(VLOOKUP(A2120,'Sales Order'!A:C,3,FALSE),Employee!A:B,2,FALSE),"Not Specified")</f>
        <v>Mrs. Yael Peled</v>
      </c>
      <c r="I2120" t="str">
        <f>IFERROR(VLOOKUP(VLOOKUP(A2120,'Sales Order'!A:C,3,FALSE),Employee!A:J,10,FALSE),"Not Specified")</f>
        <v>WA</v>
      </c>
      <c r="J2120" t="str">
        <f>VLOOKUP(B2120,Product!A:B,2,FALSE)</f>
        <v>Product TTEEX</v>
      </c>
      <c r="K2120" t="str">
        <f>VLOOKUP(VLOOKUP(B2120,Product!A:D,4,FALSE),Category!A:B,2,FALSE)</f>
        <v>Seafood</v>
      </c>
      <c r="L2120" s="24">
        <f>IFERROR(VLOOKUP(A2120,'Sales Order'!A:D,4,FALSE),"")</f>
        <v>39573</v>
      </c>
      <c r="M2120" s="24">
        <f>IFERROR(VLOOKUP(A2120,'Sales Order'!A:F,6,FALSE),"")</f>
        <v>0</v>
      </c>
      <c r="N2120" t="str">
        <f>IFERROR(VLOOKUP(VLOOKUP(A2120,'Sales Order'!A:G,7,FALSE),Shipper!A:B,2,FALSE),"Not Specified")</f>
        <v>Shipper ETYNR</v>
      </c>
      <c r="O2120" t="str">
        <f>IFERROR(VLOOKUP(A2120,'Sales Order'!A:I,9,FALSE),"Not Specified")</f>
        <v>Destination RVDMF</v>
      </c>
      <c r="P2120" t="str">
        <f>IFERROR(VLOOKUP(A2120,'Sales Order'!A:N,14,FALSE),"Not Specified")</f>
        <v>Austria</v>
      </c>
      <c r="Q2120" t="str">
        <f>VLOOKUP(VLOOKUP(B2120,Product!A:C,3,FALSE),Supplier!A:B,2,FALSE)</f>
        <v>Supplier JDNUG</v>
      </c>
      <c r="R2120" t="str">
        <f>VLOOKUP(VLOOKUP(B2120,Product!A:C,3,FALSE),Supplier!A:I,9,FALSE)</f>
        <v>USA</v>
      </c>
      <c r="S2120" t="str">
        <f>IFERROR(IF(VLOOKUP(A2120,'Sales Order'!A:H,8,FALSE)&gt;100,"High Freight","Low Freight"),"Not Specified")</f>
        <v>High Freight</v>
      </c>
      <c r="T2120">
        <f t="shared" si="67"/>
        <v>386</v>
      </c>
    </row>
    <row r="2121" spans="1:20">
      <c r="A2121" s="9">
        <v>11072</v>
      </c>
      <c r="B2121" s="6">
        <v>50</v>
      </c>
      <c r="C2121" s="6">
        <v>16.25</v>
      </c>
      <c r="D2121" s="6">
        <v>22</v>
      </c>
      <c r="E2121" s="18">
        <v>0</v>
      </c>
      <c r="F2121" s="6" t="str">
        <f>IFERROR(VLOOKUP(VLOOKUP(A2121,'Sales Order'!A:B,2,FALSE),Customer!A:C,3,FALSE),"Not Specified")</f>
        <v>Kane, John</v>
      </c>
      <c r="G2121" s="6" t="str">
        <f t="shared" si="66"/>
        <v>Kane John</v>
      </c>
      <c r="H2121" s="22" t="str">
        <f>IFERROR(VLOOKUP(VLOOKUP(A2121,'Sales Order'!A:C,3,FALSE),Employee!A:E,5,FALSE)&amp;" "&amp;VLOOKUP(VLOOKUP(A2121,'Sales Order'!A:C,3,FALSE),Employee!A:C,3,FALSE)&amp;" "&amp;VLOOKUP(VLOOKUP(A2121,'Sales Order'!A:C,3,FALSE),Employee!A:B,2,FALSE),"Not Specified")</f>
        <v>Mrs. Yael Peled</v>
      </c>
      <c r="I2121" t="str">
        <f>IFERROR(VLOOKUP(VLOOKUP(A2121,'Sales Order'!A:C,3,FALSE),Employee!A:J,10,FALSE),"Not Specified")</f>
        <v>WA</v>
      </c>
      <c r="J2121" t="str">
        <f>VLOOKUP(B2121,Product!A:B,2,FALSE)</f>
        <v>Product BIUDV</v>
      </c>
      <c r="K2121" t="str">
        <f>VLOOKUP(VLOOKUP(B2121,Product!A:D,4,FALSE),Category!A:B,2,FALSE)</f>
        <v>Confections</v>
      </c>
      <c r="L2121" s="24">
        <f>IFERROR(VLOOKUP(A2121,'Sales Order'!A:D,4,FALSE),"")</f>
        <v>39573</v>
      </c>
      <c r="M2121" s="24">
        <f>IFERROR(VLOOKUP(A2121,'Sales Order'!A:F,6,FALSE),"")</f>
        <v>0</v>
      </c>
      <c r="N2121" t="str">
        <f>IFERROR(VLOOKUP(VLOOKUP(A2121,'Sales Order'!A:G,7,FALSE),Shipper!A:B,2,FALSE),"Not Specified")</f>
        <v>Shipper ETYNR</v>
      </c>
      <c r="O2121" t="str">
        <f>IFERROR(VLOOKUP(A2121,'Sales Order'!A:I,9,FALSE),"Not Specified")</f>
        <v>Destination RVDMF</v>
      </c>
      <c r="P2121" t="str">
        <f>IFERROR(VLOOKUP(A2121,'Sales Order'!A:N,14,FALSE),"Not Specified")</f>
        <v>Austria</v>
      </c>
      <c r="Q2121" t="str">
        <f>VLOOKUP(VLOOKUP(B2121,Product!A:C,3,FALSE),Supplier!A:B,2,FALSE)</f>
        <v>Supplier ELCRN</v>
      </c>
      <c r="R2121" t="str">
        <f>VLOOKUP(VLOOKUP(B2121,Product!A:C,3,FALSE),Supplier!A:I,9,FALSE)</f>
        <v>Finland</v>
      </c>
      <c r="S2121" t="str">
        <f>IFERROR(IF(VLOOKUP(A2121,'Sales Order'!A:H,8,FALSE)&gt;100,"High Freight","Low Freight"),"Not Specified")</f>
        <v>High Freight</v>
      </c>
      <c r="T2121">
        <f t="shared" si="67"/>
        <v>357.5</v>
      </c>
    </row>
    <row r="2122" spans="1:20">
      <c r="A2122" s="9">
        <v>11072</v>
      </c>
      <c r="B2122" s="6">
        <v>64</v>
      </c>
      <c r="C2122" s="6">
        <v>33.25</v>
      </c>
      <c r="D2122" s="6">
        <v>130</v>
      </c>
      <c r="E2122" s="18">
        <v>0</v>
      </c>
      <c r="F2122" s="6" t="str">
        <f>IFERROR(VLOOKUP(VLOOKUP(A2122,'Sales Order'!A:B,2,FALSE),Customer!A:C,3,FALSE),"Not Specified")</f>
        <v>Kane, John</v>
      </c>
      <c r="G2122" s="6" t="str">
        <f t="shared" si="66"/>
        <v>Kane John</v>
      </c>
      <c r="H2122" s="22" t="str">
        <f>IFERROR(VLOOKUP(VLOOKUP(A2122,'Sales Order'!A:C,3,FALSE),Employee!A:E,5,FALSE)&amp;" "&amp;VLOOKUP(VLOOKUP(A2122,'Sales Order'!A:C,3,FALSE),Employee!A:C,3,FALSE)&amp;" "&amp;VLOOKUP(VLOOKUP(A2122,'Sales Order'!A:C,3,FALSE),Employee!A:B,2,FALSE),"Not Specified")</f>
        <v>Mrs. Yael Peled</v>
      </c>
      <c r="I2122" t="str">
        <f>IFERROR(VLOOKUP(VLOOKUP(A2122,'Sales Order'!A:C,3,FALSE),Employee!A:J,10,FALSE),"Not Specified")</f>
        <v>WA</v>
      </c>
      <c r="J2122" t="str">
        <f>VLOOKUP(B2122,Product!A:B,2,FALSE)</f>
        <v>Product HCQDE</v>
      </c>
      <c r="K2122" t="str">
        <f>VLOOKUP(VLOOKUP(B2122,Product!A:D,4,FALSE),Category!A:B,2,FALSE)</f>
        <v>Grains/Cereals</v>
      </c>
      <c r="L2122" s="24">
        <f>IFERROR(VLOOKUP(A2122,'Sales Order'!A:D,4,FALSE),"")</f>
        <v>39573</v>
      </c>
      <c r="M2122" s="24">
        <f>IFERROR(VLOOKUP(A2122,'Sales Order'!A:F,6,FALSE),"")</f>
        <v>0</v>
      </c>
      <c r="N2122" t="str">
        <f>IFERROR(VLOOKUP(VLOOKUP(A2122,'Sales Order'!A:G,7,FALSE),Shipper!A:B,2,FALSE),"Not Specified")</f>
        <v>Shipper ETYNR</v>
      </c>
      <c r="O2122" t="str">
        <f>IFERROR(VLOOKUP(A2122,'Sales Order'!A:I,9,FALSE),"Not Specified")</f>
        <v>Destination RVDMF</v>
      </c>
      <c r="P2122" t="str">
        <f>IFERROR(VLOOKUP(A2122,'Sales Order'!A:N,14,FALSE),"Not Specified")</f>
        <v>Austria</v>
      </c>
      <c r="Q2122" t="str">
        <f>VLOOKUP(VLOOKUP(B2122,Product!A:C,3,FALSE),Supplier!A:B,2,FALSE)</f>
        <v>Supplier SVIYA</v>
      </c>
      <c r="R2122" t="str">
        <f>VLOOKUP(VLOOKUP(B2122,Product!A:C,3,FALSE),Supplier!A:I,9,FALSE)</f>
        <v>Germany</v>
      </c>
      <c r="S2122" t="str">
        <f>IFERROR(IF(VLOOKUP(A2122,'Sales Order'!A:H,8,FALSE)&gt;100,"High Freight","Low Freight"),"Not Specified")</f>
        <v>High Freight</v>
      </c>
      <c r="T2122">
        <f t="shared" si="67"/>
        <v>4322.5</v>
      </c>
    </row>
    <row r="2123" spans="1:20">
      <c r="A2123" s="9">
        <v>11073</v>
      </c>
      <c r="B2123" s="6">
        <v>11</v>
      </c>
      <c r="C2123" s="6">
        <v>21</v>
      </c>
      <c r="D2123" s="6">
        <v>10</v>
      </c>
      <c r="E2123" s="18">
        <v>0</v>
      </c>
      <c r="F2123" s="6" t="str">
        <f>IFERROR(VLOOKUP(VLOOKUP(A2123,'Sales Order'!A:B,2,FALSE),Customer!A:C,3,FALSE),"Not Specified")</f>
        <v>Fakhouri, Fadi</v>
      </c>
      <c r="G2123" s="6" t="str">
        <f t="shared" si="66"/>
        <v>Fakhouri Fadi</v>
      </c>
      <c r="H2123" s="22" t="str">
        <f>IFERROR(VLOOKUP(VLOOKUP(A2123,'Sales Order'!A:C,3,FALSE),Employee!A:E,5,FALSE)&amp;" "&amp;VLOOKUP(VLOOKUP(A2123,'Sales Order'!A:C,3,FALSE),Employee!A:C,3,FALSE)&amp;" "&amp;VLOOKUP(VLOOKUP(A2123,'Sales Order'!A:C,3,FALSE),Employee!A:B,2,FALSE),"Not Specified")</f>
        <v>Dr. Don Funk</v>
      </c>
      <c r="I2123" t="str">
        <f>IFERROR(VLOOKUP(VLOOKUP(A2123,'Sales Order'!A:C,3,FALSE),Employee!A:J,10,FALSE),"Not Specified")</f>
        <v>WA</v>
      </c>
      <c r="J2123" t="str">
        <f>VLOOKUP(B2123,Product!A:B,2,FALSE)</f>
        <v>Product QMVUN</v>
      </c>
      <c r="K2123" t="str">
        <f>VLOOKUP(VLOOKUP(B2123,Product!A:D,4,FALSE),Category!A:B,2,FALSE)</f>
        <v>Dairy Product</v>
      </c>
      <c r="L2123" s="24">
        <f>IFERROR(VLOOKUP(A2123,'Sales Order'!A:D,4,FALSE),"")</f>
        <v>39573</v>
      </c>
      <c r="M2123" s="24">
        <f>IFERROR(VLOOKUP(A2123,'Sales Order'!A:F,6,FALSE),"")</f>
        <v>0</v>
      </c>
      <c r="N2123" t="str">
        <f>IFERROR(VLOOKUP(VLOOKUP(A2123,'Sales Order'!A:G,7,FALSE),Shipper!A:B,2,FALSE),"Not Specified")</f>
        <v>Shipper ETYNR</v>
      </c>
      <c r="O2123" t="str">
        <f>IFERROR(VLOOKUP(A2123,'Sales Order'!A:I,9,FALSE),"Not Specified")</f>
        <v>Ship to 58-B</v>
      </c>
      <c r="P2123" t="str">
        <f>IFERROR(VLOOKUP(A2123,'Sales Order'!A:N,14,FALSE),"Not Specified")</f>
        <v>Mexico</v>
      </c>
      <c r="Q2123" t="str">
        <f>VLOOKUP(VLOOKUP(B2123,Product!A:C,3,FALSE),Supplier!A:B,2,FALSE)</f>
        <v>Supplier EQPNC</v>
      </c>
      <c r="R2123" t="str">
        <f>VLOOKUP(VLOOKUP(B2123,Product!A:C,3,FALSE),Supplier!A:I,9,FALSE)</f>
        <v>Spain</v>
      </c>
      <c r="S2123" t="str">
        <f>IFERROR(IF(VLOOKUP(A2123,'Sales Order'!A:H,8,FALSE)&gt;100,"High Freight","Low Freight"),"Not Specified")</f>
        <v>Low Freight</v>
      </c>
      <c r="T2123">
        <f t="shared" si="67"/>
        <v>210</v>
      </c>
    </row>
    <row r="2124" spans="1:20">
      <c r="A2124" s="9">
        <v>11073</v>
      </c>
      <c r="B2124" s="6">
        <v>24</v>
      </c>
      <c r="C2124" s="6">
        <v>4.5</v>
      </c>
      <c r="D2124" s="6">
        <v>20</v>
      </c>
      <c r="E2124" s="18">
        <v>0</v>
      </c>
      <c r="F2124" s="6" t="str">
        <f>IFERROR(VLOOKUP(VLOOKUP(A2124,'Sales Order'!A:B,2,FALSE),Customer!A:C,3,FALSE),"Not Specified")</f>
        <v>Fakhouri, Fadi</v>
      </c>
      <c r="G2124" s="6" t="str">
        <f t="shared" si="66"/>
        <v>Fakhouri Fadi</v>
      </c>
      <c r="H2124" s="22" t="str">
        <f>IFERROR(VLOOKUP(VLOOKUP(A2124,'Sales Order'!A:C,3,FALSE),Employee!A:E,5,FALSE)&amp;" "&amp;VLOOKUP(VLOOKUP(A2124,'Sales Order'!A:C,3,FALSE),Employee!A:C,3,FALSE)&amp;" "&amp;VLOOKUP(VLOOKUP(A2124,'Sales Order'!A:C,3,FALSE),Employee!A:B,2,FALSE),"Not Specified")</f>
        <v>Dr. Don Funk</v>
      </c>
      <c r="I2124" t="str">
        <f>IFERROR(VLOOKUP(VLOOKUP(A2124,'Sales Order'!A:C,3,FALSE),Employee!A:J,10,FALSE),"Not Specified")</f>
        <v>WA</v>
      </c>
      <c r="J2124" t="str">
        <f>VLOOKUP(B2124,Product!A:B,2,FALSE)</f>
        <v>Product QOGNU</v>
      </c>
      <c r="K2124" t="str">
        <f>VLOOKUP(VLOOKUP(B2124,Product!A:D,4,FALSE),Category!A:B,2,FALSE)</f>
        <v>Beverages</v>
      </c>
      <c r="L2124" s="24">
        <f>IFERROR(VLOOKUP(A2124,'Sales Order'!A:D,4,FALSE),"")</f>
        <v>39573</v>
      </c>
      <c r="M2124" s="24">
        <f>IFERROR(VLOOKUP(A2124,'Sales Order'!A:F,6,FALSE),"")</f>
        <v>0</v>
      </c>
      <c r="N2124" t="str">
        <f>IFERROR(VLOOKUP(VLOOKUP(A2124,'Sales Order'!A:G,7,FALSE),Shipper!A:B,2,FALSE),"Not Specified")</f>
        <v>Shipper ETYNR</v>
      </c>
      <c r="O2124" t="str">
        <f>IFERROR(VLOOKUP(A2124,'Sales Order'!A:I,9,FALSE),"Not Specified")</f>
        <v>Ship to 58-B</v>
      </c>
      <c r="P2124" t="str">
        <f>IFERROR(VLOOKUP(A2124,'Sales Order'!A:N,14,FALSE),"Not Specified")</f>
        <v>Mexico</v>
      </c>
      <c r="Q2124" t="str">
        <f>VLOOKUP(VLOOKUP(B2124,Product!A:C,3,FALSE),Supplier!A:B,2,FALSE)</f>
        <v>Supplier UNAHG</v>
      </c>
      <c r="R2124" t="str">
        <f>VLOOKUP(VLOOKUP(B2124,Product!A:C,3,FALSE),Supplier!A:I,9,FALSE)</f>
        <v>Brazil</v>
      </c>
      <c r="S2124" t="str">
        <f>IFERROR(IF(VLOOKUP(A2124,'Sales Order'!A:H,8,FALSE)&gt;100,"High Freight","Low Freight"),"Not Specified")</f>
        <v>Low Freight</v>
      </c>
      <c r="T2124">
        <f t="shared" si="67"/>
        <v>90</v>
      </c>
    </row>
    <row r="2125" spans="1:20">
      <c r="A2125" s="9">
        <v>11074</v>
      </c>
      <c r="B2125" s="6">
        <v>16</v>
      </c>
      <c r="C2125" s="6">
        <v>17.45</v>
      </c>
      <c r="D2125" s="6">
        <v>14</v>
      </c>
      <c r="E2125" s="18">
        <v>0.05</v>
      </c>
      <c r="F2125" s="6" t="str">
        <f>IFERROR(VLOOKUP(VLOOKUP(A2125,'Sales Order'!A:B,2,FALSE),Customer!A:C,3,FALSE),"Not Specified")</f>
        <v>Gonzalez, Nuria</v>
      </c>
      <c r="G2125" s="6" t="str">
        <f t="shared" si="66"/>
        <v>Gonzalez Nuria</v>
      </c>
      <c r="H2125" s="22" t="str">
        <f>IFERROR(VLOOKUP(VLOOKUP(A2125,'Sales Order'!A:C,3,FALSE),Employee!A:E,5,FALSE)&amp;" "&amp;VLOOKUP(VLOOKUP(A2125,'Sales Order'!A:C,3,FALSE),Employee!A:C,3,FALSE)&amp;" "&amp;VLOOKUP(VLOOKUP(A2125,'Sales Order'!A:C,3,FALSE),Employee!A:B,2,FALSE),"Not Specified")</f>
        <v>Mr. Russell King</v>
      </c>
      <c r="I2125">
        <f>IFERROR(VLOOKUP(VLOOKUP(A2125,'Sales Order'!A:C,3,FALSE),Employee!A:J,10,FALSE),"Not Specified")</f>
        <v>0</v>
      </c>
      <c r="J2125" t="str">
        <f>VLOOKUP(B2125,Product!A:B,2,FALSE)</f>
        <v>Product PAFRH</v>
      </c>
      <c r="K2125" t="str">
        <f>VLOOKUP(VLOOKUP(B2125,Product!A:D,4,FALSE),Category!A:B,2,FALSE)</f>
        <v>Confections</v>
      </c>
      <c r="L2125" s="24">
        <f>IFERROR(VLOOKUP(A2125,'Sales Order'!A:D,4,FALSE),"")</f>
        <v>39574</v>
      </c>
      <c r="M2125" s="24">
        <f>IFERROR(VLOOKUP(A2125,'Sales Order'!A:F,6,FALSE),"")</f>
        <v>0</v>
      </c>
      <c r="N2125" t="str">
        <f>IFERROR(VLOOKUP(VLOOKUP(A2125,'Sales Order'!A:G,7,FALSE),Shipper!A:B,2,FALSE),"Not Specified")</f>
        <v>Shipper ETYNR</v>
      </c>
      <c r="O2125" t="str">
        <f>IFERROR(VLOOKUP(A2125,'Sales Order'!A:I,9,FALSE),"Not Specified")</f>
        <v>Ship to 73-A</v>
      </c>
      <c r="P2125" t="str">
        <f>IFERROR(VLOOKUP(A2125,'Sales Order'!A:N,14,FALSE),"Not Specified")</f>
        <v>Denmark</v>
      </c>
      <c r="Q2125" t="str">
        <f>VLOOKUP(VLOOKUP(B2125,Product!A:C,3,FALSE),Supplier!A:B,2,FALSE)</f>
        <v>Supplier GQRCV</v>
      </c>
      <c r="R2125" t="str">
        <f>VLOOKUP(VLOOKUP(B2125,Product!A:C,3,FALSE),Supplier!A:I,9,FALSE)</f>
        <v>Australia</v>
      </c>
      <c r="S2125" t="str">
        <f>IFERROR(IF(VLOOKUP(A2125,'Sales Order'!A:H,8,FALSE)&gt;100,"High Freight","Low Freight"),"Not Specified")</f>
        <v>Low Freight</v>
      </c>
      <c r="T2125">
        <f t="shared" si="67"/>
        <v>232.08499999999998</v>
      </c>
    </row>
    <row r="2126" spans="1:20">
      <c r="A2126" s="9">
        <v>11075</v>
      </c>
      <c r="B2126" s="6">
        <v>2</v>
      </c>
      <c r="C2126" s="6">
        <v>19</v>
      </c>
      <c r="D2126" s="6">
        <v>10</v>
      </c>
      <c r="E2126" s="18">
        <v>0.15</v>
      </c>
      <c r="F2126" s="6" t="str">
        <f>IFERROR(VLOOKUP(VLOOKUP(A2126,'Sales Order'!A:B,2,FALSE),Customer!A:C,3,FALSE),"Not Specified")</f>
        <v>Myrcha, Jacek</v>
      </c>
      <c r="G2126" s="6" t="str">
        <f t="shared" si="66"/>
        <v>Myrcha Jacek</v>
      </c>
      <c r="H2126" s="22" t="str">
        <f>IFERROR(VLOOKUP(VLOOKUP(A2126,'Sales Order'!A:C,3,FALSE),Employee!A:E,5,FALSE)&amp;" "&amp;VLOOKUP(VLOOKUP(A2126,'Sales Order'!A:C,3,FALSE),Employee!A:C,3,FALSE)&amp;" "&amp;VLOOKUP(VLOOKUP(A2126,'Sales Order'!A:C,3,FALSE),Employee!A:B,2,FALSE),"Not Specified")</f>
        <v>Ms. Maria Cameron</v>
      </c>
      <c r="I2126" t="str">
        <f>IFERROR(VLOOKUP(VLOOKUP(A2126,'Sales Order'!A:C,3,FALSE),Employee!A:J,10,FALSE),"Not Specified")</f>
        <v>WA</v>
      </c>
      <c r="J2126" t="str">
        <f>VLOOKUP(B2126,Product!A:B,2,FALSE)</f>
        <v>Product RECZE</v>
      </c>
      <c r="K2126" t="str">
        <f>VLOOKUP(VLOOKUP(B2126,Product!A:D,4,FALSE),Category!A:B,2,FALSE)</f>
        <v>Beverages</v>
      </c>
      <c r="L2126" s="24">
        <f>IFERROR(VLOOKUP(A2126,'Sales Order'!A:D,4,FALSE),"")</f>
        <v>39574</v>
      </c>
      <c r="M2126" s="24">
        <f>IFERROR(VLOOKUP(A2126,'Sales Order'!A:F,6,FALSE),"")</f>
        <v>0</v>
      </c>
      <c r="N2126" t="str">
        <f>IFERROR(VLOOKUP(VLOOKUP(A2126,'Sales Order'!A:G,7,FALSE),Shipper!A:B,2,FALSE),"Not Specified")</f>
        <v>Shipper ETYNR</v>
      </c>
      <c r="O2126" t="str">
        <f>IFERROR(VLOOKUP(A2126,'Sales Order'!A:I,9,FALSE),"Not Specified")</f>
        <v>Ship to 68-A</v>
      </c>
      <c r="P2126" t="str">
        <f>IFERROR(VLOOKUP(A2126,'Sales Order'!A:N,14,FALSE),"Not Specified")</f>
        <v>Switzerland</v>
      </c>
      <c r="Q2126" t="str">
        <f>VLOOKUP(VLOOKUP(B2126,Product!A:C,3,FALSE),Supplier!A:B,2,FALSE)</f>
        <v>Supplier SWRXU</v>
      </c>
      <c r="R2126" t="str">
        <f>VLOOKUP(VLOOKUP(B2126,Product!A:C,3,FALSE),Supplier!A:I,9,FALSE)</f>
        <v>UK</v>
      </c>
      <c r="S2126" t="str">
        <f>IFERROR(IF(VLOOKUP(A2126,'Sales Order'!A:H,8,FALSE)&gt;100,"High Freight","Low Freight"),"Not Specified")</f>
        <v>Low Freight</v>
      </c>
      <c r="T2126">
        <f t="shared" si="67"/>
        <v>161.5</v>
      </c>
    </row>
    <row r="2127" spans="1:20">
      <c r="A2127" s="9">
        <v>11075</v>
      </c>
      <c r="B2127" s="6">
        <v>46</v>
      </c>
      <c r="C2127" s="6">
        <v>12</v>
      </c>
      <c r="D2127" s="6">
        <v>30</v>
      </c>
      <c r="E2127" s="18">
        <v>0.15</v>
      </c>
      <c r="F2127" s="6" t="str">
        <f>IFERROR(VLOOKUP(VLOOKUP(A2127,'Sales Order'!A:B,2,FALSE),Customer!A:C,3,FALSE),"Not Specified")</f>
        <v>Myrcha, Jacek</v>
      </c>
      <c r="G2127" s="6" t="str">
        <f t="shared" si="66"/>
        <v>Myrcha Jacek</v>
      </c>
      <c r="H2127" s="22" t="str">
        <f>IFERROR(VLOOKUP(VLOOKUP(A2127,'Sales Order'!A:C,3,FALSE),Employee!A:E,5,FALSE)&amp;" "&amp;VLOOKUP(VLOOKUP(A2127,'Sales Order'!A:C,3,FALSE),Employee!A:C,3,FALSE)&amp;" "&amp;VLOOKUP(VLOOKUP(A2127,'Sales Order'!A:C,3,FALSE),Employee!A:B,2,FALSE),"Not Specified")</f>
        <v>Ms. Maria Cameron</v>
      </c>
      <c r="I2127" t="str">
        <f>IFERROR(VLOOKUP(VLOOKUP(A2127,'Sales Order'!A:C,3,FALSE),Employee!A:J,10,FALSE),"Not Specified")</f>
        <v>WA</v>
      </c>
      <c r="J2127" t="str">
        <f>VLOOKUP(B2127,Product!A:B,2,FALSE)</f>
        <v>Product CBRRL</v>
      </c>
      <c r="K2127" t="str">
        <f>VLOOKUP(VLOOKUP(B2127,Product!A:D,4,FALSE),Category!A:B,2,FALSE)</f>
        <v>Seafood</v>
      </c>
      <c r="L2127" s="24">
        <f>IFERROR(VLOOKUP(A2127,'Sales Order'!A:D,4,FALSE),"")</f>
        <v>39574</v>
      </c>
      <c r="M2127" s="24">
        <f>IFERROR(VLOOKUP(A2127,'Sales Order'!A:F,6,FALSE),"")</f>
        <v>0</v>
      </c>
      <c r="N2127" t="str">
        <f>IFERROR(VLOOKUP(VLOOKUP(A2127,'Sales Order'!A:G,7,FALSE),Shipper!A:B,2,FALSE),"Not Specified")</f>
        <v>Shipper ETYNR</v>
      </c>
      <c r="O2127" t="str">
        <f>IFERROR(VLOOKUP(A2127,'Sales Order'!A:I,9,FALSE),"Not Specified")</f>
        <v>Ship to 68-A</v>
      </c>
      <c r="P2127" t="str">
        <f>IFERROR(VLOOKUP(A2127,'Sales Order'!A:N,14,FALSE),"Not Specified")</f>
        <v>Switzerland</v>
      </c>
      <c r="Q2127" t="str">
        <f>VLOOKUP(VLOOKUP(B2127,Product!A:C,3,FALSE),Supplier!A:B,2,FALSE)</f>
        <v>Supplier XOXZA</v>
      </c>
      <c r="R2127" t="str">
        <f>VLOOKUP(VLOOKUP(B2127,Product!A:C,3,FALSE),Supplier!A:I,9,FALSE)</f>
        <v>Denmark</v>
      </c>
      <c r="S2127" t="str">
        <f>IFERROR(IF(VLOOKUP(A2127,'Sales Order'!A:H,8,FALSE)&gt;100,"High Freight","Low Freight"),"Not Specified")</f>
        <v>Low Freight</v>
      </c>
      <c r="T2127">
        <f t="shared" si="67"/>
        <v>306</v>
      </c>
    </row>
    <row r="2128" spans="1:20">
      <c r="A2128" s="9">
        <v>11075</v>
      </c>
      <c r="B2128" s="6">
        <v>76</v>
      </c>
      <c r="C2128" s="6">
        <v>18</v>
      </c>
      <c r="D2128" s="6">
        <v>2</v>
      </c>
      <c r="E2128" s="18">
        <v>0.15</v>
      </c>
      <c r="F2128" s="6" t="str">
        <f>IFERROR(VLOOKUP(VLOOKUP(A2128,'Sales Order'!A:B,2,FALSE),Customer!A:C,3,FALSE),"Not Specified")</f>
        <v>Myrcha, Jacek</v>
      </c>
      <c r="G2128" s="6" t="str">
        <f t="shared" si="66"/>
        <v>Myrcha Jacek</v>
      </c>
      <c r="H2128" s="22" t="str">
        <f>IFERROR(VLOOKUP(VLOOKUP(A2128,'Sales Order'!A:C,3,FALSE),Employee!A:E,5,FALSE)&amp;" "&amp;VLOOKUP(VLOOKUP(A2128,'Sales Order'!A:C,3,FALSE),Employee!A:C,3,FALSE)&amp;" "&amp;VLOOKUP(VLOOKUP(A2128,'Sales Order'!A:C,3,FALSE),Employee!A:B,2,FALSE),"Not Specified")</f>
        <v>Ms. Maria Cameron</v>
      </c>
      <c r="I2128" t="str">
        <f>IFERROR(VLOOKUP(VLOOKUP(A2128,'Sales Order'!A:C,3,FALSE),Employee!A:J,10,FALSE),"Not Specified")</f>
        <v>WA</v>
      </c>
      <c r="J2128" t="str">
        <f>VLOOKUP(B2128,Product!A:B,2,FALSE)</f>
        <v>Product JYGFE</v>
      </c>
      <c r="K2128" t="str">
        <f>VLOOKUP(VLOOKUP(B2128,Product!A:D,4,FALSE),Category!A:B,2,FALSE)</f>
        <v>Beverages</v>
      </c>
      <c r="L2128" s="24">
        <f>IFERROR(VLOOKUP(A2128,'Sales Order'!A:D,4,FALSE),"")</f>
        <v>39574</v>
      </c>
      <c r="M2128" s="24">
        <f>IFERROR(VLOOKUP(A2128,'Sales Order'!A:F,6,FALSE),"")</f>
        <v>0</v>
      </c>
      <c r="N2128" t="str">
        <f>IFERROR(VLOOKUP(VLOOKUP(A2128,'Sales Order'!A:G,7,FALSE),Shipper!A:B,2,FALSE),"Not Specified")</f>
        <v>Shipper ETYNR</v>
      </c>
      <c r="O2128" t="str">
        <f>IFERROR(VLOOKUP(A2128,'Sales Order'!A:I,9,FALSE),"Not Specified")</f>
        <v>Ship to 68-A</v>
      </c>
      <c r="P2128" t="str">
        <f>IFERROR(VLOOKUP(A2128,'Sales Order'!A:N,14,FALSE),"Not Specified")</f>
        <v>Switzerland</v>
      </c>
      <c r="Q2128" t="str">
        <f>VLOOKUP(VLOOKUP(B2128,Product!A:C,3,FALSE),Supplier!A:B,2,FALSE)</f>
        <v>Supplier ELCRN</v>
      </c>
      <c r="R2128" t="str">
        <f>VLOOKUP(VLOOKUP(B2128,Product!A:C,3,FALSE),Supplier!A:I,9,FALSE)</f>
        <v>Finland</v>
      </c>
      <c r="S2128" t="str">
        <f>IFERROR(IF(VLOOKUP(A2128,'Sales Order'!A:H,8,FALSE)&gt;100,"High Freight","Low Freight"),"Not Specified")</f>
        <v>Low Freight</v>
      </c>
      <c r="T2128">
        <f t="shared" si="67"/>
        <v>30.599999999999998</v>
      </c>
    </row>
    <row r="2129" spans="1:20">
      <c r="A2129" s="9">
        <v>11076</v>
      </c>
      <c r="B2129" s="6">
        <v>6</v>
      </c>
      <c r="C2129" s="6">
        <v>25</v>
      </c>
      <c r="D2129" s="6">
        <v>20</v>
      </c>
      <c r="E2129" s="18">
        <v>0.25</v>
      </c>
      <c r="F2129" s="6" t="str">
        <f>IFERROR(VLOOKUP(VLOOKUP(A2129,'Sales Order'!A:B,2,FALSE),Customer!A:C,3,FALSE),"Not Specified")</f>
        <v>Raghav, Amritansh</v>
      </c>
      <c r="G2129" s="6" t="str">
        <f t="shared" si="66"/>
        <v>Raghav Amritansh</v>
      </c>
      <c r="H2129" s="22" t="str">
        <f>IFERROR(VLOOKUP(VLOOKUP(A2129,'Sales Order'!A:C,3,FALSE),Employee!A:E,5,FALSE)&amp;" "&amp;VLOOKUP(VLOOKUP(A2129,'Sales Order'!A:C,3,FALSE),Employee!A:C,3,FALSE)&amp;" "&amp;VLOOKUP(VLOOKUP(A2129,'Sales Order'!A:C,3,FALSE),Employee!A:B,2,FALSE),"Not Specified")</f>
        <v>Mrs. Yael Peled</v>
      </c>
      <c r="I2129" t="str">
        <f>IFERROR(VLOOKUP(VLOOKUP(A2129,'Sales Order'!A:C,3,FALSE),Employee!A:J,10,FALSE),"Not Specified")</f>
        <v>WA</v>
      </c>
      <c r="J2129" t="str">
        <f>VLOOKUP(B2129,Product!A:B,2,FALSE)</f>
        <v>Product VAIIV</v>
      </c>
      <c r="K2129" t="str">
        <f>VLOOKUP(VLOOKUP(B2129,Product!A:D,4,FALSE),Category!A:B,2,FALSE)</f>
        <v>Condiments</v>
      </c>
      <c r="L2129" s="24">
        <f>IFERROR(VLOOKUP(A2129,'Sales Order'!A:D,4,FALSE),"")</f>
        <v>39574</v>
      </c>
      <c r="M2129" s="24">
        <f>IFERROR(VLOOKUP(A2129,'Sales Order'!A:F,6,FALSE),"")</f>
        <v>0</v>
      </c>
      <c r="N2129" t="str">
        <f>IFERROR(VLOOKUP(VLOOKUP(A2129,'Sales Order'!A:G,7,FALSE),Shipper!A:B,2,FALSE),"Not Specified")</f>
        <v>Shipper ETYNR</v>
      </c>
      <c r="O2129" t="str">
        <f>IFERROR(VLOOKUP(A2129,'Sales Order'!A:I,9,FALSE),"Not Specified")</f>
        <v>Ship to 9-A</v>
      </c>
      <c r="P2129" t="str">
        <f>IFERROR(VLOOKUP(A2129,'Sales Order'!A:N,14,FALSE),"Not Specified")</f>
        <v>France</v>
      </c>
      <c r="Q2129" t="str">
        <f>VLOOKUP(VLOOKUP(B2129,Product!A:C,3,FALSE),Supplier!A:B,2,FALSE)</f>
        <v>Supplier STUAZ</v>
      </c>
      <c r="R2129" t="str">
        <f>VLOOKUP(VLOOKUP(B2129,Product!A:C,3,FALSE),Supplier!A:I,9,FALSE)</f>
        <v>USA</v>
      </c>
      <c r="S2129" t="str">
        <f>IFERROR(IF(VLOOKUP(A2129,'Sales Order'!A:H,8,FALSE)&gt;100,"High Freight","Low Freight"),"Not Specified")</f>
        <v>Low Freight</v>
      </c>
      <c r="T2129">
        <f t="shared" si="67"/>
        <v>375</v>
      </c>
    </row>
    <row r="2130" spans="1:20">
      <c r="A2130" s="9">
        <v>11076</v>
      </c>
      <c r="B2130" s="6">
        <v>14</v>
      </c>
      <c r="C2130" s="6">
        <v>23.25</v>
      </c>
      <c r="D2130" s="6">
        <v>20</v>
      </c>
      <c r="E2130" s="18">
        <v>0.25</v>
      </c>
      <c r="F2130" s="6" t="str">
        <f>IFERROR(VLOOKUP(VLOOKUP(A2130,'Sales Order'!A:B,2,FALSE),Customer!A:C,3,FALSE),"Not Specified")</f>
        <v>Raghav, Amritansh</v>
      </c>
      <c r="G2130" s="6" t="str">
        <f t="shared" si="66"/>
        <v>Raghav Amritansh</v>
      </c>
      <c r="H2130" s="22" t="str">
        <f>IFERROR(VLOOKUP(VLOOKUP(A2130,'Sales Order'!A:C,3,FALSE),Employee!A:E,5,FALSE)&amp;" "&amp;VLOOKUP(VLOOKUP(A2130,'Sales Order'!A:C,3,FALSE),Employee!A:C,3,FALSE)&amp;" "&amp;VLOOKUP(VLOOKUP(A2130,'Sales Order'!A:C,3,FALSE),Employee!A:B,2,FALSE),"Not Specified")</f>
        <v>Mrs. Yael Peled</v>
      </c>
      <c r="I2130" t="str">
        <f>IFERROR(VLOOKUP(VLOOKUP(A2130,'Sales Order'!A:C,3,FALSE),Employee!A:J,10,FALSE),"Not Specified")</f>
        <v>WA</v>
      </c>
      <c r="J2130" t="str">
        <f>VLOOKUP(B2130,Product!A:B,2,FALSE)</f>
        <v>Product PWCJB</v>
      </c>
      <c r="K2130" t="str">
        <f>VLOOKUP(VLOOKUP(B2130,Product!A:D,4,FALSE),Category!A:B,2,FALSE)</f>
        <v>Produce</v>
      </c>
      <c r="L2130" s="24">
        <f>IFERROR(VLOOKUP(A2130,'Sales Order'!A:D,4,FALSE),"")</f>
        <v>39574</v>
      </c>
      <c r="M2130" s="24">
        <f>IFERROR(VLOOKUP(A2130,'Sales Order'!A:F,6,FALSE),"")</f>
        <v>0</v>
      </c>
      <c r="N2130" t="str">
        <f>IFERROR(VLOOKUP(VLOOKUP(A2130,'Sales Order'!A:G,7,FALSE),Shipper!A:B,2,FALSE),"Not Specified")</f>
        <v>Shipper ETYNR</v>
      </c>
      <c r="O2130" t="str">
        <f>IFERROR(VLOOKUP(A2130,'Sales Order'!A:I,9,FALSE),"Not Specified")</f>
        <v>Ship to 9-A</v>
      </c>
      <c r="P2130" t="str">
        <f>IFERROR(VLOOKUP(A2130,'Sales Order'!A:N,14,FALSE),"Not Specified")</f>
        <v>France</v>
      </c>
      <c r="Q2130" t="str">
        <f>VLOOKUP(VLOOKUP(B2130,Product!A:C,3,FALSE),Supplier!A:B,2,FALSE)</f>
        <v>Supplier QWUSF</v>
      </c>
      <c r="R2130" t="str">
        <f>VLOOKUP(VLOOKUP(B2130,Product!A:C,3,FALSE),Supplier!A:I,9,FALSE)</f>
        <v>Japan</v>
      </c>
      <c r="S2130" t="str">
        <f>IFERROR(IF(VLOOKUP(A2130,'Sales Order'!A:H,8,FALSE)&gt;100,"High Freight","Low Freight"),"Not Specified")</f>
        <v>Low Freight</v>
      </c>
      <c r="T2130">
        <f t="shared" si="67"/>
        <v>348.75</v>
      </c>
    </row>
    <row r="2131" spans="1:20">
      <c r="A2131" s="9">
        <v>11076</v>
      </c>
      <c r="B2131" s="6">
        <v>19</v>
      </c>
      <c r="C2131" s="6">
        <v>9.1999999999999993</v>
      </c>
      <c r="D2131" s="6">
        <v>10</v>
      </c>
      <c r="E2131" s="18">
        <v>0.25</v>
      </c>
      <c r="F2131" s="6" t="str">
        <f>IFERROR(VLOOKUP(VLOOKUP(A2131,'Sales Order'!A:B,2,FALSE),Customer!A:C,3,FALSE),"Not Specified")</f>
        <v>Raghav, Amritansh</v>
      </c>
      <c r="G2131" s="6" t="str">
        <f t="shared" si="66"/>
        <v>Raghav Amritansh</v>
      </c>
      <c r="H2131" s="22" t="str">
        <f>IFERROR(VLOOKUP(VLOOKUP(A2131,'Sales Order'!A:C,3,FALSE),Employee!A:E,5,FALSE)&amp;" "&amp;VLOOKUP(VLOOKUP(A2131,'Sales Order'!A:C,3,FALSE),Employee!A:C,3,FALSE)&amp;" "&amp;VLOOKUP(VLOOKUP(A2131,'Sales Order'!A:C,3,FALSE),Employee!A:B,2,FALSE),"Not Specified")</f>
        <v>Mrs. Yael Peled</v>
      </c>
      <c r="I2131" t="str">
        <f>IFERROR(VLOOKUP(VLOOKUP(A2131,'Sales Order'!A:C,3,FALSE),Employee!A:J,10,FALSE),"Not Specified")</f>
        <v>WA</v>
      </c>
      <c r="J2131" t="str">
        <f>VLOOKUP(B2131,Product!A:B,2,FALSE)</f>
        <v>Product XKXDO</v>
      </c>
      <c r="K2131" t="str">
        <f>VLOOKUP(VLOOKUP(B2131,Product!A:D,4,FALSE),Category!A:B,2,FALSE)</f>
        <v>Confections</v>
      </c>
      <c r="L2131" s="24">
        <f>IFERROR(VLOOKUP(A2131,'Sales Order'!A:D,4,FALSE),"")</f>
        <v>39574</v>
      </c>
      <c r="M2131" s="24">
        <f>IFERROR(VLOOKUP(A2131,'Sales Order'!A:F,6,FALSE),"")</f>
        <v>0</v>
      </c>
      <c r="N2131" t="str">
        <f>IFERROR(VLOOKUP(VLOOKUP(A2131,'Sales Order'!A:G,7,FALSE),Shipper!A:B,2,FALSE),"Not Specified")</f>
        <v>Shipper ETYNR</v>
      </c>
      <c r="O2131" t="str">
        <f>IFERROR(VLOOKUP(A2131,'Sales Order'!A:I,9,FALSE),"Not Specified")</f>
        <v>Ship to 9-A</v>
      </c>
      <c r="P2131" t="str">
        <f>IFERROR(VLOOKUP(A2131,'Sales Order'!A:N,14,FALSE),"Not Specified")</f>
        <v>France</v>
      </c>
      <c r="Q2131" t="str">
        <f>VLOOKUP(VLOOKUP(B2131,Product!A:C,3,FALSE),Supplier!A:B,2,FALSE)</f>
        <v>Supplier BWGYE</v>
      </c>
      <c r="R2131" t="str">
        <f>VLOOKUP(VLOOKUP(B2131,Product!A:C,3,FALSE),Supplier!A:I,9,FALSE)</f>
        <v>UK</v>
      </c>
      <c r="S2131" t="str">
        <f>IFERROR(IF(VLOOKUP(A2131,'Sales Order'!A:H,8,FALSE)&gt;100,"High Freight","Low Freight"),"Not Specified")</f>
        <v>Low Freight</v>
      </c>
      <c r="T2131">
        <f t="shared" si="67"/>
        <v>69</v>
      </c>
    </row>
    <row r="2132" spans="1:20">
      <c r="A2132" s="9">
        <v>11077</v>
      </c>
      <c r="B2132" s="6">
        <v>2</v>
      </c>
      <c r="C2132" s="6">
        <v>19</v>
      </c>
      <c r="D2132" s="6">
        <v>24</v>
      </c>
      <c r="E2132" s="18">
        <v>0.2</v>
      </c>
      <c r="F2132" s="6" t="str">
        <f>IFERROR(VLOOKUP(VLOOKUP(A2132,'Sales Order'!A:B,2,FALSE),Customer!A:C,3,FALSE),"Not Specified")</f>
        <v>Moore, Michael</v>
      </c>
      <c r="G2132" s="6" t="str">
        <f t="shared" si="66"/>
        <v>Moore Michael</v>
      </c>
      <c r="H2132" s="22" t="str">
        <f>IFERROR(VLOOKUP(VLOOKUP(A2132,'Sales Order'!A:C,3,FALSE),Employee!A:E,5,FALSE)&amp;" "&amp;VLOOKUP(VLOOKUP(A2132,'Sales Order'!A:C,3,FALSE),Employee!A:C,3,FALSE)&amp;" "&amp;VLOOKUP(VLOOKUP(A2132,'Sales Order'!A:C,3,FALSE),Employee!A:B,2,FALSE),"Not Specified")</f>
        <v>Ms. Sara Davis</v>
      </c>
      <c r="I2132" t="str">
        <f>IFERROR(VLOOKUP(VLOOKUP(A2132,'Sales Order'!A:C,3,FALSE),Employee!A:J,10,FALSE),"Not Specified")</f>
        <v>WA</v>
      </c>
      <c r="J2132" t="str">
        <f>VLOOKUP(B2132,Product!A:B,2,FALSE)</f>
        <v>Product RECZE</v>
      </c>
      <c r="K2132" t="str">
        <f>VLOOKUP(VLOOKUP(B2132,Product!A:D,4,FALSE),Category!A:B,2,FALSE)</f>
        <v>Beverages</v>
      </c>
      <c r="L2132" s="24">
        <f>IFERROR(VLOOKUP(A2132,'Sales Order'!A:D,4,FALSE),"")</f>
        <v>39574</v>
      </c>
      <c r="M2132" s="24">
        <f>IFERROR(VLOOKUP(A2132,'Sales Order'!A:F,6,FALSE),"")</f>
        <v>0</v>
      </c>
      <c r="N2132" t="str">
        <f>IFERROR(VLOOKUP(VLOOKUP(A2132,'Sales Order'!A:G,7,FALSE),Shipper!A:B,2,FALSE),"Not Specified")</f>
        <v>Shipper ETYNR</v>
      </c>
      <c r="O2132" t="str">
        <f>IFERROR(VLOOKUP(A2132,'Sales Order'!A:I,9,FALSE),"Not Specified")</f>
        <v>Ship to 65-A</v>
      </c>
      <c r="P2132" t="str">
        <f>IFERROR(VLOOKUP(A2132,'Sales Order'!A:N,14,FALSE),"Not Specified")</f>
        <v>USA</v>
      </c>
      <c r="Q2132" t="str">
        <f>VLOOKUP(VLOOKUP(B2132,Product!A:C,3,FALSE),Supplier!A:B,2,FALSE)</f>
        <v>Supplier SWRXU</v>
      </c>
      <c r="R2132" t="str">
        <f>VLOOKUP(VLOOKUP(B2132,Product!A:C,3,FALSE),Supplier!A:I,9,FALSE)</f>
        <v>UK</v>
      </c>
      <c r="S2132" t="str">
        <f>IFERROR(IF(VLOOKUP(A2132,'Sales Order'!A:H,8,FALSE)&gt;100,"High Freight","Low Freight"),"Not Specified")</f>
        <v>Low Freight</v>
      </c>
      <c r="T2132">
        <f t="shared" si="67"/>
        <v>364.8</v>
      </c>
    </row>
    <row r="2133" spans="1:20">
      <c r="A2133" s="9">
        <v>11077</v>
      </c>
      <c r="B2133" s="6">
        <v>3</v>
      </c>
      <c r="C2133" s="6">
        <v>10</v>
      </c>
      <c r="D2133" s="6">
        <v>4</v>
      </c>
      <c r="E2133" s="18">
        <v>0</v>
      </c>
      <c r="F2133" s="6" t="str">
        <f>IFERROR(VLOOKUP(VLOOKUP(A2133,'Sales Order'!A:B,2,FALSE),Customer!A:C,3,FALSE),"Not Specified")</f>
        <v>Moore, Michael</v>
      </c>
      <c r="G2133" s="6" t="str">
        <f t="shared" si="66"/>
        <v>Moore Michael</v>
      </c>
      <c r="H2133" s="22" t="str">
        <f>IFERROR(VLOOKUP(VLOOKUP(A2133,'Sales Order'!A:C,3,FALSE),Employee!A:E,5,FALSE)&amp;" "&amp;VLOOKUP(VLOOKUP(A2133,'Sales Order'!A:C,3,FALSE),Employee!A:C,3,FALSE)&amp;" "&amp;VLOOKUP(VLOOKUP(A2133,'Sales Order'!A:C,3,FALSE),Employee!A:B,2,FALSE),"Not Specified")</f>
        <v>Ms. Sara Davis</v>
      </c>
      <c r="I2133" t="str">
        <f>IFERROR(VLOOKUP(VLOOKUP(A2133,'Sales Order'!A:C,3,FALSE),Employee!A:J,10,FALSE),"Not Specified")</f>
        <v>WA</v>
      </c>
      <c r="J2133" t="str">
        <f>VLOOKUP(B2133,Product!A:B,2,FALSE)</f>
        <v>Product IMEHJ</v>
      </c>
      <c r="K2133" t="str">
        <f>VLOOKUP(VLOOKUP(B2133,Product!A:D,4,FALSE),Category!A:B,2,FALSE)</f>
        <v>Condiments</v>
      </c>
      <c r="L2133" s="24">
        <f>IFERROR(VLOOKUP(A2133,'Sales Order'!A:D,4,FALSE),"")</f>
        <v>39574</v>
      </c>
      <c r="M2133" s="24">
        <f>IFERROR(VLOOKUP(A2133,'Sales Order'!A:F,6,FALSE),"")</f>
        <v>0</v>
      </c>
      <c r="N2133" t="str">
        <f>IFERROR(VLOOKUP(VLOOKUP(A2133,'Sales Order'!A:G,7,FALSE),Shipper!A:B,2,FALSE),"Not Specified")</f>
        <v>Shipper ETYNR</v>
      </c>
      <c r="O2133" t="str">
        <f>IFERROR(VLOOKUP(A2133,'Sales Order'!A:I,9,FALSE),"Not Specified")</f>
        <v>Ship to 65-A</v>
      </c>
      <c r="P2133" t="str">
        <f>IFERROR(VLOOKUP(A2133,'Sales Order'!A:N,14,FALSE),"Not Specified")</f>
        <v>USA</v>
      </c>
      <c r="Q2133" t="str">
        <f>VLOOKUP(VLOOKUP(B2133,Product!A:C,3,FALSE),Supplier!A:B,2,FALSE)</f>
        <v>Supplier SWRXU</v>
      </c>
      <c r="R2133" t="str">
        <f>VLOOKUP(VLOOKUP(B2133,Product!A:C,3,FALSE),Supplier!A:I,9,FALSE)</f>
        <v>UK</v>
      </c>
      <c r="S2133" t="str">
        <f>IFERROR(IF(VLOOKUP(A2133,'Sales Order'!A:H,8,FALSE)&gt;100,"High Freight","Low Freight"),"Not Specified")</f>
        <v>Low Freight</v>
      </c>
      <c r="T2133">
        <f t="shared" si="67"/>
        <v>40</v>
      </c>
    </row>
    <row r="2134" spans="1:20">
      <c r="A2134" s="9">
        <v>11077</v>
      </c>
      <c r="B2134" s="6">
        <v>4</v>
      </c>
      <c r="C2134" s="6">
        <v>22</v>
      </c>
      <c r="D2134" s="6">
        <v>1</v>
      </c>
      <c r="E2134" s="18">
        <v>0</v>
      </c>
      <c r="F2134" s="6" t="str">
        <f>IFERROR(VLOOKUP(VLOOKUP(A2134,'Sales Order'!A:B,2,FALSE),Customer!A:C,3,FALSE),"Not Specified")</f>
        <v>Moore, Michael</v>
      </c>
      <c r="G2134" s="6" t="str">
        <f t="shared" si="66"/>
        <v>Moore Michael</v>
      </c>
      <c r="H2134" s="22" t="str">
        <f>IFERROR(VLOOKUP(VLOOKUP(A2134,'Sales Order'!A:C,3,FALSE),Employee!A:E,5,FALSE)&amp;" "&amp;VLOOKUP(VLOOKUP(A2134,'Sales Order'!A:C,3,FALSE),Employee!A:C,3,FALSE)&amp;" "&amp;VLOOKUP(VLOOKUP(A2134,'Sales Order'!A:C,3,FALSE),Employee!A:B,2,FALSE),"Not Specified")</f>
        <v>Ms. Sara Davis</v>
      </c>
      <c r="I2134" t="str">
        <f>IFERROR(VLOOKUP(VLOOKUP(A2134,'Sales Order'!A:C,3,FALSE),Employee!A:J,10,FALSE),"Not Specified")</f>
        <v>WA</v>
      </c>
      <c r="J2134" t="str">
        <f>VLOOKUP(B2134,Product!A:B,2,FALSE)</f>
        <v>Product KSBRM</v>
      </c>
      <c r="K2134" t="str">
        <f>VLOOKUP(VLOOKUP(B2134,Product!A:D,4,FALSE),Category!A:B,2,FALSE)</f>
        <v>Condiments</v>
      </c>
      <c r="L2134" s="24">
        <f>IFERROR(VLOOKUP(A2134,'Sales Order'!A:D,4,FALSE),"")</f>
        <v>39574</v>
      </c>
      <c r="M2134" s="24">
        <f>IFERROR(VLOOKUP(A2134,'Sales Order'!A:F,6,FALSE),"")</f>
        <v>0</v>
      </c>
      <c r="N2134" t="str">
        <f>IFERROR(VLOOKUP(VLOOKUP(A2134,'Sales Order'!A:G,7,FALSE),Shipper!A:B,2,FALSE),"Not Specified")</f>
        <v>Shipper ETYNR</v>
      </c>
      <c r="O2134" t="str">
        <f>IFERROR(VLOOKUP(A2134,'Sales Order'!A:I,9,FALSE),"Not Specified")</f>
        <v>Ship to 65-A</v>
      </c>
      <c r="P2134" t="str">
        <f>IFERROR(VLOOKUP(A2134,'Sales Order'!A:N,14,FALSE),"Not Specified")</f>
        <v>USA</v>
      </c>
      <c r="Q2134" t="str">
        <f>VLOOKUP(VLOOKUP(B2134,Product!A:C,3,FALSE),Supplier!A:B,2,FALSE)</f>
        <v>Supplier VHQZD</v>
      </c>
      <c r="R2134" t="str">
        <f>VLOOKUP(VLOOKUP(B2134,Product!A:C,3,FALSE),Supplier!A:I,9,FALSE)</f>
        <v>USA</v>
      </c>
      <c r="S2134" t="str">
        <f>IFERROR(IF(VLOOKUP(A2134,'Sales Order'!A:H,8,FALSE)&gt;100,"High Freight","Low Freight"),"Not Specified")</f>
        <v>Low Freight</v>
      </c>
      <c r="T2134">
        <f t="shared" si="67"/>
        <v>22</v>
      </c>
    </row>
    <row r="2135" spans="1:20">
      <c r="A2135" s="9">
        <v>11077</v>
      </c>
      <c r="B2135" s="6">
        <v>6</v>
      </c>
      <c r="C2135" s="6">
        <v>25</v>
      </c>
      <c r="D2135" s="6">
        <v>1</v>
      </c>
      <c r="E2135" s="18">
        <v>0.02</v>
      </c>
      <c r="F2135" s="6" t="str">
        <f>IFERROR(VLOOKUP(VLOOKUP(A2135,'Sales Order'!A:B,2,FALSE),Customer!A:C,3,FALSE),"Not Specified")</f>
        <v>Moore, Michael</v>
      </c>
      <c r="G2135" s="6" t="str">
        <f t="shared" si="66"/>
        <v>Moore Michael</v>
      </c>
      <c r="H2135" s="22" t="str">
        <f>IFERROR(VLOOKUP(VLOOKUP(A2135,'Sales Order'!A:C,3,FALSE),Employee!A:E,5,FALSE)&amp;" "&amp;VLOOKUP(VLOOKUP(A2135,'Sales Order'!A:C,3,FALSE),Employee!A:C,3,FALSE)&amp;" "&amp;VLOOKUP(VLOOKUP(A2135,'Sales Order'!A:C,3,FALSE),Employee!A:B,2,FALSE),"Not Specified")</f>
        <v>Ms. Sara Davis</v>
      </c>
      <c r="I2135" t="str">
        <f>IFERROR(VLOOKUP(VLOOKUP(A2135,'Sales Order'!A:C,3,FALSE),Employee!A:J,10,FALSE),"Not Specified")</f>
        <v>WA</v>
      </c>
      <c r="J2135" t="str">
        <f>VLOOKUP(B2135,Product!A:B,2,FALSE)</f>
        <v>Product VAIIV</v>
      </c>
      <c r="K2135" t="str">
        <f>VLOOKUP(VLOOKUP(B2135,Product!A:D,4,FALSE),Category!A:B,2,FALSE)</f>
        <v>Condiments</v>
      </c>
      <c r="L2135" s="24">
        <f>IFERROR(VLOOKUP(A2135,'Sales Order'!A:D,4,FALSE),"")</f>
        <v>39574</v>
      </c>
      <c r="M2135" s="24">
        <f>IFERROR(VLOOKUP(A2135,'Sales Order'!A:F,6,FALSE),"")</f>
        <v>0</v>
      </c>
      <c r="N2135" t="str">
        <f>IFERROR(VLOOKUP(VLOOKUP(A2135,'Sales Order'!A:G,7,FALSE),Shipper!A:B,2,FALSE),"Not Specified")</f>
        <v>Shipper ETYNR</v>
      </c>
      <c r="O2135" t="str">
        <f>IFERROR(VLOOKUP(A2135,'Sales Order'!A:I,9,FALSE),"Not Specified")</f>
        <v>Ship to 65-A</v>
      </c>
      <c r="P2135" t="str">
        <f>IFERROR(VLOOKUP(A2135,'Sales Order'!A:N,14,FALSE),"Not Specified")</f>
        <v>USA</v>
      </c>
      <c r="Q2135" t="str">
        <f>VLOOKUP(VLOOKUP(B2135,Product!A:C,3,FALSE),Supplier!A:B,2,FALSE)</f>
        <v>Supplier STUAZ</v>
      </c>
      <c r="R2135" t="str">
        <f>VLOOKUP(VLOOKUP(B2135,Product!A:C,3,FALSE),Supplier!A:I,9,FALSE)</f>
        <v>USA</v>
      </c>
      <c r="S2135" t="str">
        <f>IFERROR(IF(VLOOKUP(A2135,'Sales Order'!A:H,8,FALSE)&gt;100,"High Freight","Low Freight"),"Not Specified")</f>
        <v>Low Freight</v>
      </c>
      <c r="T2135">
        <f t="shared" si="67"/>
        <v>24.5</v>
      </c>
    </row>
    <row r="2136" spans="1:20">
      <c r="A2136" s="9">
        <v>11077</v>
      </c>
      <c r="B2136" s="6">
        <v>7</v>
      </c>
      <c r="C2136" s="6">
        <v>30</v>
      </c>
      <c r="D2136" s="6">
        <v>1</v>
      </c>
      <c r="E2136" s="18">
        <v>0.05</v>
      </c>
      <c r="F2136" s="6" t="str">
        <f>IFERROR(VLOOKUP(VLOOKUP(A2136,'Sales Order'!A:B,2,FALSE),Customer!A:C,3,FALSE),"Not Specified")</f>
        <v>Moore, Michael</v>
      </c>
      <c r="G2136" s="6" t="str">
        <f t="shared" si="66"/>
        <v>Moore Michael</v>
      </c>
      <c r="H2136" s="22" t="str">
        <f>IFERROR(VLOOKUP(VLOOKUP(A2136,'Sales Order'!A:C,3,FALSE),Employee!A:E,5,FALSE)&amp;" "&amp;VLOOKUP(VLOOKUP(A2136,'Sales Order'!A:C,3,FALSE),Employee!A:C,3,FALSE)&amp;" "&amp;VLOOKUP(VLOOKUP(A2136,'Sales Order'!A:C,3,FALSE),Employee!A:B,2,FALSE),"Not Specified")</f>
        <v>Ms. Sara Davis</v>
      </c>
      <c r="I2136" t="str">
        <f>IFERROR(VLOOKUP(VLOOKUP(A2136,'Sales Order'!A:C,3,FALSE),Employee!A:J,10,FALSE),"Not Specified")</f>
        <v>WA</v>
      </c>
      <c r="J2136" t="str">
        <f>VLOOKUP(B2136,Product!A:B,2,FALSE)</f>
        <v>Product HMLNI</v>
      </c>
      <c r="K2136" t="str">
        <f>VLOOKUP(VLOOKUP(B2136,Product!A:D,4,FALSE),Category!A:B,2,FALSE)</f>
        <v>Produce</v>
      </c>
      <c r="L2136" s="24">
        <f>IFERROR(VLOOKUP(A2136,'Sales Order'!A:D,4,FALSE),"")</f>
        <v>39574</v>
      </c>
      <c r="M2136" s="24">
        <f>IFERROR(VLOOKUP(A2136,'Sales Order'!A:F,6,FALSE),"")</f>
        <v>0</v>
      </c>
      <c r="N2136" t="str">
        <f>IFERROR(VLOOKUP(VLOOKUP(A2136,'Sales Order'!A:G,7,FALSE),Shipper!A:B,2,FALSE),"Not Specified")</f>
        <v>Shipper ETYNR</v>
      </c>
      <c r="O2136" t="str">
        <f>IFERROR(VLOOKUP(A2136,'Sales Order'!A:I,9,FALSE),"Not Specified")</f>
        <v>Ship to 65-A</v>
      </c>
      <c r="P2136" t="str">
        <f>IFERROR(VLOOKUP(A2136,'Sales Order'!A:N,14,FALSE),"Not Specified")</f>
        <v>USA</v>
      </c>
      <c r="Q2136" t="str">
        <f>VLOOKUP(VLOOKUP(B2136,Product!A:C,3,FALSE),Supplier!A:B,2,FALSE)</f>
        <v>Supplier STUAZ</v>
      </c>
      <c r="R2136" t="str">
        <f>VLOOKUP(VLOOKUP(B2136,Product!A:C,3,FALSE),Supplier!A:I,9,FALSE)</f>
        <v>USA</v>
      </c>
      <c r="S2136" t="str">
        <f>IFERROR(IF(VLOOKUP(A2136,'Sales Order'!A:H,8,FALSE)&gt;100,"High Freight","Low Freight"),"Not Specified")</f>
        <v>Low Freight</v>
      </c>
      <c r="T2136">
        <f t="shared" si="67"/>
        <v>28.5</v>
      </c>
    </row>
    <row r="2137" spans="1:20">
      <c r="A2137" s="9">
        <v>11077</v>
      </c>
      <c r="B2137" s="6">
        <v>8</v>
      </c>
      <c r="C2137" s="6">
        <v>40</v>
      </c>
      <c r="D2137" s="6">
        <v>2</v>
      </c>
      <c r="E2137" s="18">
        <v>0.1</v>
      </c>
      <c r="F2137" s="6" t="str">
        <f>IFERROR(VLOOKUP(VLOOKUP(A2137,'Sales Order'!A:B,2,FALSE),Customer!A:C,3,FALSE),"Not Specified")</f>
        <v>Moore, Michael</v>
      </c>
      <c r="G2137" s="6" t="str">
        <f t="shared" si="66"/>
        <v>Moore Michael</v>
      </c>
      <c r="H2137" s="22" t="str">
        <f>IFERROR(VLOOKUP(VLOOKUP(A2137,'Sales Order'!A:C,3,FALSE),Employee!A:E,5,FALSE)&amp;" "&amp;VLOOKUP(VLOOKUP(A2137,'Sales Order'!A:C,3,FALSE),Employee!A:C,3,FALSE)&amp;" "&amp;VLOOKUP(VLOOKUP(A2137,'Sales Order'!A:C,3,FALSE),Employee!A:B,2,FALSE),"Not Specified")</f>
        <v>Ms. Sara Davis</v>
      </c>
      <c r="I2137" t="str">
        <f>IFERROR(VLOOKUP(VLOOKUP(A2137,'Sales Order'!A:C,3,FALSE),Employee!A:J,10,FALSE),"Not Specified")</f>
        <v>WA</v>
      </c>
      <c r="J2137" t="str">
        <f>VLOOKUP(B2137,Product!A:B,2,FALSE)</f>
        <v>Product WVJFP</v>
      </c>
      <c r="K2137" t="str">
        <f>VLOOKUP(VLOOKUP(B2137,Product!A:D,4,FALSE),Category!A:B,2,FALSE)</f>
        <v>Condiments</v>
      </c>
      <c r="L2137" s="24">
        <f>IFERROR(VLOOKUP(A2137,'Sales Order'!A:D,4,FALSE),"")</f>
        <v>39574</v>
      </c>
      <c r="M2137" s="24">
        <f>IFERROR(VLOOKUP(A2137,'Sales Order'!A:F,6,FALSE),"")</f>
        <v>0</v>
      </c>
      <c r="N2137" t="str">
        <f>IFERROR(VLOOKUP(VLOOKUP(A2137,'Sales Order'!A:G,7,FALSE),Shipper!A:B,2,FALSE),"Not Specified")</f>
        <v>Shipper ETYNR</v>
      </c>
      <c r="O2137" t="str">
        <f>IFERROR(VLOOKUP(A2137,'Sales Order'!A:I,9,FALSE),"Not Specified")</f>
        <v>Ship to 65-A</v>
      </c>
      <c r="P2137" t="str">
        <f>IFERROR(VLOOKUP(A2137,'Sales Order'!A:N,14,FALSE),"Not Specified")</f>
        <v>USA</v>
      </c>
      <c r="Q2137" t="str">
        <f>VLOOKUP(VLOOKUP(B2137,Product!A:C,3,FALSE),Supplier!A:B,2,FALSE)</f>
        <v>Supplier STUAZ</v>
      </c>
      <c r="R2137" t="str">
        <f>VLOOKUP(VLOOKUP(B2137,Product!A:C,3,FALSE),Supplier!A:I,9,FALSE)</f>
        <v>USA</v>
      </c>
      <c r="S2137" t="str">
        <f>IFERROR(IF(VLOOKUP(A2137,'Sales Order'!A:H,8,FALSE)&gt;100,"High Freight","Low Freight"),"Not Specified")</f>
        <v>Low Freight</v>
      </c>
      <c r="T2137">
        <f t="shared" si="67"/>
        <v>72</v>
      </c>
    </row>
    <row r="2138" spans="1:20">
      <c r="A2138" s="9">
        <v>11077</v>
      </c>
      <c r="B2138" s="6">
        <v>10</v>
      </c>
      <c r="C2138" s="6">
        <v>31</v>
      </c>
      <c r="D2138" s="6">
        <v>1</v>
      </c>
      <c r="E2138" s="18">
        <v>0</v>
      </c>
      <c r="F2138" s="6" t="str">
        <f>IFERROR(VLOOKUP(VLOOKUP(A2138,'Sales Order'!A:B,2,FALSE),Customer!A:C,3,FALSE),"Not Specified")</f>
        <v>Moore, Michael</v>
      </c>
      <c r="G2138" s="6" t="str">
        <f t="shared" si="66"/>
        <v>Moore Michael</v>
      </c>
      <c r="H2138" s="22" t="str">
        <f>IFERROR(VLOOKUP(VLOOKUP(A2138,'Sales Order'!A:C,3,FALSE),Employee!A:E,5,FALSE)&amp;" "&amp;VLOOKUP(VLOOKUP(A2138,'Sales Order'!A:C,3,FALSE),Employee!A:C,3,FALSE)&amp;" "&amp;VLOOKUP(VLOOKUP(A2138,'Sales Order'!A:C,3,FALSE),Employee!A:B,2,FALSE),"Not Specified")</f>
        <v>Ms. Sara Davis</v>
      </c>
      <c r="I2138" t="str">
        <f>IFERROR(VLOOKUP(VLOOKUP(A2138,'Sales Order'!A:C,3,FALSE),Employee!A:J,10,FALSE),"Not Specified")</f>
        <v>WA</v>
      </c>
      <c r="J2138" t="str">
        <f>VLOOKUP(B2138,Product!A:B,2,FALSE)</f>
        <v>Product YHXGE</v>
      </c>
      <c r="K2138" t="str">
        <f>VLOOKUP(VLOOKUP(B2138,Product!A:D,4,FALSE),Category!A:B,2,FALSE)</f>
        <v>Seafood</v>
      </c>
      <c r="L2138" s="24">
        <f>IFERROR(VLOOKUP(A2138,'Sales Order'!A:D,4,FALSE),"")</f>
        <v>39574</v>
      </c>
      <c r="M2138" s="24">
        <f>IFERROR(VLOOKUP(A2138,'Sales Order'!A:F,6,FALSE),"")</f>
        <v>0</v>
      </c>
      <c r="N2138" t="str">
        <f>IFERROR(VLOOKUP(VLOOKUP(A2138,'Sales Order'!A:G,7,FALSE),Shipper!A:B,2,FALSE),"Not Specified")</f>
        <v>Shipper ETYNR</v>
      </c>
      <c r="O2138" t="str">
        <f>IFERROR(VLOOKUP(A2138,'Sales Order'!A:I,9,FALSE),"Not Specified")</f>
        <v>Ship to 65-A</v>
      </c>
      <c r="P2138" t="str">
        <f>IFERROR(VLOOKUP(A2138,'Sales Order'!A:N,14,FALSE),"Not Specified")</f>
        <v>USA</v>
      </c>
      <c r="Q2138" t="str">
        <f>VLOOKUP(VLOOKUP(B2138,Product!A:C,3,FALSE),Supplier!A:B,2,FALSE)</f>
        <v>Supplier QOVFD</v>
      </c>
      <c r="R2138" t="str">
        <f>VLOOKUP(VLOOKUP(B2138,Product!A:C,3,FALSE),Supplier!A:I,9,FALSE)</f>
        <v>Japan</v>
      </c>
      <c r="S2138" t="str">
        <f>IFERROR(IF(VLOOKUP(A2138,'Sales Order'!A:H,8,FALSE)&gt;100,"High Freight","Low Freight"),"Not Specified")</f>
        <v>Low Freight</v>
      </c>
      <c r="T2138">
        <f t="shared" si="67"/>
        <v>31</v>
      </c>
    </row>
    <row r="2139" spans="1:20">
      <c r="A2139" s="9">
        <v>11077</v>
      </c>
      <c r="B2139" s="6">
        <v>12</v>
      </c>
      <c r="C2139" s="6">
        <v>38</v>
      </c>
      <c r="D2139" s="6">
        <v>2</v>
      </c>
      <c r="E2139" s="18">
        <v>0.05</v>
      </c>
      <c r="F2139" s="6" t="str">
        <f>IFERROR(VLOOKUP(VLOOKUP(A2139,'Sales Order'!A:B,2,FALSE),Customer!A:C,3,FALSE),"Not Specified")</f>
        <v>Moore, Michael</v>
      </c>
      <c r="G2139" s="6" t="str">
        <f t="shared" si="66"/>
        <v>Moore Michael</v>
      </c>
      <c r="H2139" s="22" t="str">
        <f>IFERROR(VLOOKUP(VLOOKUP(A2139,'Sales Order'!A:C,3,FALSE),Employee!A:E,5,FALSE)&amp;" "&amp;VLOOKUP(VLOOKUP(A2139,'Sales Order'!A:C,3,FALSE),Employee!A:C,3,FALSE)&amp;" "&amp;VLOOKUP(VLOOKUP(A2139,'Sales Order'!A:C,3,FALSE),Employee!A:B,2,FALSE),"Not Specified")</f>
        <v>Ms. Sara Davis</v>
      </c>
      <c r="I2139" t="str">
        <f>IFERROR(VLOOKUP(VLOOKUP(A2139,'Sales Order'!A:C,3,FALSE),Employee!A:J,10,FALSE),"Not Specified")</f>
        <v>WA</v>
      </c>
      <c r="J2139" t="str">
        <f>VLOOKUP(B2139,Product!A:B,2,FALSE)</f>
        <v>Product OSFNS</v>
      </c>
      <c r="K2139" t="str">
        <f>VLOOKUP(VLOOKUP(B2139,Product!A:D,4,FALSE),Category!A:B,2,FALSE)</f>
        <v>Dairy Product</v>
      </c>
      <c r="L2139" s="24">
        <f>IFERROR(VLOOKUP(A2139,'Sales Order'!A:D,4,FALSE),"")</f>
        <v>39574</v>
      </c>
      <c r="M2139" s="24">
        <f>IFERROR(VLOOKUP(A2139,'Sales Order'!A:F,6,FALSE),"")</f>
        <v>0</v>
      </c>
      <c r="N2139" t="str">
        <f>IFERROR(VLOOKUP(VLOOKUP(A2139,'Sales Order'!A:G,7,FALSE),Shipper!A:B,2,FALSE),"Not Specified")</f>
        <v>Shipper ETYNR</v>
      </c>
      <c r="O2139" t="str">
        <f>IFERROR(VLOOKUP(A2139,'Sales Order'!A:I,9,FALSE),"Not Specified")</f>
        <v>Ship to 65-A</v>
      </c>
      <c r="P2139" t="str">
        <f>IFERROR(VLOOKUP(A2139,'Sales Order'!A:N,14,FALSE),"Not Specified")</f>
        <v>USA</v>
      </c>
      <c r="Q2139" t="str">
        <f>VLOOKUP(VLOOKUP(B2139,Product!A:C,3,FALSE),Supplier!A:B,2,FALSE)</f>
        <v>Supplier EQPNC</v>
      </c>
      <c r="R2139" t="str">
        <f>VLOOKUP(VLOOKUP(B2139,Product!A:C,3,FALSE),Supplier!A:I,9,FALSE)</f>
        <v>Spain</v>
      </c>
      <c r="S2139" t="str">
        <f>IFERROR(IF(VLOOKUP(A2139,'Sales Order'!A:H,8,FALSE)&gt;100,"High Freight","Low Freight"),"Not Specified")</f>
        <v>Low Freight</v>
      </c>
      <c r="T2139">
        <f t="shared" si="67"/>
        <v>72.2</v>
      </c>
    </row>
    <row r="2140" spans="1:20">
      <c r="A2140" s="9">
        <v>11077</v>
      </c>
      <c r="B2140" s="6">
        <v>13</v>
      </c>
      <c r="C2140" s="6">
        <v>6</v>
      </c>
      <c r="D2140" s="6">
        <v>4</v>
      </c>
      <c r="E2140" s="18">
        <v>0</v>
      </c>
      <c r="F2140" s="6" t="str">
        <f>IFERROR(VLOOKUP(VLOOKUP(A2140,'Sales Order'!A:B,2,FALSE),Customer!A:C,3,FALSE),"Not Specified")</f>
        <v>Moore, Michael</v>
      </c>
      <c r="G2140" s="6" t="str">
        <f t="shared" si="66"/>
        <v>Moore Michael</v>
      </c>
      <c r="H2140" s="22" t="str">
        <f>IFERROR(VLOOKUP(VLOOKUP(A2140,'Sales Order'!A:C,3,FALSE),Employee!A:E,5,FALSE)&amp;" "&amp;VLOOKUP(VLOOKUP(A2140,'Sales Order'!A:C,3,FALSE),Employee!A:C,3,FALSE)&amp;" "&amp;VLOOKUP(VLOOKUP(A2140,'Sales Order'!A:C,3,FALSE),Employee!A:B,2,FALSE),"Not Specified")</f>
        <v>Ms. Sara Davis</v>
      </c>
      <c r="I2140" t="str">
        <f>IFERROR(VLOOKUP(VLOOKUP(A2140,'Sales Order'!A:C,3,FALSE),Employee!A:J,10,FALSE),"Not Specified")</f>
        <v>WA</v>
      </c>
      <c r="J2140" t="str">
        <f>VLOOKUP(B2140,Product!A:B,2,FALSE)</f>
        <v>Product POXFU</v>
      </c>
      <c r="K2140" t="str">
        <f>VLOOKUP(VLOOKUP(B2140,Product!A:D,4,FALSE),Category!A:B,2,FALSE)</f>
        <v>Seafood</v>
      </c>
      <c r="L2140" s="24">
        <f>IFERROR(VLOOKUP(A2140,'Sales Order'!A:D,4,FALSE),"")</f>
        <v>39574</v>
      </c>
      <c r="M2140" s="24">
        <f>IFERROR(VLOOKUP(A2140,'Sales Order'!A:F,6,FALSE),"")</f>
        <v>0</v>
      </c>
      <c r="N2140" t="str">
        <f>IFERROR(VLOOKUP(VLOOKUP(A2140,'Sales Order'!A:G,7,FALSE),Shipper!A:B,2,FALSE),"Not Specified")</f>
        <v>Shipper ETYNR</v>
      </c>
      <c r="O2140" t="str">
        <f>IFERROR(VLOOKUP(A2140,'Sales Order'!A:I,9,FALSE),"Not Specified")</f>
        <v>Ship to 65-A</v>
      </c>
      <c r="P2140" t="str">
        <f>IFERROR(VLOOKUP(A2140,'Sales Order'!A:N,14,FALSE),"Not Specified")</f>
        <v>USA</v>
      </c>
      <c r="Q2140" t="str">
        <f>VLOOKUP(VLOOKUP(B2140,Product!A:C,3,FALSE),Supplier!A:B,2,FALSE)</f>
        <v>Supplier QWUSF</v>
      </c>
      <c r="R2140" t="str">
        <f>VLOOKUP(VLOOKUP(B2140,Product!A:C,3,FALSE),Supplier!A:I,9,FALSE)</f>
        <v>Japan</v>
      </c>
      <c r="S2140" t="str">
        <f>IFERROR(IF(VLOOKUP(A2140,'Sales Order'!A:H,8,FALSE)&gt;100,"High Freight","Low Freight"),"Not Specified")</f>
        <v>Low Freight</v>
      </c>
      <c r="T2140">
        <f t="shared" si="67"/>
        <v>24</v>
      </c>
    </row>
    <row r="2141" spans="1:20">
      <c r="A2141" s="9">
        <v>11077</v>
      </c>
      <c r="B2141" s="6">
        <v>14</v>
      </c>
      <c r="C2141" s="6">
        <v>23.25</v>
      </c>
      <c r="D2141" s="6">
        <v>1</v>
      </c>
      <c r="E2141" s="18">
        <v>0.03</v>
      </c>
      <c r="F2141" s="6" t="str">
        <f>IFERROR(VLOOKUP(VLOOKUP(A2141,'Sales Order'!A:B,2,FALSE),Customer!A:C,3,FALSE),"Not Specified")</f>
        <v>Moore, Michael</v>
      </c>
      <c r="G2141" s="6" t="str">
        <f t="shared" si="66"/>
        <v>Moore Michael</v>
      </c>
      <c r="H2141" s="22" t="str">
        <f>IFERROR(VLOOKUP(VLOOKUP(A2141,'Sales Order'!A:C,3,FALSE),Employee!A:E,5,FALSE)&amp;" "&amp;VLOOKUP(VLOOKUP(A2141,'Sales Order'!A:C,3,FALSE),Employee!A:C,3,FALSE)&amp;" "&amp;VLOOKUP(VLOOKUP(A2141,'Sales Order'!A:C,3,FALSE),Employee!A:B,2,FALSE),"Not Specified")</f>
        <v>Ms. Sara Davis</v>
      </c>
      <c r="I2141" t="str">
        <f>IFERROR(VLOOKUP(VLOOKUP(A2141,'Sales Order'!A:C,3,FALSE),Employee!A:J,10,FALSE),"Not Specified")</f>
        <v>WA</v>
      </c>
      <c r="J2141" t="str">
        <f>VLOOKUP(B2141,Product!A:B,2,FALSE)</f>
        <v>Product PWCJB</v>
      </c>
      <c r="K2141" t="str">
        <f>VLOOKUP(VLOOKUP(B2141,Product!A:D,4,FALSE),Category!A:B,2,FALSE)</f>
        <v>Produce</v>
      </c>
      <c r="L2141" s="24">
        <f>IFERROR(VLOOKUP(A2141,'Sales Order'!A:D,4,FALSE),"")</f>
        <v>39574</v>
      </c>
      <c r="M2141" s="24">
        <f>IFERROR(VLOOKUP(A2141,'Sales Order'!A:F,6,FALSE),"")</f>
        <v>0</v>
      </c>
      <c r="N2141" t="str">
        <f>IFERROR(VLOOKUP(VLOOKUP(A2141,'Sales Order'!A:G,7,FALSE),Shipper!A:B,2,FALSE),"Not Specified")</f>
        <v>Shipper ETYNR</v>
      </c>
      <c r="O2141" t="str">
        <f>IFERROR(VLOOKUP(A2141,'Sales Order'!A:I,9,FALSE),"Not Specified")</f>
        <v>Ship to 65-A</v>
      </c>
      <c r="P2141" t="str">
        <f>IFERROR(VLOOKUP(A2141,'Sales Order'!A:N,14,FALSE),"Not Specified")</f>
        <v>USA</v>
      </c>
      <c r="Q2141" t="str">
        <f>VLOOKUP(VLOOKUP(B2141,Product!A:C,3,FALSE),Supplier!A:B,2,FALSE)</f>
        <v>Supplier QWUSF</v>
      </c>
      <c r="R2141" t="str">
        <f>VLOOKUP(VLOOKUP(B2141,Product!A:C,3,FALSE),Supplier!A:I,9,FALSE)</f>
        <v>Japan</v>
      </c>
      <c r="S2141" t="str">
        <f>IFERROR(IF(VLOOKUP(A2141,'Sales Order'!A:H,8,FALSE)&gt;100,"High Freight","Low Freight"),"Not Specified")</f>
        <v>Low Freight</v>
      </c>
      <c r="T2141">
        <f t="shared" si="67"/>
        <v>22.552499999999998</v>
      </c>
    </row>
    <row r="2142" spans="1:20">
      <c r="A2142" s="9">
        <v>11077</v>
      </c>
      <c r="B2142" s="6">
        <v>16</v>
      </c>
      <c r="C2142" s="6">
        <v>17.45</v>
      </c>
      <c r="D2142" s="6">
        <v>2</v>
      </c>
      <c r="E2142" s="18">
        <v>0.03</v>
      </c>
      <c r="F2142" s="6" t="str">
        <f>IFERROR(VLOOKUP(VLOOKUP(A2142,'Sales Order'!A:B,2,FALSE),Customer!A:C,3,FALSE),"Not Specified")</f>
        <v>Moore, Michael</v>
      </c>
      <c r="G2142" s="6" t="str">
        <f t="shared" si="66"/>
        <v>Moore Michael</v>
      </c>
      <c r="H2142" s="22" t="str">
        <f>IFERROR(VLOOKUP(VLOOKUP(A2142,'Sales Order'!A:C,3,FALSE),Employee!A:E,5,FALSE)&amp;" "&amp;VLOOKUP(VLOOKUP(A2142,'Sales Order'!A:C,3,FALSE),Employee!A:C,3,FALSE)&amp;" "&amp;VLOOKUP(VLOOKUP(A2142,'Sales Order'!A:C,3,FALSE),Employee!A:B,2,FALSE),"Not Specified")</f>
        <v>Ms. Sara Davis</v>
      </c>
      <c r="I2142" t="str">
        <f>IFERROR(VLOOKUP(VLOOKUP(A2142,'Sales Order'!A:C,3,FALSE),Employee!A:J,10,FALSE),"Not Specified")</f>
        <v>WA</v>
      </c>
      <c r="J2142" t="str">
        <f>VLOOKUP(B2142,Product!A:B,2,FALSE)</f>
        <v>Product PAFRH</v>
      </c>
      <c r="K2142" t="str">
        <f>VLOOKUP(VLOOKUP(B2142,Product!A:D,4,FALSE),Category!A:B,2,FALSE)</f>
        <v>Confections</v>
      </c>
      <c r="L2142" s="24">
        <f>IFERROR(VLOOKUP(A2142,'Sales Order'!A:D,4,FALSE),"")</f>
        <v>39574</v>
      </c>
      <c r="M2142" s="24">
        <f>IFERROR(VLOOKUP(A2142,'Sales Order'!A:F,6,FALSE),"")</f>
        <v>0</v>
      </c>
      <c r="N2142" t="str">
        <f>IFERROR(VLOOKUP(VLOOKUP(A2142,'Sales Order'!A:G,7,FALSE),Shipper!A:B,2,FALSE),"Not Specified")</f>
        <v>Shipper ETYNR</v>
      </c>
      <c r="O2142" t="str">
        <f>IFERROR(VLOOKUP(A2142,'Sales Order'!A:I,9,FALSE),"Not Specified")</f>
        <v>Ship to 65-A</v>
      </c>
      <c r="P2142" t="str">
        <f>IFERROR(VLOOKUP(A2142,'Sales Order'!A:N,14,FALSE),"Not Specified")</f>
        <v>USA</v>
      </c>
      <c r="Q2142" t="str">
        <f>VLOOKUP(VLOOKUP(B2142,Product!A:C,3,FALSE),Supplier!A:B,2,FALSE)</f>
        <v>Supplier GQRCV</v>
      </c>
      <c r="R2142" t="str">
        <f>VLOOKUP(VLOOKUP(B2142,Product!A:C,3,FALSE),Supplier!A:I,9,FALSE)</f>
        <v>Australia</v>
      </c>
      <c r="S2142" t="str">
        <f>IFERROR(IF(VLOOKUP(A2142,'Sales Order'!A:H,8,FALSE)&gt;100,"High Freight","Low Freight"),"Not Specified")</f>
        <v>Low Freight</v>
      </c>
      <c r="T2142">
        <f t="shared" si="67"/>
        <v>33.852999999999994</v>
      </c>
    </row>
    <row r="2143" spans="1:20">
      <c r="A2143" s="9">
        <v>11077</v>
      </c>
      <c r="B2143" s="6">
        <v>20</v>
      </c>
      <c r="C2143" s="6">
        <v>81</v>
      </c>
      <c r="D2143" s="6">
        <v>1</v>
      </c>
      <c r="E2143" s="18">
        <v>0.04</v>
      </c>
      <c r="F2143" s="6" t="str">
        <f>IFERROR(VLOOKUP(VLOOKUP(A2143,'Sales Order'!A:B,2,FALSE),Customer!A:C,3,FALSE),"Not Specified")</f>
        <v>Moore, Michael</v>
      </c>
      <c r="G2143" s="6" t="str">
        <f t="shared" si="66"/>
        <v>Moore Michael</v>
      </c>
      <c r="H2143" s="22" t="str">
        <f>IFERROR(VLOOKUP(VLOOKUP(A2143,'Sales Order'!A:C,3,FALSE),Employee!A:E,5,FALSE)&amp;" "&amp;VLOOKUP(VLOOKUP(A2143,'Sales Order'!A:C,3,FALSE),Employee!A:C,3,FALSE)&amp;" "&amp;VLOOKUP(VLOOKUP(A2143,'Sales Order'!A:C,3,FALSE),Employee!A:B,2,FALSE),"Not Specified")</f>
        <v>Ms. Sara Davis</v>
      </c>
      <c r="I2143" t="str">
        <f>IFERROR(VLOOKUP(VLOOKUP(A2143,'Sales Order'!A:C,3,FALSE),Employee!A:J,10,FALSE),"Not Specified")</f>
        <v>WA</v>
      </c>
      <c r="J2143" t="str">
        <f>VLOOKUP(B2143,Product!A:B,2,FALSE)</f>
        <v>Product QHFFP</v>
      </c>
      <c r="K2143" t="str">
        <f>VLOOKUP(VLOOKUP(B2143,Product!A:D,4,FALSE),Category!A:B,2,FALSE)</f>
        <v>Confections</v>
      </c>
      <c r="L2143" s="24">
        <f>IFERROR(VLOOKUP(A2143,'Sales Order'!A:D,4,FALSE),"")</f>
        <v>39574</v>
      </c>
      <c r="M2143" s="24">
        <f>IFERROR(VLOOKUP(A2143,'Sales Order'!A:F,6,FALSE),"")</f>
        <v>0</v>
      </c>
      <c r="N2143" t="str">
        <f>IFERROR(VLOOKUP(VLOOKUP(A2143,'Sales Order'!A:G,7,FALSE),Shipper!A:B,2,FALSE),"Not Specified")</f>
        <v>Shipper ETYNR</v>
      </c>
      <c r="O2143" t="str">
        <f>IFERROR(VLOOKUP(A2143,'Sales Order'!A:I,9,FALSE),"Not Specified")</f>
        <v>Ship to 65-A</v>
      </c>
      <c r="P2143" t="str">
        <f>IFERROR(VLOOKUP(A2143,'Sales Order'!A:N,14,FALSE),"Not Specified")</f>
        <v>USA</v>
      </c>
      <c r="Q2143" t="str">
        <f>VLOOKUP(VLOOKUP(B2143,Product!A:C,3,FALSE),Supplier!A:B,2,FALSE)</f>
        <v>Supplier BWGYE</v>
      </c>
      <c r="R2143" t="str">
        <f>VLOOKUP(VLOOKUP(B2143,Product!A:C,3,FALSE),Supplier!A:I,9,FALSE)</f>
        <v>UK</v>
      </c>
      <c r="S2143" t="str">
        <f>IFERROR(IF(VLOOKUP(A2143,'Sales Order'!A:H,8,FALSE)&gt;100,"High Freight","Low Freight"),"Not Specified")</f>
        <v>Low Freight</v>
      </c>
      <c r="T2143">
        <f t="shared" si="67"/>
        <v>77.759999999999991</v>
      </c>
    </row>
    <row r="2144" spans="1:20">
      <c r="A2144" s="9">
        <v>11077</v>
      </c>
      <c r="B2144" s="6">
        <v>23</v>
      </c>
      <c r="C2144" s="6">
        <v>9</v>
      </c>
      <c r="D2144" s="6">
        <v>2</v>
      </c>
      <c r="E2144" s="18">
        <v>0</v>
      </c>
      <c r="F2144" s="6" t="str">
        <f>IFERROR(VLOOKUP(VLOOKUP(A2144,'Sales Order'!A:B,2,FALSE),Customer!A:C,3,FALSE),"Not Specified")</f>
        <v>Moore, Michael</v>
      </c>
      <c r="G2144" s="6" t="str">
        <f t="shared" si="66"/>
        <v>Moore Michael</v>
      </c>
      <c r="H2144" s="22" t="str">
        <f>IFERROR(VLOOKUP(VLOOKUP(A2144,'Sales Order'!A:C,3,FALSE),Employee!A:E,5,FALSE)&amp;" "&amp;VLOOKUP(VLOOKUP(A2144,'Sales Order'!A:C,3,FALSE),Employee!A:C,3,FALSE)&amp;" "&amp;VLOOKUP(VLOOKUP(A2144,'Sales Order'!A:C,3,FALSE),Employee!A:B,2,FALSE),"Not Specified")</f>
        <v>Ms. Sara Davis</v>
      </c>
      <c r="I2144" t="str">
        <f>IFERROR(VLOOKUP(VLOOKUP(A2144,'Sales Order'!A:C,3,FALSE),Employee!A:J,10,FALSE),"Not Specified")</f>
        <v>WA</v>
      </c>
      <c r="J2144" t="str">
        <f>VLOOKUP(B2144,Product!A:B,2,FALSE)</f>
        <v>Product JLUDZ</v>
      </c>
      <c r="K2144" t="str">
        <f>VLOOKUP(VLOOKUP(B2144,Product!A:D,4,FALSE),Category!A:B,2,FALSE)</f>
        <v>Grains/Cereals</v>
      </c>
      <c r="L2144" s="24">
        <f>IFERROR(VLOOKUP(A2144,'Sales Order'!A:D,4,FALSE),"")</f>
        <v>39574</v>
      </c>
      <c r="M2144" s="24">
        <f>IFERROR(VLOOKUP(A2144,'Sales Order'!A:F,6,FALSE),"")</f>
        <v>0</v>
      </c>
      <c r="N2144" t="str">
        <f>IFERROR(VLOOKUP(VLOOKUP(A2144,'Sales Order'!A:G,7,FALSE),Shipper!A:B,2,FALSE),"Not Specified")</f>
        <v>Shipper ETYNR</v>
      </c>
      <c r="O2144" t="str">
        <f>IFERROR(VLOOKUP(A2144,'Sales Order'!A:I,9,FALSE),"Not Specified")</f>
        <v>Ship to 65-A</v>
      </c>
      <c r="P2144" t="str">
        <f>IFERROR(VLOOKUP(A2144,'Sales Order'!A:N,14,FALSE),"Not Specified")</f>
        <v>USA</v>
      </c>
      <c r="Q2144" t="str">
        <f>VLOOKUP(VLOOKUP(B2144,Product!A:C,3,FALSE),Supplier!A:B,2,FALSE)</f>
        <v>Supplier QQYEU</v>
      </c>
      <c r="R2144" t="str">
        <f>VLOOKUP(VLOOKUP(B2144,Product!A:C,3,FALSE),Supplier!A:I,9,FALSE)</f>
        <v>Sweden</v>
      </c>
      <c r="S2144" t="str">
        <f>IFERROR(IF(VLOOKUP(A2144,'Sales Order'!A:H,8,FALSE)&gt;100,"High Freight","Low Freight"),"Not Specified")</f>
        <v>Low Freight</v>
      </c>
      <c r="T2144">
        <f t="shared" si="67"/>
        <v>18</v>
      </c>
    </row>
    <row r="2145" spans="1:20">
      <c r="A2145" s="9">
        <v>11077</v>
      </c>
      <c r="B2145" s="6">
        <v>32</v>
      </c>
      <c r="C2145" s="6">
        <v>32</v>
      </c>
      <c r="D2145" s="6">
        <v>1</v>
      </c>
      <c r="E2145" s="18">
        <v>0</v>
      </c>
      <c r="F2145" s="6" t="str">
        <f>IFERROR(VLOOKUP(VLOOKUP(A2145,'Sales Order'!A:B,2,FALSE),Customer!A:C,3,FALSE),"Not Specified")</f>
        <v>Moore, Michael</v>
      </c>
      <c r="G2145" s="6" t="str">
        <f t="shared" si="66"/>
        <v>Moore Michael</v>
      </c>
      <c r="H2145" s="22" t="str">
        <f>IFERROR(VLOOKUP(VLOOKUP(A2145,'Sales Order'!A:C,3,FALSE),Employee!A:E,5,FALSE)&amp;" "&amp;VLOOKUP(VLOOKUP(A2145,'Sales Order'!A:C,3,FALSE),Employee!A:C,3,FALSE)&amp;" "&amp;VLOOKUP(VLOOKUP(A2145,'Sales Order'!A:C,3,FALSE),Employee!A:B,2,FALSE),"Not Specified")</f>
        <v>Ms. Sara Davis</v>
      </c>
      <c r="I2145" t="str">
        <f>IFERROR(VLOOKUP(VLOOKUP(A2145,'Sales Order'!A:C,3,FALSE),Employee!A:J,10,FALSE),"Not Specified")</f>
        <v>WA</v>
      </c>
      <c r="J2145" t="str">
        <f>VLOOKUP(B2145,Product!A:B,2,FALSE)</f>
        <v>Product NUNAW</v>
      </c>
      <c r="K2145" t="str">
        <f>VLOOKUP(VLOOKUP(B2145,Product!A:D,4,FALSE),Category!A:B,2,FALSE)</f>
        <v>Dairy Product</v>
      </c>
      <c r="L2145" s="24">
        <f>IFERROR(VLOOKUP(A2145,'Sales Order'!A:D,4,FALSE),"")</f>
        <v>39574</v>
      </c>
      <c r="M2145" s="24">
        <f>IFERROR(VLOOKUP(A2145,'Sales Order'!A:F,6,FALSE),"")</f>
        <v>0</v>
      </c>
      <c r="N2145" t="str">
        <f>IFERROR(VLOOKUP(VLOOKUP(A2145,'Sales Order'!A:G,7,FALSE),Shipper!A:B,2,FALSE),"Not Specified")</f>
        <v>Shipper ETYNR</v>
      </c>
      <c r="O2145" t="str">
        <f>IFERROR(VLOOKUP(A2145,'Sales Order'!A:I,9,FALSE),"Not Specified")</f>
        <v>Ship to 65-A</v>
      </c>
      <c r="P2145" t="str">
        <f>IFERROR(VLOOKUP(A2145,'Sales Order'!A:N,14,FALSE),"Not Specified")</f>
        <v>USA</v>
      </c>
      <c r="Q2145" t="str">
        <f>VLOOKUP(VLOOKUP(B2145,Product!A:C,3,FALSE),Supplier!A:B,2,FALSE)</f>
        <v>Supplier KEREV</v>
      </c>
      <c r="R2145" t="str">
        <f>VLOOKUP(VLOOKUP(B2145,Product!A:C,3,FALSE),Supplier!A:I,9,FALSE)</f>
        <v>Italy</v>
      </c>
      <c r="S2145" t="str">
        <f>IFERROR(IF(VLOOKUP(A2145,'Sales Order'!A:H,8,FALSE)&gt;100,"High Freight","Low Freight"),"Not Specified")</f>
        <v>Low Freight</v>
      </c>
      <c r="T2145">
        <f t="shared" si="67"/>
        <v>32</v>
      </c>
    </row>
    <row r="2146" spans="1:20">
      <c r="A2146" s="9">
        <v>11077</v>
      </c>
      <c r="B2146" s="6">
        <v>39</v>
      </c>
      <c r="C2146" s="6">
        <v>18</v>
      </c>
      <c r="D2146" s="6">
        <v>2</v>
      </c>
      <c r="E2146" s="18">
        <v>0.05</v>
      </c>
      <c r="F2146" s="6" t="str">
        <f>IFERROR(VLOOKUP(VLOOKUP(A2146,'Sales Order'!A:B,2,FALSE),Customer!A:C,3,FALSE),"Not Specified")</f>
        <v>Moore, Michael</v>
      </c>
      <c r="G2146" s="6" t="str">
        <f t="shared" si="66"/>
        <v>Moore Michael</v>
      </c>
      <c r="H2146" s="22" t="str">
        <f>IFERROR(VLOOKUP(VLOOKUP(A2146,'Sales Order'!A:C,3,FALSE),Employee!A:E,5,FALSE)&amp;" "&amp;VLOOKUP(VLOOKUP(A2146,'Sales Order'!A:C,3,FALSE),Employee!A:C,3,FALSE)&amp;" "&amp;VLOOKUP(VLOOKUP(A2146,'Sales Order'!A:C,3,FALSE),Employee!A:B,2,FALSE),"Not Specified")</f>
        <v>Ms. Sara Davis</v>
      </c>
      <c r="I2146" t="str">
        <f>IFERROR(VLOOKUP(VLOOKUP(A2146,'Sales Order'!A:C,3,FALSE),Employee!A:J,10,FALSE),"Not Specified")</f>
        <v>WA</v>
      </c>
      <c r="J2146" t="str">
        <f>VLOOKUP(B2146,Product!A:B,2,FALSE)</f>
        <v>Product LSOFL</v>
      </c>
      <c r="K2146" t="str">
        <f>VLOOKUP(VLOOKUP(B2146,Product!A:D,4,FALSE),Category!A:B,2,FALSE)</f>
        <v>Beverages</v>
      </c>
      <c r="L2146" s="24">
        <f>IFERROR(VLOOKUP(A2146,'Sales Order'!A:D,4,FALSE),"")</f>
        <v>39574</v>
      </c>
      <c r="M2146" s="24">
        <f>IFERROR(VLOOKUP(A2146,'Sales Order'!A:F,6,FALSE),"")</f>
        <v>0</v>
      </c>
      <c r="N2146" t="str">
        <f>IFERROR(VLOOKUP(VLOOKUP(A2146,'Sales Order'!A:G,7,FALSE),Shipper!A:B,2,FALSE),"Not Specified")</f>
        <v>Shipper ETYNR</v>
      </c>
      <c r="O2146" t="str">
        <f>IFERROR(VLOOKUP(A2146,'Sales Order'!A:I,9,FALSE),"Not Specified")</f>
        <v>Ship to 65-A</v>
      </c>
      <c r="P2146" t="str">
        <f>IFERROR(VLOOKUP(A2146,'Sales Order'!A:N,14,FALSE),"Not Specified")</f>
        <v>USA</v>
      </c>
      <c r="Q2146" t="str">
        <f>VLOOKUP(VLOOKUP(B2146,Product!A:C,3,FALSE),Supplier!A:B,2,FALSE)</f>
        <v>Supplier LVJUA</v>
      </c>
      <c r="R2146" t="str">
        <f>VLOOKUP(VLOOKUP(B2146,Product!A:C,3,FALSE),Supplier!A:I,9,FALSE)</f>
        <v>France</v>
      </c>
      <c r="S2146" t="str">
        <f>IFERROR(IF(VLOOKUP(A2146,'Sales Order'!A:H,8,FALSE)&gt;100,"High Freight","Low Freight"),"Not Specified")</f>
        <v>Low Freight</v>
      </c>
      <c r="T2146">
        <f t="shared" si="67"/>
        <v>34.199999999999996</v>
      </c>
    </row>
    <row r="2147" spans="1:20">
      <c r="A2147" s="9">
        <v>11077</v>
      </c>
      <c r="B2147" s="6">
        <v>41</v>
      </c>
      <c r="C2147" s="6">
        <v>9.65</v>
      </c>
      <c r="D2147" s="6">
        <v>3</v>
      </c>
      <c r="E2147" s="18">
        <v>0</v>
      </c>
      <c r="F2147" s="6" t="str">
        <f>IFERROR(VLOOKUP(VLOOKUP(A2147,'Sales Order'!A:B,2,FALSE),Customer!A:C,3,FALSE),"Not Specified")</f>
        <v>Moore, Michael</v>
      </c>
      <c r="G2147" s="6" t="str">
        <f t="shared" si="66"/>
        <v>Moore Michael</v>
      </c>
      <c r="H2147" s="22" t="str">
        <f>IFERROR(VLOOKUP(VLOOKUP(A2147,'Sales Order'!A:C,3,FALSE),Employee!A:E,5,FALSE)&amp;" "&amp;VLOOKUP(VLOOKUP(A2147,'Sales Order'!A:C,3,FALSE),Employee!A:C,3,FALSE)&amp;" "&amp;VLOOKUP(VLOOKUP(A2147,'Sales Order'!A:C,3,FALSE),Employee!A:B,2,FALSE),"Not Specified")</f>
        <v>Ms. Sara Davis</v>
      </c>
      <c r="I2147" t="str">
        <f>IFERROR(VLOOKUP(VLOOKUP(A2147,'Sales Order'!A:C,3,FALSE),Employee!A:J,10,FALSE),"Not Specified")</f>
        <v>WA</v>
      </c>
      <c r="J2147" t="str">
        <f>VLOOKUP(B2147,Product!A:B,2,FALSE)</f>
        <v>Product TTEEX</v>
      </c>
      <c r="K2147" t="str">
        <f>VLOOKUP(VLOOKUP(B2147,Product!A:D,4,FALSE),Category!A:B,2,FALSE)</f>
        <v>Seafood</v>
      </c>
      <c r="L2147" s="24">
        <f>IFERROR(VLOOKUP(A2147,'Sales Order'!A:D,4,FALSE),"")</f>
        <v>39574</v>
      </c>
      <c r="M2147" s="24">
        <f>IFERROR(VLOOKUP(A2147,'Sales Order'!A:F,6,FALSE),"")</f>
        <v>0</v>
      </c>
      <c r="N2147" t="str">
        <f>IFERROR(VLOOKUP(VLOOKUP(A2147,'Sales Order'!A:G,7,FALSE),Shipper!A:B,2,FALSE),"Not Specified")</f>
        <v>Shipper ETYNR</v>
      </c>
      <c r="O2147" t="str">
        <f>IFERROR(VLOOKUP(A2147,'Sales Order'!A:I,9,FALSE),"Not Specified")</f>
        <v>Ship to 65-A</v>
      </c>
      <c r="P2147" t="str">
        <f>IFERROR(VLOOKUP(A2147,'Sales Order'!A:N,14,FALSE),"Not Specified")</f>
        <v>USA</v>
      </c>
      <c r="Q2147" t="str">
        <f>VLOOKUP(VLOOKUP(B2147,Product!A:C,3,FALSE),Supplier!A:B,2,FALSE)</f>
        <v>Supplier JDNUG</v>
      </c>
      <c r="R2147" t="str">
        <f>VLOOKUP(VLOOKUP(B2147,Product!A:C,3,FALSE),Supplier!A:I,9,FALSE)</f>
        <v>USA</v>
      </c>
      <c r="S2147" t="str">
        <f>IFERROR(IF(VLOOKUP(A2147,'Sales Order'!A:H,8,FALSE)&gt;100,"High Freight","Low Freight"),"Not Specified")</f>
        <v>Low Freight</v>
      </c>
      <c r="T2147">
        <f t="shared" si="67"/>
        <v>28.950000000000003</v>
      </c>
    </row>
    <row r="2148" spans="1:20">
      <c r="A2148" s="9">
        <v>11077</v>
      </c>
      <c r="B2148" s="6">
        <v>46</v>
      </c>
      <c r="C2148" s="6">
        <v>12</v>
      </c>
      <c r="D2148" s="6">
        <v>3</v>
      </c>
      <c r="E2148" s="18">
        <v>0.02</v>
      </c>
      <c r="F2148" s="6" t="str">
        <f>IFERROR(VLOOKUP(VLOOKUP(A2148,'Sales Order'!A:B,2,FALSE),Customer!A:C,3,FALSE),"Not Specified")</f>
        <v>Moore, Michael</v>
      </c>
      <c r="G2148" s="6" t="str">
        <f t="shared" si="66"/>
        <v>Moore Michael</v>
      </c>
      <c r="H2148" s="22" t="str">
        <f>IFERROR(VLOOKUP(VLOOKUP(A2148,'Sales Order'!A:C,3,FALSE),Employee!A:E,5,FALSE)&amp;" "&amp;VLOOKUP(VLOOKUP(A2148,'Sales Order'!A:C,3,FALSE),Employee!A:C,3,FALSE)&amp;" "&amp;VLOOKUP(VLOOKUP(A2148,'Sales Order'!A:C,3,FALSE),Employee!A:B,2,FALSE),"Not Specified")</f>
        <v>Ms. Sara Davis</v>
      </c>
      <c r="I2148" t="str">
        <f>IFERROR(VLOOKUP(VLOOKUP(A2148,'Sales Order'!A:C,3,FALSE),Employee!A:J,10,FALSE),"Not Specified")</f>
        <v>WA</v>
      </c>
      <c r="J2148" t="str">
        <f>VLOOKUP(B2148,Product!A:B,2,FALSE)</f>
        <v>Product CBRRL</v>
      </c>
      <c r="K2148" t="str">
        <f>VLOOKUP(VLOOKUP(B2148,Product!A:D,4,FALSE),Category!A:B,2,FALSE)</f>
        <v>Seafood</v>
      </c>
      <c r="L2148" s="24">
        <f>IFERROR(VLOOKUP(A2148,'Sales Order'!A:D,4,FALSE),"")</f>
        <v>39574</v>
      </c>
      <c r="M2148" s="24">
        <f>IFERROR(VLOOKUP(A2148,'Sales Order'!A:F,6,FALSE),"")</f>
        <v>0</v>
      </c>
      <c r="N2148" t="str">
        <f>IFERROR(VLOOKUP(VLOOKUP(A2148,'Sales Order'!A:G,7,FALSE),Shipper!A:B,2,FALSE),"Not Specified")</f>
        <v>Shipper ETYNR</v>
      </c>
      <c r="O2148" t="str">
        <f>IFERROR(VLOOKUP(A2148,'Sales Order'!A:I,9,FALSE),"Not Specified")</f>
        <v>Ship to 65-A</v>
      </c>
      <c r="P2148" t="str">
        <f>IFERROR(VLOOKUP(A2148,'Sales Order'!A:N,14,FALSE),"Not Specified")</f>
        <v>USA</v>
      </c>
      <c r="Q2148" t="str">
        <f>VLOOKUP(VLOOKUP(B2148,Product!A:C,3,FALSE),Supplier!A:B,2,FALSE)</f>
        <v>Supplier XOXZA</v>
      </c>
      <c r="R2148" t="str">
        <f>VLOOKUP(VLOOKUP(B2148,Product!A:C,3,FALSE),Supplier!A:I,9,FALSE)</f>
        <v>Denmark</v>
      </c>
      <c r="S2148" t="str">
        <f>IFERROR(IF(VLOOKUP(A2148,'Sales Order'!A:H,8,FALSE)&gt;100,"High Freight","Low Freight"),"Not Specified")</f>
        <v>Low Freight</v>
      </c>
      <c r="T2148">
        <f t="shared" si="67"/>
        <v>35.28</v>
      </c>
    </row>
    <row r="2149" spans="1:20">
      <c r="A2149" s="9">
        <v>11077</v>
      </c>
      <c r="B2149" s="6">
        <v>52</v>
      </c>
      <c r="C2149" s="6">
        <v>7</v>
      </c>
      <c r="D2149" s="6">
        <v>2</v>
      </c>
      <c r="E2149" s="18">
        <v>0</v>
      </c>
      <c r="F2149" s="6" t="str">
        <f>IFERROR(VLOOKUP(VLOOKUP(A2149,'Sales Order'!A:B,2,FALSE),Customer!A:C,3,FALSE),"Not Specified")</f>
        <v>Moore, Michael</v>
      </c>
      <c r="G2149" s="6" t="str">
        <f t="shared" si="66"/>
        <v>Moore Michael</v>
      </c>
      <c r="H2149" s="22" t="str">
        <f>IFERROR(VLOOKUP(VLOOKUP(A2149,'Sales Order'!A:C,3,FALSE),Employee!A:E,5,FALSE)&amp;" "&amp;VLOOKUP(VLOOKUP(A2149,'Sales Order'!A:C,3,FALSE),Employee!A:C,3,FALSE)&amp;" "&amp;VLOOKUP(VLOOKUP(A2149,'Sales Order'!A:C,3,FALSE),Employee!A:B,2,FALSE),"Not Specified")</f>
        <v>Ms. Sara Davis</v>
      </c>
      <c r="I2149" t="str">
        <f>IFERROR(VLOOKUP(VLOOKUP(A2149,'Sales Order'!A:C,3,FALSE),Employee!A:J,10,FALSE),"Not Specified")</f>
        <v>WA</v>
      </c>
      <c r="J2149" t="str">
        <f>VLOOKUP(B2149,Product!A:B,2,FALSE)</f>
        <v>Product QSRXF</v>
      </c>
      <c r="K2149" t="str">
        <f>VLOOKUP(VLOOKUP(B2149,Product!A:D,4,FALSE),Category!A:B,2,FALSE)</f>
        <v>Grains/Cereals</v>
      </c>
      <c r="L2149" s="24">
        <f>IFERROR(VLOOKUP(A2149,'Sales Order'!A:D,4,FALSE),"")</f>
        <v>39574</v>
      </c>
      <c r="M2149" s="24">
        <f>IFERROR(VLOOKUP(A2149,'Sales Order'!A:F,6,FALSE),"")</f>
        <v>0</v>
      </c>
      <c r="N2149" t="str">
        <f>IFERROR(VLOOKUP(VLOOKUP(A2149,'Sales Order'!A:G,7,FALSE),Shipper!A:B,2,FALSE),"Not Specified")</f>
        <v>Shipper ETYNR</v>
      </c>
      <c r="O2149" t="str">
        <f>IFERROR(VLOOKUP(A2149,'Sales Order'!A:I,9,FALSE),"Not Specified")</f>
        <v>Ship to 65-A</v>
      </c>
      <c r="P2149" t="str">
        <f>IFERROR(VLOOKUP(A2149,'Sales Order'!A:N,14,FALSE),"Not Specified")</f>
        <v>USA</v>
      </c>
      <c r="Q2149" t="str">
        <f>VLOOKUP(VLOOKUP(B2149,Product!A:C,3,FALSE),Supplier!A:B,2,FALSE)</f>
        <v>Supplier JNNES</v>
      </c>
      <c r="R2149" t="str">
        <f>VLOOKUP(VLOOKUP(B2149,Product!A:C,3,FALSE),Supplier!A:I,9,FALSE)</f>
        <v>Australia</v>
      </c>
      <c r="S2149" t="str">
        <f>IFERROR(IF(VLOOKUP(A2149,'Sales Order'!A:H,8,FALSE)&gt;100,"High Freight","Low Freight"),"Not Specified")</f>
        <v>Low Freight</v>
      </c>
      <c r="T2149">
        <f t="shared" si="67"/>
        <v>14</v>
      </c>
    </row>
    <row r="2150" spans="1:20">
      <c r="A2150" s="9">
        <v>11077</v>
      </c>
      <c r="B2150" s="6">
        <v>55</v>
      </c>
      <c r="C2150" s="6">
        <v>24</v>
      </c>
      <c r="D2150" s="6">
        <v>2</v>
      </c>
      <c r="E2150" s="18">
        <v>0</v>
      </c>
      <c r="F2150" s="6" t="str">
        <f>IFERROR(VLOOKUP(VLOOKUP(A2150,'Sales Order'!A:B,2,FALSE),Customer!A:C,3,FALSE),"Not Specified")</f>
        <v>Moore, Michael</v>
      </c>
      <c r="G2150" s="6" t="str">
        <f t="shared" si="66"/>
        <v>Moore Michael</v>
      </c>
      <c r="H2150" s="22" t="str">
        <f>IFERROR(VLOOKUP(VLOOKUP(A2150,'Sales Order'!A:C,3,FALSE),Employee!A:E,5,FALSE)&amp;" "&amp;VLOOKUP(VLOOKUP(A2150,'Sales Order'!A:C,3,FALSE),Employee!A:C,3,FALSE)&amp;" "&amp;VLOOKUP(VLOOKUP(A2150,'Sales Order'!A:C,3,FALSE),Employee!A:B,2,FALSE),"Not Specified")</f>
        <v>Ms. Sara Davis</v>
      </c>
      <c r="I2150" t="str">
        <f>IFERROR(VLOOKUP(VLOOKUP(A2150,'Sales Order'!A:C,3,FALSE),Employee!A:J,10,FALSE),"Not Specified")</f>
        <v>WA</v>
      </c>
      <c r="J2150" t="str">
        <f>VLOOKUP(B2150,Product!A:B,2,FALSE)</f>
        <v>Product YYWRT</v>
      </c>
      <c r="K2150" t="str">
        <f>VLOOKUP(VLOOKUP(B2150,Product!A:D,4,FALSE),Category!A:B,2,FALSE)</f>
        <v>Meat/Poultry</v>
      </c>
      <c r="L2150" s="24">
        <f>IFERROR(VLOOKUP(A2150,'Sales Order'!A:D,4,FALSE),"")</f>
        <v>39574</v>
      </c>
      <c r="M2150" s="24">
        <f>IFERROR(VLOOKUP(A2150,'Sales Order'!A:F,6,FALSE),"")</f>
        <v>0</v>
      </c>
      <c r="N2150" t="str">
        <f>IFERROR(VLOOKUP(VLOOKUP(A2150,'Sales Order'!A:G,7,FALSE),Shipper!A:B,2,FALSE),"Not Specified")</f>
        <v>Shipper ETYNR</v>
      </c>
      <c r="O2150" t="str">
        <f>IFERROR(VLOOKUP(A2150,'Sales Order'!A:I,9,FALSE),"Not Specified")</f>
        <v>Ship to 65-A</v>
      </c>
      <c r="P2150" t="str">
        <f>IFERROR(VLOOKUP(A2150,'Sales Order'!A:N,14,FALSE),"Not Specified")</f>
        <v>USA</v>
      </c>
      <c r="Q2150" t="str">
        <f>VLOOKUP(VLOOKUP(B2150,Product!A:C,3,FALSE),Supplier!A:B,2,FALSE)</f>
        <v>Supplier ERVYZ</v>
      </c>
      <c r="R2150" t="str">
        <f>VLOOKUP(VLOOKUP(B2150,Product!A:C,3,FALSE),Supplier!A:I,9,FALSE)</f>
        <v>Canada</v>
      </c>
      <c r="S2150" t="str">
        <f>IFERROR(IF(VLOOKUP(A2150,'Sales Order'!A:H,8,FALSE)&gt;100,"High Freight","Low Freight"),"Not Specified")</f>
        <v>Low Freight</v>
      </c>
      <c r="T2150">
        <f t="shared" si="67"/>
        <v>48</v>
      </c>
    </row>
    <row r="2151" spans="1:20">
      <c r="A2151" s="9">
        <v>11077</v>
      </c>
      <c r="B2151" s="6">
        <v>60</v>
      </c>
      <c r="C2151" s="6">
        <v>34</v>
      </c>
      <c r="D2151" s="6">
        <v>2</v>
      </c>
      <c r="E2151" s="18">
        <v>0.06</v>
      </c>
      <c r="F2151" s="6" t="str">
        <f>IFERROR(VLOOKUP(VLOOKUP(A2151,'Sales Order'!A:B,2,FALSE),Customer!A:C,3,FALSE),"Not Specified")</f>
        <v>Moore, Michael</v>
      </c>
      <c r="G2151" s="6" t="str">
        <f t="shared" si="66"/>
        <v>Moore Michael</v>
      </c>
      <c r="H2151" s="22" t="str">
        <f>IFERROR(VLOOKUP(VLOOKUP(A2151,'Sales Order'!A:C,3,FALSE),Employee!A:E,5,FALSE)&amp;" "&amp;VLOOKUP(VLOOKUP(A2151,'Sales Order'!A:C,3,FALSE),Employee!A:C,3,FALSE)&amp;" "&amp;VLOOKUP(VLOOKUP(A2151,'Sales Order'!A:C,3,FALSE),Employee!A:B,2,FALSE),"Not Specified")</f>
        <v>Ms. Sara Davis</v>
      </c>
      <c r="I2151" t="str">
        <f>IFERROR(VLOOKUP(VLOOKUP(A2151,'Sales Order'!A:C,3,FALSE),Employee!A:J,10,FALSE),"Not Specified")</f>
        <v>WA</v>
      </c>
      <c r="J2151" t="str">
        <f>VLOOKUP(B2151,Product!A:B,2,FALSE)</f>
        <v>Product WHBYK</v>
      </c>
      <c r="K2151" t="str">
        <f>VLOOKUP(VLOOKUP(B2151,Product!A:D,4,FALSE),Category!A:B,2,FALSE)</f>
        <v>Dairy Product</v>
      </c>
      <c r="L2151" s="24">
        <f>IFERROR(VLOOKUP(A2151,'Sales Order'!A:D,4,FALSE),"")</f>
        <v>39574</v>
      </c>
      <c r="M2151" s="24">
        <f>IFERROR(VLOOKUP(A2151,'Sales Order'!A:F,6,FALSE),"")</f>
        <v>0</v>
      </c>
      <c r="N2151" t="str">
        <f>IFERROR(VLOOKUP(VLOOKUP(A2151,'Sales Order'!A:G,7,FALSE),Shipper!A:B,2,FALSE),"Not Specified")</f>
        <v>Shipper ETYNR</v>
      </c>
      <c r="O2151" t="str">
        <f>IFERROR(VLOOKUP(A2151,'Sales Order'!A:I,9,FALSE),"Not Specified")</f>
        <v>Ship to 65-A</v>
      </c>
      <c r="P2151" t="str">
        <f>IFERROR(VLOOKUP(A2151,'Sales Order'!A:N,14,FALSE),"Not Specified")</f>
        <v>USA</v>
      </c>
      <c r="Q2151" t="str">
        <f>VLOOKUP(VLOOKUP(B2151,Product!A:C,3,FALSE),Supplier!A:B,2,FALSE)</f>
        <v>Supplier OAVQT</v>
      </c>
      <c r="R2151" t="str">
        <f>VLOOKUP(VLOOKUP(B2151,Product!A:C,3,FALSE),Supplier!A:I,9,FALSE)</f>
        <v>France</v>
      </c>
      <c r="S2151" t="str">
        <f>IFERROR(IF(VLOOKUP(A2151,'Sales Order'!A:H,8,FALSE)&gt;100,"High Freight","Low Freight"),"Not Specified")</f>
        <v>Low Freight</v>
      </c>
      <c r="T2151">
        <f t="shared" si="67"/>
        <v>63.919999999999995</v>
      </c>
    </row>
    <row r="2152" spans="1:20">
      <c r="A2152" s="9">
        <v>11077</v>
      </c>
      <c r="B2152" s="6">
        <v>64</v>
      </c>
      <c r="C2152" s="6">
        <v>33.25</v>
      </c>
      <c r="D2152" s="6">
        <v>2</v>
      </c>
      <c r="E2152" s="18">
        <v>0.03</v>
      </c>
      <c r="F2152" s="6" t="str">
        <f>IFERROR(VLOOKUP(VLOOKUP(A2152,'Sales Order'!A:B,2,FALSE),Customer!A:C,3,FALSE),"Not Specified")</f>
        <v>Moore, Michael</v>
      </c>
      <c r="G2152" s="6" t="str">
        <f t="shared" si="66"/>
        <v>Moore Michael</v>
      </c>
      <c r="H2152" s="22" t="str">
        <f>IFERROR(VLOOKUP(VLOOKUP(A2152,'Sales Order'!A:C,3,FALSE),Employee!A:E,5,FALSE)&amp;" "&amp;VLOOKUP(VLOOKUP(A2152,'Sales Order'!A:C,3,FALSE),Employee!A:C,3,FALSE)&amp;" "&amp;VLOOKUP(VLOOKUP(A2152,'Sales Order'!A:C,3,FALSE),Employee!A:B,2,FALSE),"Not Specified")</f>
        <v>Ms. Sara Davis</v>
      </c>
      <c r="I2152" t="str">
        <f>IFERROR(VLOOKUP(VLOOKUP(A2152,'Sales Order'!A:C,3,FALSE),Employee!A:J,10,FALSE),"Not Specified")</f>
        <v>WA</v>
      </c>
      <c r="J2152" t="str">
        <f>VLOOKUP(B2152,Product!A:B,2,FALSE)</f>
        <v>Product HCQDE</v>
      </c>
      <c r="K2152" t="str">
        <f>VLOOKUP(VLOOKUP(B2152,Product!A:D,4,FALSE),Category!A:B,2,FALSE)</f>
        <v>Grains/Cereals</v>
      </c>
      <c r="L2152" s="24">
        <f>IFERROR(VLOOKUP(A2152,'Sales Order'!A:D,4,FALSE),"")</f>
        <v>39574</v>
      </c>
      <c r="M2152" s="24">
        <f>IFERROR(VLOOKUP(A2152,'Sales Order'!A:F,6,FALSE),"")</f>
        <v>0</v>
      </c>
      <c r="N2152" t="str">
        <f>IFERROR(VLOOKUP(VLOOKUP(A2152,'Sales Order'!A:G,7,FALSE),Shipper!A:B,2,FALSE),"Not Specified")</f>
        <v>Shipper ETYNR</v>
      </c>
      <c r="O2152" t="str">
        <f>IFERROR(VLOOKUP(A2152,'Sales Order'!A:I,9,FALSE),"Not Specified")</f>
        <v>Ship to 65-A</v>
      </c>
      <c r="P2152" t="str">
        <f>IFERROR(VLOOKUP(A2152,'Sales Order'!A:N,14,FALSE),"Not Specified")</f>
        <v>USA</v>
      </c>
      <c r="Q2152" t="str">
        <f>VLOOKUP(VLOOKUP(B2152,Product!A:C,3,FALSE),Supplier!A:B,2,FALSE)</f>
        <v>Supplier SVIYA</v>
      </c>
      <c r="R2152" t="str">
        <f>VLOOKUP(VLOOKUP(B2152,Product!A:C,3,FALSE),Supplier!A:I,9,FALSE)</f>
        <v>Germany</v>
      </c>
      <c r="S2152" t="str">
        <f>IFERROR(IF(VLOOKUP(A2152,'Sales Order'!A:H,8,FALSE)&gt;100,"High Freight","Low Freight"),"Not Specified")</f>
        <v>Low Freight</v>
      </c>
      <c r="T2152">
        <f t="shared" si="67"/>
        <v>64.504999999999995</v>
      </c>
    </row>
    <row r="2153" spans="1:20">
      <c r="A2153" s="9">
        <v>11077</v>
      </c>
      <c r="B2153" s="6">
        <v>66</v>
      </c>
      <c r="C2153" s="6">
        <v>17</v>
      </c>
      <c r="D2153" s="6">
        <v>1</v>
      </c>
      <c r="E2153" s="18">
        <v>0</v>
      </c>
      <c r="F2153" s="6" t="str">
        <f>IFERROR(VLOOKUP(VLOOKUP(A2153,'Sales Order'!A:B,2,FALSE),Customer!A:C,3,FALSE),"Not Specified")</f>
        <v>Moore, Michael</v>
      </c>
      <c r="G2153" s="6" t="str">
        <f t="shared" si="66"/>
        <v>Moore Michael</v>
      </c>
      <c r="H2153" s="22" t="str">
        <f>IFERROR(VLOOKUP(VLOOKUP(A2153,'Sales Order'!A:C,3,FALSE),Employee!A:E,5,FALSE)&amp;" "&amp;VLOOKUP(VLOOKUP(A2153,'Sales Order'!A:C,3,FALSE),Employee!A:C,3,FALSE)&amp;" "&amp;VLOOKUP(VLOOKUP(A2153,'Sales Order'!A:C,3,FALSE),Employee!A:B,2,FALSE),"Not Specified")</f>
        <v>Ms. Sara Davis</v>
      </c>
      <c r="I2153" t="str">
        <f>IFERROR(VLOOKUP(VLOOKUP(A2153,'Sales Order'!A:C,3,FALSE),Employee!A:J,10,FALSE),"Not Specified")</f>
        <v>WA</v>
      </c>
      <c r="J2153" t="str">
        <f>VLOOKUP(B2153,Product!A:B,2,FALSE)</f>
        <v>Product LQMGN</v>
      </c>
      <c r="K2153" t="str">
        <f>VLOOKUP(VLOOKUP(B2153,Product!A:D,4,FALSE),Category!A:B,2,FALSE)</f>
        <v>Condiments</v>
      </c>
      <c r="L2153" s="24">
        <f>IFERROR(VLOOKUP(A2153,'Sales Order'!A:D,4,FALSE),"")</f>
        <v>39574</v>
      </c>
      <c r="M2153" s="24">
        <f>IFERROR(VLOOKUP(A2153,'Sales Order'!A:F,6,FALSE),"")</f>
        <v>0</v>
      </c>
      <c r="N2153" t="str">
        <f>IFERROR(VLOOKUP(VLOOKUP(A2153,'Sales Order'!A:G,7,FALSE),Shipper!A:B,2,FALSE),"Not Specified")</f>
        <v>Shipper ETYNR</v>
      </c>
      <c r="O2153" t="str">
        <f>IFERROR(VLOOKUP(A2153,'Sales Order'!A:I,9,FALSE),"Not Specified")</f>
        <v>Ship to 65-A</v>
      </c>
      <c r="P2153" t="str">
        <f>IFERROR(VLOOKUP(A2153,'Sales Order'!A:N,14,FALSE),"Not Specified")</f>
        <v>USA</v>
      </c>
      <c r="Q2153" t="str">
        <f>VLOOKUP(VLOOKUP(B2153,Product!A:C,3,FALSE),Supplier!A:B,2,FALSE)</f>
        <v>Supplier VHQZD</v>
      </c>
      <c r="R2153" t="str">
        <f>VLOOKUP(VLOOKUP(B2153,Product!A:C,3,FALSE),Supplier!A:I,9,FALSE)</f>
        <v>USA</v>
      </c>
      <c r="S2153" t="str">
        <f>IFERROR(IF(VLOOKUP(A2153,'Sales Order'!A:H,8,FALSE)&gt;100,"High Freight","Low Freight"),"Not Specified")</f>
        <v>Low Freight</v>
      </c>
      <c r="T2153">
        <f t="shared" si="67"/>
        <v>17</v>
      </c>
    </row>
    <row r="2154" spans="1:20">
      <c r="A2154" s="9">
        <v>11077</v>
      </c>
      <c r="B2154" s="6">
        <v>73</v>
      </c>
      <c r="C2154" s="6">
        <v>15</v>
      </c>
      <c r="D2154" s="6">
        <v>2</v>
      </c>
      <c r="E2154" s="18">
        <v>0.01</v>
      </c>
      <c r="F2154" s="6" t="str">
        <f>IFERROR(VLOOKUP(VLOOKUP(A2154,'Sales Order'!A:B,2,FALSE),Customer!A:C,3,FALSE),"Not Specified")</f>
        <v>Moore, Michael</v>
      </c>
      <c r="G2154" s="6" t="str">
        <f t="shared" si="66"/>
        <v>Moore Michael</v>
      </c>
      <c r="H2154" s="22" t="str">
        <f>IFERROR(VLOOKUP(VLOOKUP(A2154,'Sales Order'!A:C,3,FALSE),Employee!A:E,5,FALSE)&amp;" "&amp;VLOOKUP(VLOOKUP(A2154,'Sales Order'!A:C,3,FALSE),Employee!A:C,3,FALSE)&amp;" "&amp;VLOOKUP(VLOOKUP(A2154,'Sales Order'!A:C,3,FALSE),Employee!A:B,2,FALSE),"Not Specified")</f>
        <v>Ms. Sara Davis</v>
      </c>
      <c r="I2154" t="str">
        <f>IFERROR(VLOOKUP(VLOOKUP(A2154,'Sales Order'!A:C,3,FALSE),Employee!A:J,10,FALSE),"Not Specified")</f>
        <v>WA</v>
      </c>
      <c r="J2154" t="str">
        <f>VLOOKUP(B2154,Product!A:B,2,FALSE)</f>
        <v>Product WEUJZ</v>
      </c>
      <c r="K2154" t="str">
        <f>VLOOKUP(VLOOKUP(B2154,Product!A:D,4,FALSE),Category!A:B,2,FALSE)</f>
        <v>Seafood</v>
      </c>
      <c r="L2154" s="24">
        <f>IFERROR(VLOOKUP(A2154,'Sales Order'!A:D,4,FALSE),"")</f>
        <v>39574</v>
      </c>
      <c r="M2154" s="24">
        <f>IFERROR(VLOOKUP(A2154,'Sales Order'!A:F,6,FALSE),"")</f>
        <v>0</v>
      </c>
      <c r="N2154" t="str">
        <f>IFERROR(VLOOKUP(VLOOKUP(A2154,'Sales Order'!A:G,7,FALSE),Shipper!A:B,2,FALSE),"Not Specified")</f>
        <v>Shipper ETYNR</v>
      </c>
      <c r="O2154" t="str">
        <f>IFERROR(VLOOKUP(A2154,'Sales Order'!A:I,9,FALSE),"Not Specified")</f>
        <v>Ship to 65-A</v>
      </c>
      <c r="P2154" t="str">
        <f>IFERROR(VLOOKUP(A2154,'Sales Order'!A:N,14,FALSE),"Not Specified")</f>
        <v>USA</v>
      </c>
      <c r="Q2154" t="str">
        <f>VLOOKUP(VLOOKUP(B2154,Product!A:C,3,FALSE),Supplier!A:B,2,FALSE)</f>
        <v>Supplier QZGUF</v>
      </c>
      <c r="R2154" t="str">
        <f>VLOOKUP(VLOOKUP(B2154,Product!A:C,3,FALSE),Supplier!A:I,9,FALSE)</f>
        <v>Sweden</v>
      </c>
      <c r="S2154" t="str">
        <f>IFERROR(IF(VLOOKUP(A2154,'Sales Order'!A:H,8,FALSE)&gt;100,"High Freight","Low Freight"),"Not Specified")</f>
        <v>Low Freight</v>
      </c>
      <c r="T2154">
        <f t="shared" si="67"/>
        <v>29.7</v>
      </c>
    </row>
    <row r="2155" spans="1:20">
      <c r="A2155" s="9">
        <v>11077</v>
      </c>
      <c r="B2155" s="6">
        <v>75</v>
      </c>
      <c r="C2155" s="6">
        <v>7.75</v>
      </c>
      <c r="D2155" s="6">
        <v>4</v>
      </c>
      <c r="E2155" s="18">
        <v>0</v>
      </c>
      <c r="F2155" s="6" t="str">
        <f>IFERROR(VLOOKUP(VLOOKUP(A2155,'Sales Order'!A:B,2,FALSE),Customer!A:C,3,FALSE),"Not Specified")</f>
        <v>Moore, Michael</v>
      </c>
      <c r="G2155" s="6" t="str">
        <f t="shared" si="66"/>
        <v>Moore Michael</v>
      </c>
      <c r="H2155" s="22" t="str">
        <f>IFERROR(VLOOKUP(VLOOKUP(A2155,'Sales Order'!A:C,3,FALSE),Employee!A:E,5,FALSE)&amp;" "&amp;VLOOKUP(VLOOKUP(A2155,'Sales Order'!A:C,3,FALSE),Employee!A:C,3,FALSE)&amp;" "&amp;VLOOKUP(VLOOKUP(A2155,'Sales Order'!A:C,3,FALSE),Employee!A:B,2,FALSE),"Not Specified")</f>
        <v>Ms. Sara Davis</v>
      </c>
      <c r="I2155" t="str">
        <f>IFERROR(VLOOKUP(VLOOKUP(A2155,'Sales Order'!A:C,3,FALSE),Employee!A:J,10,FALSE),"Not Specified")</f>
        <v>WA</v>
      </c>
      <c r="J2155" t="str">
        <f>VLOOKUP(B2155,Product!A:B,2,FALSE)</f>
        <v>Product BWRLG</v>
      </c>
      <c r="K2155" t="str">
        <f>VLOOKUP(VLOOKUP(B2155,Product!A:D,4,FALSE),Category!A:B,2,FALSE)</f>
        <v>Beverages</v>
      </c>
      <c r="L2155" s="24">
        <f>IFERROR(VLOOKUP(A2155,'Sales Order'!A:D,4,FALSE),"")</f>
        <v>39574</v>
      </c>
      <c r="M2155" s="24">
        <f>IFERROR(VLOOKUP(A2155,'Sales Order'!A:F,6,FALSE),"")</f>
        <v>0</v>
      </c>
      <c r="N2155" t="str">
        <f>IFERROR(VLOOKUP(VLOOKUP(A2155,'Sales Order'!A:G,7,FALSE),Shipper!A:B,2,FALSE),"Not Specified")</f>
        <v>Shipper ETYNR</v>
      </c>
      <c r="O2155" t="str">
        <f>IFERROR(VLOOKUP(A2155,'Sales Order'!A:I,9,FALSE),"Not Specified")</f>
        <v>Ship to 65-A</v>
      </c>
      <c r="P2155" t="str">
        <f>IFERROR(VLOOKUP(A2155,'Sales Order'!A:N,14,FALSE),"Not Specified")</f>
        <v>USA</v>
      </c>
      <c r="Q2155" t="str">
        <f>VLOOKUP(VLOOKUP(B2155,Product!A:C,3,FALSE),Supplier!A:B,2,FALSE)</f>
        <v>Supplier SVIYA</v>
      </c>
      <c r="R2155" t="str">
        <f>VLOOKUP(VLOOKUP(B2155,Product!A:C,3,FALSE),Supplier!A:I,9,FALSE)</f>
        <v>Germany</v>
      </c>
      <c r="S2155" t="str">
        <f>IFERROR(IF(VLOOKUP(A2155,'Sales Order'!A:H,8,FALSE)&gt;100,"High Freight","Low Freight"),"Not Specified")</f>
        <v>Low Freight</v>
      </c>
      <c r="T2155">
        <f t="shared" si="67"/>
        <v>31</v>
      </c>
    </row>
    <row r="2156" spans="1:20">
      <c r="A2156" s="9">
        <v>11077</v>
      </c>
      <c r="B2156" s="6">
        <v>77</v>
      </c>
      <c r="C2156" s="6">
        <v>13</v>
      </c>
      <c r="D2156" s="6">
        <v>2</v>
      </c>
      <c r="E2156" s="18">
        <v>0</v>
      </c>
      <c r="F2156" s="6" t="str">
        <f>IFERROR(VLOOKUP(VLOOKUP(A2156,'Sales Order'!A:B,2,FALSE),Customer!A:C,3,FALSE),"Not Specified")</f>
        <v>Moore, Michael</v>
      </c>
      <c r="G2156" s="6" t="str">
        <f t="shared" si="66"/>
        <v>Moore Michael</v>
      </c>
      <c r="H2156" s="22" t="str">
        <f>IFERROR(VLOOKUP(VLOOKUP(A2156,'Sales Order'!A:C,3,FALSE),Employee!A:E,5,FALSE)&amp;" "&amp;VLOOKUP(VLOOKUP(A2156,'Sales Order'!A:C,3,FALSE),Employee!A:C,3,FALSE)&amp;" "&amp;VLOOKUP(VLOOKUP(A2156,'Sales Order'!A:C,3,FALSE),Employee!A:B,2,FALSE),"Not Specified")</f>
        <v>Ms. Sara Davis</v>
      </c>
      <c r="I2156" t="str">
        <f>IFERROR(VLOOKUP(VLOOKUP(A2156,'Sales Order'!A:C,3,FALSE),Employee!A:J,10,FALSE),"Not Specified")</f>
        <v>WA</v>
      </c>
      <c r="J2156" t="str">
        <f>VLOOKUP(B2156,Product!A:B,2,FALSE)</f>
        <v>Product LUNZZ</v>
      </c>
      <c r="K2156" t="str">
        <f>VLOOKUP(VLOOKUP(B2156,Product!A:D,4,FALSE),Category!A:B,2,FALSE)</f>
        <v>Condiments</v>
      </c>
      <c r="L2156" s="24">
        <f>IFERROR(VLOOKUP(A2156,'Sales Order'!A:D,4,FALSE),"")</f>
        <v>39574</v>
      </c>
      <c r="M2156" s="24">
        <f>IFERROR(VLOOKUP(A2156,'Sales Order'!A:F,6,FALSE),"")</f>
        <v>0</v>
      </c>
      <c r="N2156" t="str">
        <f>IFERROR(VLOOKUP(VLOOKUP(A2156,'Sales Order'!A:G,7,FALSE),Shipper!A:B,2,FALSE),"Not Specified")</f>
        <v>Shipper ETYNR</v>
      </c>
      <c r="O2156" t="str">
        <f>IFERROR(VLOOKUP(A2156,'Sales Order'!A:I,9,FALSE),"Not Specified")</f>
        <v>Ship to 65-A</v>
      </c>
      <c r="P2156" t="str">
        <f>IFERROR(VLOOKUP(A2156,'Sales Order'!A:N,14,FALSE),"Not Specified")</f>
        <v>USA</v>
      </c>
      <c r="Q2156" t="str">
        <f>VLOOKUP(VLOOKUP(B2156,Product!A:C,3,FALSE),Supplier!A:B,2,FALSE)</f>
        <v>Supplier SVIYA</v>
      </c>
      <c r="R2156" t="str">
        <f>VLOOKUP(VLOOKUP(B2156,Product!A:C,3,FALSE),Supplier!A:I,9,FALSE)</f>
        <v>Germany</v>
      </c>
      <c r="S2156" t="str">
        <f>IFERROR(IF(VLOOKUP(A2156,'Sales Order'!A:H,8,FALSE)&gt;100,"High Freight","Low Freight"),"Not Specified")</f>
        <v>Low Freight</v>
      </c>
      <c r="T2156">
        <f t="shared" si="67"/>
        <v>26</v>
      </c>
    </row>
  </sheetData>
  <autoFilter ref="I1:I2156" xr:uid="{00000000-0001-0000-05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F47C7-3CA6-43C0-835F-5234AA6F7E93}">
  <dimension ref="A1:F70"/>
  <sheetViews>
    <sheetView workbookViewId="0">
      <selection activeCell="E1" sqref="E1"/>
    </sheetView>
  </sheetViews>
  <sheetFormatPr defaultRowHeight="13.2"/>
  <cols>
    <col min="1" max="1" width="24.21875" customWidth="1"/>
    <col min="2" max="2" width="15.88671875" bestFit="1" customWidth="1"/>
    <col min="5" max="5" width="13.33203125" bestFit="1" customWidth="1"/>
    <col min="6" max="6" width="15.88671875" bestFit="1" customWidth="1"/>
  </cols>
  <sheetData>
    <row r="1" spans="1:6">
      <c r="A1" s="26" t="s">
        <v>1440</v>
      </c>
      <c r="B1" t="s">
        <v>1469</v>
      </c>
      <c r="D1" s="30"/>
      <c r="E1" s="26" t="s">
        <v>1440</v>
      </c>
      <c r="F1" t="s">
        <v>1469</v>
      </c>
    </row>
    <row r="2" spans="1:6">
      <c r="A2" s="27" t="s">
        <v>4</v>
      </c>
      <c r="B2" s="28">
        <v>267868.17999999993</v>
      </c>
      <c r="E2" s="27" t="s">
        <v>1461</v>
      </c>
      <c r="F2" s="28">
        <v>205780.57000000004</v>
      </c>
    </row>
    <row r="3" spans="1:6">
      <c r="A3" s="27" t="s">
        <v>6</v>
      </c>
      <c r="B3" s="28">
        <v>106047.08500000002</v>
      </c>
      <c r="E3" s="27" t="s">
        <v>1462</v>
      </c>
      <c r="F3" s="28">
        <v>617085.20349999995</v>
      </c>
    </row>
    <row r="4" spans="1:6">
      <c r="A4" s="27" t="s">
        <v>8</v>
      </c>
      <c r="B4" s="28">
        <v>167357.22499999995</v>
      </c>
      <c r="E4" s="27" t="s">
        <v>1463</v>
      </c>
      <c r="F4" s="28">
        <v>440623.86599999992</v>
      </c>
    </row>
    <row r="5" spans="1:6">
      <c r="A5" s="27" t="s">
        <v>10</v>
      </c>
      <c r="B5" s="28">
        <v>234507.285</v>
      </c>
      <c r="E5" s="27" t="s">
        <v>1460</v>
      </c>
      <c r="F5" s="25">
        <v>2303.4</v>
      </c>
    </row>
    <row r="6" spans="1:6">
      <c r="A6" s="27" t="s">
        <v>12</v>
      </c>
      <c r="B6" s="28">
        <v>95744.587500000009</v>
      </c>
      <c r="E6" s="31" t="s">
        <v>1459</v>
      </c>
      <c r="F6" s="25">
        <v>2303.4</v>
      </c>
    </row>
    <row r="7" spans="1:6">
      <c r="A7" s="27" t="s">
        <v>14</v>
      </c>
      <c r="B7" s="28">
        <v>163022.35949999999</v>
      </c>
      <c r="E7" s="27" t="s">
        <v>1441</v>
      </c>
      <c r="F7" s="25">
        <v>1265793.0395</v>
      </c>
    </row>
    <row r="8" spans="1:6">
      <c r="A8" s="27" t="s">
        <v>16</v>
      </c>
      <c r="B8" s="28">
        <v>99984.579999999987</v>
      </c>
    </row>
    <row r="9" spans="1:6">
      <c r="A9" s="27" t="s">
        <v>18</v>
      </c>
      <c r="B9" s="28">
        <v>131261.73750000002</v>
      </c>
    </row>
    <row r="10" spans="1:6">
      <c r="A10" s="27" t="s">
        <v>1441</v>
      </c>
      <c r="B10" s="28">
        <v>1265793.0395</v>
      </c>
    </row>
    <row r="11" spans="1:6">
      <c r="A11" s="29" t="s">
        <v>1442</v>
      </c>
      <c r="B11" s="29"/>
      <c r="C11" s="29"/>
      <c r="D11" s="29"/>
    </row>
    <row r="13" spans="1:6">
      <c r="A13" s="26" t="s">
        <v>1440</v>
      </c>
      <c r="B13" t="s">
        <v>1469</v>
      </c>
    </row>
    <row r="14" spans="1:6">
      <c r="A14" s="27" t="s">
        <v>1443</v>
      </c>
      <c r="B14" s="28">
        <v>166537.755</v>
      </c>
    </row>
    <row r="15" spans="1:6">
      <c r="A15" s="27" t="s">
        <v>1444</v>
      </c>
      <c r="B15" s="28">
        <v>72049.729500000001</v>
      </c>
    </row>
    <row r="16" spans="1:6">
      <c r="A16" s="27" t="s">
        <v>1445</v>
      </c>
      <c r="B16" s="28">
        <v>124568.23500000002</v>
      </c>
    </row>
    <row r="17" spans="1:2">
      <c r="A17" s="27" t="s">
        <v>1446</v>
      </c>
      <c r="B17" s="28">
        <v>68352.282500000001</v>
      </c>
    </row>
    <row r="18" spans="1:2">
      <c r="A18" s="27" t="s">
        <v>1447</v>
      </c>
      <c r="B18" s="28">
        <v>232890.84600000005</v>
      </c>
    </row>
    <row r="19" spans="1:2">
      <c r="A19" s="27" t="s">
        <v>1448</v>
      </c>
      <c r="B19" s="28">
        <v>202812.84299999996</v>
      </c>
    </row>
    <row r="20" spans="1:2">
      <c r="A20" s="27" t="s">
        <v>1449</v>
      </c>
      <c r="B20" s="28">
        <v>126862.27749999995</v>
      </c>
    </row>
    <row r="21" spans="1:2">
      <c r="A21" s="27" t="s">
        <v>1450</v>
      </c>
      <c r="B21" s="28">
        <v>192107.60450000007</v>
      </c>
    </row>
    <row r="22" spans="1:2">
      <c r="A22" s="27" t="s">
        <v>1451</v>
      </c>
      <c r="B22" s="28">
        <v>77308.066500000015</v>
      </c>
    </row>
    <row r="23" spans="1:2">
      <c r="A23" s="27" t="s">
        <v>1465</v>
      </c>
      <c r="B23" s="28">
        <v>2303.4</v>
      </c>
    </row>
    <row r="24" spans="1:2">
      <c r="A24" s="27" t="s">
        <v>1441</v>
      </c>
      <c r="B24" s="25">
        <v>1265793.0395</v>
      </c>
    </row>
    <row r="25" spans="1:2">
      <c r="A25" s="29" t="s">
        <v>1452</v>
      </c>
    </row>
    <row r="29" spans="1:2">
      <c r="A29" s="26" t="s">
        <v>1440</v>
      </c>
      <c r="B29" t="s">
        <v>1469</v>
      </c>
    </row>
    <row r="30" spans="1:2">
      <c r="A30" s="27" t="s">
        <v>111</v>
      </c>
      <c r="B30" s="28">
        <v>8119.0999999999995</v>
      </c>
    </row>
    <row r="31" spans="1:2">
      <c r="A31" s="27" t="s">
        <v>158</v>
      </c>
      <c r="B31" s="28">
        <v>128003.83850000001</v>
      </c>
    </row>
    <row r="32" spans="1:2">
      <c r="A32" s="27" t="s">
        <v>345</v>
      </c>
      <c r="B32" s="28">
        <v>33824.855000000003</v>
      </c>
    </row>
    <row r="33" spans="1:2">
      <c r="A33" s="27" t="s">
        <v>129</v>
      </c>
      <c r="B33" s="28">
        <v>106925.77650000002</v>
      </c>
    </row>
    <row r="34" spans="1:2">
      <c r="A34" s="27" t="s">
        <v>99</v>
      </c>
      <c r="B34" s="28">
        <v>50196.29</v>
      </c>
    </row>
    <row r="35" spans="1:2">
      <c r="A35" s="27" t="s">
        <v>470</v>
      </c>
      <c r="B35" s="28">
        <v>32661.022500000003</v>
      </c>
    </row>
    <row r="36" spans="1:2">
      <c r="A36" s="27" t="s">
        <v>551</v>
      </c>
      <c r="B36" s="28">
        <v>18810.052499999998</v>
      </c>
    </row>
    <row r="37" spans="1:2">
      <c r="A37" s="27" t="s">
        <v>77</v>
      </c>
      <c r="B37" s="28">
        <v>80918.32249999998</v>
      </c>
    </row>
    <row r="38" spans="1:2">
      <c r="A38" s="27" t="s">
        <v>36</v>
      </c>
      <c r="B38" s="28">
        <v>228421.2335</v>
      </c>
    </row>
    <row r="39" spans="1:2">
      <c r="A39" s="27" t="s">
        <v>264</v>
      </c>
      <c r="B39" s="28">
        <v>49979.905000000006</v>
      </c>
    </row>
    <row r="40" spans="1:2">
      <c r="A40" s="27" t="s">
        <v>198</v>
      </c>
      <c r="B40" s="28">
        <v>15770.155000000001</v>
      </c>
    </row>
    <row r="41" spans="1:2">
      <c r="A41" s="27" t="s">
        <v>44</v>
      </c>
      <c r="B41" s="28">
        <v>23582.077500000003</v>
      </c>
    </row>
    <row r="42" spans="1:2">
      <c r="A42" s="27" t="s">
        <v>452</v>
      </c>
      <c r="B42" s="28">
        <v>5735.1500000000005</v>
      </c>
    </row>
    <row r="43" spans="1:2">
      <c r="A43" s="27" t="s">
        <v>576</v>
      </c>
      <c r="B43" s="28">
        <v>3531.95</v>
      </c>
    </row>
    <row r="44" spans="1:2">
      <c r="A44" s="27" t="s">
        <v>205</v>
      </c>
      <c r="B44" s="28">
        <v>11472.362499999999</v>
      </c>
    </row>
    <row r="45" spans="1:2">
      <c r="A45" s="27" t="s">
        <v>84</v>
      </c>
      <c r="B45" s="28">
        <v>17983.2</v>
      </c>
    </row>
    <row r="46" spans="1:2">
      <c r="A46" s="27" t="s">
        <v>63</v>
      </c>
      <c r="B46" s="28">
        <v>54495.139999999992</v>
      </c>
    </row>
    <row r="47" spans="1:2">
      <c r="A47" s="27" t="s">
        <v>121</v>
      </c>
      <c r="B47" s="28">
        <v>31692.659</v>
      </c>
    </row>
    <row r="48" spans="1:2">
      <c r="A48" s="27" t="s">
        <v>55</v>
      </c>
      <c r="B48" s="28">
        <v>58971.310000000005</v>
      </c>
    </row>
    <row r="49" spans="1:2">
      <c r="A49" s="27" t="s">
        <v>229</v>
      </c>
      <c r="B49" s="28">
        <v>245584.61050000007</v>
      </c>
    </row>
    <row r="50" spans="1:2">
      <c r="A50" s="27" t="s">
        <v>236</v>
      </c>
      <c r="B50" s="28">
        <v>56810.628999999986</v>
      </c>
    </row>
    <row r="51" spans="1:2">
      <c r="A51" s="27" t="s">
        <v>1465</v>
      </c>
      <c r="B51" s="28">
        <v>2303.4</v>
      </c>
    </row>
    <row r="52" spans="1:2">
      <c r="A52" s="27" t="s">
        <v>1441</v>
      </c>
      <c r="B52" s="25">
        <v>1265793.0395000002</v>
      </c>
    </row>
    <row r="53" spans="1:2">
      <c r="A53" s="29" t="s">
        <v>1453</v>
      </c>
    </row>
    <row r="56" spans="1:2">
      <c r="A56" s="26" t="s">
        <v>1440</v>
      </c>
      <c r="B56" t="s">
        <v>1469</v>
      </c>
    </row>
    <row r="57" spans="1:2">
      <c r="A57" s="27" t="s">
        <v>1211</v>
      </c>
      <c r="B57" s="28">
        <v>533547.63399999996</v>
      </c>
    </row>
    <row r="58" spans="1:2">
      <c r="A58" s="27" t="s">
        <v>1209</v>
      </c>
      <c r="B58" s="28">
        <v>346976.53749999992</v>
      </c>
    </row>
    <row r="59" spans="1:2">
      <c r="A59" s="27" t="s">
        <v>1213</v>
      </c>
      <c r="B59" s="28">
        <v>382965.46799999994</v>
      </c>
    </row>
    <row r="60" spans="1:2">
      <c r="A60" s="27" t="s">
        <v>1465</v>
      </c>
      <c r="B60" s="28">
        <v>2303.4</v>
      </c>
    </row>
    <row r="61" spans="1:2">
      <c r="A61" s="27" t="s">
        <v>1441</v>
      </c>
      <c r="B61" s="25">
        <v>1265793.0394999997</v>
      </c>
    </row>
    <row r="62" spans="1:2">
      <c r="A62" s="29" t="s">
        <v>1454</v>
      </c>
    </row>
    <row r="65" spans="1:2">
      <c r="A65" s="26" t="s">
        <v>1440</v>
      </c>
      <c r="B65" t="s">
        <v>1457</v>
      </c>
    </row>
    <row r="66" spans="1:2">
      <c r="A66" s="27" t="s">
        <v>1455</v>
      </c>
      <c r="B66" s="25">
        <v>620</v>
      </c>
    </row>
    <row r="67" spans="1:2">
      <c r="A67" s="27" t="s">
        <v>1456</v>
      </c>
      <c r="B67" s="25">
        <v>1530</v>
      </c>
    </row>
    <row r="68" spans="1:2">
      <c r="A68" s="27" t="s">
        <v>1465</v>
      </c>
      <c r="B68" s="25">
        <v>5</v>
      </c>
    </row>
    <row r="69" spans="1:2">
      <c r="A69" s="27" t="s">
        <v>1441</v>
      </c>
      <c r="B69" s="25">
        <v>2155</v>
      </c>
    </row>
    <row r="70" spans="1:2">
      <c r="A70" s="29" t="s">
        <v>1458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C63C5-D346-44BB-8F17-F70B561C7A38}">
  <sheetPr>
    <tabColor theme="7"/>
  </sheetPr>
  <dimension ref="A1:T199"/>
  <sheetViews>
    <sheetView tabSelected="1" zoomScale="163" workbookViewId="0">
      <selection sqref="A1:T199"/>
    </sheetView>
  </sheetViews>
  <sheetFormatPr defaultRowHeight="13.2"/>
  <sheetData>
    <row r="1" spans="1:20">
      <c r="A1" s="20" t="s">
        <v>1437</v>
      </c>
      <c r="B1" s="21"/>
      <c r="C1" s="21"/>
      <c r="D1" s="21"/>
      <c r="E1" s="21"/>
      <c r="F1" s="21"/>
      <c r="G1" s="21"/>
      <c r="H1" s="21"/>
      <c r="I1" s="21"/>
      <c r="J1" s="21"/>
      <c r="K1" s="21"/>
      <c r="L1" s="21"/>
      <c r="M1" s="21"/>
      <c r="N1" s="21"/>
      <c r="O1" s="21"/>
      <c r="P1" s="21"/>
      <c r="Q1" s="21"/>
      <c r="R1" s="21"/>
      <c r="S1" s="21"/>
      <c r="T1" s="21"/>
    </row>
    <row r="2" spans="1:20">
      <c r="A2" s="21"/>
      <c r="B2" s="21"/>
      <c r="C2" s="21"/>
      <c r="D2" s="21"/>
      <c r="E2" s="21"/>
      <c r="F2" s="21"/>
      <c r="G2" s="21"/>
      <c r="H2" s="21"/>
      <c r="I2" s="21"/>
      <c r="J2" s="21"/>
      <c r="K2" s="21"/>
      <c r="L2" s="21"/>
      <c r="M2" s="21"/>
      <c r="N2" s="21"/>
      <c r="O2" s="21"/>
      <c r="P2" s="21"/>
      <c r="Q2" s="21"/>
      <c r="R2" s="21"/>
      <c r="S2" s="21"/>
      <c r="T2" s="21"/>
    </row>
    <row r="3" spans="1:20">
      <c r="A3" s="21"/>
      <c r="B3" s="21"/>
      <c r="C3" s="21"/>
      <c r="D3" s="21"/>
      <c r="E3" s="21"/>
      <c r="F3" s="21"/>
      <c r="G3" s="21"/>
      <c r="H3" s="21"/>
      <c r="I3" s="21"/>
      <c r="J3" s="21"/>
      <c r="K3" s="21"/>
      <c r="L3" s="21"/>
      <c r="M3" s="21"/>
      <c r="N3" s="21"/>
      <c r="O3" s="21"/>
      <c r="P3" s="21"/>
      <c r="Q3" s="21"/>
      <c r="R3" s="21"/>
      <c r="S3" s="21"/>
      <c r="T3" s="21"/>
    </row>
    <row r="4" spans="1:20">
      <c r="A4" s="21"/>
      <c r="B4" s="21"/>
      <c r="C4" s="21"/>
      <c r="D4" s="21"/>
      <c r="E4" s="21"/>
      <c r="F4" s="21"/>
      <c r="G4" s="21"/>
      <c r="H4" s="21"/>
      <c r="I4" s="21"/>
      <c r="J4" s="21"/>
      <c r="K4" s="21"/>
      <c r="L4" s="21"/>
      <c r="M4" s="21"/>
      <c r="N4" s="21"/>
      <c r="O4" s="21"/>
      <c r="P4" s="21"/>
      <c r="Q4" s="21"/>
      <c r="R4" s="21"/>
      <c r="S4" s="21"/>
      <c r="T4" s="21"/>
    </row>
    <row r="5" spans="1:20">
      <c r="A5" s="21"/>
      <c r="B5" s="21"/>
      <c r="C5" s="21"/>
      <c r="D5" s="21"/>
      <c r="E5" s="21"/>
      <c r="F5" s="21"/>
      <c r="G5" s="21"/>
      <c r="H5" s="21"/>
      <c r="I5" s="21"/>
      <c r="J5" s="21"/>
      <c r="K5" s="21"/>
      <c r="L5" s="21"/>
      <c r="M5" s="21"/>
      <c r="N5" s="21"/>
      <c r="O5" s="21"/>
      <c r="P5" s="21"/>
      <c r="Q5" s="21"/>
      <c r="R5" s="21"/>
      <c r="S5" s="21"/>
      <c r="T5" s="21"/>
    </row>
    <row r="6" spans="1:20">
      <c r="A6" s="21"/>
      <c r="B6" s="21"/>
      <c r="C6" s="21"/>
      <c r="D6" s="21"/>
      <c r="E6" s="21"/>
      <c r="F6" s="21"/>
      <c r="G6" s="21"/>
      <c r="H6" s="21"/>
      <c r="I6" s="21"/>
      <c r="J6" s="21"/>
      <c r="K6" s="21"/>
      <c r="L6" s="21"/>
      <c r="M6" s="21"/>
      <c r="N6" s="21"/>
      <c r="O6" s="21"/>
      <c r="P6" s="21"/>
      <c r="Q6" s="21"/>
      <c r="R6" s="21"/>
      <c r="S6" s="21"/>
      <c r="T6" s="21"/>
    </row>
    <row r="7" spans="1:20">
      <c r="A7" s="21"/>
      <c r="B7" s="21"/>
      <c r="C7" s="21"/>
      <c r="D7" s="21"/>
      <c r="E7" s="21"/>
      <c r="F7" s="21"/>
      <c r="G7" s="21"/>
      <c r="H7" s="21"/>
      <c r="I7" s="21"/>
      <c r="J7" s="21"/>
      <c r="K7" s="21"/>
      <c r="L7" s="21"/>
      <c r="M7" s="21"/>
      <c r="N7" s="21"/>
      <c r="O7" s="21"/>
      <c r="P7" s="21"/>
      <c r="Q7" s="21"/>
      <c r="R7" s="21"/>
      <c r="S7" s="21"/>
      <c r="T7" s="21"/>
    </row>
    <row r="8" spans="1:20">
      <c r="A8" s="21"/>
      <c r="B8" s="21"/>
      <c r="C8" s="21"/>
      <c r="D8" s="21"/>
      <c r="E8" s="21"/>
      <c r="F8" s="21"/>
      <c r="G8" s="21"/>
      <c r="H8" s="21"/>
      <c r="I8" s="21"/>
      <c r="J8" s="21"/>
      <c r="K8" s="21"/>
      <c r="L8" s="21"/>
      <c r="M8" s="21"/>
      <c r="N8" s="21"/>
      <c r="O8" s="21"/>
      <c r="P8" s="21"/>
      <c r="Q8" s="21"/>
      <c r="R8" s="21"/>
      <c r="S8" s="21"/>
      <c r="T8" s="21"/>
    </row>
    <row r="9" spans="1:20">
      <c r="A9" s="21"/>
      <c r="B9" s="21"/>
      <c r="C9" s="21"/>
      <c r="D9" s="21"/>
      <c r="E9" s="21"/>
      <c r="F9" s="21"/>
      <c r="G9" s="21"/>
      <c r="H9" s="21"/>
      <c r="I9" s="21"/>
      <c r="J9" s="21"/>
      <c r="K9" s="21"/>
      <c r="L9" s="21"/>
      <c r="M9" s="21"/>
      <c r="N9" s="21"/>
      <c r="O9" s="21"/>
      <c r="P9" s="21"/>
      <c r="Q9" s="21"/>
      <c r="R9" s="21"/>
      <c r="S9" s="21"/>
      <c r="T9" s="21"/>
    </row>
    <row r="10" spans="1:20">
      <c r="A10" s="21"/>
      <c r="B10" s="21"/>
      <c r="C10" s="21"/>
      <c r="D10" s="21"/>
      <c r="E10" s="21"/>
      <c r="F10" s="21"/>
      <c r="G10" s="21"/>
      <c r="H10" s="21"/>
      <c r="I10" s="21"/>
      <c r="J10" s="21"/>
      <c r="K10" s="21"/>
      <c r="L10" s="21"/>
      <c r="M10" s="21"/>
      <c r="N10" s="21"/>
      <c r="O10" s="21"/>
      <c r="P10" s="21"/>
      <c r="Q10" s="21"/>
      <c r="R10" s="21"/>
      <c r="S10" s="21"/>
      <c r="T10" s="21"/>
    </row>
    <row r="11" spans="1:20">
      <c r="A11" s="21"/>
      <c r="B11" s="21"/>
      <c r="C11" s="21"/>
      <c r="D11" s="21"/>
      <c r="E11" s="21"/>
      <c r="F11" s="21"/>
      <c r="G11" s="21"/>
      <c r="H11" s="21"/>
      <c r="I11" s="21"/>
      <c r="J11" s="21"/>
      <c r="K11" s="21"/>
      <c r="L11" s="21"/>
      <c r="M11" s="21"/>
      <c r="N11" s="21"/>
      <c r="O11" s="21"/>
      <c r="P11" s="21"/>
      <c r="Q11" s="21"/>
      <c r="R11" s="21"/>
      <c r="S11" s="21"/>
      <c r="T11" s="21"/>
    </row>
    <row r="12" spans="1:20">
      <c r="A12" s="21"/>
      <c r="B12" s="21"/>
      <c r="C12" s="21"/>
      <c r="D12" s="21"/>
      <c r="E12" s="21"/>
      <c r="F12" s="21"/>
      <c r="G12" s="21"/>
      <c r="H12" s="21"/>
      <c r="I12" s="21"/>
      <c r="J12" s="21"/>
      <c r="K12" s="21"/>
      <c r="L12" s="21"/>
      <c r="M12" s="21"/>
      <c r="N12" s="21"/>
      <c r="O12" s="21"/>
      <c r="P12" s="21"/>
      <c r="Q12" s="21"/>
      <c r="R12" s="21"/>
      <c r="S12" s="21"/>
      <c r="T12" s="21"/>
    </row>
    <row r="13" spans="1:20">
      <c r="A13" s="21"/>
      <c r="B13" s="21"/>
      <c r="C13" s="21"/>
      <c r="D13" s="21"/>
      <c r="E13" s="21"/>
      <c r="F13" s="21"/>
      <c r="G13" s="21"/>
      <c r="H13" s="21"/>
      <c r="I13" s="21"/>
      <c r="J13" s="21"/>
      <c r="K13" s="21"/>
      <c r="L13" s="21"/>
      <c r="M13" s="21"/>
      <c r="N13" s="21"/>
      <c r="O13" s="21"/>
      <c r="P13" s="21"/>
      <c r="Q13" s="21"/>
      <c r="R13" s="21"/>
      <c r="S13" s="21"/>
      <c r="T13" s="21"/>
    </row>
    <row r="14" spans="1:20">
      <c r="A14" s="21"/>
      <c r="B14" s="21"/>
      <c r="C14" s="21"/>
      <c r="D14" s="21"/>
      <c r="E14" s="21"/>
      <c r="F14" s="21"/>
      <c r="G14" s="21"/>
      <c r="H14" s="21"/>
      <c r="I14" s="21"/>
      <c r="J14" s="21"/>
      <c r="K14" s="21"/>
      <c r="L14" s="21"/>
      <c r="M14" s="21"/>
      <c r="N14" s="21"/>
      <c r="O14" s="21"/>
      <c r="P14" s="21"/>
      <c r="Q14" s="21"/>
      <c r="R14" s="21"/>
      <c r="S14" s="21"/>
      <c r="T14" s="21"/>
    </row>
    <row r="15" spans="1:20">
      <c r="A15" s="21"/>
      <c r="B15" s="21"/>
      <c r="C15" s="21"/>
      <c r="D15" s="21"/>
      <c r="E15" s="21"/>
      <c r="F15" s="21"/>
      <c r="G15" s="21"/>
      <c r="H15" s="21"/>
      <c r="I15" s="21"/>
      <c r="J15" s="21"/>
      <c r="K15" s="21"/>
      <c r="L15" s="21"/>
      <c r="M15" s="21"/>
      <c r="N15" s="21"/>
      <c r="O15" s="21"/>
      <c r="P15" s="21"/>
      <c r="Q15" s="21"/>
      <c r="R15" s="21"/>
      <c r="S15" s="21"/>
      <c r="T15" s="21"/>
    </row>
    <row r="16" spans="1:20">
      <c r="A16" s="21"/>
      <c r="B16" s="21"/>
      <c r="C16" s="21"/>
      <c r="D16" s="21"/>
      <c r="E16" s="21"/>
      <c r="F16" s="21"/>
      <c r="G16" s="21"/>
      <c r="H16" s="21"/>
      <c r="I16" s="21"/>
      <c r="J16" s="21"/>
      <c r="K16" s="21"/>
      <c r="L16" s="21"/>
      <c r="M16" s="21"/>
      <c r="N16" s="21"/>
      <c r="O16" s="21"/>
      <c r="P16" s="21"/>
      <c r="Q16" s="21"/>
      <c r="R16" s="21"/>
      <c r="S16" s="21"/>
      <c r="T16" s="21"/>
    </row>
    <row r="17" spans="1:20">
      <c r="A17" s="21"/>
      <c r="B17" s="21"/>
      <c r="C17" s="21"/>
      <c r="D17" s="21"/>
      <c r="E17" s="21"/>
      <c r="F17" s="21"/>
      <c r="G17" s="21"/>
      <c r="H17" s="21"/>
      <c r="I17" s="21"/>
      <c r="J17" s="21"/>
      <c r="K17" s="21"/>
      <c r="L17" s="21"/>
      <c r="M17" s="21"/>
      <c r="N17" s="21"/>
      <c r="O17" s="21"/>
      <c r="P17" s="21"/>
      <c r="Q17" s="21"/>
      <c r="R17" s="21"/>
      <c r="S17" s="21"/>
      <c r="T17" s="21"/>
    </row>
    <row r="18" spans="1:20">
      <c r="A18" s="21"/>
      <c r="B18" s="21"/>
      <c r="C18" s="21"/>
      <c r="D18" s="21"/>
      <c r="E18" s="21"/>
      <c r="F18" s="21"/>
      <c r="G18" s="21"/>
      <c r="H18" s="21"/>
      <c r="I18" s="21"/>
      <c r="J18" s="21"/>
      <c r="K18" s="21"/>
      <c r="L18" s="21"/>
      <c r="M18" s="21"/>
      <c r="N18" s="21"/>
      <c r="O18" s="21"/>
      <c r="P18" s="21"/>
      <c r="Q18" s="21"/>
      <c r="R18" s="21"/>
      <c r="S18" s="21"/>
      <c r="T18" s="21"/>
    </row>
    <row r="19" spans="1:20">
      <c r="A19" s="21"/>
      <c r="B19" s="21"/>
      <c r="C19" s="21"/>
      <c r="D19" s="21"/>
      <c r="E19" s="21"/>
      <c r="F19" s="21"/>
      <c r="G19" s="21"/>
      <c r="H19" s="21"/>
      <c r="I19" s="21"/>
      <c r="J19" s="21"/>
      <c r="K19" s="21"/>
      <c r="L19" s="21"/>
      <c r="M19" s="21"/>
      <c r="N19" s="21"/>
      <c r="O19" s="21"/>
      <c r="P19" s="21"/>
      <c r="Q19" s="21"/>
      <c r="R19" s="21"/>
      <c r="S19" s="21"/>
      <c r="T19" s="21"/>
    </row>
    <row r="20" spans="1:20">
      <c r="A20" s="21"/>
      <c r="B20" s="21"/>
      <c r="C20" s="21"/>
      <c r="D20" s="21"/>
      <c r="E20" s="21"/>
      <c r="F20" s="21"/>
      <c r="G20" s="21"/>
      <c r="H20" s="21"/>
      <c r="I20" s="21"/>
      <c r="J20" s="21"/>
      <c r="K20" s="21"/>
      <c r="L20" s="21"/>
      <c r="M20" s="21"/>
      <c r="N20" s="21"/>
      <c r="O20" s="21"/>
      <c r="P20" s="21"/>
      <c r="Q20" s="21"/>
      <c r="R20" s="21"/>
      <c r="S20" s="21"/>
      <c r="T20" s="21"/>
    </row>
    <row r="21" spans="1:20">
      <c r="A21" s="21"/>
      <c r="B21" s="21"/>
      <c r="C21" s="21"/>
      <c r="D21" s="21"/>
      <c r="E21" s="21"/>
      <c r="F21" s="21"/>
      <c r="G21" s="21"/>
      <c r="H21" s="21"/>
      <c r="I21" s="21"/>
      <c r="J21" s="21"/>
      <c r="K21" s="21"/>
      <c r="L21" s="21"/>
      <c r="M21" s="21"/>
      <c r="N21" s="21"/>
      <c r="O21" s="21"/>
      <c r="P21" s="21"/>
      <c r="Q21" s="21"/>
      <c r="R21" s="21"/>
      <c r="S21" s="21"/>
      <c r="T21" s="21"/>
    </row>
    <row r="22" spans="1:20">
      <c r="A22" s="21"/>
      <c r="B22" s="21"/>
      <c r="C22" s="21"/>
      <c r="D22" s="21"/>
      <c r="E22" s="21"/>
      <c r="F22" s="21"/>
      <c r="G22" s="21"/>
      <c r="H22" s="21"/>
      <c r="I22" s="21"/>
      <c r="J22" s="21"/>
      <c r="K22" s="21"/>
      <c r="L22" s="21"/>
      <c r="M22" s="21"/>
      <c r="N22" s="21"/>
      <c r="O22" s="21"/>
      <c r="P22" s="21"/>
      <c r="Q22" s="21"/>
      <c r="R22" s="21"/>
      <c r="S22" s="21"/>
      <c r="T22" s="21"/>
    </row>
    <row r="23" spans="1:20">
      <c r="A23" s="21"/>
      <c r="B23" s="21"/>
      <c r="C23" s="21"/>
      <c r="D23" s="21"/>
      <c r="E23" s="21"/>
      <c r="F23" s="21"/>
      <c r="G23" s="21"/>
      <c r="H23" s="21"/>
      <c r="I23" s="21"/>
      <c r="J23" s="21"/>
      <c r="K23" s="21"/>
      <c r="L23" s="21"/>
      <c r="M23" s="21"/>
      <c r="N23" s="21"/>
      <c r="O23" s="21"/>
      <c r="P23" s="21"/>
      <c r="Q23" s="21"/>
      <c r="R23" s="21"/>
      <c r="S23" s="21"/>
      <c r="T23" s="21"/>
    </row>
    <row r="24" spans="1:20">
      <c r="A24" s="21"/>
      <c r="B24" s="21"/>
      <c r="C24" s="21"/>
      <c r="D24" s="21"/>
      <c r="E24" s="21"/>
      <c r="F24" s="21"/>
      <c r="G24" s="21"/>
      <c r="H24" s="21"/>
      <c r="I24" s="21"/>
      <c r="J24" s="21"/>
      <c r="K24" s="21"/>
      <c r="L24" s="21"/>
      <c r="M24" s="21"/>
      <c r="N24" s="21"/>
      <c r="O24" s="21"/>
      <c r="P24" s="21"/>
      <c r="Q24" s="21"/>
      <c r="R24" s="21"/>
      <c r="S24" s="21"/>
      <c r="T24" s="21"/>
    </row>
    <row r="25" spans="1:20">
      <c r="A25" s="21"/>
      <c r="B25" s="21"/>
      <c r="C25" s="21"/>
      <c r="D25" s="21"/>
      <c r="E25" s="21"/>
      <c r="F25" s="21"/>
      <c r="G25" s="21"/>
      <c r="H25" s="21"/>
      <c r="I25" s="21"/>
      <c r="J25" s="21"/>
      <c r="K25" s="21"/>
      <c r="L25" s="21"/>
      <c r="M25" s="21"/>
      <c r="N25" s="21"/>
      <c r="O25" s="21"/>
      <c r="P25" s="21"/>
      <c r="Q25" s="21"/>
      <c r="R25" s="21"/>
      <c r="S25" s="21"/>
      <c r="T25" s="21"/>
    </row>
    <row r="26" spans="1:20">
      <c r="A26" s="21"/>
      <c r="B26" s="21"/>
      <c r="C26" s="21"/>
      <c r="D26" s="21"/>
      <c r="E26" s="21"/>
      <c r="F26" s="21"/>
      <c r="G26" s="21"/>
      <c r="H26" s="21"/>
      <c r="I26" s="21"/>
      <c r="J26" s="21"/>
      <c r="K26" s="21"/>
      <c r="L26" s="21"/>
      <c r="M26" s="21"/>
      <c r="N26" s="21"/>
      <c r="O26" s="21"/>
      <c r="P26" s="21"/>
      <c r="Q26" s="21"/>
      <c r="R26" s="21"/>
      <c r="S26" s="21"/>
      <c r="T26" s="21"/>
    </row>
    <row r="27" spans="1:20">
      <c r="A27" s="21"/>
      <c r="B27" s="21"/>
      <c r="C27" s="21"/>
      <c r="D27" s="21"/>
      <c r="E27" s="21"/>
      <c r="F27" s="21"/>
      <c r="G27" s="21"/>
      <c r="H27" s="21"/>
      <c r="I27" s="21"/>
      <c r="J27" s="21"/>
      <c r="K27" s="21"/>
      <c r="L27" s="21"/>
      <c r="M27" s="21"/>
      <c r="N27" s="21"/>
      <c r="O27" s="21"/>
      <c r="P27" s="21"/>
      <c r="Q27" s="21"/>
      <c r="R27" s="21"/>
      <c r="S27" s="21"/>
      <c r="T27" s="21"/>
    </row>
    <row r="28" spans="1:20">
      <c r="A28" s="21"/>
      <c r="B28" s="21"/>
      <c r="C28" s="21"/>
      <c r="D28" s="21"/>
      <c r="E28" s="21"/>
      <c r="F28" s="21"/>
      <c r="G28" s="21"/>
      <c r="H28" s="21"/>
      <c r="I28" s="21"/>
      <c r="J28" s="21"/>
      <c r="K28" s="21"/>
      <c r="L28" s="21"/>
      <c r="M28" s="21"/>
      <c r="N28" s="21"/>
      <c r="O28" s="21"/>
      <c r="P28" s="21"/>
      <c r="Q28" s="21"/>
      <c r="R28" s="21"/>
      <c r="S28" s="21"/>
      <c r="T28" s="21"/>
    </row>
    <row r="29" spans="1:20">
      <c r="A29" s="21"/>
      <c r="B29" s="21"/>
      <c r="C29" s="21"/>
      <c r="D29" s="21"/>
      <c r="E29" s="21"/>
      <c r="F29" s="21"/>
      <c r="G29" s="21"/>
      <c r="H29" s="21"/>
      <c r="I29" s="21"/>
      <c r="J29" s="21"/>
      <c r="K29" s="21"/>
      <c r="L29" s="21"/>
      <c r="M29" s="21"/>
      <c r="N29" s="21"/>
      <c r="O29" s="21"/>
      <c r="P29" s="21"/>
      <c r="Q29" s="21"/>
      <c r="R29" s="21"/>
      <c r="S29" s="21"/>
      <c r="T29" s="21"/>
    </row>
    <row r="30" spans="1:20">
      <c r="A30" s="21"/>
      <c r="B30" s="21"/>
      <c r="C30" s="21"/>
      <c r="D30" s="21"/>
      <c r="E30" s="21"/>
      <c r="F30" s="21"/>
      <c r="G30" s="21"/>
      <c r="H30" s="21"/>
      <c r="I30" s="21"/>
      <c r="J30" s="21"/>
      <c r="K30" s="21"/>
      <c r="L30" s="21"/>
      <c r="M30" s="21"/>
      <c r="N30" s="21"/>
      <c r="O30" s="21"/>
      <c r="P30" s="21"/>
      <c r="Q30" s="21"/>
      <c r="R30" s="21"/>
      <c r="S30" s="21"/>
      <c r="T30" s="21"/>
    </row>
    <row r="31" spans="1:20">
      <c r="A31" s="21"/>
      <c r="B31" s="21"/>
      <c r="C31" s="21"/>
      <c r="D31" s="21"/>
      <c r="E31" s="21"/>
      <c r="F31" s="21"/>
      <c r="G31" s="21"/>
      <c r="H31" s="21"/>
      <c r="I31" s="21"/>
      <c r="J31" s="21"/>
      <c r="K31" s="21"/>
      <c r="L31" s="21"/>
      <c r="M31" s="21"/>
      <c r="N31" s="21"/>
      <c r="O31" s="21"/>
      <c r="P31" s="21"/>
      <c r="Q31" s="21"/>
      <c r="R31" s="21"/>
      <c r="S31" s="21"/>
      <c r="T31" s="21"/>
    </row>
    <row r="32" spans="1:20">
      <c r="A32" s="21"/>
      <c r="B32" s="21"/>
      <c r="C32" s="21"/>
      <c r="D32" s="21"/>
      <c r="E32" s="21"/>
      <c r="F32" s="21"/>
      <c r="G32" s="21"/>
      <c r="H32" s="21"/>
      <c r="I32" s="21"/>
      <c r="J32" s="21"/>
      <c r="K32" s="21"/>
      <c r="L32" s="21"/>
      <c r="M32" s="21"/>
      <c r="N32" s="21"/>
      <c r="O32" s="21"/>
      <c r="P32" s="21"/>
      <c r="Q32" s="21"/>
      <c r="R32" s="21"/>
      <c r="S32" s="21"/>
      <c r="T32" s="21"/>
    </row>
    <row r="33" spans="1:20">
      <c r="A33" s="21"/>
      <c r="B33" s="21"/>
      <c r="C33" s="21"/>
      <c r="D33" s="21"/>
      <c r="E33" s="21"/>
      <c r="F33" s="21"/>
      <c r="G33" s="21"/>
      <c r="H33" s="21"/>
      <c r="I33" s="21"/>
      <c r="J33" s="21"/>
      <c r="K33" s="21"/>
      <c r="L33" s="21"/>
      <c r="M33" s="21"/>
      <c r="N33" s="21"/>
      <c r="O33" s="21"/>
      <c r="P33" s="21"/>
      <c r="Q33" s="21"/>
      <c r="R33" s="21"/>
      <c r="S33" s="21"/>
      <c r="T33" s="21"/>
    </row>
    <row r="34" spans="1:20">
      <c r="A34" s="21"/>
      <c r="B34" s="21"/>
      <c r="C34" s="21"/>
      <c r="D34" s="21"/>
      <c r="E34" s="21"/>
      <c r="F34" s="21"/>
      <c r="G34" s="21"/>
      <c r="H34" s="21"/>
      <c r="I34" s="21"/>
      <c r="J34" s="21"/>
      <c r="K34" s="21"/>
      <c r="L34" s="21"/>
      <c r="M34" s="21"/>
      <c r="N34" s="21"/>
      <c r="O34" s="21"/>
      <c r="P34" s="21"/>
      <c r="Q34" s="21"/>
      <c r="R34" s="21"/>
      <c r="S34" s="21"/>
      <c r="T34" s="21"/>
    </row>
    <row r="35" spans="1:20">
      <c r="A35" s="21"/>
      <c r="B35" s="21"/>
      <c r="C35" s="21"/>
      <c r="D35" s="21"/>
      <c r="E35" s="21"/>
      <c r="F35" s="21"/>
      <c r="G35" s="21"/>
      <c r="H35" s="21"/>
      <c r="I35" s="21"/>
      <c r="J35" s="21"/>
      <c r="K35" s="21"/>
      <c r="L35" s="21"/>
      <c r="M35" s="21"/>
      <c r="N35" s="21"/>
      <c r="O35" s="21"/>
      <c r="P35" s="21"/>
      <c r="Q35" s="21"/>
      <c r="R35" s="21"/>
      <c r="S35" s="21"/>
      <c r="T35" s="21"/>
    </row>
    <row r="36" spans="1:20">
      <c r="A36" s="21"/>
      <c r="B36" s="21"/>
      <c r="C36" s="21"/>
      <c r="D36" s="21"/>
      <c r="E36" s="21"/>
      <c r="F36" s="21"/>
      <c r="G36" s="21"/>
      <c r="H36" s="21"/>
      <c r="I36" s="21"/>
      <c r="J36" s="21"/>
      <c r="K36" s="21"/>
      <c r="L36" s="21"/>
      <c r="M36" s="21"/>
      <c r="N36" s="21"/>
      <c r="O36" s="21"/>
      <c r="P36" s="21"/>
      <c r="Q36" s="21"/>
      <c r="R36" s="21"/>
      <c r="S36" s="21"/>
      <c r="T36" s="21"/>
    </row>
    <row r="37" spans="1:20">
      <c r="A37" s="21"/>
      <c r="B37" s="21"/>
      <c r="C37" s="21"/>
      <c r="D37" s="21"/>
      <c r="E37" s="21"/>
      <c r="F37" s="21"/>
      <c r="G37" s="21"/>
      <c r="H37" s="21"/>
      <c r="I37" s="21"/>
      <c r="J37" s="21"/>
      <c r="K37" s="21"/>
      <c r="L37" s="21"/>
      <c r="M37" s="21"/>
      <c r="N37" s="21"/>
      <c r="O37" s="21"/>
      <c r="P37" s="21"/>
      <c r="Q37" s="21"/>
      <c r="R37" s="21"/>
      <c r="S37" s="21"/>
      <c r="T37" s="21"/>
    </row>
    <row r="38" spans="1:20">
      <c r="A38" s="21"/>
      <c r="B38" s="21"/>
      <c r="C38" s="21"/>
      <c r="D38" s="21"/>
      <c r="E38" s="21"/>
      <c r="F38" s="21"/>
      <c r="G38" s="21"/>
      <c r="H38" s="21"/>
      <c r="I38" s="21"/>
      <c r="J38" s="21"/>
      <c r="K38" s="21"/>
      <c r="L38" s="21"/>
      <c r="M38" s="21"/>
      <c r="N38" s="21"/>
      <c r="O38" s="21"/>
      <c r="P38" s="21"/>
      <c r="Q38" s="21"/>
      <c r="R38" s="21"/>
      <c r="S38" s="21"/>
      <c r="T38" s="21"/>
    </row>
    <row r="39" spans="1:20">
      <c r="A39" s="21"/>
      <c r="B39" s="21"/>
      <c r="C39" s="21"/>
      <c r="D39" s="21"/>
      <c r="E39" s="21"/>
      <c r="F39" s="21"/>
      <c r="G39" s="21"/>
      <c r="H39" s="21"/>
      <c r="I39" s="21"/>
      <c r="J39" s="21"/>
      <c r="K39" s="21"/>
      <c r="L39" s="21"/>
      <c r="M39" s="21"/>
      <c r="N39" s="21"/>
      <c r="O39" s="21"/>
      <c r="P39" s="21"/>
      <c r="Q39" s="21"/>
      <c r="R39" s="21"/>
      <c r="S39" s="21"/>
      <c r="T39" s="21"/>
    </row>
    <row r="40" spans="1:20">
      <c r="A40" s="21"/>
      <c r="B40" s="21"/>
      <c r="C40" s="21"/>
      <c r="D40" s="21"/>
      <c r="E40" s="21"/>
      <c r="F40" s="21"/>
      <c r="G40" s="21"/>
      <c r="H40" s="21"/>
      <c r="I40" s="21"/>
      <c r="J40" s="21"/>
      <c r="K40" s="21"/>
      <c r="L40" s="21"/>
      <c r="M40" s="21"/>
      <c r="N40" s="21"/>
      <c r="O40" s="21"/>
      <c r="P40" s="21"/>
      <c r="Q40" s="21"/>
      <c r="R40" s="21"/>
      <c r="S40" s="21"/>
      <c r="T40" s="21"/>
    </row>
    <row r="41" spans="1:20">
      <c r="A41" s="21"/>
      <c r="B41" s="21"/>
      <c r="C41" s="21"/>
      <c r="D41" s="21"/>
      <c r="E41" s="21"/>
      <c r="F41" s="21"/>
      <c r="G41" s="21"/>
      <c r="H41" s="21"/>
      <c r="I41" s="21"/>
      <c r="J41" s="21"/>
      <c r="K41" s="21"/>
      <c r="L41" s="21"/>
      <c r="M41" s="21"/>
      <c r="N41" s="21"/>
      <c r="O41" s="21"/>
      <c r="P41" s="21"/>
      <c r="Q41" s="21"/>
      <c r="R41" s="21"/>
      <c r="S41" s="21"/>
      <c r="T41" s="21"/>
    </row>
    <row r="42" spans="1:20">
      <c r="A42" s="21"/>
      <c r="B42" s="21"/>
      <c r="C42" s="21"/>
      <c r="D42" s="21"/>
      <c r="E42" s="21"/>
      <c r="F42" s="21"/>
      <c r="G42" s="21"/>
      <c r="H42" s="21"/>
      <c r="I42" s="21"/>
      <c r="J42" s="21"/>
      <c r="K42" s="21"/>
      <c r="L42" s="21"/>
      <c r="M42" s="21"/>
      <c r="N42" s="21"/>
      <c r="O42" s="21"/>
      <c r="P42" s="21"/>
      <c r="Q42" s="21"/>
      <c r="R42" s="21"/>
      <c r="S42" s="21"/>
      <c r="T42" s="21"/>
    </row>
    <row r="43" spans="1:20">
      <c r="A43" s="21"/>
      <c r="B43" s="21"/>
      <c r="C43" s="21"/>
      <c r="D43" s="21"/>
      <c r="E43" s="21"/>
      <c r="F43" s="21"/>
      <c r="G43" s="21"/>
      <c r="H43" s="21"/>
      <c r="I43" s="21"/>
      <c r="J43" s="21"/>
      <c r="K43" s="21"/>
      <c r="L43" s="21"/>
      <c r="M43" s="21"/>
      <c r="N43" s="21"/>
      <c r="O43" s="21"/>
      <c r="P43" s="21"/>
      <c r="Q43" s="21"/>
      <c r="R43" s="21"/>
      <c r="S43" s="21"/>
      <c r="T43" s="21"/>
    </row>
    <row r="44" spans="1:20">
      <c r="A44" s="21"/>
      <c r="B44" s="21"/>
      <c r="C44" s="21"/>
      <c r="D44" s="21"/>
      <c r="E44" s="21"/>
      <c r="F44" s="21"/>
      <c r="G44" s="21"/>
      <c r="H44" s="21"/>
      <c r="I44" s="21"/>
      <c r="J44" s="21"/>
      <c r="K44" s="21"/>
      <c r="L44" s="21"/>
      <c r="M44" s="21"/>
      <c r="N44" s="21"/>
      <c r="O44" s="21"/>
      <c r="P44" s="21"/>
      <c r="Q44" s="21"/>
      <c r="R44" s="21"/>
      <c r="S44" s="21"/>
      <c r="T44" s="21"/>
    </row>
    <row r="45" spans="1:20">
      <c r="A45" s="21"/>
      <c r="B45" s="21"/>
      <c r="C45" s="21"/>
      <c r="D45" s="21"/>
      <c r="E45" s="21"/>
      <c r="F45" s="21"/>
      <c r="G45" s="21"/>
      <c r="H45" s="21"/>
      <c r="I45" s="21"/>
      <c r="J45" s="21"/>
      <c r="K45" s="21"/>
      <c r="L45" s="21"/>
      <c r="M45" s="21"/>
      <c r="N45" s="21"/>
      <c r="O45" s="21"/>
      <c r="P45" s="21"/>
      <c r="Q45" s="21"/>
      <c r="R45" s="21"/>
      <c r="S45" s="21"/>
      <c r="T45" s="21"/>
    </row>
    <row r="46" spans="1:20">
      <c r="A46" s="21"/>
      <c r="B46" s="21"/>
      <c r="C46" s="21"/>
      <c r="D46" s="21"/>
      <c r="E46" s="21"/>
      <c r="F46" s="21"/>
      <c r="G46" s="21"/>
      <c r="H46" s="21"/>
      <c r="I46" s="21"/>
      <c r="J46" s="21"/>
      <c r="K46" s="21"/>
      <c r="L46" s="21"/>
      <c r="M46" s="21"/>
      <c r="N46" s="21"/>
      <c r="O46" s="21"/>
      <c r="P46" s="21"/>
      <c r="Q46" s="21"/>
      <c r="R46" s="21"/>
      <c r="S46" s="21"/>
      <c r="T46" s="21"/>
    </row>
    <row r="47" spans="1:20">
      <c r="A47" s="21"/>
      <c r="B47" s="21"/>
      <c r="C47" s="21"/>
      <c r="D47" s="21"/>
      <c r="E47" s="21"/>
      <c r="F47" s="21"/>
      <c r="G47" s="21"/>
      <c r="H47" s="21"/>
      <c r="I47" s="21"/>
      <c r="J47" s="21"/>
      <c r="K47" s="21"/>
      <c r="L47" s="21"/>
      <c r="M47" s="21"/>
      <c r="N47" s="21"/>
      <c r="O47" s="21"/>
      <c r="P47" s="21"/>
      <c r="Q47" s="21"/>
      <c r="R47" s="21"/>
      <c r="S47" s="21"/>
      <c r="T47" s="21"/>
    </row>
    <row r="48" spans="1:20">
      <c r="A48" s="21"/>
      <c r="B48" s="21"/>
      <c r="C48" s="21"/>
      <c r="D48" s="21"/>
      <c r="E48" s="21"/>
      <c r="F48" s="21"/>
      <c r="G48" s="21"/>
      <c r="H48" s="21"/>
      <c r="I48" s="21"/>
      <c r="J48" s="21"/>
      <c r="K48" s="21"/>
      <c r="L48" s="21"/>
      <c r="M48" s="21"/>
      <c r="N48" s="21"/>
      <c r="O48" s="21"/>
      <c r="P48" s="21"/>
      <c r="Q48" s="21"/>
      <c r="R48" s="21"/>
      <c r="S48" s="21"/>
      <c r="T48" s="21"/>
    </row>
    <row r="49" spans="1:20">
      <c r="A49" s="21"/>
      <c r="B49" s="21"/>
      <c r="C49" s="21"/>
      <c r="D49" s="21"/>
      <c r="E49" s="21"/>
      <c r="F49" s="21"/>
      <c r="G49" s="21"/>
      <c r="H49" s="21"/>
      <c r="I49" s="21"/>
      <c r="J49" s="21"/>
      <c r="K49" s="21"/>
      <c r="L49" s="21"/>
      <c r="M49" s="21"/>
      <c r="N49" s="21"/>
      <c r="O49" s="21"/>
      <c r="P49" s="21"/>
      <c r="Q49" s="21"/>
      <c r="R49" s="21"/>
      <c r="S49" s="21"/>
      <c r="T49" s="21"/>
    </row>
    <row r="50" spans="1:20">
      <c r="A50" s="21"/>
      <c r="B50" s="21"/>
      <c r="C50" s="21"/>
      <c r="D50" s="21"/>
      <c r="E50" s="21"/>
      <c r="F50" s="21"/>
      <c r="G50" s="21"/>
      <c r="H50" s="21"/>
      <c r="I50" s="21"/>
      <c r="J50" s="21"/>
      <c r="K50" s="21"/>
      <c r="L50" s="21"/>
      <c r="M50" s="21"/>
      <c r="N50" s="21"/>
      <c r="O50" s="21"/>
      <c r="P50" s="21"/>
      <c r="Q50" s="21"/>
      <c r="R50" s="21"/>
      <c r="S50" s="21"/>
      <c r="T50" s="21"/>
    </row>
    <row r="51" spans="1:20">
      <c r="A51" s="21"/>
      <c r="B51" s="21"/>
      <c r="C51" s="21"/>
      <c r="D51" s="21"/>
      <c r="E51" s="21"/>
      <c r="F51" s="21"/>
      <c r="G51" s="21"/>
      <c r="H51" s="21"/>
      <c r="I51" s="21"/>
      <c r="J51" s="21"/>
      <c r="K51" s="21"/>
      <c r="L51" s="21"/>
      <c r="M51" s="21"/>
      <c r="N51" s="21"/>
      <c r="O51" s="21"/>
      <c r="P51" s="21"/>
      <c r="Q51" s="21"/>
      <c r="R51" s="21"/>
      <c r="S51" s="21"/>
      <c r="T51" s="21"/>
    </row>
    <row r="52" spans="1:20">
      <c r="A52" s="21"/>
      <c r="B52" s="21"/>
      <c r="C52" s="21"/>
      <c r="D52" s="21"/>
      <c r="E52" s="21"/>
      <c r="F52" s="21"/>
      <c r="G52" s="21"/>
      <c r="H52" s="21"/>
      <c r="I52" s="21"/>
      <c r="J52" s="21"/>
      <c r="K52" s="21"/>
      <c r="L52" s="21"/>
      <c r="M52" s="21"/>
      <c r="N52" s="21"/>
      <c r="O52" s="21"/>
      <c r="P52" s="21"/>
      <c r="Q52" s="21"/>
      <c r="R52" s="21"/>
      <c r="S52" s="21"/>
      <c r="T52" s="21"/>
    </row>
    <row r="53" spans="1:20">
      <c r="A53" s="21"/>
      <c r="B53" s="21"/>
      <c r="C53" s="21"/>
      <c r="D53" s="21"/>
      <c r="E53" s="21"/>
      <c r="F53" s="21"/>
      <c r="G53" s="21"/>
      <c r="H53" s="21"/>
      <c r="I53" s="21"/>
      <c r="J53" s="21"/>
      <c r="K53" s="21"/>
      <c r="L53" s="21"/>
      <c r="M53" s="21"/>
      <c r="N53" s="21"/>
      <c r="O53" s="21"/>
      <c r="P53" s="21"/>
      <c r="Q53" s="21"/>
      <c r="R53" s="21"/>
      <c r="S53" s="21"/>
      <c r="T53" s="21"/>
    </row>
    <row r="54" spans="1:20">
      <c r="A54" s="21"/>
      <c r="B54" s="21"/>
      <c r="C54" s="21"/>
      <c r="D54" s="21"/>
      <c r="E54" s="21"/>
      <c r="F54" s="21"/>
      <c r="G54" s="21"/>
      <c r="H54" s="21"/>
      <c r="I54" s="21"/>
      <c r="J54" s="21"/>
      <c r="K54" s="21"/>
      <c r="L54" s="21"/>
      <c r="M54" s="21"/>
      <c r="N54" s="21"/>
      <c r="O54" s="21"/>
      <c r="P54" s="21"/>
      <c r="Q54" s="21"/>
      <c r="R54" s="21"/>
      <c r="S54" s="21"/>
      <c r="T54" s="21"/>
    </row>
    <row r="55" spans="1:20">
      <c r="A55" s="21"/>
      <c r="B55" s="21"/>
      <c r="C55" s="21"/>
      <c r="D55" s="21"/>
      <c r="E55" s="21"/>
      <c r="F55" s="21"/>
      <c r="G55" s="21"/>
      <c r="H55" s="21"/>
      <c r="I55" s="21"/>
      <c r="J55" s="21"/>
      <c r="K55" s="21"/>
      <c r="L55" s="21"/>
      <c r="M55" s="21"/>
      <c r="N55" s="21"/>
      <c r="O55" s="21"/>
      <c r="P55" s="21"/>
      <c r="Q55" s="21"/>
      <c r="R55" s="21"/>
      <c r="S55" s="21"/>
      <c r="T55" s="21"/>
    </row>
    <row r="56" spans="1:20">
      <c r="A56" s="21"/>
      <c r="B56" s="21"/>
      <c r="C56" s="21"/>
      <c r="D56" s="21"/>
      <c r="E56" s="21"/>
      <c r="F56" s="21"/>
      <c r="G56" s="21"/>
      <c r="H56" s="21"/>
      <c r="I56" s="21"/>
      <c r="J56" s="21"/>
      <c r="K56" s="21"/>
      <c r="L56" s="21"/>
      <c r="M56" s="21"/>
      <c r="N56" s="21"/>
      <c r="O56" s="21"/>
      <c r="P56" s="21"/>
      <c r="Q56" s="21"/>
      <c r="R56" s="21"/>
      <c r="S56" s="21"/>
      <c r="T56" s="21"/>
    </row>
    <row r="57" spans="1:20">
      <c r="A57" s="21"/>
      <c r="B57" s="21"/>
      <c r="C57" s="21"/>
      <c r="D57" s="21"/>
      <c r="E57" s="21"/>
      <c r="F57" s="21"/>
      <c r="G57" s="21"/>
      <c r="H57" s="21"/>
      <c r="I57" s="21"/>
      <c r="J57" s="21"/>
      <c r="K57" s="21"/>
      <c r="L57" s="21"/>
      <c r="M57" s="21"/>
      <c r="N57" s="21"/>
      <c r="O57" s="21"/>
      <c r="P57" s="21"/>
      <c r="Q57" s="21"/>
      <c r="R57" s="21"/>
      <c r="S57" s="21"/>
      <c r="T57" s="21"/>
    </row>
    <row r="58" spans="1:20">
      <c r="A58" s="21"/>
      <c r="B58" s="21"/>
      <c r="C58" s="21"/>
      <c r="D58" s="21"/>
      <c r="E58" s="21"/>
      <c r="F58" s="21"/>
      <c r="G58" s="21"/>
      <c r="H58" s="21"/>
      <c r="I58" s="21"/>
      <c r="J58" s="21"/>
      <c r="K58" s="21"/>
      <c r="L58" s="21"/>
      <c r="M58" s="21"/>
      <c r="N58" s="21"/>
      <c r="O58" s="21"/>
      <c r="P58" s="21"/>
      <c r="Q58" s="21"/>
      <c r="R58" s="21"/>
      <c r="S58" s="21"/>
      <c r="T58" s="21"/>
    </row>
    <row r="59" spans="1:20">
      <c r="A59" s="21"/>
      <c r="B59" s="21"/>
      <c r="C59" s="21"/>
      <c r="D59" s="21"/>
      <c r="E59" s="21"/>
      <c r="F59" s="21"/>
      <c r="G59" s="21"/>
      <c r="H59" s="21"/>
      <c r="I59" s="21"/>
      <c r="J59" s="21"/>
      <c r="K59" s="21"/>
      <c r="L59" s="21"/>
      <c r="M59" s="21"/>
      <c r="N59" s="21"/>
      <c r="O59" s="21"/>
      <c r="P59" s="21"/>
      <c r="Q59" s="21"/>
      <c r="R59" s="21"/>
      <c r="S59" s="21"/>
      <c r="T59" s="21"/>
    </row>
    <row r="60" spans="1:20">
      <c r="A60" s="21"/>
      <c r="B60" s="21"/>
      <c r="C60" s="21"/>
      <c r="D60" s="21"/>
      <c r="E60" s="21"/>
      <c r="F60" s="21"/>
      <c r="G60" s="21"/>
      <c r="H60" s="21"/>
      <c r="I60" s="21"/>
      <c r="J60" s="21"/>
      <c r="K60" s="21"/>
      <c r="L60" s="21"/>
      <c r="M60" s="21"/>
      <c r="N60" s="21"/>
      <c r="O60" s="21"/>
      <c r="P60" s="21"/>
      <c r="Q60" s="21"/>
      <c r="R60" s="21"/>
      <c r="S60" s="21"/>
      <c r="T60" s="21"/>
    </row>
    <row r="61" spans="1:20">
      <c r="A61" s="21"/>
      <c r="B61" s="21"/>
      <c r="C61" s="21"/>
      <c r="D61" s="21"/>
      <c r="E61" s="21"/>
      <c r="F61" s="21"/>
      <c r="G61" s="21"/>
      <c r="H61" s="21"/>
      <c r="I61" s="21"/>
      <c r="J61" s="21"/>
      <c r="K61" s="21"/>
      <c r="L61" s="21"/>
      <c r="M61" s="21"/>
      <c r="N61" s="21"/>
      <c r="O61" s="21"/>
      <c r="P61" s="21"/>
      <c r="Q61" s="21"/>
      <c r="R61" s="21"/>
      <c r="S61" s="21"/>
      <c r="T61" s="21"/>
    </row>
    <row r="62" spans="1:20">
      <c r="A62" s="21"/>
      <c r="B62" s="21"/>
      <c r="C62" s="21"/>
      <c r="D62" s="21"/>
      <c r="E62" s="21"/>
      <c r="F62" s="21"/>
      <c r="G62" s="21"/>
      <c r="H62" s="21"/>
      <c r="I62" s="21"/>
      <c r="J62" s="21"/>
      <c r="K62" s="21"/>
      <c r="L62" s="21"/>
      <c r="M62" s="21"/>
      <c r="N62" s="21"/>
      <c r="O62" s="21"/>
      <c r="P62" s="21"/>
      <c r="Q62" s="21"/>
      <c r="R62" s="21"/>
      <c r="S62" s="21"/>
      <c r="T62" s="21"/>
    </row>
    <row r="63" spans="1:20">
      <c r="A63" s="21"/>
      <c r="B63" s="21"/>
      <c r="C63" s="21"/>
      <c r="D63" s="21"/>
      <c r="E63" s="21"/>
      <c r="F63" s="21"/>
      <c r="G63" s="21"/>
      <c r="H63" s="21"/>
      <c r="I63" s="21"/>
      <c r="J63" s="21"/>
      <c r="K63" s="21"/>
      <c r="L63" s="21"/>
      <c r="M63" s="21"/>
      <c r="N63" s="21"/>
      <c r="O63" s="21"/>
      <c r="P63" s="21"/>
      <c r="Q63" s="21"/>
      <c r="R63" s="21"/>
      <c r="S63" s="21"/>
      <c r="T63" s="21"/>
    </row>
    <row r="64" spans="1:20">
      <c r="A64" s="21"/>
      <c r="B64" s="21"/>
      <c r="C64" s="21"/>
      <c r="D64" s="21"/>
      <c r="E64" s="21"/>
      <c r="F64" s="21"/>
      <c r="G64" s="21"/>
      <c r="H64" s="21"/>
      <c r="I64" s="21"/>
      <c r="J64" s="21"/>
      <c r="K64" s="21"/>
      <c r="L64" s="21"/>
      <c r="M64" s="21"/>
      <c r="N64" s="21"/>
      <c r="O64" s="21"/>
      <c r="P64" s="21"/>
      <c r="Q64" s="21"/>
      <c r="R64" s="21"/>
      <c r="S64" s="21"/>
      <c r="T64" s="21"/>
    </row>
    <row r="65" spans="1:20">
      <c r="A65" s="21"/>
      <c r="B65" s="21"/>
      <c r="C65" s="21"/>
      <c r="D65" s="21"/>
      <c r="E65" s="21"/>
      <c r="F65" s="21"/>
      <c r="G65" s="21"/>
      <c r="H65" s="21"/>
      <c r="I65" s="21"/>
      <c r="J65" s="21"/>
      <c r="K65" s="21"/>
      <c r="L65" s="21"/>
      <c r="M65" s="21"/>
      <c r="N65" s="21"/>
      <c r="O65" s="21"/>
      <c r="P65" s="21"/>
      <c r="Q65" s="21"/>
      <c r="R65" s="21"/>
      <c r="S65" s="21"/>
      <c r="T65" s="21"/>
    </row>
    <row r="66" spans="1:20">
      <c r="A66" s="21"/>
      <c r="B66" s="21"/>
      <c r="C66" s="21"/>
      <c r="D66" s="21"/>
      <c r="E66" s="21"/>
      <c r="F66" s="21"/>
      <c r="G66" s="21"/>
      <c r="H66" s="21"/>
      <c r="I66" s="21"/>
      <c r="J66" s="21"/>
      <c r="K66" s="21"/>
      <c r="L66" s="21"/>
      <c r="M66" s="21"/>
      <c r="N66" s="21"/>
      <c r="O66" s="21"/>
      <c r="P66" s="21"/>
      <c r="Q66" s="21"/>
      <c r="R66" s="21"/>
      <c r="S66" s="21"/>
      <c r="T66" s="21"/>
    </row>
    <row r="67" spans="1:20">
      <c r="A67" s="21"/>
      <c r="B67" s="21"/>
      <c r="C67" s="21"/>
      <c r="D67" s="21"/>
      <c r="E67" s="21"/>
      <c r="F67" s="21"/>
      <c r="G67" s="21"/>
      <c r="H67" s="21"/>
      <c r="I67" s="21"/>
      <c r="J67" s="21"/>
      <c r="K67" s="21"/>
      <c r="L67" s="21"/>
      <c r="M67" s="21"/>
      <c r="N67" s="21"/>
      <c r="O67" s="21"/>
      <c r="P67" s="21"/>
      <c r="Q67" s="21"/>
      <c r="R67" s="21"/>
      <c r="S67" s="21"/>
      <c r="T67" s="21"/>
    </row>
    <row r="68" spans="1:20">
      <c r="A68" s="21"/>
      <c r="B68" s="21"/>
      <c r="C68" s="21"/>
      <c r="D68" s="21"/>
      <c r="E68" s="21"/>
      <c r="F68" s="21"/>
      <c r="G68" s="21"/>
      <c r="H68" s="21"/>
      <c r="I68" s="21"/>
      <c r="J68" s="21"/>
      <c r="K68" s="21"/>
      <c r="L68" s="21"/>
      <c r="M68" s="21"/>
      <c r="N68" s="21"/>
      <c r="O68" s="21"/>
      <c r="P68" s="21"/>
      <c r="Q68" s="21"/>
      <c r="R68" s="21"/>
      <c r="S68" s="21"/>
      <c r="T68" s="21"/>
    </row>
    <row r="69" spans="1:20">
      <c r="A69" s="21"/>
      <c r="B69" s="21"/>
      <c r="C69" s="21"/>
      <c r="D69" s="21"/>
      <c r="E69" s="21"/>
      <c r="F69" s="21"/>
      <c r="G69" s="21"/>
      <c r="H69" s="21"/>
      <c r="I69" s="21"/>
      <c r="J69" s="21"/>
      <c r="K69" s="21"/>
      <c r="L69" s="21"/>
      <c r="M69" s="21"/>
      <c r="N69" s="21"/>
      <c r="O69" s="21"/>
      <c r="P69" s="21"/>
      <c r="Q69" s="21"/>
      <c r="R69" s="21"/>
      <c r="S69" s="21"/>
      <c r="T69" s="21"/>
    </row>
    <row r="70" spans="1:20">
      <c r="A70" s="21"/>
      <c r="B70" s="21"/>
      <c r="C70" s="21"/>
      <c r="D70" s="21"/>
      <c r="E70" s="21"/>
      <c r="F70" s="21"/>
      <c r="G70" s="21"/>
      <c r="H70" s="21"/>
      <c r="I70" s="21"/>
      <c r="J70" s="21"/>
      <c r="K70" s="21"/>
      <c r="L70" s="21"/>
      <c r="M70" s="21"/>
      <c r="N70" s="21"/>
      <c r="O70" s="21"/>
      <c r="P70" s="21"/>
      <c r="Q70" s="21"/>
      <c r="R70" s="21"/>
      <c r="S70" s="21"/>
      <c r="T70" s="21"/>
    </row>
    <row r="71" spans="1:20">
      <c r="A71" s="21"/>
      <c r="B71" s="21"/>
      <c r="C71" s="21"/>
      <c r="D71" s="21"/>
      <c r="E71" s="21"/>
      <c r="F71" s="21"/>
      <c r="G71" s="21"/>
      <c r="H71" s="21"/>
      <c r="I71" s="21"/>
      <c r="J71" s="21"/>
      <c r="K71" s="21"/>
      <c r="L71" s="21"/>
      <c r="M71" s="21"/>
      <c r="N71" s="21"/>
      <c r="O71" s="21"/>
      <c r="P71" s="21"/>
      <c r="Q71" s="21"/>
      <c r="R71" s="21"/>
      <c r="S71" s="21"/>
      <c r="T71" s="21"/>
    </row>
    <row r="72" spans="1:20">
      <c r="A72" s="21"/>
      <c r="B72" s="21"/>
      <c r="C72" s="21"/>
      <c r="D72" s="21"/>
      <c r="E72" s="21"/>
      <c r="F72" s="21"/>
      <c r="G72" s="21"/>
      <c r="H72" s="21"/>
      <c r="I72" s="21"/>
      <c r="J72" s="21"/>
      <c r="K72" s="21"/>
      <c r="L72" s="21"/>
      <c r="M72" s="21"/>
      <c r="N72" s="21"/>
      <c r="O72" s="21"/>
      <c r="P72" s="21"/>
      <c r="Q72" s="21"/>
      <c r="R72" s="21"/>
      <c r="S72" s="21"/>
      <c r="T72" s="21"/>
    </row>
    <row r="73" spans="1:20">
      <c r="A73" s="21"/>
      <c r="B73" s="21"/>
      <c r="C73" s="21"/>
      <c r="D73" s="21"/>
      <c r="E73" s="21"/>
      <c r="F73" s="21"/>
      <c r="G73" s="21"/>
      <c r="H73" s="21"/>
      <c r="I73" s="21"/>
      <c r="J73" s="21"/>
      <c r="K73" s="21"/>
      <c r="L73" s="21"/>
      <c r="M73" s="21"/>
      <c r="N73" s="21"/>
      <c r="O73" s="21"/>
      <c r="P73" s="21"/>
      <c r="Q73" s="21"/>
      <c r="R73" s="21"/>
      <c r="S73" s="21"/>
      <c r="T73" s="21"/>
    </row>
    <row r="74" spans="1:20">
      <c r="A74" s="21"/>
      <c r="B74" s="21"/>
      <c r="C74" s="21"/>
      <c r="D74" s="21"/>
      <c r="E74" s="21"/>
      <c r="F74" s="21"/>
      <c r="G74" s="21"/>
      <c r="H74" s="21"/>
      <c r="I74" s="21"/>
      <c r="J74" s="21"/>
      <c r="K74" s="21"/>
      <c r="L74" s="21"/>
      <c r="M74" s="21"/>
      <c r="N74" s="21"/>
      <c r="O74" s="21"/>
      <c r="P74" s="21"/>
      <c r="Q74" s="21"/>
      <c r="R74" s="21"/>
      <c r="S74" s="21"/>
      <c r="T74" s="21"/>
    </row>
    <row r="75" spans="1:20">
      <c r="A75" s="21"/>
      <c r="B75" s="21"/>
      <c r="C75" s="21"/>
      <c r="D75" s="21"/>
      <c r="E75" s="21"/>
      <c r="F75" s="21"/>
      <c r="G75" s="21"/>
      <c r="H75" s="21"/>
      <c r="I75" s="21"/>
      <c r="J75" s="21"/>
      <c r="K75" s="21"/>
      <c r="L75" s="21"/>
      <c r="M75" s="21"/>
      <c r="N75" s="21"/>
      <c r="O75" s="21"/>
      <c r="P75" s="21"/>
      <c r="Q75" s="21"/>
      <c r="R75" s="21"/>
      <c r="S75" s="21"/>
      <c r="T75" s="21"/>
    </row>
    <row r="76" spans="1:20">
      <c r="A76" s="21"/>
      <c r="B76" s="21"/>
      <c r="C76" s="21"/>
      <c r="D76" s="21"/>
      <c r="E76" s="21"/>
      <c r="F76" s="21"/>
      <c r="G76" s="21"/>
      <c r="H76" s="21"/>
      <c r="I76" s="21"/>
      <c r="J76" s="21"/>
      <c r="K76" s="21"/>
      <c r="L76" s="21"/>
      <c r="M76" s="21"/>
      <c r="N76" s="21"/>
      <c r="O76" s="21"/>
      <c r="P76" s="21"/>
      <c r="Q76" s="21"/>
      <c r="R76" s="21"/>
      <c r="S76" s="21"/>
      <c r="T76" s="21"/>
    </row>
    <row r="77" spans="1:20">
      <c r="A77" s="21"/>
      <c r="B77" s="21"/>
      <c r="C77" s="21"/>
      <c r="D77" s="21"/>
      <c r="E77" s="21"/>
      <c r="F77" s="21"/>
      <c r="G77" s="21"/>
      <c r="H77" s="21"/>
      <c r="I77" s="21"/>
      <c r="J77" s="21"/>
      <c r="K77" s="21"/>
      <c r="L77" s="21"/>
      <c r="M77" s="21"/>
      <c r="N77" s="21"/>
      <c r="O77" s="21"/>
      <c r="P77" s="21"/>
      <c r="Q77" s="21"/>
      <c r="R77" s="21"/>
      <c r="S77" s="21"/>
      <c r="T77" s="21"/>
    </row>
    <row r="78" spans="1:20">
      <c r="A78" s="21"/>
      <c r="B78" s="21"/>
      <c r="C78" s="21"/>
      <c r="D78" s="21"/>
      <c r="E78" s="21"/>
      <c r="F78" s="21"/>
      <c r="G78" s="21"/>
      <c r="H78" s="21"/>
      <c r="I78" s="21"/>
      <c r="J78" s="21"/>
      <c r="K78" s="21"/>
      <c r="L78" s="21"/>
      <c r="M78" s="21"/>
      <c r="N78" s="21"/>
      <c r="O78" s="21"/>
      <c r="P78" s="21"/>
      <c r="Q78" s="21"/>
      <c r="R78" s="21"/>
      <c r="S78" s="21"/>
      <c r="T78" s="21"/>
    </row>
    <row r="79" spans="1:20">
      <c r="A79" s="21"/>
      <c r="B79" s="21"/>
      <c r="C79" s="21"/>
      <c r="D79" s="21"/>
      <c r="E79" s="21"/>
      <c r="F79" s="21"/>
      <c r="G79" s="21"/>
      <c r="H79" s="21"/>
      <c r="I79" s="21"/>
      <c r="J79" s="21"/>
      <c r="K79" s="21"/>
      <c r="L79" s="21"/>
      <c r="M79" s="21"/>
      <c r="N79" s="21"/>
      <c r="O79" s="21"/>
      <c r="P79" s="21"/>
      <c r="Q79" s="21"/>
      <c r="R79" s="21"/>
      <c r="S79" s="21"/>
      <c r="T79" s="21"/>
    </row>
    <row r="80" spans="1:20">
      <c r="A80" s="21"/>
      <c r="B80" s="21"/>
      <c r="C80" s="21"/>
      <c r="D80" s="21"/>
      <c r="E80" s="21"/>
      <c r="F80" s="21"/>
      <c r="G80" s="21"/>
      <c r="H80" s="21"/>
      <c r="I80" s="21"/>
      <c r="J80" s="21"/>
      <c r="K80" s="21"/>
      <c r="L80" s="21"/>
      <c r="M80" s="21"/>
      <c r="N80" s="21"/>
      <c r="O80" s="21"/>
      <c r="P80" s="21"/>
      <c r="Q80" s="21"/>
      <c r="R80" s="21"/>
      <c r="S80" s="21"/>
      <c r="T80" s="21"/>
    </row>
    <row r="81" spans="1:20">
      <c r="A81" s="21"/>
      <c r="B81" s="21"/>
      <c r="C81" s="21"/>
      <c r="D81" s="21"/>
      <c r="E81" s="21"/>
      <c r="F81" s="21"/>
      <c r="G81" s="21"/>
      <c r="H81" s="21"/>
      <c r="I81" s="21"/>
      <c r="J81" s="21"/>
      <c r="K81" s="21"/>
      <c r="L81" s="21"/>
      <c r="M81" s="21"/>
      <c r="N81" s="21"/>
      <c r="O81" s="21"/>
      <c r="P81" s="21"/>
      <c r="Q81" s="21"/>
      <c r="R81" s="21"/>
      <c r="S81" s="21"/>
      <c r="T81" s="21"/>
    </row>
    <row r="82" spans="1:20">
      <c r="A82" s="21"/>
      <c r="B82" s="21"/>
      <c r="C82" s="21"/>
      <c r="D82" s="21"/>
      <c r="E82" s="21"/>
      <c r="F82" s="21"/>
      <c r="G82" s="21"/>
      <c r="H82" s="21"/>
      <c r="I82" s="21"/>
      <c r="J82" s="21"/>
      <c r="K82" s="21"/>
      <c r="L82" s="21"/>
      <c r="M82" s="21"/>
      <c r="N82" s="21"/>
      <c r="O82" s="21"/>
      <c r="P82" s="21"/>
      <c r="Q82" s="21"/>
      <c r="R82" s="21"/>
      <c r="S82" s="21"/>
      <c r="T82" s="21"/>
    </row>
    <row r="83" spans="1:20">
      <c r="A83" s="21"/>
      <c r="B83" s="21"/>
      <c r="C83" s="21"/>
      <c r="D83" s="21"/>
      <c r="E83" s="21"/>
      <c r="F83" s="21"/>
      <c r="G83" s="21"/>
      <c r="H83" s="21"/>
      <c r="I83" s="21"/>
      <c r="J83" s="21"/>
      <c r="K83" s="21"/>
      <c r="L83" s="21"/>
      <c r="M83" s="21"/>
      <c r="N83" s="21"/>
      <c r="O83" s="21"/>
      <c r="P83" s="21"/>
      <c r="Q83" s="21"/>
      <c r="R83" s="21"/>
      <c r="S83" s="21"/>
      <c r="T83" s="21"/>
    </row>
    <row r="84" spans="1:20">
      <c r="A84" s="21"/>
      <c r="B84" s="21"/>
      <c r="C84" s="21"/>
      <c r="D84" s="21"/>
      <c r="E84" s="21"/>
      <c r="F84" s="21"/>
      <c r="G84" s="21"/>
      <c r="H84" s="21"/>
      <c r="I84" s="21"/>
      <c r="J84" s="21"/>
      <c r="K84" s="21"/>
      <c r="L84" s="21"/>
      <c r="M84" s="21"/>
      <c r="N84" s="21"/>
      <c r="O84" s="21"/>
      <c r="P84" s="21"/>
      <c r="Q84" s="21"/>
      <c r="R84" s="21"/>
      <c r="S84" s="21"/>
      <c r="T84" s="21"/>
    </row>
    <row r="85" spans="1:20">
      <c r="A85" s="21"/>
      <c r="B85" s="21"/>
      <c r="C85" s="21"/>
      <c r="D85" s="21"/>
      <c r="E85" s="21"/>
      <c r="F85" s="21"/>
      <c r="G85" s="21"/>
      <c r="H85" s="21"/>
      <c r="I85" s="21"/>
      <c r="J85" s="21"/>
      <c r="K85" s="21"/>
      <c r="L85" s="21"/>
      <c r="M85" s="21"/>
      <c r="N85" s="21"/>
      <c r="O85" s="21"/>
      <c r="P85" s="21"/>
      <c r="Q85" s="21"/>
      <c r="R85" s="21"/>
      <c r="S85" s="21"/>
      <c r="T85" s="21"/>
    </row>
    <row r="86" spans="1:20">
      <c r="A86" s="21"/>
      <c r="B86" s="21"/>
      <c r="C86" s="21"/>
      <c r="D86" s="21"/>
      <c r="E86" s="21"/>
      <c r="F86" s="21"/>
      <c r="G86" s="21"/>
      <c r="H86" s="21"/>
      <c r="I86" s="21"/>
      <c r="J86" s="21"/>
      <c r="K86" s="21"/>
      <c r="L86" s="21"/>
      <c r="M86" s="21"/>
      <c r="N86" s="21"/>
      <c r="O86" s="21"/>
      <c r="P86" s="21"/>
      <c r="Q86" s="21"/>
      <c r="R86" s="21"/>
      <c r="S86" s="21"/>
      <c r="T86" s="21"/>
    </row>
    <row r="87" spans="1:20">
      <c r="A87" s="21"/>
      <c r="B87" s="21"/>
      <c r="C87" s="21"/>
      <c r="D87" s="21"/>
      <c r="E87" s="21"/>
      <c r="F87" s="21"/>
      <c r="G87" s="21"/>
      <c r="H87" s="21"/>
      <c r="I87" s="21"/>
      <c r="J87" s="21"/>
      <c r="K87" s="21"/>
      <c r="L87" s="21"/>
      <c r="M87" s="21"/>
      <c r="N87" s="21"/>
      <c r="O87" s="21"/>
      <c r="P87" s="21"/>
      <c r="Q87" s="21"/>
      <c r="R87" s="21"/>
      <c r="S87" s="21"/>
      <c r="T87" s="21"/>
    </row>
    <row r="88" spans="1:20">
      <c r="A88" s="21"/>
      <c r="B88" s="21"/>
      <c r="C88" s="21"/>
      <c r="D88" s="21"/>
      <c r="E88" s="21"/>
      <c r="F88" s="21"/>
      <c r="G88" s="21"/>
      <c r="H88" s="21"/>
      <c r="I88" s="21"/>
      <c r="J88" s="21"/>
      <c r="K88" s="21"/>
      <c r="L88" s="21"/>
      <c r="M88" s="21"/>
      <c r="N88" s="21"/>
      <c r="O88" s="21"/>
      <c r="P88" s="21"/>
      <c r="Q88" s="21"/>
      <c r="R88" s="21"/>
      <c r="S88" s="21"/>
      <c r="T88" s="21"/>
    </row>
    <row r="89" spans="1:20">
      <c r="A89" s="21"/>
      <c r="B89" s="21"/>
      <c r="C89" s="21"/>
      <c r="D89" s="21"/>
      <c r="E89" s="21"/>
      <c r="F89" s="21"/>
      <c r="G89" s="21"/>
      <c r="H89" s="21"/>
      <c r="I89" s="21"/>
      <c r="J89" s="21"/>
      <c r="K89" s="21"/>
      <c r="L89" s="21"/>
      <c r="M89" s="21"/>
      <c r="N89" s="21"/>
      <c r="O89" s="21"/>
      <c r="P89" s="21"/>
      <c r="Q89" s="21"/>
      <c r="R89" s="21"/>
      <c r="S89" s="21"/>
      <c r="T89" s="21"/>
    </row>
    <row r="90" spans="1:20">
      <c r="A90" s="21"/>
      <c r="B90" s="21"/>
      <c r="C90" s="21"/>
      <c r="D90" s="21"/>
      <c r="E90" s="21"/>
      <c r="F90" s="21"/>
      <c r="G90" s="21"/>
      <c r="H90" s="21"/>
      <c r="I90" s="21"/>
      <c r="J90" s="21"/>
      <c r="K90" s="21"/>
      <c r="L90" s="21"/>
      <c r="M90" s="21"/>
      <c r="N90" s="21"/>
      <c r="O90" s="21"/>
      <c r="P90" s="21"/>
      <c r="Q90" s="21"/>
      <c r="R90" s="21"/>
      <c r="S90" s="21"/>
      <c r="T90" s="21"/>
    </row>
    <row r="91" spans="1:20">
      <c r="A91" s="21"/>
      <c r="B91" s="21"/>
      <c r="C91" s="21"/>
      <c r="D91" s="21"/>
      <c r="E91" s="21"/>
      <c r="F91" s="21"/>
      <c r="G91" s="21"/>
      <c r="H91" s="21"/>
      <c r="I91" s="21"/>
      <c r="J91" s="21"/>
      <c r="K91" s="21"/>
      <c r="L91" s="21"/>
      <c r="M91" s="21"/>
      <c r="N91" s="21"/>
      <c r="O91" s="21"/>
      <c r="P91" s="21"/>
      <c r="Q91" s="21"/>
      <c r="R91" s="21"/>
      <c r="S91" s="21"/>
      <c r="T91" s="21"/>
    </row>
    <row r="92" spans="1:20">
      <c r="A92" s="21"/>
      <c r="B92" s="21"/>
      <c r="C92" s="21"/>
      <c r="D92" s="21"/>
      <c r="E92" s="21"/>
      <c r="F92" s="21"/>
      <c r="G92" s="21"/>
      <c r="H92" s="21"/>
      <c r="I92" s="21"/>
      <c r="J92" s="21"/>
      <c r="K92" s="21"/>
      <c r="L92" s="21"/>
      <c r="M92" s="21"/>
      <c r="N92" s="21"/>
      <c r="O92" s="21"/>
      <c r="P92" s="21"/>
      <c r="Q92" s="21"/>
      <c r="R92" s="21"/>
      <c r="S92" s="21"/>
      <c r="T92" s="21"/>
    </row>
    <row r="93" spans="1:20">
      <c r="A93" s="21"/>
      <c r="B93" s="21"/>
      <c r="C93" s="21"/>
      <c r="D93" s="21"/>
      <c r="E93" s="21"/>
      <c r="F93" s="21"/>
      <c r="G93" s="21"/>
      <c r="H93" s="21"/>
      <c r="I93" s="21"/>
      <c r="J93" s="21"/>
      <c r="K93" s="21"/>
      <c r="L93" s="21"/>
      <c r="M93" s="21"/>
      <c r="N93" s="21"/>
      <c r="O93" s="21"/>
      <c r="P93" s="21"/>
      <c r="Q93" s="21"/>
      <c r="R93" s="21"/>
      <c r="S93" s="21"/>
      <c r="T93" s="21"/>
    </row>
    <row r="94" spans="1:20">
      <c r="A94" s="21"/>
      <c r="B94" s="21"/>
      <c r="C94" s="21"/>
      <c r="D94" s="21"/>
      <c r="E94" s="21"/>
      <c r="F94" s="21"/>
      <c r="G94" s="21"/>
      <c r="H94" s="21"/>
      <c r="I94" s="21"/>
      <c r="J94" s="21"/>
      <c r="K94" s="21"/>
      <c r="L94" s="21"/>
      <c r="M94" s="21"/>
      <c r="N94" s="21"/>
      <c r="O94" s="21"/>
      <c r="P94" s="21"/>
      <c r="Q94" s="21"/>
      <c r="R94" s="21"/>
      <c r="S94" s="21"/>
      <c r="T94" s="21"/>
    </row>
    <row r="95" spans="1:20">
      <c r="A95" s="21"/>
      <c r="B95" s="21"/>
      <c r="C95" s="21"/>
      <c r="D95" s="21"/>
      <c r="E95" s="21"/>
      <c r="F95" s="21"/>
      <c r="G95" s="21"/>
      <c r="H95" s="21"/>
      <c r="I95" s="21"/>
      <c r="J95" s="21"/>
      <c r="K95" s="21"/>
      <c r="L95" s="21"/>
      <c r="M95" s="21"/>
      <c r="N95" s="21"/>
      <c r="O95" s="21"/>
      <c r="P95" s="21"/>
      <c r="Q95" s="21"/>
      <c r="R95" s="21"/>
      <c r="S95" s="21"/>
      <c r="T95" s="21"/>
    </row>
    <row r="96" spans="1:20">
      <c r="A96" s="21"/>
      <c r="B96" s="21"/>
      <c r="C96" s="21"/>
      <c r="D96" s="21"/>
      <c r="E96" s="21"/>
      <c r="F96" s="21"/>
      <c r="G96" s="21"/>
      <c r="H96" s="21"/>
      <c r="I96" s="21"/>
      <c r="J96" s="21"/>
      <c r="K96" s="21"/>
      <c r="L96" s="21"/>
      <c r="M96" s="21"/>
      <c r="N96" s="21"/>
      <c r="O96" s="21"/>
      <c r="P96" s="21"/>
      <c r="Q96" s="21"/>
      <c r="R96" s="21"/>
      <c r="S96" s="21"/>
      <c r="T96" s="21"/>
    </row>
    <row r="97" spans="1:20">
      <c r="A97" s="21"/>
      <c r="B97" s="21"/>
      <c r="C97" s="21"/>
      <c r="D97" s="21"/>
      <c r="E97" s="21"/>
      <c r="F97" s="21"/>
      <c r="G97" s="21"/>
      <c r="H97" s="21"/>
      <c r="I97" s="21"/>
      <c r="J97" s="21"/>
      <c r="K97" s="21"/>
      <c r="L97" s="21"/>
      <c r="M97" s="21"/>
      <c r="N97" s="21"/>
      <c r="O97" s="21"/>
      <c r="P97" s="21"/>
      <c r="Q97" s="21"/>
      <c r="R97" s="21"/>
      <c r="S97" s="21"/>
      <c r="T97" s="21"/>
    </row>
    <row r="98" spans="1:20">
      <c r="A98" s="21"/>
      <c r="B98" s="21"/>
      <c r="C98" s="21"/>
      <c r="D98" s="21"/>
      <c r="E98" s="21"/>
      <c r="F98" s="21"/>
      <c r="G98" s="21"/>
      <c r="H98" s="21"/>
      <c r="I98" s="21"/>
      <c r="J98" s="21"/>
      <c r="K98" s="21"/>
      <c r="L98" s="21"/>
      <c r="M98" s="21"/>
      <c r="N98" s="21"/>
      <c r="O98" s="21"/>
      <c r="P98" s="21"/>
      <c r="Q98" s="21"/>
      <c r="R98" s="21"/>
      <c r="S98" s="21"/>
      <c r="T98" s="21"/>
    </row>
    <row r="99" spans="1:20">
      <c r="A99" s="21"/>
      <c r="B99" s="21"/>
      <c r="C99" s="21"/>
      <c r="D99" s="21"/>
      <c r="E99" s="21"/>
      <c r="F99" s="21"/>
      <c r="G99" s="21"/>
      <c r="H99" s="21"/>
      <c r="I99" s="21"/>
      <c r="J99" s="21"/>
      <c r="K99" s="21"/>
      <c r="L99" s="21"/>
      <c r="M99" s="21"/>
      <c r="N99" s="21"/>
      <c r="O99" s="21"/>
      <c r="P99" s="21"/>
      <c r="Q99" s="21"/>
      <c r="R99" s="21"/>
      <c r="S99" s="21"/>
      <c r="T99" s="21"/>
    </row>
    <row r="100" spans="1:20">
      <c r="A100" s="21"/>
      <c r="B100" s="21"/>
      <c r="C100" s="21"/>
      <c r="D100" s="21"/>
      <c r="E100" s="21"/>
      <c r="F100" s="21"/>
      <c r="G100" s="21"/>
      <c r="H100" s="21"/>
      <c r="I100" s="21"/>
      <c r="J100" s="21"/>
      <c r="K100" s="21"/>
      <c r="L100" s="21"/>
      <c r="M100" s="21"/>
      <c r="N100" s="21"/>
      <c r="O100" s="21"/>
      <c r="P100" s="21"/>
      <c r="Q100" s="21"/>
      <c r="R100" s="21"/>
      <c r="S100" s="21"/>
      <c r="T100" s="21"/>
    </row>
    <row r="101" spans="1:20">
      <c r="A101" s="21"/>
      <c r="B101" s="21"/>
      <c r="C101" s="21"/>
      <c r="D101" s="21"/>
      <c r="E101" s="21"/>
      <c r="F101" s="21"/>
      <c r="G101" s="21"/>
      <c r="H101" s="21"/>
      <c r="I101" s="21"/>
      <c r="J101" s="21"/>
      <c r="K101" s="21"/>
      <c r="L101" s="21"/>
      <c r="M101" s="21"/>
      <c r="N101" s="21"/>
      <c r="O101" s="21"/>
      <c r="P101" s="21"/>
      <c r="Q101" s="21"/>
      <c r="R101" s="21"/>
      <c r="S101" s="21"/>
      <c r="T101" s="21"/>
    </row>
    <row r="102" spans="1:20">
      <c r="A102" s="21"/>
      <c r="B102" s="21"/>
      <c r="C102" s="21"/>
      <c r="D102" s="21"/>
      <c r="E102" s="21"/>
      <c r="F102" s="21"/>
      <c r="G102" s="21"/>
      <c r="H102" s="21"/>
      <c r="I102" s="21"/>
      <c r="J102" s="21"/>
      <c r="K102" s="21"/>
      <c r="L102" s="21"/>
      <c r="M102" s="21"/>
      <c r="N102" s="21"/>
      <c r="O102" s="21"/>
      <c r="P102" s="21"/>
      <c r="Q102" s="21"/>
      <c r="R102" s="21"/>
      <c r="S102" s="21"/>
      <c r="T102" s="21"/>
    </row>
    <row r="103" spans="1:20">
      <c r="A103" s="21"/>
      <c r="B103" s="21"/>
      <c r="C103" s="21"/>
      <c r="D103" s="21"/>
      <c r="E103" s="21"/>
      <c r="F103" s="21"/>
      <c r="G103" s="21"/>
      <c r="H103" s="21"/>
      <c r="I103" s="21"/>
      <c r="J103" s="21"/>
      <c r="K103" s="21"/>
      <c r="L103" s="21"/>
      <c r="M103" s="21"/>
      <c r="N103" s="21"/>
      <c r="O103" s="21"/>
      <c r="P103" s="21"/>
      <c r="Q103" s="21"/>
      <c r="R103" s="21"/>
      <c r="S103" s="21"/>
      <c r="T103" s="21"/>
    </row>
    <row r="104" spans="1:20">
      <c r="A104" s="21"/>
      <c r="B104" s="21"/>
      <c r="C104" s="21"/>
      <c r="D104" s="21"/>
      <c r="E104" s="21"/>
      <c r="F104" s="21"/>
      <c r="G104" s="21"/>
      <c r="H104" s="21"/>
      <c r="I104" s="21"/>
      <c r="J104" s="21"/>
      <c r="K104" s="21"/>
      <c r="L104" s="21"/>
      <c r="M104" s="21"/>
      <c r="N104" s="21"/>
      <c r="O104" s="21"/>
      <c r="P104" s="21"/>
      <c r="Q104" s="21"/>
      <c r="R104" s="21"/>
      <c r="S104" s="21"/>
      <c r="T104" s="21"/>
    </row>
    <row r="105" spans="1:20">
      <c r="A105" s="21"/>
      <c r="B105" s="21"/>
      <c r="C105" s="21"/>
      <c r="D105" s="21"/>
      <c r="E105" s="21"/>
      <c r="F105" s="21"/>
      <c r="G105" s="21"/>
      <c r="H105" s="21"/>
      <c r="I105" s="21"/>
      <c r="J105" s="21"/>
      <c r="K105" s="21"/>
      <c r="L105" s="21"/>
      <c r="M105" s="21"/>
      <c r="N105" s="21"/>
      <c r="O105" s="21"/>
      <c r="P105" s="21"/>
      <c r="Q105" s="21"/>
      <c r="R105" s="21"/>
      <c r="S105" s="21"/>
      <c r="T105" s="21"/>
    </row>
    <row r="106" spans="1:20">
      <c r="A106" s="21"/>
      <c r="B106" s="21"/>
      <c r="C106" s="21"/>
      <c r="D106" s="21"/>
      <c r="E106" s="21"/>
      <c r="F106" s="21"/>
      <c r="G106" s="21"/>
      <c r="H106" s="21"/>
      <c r="I106" s="21"/>
      <c r="J106" s="21"/>
      <c r="K106" s="21"/>
      <c r="L106" s="21"/>
      <c r="M106" s="21"/>
      <c r="N106" s="21"/>
      <c r="O106" s="21"/>
      <c r="P106" s="21"/>
      <c r="Q106" s="21"/>
      <c r="R106" s="21"/>
      <c r="S106" s="21"/>
      <c r="T106" s="21"/>
    </row>
    <row r="107" spans="1:20">
      <c r="A107" s="21"/>
      <c r="B107" s="21"/>
      <c r="C107" s="21"/>
      <c r="D107" s="21"/>
      <c r="E107" s="21"/>
      <c r="F107" s="21"/>
      <c r="G107" s="21"/>
      <c r="H107" s="21"/>
      <c r="I107" s="21"/>
      <c r="J107" s="21"/>
      <c r="K107" s="21"/>
      <c r="L107" s="21"/>
      <c r="M107" s="21"/>
      <c r="N107" s="21"/>
      <c r="O107" s="21"/>
      <c r="P107" s="21"/>
      <c r="Q107" s="21"/>
      <c r="R107" s="21"/>
      <c r="S107" s="21"/>
      <c r="T107" s="21"/>
    </row>
    <row r="108" spans="1:20">
      <c r="A108" s="21"/>
      <c r="B108" s="21"/>
      <c r="C108" s="21"/>
      <c r="D108" s="21"/>
      <c r="E108" s="21"/>
      <c r="F108" s="21"/>
      <c r="G108" s="21"/>
      <c r="H108" s="21"/>
      <c r="I108" s="21"/>
      <c r="J108" s="21"/>
      <c r="K108" s="21"/>
      <c r="L108" s="21"/>
      <c r="M108" s="21"/>
      <c r="N108" s="21"/>
      <c r="O108" s="21"/>
      <c r="P108" s="21"/>
      <c r="Q108" s="21"/>
      <c r="R108" s="21"/>
      <c r="S108" s="21"/>
      <c r="T108" s="21"/>
    </row>
    <row r="109" spans="1:20">
      <c r="A109" s="21"/>
      <c r="B109" s="21"/>
      <c r="C109" s="21"/>
      <c r="D109" s="21"/>
      <c r="E109" s="21"/>
      <c r="F109" s="21"/>
      <c r="G109" s="21"/>
      <c r="H109" s="21"/>
      <c r="I109" s="21"/>
      <c r="J109" s="21"/>
      <c r="K109" s="21"/>
      <c r="L109" s="21"/>
      <c r="M109" s="21"/>
      <c r="N109" s="21"/>
      <c r="O109" s="21"/>
      <c r="P109" s="21"/>
      <c r="Q109" s="21"/>
      <c r="R109" s="21"/>
      <c r="S109" s="21"/>
      <c r="T109" s="21"/>
    </row>
    <row r="110" spans="1:20">
      <c r="A110" s="21"/>
      <c r="B110" s="21"/>
      <c r="C110" s="21"/>
      <c r="D110" s="21"/>
      <c r="E110" s="21"/>
      <c r="F110" s="21"/>
      <c r="G110" s="21"/>
      <c r="H110" s="21"/>
      <c r="I110" s="21"/>
      <c r="J110" s="21"/>
      <c r="K110" s="21"/>
      <c r="L110" s="21"/>
      <c r="M110" s="21"/>
      <c r="N110" s="21"/>
      <c r="O110" s="21"/>
      <c r="P110" s="21"/>
      <c r="Q110" s="21"/>
      <c r="R110" s="21"/>
      <c r="S110" s="21"/>
      <c r="T110" s="21"/>
    </row>
    <row r="111" spans="1:20">
      <c r="A111" s="21"/>
      <c r="B111" s="21"/>
      <c r="C111" s="21"/>
      <c r="D111" s="21"/>
      <c r="E111" s="21"/>
      <c r="F111" s="21"/>
      <c r="G111" s="21"/>
      <c r="H111" s="21"/>
      <c r="I111" s="21"/>
      <c r="J111" s="21"/>
      <c r="K111" s="21"/>
      <c r="L111" s="21"/>
      <c r="M111" s="21"/>
      <c r="N111" s="21"/>
      <c r="O111" s="21"/>
      <c r="P111" s="21"/>
      <c r="Q111" s="21"/>
      <c r="R111" s="21"/>
      <c r="S111" s="21"/>
      <c r="T111" s="21"/>
    </row>
    <row r="112" spans="1:20">
      <c r="A112" s="21"/>
      <c r="B112" s="21"/>
      <c r="C112" s="21"/>
      <c r="D112" s="21"/>
      <c r="E112" s="21"/>
      <c r="F112" s="21"/>
      <c r="G112" s="21"/>
      <c r="H112" s="21"/>
      <c r="I112" s="21"/>
      <c r="J112" s="21"/>
      <c r="K112" s="21"/>
      <c r="L112" s="21"/>
      <c r="M112" s="21"/>
      <c r="N112" s="21"/>
      <c r="O112" s="21"/>
      <c r="P112" s="21"/>
      <c r="Q112" s="21"/>
      <c r="R112" s="21"/>
      <c r="S112" s="21"/>
      <c r="T112" s="21"/>
    </row>
    <row r="113" spans="1:20">
      <c r="A113" s="21"/>
      <c r="B113" s="21"/>
      <c r="C113" s="21"/>
      <c r="D113" s="21"/>
      <c r="E113" s="21"/>
      <c r="F113" s="21"/>
      <c r="G113" s="21"/>
      <c r="H113" s="21"/>
      <c r="I113" s="21"/>
      <c r="J113" s="21"/>
      <c r="K113" s="21"/>
      <c r="L113" s="21"/>
      <c r="M113" s="21"/>
      <c r="N113" s="21"/>
      <c r="O113" s="21"/>
      <c r="P113" s="21"/>
      <c r="Q113" s="21"/>
      <c r="R113" s="21"/>
      <c r="S113" s="21"/>
      <c r="T113" s="21"/>
    </row>
    <row r="114" spans="1:20">
      <c r="A114" s="21"/>
      <c r="B114" s="21"/>
      <c r="C114" s="21"/>
      <c r="D114" s="21"/>
      <c r="E114" s="21"/>
      <c r="F114" s="21"/>
      <c r="G114" s="21"/>
      <c r="H114" s="21"/>
      <c r="I114" s="21"/>
      <c r="J114" s="21"/>
      <c r="K114" s="21"/>
      <c r="L114" s="21"/>
      <c r="M114" s="21"/>
      <c r="N114" s="21"/>
      <c r="O114" s="21"/>
      <c r="P114" s="21"/>
      <c r="Q114" s="21"/>
      <c r="R114" s="21"/>
      <c r="S114" s="21"/>
      <c r="T114" s="21"/>
    </row>
    <row r="115" spans="1:20">
      <c r="A115" s="21"/>
      <c r="B115" s="21"/>
      <c r="C115" s="21"/>
      <c r="D115" s="21"/>
      <c r="E115" s="21"/>
      <c r="F115" s="21"/>
      <c r="G115" s="21"/>
      <c r="H115" s="21"/>
      <c r="I115" s="21"/>
      <c r="J115" s="21"/>
      <c r="K115" s="21"/>
      <c r="L115" s="21"/>
      <c r="M115" s="21"/>
      <c r="N115" s="21"/>
      <c r="O115" s="21"/>
      <c r="P115" s="21"/>
      <c r="Q115" s="21"/>
      <c r="R115" s="21"/>
      <c r="S115" s="21"/>
      <c r="T115" s="21"/>
    </row>
    <row r="116" spans="1:20">
      <c r="A116" s="21"/>
      <c r="B116" s="21"/>
      <c r="C116" s="21"/>
      <c r="D116" s="21"/>
      <c r="E116" s="21"/>
      <c r="F116" s="21"/>
      <c r="G116" s="21"/>
      <c r="H116" s="21"/>
      <c r="I116" s="21"/>
      <c r="J116" s="21"/>
      <c r="K116" s="21"/>
      <c r="L116" s="21"/>
      <c r="M116" s="21"/>
      <c r="N116" s="21"/>
      <c r="O116" s="21"/>
      <c r="P116" s="21"/>
      <c r="Q116" s="21"/>
      <c r="R116" s="21"/>
      <c r="S116" s="21"/>
      <c r="T116" s="21"/>
    </row>
    <row r="117" spans="1:20">
      <c r="A117" s="21"/>
      <c r="B117" s="21"/>
      <c r="C117" s="21"/>
      <c r="D117" s="21"/>
      <c r="E117" s="21"/>
      <c r="F117" s="21"/>
      <c r="G117" s="21"/>
      <c r="H117" s="21"/>
      <c r="I117" s="21"/>
      <c r="J117" s="21"/>
      <c r="K117" s="21"/>
      <c r="L117" s="21"/>
      <c r="M117" s="21"/>
      <c r="N117" s="21"/>
      <c r="O117" s="21"/>
      <c r="P117" s="21"/>
      <c r="Q117" s="21"/>
      <c r="R117" s="21"/>
      <c r="S117" s="21"/>
      <c r="T117" s="21"/>
    </row>
    <row r="118" spans="1:20">
      <c r="A118" s="21"/>
      <c r="B118" s="21"/>
      <c r="C118" s="21"/>
      <c r="D118" s="21"/>
      <c r="E118" s="21"/>
      <c r="F118" s="21"/>
      <c r="G118" s="21"/>
      <c r="H118" s="21"/>
      <c r="I118" s="21"/>
      <c r="J118" s="21"/>
      <c r="K118" s="21"/>
      <c r="L118" s="21"/>
      <c r="M118" s="21"/>
      <c r="N118" s="21"/>
      <c r="O118" s="21"/>
      <c r="P118" s="21"/>
      <c r="Q118" s="21"/>
      <c r="R118" s="21"/>
      <c r="S118" s="21"/>
      <c r="T118" s="21"/>
    </row>
    <row r="119" spans="1:20">
      <c r="A119" s="21"/>
      <c r="B119" s="21"/>
      <c r="C119" s="21"/>
      <c r="D119" s="21"/>
      <c r="E119" s="21"/>
      <c r="F119" s="21"/>
      <c r="G119" s="21"/>
      <c r="H119" s="21"/>
      <c r="I119" s="21"/>
      <c r="J119" s="21"/>
      <c r="K119" s="21"/>
      <c r="L119" s="21"/>
      <c r="M119" s="21"/>
      <c r="N119" s="21"/>
      <c r="O119" s="21"/>
      <c r="P119" s="21"/>
      <c r="Q119" s="21"/>
      <c r="R119" s="21"/>
      <c r="S119" s="21"/>
      <c r="T119" s="21"/>
    </row>
    <row r="120" spans="1:20">
      <c r="A120" s="21"/>
      <c r="B120" s="21"/>
      <c r="C120" s="21"/>
      <c r="D120" s="21"/>
      <c r="E120" s="21"/>
      <c r="F120" s="21"/>
      <c r="G120" s="21"/>
      <c r="H120" s="21"/>
      <c r="I120" s="21"/>
      <c r="J120" s="21"/>
      <c r="K120" s="21"/>
      <c r="L120" s="21"/>
      <c r="M120" s="21"/>
      <c r="N120" s="21"/>
      <c r="O120" s="21"/>
      <c r="P120" s="21"/>
      <c r="Q120" s="21"/>
      <c r="R120" s="21"/>
      <c r="S120" s="21"/>
      <c r="T120" s="21"/>
    </row>
    <row r="121" spans="1:20">
      <c r="A121" s="21"/>
      <c r="B121" s="21"/>
      <c r="C121" s="21"/>
      <c r="D121" s="21"/>
      <c r="E121" s="21"/>
      <c r="F121" s="21"/>
      <c r="G121" s="21"/>
      <c r="H121" s="21"/>
      <c r="I121" s="21"/>
      <c r="J121" s="21"/>
      <c r="K121" s="21"/>
      <c r="L121" s="21"/>
      <c r="M121" s="21"/>
      <c r="N121" s="21"/>
      <c r="O121" s="21"/>
      <c r="P121" s="21"/>
      <c r="Q121" s="21"/>
      <c r="R121" s="21"/>
      <c r="S121" s="21"/>
      <c r="T121" s="21"/>
    </row>
    <row r="122" spans="1:20">
      <c r="A122" s="21"/>
      <c r="B122" s="21"/>
      <c r="C122" s="21"/>
      <c r="D122" s="21"/>
      <c r="E122" s="21"/>
      <c r="F122" s="21"/>
      <c r="G122" s="21"/>
      <c r="H122" s="21"/>
      <c r="I122" s="21"/>
      <c r="J122" s="21"/>
      <c r="K122" s="21"/>
      <c r="L122" s="21"/>
      <c r="M122" s="21"/>
      <c r="N122" s="21"/>
      <c r="O122" s="21"/>
      <c r="P122" s="21"/>
      <c r="Q122" s="21"/>
      <c r="R122" s="21"/>
      <c r="S122" s="21"/>
      <c r="T122" s="21"/>
    </row>
    <row r="123" spans="1:20">
      <c r="A123" s="21"/>
      <c r="B123" s="21"/>
      <c r="C123" s="21"/>
      <c r="D123" s="21"/>
      <c r="E123" s="21"/>
      <c r="F123" s="21"/>
      <c r="G123" s="21"/>
      <c r="H123" s="21"/>
      <c r="I123" s="21"/>
      <c r="J123" s="21"/>
      <c r="K123" s="21"/>
      <c r="L123" s="21"/>
      <c r="M123" s="21"/>
      <c r="N123" s="21"/>
      <c r="O123" s="21"/>
      <c r="P123" s="21"/>
      <c r="Q123" s="21"/>
      <c r="R123" s="21"/>
      <c r="S123" s="21"/>
      <c r="T123" s="21"/>
    </row>
    <row r="124" spans="1:20">
      <c r="A124" s="21"/>
      <c r="B124" s="21"/>
      <c r="C124" s="21"/>
      <c r="D124" s="21"/>
      <c r="E124" s="21"/>
      <c r="F124" s="21"/>
      <c r="G124" s="21"/>
      <c r="H124" s="21"/>
      <c r="I124" s="21"/>
      <c r="J124" s="21"/>
      <c r="K124" s="21"/>
      <c r="L124" s="21"/>
      <c r="M124" s="21"/>
      <c r="N124" s="21"/>
      <c r="O124" s="21"/>
      <c r="P124" s="21"/>
      <c r="Q124" s="21"/>
      <c r="R124" s="21"/>
      <c r="S124" s="21"/>
      <c r="T124" s="21"/>
    </row>
    <row r="125" spans="1:20">
      <c r="A125" s="21"/>
      <c r="B125" s="21"/>
      <c r="C125" s="21"/>
      <c r="D125" s="21"/>
      <c r="E125" s="21"/>
      <c r="F125" s="21"/>
      <c r="G125" s="21"/>
      <c r="H125" s="21"/>
      <c r="I125" s="21"/>
      <c r="J125" s="21"/>
      <c r="K125" s="21"/>
      <c r="L125" s="21"/>
      <c r="M125" s="21"/>
      <c r="N125" s="21"/>
      <c r="O125" s="21"/>
      <c r="P125" s="21"/>
      <c r="Q125" s="21"/>
      <c r="R125" s="21"/>
      <c r="S125" s="21"/>
      <c r="T125" s="21"/>
    </row>
    <row r="126" spans="1:20">
      <c r="A126" s="21"/>
      <c r="B126" s="21"/>
      <c r="C126" s="21"/>
      <c r="D126" s="21"/>
      <c r="E126" s="21"/>
      <c r="F126" s="21"/>
      <c r="G126" s="21"/>
      <c r="H126" s="21"/>
      <c r="I126" s="21"/>
      <c r="J126" s="21"/>
      <c r="K126" s="21"/>
      <c r="L126" s="21"/>
      <c r="M126" s="21"/>
      <c r="N126" s="21"/>
      <c r="O126" s="21"/>
      <c r="P126" s="21"/>
      <c r="Q126" s="21"/>
      <c r="R126" s="21"/>
      <c r="S126" s="21"/>
      <c r="T126" s="21"/>
    </row>
    <row r="127" spans="1:20">
      <c r="A127" s="21"/>
      <c r="B127" s="21"/>
      <c r="C127" s="21"/>
      <c r="D127" s="21"/>
      <c r="E127" s="21"/>
      <c r="F127" s="21"/>
      <c r="G127" s="21"/>
      <c r="H127" s="21"/>
      <c r="I127" s="21"/>
      <c r="J127" s="21"/>
      <c r="K127" s="21"/>
      <c r="L127" s="21"/>
      <c r="M127" s="21"/>
      <c r="N127" s="21"/>
      <c r="O127" s="21"/>
      <c r="P127" s="21"/>
      <c r="Q127" s="21"/>
      <c r="R127" s="21"/>
      <c r="S127" s="21"/>
      <c r="T127" s="21"/>
    </row>
    <row r="128" spans="1:20">
      <c r="A128" s="21"/>
      <c r="B128" s="21"/>
      <c r="C128" s="21"/>
      <c r="D128" s="21"/>
      <c r="E128" s="21"/>
      <c r="F128" s="21"/>
      <c r="G128" s="21"/>
      <c r="H128" s="21"/>
      <c r="I128" s="21"/>
      <c r="J128" s="21"/>
      <c r="K128" s="21"/>
      <c r="L128" s="21"/>
      <c r="M128" s="21"/>
      <c r="N128" s="21"/>
      <c r="O128" s="21"/>
      <c r="P128" s="21"/>
      <c r="Q128" s="21"/>
      <c r="R128" s="21"/>
      <c r="S128" s="21"/>
      <c r="T128" s="21"/>
    </row>
    <row r="129" spans="1:20">
      <c r="A129" s="21"/>
      <c r="B129" s="21"/>
      <c r="C129" s="21"/>
      <c r="D129" s="21"/>
      <c r="E129" s="21"/>
      <c r="F129" s="21"/>
      <c r="G129" s="21"/>
      <c r="H129" s="21"/>
      <c r="I129" s="21"/>
      <c r="J129" s="21"/>
      <c r="K129" s="21"/>
      <c r="L129" s="21"/>
      <c r="M129" s="21"/>
      <c r="N129" s="21"/>
      <c r="O129" s="21"/>
      <c r="P129" s="21"/>
      <c r="Q129" s="21"/>
      <c r="R129" s="21"/>
      <c r="S129" s="21"/>
      <c r="T129" s="21"/>
    </row>
    <row r="130" spans="1:20">
      <c r="A130" s="21"/>
      <c r="B130" s="21"/>
      <c r="C130" s="21"/>
      <c r="D130" s="21"/>
      <c r="E130" s="21"/>
      <c r="F130" s="21"/>
      <c r="G130" s="21"/>
      <c r="H130" s="21"/>
      <c r="I130" s="21"/>
      <c r="J130" s="21"/>
      <c r="K130" s="21"/>
      <c r="L130" s="21"/>
      <c r="M130" s="21"/>
      <c r="N130" s="21"/>
      <c r="O130" s="21"/>
      <c r="P130" s="21"/>
      <c r="Q130" s="21"/>
      <c r="R130" s="21"/>
      <c r="S130" s="21"/>
      <c r="T130" s="21"/>
    </row>
    <row r="131" spans="1:20">
      <c r="A131" s="21"/>
      <c r="B131" s="21"/>
      <c r="C131" s="21"/>
      <c r="D131" s="21"/>
      <c r="E131" s="21"/>
      <c r="F131" s="21"/>
      <c r="G131" s="21"/>
      <c r="H131" s="21"/>
      <c r="I131" s="21"/>
      <c r="J131" s="21"/>
      <c r="K131" s="21"/>
      <c r="L131" s="21"/>
      <c r="M131" s="21"/>
      <c r="N131" s="21"/>
      <c r="O131" s="21"/>
      <c r="P131" s="21"/>
      <c r="Q131" s="21"/>
      <c r="R131" s="21"/>
      <c r="S131" s="21"/>
      <c r="T131" s="21"/>
    </row>
    <row r="132" spans="1:20">
      <c r="A132" s="21"/>
      <c r="B132" s="21"/>
      <c r="C132" s="21"/>
      <c r="D132" s="21"/>
      <c r="E132" s="21"/>
      <c r="F132" s="21"/>
      <c r="G132" s="21"/>
      <c r="H132" s="21"/>
      <c r="I132" s="21"/>
      <c r="J132" s="21"/>
      <c r="K132" s="21"/>
      <c r="L132" s="21"/>
      <c r="M132" s="21"/>
      <c r="N132" s="21"/>
      <c r="O132" s="21"/>
      <c r="P132" s="21"/>
      <c r="Q132" s="21"/>
      <c r="R132" s="21"/>
      <c r="S132" s="21"/>
      <c r="T132" s="21"/>
    </row>
    <row r="133" spans="1:20">
      <c r="A133" s="21"/>
      <c r="B133" s="21"/>
      <c r="C133" s="21"/>
      <c r="D133" s="21"/>
      <c r="E133" s="21"/>
      <c r="F133" s="21"/>
      <c r="G133" s="21"/>
      <c r="H133" s="21"/>
      <c r="I133" s="21"/>
      <c r="J133" s="21"/>
      <c r="K133" s="21"/>
      <c r="L133" s="21"/>
      <c r="M133" s="21"/>
      <c r="N133" s="21"/>
      <c r="O133" s="21"/>
      <c r="P133" s="21"/>
      <c r="Q133" s="21"/>
      <c r="R133" s="21"/>
      <c r="S133" s="21"/>
      <c r="T133" s="21"/>
    </row>
    <row r="134" spans="1:20">
      <c r="A134" s="21"/>
      <c r="B134" s="21"/>
      <c r="C134" s="21"/>
      <c r="D134" s="21"/>
      <c r="E134" s="21"/>
      <c r="F134" s="21"/>
      <c r="G134" s="21"/>
      <c r="H134" s="21"/>
      <c r="I134" s="21"/>
      <c r="J134" s="21"/>
      <c r="K134" s="21"/>
      <c r="L134" s="21"/>
      <c r="M134" s="21"/>
      <c r="N134" s="21"/>
      <c r="O134" s="21"/>
      <c r="P134" s="21"/>
      <c r="Q134" s="21"/>
      <c r="R134" s="21"/>
      <c r="S134" s="21"/>
      <c r="T134" s="21"/>
    </row>
    <row r="135" spans="1:20">
      <c r="A135" s="21"/>
      <c r="B135" s="21"/>
      <c r="C135" s="21"/>
      <c r="D135" s="21"/>
      <c r="E135" s="21"/>
      <c r="F135" s="21"/>
      <c r="G135" s="21"/>
      <c r="H135" s="21"/>
      <c r="I135" s="21"/>
      <c r="J135" s="21"/>
      <c r="K135" s="21"/>
      <c r="L135" s="21"/>
      <c r="M135" s="21"/>
      <c r="N135" s="21"/>
      <c r="O135" s="21"/>
      <c r="P135" s="21"/>
      <c r="Q135" s="21"/>
      <c r="R135" s="21"/>
      <c r="S135" s="21"/>
      <c r="T135" s="21"/>
    </row>
    <row r="136" spans="1:20">
      <c r="A136" s="21"/>
      <c r="B136" s="21"/>
      <c r="C136" s="21"/>
      <c r="D136" s="21"/>
      <c r="E136" s="21"/>
      <c r="F136" s="21"/>
      <c r="G136" s="21"/>
      <c r="H136" s="21"/>
      <c r="I136" s="21"/>
      <c r="J136" s="21"/>
      <c r="K136" s="21"/>
      <c r="L136" s="21"/>
      <c r="M136" s="21"/>
      <c r="N136" s="21"/>
      <c r="O136" s="21"/>
      <c r="P136" s="21"/>
      <c r="Q136" s="21"/>
      <c r="R136" s="21"/>
      <c r="S136" s="21"/>
      <c r="T136" s="21"/>
    </row>
    <row r="137" spans="1:20">
      <c r="A137" s="21"/>
      <c r="B137" s="21"/>
      <c r="C137" s="21"/>
      <c r="D137" s="21"/>
      <c r="E137" s="21"/>
      <c r="F137" s="21"/>
      <c r="G137" s="21"/>
      <c r="H137" s="21"/>
      <c r="I137" s="21"/>
      <c r="J137" s="21"/>
      <c r="K137" s="21"/>
      <c r="L137" s="21"/>
      <c r="M137" s="21"/>
      <c r="N137" s="21"/>
      <c r="O137" s="21"/>
      <c r="P137" s="21"/>
      <c r="Q137" s="21"/>
      <c r="R137" s="21"/>
      <c r="S137" s="21"/>
      <c r="T137" s="21"/>
    </row>
    <row r="138" spans="1:20">
      <c r="A138" s="21"/>
      <c r="B138" s="21"/>
      <c r="C138" s="21"/>
      <c r="D138" s="21"/>
      <c r="E138" s="21"/>
      <c r="F138" s="21"/>
      <c r="G138" s="21"/>
      <c r="H138" s="21"/>
      <c r="I138" s="21"/>
      <c r="J138" s="21"/>
      <c r="K138" s="21"/>
      <c r="L138" s="21"/>
      <c r="M138" s="21"/>
      <c r="N138" s="21"/>
      <c r="O138" s="21"/>
      <c r="P138" s="21"/>
      <c r="Q138" s="21"/>
      <c r="R138" s="21"/>
      <c r="S138" s="21"/>
      <c r="T138" s="21"/>
    </row>
    <row r="139" spans="1:20">
      <c r="A139" s="21"/>
      <c r="B139" s="21"/>
      <c r="C139" s="21"/>
      <c r="D139" s="21"/>
      <c r="E139" s="21"/>
      <c r="F139" s="21"/>
      <c r="G139" s="21"/>
      <c r="H139" s="21"/>
      <c r="I139" s="21"/>
      <c r="J139" s="21"/>
      <c r="K139" s="21"/>
      <c r="L139" s="21"/>
      <c r="M139" s="21"/>
      <c r="N139" s="21"/>
      <c r="O139" s="21"/>
      <c r="P139" s="21"/>
      <c r="Q139" s="21"/>
      <c r="R139" s="21"/>
      <c r="S139" s="21"/>
      <c r="T139" s="21"/>
    </row>
    <row r="140" spans="1:20">
      <c r="A140" s="21"/>
      <c r="B140" s="21"/>
      <c r="C140" s="21"/>
      <c r="D140" s="21"/>
      <c r="E140" s="21"/>
      <c r="F140" s="21"/>
      <c r="G140" s="21"/>
      <c r="H140" s="21"/>
      <c r="I140" s="21"/>
      <c r="J140" s="21"/>
      <c r="K140" s="21"/>
      <c r="L140" s="21"/>
      <c r="M140" s="21"/>
      <c r="N140" s="21"/>
      <c r="O140" s="21"/>
      <c r="P140" s="21"/>
      <c r="Q140" s="21"/>
      <c r="R140" s="21"/>
      <c r="S140" s="21"/>
      <c r="T140" s="21"/>
    </row>
    <row r="141" spans="1:20">
      <c r="A141" s="21"/>
      <c r="B141" s="21"/>
      <c r="C141" s="21"/>
      <c r="D141" s="21"/>
      <c r="E141" s="21"/>
      <c r="F141" s="21"/>
      <c r="G141" s="21"/>
      <c r="H141" s="21"/>
      <c r="I141" s="21"/>
      <c r="J141" s="21"/>
      <c r="K141" s="21"/>
      <c r="L141" s="21"/>
      <c r="M141" s="21"/>
      <c r="N141" s="21"/>
      <c r="O141" s="21"/>
      <c r="P141" s="21"/>
      <c r="Q141" s="21"/>
      <c r="R141" s="21"/>
      <c r="S141" s="21"/>
      <c r="T141" s="21"/>
    </row>
    <row r="142" spans="1:20">
      <c r="A142" s="21"/>
      <c r="B142" s="21"/>
      <c r="C142" s="21"/>
      <c r="D142" s="21"/>
      <c r="E142" s="21"/>
      <c r="F142" s="21"/>
      <c r="G142" s="21"/>
      <c r="H142" s="21"/>
      <c r="I142" s="21"/>
      <c r="J142" s="21"/>
      <c r="K142" s="21"/>
      <c r="L142" s="21"/>
      <c r="M142" s="21"/>
      <c r="N142" s="21"/>
      <c r="O142" s="21"/>
      <c r="P142" s="21"/>
      <c r="Q142" s="21"/>
      <c r="R142" s="21"/>
      <c r="S142" s="21"/>
      <c r="T142" s="21"/>
    </row>
    <row r="143" spans="1:20">
      <c r="A143" s="21"/>
      <c r="B143" s="21"/>
      <c r="C143" s="21"/>
      <c r="D143" s="21"/>
      <c r="E143" s="21"/>
      <c r="F143" s="21"/>
      <c r="G143" s="21"/>
      <c r="H143" s="21"/>
      <c r="I143" s="21"/>
      <c r="J143" s="21"/>
      <c r="K143" s="21"/>
      <c r="L143" s="21"/>
      <c r="M143" s="21"/>
      <c r="N143" s="21"/>
      <c r="O143" s="21"/>
      <c r="P143" s="21"/>
      <c r="Q143" s="21"/>
      <c r="R143" s="21"/>
      <c r="S143" s="21"/>
      <c r="T143" s="21"/>
    </row>
    <row r="144" spans="1:20">
      <c r="A144" s="21"/>
      <c r="B144" s="21"/>
      <c r="C144" s="21"/>
      <c r="D144" s="21"/>
      <c r="E144" s="21"/>
      <c r="F144" s="21"/>
      <c r="G144" s="21"/>
      <c r="H144" s="21"/>
      <c r="I144" s="21"/>
      <c r="J144" s="21"/>
      <c r="K144" s="21"/>
      <c r="L144" s="21"/>
      <c r="M144" s="21"/>
      <c r="N144" s="21"/>
      <c r="O144" s="21"/>
      <c r="P144" s="21"/>
      <c r="Q144" s="21"/>
      <c r="R144" s="21"/>
      <c r="S144" s="21"/>
      <c r="T144" s="21"/>
    </row>
    <row r="145" spans="1:20">
      <c r="A145" s="21"/>
      <c r="B145" s="21"/>
      <c r="C145" s="21"/>
      <c r="D145" s="21"/>
      <c r="E145" s="21"/>
      <c r="F145" s="21"/>
      <c r="G145" s="21"/>
      <c r="H145" s="21"/>
      <c r="I145" s="21"/>
      <c r="J145" s="21"/>
      <c r="K145" s="21"/>
      <c r="L145" s="21"/>
      <c r="M145" s="21"/>
      <c r="N145" s="21"/>
      <c r="O145" s="21"/>
      <c r="P145" s="21"/>
      <c r="Q145" s="21"/>
      <c r="R145" s="21"/>
      <c r="S145" s="21"/>
      <c r="T145" s="21"/>
    </row>
    <row r="146" spans="1:20">
      <c r="A146" s="21"/>
      <c r="B146" s="21"/>
      <c r="C146" s="21"/>
      <c r="D146" s="21"/>
      <c r="E146" s="21"/>
      <c r="F146" s="21"/>
      <c r="G146" s="21"/>
      <c r="H146" s="21"/>
      <c r="I146" s="21"/>
      <c r="J146" s="21"/>
      <c r="K146" s="21"/>
      <c r="L146" s="21"/>
      <c r="M146" s="21"/>
      <c r="N146" s="21"/>
      <c r="O146" s="21"/>
      <c r="P146" s="21"/>
      <c r="Q146" s="21"/>
      <c r="R146" s="21"/>
      <c r="S146" s="21"/>
      <c r="T146" s="21"/>
    </row>
    <row r="147" spans="1:20">
      <c r="A147" s="21"/>
      <c r="B147" s="21"/>
      <c r="C147" s="21"/>
      <c r="D147" s="21"/>
      <c r="E147" s="21"/>
      <c r="F147" s="21"/>
      <c r="G147" s="21"/>
      <c r="H147" s="21"/>
      <c r="I147" s="21"/>
      <c r="J147" s="21"/>
      <c r="K147" s="21"/>
      <c r="L147" s="21"/>
      <c r="M147" s="21"/>
      <c r="N147" s="21"/>
      <c r="O147" s="21"/>
      <c r="P147" s="21"/>
      <c r="Q147" s="21"/>
      <c r="R147" s="21"/>
      <c r="S147" s="21"/>
      <c r="T147" s="21"/>
    </row>
    <row r="148" spans="1:20">
      <c r="A148" s="21"/>
      <c r="B148" s="21"/>
      <c r="C148" s="21"/>
      <c r="D148" s="21"/>
      <c r="E148" s="21"/>
      <c r="F148" s="21"/>
      <c r="G148" s="21"/>
      <c r="H148" s="21"/>
      <c r="I148" s="21"/>
      <c r="J148" s="21"/>
      <c r="K148" s="21"/>
      <c r="L148" s="21"/>
      <c r="M148" s="21"/>
      <c r="N148" s="21"/>
      <c r="O148" s="21"/>
      <c r="P148" s="21"/>
      <c r="Q148" s="21"/>
      <c r="R148" s="21"/>
      <c r="S148" s="21"/>
      <c r="T148" s="21"/>
    </row>
    <row r="149" spans="1:20">
      <c r="A149" s="21"/>
      <c r="B149" s="21"/>
      <c r="C149" s="21"/>
      <c r="D149" s="21"/>
      <c r="E149" s="21"/>
      <c r="F149" s="21"/>
      <c r="G149" s="21"/>
      <c r="H149" s="21"/>
      <c r="I149" s="21"/>
      <c r="J149" s="21"/>
      <c r="K149" s="21"/>
      <c r="L149" s="21"/>
      <c r="M149" s="21"/>
      <c r="N149" s="21"/>
      <c r="O149" s="21"/>
      <c r="P149" s="21"/>
      <c r="Q149" s="21"/>
      <c r="R149" s="21"/>
      <c r="S149" s="21"/>
      <c r="T149" s="21"/>
    </row>
    <row r="150" spans="1:20">
      <c r="A150" s="21"/>
      <c r="B150" s="21"/>
      <c r="C150" s="21"/>
      <c r="D150" s="21"/>
      <c r="E150" s="21"/>
      <c r="F150" s="21"/>
      <c r="G150" s="21"/>
      <c r="H150" s="21"/>
      <c r="I150" s="21"/>
      <c r="J150" s="21"/>
      <c r="K150" s="21"/>
      <c r="L150" s="21"/>
      <c r="M150" s="21"/>
      <c r="N150" s="21"/>
      <c r="O150" s="21"/>
      <c r="P150" s="21"/>
      <c r="Q150" s="21"/>
      <c r="R150" s="21"/>
      <c r="S150" s="21"/>
      <c r="T150" s="21"/>
    </row>
    <row r="151" spans="1:20">
      <c r="A151" s="21"/>
      <c r="B151" s="21"/>
      <c r="C151" s="21"/>
      <c r="D151" s="21"/>
      <c r="E151" s="21"/>
      <c r="F151" s="21"/>
      <c r="G151" s="21"/>
      <c r="H151" s="21"/>
      <c r="I151" s="21"/>
      <c r="J151" s="21"/>
      <c r="K151" s="21"/>
      <c r="L151" s="21"/>
      <c r="M151" s="21"/>
      <c r="N151" s="21"/>
      <c r="O151" s="21"/>
      <c r="P151" s="21"/>
      <c r="Q151" s="21"/>
      <c r="R151" s="21"/>
      <c r="S151" s="21"/>
      <c r="T151" s="21"/>
    </row>
    <row r="152" spans="1:20">
      <c r="A152" s="21"/>
      <c r="B152" s="21"/>
      <c r="C152" s="21"/>
      <c r="D152" s="21"/>
      <c r="E152" s="21"/>
      <c r="F152" s="21"/>
      <c r="G152" s="21"/>
      <c r="H152" s="21"/>
      <c r="I152" s="21"/>
      <c r="J152" s="21"/>
      <c r="K152" s="21"/>
      <c r="L152" s="21"/>
      <c r="M152" s="21"/>
      <c r="N152" s="21"/>
      <c r="O152" s="21"/>
      <c r="P152" s="21"/>
      <c r="Q152" s="21"/>
      <c r="R152" s="21"/>
      <c r="S152" s="21"/>
      <c r="T152" s="21"/>
    </row>
    <row r="153" spans="1:20">
      <c r="A153" s="21"/>
      <c r="B153" s="21"/>
      <c r="C153" s="21"/>
      <c r="D153" s="21"/>
      <c r="E153" s="21"/>
      <c r="F153" s="21"/>
      <c r="G153" s="21"/>
      <c r="H153" s="21"/>
      <c r="I153" s="21"/>
      <c r="J153" s="21"/>
      <c r="K153" s="21"/>
      <c r="L153" s="21"/>
      <c r="M153" s="21"/>
      <c r="N153" s="21"/>
      <c r="O153" s="21"/>
      <c r="P153" s="21"/>
      <c r="Q153" s="21"/>
      <c r="R153" s="21"/>
      <c r="S153" s="21"/>
      <c r="T153" s="21"/>
    </row>
    <row r="154" spans="1:20">
      <c r="A154" s="21"/>
      <c r="B154" s="21"/>
      <c r="C154" s="21"/>
      <c r="D154" s="21"/>
      <c r="E154" s="21"/>
      <c r="F154" s="21"/>
      <c r="G154" s="21"/>
      <c r="H154" s="21"/>
      <c r="I154" s="21"/>
      <c r="J154" s="21"/>
      <c r="K154" s="21"/>
      <c r="L154" s="21"/>
      <c r="M154" s="21"/>
      <c r="N154" s="21"/>
      <c r="O154" s="21"/>
      <c r="P154" s="21"/>
      <c r="Q154" s="21"/>
      <c r="R154" s="21"/>
      <c r="S154" s="21"/>
      <c r="T154" s="21"/>
    </row>
    <row r="155" spans="1:20">
      <c r="A155" s="21"/>
      <c r="B155" s="21"/>
      <c r="C155" s="21"/>
      <c r="D155" s="21"/>
      <c r="E155" s="21"/>
      <c r="F155" s="21"/>
      <c r="G155" s="21"/>
      <c r="H155" s="21"/>
      <c r="I155" s="21"/>
      <c r="J155" s="21"/>
      <c r="K155" s="21"/>
      <c r="L155" s="21"/>
      <c r="M155" s="21"/>
      <c r="N155" s="21"/>
      <c r="O155" s="21"/>
      <c r="P155" s="21"/>
      <c r="Q155" s="21"/>
      <c r="R155" s="21"/>
      <c r="S155" s="21"/>
      <c r="T155" s="21"/>
    </row>
    <row r="156" spans="1:20">
      <c r="A156" s="21"/>
      <c r="B156" s="21"/>
      <c r="C156" s="21"/>
      <c r="D156" s="21"/>
      <c r="E156" s="21"/>
      <c r="F156" s="21"/>
      <c r="G156" s="21"/>
      <c r="H156" s="21"/>
      <c r="I156" s="21"/>
      <c r="J156" s="21"/>
      <c r="K156" s="21"/>
      <c r="L156" s="21"/>
      <c r="M156" s="21"/>
      <c r="N156" s="21"/>
      <c r="O156" s="21"/>
      <c r="P156" s="21"/>
      <c r="Q156" s="21"/>
      <c r="R156" s="21"/>
      <c r="S156" s="21"/>
      <c r="T156" s="21"/>
    </row>
    <row r="157" spans="1:20">
      <c r="A157" s="21"/>
      <c r="B157" s="21"/>
      <c r="C157" s="21"/>
      <c r="D157" s="21"/>
      <c r="E157" s="21"/>
      <c r="F157" s="21"/>
      <c r="G157" s="21"/>
      <c r="H157" s="21"/>
      <c r="I157" s="21"/>
      <c r="J157" s="21"/>
      <c r="K157" s="21"/>
      <c r="L157" s="21"/>
      <c r="M157" s="21"/>
      <c r="N157" s="21"/>
      <c r="O157" s="21"/>
      <c r="P157" s="21"/>
      <c r="Q157" s="21"/>
      <c r="R157" s="21"/>
      <c r="S157" s="21"/>
      <c r="T157" s="21"/>
    </row>
    <row r="158" spans="1:20">
      <c r="A158" s="21"/>
      <c r="B158" s="21"/>
      <c r="C158" s="21"/>
      <c r="D158" s="21"/>
      <c r="E158" s="21"/>
      <c r="F158" s="21"/>
      <c r="G158" s="21"/>
      <c r="H158" s="21"/>
      <c r="I158" s="21"/>
      <c r="J158" s="21"/>
      <c r="K158" s="21"/>
      <c r="L158" s="21"/>
      <c r="M158" s="21"/>
      <c r="N158" s="21"/>
      <c r="O158" s="21"/>
      <c r="P158" s="21"/>
      <c r="Q158" s="21"/>
      <c r="R158" s="21"/>
      <c r="S158" s="21"/>
      <c r="T158" s="21"/>
    </row>
    <row r="159" spans="1:20">
      <c r="A159" s="21"/>
      <c r="B159" s="21"/>
      <c r="C159" s="21"/>
      <c r="D159" s="21"/>
      <c r="E159" s="21"/>
      <c r="F159" s="21"/>
      <c r="G159" s="21"/>
      <c r="H159" s="21"/>
      <c r="I159" s="21"/>
      <c r="J159" s="21"/>
      <c r="K159" s="21"/>
      <c r="L159" s="21"/>
      <c r="M159" s="21"/>
      <c r="N159" s="21"/>
      <c r="O159" s="21"/>
      <c r="P159" s="21"/>
      <c r="Q159" s="21"/>
      <c r="R159" s="21"/>
      <c r="S159" s="21"/>
      <c r="T159" s="21"/>
    </row>
    <row r="160" spans="1:20">
      <c r="A160" s="21"/>
      <c r="B160" s="21"/>
      <c r="C160" s="21"/>
      <c r="D160" s="21"/>
      <c r="E160" s="21"/>
      <c r="F160" s="21"/>
      <c r="G160" s="21"/>
      <c r="H160" s="21"/>
      <c r="I160" s="21"/>
      <c r="J160" s="21"/>
      <c r="K160" s="21"/>
      <c r="L160" s="21"/>
      <c r="M160" s="21"/>
      <c r="N160" s="21"/>
      <c r="O160" s="21"/>
      <c r="P160" s="21"/>
      <c r="Q160" s="21"/>
      <c r="R160" s="21"/>
      <c r="S160" s="21"/>
      <c r="T160" s="21"/>
    </row>
    <row r="161" spans="1:20">
      <c r="A161" s="21"/>
      <c r="B161" s="21"/>
      <c r="C161" s="21"/>
      <c r="D161" s="21"/>
      <c r="E161" s="21"/>
      <c r="F161" s="21"/>
      <c r="G161" s="21"/>
      <c r="H161" s="21"/>
      <c r="I161" s="21"/>
      <c r="J161" s="21"/>
      <c r="K161" s="21"/>
      <c r="L161" s="21"/>
      <c r="M161" s="21"/>
      <c r="N161" s="21"/>
      <c r="O161" s="21"/>
      <c r="P161" s="21"/>
      <c r="Q161" s="21"/>
      <c r="R161" s="21"/>
      <c r="S161" s="21"/>
      <c r="T161" s="21"/>
    </row>
    <row r="162" spans="1:20">
      <c r="A162" s="21"/>
      <c r="B162" s="21"/>
      <c r="C162" s="21"/>
      <c r="D162" s="21"/>
      <c r="E162" s="21"/>
      <c r="F162" s="21"/>
      <c r="G162" s="21"/>
      <c r="H162" s="21"/>
      <c r="I162" s="21"/>
      <c r="J162" s="21"/>
      <c r="K162" s="21"/>
      <c r="L162" s="21"/>
      <c r="M162" s="21"/>
      <c r="N162" s="21"/>
      <c r="O162" s="21"/>
      <c r="P162" s="21"/>
      <c r="Q162" s="21"/>
      <c r="R162" s="21"/>
      <c r="S162" s="21"/>
      <c r="T162" s="21"/>
    </row>
    <row r="163" spans="1:20">
      <c r="A163" s="21"/>
      <c r="B163" s="21"/>
      <c r="C163" s="21"/>
      <c r="D163" s="21"/>
      <c r="E163" s="21"/>
      <c r="F163" s="21"/>
      <c r="G163" s="21"/>
      <c r="H163" s="21"/>
      <c r="I163" s="21"/>
      <c r="J163" s="21"/>
      <c r="K163" s="21"/>
      <c r="L163" s="21"/>
      <c r="M163" s="21"/>
      <c r="N163" s="21"/>
      <c r="O163" s="21"/>
      <c r="P163" s="21"/>
      <c r="Q163" s="21"/>
      <c r="R163" s="21"/>
      <c r="S163" s="21"/>
      <c r="T163" s="21"/>
    </row>
    <row r="164" spans="1:20">
      <c r="A164" s="21"/>
      <c r="B164" s="21"/>
      <c r="C164" s="21"/>
      <c r="D164" s="21"/>
      <c r="E164" s="21"/>
      <c r="F164" s="21"/>
      <c r="G164" s="21"/>
      <c r="H164" s="21"/>
      <c r="I164" s="21"/>
      <c r="J164" s="21"/>
      <c r="K164" s="21"/>
      <c r="L164" s="21"/>
      <c r="M164" s="21"/>
      <c r="N164" s="21"/>
      <c r="O164" s="21"/>
      <c r="P164" s="21"/>
      <c r="Q164" s="21"/>
      <c r="R164" s="21"/>
      <c r="S164" s="21"/>
      <c r="T164" s="21"/>
    </row>
    <row r="165" spans="1:20">
      <c r="A165" s="21"/>
      <c r="B165" s="21"/>
      <c r="C165" s="21"/>
      <c r="D165" s="21"/>
      <c r="E165" s="21"/>
      <c r="F165" s="21"/>
      <c r="G165" s="21"/>
      <c r="H165" s="21"/>
      <c r="I165" s="21"/>
      <c r="J165" s="21"/>
      <c r="K165" s="21"/>
      <c r="L165" s="21"/>
      <c r="M165" s="21"/>
      <c r="N165" s="21"/>
      <c r="O165" s="21"/>
      <c r="P165" s="21"/>
      <c r="Q165" s="21"/>
      <c r="R165" s="21"/>
      <c r="S165" s="21"/>
      <c r="T165" s="21"/>
    </row>
    <row r="166" spans="1:20">
      <c r="A166" s="21"/>
      <c r="B166" s="21"/>
      <c r="C166" s="21"/>
      <c r="D166" s="21"/>
      <c r="E166" s="21"/>
      <c r="F166" s="21"/>
      <c r="G166" s="21"/>
      <c r="H166" s="21"/>
      <c r="I166" s="21"/>
      <c r="J166" s="21"/>
      <c r="K166" s="21"/>
      <c r="L166" s="21"/>
      <c r="M166" s="21"/>
      <c r="N166" s="21"/>
      <c r="O166" s="21"/>
      <c r="P166" s="21"/>
      <c r="Q166" s="21"/>
      <c r="R166" s="21"/>
      <c r="S166" s="21"/>
      <c r="T166" s="21"/>
    </row>
    <row r="167" spans="1:20">
      <c r="A167" s="21"/>
      <c r="B167" s="21"/>
      <c r="C167" s="21"/>
      <c r="D167" s="21"/>
      <c r="E167" s="21"/>
      <c r="F167" s="21"/>
      <c r="G167" s="21"/>
      <c r="H167" s="21"/>
      <c r="I167" s="21"/>
      <c r="J167" s="21"/>
      <c r="K167" s="21"/>
      <c r="L167" s="21"/>
      <c r="M167" s="21"/>
      <c r="N167" s="21"/>
      <c r="O167" s="21"/>
      <c r="P167" s="21"/>
      <c r="Q167" s="21"/>
      <c r="R167" s="21"/>
      <c r="S167" s="21"/>
      <c r="T167" s="21"/>
    </row>
    <row r="168" spans="1:20">
      <c r="A168" s="21"/>
      <c r="B168" s="21"/>
      <c r="C168" s="21"/>
      <c r="D168" s="21"/>
      <c r="E168" s="21"/>
      <c r="F168" s="21"/>
      <c r="G168" s="21"/>
      <c r="H168" s="21"/>
      <c r="I168" s="21"/>
      <c r="J168" s="21"/>
      <c r="K168" s="21"/>
      <c r="L168" s="21"/>
      <c r="M168" s="21"/>
      <c r="N168" s="21"/>
      <c r="O168" s="21"/>
      <c r="P168" s="21"/>
      <c r="Q168" s="21"/>
      <c r="R168" s="21"/>
      <c r="S168" s="21"/>
      <c r="T168" s="21"/>
    </row>
    <row r="169" spans="1:20">
      <c r="A169" s="21"/>
      <c r="B169" s="21"/>
      <c r="C169" s="21"/>
      <c r="D169" s="21"/>
      <c r="E169" s="21"/>
      <c r="F169" s="21"/>
      <c r="G169" s="21"/>
      <c r="H169" s="21"/>
      <c r="I169" s="21"/>
      <c r="J169" s="21"/>
      <c r="K169" s="21"/>
      <c r="L169" s="21"/>
      <c r="M169" s="21"/>
      <c r="N169" s="21"/>
      <c r="O169" s="21"/>
      <c r="P169" s="21"/>
      <c r="Q169" s="21"/>
      <c r="R169" s="21"/>
      <c r="S169" s="21"/>
      <c r="T169" s="21"/>
    </row>
    <row r="170" spans="1:20">
      <c r="A170" s="21"/>
      <c r="B170" s="21"/>
      <c r="C170" s="21"/>
      <c r="D170" s="21"/>
      <c r="E170" s="21"/>
      <c r="F170" s="21"/>
      <c r="G170" s="21"/>
      <c r="H170" s="21"/>
      <c r="I170" s="21"/>
      <c r="J170" s="21"/>
      <c r="K170" s="21"/>
      <c r="L170" s="21"/>
      <c r="M170" s="21"/>
      <c r="N170" s="21"/>
      <c r="O170" s="21"/>
      <c r="P170" s="21"/>
      <c r="Q170" s="21"/>
      <c r="R170" s="21"/>
      <c r="S170" s="21"/>
      <c r="T170" s="21"/>
    </row>
    <row r="171" spans="1:20">
      <c r="A171" s="21"/>
      <c r="B171" s="21"/>
      <c r="C171" s="21"/>
      <c r="D171" s="21"/>
      <c r="E171" s="21"/>
      <c r="F171" s="21"/>
      <c r="G171" s="21"/>
      <c r="H171" s="21"/>
      <c r="I171" s="21"/>
      <c r="J171" s="21"/>
      <c r="K171" s="21"/>
      <c r="L171" s="21"/>
      <c r="M171" s="21"/>
      <c r="N171" s="21"/>
      <c r="O171" s="21"/>
      <c r="P171" s="21"/>
      <c r="Q171" s="21"/>
      <c r="R171" s="21"/>
      <c r="S171" s="21"/>
      <c r="T171" s="21"/>
    </row>
    <row r="172" spans="1:20">
      <c r="A172" s="21"/>
      <c r="B172" s="21"/>
      <c r="C172" s="21"/>
      <c r="D172" s="21"/>
      <c r="E172" s="21"/>
      <c r="F172" s="21"/>
      <c r="G172" s="21"/>
      <c r="H172" s="21"/>
      <c r="I172" s="21"/>
      <c r="J172" s="21"/>
      <c r="K172" s="21"/>
      <c r="L172" s="21"/>
      <c r="M172" s="21"/>
      <c r="N172" s="21"/>
      <c r="O172" s="21"/>
      <c r="P172" s="21"/>
      <c r="Q172" s="21"/>
      <c r="R172" s="21"/>
      <c r="S172" s="21"/>
      <c r="T172" s="21"/>
    </row>
    <row r="173" spans="1:20">
      <c r="A173" s="21"/>
      <c r="B173" s="21"/>
      <c r="C173" s="21"/>
      <c r="D173" s="21"/>
      <c r="E173" s="21"/>
      <c r="F173" s="21"/>
      <c r="G173" s="21"/>
      <c r="H173" s="21"/>
      <c r="I173" s="21"/>
      <c r="J173" s="21"/>
      <c r="K173" s="21"/>
      <c r="L173" s="21"/>
      <c r="M173" s="21"/>
      <c r="N173" s="21"/>
      <c r="O173" s="21"/>
      <c r="P173" s="21"/>
      <c r="Q173" s="21"/>
      <c r="R173" s="21"/>
      <c r="S173" s="21"/>
      <c r="T173" s="21"/>
    </row>
    <row r="174" spans="1:20">
      <c r="A174" s="21"/>
      <c r="B174" s="21"/>
      <c r="C174" s="21"/>
      <c r="D174" s="21"/>
      <c r="E174" s="21"/>
      <c r="F174" s="21"/>
      <c r="G174" s="21"/>
      <c r="H174" s="21"/>
      <c r="I174" s="21"/>
      <c r="J174" s="21"/>
      <c r="K174" s="21"/>
      <c r="L174" s="21"/>
      <c r="M174" s="21"/>
      <c r="N174" s="21"/>
      <c r="O174" s="21"/>
      <c r="P174" s="21"/>
      <c r="Q174" s="21"/>
      <c r="R174" s="21"/>
      <c r="S174" s="21"/>
      <c r="T174" s="21"/>
    </row>
    <row r="175" spans="1:20">
      <c r="A175" s="21"/>
      <c r="B175" s="21"/>
      <c r="C175" s="21"/>
      <c r="D175" s="21"/>
      <c r="E175" s="21"/>
      <c r="F175" s="21"/>
      <c r="G175" s="21"/>
      <c r="H175" s="21"/>
      <c r="I175" s="21"/>
      <c r="J175" s="21"/>
      <c r="K175" s="21"/>
      <c r="L175" s="21"/>
      <c r="M175" s="21"/>
      <c r="N175" s="21"/>
      <c r="O175" s="21"/>
      <c r="P175" s="21"/>
      <c r="Q175" s="21"/>
      <c r="R175" s="21"/>
      <c r="S175" s="21"/>
      <c r="T175" s="21"/>
    </row>
    <row r="176" spans="1:20">
      <c r="A176" s="21"/>
      <c r="B176" s="21"/>
      <c r="C176" s="21"/>
      <c r="D176" s="21"/>
      <c r="E176" s="21"/>
      <c r="F176" s="21"/>
      <c r="G176" s="21"/>
      <c r="H176" s="21"/>
      <c r="I176" s="21"/>
      <c r="J176" s="21"/>
      <c r="K176" s="21"/>
      <c r="L176" s="21"/>
      <c r="M176" s="21"/>
      <c r="N176" s="21"/>
      <c r="O176" s="21"/>
      <c r="P176" s="21"/>
      <c r="Q176" s="21"/>
      <c r="R176" s="21"/>
      <c r="S176" s="21"/>
      <c r="T176" s="21"/>
    </row>
    <row r="177" spans="1:20">
      <c r="A177" s="21"/>
      <c r="B177" s="21"/>
      <c r="C177" s="21"/>
      <c r="D177" s="21"/>
      <c r="E177" s="21"/>
      <c r="F177" s="21"/>
      <c r="G177" s="21"/>
      <c r="H177" s="21"/>
      <c r="I177" s="21"/>
      <c r="J177" s="21"/>
      <c r="K177" s="21"/>
      <c r="L177" s="21"/>
      <c r="M177" s="21"/>
      <c r="N177" s="21"/>
      <c r="O177" s="21"/>
      <c r="P177" s="21"/>
      <c r="Q177" s="21"/>
      <c r="R177" s="21"/>
      <c r="S177" s="21"/>
      <c r="T177" s="21"/>
    </row>
    <row r="178" spans="1:20">
      <c r="A178" s="21"/>
      <c r="B178" s="21"/>
      <c r="C178" s="21"/>
      <c r="D178" s="21"/>
      <c r="E178" s="21"/>
      <c r="F178" s="21"/>
      <c r="G178" s="21"/>
      <c r="H178" s="21"/>
      <c r="I178" s="21"/>
      <c r="J178" s="21"/>
      <c r="K178" s="21"/>
      <c r="L178" s="21"/>
      <c r="M178" s="21"/>
      <c r="N178" s="21"/>
      <c r="O178" s="21"/>
      <c r="P178" s="21"/>
      <c r="Q178" s="21"/>
      <c r="R178" s="21"/>
      <c r="S178" s="21"/>
      <c r="T178" s="21"/>
    </row>
    <row r="179" spans="1:20">
      <c r="A179" s="21"/>
      <c r="B179" s="21"/>
      <c r="C179" s="21"/>
      <c r="D179" s="21"/>
      <c r="E179" s="21"/>
      <c r="F179" s="21"/>
      <c r="G179" s="21"/>
      <c r="H179" s="21"/>
      <c r="I179" s="21"/>
      <c r="J179" s="21"/>
      <c r="K179" s="21"/>
      <c r="L179" s="21"/>
      <c r="M179" s="21"/>
      <c r="N179" s="21"/>
      <c r="O179" s="21"/>
      <c r="P179" s="21"/>
      <c r="Q179" s="21"/>
      <c r="R179" s="21"/>
      <c r="S179" s="21"/>
      <c r="T179" s="21"/>
    </row>
    <row r="180" spans="1:20">
      <c r="A180" s="21"/>
      <c r="B180" s="21"/>
      <c r="C180" s="21"/>
      <c r="D180" s="21"/>
      <c r="E180" s="21"/>
      <c r="F180" s="21"/>
      <c r="G180" s="21"/>
      <c r="H180" s="21"/>
      <c r="I180" s="21"/>
      <c r="J180" s="21"/>
      <c r="K180" s="21"/>
      <c r="L180" s="21"/>
      <c r="M180" s="21"/>
      <c r="N180" s="21"/>
      <c r="O180" s="21"/>
      <c r="P180" s="21"/>
      <c r="Q180" s="21"/>
      <c r="R180" s="21"/>
      <c r="S180" s="21"/>
      <c r="T180" s="21"/>
    </row>
    <row r="181" spans="1:20">
      <c r="A181" s="21"/>
      <c r="B181" s="21"/>
      <c r="C181" s="21"/>
      <c r="D181" s="21"/>
      <c r="E181" s="21"/>
      <c r="F181" s="21"/>
      <c r="G181" s="21"/>
      <c r="H181" s="21"/>
      <c r="I181" s="21"/>
      <c r="J181" s="21"/>
      <c r="K181" s="21"/>
      <c r="L181" s="21"/>
      <c r="M181" s="21"/>
      <c r="N181" s="21"/>
      <c r="O181" s="21"/>
      <c r="P181" s="21"/>
      <c r="Q181" s="21"/>
      <c r="R181" s="21"/>
      <c r="S181" s="21"/>
      <c r="T181" s="21"/>
    </row>
    <row r="182" spans="1:20">
      <c r="A182" s="21"/>
      <c r="B182" s="21"/>
      <c r="C182" s="21"/>
      <c r="D182" s="21"/>
      <c r="E182" s="21"/>
      <c r="F182" s="21"/>
      <c r="G182" s="21"/>
      <c r="H182" s="21"/>
      <c r="I182" s="21"/>
      <c r="J182" s="21"/>
      <c r="K182" s="21"/>
      <c r="L182" s="21"/>
      <c r="M182" s="21"/>
      <c r="N182" s="21"/>
      <c r="O182" s="21"/>
      <c r="P182" s="21"/>
      <c r="Q182" s="21"/>
      <c r="R182" s="21"/>
      <c r="S182" s="21"/>
      <c r="T182" s="21"/>
    </row>
    <row r="183" spans="1:20">
      <c r="A183" s="21"/>
      <c r="B183" s="21"/>
      <c r="C183" s="21"/>
      <c r="D183" s="21"/>
      <c r="E183" s="21"/>
      <c r="F183" s="21"/>
      <c r="G183" s="21"/>
      <c r="H183" s="21"/>
      <c r="I183" s="21"/>
      <c r="J183" s="21"/>
      <c r="K183" s="21"/>
      <c r="L183" s="21"/>
      <c r="M183" s="21"/>
      <c r="N183" s="21"/>
      <c r="O183" s="21"/>
      <c r="P183" s="21"/>
      <c r="Q183" s="21"/>
      <c r="R183" s="21"/>
      <c r="S183" s="21"/>
      <c r="T183" s="21"/>
    </row>
    <row r="184" spans="1:20">
      <c r="A184" s="21"/>
      <c r="B184" s="21"/>
      <c r="C184" s="21"/>
      <c r="D184" s="21"/>
      <c r="E184" s="21"/>
      <c r="F184" s="21"/>
      <c r="G184" s="21"/>
      <c r="H184" s="21"/>
      <c r="I184" s="21"/>
      <c r="J184" s="21"/>
      <c r="K184" s="21"/>
      <c r="L184" s="21"/>
      <c r="M184" s="21"/>
      <c r="N184" s="21"/>
      <c r="O184" s="21"/>
      <c r="P184" s="21"/>
      <c r="Q184" s="21"/>
      <c r="R184" s="21"/>
      <c r="S184" s="21"/>
      <c r="T184" s="21"/>
    </row>
    <row r="185" spans="1:20">
      <c r="A185" s="21"/>
      <c r="B185" s="21"/>
      <c r="C185" s="21"/>
      <c r="D185" s="21"/>
      <c r="E185" s="21"/>
      <c r="F185" s="21"/>
      <c r="G185" s="21"/>
      <c r="H185" s="21"/>
      <c r="I185" s="21"/>
      <c r="J185" s="21"/>
      <c r="K185" s="21"/>
      <c r="L185" s="21"/>
      <c r="M185" s="21"/>
      <c r="N185" s="21"/>
      <c r="O185" s="21"/>
      <c r="P185" s="21"/>
      <c r="Q185" s="21"/>
      <c r="R185" s="21"/>
      <c r="S185" s="21"/>
      <c r="T185" s="21"/>
    </row>
    <row r="186" spans="1:20">
      <c r="A186" s="21"/>
      <c r="B186" s="21"/>
      <c r="C186" s="21"/>
      <c r="D186" s="21"/>
      <c r="E186" s="21"/>
      <c r="F186" s="21"/>
      <c r="G186" s="21"/>
      <c r="H186" s="21"/>
      <c r="I186" s="21"/>
      <c r="J186" s="21"/>
      <c r="K186" s="21"/>
      <c r="L186" s="21"/>
      <c r="M186" s="21"/>
      <c r="N186" s="21"/>
      <c r="O186" s="21"/>
      <c r="P186" s="21"/>
      <c r="Q186" s="21"/>
      <c r="R186" s="21"/>
      <c r="S186" s="21"/>
      <c r="T186" s="21"/>
    </row>
    <row r="187" spans="1:20">
      <c r="A187" s="21"/>
      <c r="B187" s="21"/>
      <c r="C187" s="21"/>
      <c r="D187" s="21"/>
      <c r="E187" s="21"/>
      <c r="F187" s="21"/>
      <c r="G187" s="21"/>
      <c r="H187" s="21"/>
      <c r="I187" s="21"/>
      <c r="J187" s="21"/>
      <c r="K187" s="21"/>
      <c r="L187" s="21"/>
      <c r="M187" s="21"/>
      <c r="N187" s="21"/>
      <c r="O187" s="21"/>
      <c r="P187" s="21"/>
      <c r="Q187" s="21"/>
      <c r="R187" s="21"/>
      <c r="S187" s="21"/>
      <c r="T187" s="21"/>
    </row>
    <row r="188" spans="1:20">
      <c r="A188" s="21"/>
      <c r="B188" s="21"/>
      <c r="C188" s="21"/>
      <c r="D188" s="21"/>
      <c r="E188" s="21"/>
      <c r="F188" s="21"/>
      <c r="G188" s="21"/>
      <c r="H188" s="21"/>
      <c r="I188" s="21"/>
      <c r="J188" s="21"/>
      <c r="K188" s="21"/>
      <c r="L188" s="21"/>
      <c r="M188" s="21"/>
      <c r="N188" s="21"/>
      <c r="O188" s="21"/>
      <c r="P188" s="21"/>
      <c r="Q188" s="21"/>
      <c r="R188" s="21"/>
      <c r="S188" s="21"/>
      <c r="T188" s="21"/>
    </row>
    <row r="189" spans="1:20">
      <c r="A189" s="21"/>
      <c r="B189" s="21"/>
      <c r="C189" s="21"/>
      <c r="D189" s="21"/>
      <c r="E189" s="21"/>
      <c r="F189" s="21"/>
      <c r="G189" s="21"/>
      <c r="H189" s="21"/>
      <c r="I189" s="21"/>
      <c r="J189" s="21"/>
      <c r="K189" s="21"/>
      <c r="L189" s="21"/>
      <c r="M189" s="21"/>
      <c r="N189" s="21"/>
      <c r="O189" s="21"/>
      <c r="P189" s="21"/>
      <c r="Q189" s="21"/>
      <c r="R189" s="21"/>
      <c r="S189" s="21"/>
      <c r="T189" s="21"/>
    </row>
    <row r="190" spans="1:20">
      <c r="A190" s="21"/>
      <c r="B190" s="21"/>
      <c r="C190" s="21"/>
      <c r="D190" s="21"/>
      <c r="E190" s="21"/>
      <c r="F190" s="21"/>
      <c r="G190" s="21"/>
      <c r="H190" s="21"/>
      <c r="I190" s="21"/>
      <c r="J190" s="21"/>
      <c r="K190" s="21"/>
      <c r="L190" s="21"/>
      <c r="M190" s="21"/>
      <c r="N190" s="21"/>
      <c r="O190" s="21"/>
      <c r="P190" s="21"/>
      <c r="Q190" s="21"/>
      <c r="R190" s="21"/>
      <c r="S190" s="21"/>
      <c r="T190" s="21"/>
    </row>
    <row r="191" spans="1:20">
      <c r="A191" s="21"/>
      <c r="B191" s="21"/>
      <c r="C191" s="21"/>
      <c r="D191" s="21"/>
      <c r="E191" s="21"/>
      <c r="F191" s="21"/>
      <c r="G191" s="21"/>
      <c r="H191" s="21"/>
      <c r="I191" s="21"/>
      <c r="J191" s="21"/>
      <c r="K191" s="21"/>
      <c r="L191" s="21"/>
      <c r="M191" s="21"/>
      <c r="N191" s="21"/>
      <c r="O191" s="21"/>
      <c r="P191" s="21"/>
      <c r="Q191" s="21"/>
      <c r="R191" s="21"/>
      <c r="S191" s="21"/>
      <c r="T191" s="21"/>
    </row>
    <row r="192" spans="1:20">
      <c r="A192" s="21"/>
      <c r="B192" s="21"/>
      <c r="C192" s="21"/>
      <c r="D192" s="21"/>
      <c r="E192" s="21"/>
      <c r="F192" s="21"/>
      <c r="G192" s="21"/>
      <c r="H192" s="21"/>
      <c r="I192" s="21"/>
      <c r="J192" s="21"/>
      <c r="K192" s="21"/>
      <c r="L192" s="21"/>
      <c r="M192" s="21"/>
      <c r="N192" s="21"/>
      <c r="O192" s="21"/>
      <c r="P192" s="21"/>
      <c r="Q192" s="21"/>
      <c r="R192" s="21"/>
      <c r="S192" s="21"/>
      <c r="T192" s="21"/>
    </row>
    <row r="193" spans="1:20">
      <c r="A193" s="21"/>
      <c r="B193" s="21"/>
      <c r="C193" s="21"/>
      <c r="D193" s="21"/>
      <c r="E193" s="21"/>
      <c r="F193" s="21"/>
      <c r="G193" s="21"/>
      <c r="H193" s="21"/>
      <c r="I193" s="21"/>
      <c r="J193" s="21"/>
      <c r="K193" s="21"/>
      <c r="L193" s="21"/>
      <c r="M193" s="21"/>
      <c r="N193" s="21"/>
      <c r="O193" s="21"/>
      <c r="P193" s="21"/>
      <c r="Q193" s="21"/>
      <c r="R193" s="21"/>
      <c r="S193" s="21"/>
      <c r="T193" s="21"/>
    </row>
    <row r="194" spans="1:20">
      <c r="A194" s="21"/>
      <c r="B194" s="21"/>
      <c r="C194" s="21"/>
      <c r="D194" s="21"/>
      <c r="E194" s="21"/>
      <c r="F194" s="21"/>
      <c r="G194" s="21"/>
      <c r="H194" s="21"/>
      <c r="I194" s="21"/>
      <c r="J194" s="21"/>
      <c r="K194" s="21"/>
      <c r="L194" s="21"/>
      <c r="M194" s="21"/>
      <c r="N194" s="21"/>
      <c r="O194" s="21"/>
      <c r="P194" s="21"/>
      <c r="Q194" s="21"/>
      <c r="R194" s="21"/>
      <c r="S194" s="21"/>
      <c r="T194" s="21"/>
    </row>
    <row r="195" spans="1:20">
      <c r="A195" s="21"/>
      <c r="B195" s="21"/>
      <c r="C195" s="21"/>
      <c r="D195" s="21"/>
      <c r="E195" s="21"/>
      <c r="F195" s="21"/>
      <c r="G195" s="21"/>
      <c r="H195" s="21"/>
      <c r="I195" s="21"/>
      <c r="J195" s="21"/>
      <c r="K195" s="21"/>
      <c r="L195" s="21"/>
      <c r="M195" s="21"/>
      <c r="N195" s="21"/>
      <c r="O195" s="21"/>
      <c r="P195" s="21"/>
      <c r="Q195" s="21"/>
      <c r="R195" s="21"/>
      <c r="S195" s="21"/>
      <c r="T195" s="21"/>
    </row>
    <row r="196" spans="1:20">
      <c r="A196" s="21"/>
      <c r="B196" s="21"/>
      <c r="C196" s="21"/>
      <c r="D196" s="21"/>
      <c r="E196" s="21"/>
      <c r="F196" s="21"/>
      <c r="G196" s="21"/>
      <c r="H196" s="21"/>
      <c r="I196" s="21"/>
      <c r="J196" s="21"/>
      <c r="K196" s="21"/>
      <c r="L196" s="21"/>
      <c r="M196" s="21"/>
      <c r="N196" s="21"/>
      <c r="O196" s="21"/>
      <c r="P196" s="21"/>
      <c r="Q196" s="21"/>
      <c r="R196" s="21"/>
      <c r="S196" s="21"/>
      <c r="T196" s="21"/>
    </row>
    <row r="197" spans="1:20">
      <c r="A197" s="21"/>
      <c r="B197" s="21"/>
      <c r="C197" s="21"/>
      <c r="D197" s="21"/>
      <c r="E197" s="21"/>
      <c r="F197" s="21"/>
      <c r="G197" s="21"/>
      <c r="H197" s="21"/>
      <c r="I197" s="21"/>
      <c r="J197" s="21"/>
      <c r="K197" s="21"/>
      <c r="L197" s="21"/>
      <c r="M197" s="21"/>
      <c r="N197" s="21"/>
      <c r="O197" s="21"/>
      <c r="P197" s="21"/>
      <c r="Q197" s="21"/>
      <c r="R197" s="21"/>
      <c r="S197" s="21"/>
      <c r="T197" s="21"/>
    </row>
    <row r="198" spans="1:20">
      <c r="A198" s="21"/>
      <c r="B198" s="21"/>
      <c r="C198" s="21"/>
      <c r="D198" s="21"/>
      <c r="E198" s="21"/>
      <c r="F198" s="21"/>
      <c r="G198" s="21"/>
      <c r="H198" s="21"/>
      <c r="I198" s="21"/>
      <c r="J198" s="21"/>
      <c r="K198" s="21"/>
      <c r="L198" s="21"/>
      <c r="M198" s="21"/>
      <c r="N198" s="21"/>
      <c r="O198" s="21"/>
      <c r="P198" s="21"/>
      <c r="Q198" s="21"/>
      <c r="R198" s="21"/>
      <c r="S198" s="21"/>
      <c r="T198" s="21"/>
    </row>
    <row r="199" spans="1:20">
      <c r="A199" s="21"/>
      <c r="B199" s="21"/>
      <c r="C199" s="21"/>
      <c r="D199" s="21"/>
      <c r="E199" s="21"/>
      <c r="F199" s="21"/>
      <c r="G199" s="21"/>
      <c r="H199" s="21"/>
      <c r="I199" s="21"/>
      <c r="J199" s="21"/>
      <c r="K199" s="21"/>
      <c r="L199" s="21"/>
      <c r="M199" s="21"/>
      <c r="N199" s="21"/>
      <c r="O199" s="21"/>
      <c r="P199" s="21"/>
      <c r="Q199" s="21"/>
      <c r="R199" s="21"/>
      <c r="S199" s="21"/>
      <c r="T199" s="21"/>
    </row>
  </sheetData>
  <mergeCells count="1">
    <mergeCell ref="A1:T19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P850"/>
  <sheetViews>
    <sheetView zoomScaleNormal="100" workbookViewId="0"/>
  </sheetViews>
  <sheetFormatPr defaultColWidth="12.5546875" defaultRowHeight="15.75" customHeight="1"/>
  <cols>
    <col min="1" max="1" width="14.88671875" customWidth="1"/>
    <col min="4" max="4" width="15.109375" customWidth="1"/>
    <col min="5" max="5" width="17.5546875" customWidth="1"/>
    <col min="6" max="6" width="13.21875" bestFit="1" customWidth="1"/>
    <col min="9" max="9" width="15.109375" customWidth="1"/>
    <col min="10" max="10" width="29.5546875" customWidth="1"/>
    <col min="15" max="15" width="13.109375" bestFit="1" customWidth="1"/>
  </cols>
  <sheetData>
    <row r="1" spans="1:16">
      <c r="A1" s="6" t="s">
        <v>637</v>
      </c>
      <c r="B1" s="6" t="s">
        <v>20</v>
      </c>
      <c r="C1" s="6" t="s">
        <v>579</v>
      </c>
      <c r="D1" s="6" t="s">
        <v>732</v>
      </c>
      <c r="E1" s="6" t="s">
        <v>733</v>
      </c>
      <c r="F1" s="6" t="s">
        <v>734</v>
      </c>
      <c r="G1" s="6" t="s">
        <v>735</v>
      </c>
      <c r="H1" s="1" t="s">
        <v>736</v>
      </c>
      <c r="I1" s="1" t="s">
        <v>737</v>
      </c>
      <c r="J1" s="1" t="s">
        <v>738</v>
      </c>
      <c r="K1" s="1" t="s">
        <v>739</v>
      </c>
      <c r="L1" s="1" t="s">
        <v>740</v>
      </c>
      <c r="M1" s="2" t="s">
        <v>741</v>
      </c>
      <c r="N1" s="1" t="s">
        <v>742</v>
      </c>
      <c r="O1" s="2" t="s">
        <v>743</v>
      </c>
      <c r="P1" s="3"/>
    </row>
    <row r="2" spans="1:16">
      <c r="A2" s="6">
        <v>10250</v>
      </c>
      <c r="B2" s="6">
        <v>34</v>
      </c>
      <c r="C2" s="6">
        <v>4</v>
      </c>
      <c r="D2" s="8">
        <v>38906</v>
      </c>
      <c r="E2" s="8">
        <v>38934</v>
      </c>
      <c r="F2" s="8">
        <v>38910</v>
      </c>
      <c r="G2" s="6">
        <v>2</v>
      </c>
      <c r="H2" s="1">
        <v>65.83</v>
      </c>
      <c r="I2" s="1" t="s">
        <v>744</v>
      </c>
      <c r="J2" s="1" t="s">
        <v>241</v>
      </c>
      <c r="K2" s="1" t="s">
        <v>242</v>
      </c>
      <c r="L2" s="1" t="s">
        <v>243</v>
      </c>
      <c r="M2" s="1">
        <v>10195</v>
      </c>
      <c r="N2" s="1" t="s">
        <v>129</v>
      </c>
      <c r="O2" s="11" t="s">
        <v>745</v>
      </c>
      <c r="P2" s="3"/>
    </row>
    <row r="3" spans="1:16">
      <c r="A3" s="6">
        <v>10251</v>
      </c>
      <c r="B3" s="6">
        <v>84</v>
      </c>
      <c r="C3" s="6">
        <v>3</v>
      </c>
      <c r="D3" s="8">
        <v>38906</v>
      </c>
      <c r="E3" s="8">
        <v>38934</v>
      </c>
      <c r="F3" s="8">
        <v>38913</v>
      </c>
      <c r="G3" s="6">
        <v>1</v>
      </c>
      <c r="H3" s="1">
        <v>41.34</v>
      </c>
      <c r="I3" s="1" t="s">
        <v>746</v>
      </c>
      <c r="J3" s="1" t="s">
        <v>747</v>
      </c>
      <c r="K3" s="1" t="s">
        <v>532</v>
      </c>
      <c r="L3" s="2"/>
      <c r="M3" s="1">
        <v>10342</v>
      </c>
      <c r="N3" s="1" t="s">
        <v>77</v>
      </c>
      <c r="O3" s="11" t="s">
        <v>745</v>
      </c>
      <c r="P3" s="3"/>
    </row>
    <row r="4" spans="1:16">
      <c r="A4" s="6">
        <v>10252</v>
      </c>
      <c r="B4" s="6">
        <v>76</v>
      </c>
      <c r="C4" s="6">
        <v>4</v>
      </c>
      <c r="D4" s="8">
        <v>38907</v>
      </c>
      <c r="E4" s="8">
        <v>38935</v>
      </c>
      <c r="F4" s="8">
        <v>38909</v>
      </c>
      <c r="G4" s="6">
        <v>2</v>
      </c>
      <c r="H4" s="1">
        <v>51.3</v>
      </c>
      <c r="I4" s="1" t="s">
        <v>748</v>
      </c>
      <c r="J4" s="1" t="s">
        <v>749</v>
      </c>
      <c r="K4" s="1" t="s">
        <v>488</v>
      </c>
      <c r="L4" s="2"/>
      <c r="M4" s="1">
        <v>10318</v>
      </c>
      <c r="N4" s="1" t="s">
        <v>345</v>
      </c>
      <c r="O4" s="11" t="s">
        <v>745</v>
      </c>
      <c r="P4" s="3"/>
    </row>
    <row r="5" spans="1:16">
      <c r="A5" s="6">
        <v>10253</v>
      </c>
      <c r="B5" s="6">
        <v>34</v>
      </c>
      <c r="C5" s="6">
        <v>3</v>
      </c>
      <c r="D5" s="8">
        <v>38908</v>
      </c>
      <c r="E5" s="8">
        <v>38922</v>
      </c>
      <c r="F5" s="8">
        <v>38914</v>
      </c>
      <c r="G5" s="6">
        <v>2</v>
      </c>
      <c r="H5" s="1">
        <v>58.17</v>
      </c>
      <c r="I5" s="1" t="s">
        <v>750</v>
      </c>
      <c r="J5" s="1" t="s">
        <v>751</v>
      </c>
      <c r="K5" s="1" t="s">
        <v>242</v>
      </c>
      <c r="L5" s="1" t="s">
        <v>243</v>
      </c>
      <c r="M5" s="1">
        <v>10196</v>
      </c>
      <c r="N5" s="1" t="s">
        <v>129</v>
      </c>
      <c r="O5" s="11" t="s">
        <v>745</v>
      </c>
      <c r="P5" s="3"/>
    </row>
    <row r="6" spans="1:16">
      <c r="A6" s="6">
        <v>10254</v>
      </c>
      <c r="B6" s="6">
        <v>14</v>
      </c>
      <c r="C6" s="6">
        <v>5</v>
      </c>
      <c r="D6" s="8">
        <v>38909</v>
      </c>
      <c r="E6" s="8">
        <v>38937</v>
      </c>
      <c r="F6" s="8">
        <v>38921</v>
      </c>
      <c r="G6" s="6">
        <v>2</v>
      </c>
      <c r="H6" s="1">
        <v>22.98</v>
      </c>
      <c r="I6" s="1" t="s">
        <v>752</v>
      </c>
      <c r="J6" s="1" t="s">
        <v>753</v>
      </c>
      <c r="K6" s="1" t="s">
        <v>120</v>
      </c>
      <c r="L6" s="2"/>
      <c r="M6" s="1">
        <v>10139</v>
      </c>
      <c r="N6" s="1" t="s">
        <v>121</v>
      </c>
      <c r="O6" s="11" t="s">
        <v>745</v>
      </c>
      <c r="P6" s="3"/>
    </row>
    <row r="7" spans="1:16">
      <c r="A7" s="6">
        <v>10255</v>
      </c>
      <c r="B7" s="6">
        <v>68</v>
      </c>
      <c r="C7" s="6">
        <v>9</v>
      </c>
      <c r="D7" s="8">
        <v>38910</v>
      </c>
      <c r="E7" s="8">
        <v>38938</v>
      </c>
      <c r="F7" s="8">
        <v>38913</v>
      </c>
      <c r="G7" s="6">
        <v>3</v>
      </c>
      <c r="H7" s="1">
        <v>148.33000000000001</v>
      </c>
      <c r="I7" s="1" t="s">
        <v>754</v>
      </c>
      <c r="J7" s="1" t="s">
        <v>755</v>
      </c>
      <c r="K7" s="1" t="s">
        <v>441</v>
      </c>
      <c r="L7" s="2"/>
      <c r="M7" s="1">
        <v>10294</v>
      </c>
      <c r="N7" s="1" t="s">
        <v>121</v>
      </c>
      <c r="O7" s="11" t="s">
        <v>745</v>
      </c>
      <c r="P7" s="3"/>
    </row>
    <row r="8" spans="1:16">
      <c r="A8" s="6">
        <v>10256</v>
      </c>
      <c r="B8" s="6">
        <v>88</v>
      </c>
      <c r="C8" s="6">
        <v>3</v>
      </c>
      <c r="D8" s="8">
        <v>38913</v>
      </c>
      <c r="E8" s="8">
        <v>38941</v>
      </c>
      <c r="F8" s="8">
        <v>38915</v>
      </c>
      <c r="G8" s="6">
        <v>2</v>
      </c>
      <c r="H8" s="1">
        <v>13.97</v>
      </c>
      <c r="I8" s="1" t="s">
        <v>756</v>
      </c>
      <c r="J8" s="1" t="s">
        <v>757</v>
      </c>
      <c r="K8" s="1" t="s">
        <v>557</v>
      </c>
      <c r="L8" s="1" t="s">
        <v>128</v>
      </c>
      <c r="M8" s="1">
        <v>10354</v>
      </c>
      <c r="N8" s="1" t="s">
        <v>129</v>
      </c>
      <c r="O8" s="11" t="s">
        <v>745</v>
      </c>
      <c r="P8" s="3"/>
    </row>
    <row r="9" spans="1:16">
      <c r="A9" s="6">
        <v>10257</v>
      </c>
      <c r="B9" s="6">
        <v>35</v>
      </c>
      <c r="C9" s="6">
        <v>4</v>
      </c>
      <c r="D9" s="8">
        <v>38914</v>
      </c>
      <c r="E9" s="8">
        <v>38942</v>
      </c>
      <c r="F9" s="8">
        <v>38920</v>
      </c>
      <c r="G9" s="6">
        <v>3</v>
      </c>
      <c r="H9" s="1">
        <v>81.91</v>
      </c>
      <c r="I9" s="1" t="s">
        <v>758</v>
      </c>
      <c r="J9" s="1" t="s">
        <v>759</v>
      </c>
      <c r="K9" s="1" t="s">
        <v>249</v>
      </c>
      <c r="L9" s="1" t="s">
        <v>250</v>
      </c>
      <c r="M9" s="1">
        <v>10199</v>
      </c>
      <c r="N9" s="1" t="s">
        <v>236</v>
      </c>
      <c r="O9" s="11" t="s">
        <v>745</v>
      </c>
      <c r="P9" s="3"/>
    </row>
    <row r="10" spans="1:16">
      <c r="A10" s="6">
        <v>10258</v>
      </c>
      <c r="B10" s="6">
        <v>20</v>
      </c>
      <c r="C10" s="6">
        <v>1</v>
      </c>
      <c r="D10" s="8">
        <v>38915</v>
      </c>
      <c r="E10" s="8">
        <v>38943</v>
      </c>
      <c r="F10" s="8">
        <v>38921</v>
      </c>
      <c r="G10" s="6">
        <v>1</v>
      </c>
      <c r="H10" s="1">
        <v>140.51</v>
      </c>
      <c r="I10" s="1" t="s">
        <v>760</v>
      </c>
      <c r="J10" s="1" t="s">
        <v>156</v>
      </c>
      <c r="K10" s="1" t="s">
        <v>157</v>
      </c>
      <c r="L10" s="2"/>
      <c r="M10" s="1">
        <v>10157</v>
      </c>
      <c r="N10" s="1" t="s">
        <v>158</v>
      </c>
      <c r="O10" s="11" t="s">
        <v>745</v>
      </c>
      <c r="P10" s="3"/>
    </row>
    <row r="11" spans="1:16">
      <c r="A11" s="6">
        <v>10259</v>
      </c>
      <c r="B11" s="6">
        <v>13</v>
      </c>
      <c r="C11" s="6">
        <v>4</v>
      </c>
      <c r="D11" s="8">
        <v>38916</v>
      </c>
      <c r="E11" s="8">
        <v>38944</v>
      </c>
      <c r="F11" s="8">
        <v>38923</v>
      </c>
      <c r="G11" s="6">
        <v>3</v>
      </c>
      <c r="H11" s="1">
        <v>3.25</v>
      </c>
      <c r="I11" s="1" t="s">
        <v>761</v>
      </c>
      <c r="J11" s="1" t="s">
        <v>762</v>
      </c>
      <c r="K11" s="1" t="s">
        <v>43</v>
      </c>
      <c r="L11" s="2"/>
      <c r="M11" s="1">
        <v>10137</v>
      </c>
      <c r="N11" s="1" t="s">
        <v>44</v>
      </c>
      <c r="O11" s="11" t="s">
        <v>745</v>
      </c>
      <c r="P11" s="3"/>
    </row>
    <row r="12" spans="1:16">
      <c r="A12" s="6">
        <v>10260</v>
      </c>
      <c r="B12" s="6">
        <v>56</v>
      </c>
      <c r="C12" s="6">
        <v>4</v>
      </c>
      <c r="D12" s="8">
        <v>38917</v>
      </c>
      <c r="E12" s="8">
        <v>38945</v>
      </c>
      <c r="F12" s="8">
        <v>38927</v>
      </c>
      <c r="G12" s="6">
        <v>1</v>
      </c>
      <c r="H12" s="1">
        <v>55.09</v>
      </c>
      <c r="I12" s="1" t="s">
        <v>763</v>
      </c>
      <c r="J12" s="1" t="s">
        <v>764</v>
      </c>
      <c r="K12" s="1" t="s">
        <v>378</v>
      </c>
      <c r="L12" s="2"/>
      <c r="M12" s="1">
        <v>10258</v>
      </c>
      <c r="N12" s="1" t="s">
        <v>36</v>
      </c>
      <c r="O12" s="11" t="s">
        <v>745</v>
      </c>
      <c r="P12" s="3"/>
    </row>
    <row r="13" spans="1:16">
      <c r="A13" s="6">
        <v>10261</v>
      </c>
      <c r="B13" s="6">
        <v>61</v>
      </c>
      <c r="C13" s="6">
        <v>4</v>
      </c>
      <c r="D13" s="8">
        <v>38917</v>
      </c>
      <c r="E13" s="8">
        <v>38945</v>
      </c>
      <c r="F13" s="8">
        <v>38928</v>
      </c>
      <c r="G13" s="6">
        <v>2</v>
      </c>
      <c r="H13" s="1">
        <v>3.05</v>
      </c>
      <c r="I13" s="1" t="s">
        <v>765</v>
      </c>
      <c r="J13" s="1" t="s">
        <v>766</v>
      </c>
      <c r="K13" s="1" t="s">
        <v>242</v>
      </c>
      <c r="L13" s="1" t="s">
        <v>243</v>
      </c>
      <c r="M13" s="1">
        <v>10274</v>
      </c>
      <c r="N13" s="1" t="s">
        <v>129</v>
      </c>
      <c r="O13" s="11" t="s">
        <v>745</v>
      </c>
      <c r="P13" s="3"/>
    </row>
    <row r="14" spans="1:16">
      <c r="A14" s="6">
        <v>10262</v>
      </c>
      <c r="B14" s="6">
        <v>65</v>
      </c>
      <c r="C14" s="6">
        <v>8</v>
      </c>
      <c r="D14" s="8">
        <v>38920</v>
      </c>
      <c r="E14" s="8">
        <v>38948</v>
      </c>
      <c r="F14" s="8">
        <v>38923</v>
      </c>
      <c r="G14" s="6">
        <v>3</v>
      </c>
      <c r="H14" s="1">
        <v>48.29</v>
      </c>
      <c r="I14" s="1" t="s">
        <v>767</v>
      </c>
      <c r="J14" s="1" t="s">
        <v>768</v>
      </c>
      <c r="K14" s="1" t="s">
        <v>424</v>
      </c>
      <c r="L14" s="1" t="s">
        <v>425</v>
      </c>
      <c r="M14" s="1">
        <v>10286</v>
      </c>
      <c r="N14" s="1" t="s">
        <v>229</v>
      </c>
      <c r="O14" s="11" t="s">
        <v>745</v>
      </c>
      <c r="P14" s="3"/>
    </row>
    <row r="15" spans="1:16">
      <c r="A15" s="6">
        <v>10263</v>
      </c>
      <c r="B15" s="6">
        <v>20</v>
      </c>
      <c r="C15" s="6">
        <v>9</v>
      </c>
      <c r="D15" s="8">
        <v>38921</v>
      </c>
      <c r="E15" s="8">
        <v>38949</v>
      </c>
      <c r="F15" s="8">
        <v>38929</v>
      </c>
      <c r="G15" s="6">
        <v>3</v>
      </c>
      <c r="H15" s="1">
        <v>146.06</v>
      </c>
      <c r="I15" s="1" t="s">
        <v>769</v>
      </c>
      <c r="J15" s="1" t="s">
        <v>770</v>
      </c>
      <c r="K15" s="1" t="s">
        <v>157</v>
      </c>
      <c r="L15" s="2"/>
      <c r="M15" s="1">
        <v>10158</v>
      </c>
      <c r="N15" s="1" t="s">
        <v>158</v>
      </c>
      <c r="O15" s="11" t="s">
        <v>745</v>
      </c>
      <c r="P15" s="3"/>
    </row>
    <row r="16" spans="1:16">
      <c r="A16" s="6">
        <v>10264</v>
      </c>
      <c r="B16" s="6">
        <v>24</v>
      </c>
      <c r="C16" s="6">
        <v>6</v>
      </c>
      <c r="D16" s="8">
        <v>38922</v>
      </c>
      <c r="E16" s="8">
        <v>38950</v>
      </c>
      <c r="F16" s="8">
        <v>38952</v>
      </c>
      <c r="G16" s="6">
        <v>3</v>
      </c>
      <c r="H16" s="1">
        <v>3.67</v>
      </c>
      <c r="I16" s="1" t="s">
        <v>771</v>
      </c>
      <c r="J16" s="1" t="s">
        <v>772</v>
      </c>
      <c r="K16" s="1" t="s">
        <v>181</v>
      </c>
      <c r="L16" s="2"/>
      <c r="M16" s="1">
        <v>10167</v>
      </c>
      <c r="N16" s="1" t="s">
        <v>63</v>
      </c>
      <c r="O16" s="11" t="s">
        <v>745</v>
      </c>
      <c r="P16" s="3"/>
    </row>
    <row r="17" spans="1:16">
      <c r="A17" s="6">
        <v>10265</v>
      </c>
      <c r="B17" s="6">
        <v>7</v>
      </c>
      <c r="C17" s="6">
        <v>2</v>
      </c>
      <c r="D17" s="8">
        <v>38923</v>
      </c>
      <c r="E17" s="8">
        <v>38951</v>
      </c>
      <c r="F17" s="8">
        <v>38941</v>
      </c>
      <c r="G17" s="6">
        <v>1</v>
      </c>
      <c r="H17" s="1">
        <v>55.28</v>
      </c>
      <c r="I17" s="1" t="s">
        <v>773</v>
      </c>
      <c r="J17" s="1" t="s">
        <v>774</v>
      </c>
      <c r="K17" s="1" t="s">
        <v>76</v>
      </c>
      <c r="L17" s="2"/>
      <c r="M17" s="1">
        <v>10329</v>
      </c>
      <c r="N17" s="1" t="s">
        <v>77</v>
      </c>
      <c r="O17" s="11" t="s">
        <v>745</v>
      </c>
      <c r="P17" s="3"/>
    </row>
    <row r="18" spans="1:16">
      <c r="A18" s="6">
        <v>10266</v>
      </c>
      <c r="B18" s="6">
        <v>87</v>
      </c>
      <c r="C18" s="6">
        <v>3</v>
      </c>
      <c r="D18" s="8">
        <v>38924</v>
      </c>
      <c r="E18" s="8">
        <v>38966</v>
      </c>
      <c r="F18" s="8">
        <v>38929</v>
      </c>
      <c r="G18" s="6">
        <v>3</v>
      </c>
      <c r="H18" s="1">
        <v>25.73</v>
      </c>
      <c r="I18" s="1" t="s">
        <v>775</v>
      </c>
      <c r="J18" s="1" t="s">
        <v>776</v>
      </c>
      <c r="K18" s="1" t="s">
        <v>550</v>
      </c>
      <c r="L18" s="2"/>
      <c r="M18" s="1">
        <v>10351</v>
      </c>
      <c r="N18" s="1" t="s">
        <v>551</v>
      </c>
      <c r="O18" s="11" t="s">
        <v>745</v>
      </c>
      <c r="P18" s="3"/>
    </row>
    <row r="19" spans="1:16">
      <c r="A19" s="6">
        <v>10267</v>
      </c>
      <c r="B19" s="6">
        <v>25</v>
      </c>
      <c r="C19" s="6">
        <v>4</v>
      </c>
      <c r="D19" s="8">
        <v>38927</v>
      </c>
      <c r="E19" s="8">
        <v>38955</v>
      </c>
      <c r="F19" s="8">
        <v>38935</v>
      </c>
      <c r="G19" s="6">
        <v>1</v>
      </c>
      <c r="H19" s="1">
        <v>208.58</v>
      </c>
      <c r="I19" s="1" t="s">
        <v>777</v>
      </c>
      <c r="J19" s="1" t="s">
        <v>778</v>
      </c>
      <c r="K19" s="1" t="s">
        <v>186</v>
      </c>
      <c r="L19" s="2"/>
      <c r="M19" s="1">
        <v>10168</v>
      </c>
      <c r="N19" s="1" t="s">
        <v>36</v>
      </c>
      <c r="O19" s="11" t="s">
        <v>745</v>
      </c>
      <c r="P19" s="3"/>
    </row>
    <row r="20" spans="1:16">
      <c r="A20" s="6">
        <v>10268</v>
      </c>
      <c r="B20" s="6">
        <v>33</v>
      </c>
      <c r="C20" s="6">
        <v>8</v>
      </c>
      <c r="D20" s="8">
        <v>38928</v>
      </c>
      <c r="E20" s="8">
        <v>38956</v>
      </c>
      <c r="F20" s="8">
        <v>38931</v>
      </c>
      <c r="G20" s="6">
        <v>3</v>
      </c>
      <c r="H20" s="1">
        <v>66.290000000000006</v>
      </c>
      <c r="I20" s="1" t="s">
        <v>779</v>
      </c>
      <c r="J20" s="1" t="s">
        <v>780</v>
      </c>
      <c r="K20" s="1" t="s">
        <v>234</v>
      </c>
      <c r="L20" s="1" t="s">
        <v>235</v>
      </c>
      <c r="M20" s="1">
        <v>10193</v>
      </c>
      <c r="N20" s="1" t="s">
        <v>236</v>
      </c>
      <c r="O20" s="11" t="s">
        <v>745</v>
      </c>
      <c r="P20" s="3"/>
    </row>
    <row r="21" spans="1:16">
      <c r="A21" s="6">
        <v>10269</v>
      </c>
      <c r="B21" s="6">
        <v>89</v>
      </c>
      <c r="C21" s="6">
        <v>5</v>
      </c>
      <c r="D21" s="8">
        <v>38929</v>
      </c>
      <c r="E21" s="8">
        <v>38943</v>
      </c>
      <c r="F21" s="8">
        <v>38938</v>
      </c>
      <c r="G21" s="6">
        <v>1</v>
      </c>
      <c r="H21" s="1">
        <v>4.5599999999999996</v>
      </c>
      <c r="I21" s="1" t="s">
        <v>781</v>
      </c>
      <c r="J21" s="1" t="s">
        <v>782</v>
      </c>
      <c r="K21" s="1" t="s">
        <v>562</v>
      </c>
      <c r="L21" s="1" t="s">
        <v>300</v>
      </c>
      <c r="M21" s="1">
        <v>10357</v>
      </c>
      <c r="N21" s="1" t="s">
        <v>229</v>
      </c>
      <c r="O21" s="11" t="s">
        <v>745</v>
      </c>
      <c r="P21" s="3"/>
    </row>
    <row r="22" spans="1:16">
      <c r="A22" s="6">
        <v>10270</v>
      </c>
      <c r="B22" s="6">
        <v>87</v>
      </c>
      <c r="C22" s="6">
        <v>1</v>
      </c>
      <c r="D22" s="8">
        <v>38930</v>
      </c>
      <c r="E22" s="8">
        <v>38958</v>
      </c>
      <c r="F22" s="8">
        <v>38931</v>
      </c>
      <c r="G22" s="6">
        <v>1</v>
      </c>
      <c r="H22" s="1">
        <v>136.54</v>
      </c>
      <c r="I22" s="1" t="s">
        <v>775</v>
      </c>
      <c r="J22" s="1" t="s">
        <v>776</v>
      </c>
      <c r="K22" s="1" t="s">
        <v>550</v>
      </c>
      <c r="L22" s="2"/>
      <c r="M22" s="1">
        <v>10351</v>
      </c>
      <c r="N22" s="1" t="s">
        <v>551</v>
      </c>
      <c r="O22" s="11" t="s">
        <v>745</v>
      </c>
      <c r="P22" s="3"/>
    </row>
    <row r="23" spans="1:16">
      <c r="A23" s="6">
        <v>10271</v>
      </c>
      <c r="B23" s="6">
        <v>75</v>
      </c>
      <c r="C23" s="6">
        <v>6</v>
      </c>
      <c r="D23" s="8">
        <v>38930</v>
      </c>
      <c r="E23" s="8">
        <v>38958</v>
      </c>
      <c r="F23" s="8">
        <v>38959</v>
      </c>
      <c r="G23" s="6">
        <v>2</v>
      </c>
      <c r="H23" s="1">
        <v>4.54</v>
      </c>
      <c r="I23" s="1" t="s">
        <v>783</v>
      </c>
      <c r="J23" s="1" t="s">
        <v>784</v>
      </c>
      <c r="K23" s="1" t="s">
        <v>481</v>
      </c>
      <c r="L23" s="1" t="s">
        <v>482</v>
      </c>
      <c r="M23" s="1">
        <v>10316</v>
      </c>
      <c r="N23" s="1" t="s">
        <v>229</v>
      </c>
      <c r="O23" s="11" t="s">
        <v>745</v>
      </c>
      <c r="P23" s="3"/>
    </row>
    <row r="24" spans="1:16">
      <c r="A24" s="6">
        <v>10272</v>
      </c>
      <c r="B24" s="6">
        <v>65</v>
      </c>
      <c r="C24" s="6">
        <v>6</v>
      </c>
      <c r="D24" s="8">
        <v>38931</v>
      </c>
      <c r="E24" s="8">
        <v>38959</v>
      </c>
      <c r="F24" s="8">
        <v>38935</v>
      </c>
      <c r="G24" s="6">
        <v>2</v>
      </c>
      <c r="H24" s="1">
        <v>98.03</v>
      </c>
      <c r="I24" s="1" t="s">
        <v>785</v>
      </c>
      <c r="J24" s="1" t="s">
        <v>786</v>
      </c>
      <c r="K24" s="1" t="s">
        <v>424</v>
      </c>
      <c r="L24" s="1" t="s">
        <v>425</v>
      </c>
      <c r="M24" s="1">
        <v>10285</v>
      </c>
      <c r="N24" s="1" t="s">
        <v>229</v>
      </c>
      <c r="O24" s="11" t="s">
        <v>745</v>
      </c>
      <c r="P24" s="3"/>
    </row>
    <row r="25" spans="1:16">
      <c r="A25" s="6">
        <v>10273</v>
      </c>
      <c r="B25" s="6">
        <v>63</v>
      </c>
      <c r="C25" s="6">
        <v>3</v>
      </c>
      <c r="D25" s="8">
        <v>38934</v>
      </c>
      <c r="E25" s="8">
        <v>38962</v>
      </c>
      <c r="F25" s="8">
        <v>38941</v>
      </c>
      <c r="G25" s="6">
        <v>3</v>
      </c>
      <c r="H25" s="1">
        <v>76.069999999999993</v>
      </c>
      <c r="I25" s="1" t="s">
        <v>787</v>
      </c>
      <c r="J25" s="1" t="s">
        <v>412</v>
      </c>
      <c r="K25" s="1" t="s">
        <v>413</v>
      </c>
      <c r="L25" s="2"/>
      <c r="M25" s="1">
        <v>10279</v>
      </c>
      <c r="N25" s="1" t="s">
        <v>36</v>
      </c>
      <c r="O25" s="11" t="s">
        <v>745</v>
      </c>
      <c r="P25" s="3"/>
    </row>
    <row r="26" spans="1:16">
      <c r="A26" s="6">
        <v>10274</v>
      </c>
      <c r="B26" s="6">
        <v>85</v>
      </c>
      <c r="C26" s="6">
        <v>6</v>
      </c>
      <c r="D26" s="8">
        <v>38935</v>
      </c>
      <c r="E26" s="8">
        <v>38963</v>
      </c>
      <c r="F26" s="8">
        <v>38945</v>
      </c>
      <c r="G26" s="6">
        <v>1</v>
      </c>
      <c r="H26" s="1">
        <v>6.01</v>
      </c>
      <c r="I26" s="1" t="s">
        <v>788</v>
      </c>
      <c r="J26" s="1" t="s">
        <v>789</v>
      </c>
      <c r="K26" s="1" t="s">
        <v>538</v>
      </c>
      <c r="L26" s="2"/>
      <c r="M26" s="1">
        <v>10345</v>
      </c>
      <c r="N26" s="1" t="s">
        <v>77</v>
      </c>
      <c r="O26" s="11" t="s">
        <v>745</v>
      </c>
      <c r="P26" s="3"/>
    </row>
    <row r="27" spans="1:16">
      <c r="A27" s="6">
        <v>10275</v>
      </c>
      <c r="B27" s="6">
        <v>49</v>
      </c>
      <c r="C27" s="6">
        <v>1</v>
      </c>
      <c r="D27" s="8">
        <v>38936</v>
      </c>
      <c r="E27" s="8">
        <v>38964</v>
      </c>
      <c r="F27" s="8">
        <v>38938</v>
      </c>
      <c r="G27" s="6">
        <v>1</v>
      </c>
      <c r="H27" s="1">
        <v>26.93</v>
      </c>
      <c r="I27" s="1" t="s">
        <v>790</v>
      </c>
      <c r="J27" s="1" t="s">
        <v>791</v>
      </c>
      <c r="K27" s="1" t="s">
        <v>338</v>
      </c>
      <c r="L27" s="2"/>
      <c r="M27" s="1">
        <v>10235</v>
      </c>
      <c r="N27" s="1" t="s">
        <v>198</v>
      </c>
      <c r="O27" s="11" t="s">
        <v>745</v>
      </c>
      <c r="P27" s="3"/>
    </row>
    <row r="28" spans="1:16">
      <c r="A28" s="6">
        <v>10276</v>
      </c>
      <c r="B28" s="6">
        <v>80</v>
      </c>
      <c r="C28" s="6">
        <v>8</v>
      </c>
      <c r="D28" s="8">
        <v>38937</v>
      </c>
      <c r="E28" s="8">
        <v>38951</v>
      </c>
      <c r="F28" s="8">
        <v>38943</v>
      </c>
      <c r="G28" s="6">
        <v>3</v>
      </c>
      <c r="H28" s="1">
        <v>13.84</v>
      </c>
      <c r="I28" s="1" t="s">
        <v>792</v>
      </c>
      <c r="J28" s="1" t="s">
        <v>793</v>
      </c>
      <c r="K28" s="1" t="s">
        <v>43</v>
      </c>
      <c r="L28" s="2"/>
      <c r="M28" s="1">
        <v>10334</v>
      </c>
      <c r="N28" s="1" t="s">
        <v>44</v>
      </c>
      <c r="O28" s="11" t="s">
        <v>745</v>
      </c>
      <c r="P28" s="3"/>
    </row>
    <row r="29" spans="1:16">
      <c r="A29" s="6">
        <v>10277</v>
      </c>
      <c r="B29" s="6">
        <v>52</v>
      </c>
      <c r="C29" s="6">
        <v>2</v>
      </c>
      <c r="D29" s="8">
        <v>38938</v>
      </c>
      <c r="E29" s="8">
        <v>38966</v>
      </c>
      <c r="F29" s="8">
        <v>38942</v>
      </c>
      <c r="G29" s="6">
        <v>3</v>
      </c>
      <c r="H29" s="1">
        <v>125.77</v>
      </c>
      <c r="I29" s="1" t="s">
        <v>794</v>
      </c>
      <c r="J29" s="1" t="s">
        <v>795</v>
      </c>
      <c r="K29" s="1" t="s">
        <v>358</v>
      </c>
      <c r="L29" s="2"/>
      <c r="M29" s="1">
        <v>10247</v>
      </c>
      <c r="N29" s="1" t="s">
        <v>36</v>
      </c>
      <c r="O29" s="11" t="s">
        <v>745</v>
      </c>
      <c r="P29" s="3"/>
    </row>
    <row r="30" spans="1:16">
      <c r="A30" s="6">
        <v>10278</v>
      </c>
      <c r="B30" s="6">
        <v>5</v>
      </c>
      <c r="C30" s="6">
        <v>8</v>
      </c>
      <c r="D30" s="8">
        <v>38941</v>
      </c>
      <c r="E30" s="8">
        <v>38969</v>
      </c>
      <c r="F30" s="8">
        <v>38945</v>
      </c>
      <c r="G30" s="6">
        <v>2</v>
      </c>
      <c r="H30" s="1">
        <v>92.69</v>
      </c>
      <c r="I30" s="1" t="s">
        <v>796</v>
      </c>
      <c r="J30" s="1" t="s">
        <v>797</v>
      </c>
      <c r="K30" s="1" t="s">
        <v>62</v>
      </c>
      <c r="L30" s="2"/>
      <c r="M30" s="1">
        <v>10269</v>
      </c>
      <c r="N30" s="1" t="s">
        <v>63</v>
      </c>
      <c r="O30" s="11" t="s">
        <v>745</v>
      </c>
      <c r="P30" s="3"/>
    </row>
    <row r="31" spans="1:16">
      <c r="A31" s="6">
        <v>10279</v>
      </c>
      <c r="B31" s="6">
        <v>44</v>
      </c>
      <c r="C31" s="6">
        <v>8</v>
      </c>
      <c r="D31" s="8">
        <v>38942</v>
      </c>
      <c r="E31" s="8">
        <v>38970</v>
      </c>
      <c r="F31" s="8">
        <v>38945</v>
      </c>
      <c r="G31" s="6">
        <v>2</v>
      </c>
      <c r="H31" s="1">
        <v>25.83</v>
      </c>
      <c r="I31" s="1" t="s">
        <v>798</v>
      </c>
      <c r="J31" s="1" t="s">
        <v>799</v>
      </c>
      <c r="K31" s="1" t="s">
        <v>306</v>
      </c>
      <c r="L31" s="2"/>
      <c r="M31" s="1">
        <v>10222</v>
      </c>
      <c r="N31" s="1" t="s">
        <v>36</v>
      </c>
      <c r="O31" s="11" t="s">
        <v>745</v>
      </c>
      <c r="P31" s="3"/>
    </row>
    <row r="32" spans="1:16">
      <c r="A32" s="6">
        <v>10280</v>
      </c>
      <c r="B32" s="6">
        <v>5</v>
      </c>
      <c r="C32" s="6">
        <v>2</v>
      </c>
      <c r="D32" s="8">
        <v>38943</v>
      </c>
      <c r="E32" s="8">
        <v>38971</v>
      </c>
      <c r="F32" s="8">
        <v>38972</v>
      </c>
      <c r="G32" s="6">
        <v>1</v>
      </c>
      <c r="H32" s="1">
        <v>8.98</v>
      </c>
      <c r="I32" s="1" t="s">
        <v>800</v>
      </c>
      <c r="J32" s="1" t="s">
        <v>801</v>
      </c>
      <c r="K32" s="1" t="s">
        <v>62</v>
      </c>
      <c r="L32" s="2"/>
      <c r="M32" s="1">
        <v>10268</v>
      </c>
      <c r="N32" s="1" t="s">
        <v>63</v>
      </c>
      <c r="O32" s="11" t="s">
        <v>745</v>
      </c>
      <c r="P32" s="3"/>
    </row>
    <row r="33" spans="1:16">
      <c r="A33" s="6">
        <v>10281</v>
      </c>
      <c r="B33" s="6">
        <v>69</v>
      </c>
      <c r="C33" s="6">
        <v>4</v>
      </c>
      <c r="D33" s="8">
        <v>38943</v>
      </c>
      <c r="E33" s="8">
        <v>38957</v>
      </c>
      <c r="F33" s="8">
        <v>38950</v>
      </c>
      <c r="G33" s="6">
        <v>1</v>
      </c>
      <c r="H33" s="1">
        <v>2.94</v>
      </c>
      <c r="I33" s="1" t="s">
        <v>802</v>
      </c>
      <c r="J33" s="1" t="s">
        <v>803</v>
      </c>
      <c r="K33" s="1" t="s">
        <v>83</v>
      </c>
      <c r="L33" s="2"/>
      <c r="M33" s="1">
        <v>10297</v>
      </c>
      <c r="N33" s="1" t="s">
        <v>84</v>
      </c>
      <c r="O33" s="11" t="s">
        <v>745</v>
      </c>
      <c r="P33" s="3"/>
    </row>
    <row r="34" spans="1:16">
      <c r="A34" s="6">
        <v>10282</v>
      </c>
      <c r="B34" s="6">
        <v>69</v>
      </c>
      <c r="C34" s="6">
        <v>4</v>
      </c>
      <c r="D34" s="8">
        <v>38944</v>
      </c>
      <c r="E34" s="8">
        <v>38972</v>
      </c>
      <c r="F34" s="8">
        <v>38950</v>
      </c>
      <c r="G34" s="6">
        <v>1</v>
      </c>
      <c r="H34" s="1">
        <v>12.69</v>
      </c>
      <c r="I34" s="1" t="s">
        <v>804</v>
      </c>
      <c r="J34" s="1" t="s">
        <v>805</v>
      </c>
      <c r="K34" s="1" t="s">
        <v>83</v>
      </c>
      <c r="L34" s="2"/>
      <c r="M34" s="1">
        <v>10298</v>
      </c>
      <c r="N34" s="1" t="s">
        <v>84</v>
      </c>
      <c r="O34" s="11" t="s">
        <v>745</v>
      </c>
      <c r="P34" s="3"/>
    </row>
    <row r="35" spans="1:16">
      <c r="A35" s="6">
        <v>10283</v>
      </c>
      <c r="B35" s="6">
        <v>46</v>
      </c>
      <c r="C35" s="6">
        <v>3</v>
      </c>
      <c r="D35" s="8">
        <v>38945</v>
      </c>
      <c r="E35" s="8">
        <v>38973</v>
      </c>
      <c r="F35" s="8">
        <v>38952</v>
      </c>
      <c r="G35" s="6">
        <v>3</v>
      </c>
      <c r="H35" s="1">
        <v>84.81</v>
      </c>
      <c r="I35" s="1" t="s">
        <v>806</v>
      </c>
      <c r="J35" s="1" t="s">
        <v>807</v>
      </c>
      <c r="K35" s="1" t="s">
        <v>318</v>
      </c>
      <c r="L35" s="1" t="s">
        <v>319</v>
      </c>
      <c r="M35" s="1">
        <v>10227</v>
      </c>
      <c r="N35" s="1" t="s">
        <v>236</v>
      </c>
      <c r="O35" s="11" t="s">
        <v>745</v>
      </c>
      <c r="P35" s="3"/>
    </row>
    <row r="36" spans="1:16">
      <c r="A36" s="6">
        <v>10284</v>
      </c>
      <c r="B36" s="6">
        <v>44</v>
      </c>
      <c r="C36" s="6">
        <v>4</v>
      </c>
      <c r="D36" s="8">
        <v>38948</v>
      </c>
      <c r="E36" s="8">
        <v>38976</v>
      </c>
      <c r="F36" s="8">
        <v>38956</v>
      </c>
      <c r="G36" s="6">
        <v>1</v>
      </c>
      <c r="H36" s="1">
        <v>76.56</v>
      </c>
      <c r="I36" s="1" t="s">
        <v>798</v>
      </c>
      <c r="J36" s="1" t="s">
        <v>799</v>
      </c>
      <c r="K36" s="1" t="s">
        <v>306</v>
      </c>
      <c r="L36" s="2"/>
      <c r="M36" s="1">
        <v>10222</v>
      </c>
      <c r="N36" s="1" t="s">
        <v>36</v>
      </c>
      <c r="O36" s="11" t="s">
        <v>745</v>
      </c>
      <c r="P36" s="3"/>
    </row>
    <row r="37" spans="1:16">
      <c r="A37" s="6">
        <v>10285</v>
      </c>
      <c r="B37" s="6">
        <v>63</v>
      </c>
      <c r="C37" s="6">
        <v>1</v>
      </c>
      <c r="D37" s="8">
        <v>38949</v>
      </c>
      <c r="E37" s="8">
        <v>38977</v>
      </c>
      <c r="F37" s="8">
        <v>38955</v>
      </c>
      <c r="G37" s="6">
        <v>2</v>
      </c>
      <c r="H37" s="1">
        <v>76.83</v>
      </c>
      <c r="I37" s="1" t="s">
        <v>808</v>
      </c>
      <c r="J37" s="1" t="s">
        <v>809</v>
      </c>
      <c r="K37" s="1" t="s">
        <v>413</v>
      </c>
      <c r="L37" s="2"/>
      <c r="M37" s="1">
        <v>10280</v>
      </c>
      <c r="N37" s="1" t="s">
        <v>36</v>
      </c>
      <c r="O37" s="11" t="s">
        <v>745</v>
      </c>
      <c r="P37" s="3"/>
    </row>
    <row r="38" spans="1:16">
      <c r="A38" s="6">
        <v>10286</v>
      </c>
      <c r="B38" s="6">
        <v>63</v>
      </c>
      <c r="C38" s="6">
        <v>8</v>
      </c>
      <c r="D38" s="8">
        <v>38950</v>
      </c>
      <c r="E38" s="8">
        <v>38978</v>
      </c>
      <c r="F38" s="8">
        <v>38959</v>
      </c>
      <c r="G38" s="6">
        <v>3</v>
      </c>
      <c r="H38" s="1">
        <v>229.24</v>
      </c>
      <c r="I38" s="1" t="s">
        <v>808</v>
      </c>
      <c r="J38" s="1" t="s">
        <v>809</v>
      </c>
      <c r="K38" s="1" t="s">
        <v>413</v>
      </c>
      <c r="L38" s="2"/>
      <c r="M38" s="1">
        <v>10280</v>
      </c>
      <c r="N38" s="1" t="s">
        <v>36</v>
      </c>
      <c r="O38" s="11" t="s">
        <v>745</v>
      </c>
      <c r="P38" s="3"/>
    </row>
    <row r="39" spans="1:16">
      <c r="A39" s="6">
        <v>10287</v>
      </c>
      <c r="B39" s="6">
        <v>67</v>
      </c>
      <c r="C39" s="6">
        <v>8</v>
      </c>
      <c r="D39" s="8">
        <v>38951</v>
      </c>
      <c r="E39" s="8">
        <v>38979</v>
      </c>
      <c r="F39" s="8">
        <v>38957</v>
      </c>
      <c r="G39" s="6">
        <v>3</v>
      </c>
      <c r="H39" s="1">
        <v>12.76</v>
      </c>
      <c r="I39" s="1" t="s">
        <v>810</v>
      </c>
      <c r="J39" s="1" t="s">
        <v>811</v>
      </c>
      <c r="K39" s="1" t="s">
        <v>242</v>
      </c>
      <c r="L39" s="1" t="s">
        <v>243</v>
      </c>
      <c r="M39" s="1">
        <v>10291</v>
      </c>
      <c r="N39" s="1" t="s">
        <v>129</v>
      </c>
      <c r="O39" s="11" t="s">
        <v>745</v>
      </c>
      <c r="P39" s="3"/>
    </row>
    <row r="40" spans="1:16">
      <c r="A40" s="6">
        <v>10288</v>
      </c>
      <c r="B40" s="6">
        <v>66</v>
      </c>
      <c r="C40" s="6">
        <v>4</v>
      </c>
      <c r="D40" s="8">
        <v>38952</v>
      </c>
      <c r="E40" s="8">
        <v>38980</v>
      </c>
      <c r="F40" s="8">
        <v>38963</v>
      </c>
      <c r="G40" s="6">
        <v>1</v>
      </c>
      <c r="H40" s="1">
        <v>7.45</v>
      </c>
      <c r="I40" s="1" t="s">
        <v>812</v>
      </c>
      <c r="J40" s="1" t="s">
        <v>813</v>
      </c>
      <c r="K40" s="1" t="s">
        <v>431</v>
      </c>
      <c r="L40" s="2"/>
      <c r="M40" s="1">
        <v>10290</v>
      </c>
      <c r="N40" s="1" t="s">
        <v>198</v>
      </c>
      <c r="O40" s="11" t="s">
        <v>745</v>
      </c>
      <c r="P40" s="3"/>
    </row>
    <row r="41" spans="1:16">
      <c r="A41" s="6">
        <v>10289</v>
      </c>
      <c r="B41" s="6">
        <v>11</v>
      </c>
      <c r="C41" s="6">
        <v>7</v>
      </c>
      <c r="D41" s="8">
        <v>38955</v>
      </c>
      <c r="E41" s="8">
        <v>38983</v>
      </c>
      <c r="F41" s="8">
        <v>38957</v>
      </c>
      <c r="G41" s="6">
        <v>3</v>
      </c>
      <c r="H41" s="1">
        <v>22.77</v>
      </c>
      <c r="I41" s="1" t="s">
        <v>814</v>
      </c>
      <c r="J41" s="1" t="s">
        <v>104</v>
      </c>
      <c r="K41" s="1" t="s">
        <v>54</v>
      </c>
      <c r="L41" s="2"/>
      <c r="M41" s="1">
        <v>10132</v>
      </c>
      <c r="N41" s="1" t="s">
        <v>55</v>
      </c>
      <c r="O41" s="11" t="s">
        <v>745</v>
      </c>
      <c r="P41" s="3"/>
    </row>
    <row r="42" spans="1:16">
      <c r="A42" s="6">
        <v>10290</v>
      </c>
      <c r="B42" s="6">
        <v>15</v>
      </c>
      <c r="C42" s="6">
        <v>8</v>
      </c>
      <c r="D42" s="8">
        <v>38956</v>
      </c>
      <c r="E42" s="8">
        <v>38984</v>
      </c>
      <c r="F42" s="8">
        <v>38963</v>
      </c>
      <c r="G42" s="6">
        <v>1</v>
      </c>
      <c r="H42" s="1">
        <v>79.7</v>
      </c>
      <c r="I42" s="1" t="s">
        <v>815</v>
      </c>
      <c r="J42" s="1" t="s">
        <v>816</v>
      </c>
      <c r="K42" s="1" t="s">
        <v>127</v>
      </c>
      <c r="L42" s="1" t="s">
        <v>128</v>
      </c>
      <c r="M42" s="1">
        <v>10142</v>
      </c>
      <c r="N42" s="1" t="s">
        <v>129</v>
      </c>
      <c r="O42" s="11" t="s">
        <v>745</v>
      </c>
      <c r="P42" s="3"/>
    </row>
    <row r="43" spans="1:16">
      <c r="A43" s="6">
        <v>10291</v>
      </c>
      <c r="B43" s="6">
        <v>61</v>
      </c>
      <c r="C43" s="6">
        <v>6</v>
      </c>
      <c r="D43" s="8">
        <v>38956</v>
      </c>
      <c r="E43" s="8">
        <v>38984</v>
      </c>
      <c r="F43" s="8">
        <v>38964</v>
      </c>
      <c r="G43" s="6">
        <v>2</v>
      </c>
      <c r="H43" s="1">
        <v>6.4</v>
      </c>
      <c r="I43" s="1" t="s">
        <v>817</v>
      </c>
      <c r="J43" s="1" t="s">
        <v>818</v>
      </c>
      <c r="K43" s="1" t="s">
        <v>242</v>
      </c>
      <c r="L43" s="1" t="s">
        <v>243</v>
      </c>
      <c r="M43" s="1">
        <v>10273</v>
      </c>
      <c r="N43" s="1" t="s">
        <v>129</v>
      </c>
      <c r="O43" s="11" t="s">
        <v>745</v>
      </c>
      <c r="P43" s="3"/>
    </row>
    <row r="44" spans="1:16">
      <c r="A44" s="6">
        <v>10292</v>
      </c>
      <c r="B44" s="6">
        <v>81</v>
      </c>
      <c r="C44" s="6">
        <v>1</v>
      </c>
      <c r="D44" s="8">
        <v>38957</v>
      </c>
      <c r="E44" s="8">
        <v>38985</v>
      </c>
      <c r="F44" s="8">
        <v>38962</v>
      </c>
      <c r="G44" s="6">
        <v>2</v>
      </c>
      <c r="H44" s="1">
        <v>1.35</v>
      </c>
      <c r="I44" s="1" t="s">
        <v>819</v>
      </c>
      <c r="J44" s="1" t="s">
        <v>820</v>
      </c>
      <c r="K44" s="1" t="s">
        <v>127</v>
      </c>
      <c r="L44" s="1" t="s">
        <v>128</v>
      </c>
      <c r="M44" s="1">
        <v>10335</v>
      </c>
      <c r="N44" s="1" t="s">
        <v>129</v>
      </c>
      <c r="O44" s="11" t="s">
        <v>745</v>
      </c>
      <c r="P44" s="3"/>
    </row>
    <row r="45" spans="1:16">
      <c r="A45" s="6">
        <v>10293</v>
      </c>
      <c r="B45" s="6">
        <v>80</v>
      </c>
      <c r="C45" s="6">
        <v>1</v>
      </c>
      <c r="D45" s="8">
        <v>38958</v>
      </c>
      <c r="E45" s="8">
        <v>38986</v>
      </c>
      <c r="F45" s="8">
        <v>38971</v>
      </c>
      <c r="G45" s="6">
        <v>3</v>
      </c>
      <c r="H45" s="1">
        <v>21.18</v>
      </c>
      <c r="I45" s="1" t="s">
        <v>821</v>
      </c>
      <c r="J45" s="1" t="s">
        <v>510</v>
      </c>
      <c r="K45" s="1" t="s">
        <v>43</v>
      </c>
      <c r="L45" s="2"/>
      <c r="M45" s="1">
        <v>10333</v>
      </c>
      <c r="N45" s="1" t="s">
        <v>44</v>
      </c>
      <c r="O45" s="11" t="s">
        <v>745</v>
      </c>
      <c r="P45" s="3"/>
    </row>
    <row r="46" spans="1:16">
      <c r="A46" s="6">
        <v>10294</v>
      </c>
      <c r="B46" s="6">
        <v>65</v>
      </c>
      <c r="C46" s="6">
        <v>4</v>
      </c>
      <c r="D46" s="8">
        <v>38959</v>
      </c>
      <c r="E46" s="8">
        <v>38987</v>
      </c>
      <c r="F46" s="8">
        <v>38965</v>
      </c>
      <c r="G46" s="6">
        <v>2</v>
      </c>
      <c r="H46" s="1">
        <v>147.26</v>
      </c>
      <c r="I46" s="1" t="s">
        <v>785</v>
      </c>
      <c r="J46" s="1" t="s">
        <v>786</v>
      </c>
      <c r="K46" s="1" t="s">
        <v>424</v>
      </c>
      <c r="L46" s="1" t="s">
        <v>425</v>
      </c>
      <c r="M46" s="1">
        <v>10285</v>
      </c>
      <c r="N46" s="1" t="s">
        <v>229</v>
      </c>
      <c r="O46" s="11" t="s">
        <v>745</v>
      </c>
      <c r="P46" s="3"/>
    </row>
    <row r="47" spans="1:16">
      <c r="A47" s="6">
        <v>10295</v>
      </c>
      <c r="B47" s="6">
        <v>85</v>
      </c>
      <c r="C47" s="6">
        <v>2</v>
      </c>
      <c r="D47" s="8">
        <v>38962</v>
      </c>
      <c r="E47" s="8">
        <v>38990</v>
      </c>
      <c r="F47" s="8">
        <v>38970</v>
      </c>
      <c r="G47" s="6">
        <v>2</v>
      </c>
      <c r="H47" s="1">
        <v>1.1499999999999999</v>
      </c>
      <c r="I47" s="1" t="s">
        <v>822</v>
      </c>
      <c r="J47" s="1" t="s">
        <v>823</v>
      </c>
      <c r="K47" s="1" t="s">
        <v>538</v>
      </c>
      <c r="L47" s="2"/>
      <c r="M47" s="1">
        <v>10346</v>
      </c>
      <c r="N47" s="1" t="s">
        <v>77</v>
      </c>
      <c r="O47" s="11" t="s">
        <v>745</v>
      </c>
      <c r="P47" s="3"/>
    </row>
    <row r="48" spans="1:16">
      <c r="A48" s="6">
        <v>10296</v>
      </c>
      <c r="B48" s="6">
        <v>46</v>
      </c>
      <c r="C48" s="6">
        <v>6</v>
      </c>
      <c r="D48" s="8">
        <v>38963</v>
      </c>
      <c r="E48" s="8">
        <v>38991</v>
      </c>
      <c r="F48" s="8">
        <v>38971</v>
      </c>
      <c r="G48" s="6">
        <v>1</v>
      </c>
      <c r="H48" s="1">
        <v>0.12</v>
      </c>
      <c r="I48" s="1" t="s">
        <v>824</v>
      </c>
      <c r="J48" s="1" t="s">
        <v>825</v>
      </c>
      <c r="K48" s="1" t="s">
        <v>318</v>
      </c>
      <c r="L48" s="1" t="s">
        <v>319</v>
      </c>
      <c r="M48" s="1">
        <v>10229</v>
      </c>
      <c r="N48" s="1" t="s">
        <v>236</v>
      </c>
      <c r="O48" s="11" t="s">
        <v>745</v>
      </c>
      <c r="P48" s="3"/>
    </row>
    <row r="49" spans="1:16">
      <c r="A49" s="6">
        <v>10297</v>
      </c>
      <c r="B49" s="6">
        <v>7</v>
      </c>
      <c r="C49" s="6">
        <v>5</v>
      </c>
      <c r="D49" s="8">
        <v>38964</v>
      </c>
      <c r="E49" s="8">
        <v>39006</v>
      </c>
      <c r="F49" s="8">
        <v>38970</v>
      </c>
      <c r="G49" s="6">
        <v>2</v>
      </c>
      <c r="H49" s="1">
        <v>5.74</v>
      </c>
      <c r="I49" s="1" t="s">
        <v>826</v>
      </c>
      <c r="J49" s="1" t="s">
        <v>75</v>
      </c>
      <c r="K49" s="1" t="s">
        <v>76</v>
      </c>
      <c r="L49" s="2"/>
      <c r="M49" s="1">
        <v>10331</v>
      </c>
      <c r="N49" s="1" t="s">
        <v>77</v>
      </c>
      <c r="O49" s="11" t="s">
        <v>745</v>
      </c>
      <c r="P49" s="3"/>
    </row>
    <row r="50" spans="1:16">
      <c r="A50" s="6">
        <v>10298</v>
      </c>
      <c r="B50" s="6">
        <v>37</v>
      </c>
      <c r="C50" s="6">
        <v>6</v>
      </c>
      <c r="D50" s="8">
        <v>38965</v>
      </c>
      <c r="E50" s="8">
        <v>38993</v>
      </c>
      <c r="F50" s="8">
        <v>38971</v>
      </c>
      <c r="G50" s="6">
        <v>2</v>
      </c>
      <c r="H50" s="1">
        <v>168.22</v>
      </c>
      <c r="I50" s="1" t="s">
        <v>827</v>
      </c>
      <c r="J50" s="1" t="s">
        <v>828</v>
      </c>
      <c r="K50" s="1" t="s">
        <v>262</v>
      </c>
      <c r="L50" s="1" t="s">
        <v>263</v>
      </c>
      <c r="M50" s="1">
        <v>10202</v>
      </c>
      <c r="N50" s="1" t="s">
        <v>264</v>
      </c>
      <c r="O50" s="11" t="s">
        <v>745</v>
      </c>
      <c r="P50" s="3"/>
    </row>
    <row r="51" spans="1:16">
      <c r="A51" s="6">
        <v>10299</v>
      </c>
      <c r="B51" s="6">
        <v>67</v>
      </c>
      <c r="C51" s="6">
        <v>4</v>
      </c>
      <c r="D51" s="8">
        <v>38966</v>
      </c>
      <c r="E51" s="8">
        <v>38994</v>
      </c>
      <c r="F51" s="8">
        <v>38973</v>
      </c>
      <c r="G51" s="6">
        <v>2</v>
      </c>
      <c r="H51" s="1">
        <v>29.76</v>
      </c>
      <c r="I51" s="1" t="s">
        <v>810</v>
      </c>
      <c r="J51" s="1" t="s">
        <v>811</v>
      </c>
      <c r="K51" s="1" t="s">
        <v>242</v>
      </c>
      <c r="L51" s="1" t="s">
        <v>243</v>
      </c>
      <c r="M51" s="1">
        <v>10291</v>
      </c>
      <c r="N51" s="1" t="s">
        <v>129</v>
      </c>
      <c r="O51" s="11" t="s">
        <v>745</v>
      </c>
      <c r="P51" s="3"/>
    </row>
    <row r="52" spans="1:16">
      <c r="A52" s="6">
        <v>10300</v>
      </c>
      <c r="B52" s="6">
        <v>49</v>
      </c>
      <c r="C52" s="6">
        <v>2</v>
      </c>
      <c r="D52" s="8">
        <v>38969</v>
      </c>
      <c r="E52" s="8">
        <v>38997</v>
      </c>
      <c r="F52" s="8">
        <v>38978</v>
      </c>
      <c r="G52" s="6">
        <v>2</v>
      </c>
      <c r="H52" s="1">
        <v>17.68</v>
      </c>
      <c r="I52" s="1" t="s">
        <v>790</v>
      </c>
      <c r="J52" s="1" t="s">
        <v>791</v>
      </c>
      <c r="K52" s="1" t="s">
        <v>338</v>
      </c>
      <c r="L52" s="2"/>
      <c r="M52" s="1">
        <v>10235</v>
      </c>
      <c r="N52" s="1" t="s">
        <v>198</v>
      </c>
      <c r="O52" s="11" t="s">
        <v>745</v>
      </c>
      <c r="P52" s="3"/>
    </row>
    <row r="53" spans="1:16">
      <c r="A53" s="6">
        <v>10301</v>
      </c>
      <c r="B53" s="6">
        <v>86</v>
      </c>
      <c r="C53" s="6">
        <v>8</v>
      </c>
      <c r="D53" s="8">
        <v>38969</v>
      </c>
      <c r="E53" s="8">
        <v>38997</v>
      </c>
      <c r="F53" s="8">
        <v>38977</v>
      </c>
      <c r="G53" s="6">
        <v>2</v>
      </c>
      <c r="H53" s="1">
        <v>45.08</v>
      </c>
      <c r="I53" s="1" t="s">
        <v>829</v>
      </c>
      <c r="J53" s="1" t="s">
        <v>830</v>
      </c>
      <c r="K53" s="1" t="s">
        <v>544</v>
      </c>
      <c r="L53" s="2"/>
      <c r="M53" s="1">
        <v>10347</v>
      </c>
      <c r="N53" s="1" t="s">
        <v>36</v>
      </c>
      <c r="O53" s="11" t="s">
        <v>745</v>
      </c>
      <c r="P53" s="3"/>
    </row>
    <row r="54" spans="1:16">
      <c r="A54" s="6">
        <v>10302</v>
      </c>
      <c r="B54" s="6">
        <v>76</v>
      </c>
      <c r="C54" s="6">
        <v>4</v>
      </c>
      <c r="D54" s="8">
        <v>38970</v>
      </c>
      <c r="E54" s="8">
        <v>38998</v>
      </c>
      <c r="F54" s="8">
        <v>38999</v>
      </c>
      <c r="G54" s="6">
        <v>2</v>
      </c>
      <c r="H54" s="1">
        <v>6.27</v>
      </c>
      <c r="I54" s="1" t="s">
        <v>748</v>
      </c>
      <c r="J54" s="1" t="s">
        <v>749</v>
      </c>
      <c r="K54" s="1" t="s">
        <v>488</v>
      </c>
      <c r="L54" s="2"/>
      <c r="M54" s="1">
        <v>10318</v>
      </c>
      <c r="N54" s="1" t="s">
        <v>345</v>
      </c>
      <c r="O54" s="11" t="s">
        <v>745</v>
      </c>
      <c r="P54" s="3"/>
    </row>
    <row r="55" spans="1:16">
      <c r="A55" s="6">
        <v>10303</v>
      </c>
      <c r="B55" s="6">
        <v>30</v>
      </c>
      <c r="C55" s="6">
        <v>7</v>
      </c>
      <c r="D55" s="8">
        <v>38971</v>
      </c>
      <c r="E55" s="8">
        <v>38999</v>
      </c>
      <c r="F55" s="8">
        <v>38978</v>
      </c>
      <c r="G55" s="6">
        <v>2</v>
      </c>
      <c r="H55" s="1">
        <v>107.83</v>
      </c>
      <c r="I55" s="1" t="s">
        <v>831</v>
      </c>
      <c r="J55" s="1" t="s">
        <v>832</v>
      </c>
      <c r="K55" s="1" t="s">
        <v>217</v>
      </c>
      <c r="L55" s="2"/>
      <c r="M55" s="1">
        <v>10183</v>
      </c>
      <c r="N55" s="1" t="s">
        <v>84</v>
      </c>
      <c r="O55" s="11" t="s">
        <v>745</v>
      </c>
      <c r="P55" s="3"/>
    </row>
    <row r="56" spans="1:16">
      <c r="A56" s="6">
        <v>10304</v>
      </c>
      <c r="B56" s="6">
        <v>80</v>
      </c>
      <c r="C56" s="6">
        <v>1</v>
      </c>
      <c r="D56" s="8">
        <v>38972</v>
      </c>
      <c r="E56" s="8">
        <v>39000</v>
      </c>
      <c r="F56" s="8">
        <v>38977</v>
      </c>
      <c r="G56" s="6">
        <v>2</v>
      </c>
      <c r="H56" s="1">
        <v>63.79</v>
      </c>
      <c r="I56" s="1" t="s">
        <v>792</v>
      </c>
      <c r="J56" s="1" t="s">
        <v>793</v>
      </c>
      <c r="K56" s="1" t="s">
        <v>43</v>
      </c>
      <c r="L56" s="2"/>
      <c r="M56" s="1">
        <v>10334</v>
      </c>
      <c r="N56" s="1" t="s">
        <v>44</v>
      </c>
      <c r="O56" s="11" t="s">
        <v>745</v>
      </c>
      <c r="P56" s="3"/>
    </row>
    <row r="57" spans="1:16">
      <c r="A57" s="6">
        <v>10305</v>
      </c>
      <c r="B57" s="6">
        <v>55</v>
      </c>
      <c r="C57" s="6">
        <v>8</v>
      </c>
      <c r="D57" s="8">
        <v>38973</v>
      </c>
      <c r="E57" s="8">
        <v>39001</v>
      </c>
      <c r="F57" s="8">
        <v>38999</v>
      </c>
      <c r="G57" s="6">
        <v>3</v>
      </c>
      <c r="H57" s="1">
        <v>257.62</v>
      </c>
      <c r="I57" s="1" t="s">
        <v>833</v>
      </c>
      <c r="J57" s="1" t="s">
        <v>834</v>
      </c>
      <c r="K57" s="1" t="s">
        <v>371</v>
      </c>
      <c r="L57" s="1" t="s">
        <v>372</v>
      </c>
      <c r="M57" s="1">
        <v>10256</v>
      </c>
      <c r="N57" s="1" t="s">
        <v>229</v>
      </c>
      <c r="O57" s="11" t="s">
        <v>745</v>
      </c>
      <c r="P57" s="3"/>
    </row>
    <row r="58" spans="1:16">
      <c r="A58" s="6">
        <v>10306</v>
      </c>
      <c r="B58" s="6">
        <v>69</v>
      </c>
      <c r="C58" s="6">
        <v>1</v>
      </c>
      <c r="D58" s="8">
        <v>38976</v>
      </c>
      <c r="E58" s="8">
        <v>39004</v>
      </c>
      <c r="F58" s="8">
        <v>38983</v>
      </c>
      <c r="G58" s="6">
        <v>3</v>
      </c>
      <c r="H58" s="1">
        <v>7.56</v>
      </c>
      <c r="I58" s="1" t="s">
        <v>804</v>
      </c>
      <c r="J58" s="1" t="s">
        <v>805</v>
      </c>
      <c r="K58" s="1" t="s">
        <v>83</v>
      </c>
      <c r="L58" s="2"/>
      <c r="M58" s="1">
        <v>10298</v>
      </c>
      <c r="N58" s="1" t="s">
        <v>84</v>
      </c>
      <c r="O58" s="11" t="s">
        <v>745</v>
      </c>
      <c r="P58" s="3"/>
    </row>
    <row r="59" spans="1:16">
      <c r="A59" s="6">
        <v>10307</v>
      </c>
      <c r="B59" s="6">
        <v>48</v>
      </c>
      <c r="C59" s="6">
        <v>2</v>
      </c>
      <c r="D59" s="8">
        <v>38977</v>
      </c>
      <c r="E59" s="8">
        <v>39005</v>
      </c>
      <c r="F59" s="8">
        <v>38985</v>
      </c>
      <c r="G59" s="6">
        <v>2</v>
      </c>
      <c r="H59" s="1">
        <v>0.56000000000000005</v>
      </c>
      <c r="I59" s="1" t="s">
        <v>835</v>
      </c>
      <c r="J59" s="1" t="s">
        <v>836</v>
      </c>
      <c r="K59" s="1" t="s">
        <v>332</v>
      </c>
      <c r="L59" s="1" t="s">
        <v>228</v>
      </c>
      <c r="M59" s="1">
        <v>10233</v>
      </c>
      <c r="N59" s="1" t="s">
        <v>229</v>
      </c>
      <c r="O59" s="11" t="s">
        <v>745</v>
      </c>
      <c r="P59" s="3"/>
    </row>
    <row r="60" spans="1:16">
      <c r="A60" s="6">
        <v>10308</v>
      </c>
      <c r="B60" s="6">
        <v>2</v>
      </c>
      <c r="C60" s="6">
        <v>7</v>
      </c>
      <c r="D60" s="8">
        <v>38978</v>
      </c>
      <c r="E60" s="8">
        <v>39006</v>
      </c>
      <c r="F60" s="8">
        <v>38984</v>
      </c>
      <c r="G60" s="6">
        <v>3</v>
      </c>
      <c r="H60" s="1">
        <v>1.61</v>
      </c>
      <c r="I60" s="1" t="s">
        <v>837</v>
      </c>
      <c r="J60" s="1" t="s">
        <v>838</v>
      </c>
      <c r="K60" s="1" t="s">
        <v>43</v>
      </c>
      <c r="L60" s="2"/>
      <c r="M60" s="1">
        <v>10180</v>
      </c>
      <c r="N60" s="1" t="s">
        <v>44</v>
      </c>
      <c r="O60" s="11" t="s">
        <v>745</v>
      </c>
      <c r="P60" s="3"/>
    </row>
    <row r="61" spans="1:16">
      <c r="A61" s="6">
        <v>10309</v>
      </c>
      <c r="B61" s="6">
        <v>37</v>
      </c>
      <c r="C61" s="6">
        <v>3</v>
      </c>
      <c r="D61" s="8">
        <v>38979</v>
      </c>
      <c r="E61" s="8">
        <v>39007</v>
      </c>
      <c r="F61" s="8">
        <v>39013</v>
      </c>
      <c r="G61" s="6">
        <v>1</v>
      </c>
      <c r="H61" s="1">
        <v>47.3</v>
      </c>
      <c r="I61" s="1" t="s">
        <v>827</v>
      </c>
      <c r="J61" s="1" t="s">
        <v>828</v>
      </c>
      <c r="K61" s="1" t="s">
        <v>262</v>
      </c>
      <c r="L61" s="1" t="s">
        <v>263</v>
      </c>
      <c r="M61" s="1">
        <v>10202</v>
      </c>
      <c r="N61" s="1" t="s">
        <v>264</v>
      </c>
      <c r="O61" s="11" t="s">
        <v>745</v>
      </c>
      <c r="P61" s="3"/>
    </row>
    <row r="62" spans="1:16">
      <c r="A62" s="6">
        <v>10310</v>
      </c>
      <c r="B62" s="6">
        <v>77</v>
      </c>
      <c r="C62" s="6">
        <v>8</v>
      </c>
      <c r="D62" s="8">
        <v>38980</v>
      </c>
      <c r="E62" s="8">
        <v>39008</v>
      </c>
      <c r="F62" s="8">
        <v>38987</v>
      </c>
      <c r="G62" s="6">
        <v>2</v>
      </c>
      <c r="H62" s="1">
        <v>17.52</v>
      </c>
      <c r="I62" s="1" t="s">
        <v>839</v>
      </c>
      <c r="J62" s="1" t="s">
        <v>493</v>
      </c>
      <c r="K62" s="1" t="s">
        <v>332</v>
      </c>
      <c r="L62" s="1" t="s">
        <v>228</v>
      </c>
      <c r="M62" s="1">
        <v>10321</v>
      </c>
      <c r="N62" s="1" t="s">
        <v>229</v>
      </c>
      <c r="O62" s="11" t="s">
        <v>745</v>
      </c>
      <c r="P62" s="3"/>
    </row>
    <row r="63" spans="1:16">
      <c r="A63" s="6">
        <v>10311</v>
      </c>
      <c r="B63" s="6">
        <v>18</v>
      </c>
      <c r="C63" s="6">
        <v>1</v>
      </c>
      <c r="D63" s="8">
        <v>38980</v>
      </c>
      <c r="E63" s="8">
        <v>38994</v>
      </c>
      <c r="F63" s="8">
        <v>38986</v>
      </c>
      <c r="G63" s="6">
        <v>3</v>
      </c>
      <c r="H63" s="1">
        <v>24.69</v>
      </c>
      <c r="I63" s="1" t="s">
        <v>840</v>
      </c>
      <c r="J63" s="1" t="s">
        <v>841</v>
      </c>
      <c r="K63" s="1" t="s">
        <v>145</v>
      </c>
      <c r="L63" s="2"/>
      <c r="M63" s="1">
        <v>10148</v>
      </c>
      <c r="N63" s="1" t="s">
        <v>77</v>
      </c>
      <c r="O63" s="11" t="s">
        <v>745</v>
      </c>
      <c r="P63" s="3"/>
    </row>
    <row r="64" spans="1:16">
      <c r="A64" s="6">
        <v>10312</v>
      </c>
      <c r="B64" s="6">
        <v>86</v>
      </c>
      <c r="C64" s="6">
        <v>2</v>
      </c>
      <c r="D64" s="8">
        <v>38983</v>
      </c>
      <c r="E64" s="8">
        <v>39011</v>
      </c>
      <c r="F64" s="8">
        <v>38993</v>
      </c>
      <c r="G64" s="6">
        <v>2</v>
      </c>
      <c r="H64" s="1">
        <v>40.26</v>
      </c>
      <c r="I64" s="1" t="s">
        <v>842</v>
      </c>
      <c r="J64" s="1" t="s">
        <v>843</v>
      </c>
      <c r="K64" s="1" t="s">
        <v>544</v>
      </c>
      <c r="L64" s="2"/>
      <c r="M64" s="1">
        <v>10348</v>
      </c>
      <c r="N64" s="1" t="s">
        <v>36</v>
      </c>
      <c r="O64" s="11" t="s">
        <v>745</v>
      </c>
      <c r="P64" s="3"/>
    </row>
    <row r="65" spans="1:16">
      <c r="A65" s="6">
        <v>10313</v>
      </c>
      <c r="B65" s="6">
        <v>63</v>
      </c>
      <c r="C65" s="6">
        <v>2</v>
      </c>
      <c r="D65" s="8">
        <v>38984</v>
      </c>
      <c r="E65" s="8">
        <v>39012</v>
      </c>
      <c r="F65" s="8">
        <v>38994</v>
      </c>
      <c r="G65" s="6">
        <v>2</v>
      </c>
      <c r="H65" s="1">
        <v>1.96</v>
      </c>
      <c r="I65" s="1" t="s">
        <v>787</v>
      </c>
      <c r="J65" s="1" t="s">
        <v>412</v>
      </c>
      <c r="K65" s="1" t="s">
        <v>413</v>
      </c>
      <c r="L65" s="2"/>
      <c r="M65" s="1">
        <v>10279</v>
      </c>
      <c r="N65" s="1" t="s">
        <v>36</v>
      </c>
      <c r="O65" s="11" t="s">
        <v>745</v>
      </c>
      <c r="P65" s="3"/>
    </row>
    <row r="66" spans="1:16">
      <c r="A66" s="6">
        <v>10314</v>
      </c>
      <c r="B66" s="6">
        <v>65</v>
      </c>
      <c r="C66" s="6">
        <v>1</v>
      </c>
      <c r="D66" s="8">
        <v>38985</v>
      </c>
      <c r="E66" s="8">
        <v>39013</v>
      </c>
      <c r="F66" s="8">
        <v>38994</v>
      </c>
      <c r="G66" s="6">
        <v>2</v>
      </c>
      <c r="H66" s="1">
        <v>74.16</v>
      </c>
      <c r="I66" s="1" t="s">
        <v>785</v>
      </c>
      <c r="J66" s="1" t="s">
        <v>786</v>
      </c>
      <c r="K66" s="1" t="s">
        <v>424</v>
      </c>
      <c r="L66" s="1" t="s">
        <v>425</v>
      </c>
      <c r="M66" s="1">
        <v>10285</v>
      </c>
      <c r="N66" s="1" t="s">
        <v>229</v>
      </c>
      <c r="O66" s="11" t="s">
        <v>745</v>
      </c>
      <c r="P66" s="3"/>
    </row>
    <row r="67" spans="1:16">
      <c r="A67" s="6">
        <v>10315</v>
      </c>
      <c r="B67" s="6">
        <v>38</v>
      </c>
      <c r="C67" s="6">
        <v>4</v>
      </c>
      <c r="D67" s="8">
        <v>38986</v>
      </c>
      <c r="E67" s="8">
        <v>39014</v>
      </c>
      <c r="F67" s="8">
        <v>38993</v>
      </c>
      <c r="G67" s="6">
        <v>2</v>
      </c>
      <c r="H67" s="1">
        <v>41.76</v>
      </c>
      <c r="I67" s="1" t="s">
        <v>844</v>
      </c>
      <c r="J67" s="1" t="s">
        <v>845</v>
      </c>
      <c r="K67" s="1" t="s">
        <v>270</v>
      </c>
      <c r="L67" s="1" t="s">
        <v>271</v>
      </c>
      <c r="M67" s="1">
        <v>10207</v>
      </c>
      <c r="N67" s="1" t="s">
        <v>55</v>
      </c>
      <c r="O67" s="11" t="s">
        <v>745</v>
      </c>
      <c r="P67" s="3"/>
    </row>
    <row r="68" spans="1:16">
      <c r="A68" s="6">
        <v>10316</v>
      </c>
      <c r="B68" s="6">
        <v>65</v>
      </c>
      <c r="C68" s="6">
        <v>1</v>
      </c>
      <c r="D68" s="8">
        <v>38987</v>
      </c>
      <c r="E68" s="8">
        <v>39015</v>
      </c>
      <c r="F68" s="8">
        <v>38998</v>
      </c>
      <c r="G68" s="6">
        <v>3</v>
      </c>
      <c r="H68" s="1">
        <v>150.15</v>
      </c>
      <c r="I68" s="1" t="s">
        <v>767</v>
      </c>
      <c r="J68" s="1" t="s">
        <v>768</v>
      </c>
      <c r="K68" s="1" t="s">
        <v>424</v>
      </c>
      <c r="L68" s="1" t="s">
        <v>425</v>
      </c>
      <c r="M68" s="1">
        <v>10286</v>
      </c>
      <c r="N68" s="1" t="s">
        <v>229</v>
      </c>
      <c r="O68" s="11" t="s">
        <v>745</v>
      </c>
      <c r="P68" s="3"/>
    </row>
    <row r="69" spans="1:16">
      <c r="A69" s="6">
        <v>10317</v>
      </c>
      <c r="B69" s="6">
        <v>48</v>
      </c>
      <c r="C69" s="6">
        <v>6</v>
      </c>
      <c r="D69" s="8">
        <v>38990</v>
      </c>
      <c r="E69" s="8">
        <v>39018</v>
      </c>
      <c r="F69" s="8">
        <v>39000</v>
      </c>
      <c r="G69" s="6">
        <v>1</v>
      </c>
      <c r="H69" s="1">
        <v>12.69</v>
      </c>
      <c r="I69" s="1" t="s">
        <v>835</v>
      </c>
      <c r="J69" s="1" t="s">
        <v>836</v>
      </c>
      <c r="K69" s="1" t="s">
        <v>332</v>
      </c>
      <c r="L69" s="1" t="s">
        <v>228</v>
      </c>
      <c r="M69" s="1">
        <v>10233</v>
      </c>
      <c r="N69" s="1" t="s">
        <v>229</v>
      </c>
      <c r="O69" s="11" t="s">
        <v>745</v>
      </c>
      <c r="P69" s="3"/>
    </row>
    <row r="70" spans="1:16">
      <c r="A70" s="6">
        <v>10318</v>
      </c>
      <c r="B70" s="6">
        <v>38</v>
      </c>
      <c r="C70" s="6">
        <v>8</v>
      </c>
      <c r="D70" s="8">
        <v>38991</v>
      </c>
      <c r="E70" s="8">
        <v>39019</v>
      </c>
      <c r="F70" s="8">
        <v>38994</v>
      </c>
      <c r="G70" s="6">
        <v>2</v>
      </c>
      <c r="H70" s="1">
        <v>4.7300000000000004</v>
      </c>
      <c r="I70" s="1" t="s">
        <v>844</v>
      </c>
      <c r="J70" s="1" t="s">
        <v>845</v>
      </c>
      <c r="K70" s="1" t="s">
        <v>270</v>
      </c>
      <c r="L70" s="1" t="s">
        <v>271</v>
      </c>
      <c r="M70" s="1">
        <v>10207</v>
      </c>
      <c r="N70" s="1" t="s">
        <v>55</v>
      </c>
      <c r="O70" s="11" t="s">
        <v>745</v>
      </c>
      <c r="P70" s="3"/>
    </row>
    <row r="71" spans="1:16">
      <c r="A71" s="6">
        <v>10319</v>
      </c>
      <c r="B71" s="6">
        <v>80</v>
      </c>
      <c r="C71" s="6">
        <v>7</v>
      </c>
      <c r="D71" s="8">
        <v>38992</v>
      </c>
      <c r="E71" s="8">
        <v>39020</v>
      </c>
      <c r="F71" s="8">
        <v>39001</v>
      </c>
      <c r="G71" s="6">
        <v>3</v>
      </c>
      <c r="H71" s="1">
        <v>64.5</v>
      </c>
      <c r="I71" s="1" t="s">
        <v>821</v>
      </c>
      <c r="J71" s="1" t="s">
        <v>510</v>
      </c>
      <c r="K71" s="1" t="s">
        <v>43</v>
      </c>
      <c r="L71" s="2"/>
      <c r="M71" s="1">
        <v>10333</v>
      </c>
      <c r="N71" s="1" t="s">
        <v>44</v>
      </c>
      <c r="O71" s="11" t="s">
        <v>745</v>
      </c>
      <c r="P71" s="3"/>
    </row>
    <row r="72" spans="1:16">
      <c r="A72" s="6">
        <v>10320</v>
      </c>
      <c r="B72" s="6">
        <v>87</v>
      </c>
      <c r="C72" s="6">
        <v>5</v>
      </c>
      <c r="D72" s="8">
        <v>38993</v>
      </c>
      <c r="E72" s="8">
        <v>39007</v>
      </c>
      <c r="F72" s="8">
        <v>39008</v>
      </c>
      <c r="G72" s="6">
        <v>3</v>
      </c>
      <c r="H72" s="1">
        <v>34.57</v>
      </c>
      <c r="I72" s="1" t="s">
        <v>846</v>
      </c>
      <c r="J72" s="1" t="s">
        <v>847</v>
      </c>
      <c r="K72" s="1" t="s">
        <v>550</v>
      </c>
      <c r="L72" s="2"/>
      <c r="M72" s="1">
        <v>10350</v>
      </c>
      <c r="N72" s="1" t="s">
        <v>551</v>
      </c>
      <c r="O72" s="11" t="s">
        <v>745</v>
      </c>
      <c r="P72" s="3"/>
    </row>
    <row r="73" spans="1:16">
      <c r="A73" s="6">
        <v>10321</v>
      </c>
      <c r="B73" s="6">
        <v>38</v>
      </c>
      <c r="C73" s="6">
        <v>3</v>
      </c>
      <c r="D73" s="8">
        <v>38993</v>
      </c>
      <c r="E73" s="8">
        <v>39021</v>
      </c>
      <c r="F73" s="8">
        <v>39001</v>
      </c>
      <c r="G73" s="6">
        <v>2</v>
      </c>
      <c r="H73" s="1">
        <v>3.43</v>
      </c>
      <c r="I73" s="1" t="s">
        <v>848</v>
      </c>
      <c r="J73" s="1" t="s">
        <v>849</v>
      </c>
      <c r="K73" s="1" t="s">
        <v>270</v>
      </c>
      <c r="L73" s="1" t="s">
        <v>271</v>
      </c>
      <c r="M73" s="1">
        <v>10206</v>
      </c>
      <c r="N73" s="1" t="s">
        <v>55</v>
      </c>
      <c r="O73" s="11" t="s">
        <v>745</v>
      </c>
      <c r="P73" s="3"/>
    </row>
    <row r="74" spans="1:16">
      <c r="A74" s="6">
        <v>10322</v>
      </c>
      <c r="B74" s="6">
        <v>58</v>
      </c>
      <c r="C74" s="6">
        <v>7</v>
      </c>
      <c r="D74" s="8">
        <v>38994</v>
      </c>
      <c r="E74" s="8">
        <v>39022</v>
      </c>
      <c r="F74" s="8">
        <v>39013</v>
      </c>
      <c r="G74" s="6">
        <v>3</v>
      </c>
      <c r="H74" s="1">
        <v>0.4</v>
      </c>
      <c r="I74" s="1" t="s">
        <v>850</v>
      </c>
      <c r="J74" s="1" t="s">
        <v>851</v>
      </c>
      <c r="K74" s="1" t="s">
        <v>43</v>
      </c>
      <c r="L74" s="2"/>
      <c r="M74" s="1">
        <v>10261</v>
      </c>
      <c r="N74" s="1" t="s">
        <v>44</v>
      </c>
      <c r="O74" s="11" t="s">
        <v>745</v>
      </c>
      <c r="P74" s="3"/>
    </row>
    <row r="75" spans="1:16">
      <c r="A75" s="6">
        <v>10323</v>
      </c>
      <c r="B75" s="6">
        <v>39</v>
      </c>
      <c r="C75" s="6">
        <v>4</v>
      </c>
      <c r="D75" s="8">
        <v>38997</v>
      </c>
      <c r="E75" s="8">
        <v>39025</v>
      </c>
      <c r="F75" s="8">
        <v>39004</v>
      </c>
      <c r="G75" s="6">
        <v>1</v>
      </c>
      <c r="H75" s="1">
        <v>4.88</v>
      </c>
      <c r="I75" s="1" t="s">
        <v>852</v>
      </c>
      <c r="J75" s="1" t="s">
        <v>853</v>
      </c>
      <c r="K75" s="1" t="s">
        <v>276</v>
      </c>
      <c r="L75" s="2"/>
      <c r="M75" s="1">
        <v>10209</v>
      </c>
      <c r="N75" s="1" t="s">
        <v>36</v>
      </c>
      <c r="O75" s="11" t="s">
        <v>745</v>
      </c>
      <c r="P75" s="3"/>
    </row>
    <row r="76" spans="1:16">
      <c r="A76" s="6">
        <v>10324</v>
      </c>
      <c r="B76" s="6">
        <v>71</v>
      </c>
      <c r="C76" s="6">
        <v>9</v>
      </c>
      <c r="D76" s="8">
        <v>38998</v>
      </c>
      <c r="E76" s="8">
        <v>39026</v>
      </c>
      <c r="F76" s="8">
        <v>39000</v>
      </c>
      <c r="G76" s="6">
        <v>1</v>
      </c>
      <c r="H76" s="1">
        <v>214.27</v>
      </c>
      <c r="I76" s="1" t="s">
        <v>854</v>
      </c>
      <c r="J76" s="1" t="s">
        <v>457</v>
      </c>
      <c r="K76" s="1" t="s">
        <v>458</v>
      </c>
      <c r="L76" s="1" t="s">
        <v>459</v>
      </c>
      <c r="M76" s="1">
        <v>10307</v>
      </c>
      <c r="N76" s="1" t="s">
        <v>229</v>
      </c>
      <c r="O76" s="11" t="s">
        <v>745</v>
      </c>
      <c r="P76" s="3"/>
    </row>
    <row r="77" spans="1:16">
      <c r="A77" s="6">
        <v>10325</v>
      </c>
      <c r="B77" s="6">
        <v>39</v>
      </c>
      <c r="C77" s="6">
        <v>1</v>
      </c>
      <c r="D77" s="8">
        <v>38999</v>
      </c>
      <c r="E77" s="8">
        <v>39013</v>
      </c>
      <c r="F77" s="8">
        <v>39004</v>
      </c>
      <c r="G77" s="6">
        <v>3</v>
      </c>
      <c r="H77" s="1">
        <v>64.86</v>
      </c>
      <c r="I77" s="1" t="s">
        <v>852</v>
      </c>
      <c r="J77" s="1" t="s">
        <v>853</v>
      </c>
      <c r="K77" s="1" t="s">
        <v>276</v>
      </c>
      <c r="L77" s="2"/>
      <c r="M77" s="1">
        <v>10209</v>
      </c>
      <c r="N77" s="1" t="s">
        <v>36</v>
      </c>
      <c r="O77" s="11" t="s">
        <v>745</v>
      </c>
      <c r="P77" s="3"/>
    </row>
    <row r="78" spans="1:16">
      <c r="A78" s="6">
        <v>10326</v>
      </c>
      <c r="B78" s="6">
        <v>8</v>
      </c>
      <c r="C78" s="6">
        <v>4</v>
      </c>
      <c r="D78" s="8">
        <v>39000</v>
      </c>
      <c r="E78" s="8">
        <v>39028</v>
      </c>
      <c r="F78" s="8">
        <v>39004</v>
      </c>
      <c r="G78" s="6">
        <v>2</v>
      </c>
      <c r="H78" s="1">
        <v>77.92</v>
      </c>
      <c r="I78" s="1" t="s">
        <v>855</v>
      </c>
      <c r="J78" s="1" t="s">
        <v>82</v>
      </c>
      <c r="K78" s="1" t="s">
        <v>83</v>
      </c>
      <c r="L78" s="2"/>
      <c r="M78" s="1">
        <v>10359</v>
      </c>
      <c r="N78" s="1" t="s">
        <v>84</v>
      </c>
      <c r="O78" s="11" t="s">
        <v>745</v>
      </c>
      <c r="P78" s="3"/>
    </row>
    <row r="79" spans="1:16">
      <c r="A79" s="6">
        <v>10327</v>
      </c>
      <c r="B79" s="6">
        <v>24</v>
      </c>
      <c r="C79" s="6">
        <v>2</v>
      </c>
      <c r="D79" s="8">
        <v>39001</v>
      </c>
      <c r="E79" s="8">
        <v>39029</v>
      </c>
      <c r="F79" s="8">
        <v>39004</v>
      </c>
      <c r="G79" s="6">
        <v>1</v>
      </c>
      <c r="H79" s="1">
        <v>63.36</v>
      </c>
      <c r="I79" s="1" t="s">
        <v>856</v>
      </c>
      <c r="J79" s="1" t="s">
        <v>857</v>
      </c>
      <c r="K79" s="1" t="s">
        <v>181</v>
      </c>
      <c r="L79" s="2"/>
      <c r="M79" s="1">
        <v>10165</v>
      </c>
      <c r="N79" s="1" t="s">
        <v>63</v>
      </c>
      <c r="O79" s="11" t="s">
        <v>745</v>
      </c>
      <c r="P79" s="3"/>
    </row>
    <row r="80" spans="1:16">
      <c r="A80" s="6">
        <v>10328</v>
      </c>
      <c r="B80" s="6">
        <v>28</v>
      </c>
      <c r="C80" s="6">
        <v>4</v>
      </c>
      <c r="D80" s="8">
        <v>39004</v>
      </c>
      <c r="E80" s="8">
        <v>39032</v>
      </c>
      <c r="F80" s="8">
        <v>39007</v>
      </c>
      <c r="G80" s="6">
        <v>3</v>
      </c>
      <c r="H80" s="1">
        <v>87.03</v>
      </c>
      <c r="I80" s="1" t="s">
        <v>858</v>
      </c>
      <c r="J80" s="1" t="s">
        <v>203</v>
      </c>
      <c r="K80" s="1" t="s">
        <v>204</v>
      </c>
      <c r="L80" s="2"/>
      <c r="M80" s="1">
        <v>10176</v>
      </c>
      <c r="N80" s="1" t="s">
        <v>205</v>
      </c>
      <c r="O80" s="11" t="s">
        <v>745</v>
      </c>
      <c r="P80" s="3"/>
    </row>
    <row r="81" spans="1:16">
      <c r="A81" s="6">
        <v>10329</v>
      </c>
      <c r="B81" s="6">
        <v>75</v>
      </c>
      <c r="C81" s="6">
        <v>4</v>
      </c>
      <c r="D81" s="8">
        <v>39005</v>
      </c>
      <c r="E81" s="8">
        <v>39047</v>
      </c>
      <c r="F81" s="8">
        <v>39013</v>
      </c>
      <c r="G81" s="6">
        <v>2</v>
      </c>
      <c r="H81" s="1">
        <v>191.67</v>
      </c>
      <c r="I81" s="1" t="s">
        <v>783</v>
      </c>
      <c r="J81" s="1" t="s">
        <v>784</v>
      </c>
      <c r="K81" s="1" t="s">
        <v>481</v>
      </c>
      <c r="L81" s="1" t="s">
        <v>482</v>
      </c>
      <c r="M81" s="1">
        <v>10316</v>
      </c>
      <c r="N81" s="1" t="s">
        <v>229</v>
      </c>
      <c r="O81" s="11" t="s">
        <v>745</v>
      </c>
      <c r="P81" s="3"/>
    </row>
    <row r="82" spans="1:16">
      <c r="A82" s="6">
        <v>10330</v>
      </c>
      <c r="B82" s="6">
        <v>46</v>
      </c>
      <c r="C82" s="6">
        <v>3</v>
      </c>
      <c r="D82" s="8">
        <v>39006</v>
      </c>
      <c r="E82" s="8">
        <v>39034</v>
      </c>
      <c r="F82" s="8">
        <v>39018</v>
      </c>
      <c r="G82" s="6">
        <v>1</v>
      </c>
      <c r="H82" s="1">
        <v>12.75</v>
      </c>
      <c r="I82" s="1" t="s">
        <v>806</v>
      </c>
      <c r="J82" s="1" t="s">
        <v>807</v>
      </c>
      <c r="K82" s="1" t="s">
        <v>318</v>
      </c>
      <c r="L82" s="1" t="s">
        <v>319</v>
      </c>
      <c r="M82" s="1">
        <v>10227</v>
      </c>
      <c r="N82" s="1" t="s">
        <v>236</v>
      </c>
      <c r="O82" s="11" t="s">
        <v>745</v>
      </c>
      <c r="P82" s="3"/>
    </row>
    <row r="83" spans="1:16">
      <c r="A83" s="6">
        <v>10331</v>
      </c>
      <c r="B83" s="6">
        <v>9</v>
      </c>
      <c r="C83" s="6">
        <v>9</v>
      </c>
      <c r="D83" s="8">
        <v>39006</v>
      </c>
      <c r="E83" s="8">
        <v>39048</v>
      </c>
      <c r="F83" s="8">
        <v>39011</v>
      </c>
      <c r="G83" s="6">
        <v>1</v>
      </c>
      <c r="H83" s="1">
        <v>10.19</v>
      </c>
      <c r="I83" s="1" t="s">
        <v>859</v>
      </c>
      <c r="J83" s="1" t="s">
        <v>860</v>
      </c>
      <c r="K83" s="1" t="s">
        <v>90</v>
      </c>
      <c r="L83" s="2"/>
      <c r="M83" s="1">
        <v>10369</v>
      </c>
      <c r="N83" s="1" t="s">
        <v>77</v>
      </c>
      <c r="O83" s="11" t="s">
        <v>745</v>
      </c>
      <c r="P83" s="3"/>
    </row>
    <row r="84" spans="1:16">
      <c r="A84" s="6">
        <v>10332</v>
      </c>
      <c r="B84" s="6">
        <v>51</v>
      </c>
      <c r="C84" s="6">
        <v>3</v>
      </c>
      <c r="D84" s="8">
        <v>39007</v>
      </c>
      <c r="E84" s="8">
        <v>39049</v>
      </c>
      <c r="F84" s="8">
        <v>39011</v>
      </c>
      <c r="G84" s="6">
        <v>2</v>
      </c>
      <c r="H84" s="1">
        <v>52.84</v>
      </c>
      <c r="I84" s="1" t="s">
        <v>861</v>
      </c>
      <c r="J84" s="1" t="s">
        <v>862</v>
      </c>
      <c r="K84" s="1" t="s">
        <v>351</v>
      </c>
      <c r="L84" s="1" t="s">
        <v>352</v>
      </c>
      <c r="M84" s="1">
        <v>10245</v>
      </c>
      <c r="N84" s="1" t="s">
        <v>99</v>
      </c>
      <c r="O84" s="11" t="s">
        <v>745</v>
      </c>
      <c r="P84" s="3"/>
    </row>
    <row r="85" spans="1:16">
      <c r="A85" s="6">
        <v>10333</v>
      </c>
      <c r="B85" s="6">
        <v>87</v>
      </c>
      <c r="C85" s="6">
        <v>5</v>
      </c>
      <c r="D85" s="8">
        <v>39008</v>
      </c>
      <c r="E85" s="8">
        <v>39036</v>
      </c>
      <c r="F85" s="8">
        <v>39015</v>
      </c>
      <c r="G85" s="6">
        <v>3</v>
      </c>
      <c r="H85" s="1">
        <v>0.59</v>
      </c>
      <c r="I85" s="1" t="s">
        <v>863</v>
      </c>
      <c r="J85" s="1" t="s">
        <v>864</v>
      </c>
      <c r="K85" s="1" t="s">
        <v>550</v>
      </c>
      <c r="L85" s="2"/>
      <c r="M85" s="1">
        <v>10352</v>
      </c>
      <c r="N85" s="1" t="s">
        <v>551</v>
      </c>
      <c r="O85" s="11" t="s">
        <v>745</v>
      </c>
      <c r="P85" s="3"/>
    </row>
    <row r="86" spans="1:16">
      <c r="A86" s="6">
        <v>10334</v>
      </c>
      <c r="B86" s="6">
        <v>84</v>
      </c>
      <c r="C86" s="6">
        <v>8</v>
      </c>
      <c r="D86" s="8">
        <v>39011</v>
      </c>
      <c r="E86" s="8">
        <v>39039</v>
      </c>
      <c r="F86" s="8">
        <v>39018</v>
      </c>
      <c r="G86" s="6">
        <v>2</v>
      </c>
      <c r="H86" s="1">
        <v>8.56</v>
      </c>
      <c r="I86" s="1" t="s">
        <v>865</v>
      </c>
      <c r="J86" s="1" t="s">
        <v>866</v>
      </c>
      <c r="K86" s="1" t="s">
        <v>532</v>
      </c>
      <c r="L86" s="2"/>
      <c r="M86" s="1">
        <v>10343</v>
      </c>
      <c r="N86" s="1" t="s">
        <v>77</v>
      </c>
      <c r="O86" s="11" t="s">
        <v>745</v>
      </c>
      <c r="P86" s="3"/>
    </row>
    <row r="87" spans="1:16">
      <c r="A87" s="6">
        <v>10335</v>
      </c>
      <c r="B87" s="6">
        <v>37</v>
      </c>
      <c r="C87" s="6">
        <v>7</v>
      </c>
      <c r="D87" s="8">
        <v>39012</v>
      </c>
      <c r="E87" s="8">
        <v>39040</v>
      </c>
      <c r="F87" s="8">
        <v>39014</v>
      </c>
      <c r="G87" s="6">
        <v>2</v>
      </c>
      <c r="H87" s="1">
        <v>42.11</v>
      </c>
      <c r="I87" s="1" t="s">
        <v>827</v>
      </c>
      <c r="J87" s="1" t="s">
        <v>828</v>
      </c>
      <c r="K87" s="1" t="s">
        <v>262</v>
      </c>
      <c r="L87" s="1" t="s">
        <v>263</v>
      </c>
      <c r="M87" s="1">
        <v>10202</v>
      </c>
      <c r="N87" s="1" t="s">
        <v>264</v>
      </c>
      <c r="O87" s="11" t="s">
        <v>745</v>
      </c>
      <c r="P87" s="3"/>
    </row>
    <row r="88" spans="1:16">
      <c r="A88" s="6">
        <v>10336</v>
      </c>
      <c r="B88" s="6">
        <v>60</v>
      </c>
      <c r="C88" s="6">
        <v>7</v>
      </c>
      <c r="D88" s="8">
        <v>39013</v>
      </c>
      <c r="E88" s="8">
        <v>39041</v>
      </c>
      <c r="F88" s="8">
        <v>39015</v>
      </c>
      <c r="G88" s="6">
        <v>2</v>
      </c>
      <c r="H88" s="1">
        <v>15.51</v>
      </c>
      <c r="I88" s="1" t="s">
        <v>867</v>
      </c>
      <c r="J88" s="1" t="s">
        <v>868</v>
      </c>
      <c r="K88" s="1" t="s">
        <v>204</v>
      </c>
      <c r="L88" s="2"/>
      <c r="M88" s="1">
        <v>10271</v>
      </c>
      <c r="N88" s="1" t="s">
        <v>205</v>
      </c>
      <c r="O88" s="11" t="s">
        <v>745</v>
      </c>
      <c r="P88" s="3"/>
    </row>
    <row r="89" spans="1:16">
      <c r="A89" s="6">
        <v>10337</v>
      </c>
      <c r="B89" s="6">
        <v>25</v>
      </c>
      <c r="C89" s="6">
        <v>4</v>
      </c>
      <c r="D89" s="8">
        <v>39014</v>
      </c>
      <c r="E89" s="8">
        <v>39042</v>
      </c>
      <c r="F89" s="8">
        <v>39019</v>
      </c>
      <c r="G89" s="6">
        <v>3</v>
      </c>
      <c r="H89" s="1">
        <v>108.26</v>
      </c>
      <c r="I89" s="1" t="s">
        <v>869</v>
      </c>
      <c r="J89" s="1" t="s">
        <v>870</v>
      </c>
      <c r="K89" s="1" t="s">
        <v>186</v>
      </c>
      <c r="L89" s="2"/>
      <c r="M89" s="1">
        <v>10169</v>
      </c>
      <c r="N89" s="1" t="s">
        <v>36</v>
      </c>
      <c r="O89" s="11" t="s">
        <v>745</v>
      </c>
      <c r="P89" s="3"/>
    </row>
    <row r="90" spans="1:16">
      <c r="A90" s="6">
        <v>10338</v>
      </c>
      <c r="B90" s="6">
        <v>55</v>
      </c>
      <c r="C90" s="6">
        <v>4</v>
      </c>
      <c r="D90" s="8">
        <v>39015</v>
      </c>
      <c r="E90" s="8">
        <v>39043</v>
      </c>
      <c r="F90" s="8">
        <v>39019</v>
      </c>
      <c r="G90" s="6">
        <v>3</v>
      </c>
      <c r="H90" s="1">
        <v>84.21</v>
      </c>
      <c r="I90" s="1" t="s">
        <v>871</v>
      </c>
      <c r="J90" s="1" t="s">
        <v>872</v>
      </c>
      <c r="K90" s="1" t="s">
        <v>371</v>
      </c>
      <c r="L90" s="1" t="s">
        <v>372</v>
      </c>
      <c r="M90" s="1">
        <v>10257</v>
      </c>
      <c r="N90" s="1" t="s">
        <v>229</v>
      </c>
      <c r="O90" s="11" t="s">
        <v>745</v>
      </c>
      <c r="P90" s="3"/>
    </row>
    <row r="91" spans="1:16">
      <c r="A91" s="6">
        <v>10339</v>
      </c>
      <c r="B91" s="6">
        <v>51</v>
      </c>
      <c r="C91" s="6">
        <v>2</v>
      </c>
      <c r="D91" s="8">
        <v>39018</v>
      </c>
      <c r="E91" s="8">
        <v>39046</v>
      </c>
      <c r="F91" s="8">
        <v>39025</v>
      </c>
      <c r="G91" s="6">
        <v>2</v>
      </c>
      <c r="H91" s="1">
        <v>15.66</v>
      </c>
      <c r="I91" s="1" t="s">
        <v>873</v>
      </c>
      <c r="J91" s="1" t="s">
        <v>350</v>
      </c>
      <c r="K91" s="1" t="s">
        <v>351</v>
      </c>
      <c r="L91" s="1" t="s">
        <v>352</v>
      </c>
      <c r="M91" s="1">
        <v>10246</v>
      </c>
      <c r="N91" s="1" t="s">
        <v>99</v>
      </c>
      <c r="O91" s="11" t="s">
        <v>745</v>
      </c>
      <c r="P91" s="3"/>
    </row>
    <row r="92" spans="1:16">
      <c r="A92" s="6">
        <v>10340</v>
      </c>
      <c r="B92" s="6">
        <v>9</v>
      </c>
      <c r="C92" s="6">
        <v>1</v>
      </c>
      <c r="D92" s="8">
        <v>39019</v>
      </c>
      <c r="E92" s="8">
        <v>39047</v>
      </c>
      <c r="F92" s="8">
        <v>39029</v>
      </c>
      <c r="G92" s="6">
        <v>3</v>
      </c>
      <c r="H92" s="1">
        <v>166.31</v>
      </c>
      <c r="I92" s="1" t="s">
        <v>874</v>
      </c>
      <c r="J92" s="1" t="s">
        <v>875</v>
      </c>
      <c r="K92" s="1" t="s">
        <v>90</v>
      </c>
      <c r="L92" s="2"/>
      <c r="M92" s="1">
        <v>10367</v>
      </c>
      <c r="N92" s="1" t="s">
        <v>77</v>
      </c>
      <c r="O92" s="11" t="s">
        <v>745</v>
      </c>
      <c r="P92" s="3"/>
    </row>
    <row r="93" spans="1:16">
      <c r="A93" s="6">
        <v>10341</v>
      </c>
      <c r="B93" s="6">
        <v>73</v>
      </c>
      <c r="C93" s="6">
        <v>7</v>
      </c>
      <c r="D93" s="8">
        <v>39019</v>
      </c>
      <c r="E93" s="8">
        <v>39047</v>
      </c>
      <c r="F93" s="8">
        <v>39026</v>
      </c>
      <c r="G93" s="6">
        <v>3</v>
      </c>
      <c r="H93" s="1">
        <v>26.78</v>
      </c>
      <c r="I93" s="1" t="s">
        <v>876</v>
      </c>
      <c r="J93" s="1" t="s">
        <v>877</v>
      </c>
      <c r="K93" s="1" t="s">
        <v>469</v>
      </c>
      <c r="L93" s="2"/>
      <c r="M93" s="1">
        <v>10310</v>
      </c>
      <c r="N93" s="1" t="s">
        <v>470</v>
      </c>
      <c r="O93" s="11" t="s">
        <v>745</v>
      </c>
      <c r="P93" s="3"/>
    </row>
    <row r="94" spans="1:16">
      <c r="A94" s="6">
        <v>10342</v>
      </c>
      <c r="B94" s="6">
        <v>25</v>
      </c>
      <c r="C94" s="6">
        <v>4</v>
      </c>
      <c r="D94" s="8">
        <v>39020</v>
      </c>
      <c r="E94" s="8">
        <v>39034</v>
      </c>
      <c r="F94" s="8">
        <v>39025</v>
      </c>
      <c r="G94" s="6">
        <v>2</v>
      </c>
      <c r="H94" s="1">
        <v>54.83</v>
      </c>
      <c r="I94" s="1" t="s">
        <v>777</v>
      </c>
      <c r="J94" s="1" t="s">
        <v>778</v>
      </c>
      <c r="K94" s="1" t="s">
        <v>186</v>
      </c>
      <c r="L94" s="2"/>
      <c r="M94" s="1">
        <v>10168</v>
      </c>
      <c r="N94" s="1" t="s">
        <v>36</v>
      </c>
      <c r="O94" s="11" t="s">
        <v>745</v>
      </c>
      <c r="P94" s="3"/>
    </row>
    <row r="95" spans="1:16">
      <c r="A95" s="6">
        <v>10343</v>
      </c>
      <c r="B95" s="6">
        <v>44</v>
      </c>
      <c r="C95" s="6">
        <v>4</v>
      </c>
      <c r="D95" s="8">
        <v>39021</v>
      </c>
      <c r="E95" s="8">
        <v>39049</v>
      </c>
      <c r="F95" s="8">
        <v>39027</v>
      </c>
      <c r="G95" s="6">
        <v>1</v>
      </c>
      <c r="H95" s="1">
        <v>110.37</v>
      </c>
      <c r="I95" s="1" t="s">
        <v>798</v>
      </c>
      <c r="J95" s="1" t="s">
        <v>799</v>
      </c>
      <c r="K95" s="1" t="s">
        <v>306</v>
      </c>
      <c r="L95" s="2"/>
      <c r="M95" s="1">
        <v>10222</v>
      </c>
      <c r="N95" s="1" t="s">
        <v>36</v>
      </c>
      <c r="O95" s="11" t="s">
        <v>745</v>
      </c>
      <c r="P95" s="3"/>
    </row>
    <row r="96" spans="1:16">
      <c r="A96" s="6">
        <v>10344</v>
      </c>
      <c r="B96" s="6">
        <v>89</v>
      </c>
      <c r="C96" s="6">
        <v>4</v>
      </c>
      <c r="D96" s="8">
        <v>39022</v>
      </c>
      <c r="E96" s="8">
        <v>39050</v>
      </c>
      <c r="F96" s="8">
        <v>39026</v>
      </c>
      <c r="G96" s="6">
        <v>2</v>
      </c>
      <c r="H96" s="1">
        <v>23.29</v>
      </c>
      <c r="I96" s="1" t="s">
        <v>878</v>
      </c>
      <c r="J96" s="1" t="s">
        <v>879</v>
      </c>
      <c r="K96" s="1" t="s">
        <v>562</v>
      </c>
      <c r="L96" s="1" t="s">
        <v>300</v>
      </c>
      <c r="M96" s="1">
        <v>10356</v>
      </c>
      <c r="N96" s="1" t="s">
        <v>229</v>
      </c>
      <c r="O96" s="11" t="s">
        <v>745</v>
      </c>
      <c r="P96" s="3"/>
    </row>
    <row r="97" spans="1:16">
      <c r="A97" s="6">
        <v>10345</v>
      </c>
      <c r="B97" s="6">
        <v>63</v>
      </c>
      <c r="C97" s="6">
        <v>2</v>
      </c>
      <c r="D97" s="8">
        <v>39025</v>
      </c>
      <c r="E97" s="8">
        <v>39053</v>
      </c>
      <c r="F97" s="8">
        <v>39032</v>
      </c>
      <c r="G97" s="6">
        <v>2</v>
      </c>
      <c r="H97" s="1">
        <v>249.06</v>
      </c>
      <c r="I97" s="1" t="s">
        <v>808</v>
      </c>
      <c r="J97" s="1" t="s">
        <v>809</v>
      </c>
      <c r="K97" s="1" t="s">
        <v>413</v>
      </c>
      <c r="L97" s="2"/>
      <c r="M97" s="1">
        <v>10280</v>
      </c>
      <c r="N97" s="1" t="s">
        <v>36</v>
      </c>
      <c r="O97" s="11" t="s">
        <v>745</v>
      </c>
      <c r="P97" s="3"/>
    </row>
    <row r="98" spans="1:16">
      <c r="A98" s="6">
        <v>10346</v>
      </c>
      <c r="B98" s="6">
        <v>65</v>
      </c>
      <c r="C98" s="6">
        <v>3</v>
      </c>
      <c r="D98" s="8">
        <v>39026</v>
      </c>
      <c r="E98" s="8">
        <v>39068</v>
      </c>
      <c r="F98" s="8">
        <v>39029</v>
      </c>
      <c r="G98" s="6">
        <v>3</v>
      </c>
      <c r="H98" s="1">
        <v>142.08000000000001</v>
      </c>
      <c r="I98" s="1" t="s">
        <v>785</v>
      </c>
      <c r="J98" s="1" t="s">
        <v>786</v>
      </c>
      <c r="K98" s="1" t="s">
        <v>424</v>
      </c>
      <c r="L98" s="1" t="s">
        <v>425</v>
      </c>
      <c r="M98" s="1">
        <v>10285</v>
      </c>
      <c r="N98" s="1" t="s">
        <v>229</v>
      </c>
      <c r="O98" s="11" t="s">
        <v>745</v>
      </c>
      <c r="P98" s="3"/>
    </row>
    <row r="99" spans="1:16">
      <c r="A99" s="6">
        <v>10347</v>
      </c>
      <c r="B99" s="6">
        <v>21</v>
      </c>
      <c r="C99" s="6">
        <v>4</v>
      </c>
      <c r="D99" s="8">
        <v>39027</v>
      </c>
      <c r="E99" s="8">
        <v>39055</v>
      </c>
      <c r="F99" s="8">
        <v>39029</v>
      </c>
      <c r="G99" s="6">
        <v>3</v>
      </c>
      <c r="H99" s="1">
        <v>3.1</v>
      </c>
      <c r="I99" s="1" t="s">
        <v>880</v>
      </c>
      <c r="J99" s="1" t="s">
        <v>881</v>
      </c>
      <c r="K99" s="1" t="s">
        <v>127</v>
      </c>
      <c r="L99" s="1" t="s">
        <v>128</v>
      </c>
      <c r="M99" s="1">
        <v>10162</v>
      </c>
      <c r="N99" s="1" t="s">
        <v>129</v>
      </c>
      <c r="O99" s="11" t="s">
        <v>745</v>
      </c>
      <c r="P99" s="3"/>
    </row>
    <row r="100" spans="1:16">
      <c r="A100" s="6">
        <v>10348</v>
      </c>
      <c r="B100" s="6">
        <v>86</v>
      </c>
      <c r="C100" s="6">
        <v>4</v>
      </c>
      <c r="D100" s="8">
        <v>39028</v>
      </c>
      <c r="E100" s="8">
        <v>39056</v>
      </c>
      <c r="F100" s="8">
        <v>39036</v>
      </c>
      <c r="G100" s="6">
        <v>2</v>
      </c>
      <c r="H100" s="1">
        <v>0.78</v>
      </c>
      <c r="I100" s="1" t="s">
        <v>842</v>
      </c>
      <c r="J100" s="1" t="s">
        <v>843</v>
      </c>
      <c r="K100" s="1" t="s">
        <v>544</v>
      </c>
      <c r="L100" s="2"/>
      <c r="M100" s="1">
        <v>10348</v>
      </c>
      <c r="N100" s="1" t="s">
        <v>36</v>
      </c>
      <c r="O100" s="11" t="s">
        <v>745</v>
      </c>
      <c r="P100" s="3"/>
    </row>
    <row r="101" spans="1:16">
      <c r="A101" s="6">
        <v>10349</v>
      </c>
      <c r="B101" s="6">
        <v>75</v>
      </c>
      <c r="C101" s="6">
        <v>7</v>
      </c>
      <c r="D101" s="8">
        <v>39029</v>
      </c>
      <c r="E101" s="8">
        <v>39057</v>
      </c>
      <c r="F101" s="8">
        <v>39036</v>
      </c>
      <c r="G101" s="6">
        <v>1</v>
      </c>
      <c r="H101" s="1">
        <v>8.6300000000000008</v>
      </c>
      <c r="I101" s="1" t="s">
        <v>783</v>
      </c>
      <c r="J101" s="1" t="s">
        <v>784</v>
      </c>
      <c r="K101" s="1" t="s">
        <v>481</v>
      </c>
      <c r="L101" s="1" t="s">
        <v>482</v>
      </c>
      <c r="M101" s="1">
        <v>10316</v>
      </c>
      <c r="N101" s="1" t="s">
        <v>229</v>
      </c>
      <c r="O101" s="11" t="s">
        <v>745</v>
      </c>
      <c r="P101" s="3"/>
    </row>
    <row r="102" spans="1:16">
      <c r="A102" s="6">
        <v>10350</v>
      </c>
      <c r="B102" s="6">
        <v>41</v>
      </c>
      <c r="C102" s="6">
        <v>6</v>
      </c>
      <c r="D102" s="8">
        <v>39032</v>
      </c>
      <c r="E102" s="8">
        <v>39060</v>
      </c>
      <c r="F102" s="8">
        <v>39054</v>
      </c>
      <c r="G102" s="6">
        <v>2</v>
      </c>
      <c r="H102" s="1">
        <v>64.19</v>
      </c>
      <c r="I102" s="1" t="s">
        <v>882</v>
      </c>
      <c r="J102" s="1" t="s">
        <v>883</v>
      </c>
      <c r="K102" s="1" t="s">
        <v>287</v>
      </c>
      <c r="L102" s="2"/>
      <c r="M102" s="1">
        <v>10217</v>
      </c>
      <c r="N102" s="1" t="s">
        <v>77</v>
      </c>
      <c r="O102" s="11" t="s">
        <v>745</v>
      </c>
      <c r="P102" s="3"/>
    </row>
    <row r="103" spans="1:16">
      <c r="A103" s="6">
        <v>10351</v>
      </c>
      <c r="B103" s="6">
        <v>20</v>
      </c>
      <c r="C103" s="6">
        <v>1</v>
      </c>
      <c r="D103" s="8">
        <v>39032</v>
      </c>
      <c r="E103" s="8">
        <v>39060</v>
      </c>
      <c r="F103" s="8">
        <v>39041</v>
      </c>
      <c r="G103" s="6">
        <v>1</v>
      </c>
      <c r="H103" s="1">
        <v>162.33000000000001</v>
      </c>
      <c r="I103" s="1" t="s">
        <v>760</v>
      </c>
      <c r="J103" s="1" t="s">
        <v>156</v>
      </c>
      <c r="K103" s="1" t="s">
        <v>157</v>
      </c>
      <c r="L103" s="2"/>
      <c r="M103" s="1">
        <v>10157</v>
      </c>
      <c r="N103" s="1" t="s">
        <v>158</v>
      </c>
      <c r="O103" s="11" t="s">
        <v>745</v>
      </c>
      <c r="P103" s="3"/>
    </row>
    <row r="104" spans="1:16">
      <c r="A104" s="6">
        <v>10352</v>
      </c>
      <c r="B104" s="6">
        <v>28</v>
      </c>
      <c r="C104" s="6">
        <v>3</v>
      </c>
      <c r="D104" s="8">
        <v>39033</v>
      </c>
      <c r="E104" s="8">
        <v>39047</v>
      </c>
      <c r="F104" s="8">
        <v>39039</v>
      </c>
      <c r="G104" s="6">
        <v>3</v>
      </c>
      <c r="H104" s="1">
        <v>1.3</v>
      </c>
      <c r="I104" s="1" t="s">
        <v>884</v>
      </c>
      <c r="J104" s="1" t="s">
        <v>885</v>
      </c>
      <c r="K104" s="1" t="s">
        <v>204</v>
      </c>
      <c r="L104" s="2"/>
      <c r="M104" s="1">
        <v>10177</v>
      </c>
      <c r="N104" s="1" t="s">
        <v>205</v>
      </c>
      <c r="O104" s="11" t="s">
        <v>745</v>
      </c>
      <c r="P104" s="3"/>
    </row>
    <row r="105" spans="1:16">
      <c r="A105" s="6">
        <v>10353</v>
      </c>
      <c r="B105" s="6">
        <v>59</v>
      </c>
      <c r="C105" s="6">
        <v>7</v>
      </c>
      <c r="D105" s="8">
        <v>39034</v>
      </c>
      <c r="E105" s="8">
        <v>39062</v>
      </c>
      <c r="F105" s="8">
        <v>39046</v>
      </c>
      <c r="G105" s="6">
        <v>3</v>
      </c>
      <c r="H105" s="1">
        <v>360.63</v>
      </c>
      <c r="I105" s="1" t="s">
        <v>886</v>
      </c>
      <c r="J105" s="1" t="s">
        <v>887</v>
      </c>
      <c r="K105" s="1" t="s">
        <v>394</v>
      </c>
      <c r="L105" s="2"/>
      <c r="M105" s="1">
        <v>10265</v>
      </c>
      <c r="N105" s="1" t="s">
        <v>158</v>
      </c>
      <c r="O105" s="11" t="s">
        <v>745</v>
      </c>
      <c r="P105" s="3"/>
    </row>
    <row r="106" spans="1:16">
      <c r="A106" s="6">
        <v>10354</v>
      </c>
      <c r="B106" s="6">
        <v>58</v>
      </c>
      <c r="C106" s="6">
        <v>8</v>
      </c>
      <c r="D106" s="8">
        <v>39035</v>
      </c>
      <c r="E106" s="8">
        <v>39063</v>
      </c>
      <c r="F106" s="8">
        <v>39041</v>
      </c>
      <c r="G106" s="6">
        <v>3</v>
      </c>
      <c r="H106" s="1">
        <v>53.8</v>
      </c>
      <c r="I106" s="1" t="s">
        <v>888</v>
      </c>
      <c r="J106" s="1" t="s">
        <v>889</v>
      </c>
      <c r="K106" s="1" t="s">
        <v>43</v>
      </c>
      <c r="L106" s="2"/>
      <c r="M106" s="1">
        <v>10263</v>
      </c>
      <c r="N106" s="1" t="s">
        <v>44</v>
      </c>
      <c r="O106" s="11" t="s">
        <v>745</v>
      </c>
      <c r="P106" s="3"/>
    </row>
    <row r="107" spans="1:16">
      <c r="A107" s="6">
        <v>10355</v>
      </c>
      <c r="B107" s="6">
        <v>4</v>
      </c>
      <c r="C107" s="6">
        <v>6</v>
      </c>
      <c r="D107" s="8">
        <v>39036</v>
      </c>
      <c r="E107" s="8">
        <v>39064</v>
      </c>
      <c r="F107" s="8">
        <v>39041</v>
      </c>
      <c r="G107" s="6">
        <v>1</v>
      </c>
      <c r="H107" s="1">
        <v>41.95</v>
      </c>
      <c r="I107" s="1" t="s">
        <v>890</v>
      </c>
      <c r="J107" s="1" t="s">
        <v>891</v>
      </c>
      <c r="K107" s="1" t="s">
        <v>892</v>
      </c>
      <c r="L107" s="1" t="s">
        <v>893</v>
      </c>
      <c r="M107" s="1">
        <v>10238</v>
      </c>
      <c r="N107" s="1" t="s">
        <v>55</v>
      </c>
      <c r="O107" s="11" t="s">
        <v>745</v>
      </c>
      <c r="P107" s="3"/>
    </row>
    <row r="108" spans="1:16">
      <c r="A108" s="6">
        <v>10356</v>
      </c>
      <c r="B108" s="6">
        <v>86</v>
      </c>
      <c r="C108" s="6">
        <v>6</v>
      </c>
      <c r="D108" s="8">
        <v>39039</v>
      </c>
      <c r="E108" s="8">
        <v>39067</v>
      </c>
      <c r="F108" s="8">
        <v>39048</v>
      </c>
      <c r="G108" s="6">
        <v>2</v>
      </c>
      <c r="H108" s="1">
        <v>36.71</v>
      </c>
      <c r="I108" s="1" t="s">
        <v>829</v>
      </c>
      <c r="J108" s="1" t="s">
        <v>830</v>
      </c>
      <c r="K108" s="1" t="s">
        <v>544</v>
      </c>
      <c r="L108" s="2"/>
      <c r="M108" s="1">
        <v>10347</v>
      </c>
      <c r="N108" s="1" t="s">
        <v>36</v>
      </c>
      <c r="O108" s="11" t="s">
        <v>745</v>
      </c>
      <c r="P108" s="3"/>
    </row>
    <row r="109" spans="1:16">
      <c r="A109" s="6">
        <v>10357</v>
      </c>
      <c r="B109" s="6">
        <v>46</v>
      </c>
      <c r="C109" s="6">
        <v>1</v>
      </c>
      <c r="D109" s="8">
        <v>39040</v>
      </c>
      <c r="E109" s="8">
        <v>39068</v>
      </c>
      <c r="F109" s="8">
        <v>39053</v>
      </c>
      <c r="G109" s="6">
        <v>3</v>
      </c>
      <c r="H109" s="1">
        <v>34.880000000000003</v>
      </c>
      <c r="I109" s="1" t="s">
        <v>894</v>
      </c>
      <c r="J109" s="1" t="s">
        <v>895</v>
      </c>
      <c r="K109" s="1" t="s">
        <v>318</v>
      </c>
      <c r="L109" s="1" t="s">
        <v>319</v>
      </c>
      <c r="M109" s="1">
        <v>10228</v>
      </c>
      <c r="N109" s="1" t="s">
        <v>236</v>
      </c>
      <c r="O109" s="11" t="s">
        <v>745</v>
      </c>
      <c r="P109" s="3"/>
    </row>
    <row r="110" spans="1:16">
      <c r="A110" s="6">
        <v>10358</v>
      </c>
      <c r="B110" s="6">
        <v>41</v>
      </c>
      <c r="C110" s="6">
        <v>5</v>
      </c>
      <c r="D110" s="8">
        <v>39041</v>
      </c>
      <c r="E110" s="8">
        <v>39069</v>
      </c>
      <c r="F110" s="8">
        <v>39048</v>
      </c>
      <c r="G110" s="6">
        <v>1</v>
      </c>
      <c r="H110" s="1">
        <v>19.64</v>
      </c>
      <c r="I110" s="1" t="s">
        <v>896</v>
      </c>
      <c r="J110" s="1" t="s">
        <v>897</v>
      </c>
      <c r="K110" s="1" t="s">
        <v>287</v>
      </c>
      <c r="L110" s="2"/>
      <c r="M110" s="1">
        <v>10218</v>
      </c>
      <c r="N110" s="1" t="s">
        <v>77</v>
      </c>
      <c r="O110" s="11" t="s">
        <v>745</v>
      </c>
      <c r="P110" s="3"/>
    </row>
    <row r="111" spans="1:16">
      <c r="A111" s="6">
        <v>10359</v>
      </c>
      <c r="B111" s="6">
        <v>72</v>
      </c>
      <c r="C111" s="6">
        <v>5</v>
      </c>
      <c r="D111" s="8">
        <v>39042</v>
      </c>
      <c r="E111" s="8">
        <v>39070</v>
      </c>
      <c r="F111" s="8">
        <v>39047</v>
      </c>
      <c r="G111" s="6">
        <v>3</v>
      </c>
      <c r="H111" s="1">
        <v>288.43</v>
      </c>
      <c r="I111" s="1" t="s">
        <v>898</v>
      </c>
      <c r="J111" s="1" t="s">
        <v>899</v>
      </c>
      <c r="K111" s="1" t="s">
        <v>54</v>
      </c>
      <c r="L111" s="2"/>
      <c r="M111" s="1">
        <v>10309</v>
      </c>
      <c r="N111" s="1" t="s">
        <v>55</v>
      </c>
      <c r="O111" s="11" t="s">
        <v>745</v>
      </c>
      <c r="P111" s="3"/>
    </row>
    <row r="112" spans="1:16">
      <c r="A112" s="6">
        <v>10360</v>
      </c>
      <c r="B112" s="6">
        <v>7</v>
      </c>
      <c r="C112" s="6">
        <v>4</v>
      </c>
      <c r="D112" s="8">
        <v>39043</v>
      </c>
      <c r="E112" s="8">
        <v>39071</v>
      </c>
      <c r="F112" s="8">
        <v>39053</v>
      </c>
      <c r="G112" s="6">
        <v>3</v>
      </c>
      <c r="H112" s="1">
        <v>131.69999999999999</v>
      </c>
      <c r="I112" s="1" t="s">
        <v>826</v>
      </c>
      <c r="J112" s="1" t="s">
        <v>75</v>
      </c>
      <c r="K112" s="1" t="s">
        <v>76</v>
      </c>
      <c r="L112" s="2"/>
      <c r="M112" s="1">
        <v>10331</v>
      </c>
      <c r="N112" s="1" t="s">
        <v>77</v>
      </c>
      <c r="O112" s="11" t="s">
        <v>745</v>
      </c>
      <c r="P112" s="3"/>
    </row>
    <row r="113" spans="1:16">
      <c r="A113" s="6">
        <v>10361</v>
      </c>
      <c r="B113" s="6">
        <v>63</v>
      </c>
      <c r="C113" s="6">
        <v>1</v>
      </c>
      <c r="D113" s="8">
        <v>39043</v>
      </c>
      <c r="E113" s="8">
        <v>39071</v>
      </c>
      <c r="F113" s="8">
        <v>39054</v>
      </c>
      <c r="G113" s="6">
        <v>2</v>
      </c>
      <c r="H113" s="1">
        <v>183.17</v>
      </c>
      <c r="I113" s="1" t="s">
        <v>900</v>
      </c>
      <c r="J113" s="1" t="s">
        <v>901</v>
      </c>
      <c r="K113" s="1" t="s">
        <v>413</v>
      </c>
      <c r="L113" s="2"/>
      <c r="M113" s="1">
        <v>10281</v>
      </c>
      <c r="N113" s="1" t="s">
        <v>36</v>
      </c>
      <c r="O113" s="11" t="s">
        <v>745</v>
      </c>
      <c r="P113" s="3"/>
    </row>
    <row r="114" spans="1:16">
      <c r="A114" s="6">
        <v>10362</v>
      </c>
      <c r="B114" s="6">
        <v>9</v>
      </c>
      <c r="C114" s="6">
        <v>3</v>
      </c>
      <c r="D114" s="8">
        <v>39046</v>
      </c>
      <c r="E114" s="8">
        <v>39074</v>
      </c>
      <c r="F114" s="8">
        <v>39049</v>
      </c>
      <c r="G114" s="6">
        <v>1</v>
      </c>
      <c r="H114" s="1">
        <v>96.04</v>
      </c>
      <c r="I114" s="1" t="s">
        <v>902</v>
      </c>
      <c r="J114" s="1" t="s">
        <v>903</v>
      </c>
      <c r="K114" s="1" t="s">
        <v>90</v>
      </c>
      <c r="L114" s="2"/>
      <c r="M114" s="1">
        <v>10368</v>
      </c>
      <c r="N114" s="1" t="s">
        <v>77</v>
      </c>
      <c r="O114" s="11" t="s">
        <v>745</v>
      </c>
      <c r="P114" s="3"/>
    </row>
    <row r="115" spans="1:16">
      <c r="A115" s="6">
        <v>10363</v>
      </c>
      <c r="B115" s="6">
        <v>17</v>
      </c>
      <c r="C115" s="6">
        <v>4</v>
      </c>
      <c r="D115" s="8">
        <v>39047</v>
      </c>
      <c r="E115" s="8">
        <v>39075</v>
      </c>
      <c r="F115" s="8">
        <v>39055</v>
      </c>
      <c r="G115" s="6">
        <v>3</v>
      </c>
      <c r="H115" s="1">
        <v>30.54</v>
      </c>
      <c r="I115" s="1" t="s">
        <v>904</v>
      </c>
      <c r="J115" s="1" t="s">
        <v>905</v>
      </c>
      <c r="K115" s="1" t="s">
        <v>139</v>
      </c>
      <c r="L115" s="2"/>
      <c r="M115" s="1">
        <v>10145</v>
      </c>
      <c r="N115" s="1" t="s">
        <v>36</v>
      </c>
      <c r="O115" s="11" t="s">
        <v>745</v>
      </c>
      <c r="P115" s="3"/>
    </row>
    <row r="116" spans="1:16">
      <c r="A116" s="6">
        <v>10364</v>
      </c>
      <c r="B116" s="6">
        <v>19</v>
      </c>
      <c r="C116" s="6">
        <v>1</v>
      </c>
      <c r="D116" s="8">
        <v>39047</v>
      </c>
      <c r="E116" s="8">
        <v>39089</v>
      </c>
      <c r="F116" s="8">
        <v>39055</v>
      </c>
      <c r="G116" s="6">
        <v>1</v>
      </c>
      <c r="H116" s="1">
        <v>71.97</v>
      </c>
      <c r="I116" s="1" t="s">
        <v>906</v>
      </c>
      <c r="J116" s="1" t="s">
        <v>907</v>
      </c>
      <c r="K116" s="1" t="s">
        <v>54</v>
      </c>
      <c r="L116" s="2"/>
      <c r="M116" s="1">
        <v>10151</v>
      </c>
      <c r="N116" s="1" t="s">
        <v>55</v>
      </c>
      <c r="O116" s="11" t="s">
        <v>745</v>
      </c>
      <c r="P116" s="3"/>
    </row>
    <row r="117" spans="1:16">
      <c r="A117" s="6">
        <v>10365</v>
      </c>
      <c r="B117" s="6">
        <v>3</v>
      </c>
      <c r="C117" s="6">
        <v>3</v>
      </c>
      <c r="D117" s="8">
        <v>39048</v>
      </c>
      <c r="E117" s="8">
        <v>39076</v>
      </c>
      <c r="F117" s="8">
        <v>39053</v>
      </c>
      <c r="G117" s="6">
        <v>2</v>
      </c>
      <c r="H117" s="1">
        <v>22</v>
      </c>
      <c r="I117" s="1" t="s">
        <v>908</v>
      </c>
      <c r="J117" s="1" t="s">
        <v>909</v>
      </c>
      <c r="K117" s="1" t="s">
        <v>43</v>
      </c>
      <c r="L117" s="2"/>
      <c r="M117" s="1">
        <v>10211</v>
      </c>
      <c r="N117" s="1" t="s">
        <v>44</v>
      </c>
      <c r="O117" s="11" t="s">
        <v>745</v>
      </c>
      <c r="P117" s="3"/>
    </row>
    <row r="118" spans="1:16">
      <c r="A118" s="6">
        <v>10366</v>
      </c>
      <c r="B118" s="6">
        <v>29</v>
      </c>
      <c r="C118" s="6">
        <v>8</v>
      </c>
      <c r="D118" s="8">
        <v>39049</v>
      </c>
      <c r="E118" s="8">
        <v>39091</v>
      </c>
      <c r="F118" s="8">
        <v>39081</v>
      </c>
      <c r="G118" s="6">
        <v>2</v>
      </c>
      <c r="H118" s="1">
        <v>10.14</v>
      </c>
      <c r="I118" s="1" t="s">
        <v>910</v>
      </c>
      <c r="J118" s="1" t="s">
        <v>911</v>
      </c>
      <c r="K118" s="1" t="s">
        <v>211</v>
      </c>
      <c r="L118" s="2"/>
      <c r="M118" s="1">
        <v>10178</v>
      </c>
      <c r="N118" s="1" t="s">
        <v>84</v>
      </c>
      <c r="O118" s="11" t="s">
        <v>745</v>
      </c>
      <c r="P118" s="3"/>
    </row>
    <row r="119" spans="1:16">
      <c r="A119" s="6">
        <v>10367</v>
      </c>
      <c r="B119" s="6">
        <v>83</v>
      </c>
      <c r="C119" s="6">
        <v>7</v>
      </c>
      <c r="D119" s="8">
        <v>39049</v>
      </c>
      <c r="E119" s="8">
        <v>39077</v>
      </c>
      <c r="F119" s="8">
        <v>39053</v>
      </c>
      <c r="G119" s="6">
        <v>3</v>
      </c>
      <c r="H119" s="1">
        <v>13.55</v>
      </c>
      <c r="I119" s="1" t="s">
        <v>912</v>
      </c>
      <c r="J119" s="1" t="s">
        <v>913</v>
      </c>
      <c r="K119" s="1" t="s">
        <v>526</v>
      </c>
      <c r="L119" s="2"/>
      <c r="M119" s="1">
        <v>10340</v>
      </c>
      <c r="N119" s="1" t="s">
        <v>470</v>
      </c>
      <c r="O119" s="11" t="s">
        <v>745</v>
      </c>
      <c r="P119" s="3"/>
    </row>
    <row r="120" spans="1:16">
      <c r="A120" s="6">
        <v>10368</v>
      </c>
      <c r="B120" s="6">
        <v>20</v>
      </c>
      <c r="C120" s="6">
        <v>2</v>
      </c>
      <c r="D120" s="8">
        <v>39050</v>
      </c>
      <c r="E120" s="8">
        <v>39078</v>
      </c>
      <c r="F120" s="8">
        <v>39053</v>
      </c>
      <c r="G120" s="6">
        <v>2</v>
      </c>
      <c r="H120" s="1">
        <v>101.95</v>
      </c>
      <c r="I120" s="1" t="s">
        <v>760</v>
      </c>
      <c r="J120" s="1" t="s">
        <v>156</v>
      </c>
      <c r="K120" s="1" t="s">
        <v>157</v>
      </c>
      <c r="L120" s="2"/>
      <c r="M120" s="1">
        <v>10157</v>
      </c>
      <c r="N120" s="1" t="s">
        <v>158</v>
      </c>
      <c r="O120" s="11" t="s">
        <v>745</v>
      </c>
      <c r="P120" s="3"/>
    </row>
    <row r="121" spans="1:16">
      <c r="A121" s="6">
        <v>10369</v>
      </c>
      <c r="B121" s="6">
        <v>75</v>
      </c>
      <c r="C121" s="6">
        <v>8</v>
      </c>
      <c r="D121" s="8">
        <v>39053</v>
      </c>
      <c r="E121" s="8">
        <v>39081</v>
      </c>
      <c r="F121" s="8">
        <v>39060</v>
      </c>
      <c r="G121" s="6">
        <v>2</v>
      </c>
      <c r="H121" s="1">
        <v>195.68</v>
      </c>
      <c r="I121" s="1" t="s">
        <v>783</v>
      </c>
      <c r="J121" s="1" t="s">
        <v>784</v>
      </c>
      <c r="K121" s="1" t="s">
        <v>481</v>
      </c>
      <c r="L121" s="1" t="s">
        <v>482</v>
      </c>
      <c r="M121" s="1">
        <v>10316</v>
      </c>
      <c r="N121" s="1" t="s">
        <v>229</v>
      </c>
      <c r="O121" s="11" t="s">
        <v>745</v>
      </c>
      <c r="P121" s="3"/>
    </row>
    <row r="122" spans="1:16">
      <c r="A122" s="6">
        <v>10370</v>
      </c>
      <c r="B122" s="6">
        <v>14</v>
      </c>
      <c r="C122" s="6">
        <v>6</v>
      </c>
      <c r="D122" s="8">
        <v>39054</v>
      </c>
      <c r="E122" s="8">
        <v>39082</v>
      </c>
      <c r="F122" s="8">
        <v>39078</v>
      </c>
      <c r="G122" s="6">
        <v>2</v>
      </c>
      <c r="H122" s="1">
        <v>1.17</v>
      </c>
      <c r="I122" s="1" t="s">
        <v>752</v>
      </c>
      <c r="J122" s="1" t="s">
        <v>753</v>
      </c>
      <c r="K122" s="1" t="s">
        <v>120</v>
      </c>
      <c r="L122" s="2"/>
      <c r="M122" s="1">
        <v>10139</v>
      </c>
      <c r="N122" s="1" t="s">
        <v>121</v>
      </c>
      <c r="O122" s="11" t="s">
        <v>745</v>
      </c>
      <c r="P122" s="3"/>
    </row>
    <row r="123" spans="1:16">
      <c r="A123" s="6">
        <v>10371</v>
      </c>
      <c r="B123" s="6">
        <v>41</v>
      </c>
      <c r="C123" s="6">
        <v>1</v>
      </c>
      <c r="D123" s="8">
        <v>39054</v>
      </c>
      <c r="E123" s="8">
        <v>39082</v>
      </c>
      <c r="F123" s="8">
        <v>39075</v>
      </c>
      <c r="G123" s="6">
        <v>1</v>
      </c>
      <c r="H123" s="1">
        <v>0.45</v>
      </c>
      <c r="I123" s="1" t="s">
        <v>896</v>
      </c>
      <c r="J123" s="1" t="s">
        <v>897</v>
      </c>
      <c r="K123" s="1" t="s">
        <v>287</v>
      </c>
      <c r="L123" s="2"/>
      <c r="M123" s="1">
        <v>10218</v>
      </c>
      <c r="N123" s="1" t="s">
        <v>77</v>
      </c>
      <c r="O123" s="11" t="s">
        <v>745</v>
      </c>
      <c r="P123" s="3"/>
    </row>
    <row r="124" spans="1:16">
      <c r="A124" s="6">
        <v>10372</v>
      </c>
      <c r="B124" s="6">
        <v>62</v>
      </c>
      <c r="C124" s="6">
        <v>5</v>
      </c>
      <c r="D124" s="8">
        <v>39055</v>
      </c>
      <c r="E124" s="8">
        <v>39083</v>
      </c>
      <c r="F124" s="8">
        <v>39060</v>
      </c>
      <c r="G124" s="6">
        <v>2</v>
      </c>
      <c r="H124" s="1">
        <v>890.78</v>
      </c>
      <c r="I124" s="1" t="s">
        <v>914</v>
      </c>
      <c r="J124" s="1" t="s">
        <v>915</v>
      </c>
      <c r="K124" s="1" t="s">
        <v>127</v>
      </c>
      <c r="L124" s="1" t="s">
        <v>128</v>
      </c>
      <c r="M124" s="1">
        <v>10276</v>
      </c>
      <c r="N124" s="1" t="s">
        <v>129</v>
      </c>
      <c r="O124" s="11" t="s">
        <v>745</v>
      </c>
      <c r="P124" s="3"/>
    </row>
    <row r="125" spans="1:16">
      <c r="A125" s="6">
        <v>10373</v>
      </c>
      <c r="B125" s="6">
        <v>37</v>
      </c>
      <c r="C125" s="6">
        <v>4</v>
      </c>
      <c r="D125" s="8">
        <v>39056</v>
      </c>
      <c r="E125" s="8">
        <v>39084</v>
      </c>
      <c r="F125" s="8">
        <v>39062</v>
      </c>
      <c r="G125" s="6">
        <v>3</v>
      </c>
      <c r="H125" s="1">
        <v>124.12</v>
      </c>
      <c r="I125" s="1" t="s">
        <v>916</v>
      </c>
      <c r="J125" s="1" t="s">
        <v>917</v>
      </c>
      <c r="K125" s="1" t="s">
        <v>262</v>
      </c>
      <c r="L125" s="1" t="s">
        <v>263</v>
      </c>
      <c r="M125" s="1">
        <v>10203</v>
      </c>
      <c r="N125" s="1" t="s">
        <v>264</v>
      </c>
      <c r="O125" s="11" t="s">
        <v>745</v>
      </c>
      <c r="P125" s="3"/>
    </row>
    <row r="126" spans="1:16">
      <c r="A126" s="6">
        <v>10374</v>
      </c>
      <c r="B126" s="6">
        <v>91</v>
      </c>
      <c r="C126" s="6">
        <v>1</v>
      </c>
      <c r="D126" s="8">
        <v>39056</v>
      </c>
      <c r="E126" s="8">
        <v>39084</v>
      </c>
      <c r="F126" s="8">
        <v>39060</v>
      </c>
      <c r="G126" s="6">
        <v>3</v>
      </c>
      <c r="H126" s="1">
        <v>3.94</v>
      </c>
      <c r="I126" s="1" t="s">
        <v>918</v>
      </c>
      <c r="J126" s="1" t="s">
        <v>919</v>
      </c>
      <c r="K126" s="1" t="s">
        <v>575</v>
      </c>
      <c r="L126" s="2"/>
      <c r="M126" s="1">
        <v>10364</v>
      </c>
      <c r="N126" s="1" t="s">
        <v>576</v>
      </c>
      <c r="O126" s="11" t="s">
        <v>745</v>
      </c>
      <c r="P126" s="3"/>
    </row>
    <row r="127" spans="1:16">
      <c r="A127" s="6">
        <v>10375</v>
      </c>
      <c r="B127" s="6">
        <v>36</v>
      </c>
      <c r="C127" s="6">
        <v>3</v>
      </c>
      <c r="D127" s="8">
        <v>39057</v>
      </c>
      <c r="E127" s="8">
        <v>39085</v>
      </c>
      <c r="F127" s="8">
        <v>39060</v>
      </c>
      <c r="G127" s="6">
        <v>2</v>
      </c>
      <c r="H127" s="1">
        <v>20.12</v>
      </c>
      <c r="I127" s="1" t="s">
        <v>920</v>
      </c>
      <c r="J127" s="1" t="s">
        <v>921</v>
      </c>
      <c r="K127" s="1" t="s">
        <v>256</v>
      </c>
      <c r="L127" s="1" t="s">
        <v>228</v>
      </c>
      <c r="M127" s="1">
        <v>10201</v>
      </c>
      <c r="N127" s="1" t="s">
        <v>229</v>
      </c>
      <c r="O127" s="11" t="s">
        <v>745</v>
      </c>
      <c r="P127" s="3"/>
    </row>
    <row r="128" spans="1:16">
      <c r="A128" s="6">
        <v>10376</v>
      </c>
      <c r="B128" s="6">
        <v>51</v>
      </c>
      <c r="C128" s="6">
        <v>1</v>
      </c>
      <c r="D128" s="8">
        <v>39060</v>
      </c>
      <c r="E128" s="8">
        <v>39088</v>
      </c>
      <c r="F128" s="8">
        <v>39064</v>
      </c>
      <c r="G128" s="6">
        <v>2</v>
      </c>
      <c r="H128" s="1">
        <v>20.39</v>
      </c>
      <c r="I128" s="1" t="s">
        <v>861</v>
      </c>
      <c r="J128" s="1" t="s">
        <v>862</v>
      </c>
      <c r="K128" s="1" t="s">
        <v>351</v>
      </c>
      <c r="L128" s="1" t="s">
        <v>352</v>
      </c>
      <c r="M128" s="1">
        <v>10245</v>
      </c>
      <c r="N128" s="1" t="s">
        <v>99</v>
      </c>
      <c r="O128" s="11" t="s">
        <v>745</v>
      </c>
      <c r="P128" s="3"/>
    </row>
    <row r="129" spans="1:16">
      <c r="A129" s="6">
        <v>10377</v>
      </c>
      <c r="B129" s="6">
        <v>72</v>
      </c>
      <c r="C129" s="6">
        <v>1</v>
      </c>
      <c r="D129" s="8">
        <v>39060</v>
      </c>
      <c r="E129" s="8">
        <v>39088</v>
      </c>
      <c r="F129" s="8">
        <v>39064</v>
      </c>
      <c r="G129" s="6">
        <v>3</v>
      </c>
      <c r="H129" s="1">
        <v>22.21</v>
      </c>
      <c r="I129" s="1" t="s">
        <v>898</v>
      </c>
      <c r="J129" s="1" t="s">
        <v>899</v>
      </c>
      <c r="K129" s="1" t="s">
        <v>54</v>
      </c>
      <c r="L129" s="2"/>
      <c r="M129" s="1">
        <v>10309</v>
      </c>
      <c r="N129" s="1" t="s">
        <v>55</v>
      </c>
      <c r="O129" s="11" t="s">
        <v>745</v>
      </c>
      <c r="P129" s="3"/>
    </row>
    <row r="130" spans="1:16">
      <c r="A130" s="6">
        <v>10378</v>
      </c>
      <c r="B130" s="6">
        <v>24</v>
      </c>
      <c r="C130" s="6">
        <v>5</v>
      </c>
      <c r="D130" s="8">
        <v>39061</v>
      </c>
      <c r="E130" s="8">
        <v>39089</v>
      </c>
      <c r="F130" s="8">
        <v>39070</v>
      </c>
      <c r="G130" s="6">
        <v>3</v>
      </c>
      <c r="H130" s="1">
        <v>5.44</v>
      </c>
      <c r="I130" s="1" t="s">
        <v>771</v>
      </c>
      <c r="J130" s="1" t="s">
        <v>772</v>
      </c>
      <c r="K130" s="1" t="s">
        <v>181</v>
      </c>
      <c r="L130" s="2"/>
      <c r="M130" s="1">
        <v>10167</v>
      </c>
      <c r="N130" s="1" t="s">
        <v>63</v>
      </c>
      <c r="O130" s="11" t="s">
        <v>745</v>
      </c>
      <c r="P130" s="3"/>
    </row>
    <row r="131" spans="1:16">
      <c r="A131" s="6">
        <v>10379</v>
      </c>
      <c r="B131" s="6">
        <v>61</v>
      </c>
      <c r="C131" s="6">
        <v>2</v>
      </c>
      <c r="D131" s="8">
        <v>39062</v>
      </c>
      <c r="E131" s="8">
        <v>39090</v>
      </c>
      <c r="F131" s="8">
        <v>39064</v>
      </c>
      <c r="G131" s="6">
        <v>1</v>
      </c>
      <c r="H131" s="1">
        <v>45.03</v>
      </c>
      <c r="I131" s="1" t="s">
        <v>765</v>
      </c>
      <c r="J131" s="1" t="s">
        <v>766</v>
      </c>
      <c r="K131" s="1" t="s">
        <v>242</v>
      </c>
      <c r="L131" s="1" t="s">
        <v>243</v>
      </c>
      <c r="M131" s="1">
        <v>10274</v>
      </c>
      <c r="N131" s="1" t="s">
        <v>129</v>
      </c>
      <c r="O131" s="11" t="s">
        <v>745</v>
      </c>
      <c r="P131" s="3"/>
    </row>
    <row r="132" spans="1:16">
      <c r="A132" s="6">
        <v>10380</v>
      </c>
      <c r="B132" s="6">
        <v>37</v>
      </c>
      <c r="C132" s="6">
        <v>8</v>
      </c>
      <c r="D132" s="8">
        <v>39063</v>
      </c>
      <c r="E132" s="8">
        <v>39091</v>
      </c>
      <c r="F132" s="8">
        <v>39098</v>
      </c>
      <c r="G132" s="6">
        <v>3</v>
      </c>
      <c r="H132" s="1">
        <v>35.03</v>
      </c>
      <c r="I132" s="1" t="s">
        <v>916</v>
      </c>
      <c r="J132" s="1" t="s">
        <v>917</v>
      </c>
      <c r="K132" s="1" t="s">
        <v>262</v>
      </c>
      <c r="L132" s="1" t="s">
        <v>263</v>
      </c>
      <c r="M132" s="1">
        <v>10203</v>
      </c>
      <c r="N132" s="1" t="s">
        <v>264</v>
      </c>
      <c r="O132" s="11" t="s">
        <v>745</v>
      </c>
      <c r="P132" s="3"/>
    </row>
    <row r="133" spans="1:16">
      <c r="A133" s="6">
        <v>10381</v>
      </c>
      <c r="B133" s="6">
        <v>46</v>
      </c>
      <c r="C133" s="6">
        <v>3</v>
      </c>
      <c r="D133" s="8">
        <v>39063</v>
      </c>
      <c r="E133" s="8">
        <v>39091</v>
      </c>
      <c r="F133" s="8">
        <v>39064</v>
      </c>
      <c r="G133" s="6">
        <v>3</v>
      </c>
      <c r="H133" s="1">
        <v>7.99</v>
      </c>
      <c r="I133" s="1" t="s">
        <v>824</v>
      </c>
      <c r="J133" s="1" t="s">
        <v>825</v>
      </c>
      <c r="K133" s="1" t="s">
        <v>318</v>
      </c>
      <c r="L133" s="1" t="s">
        <v>319</v>
      </c>
      <c r="M133" s="1">
        <v>10229</v>
      </c>
      <c r="N133" s="1" t="s">
        <v>236</v>
      </c>
      <c r="O133" s="11" t="s">
        <v>745</v>
      </c>
      <c r="P133" s="3"/>
    </row>
    <row r="134" spans="1:16">
      <c r="A134" s="6">
        <v>10382</v>
      </c>
      <c r="B134" s="6">
        <v>20</v>
      </c>
      <c r="C134" s="6">
        <v>4</v>
      </c>
      <c r="D134" s="8">
        <v>39064</v>
      </c>
      <c r="E134" s="8">
        <v>39092</v>
      </c>
      <c r="F134" s="8">
        <v>39067</v>
      </c>
      <c r="G134" s="6">
        <v>1</v>
      </c>
      <c r="H134" s="1">
        <v>94.77</v>
      </c>
      <c r="I134" s="1" t="s">
        <v>769</v>
      </c>
      <c r="J134" s="1" t="s">
        <v>770</v>
      </c>
      <c r="K134" s="1" t="s">
        <v>157</v>
      </c>
      <c r="L134" s="2"/>
      <c r="M134" s="1">
        <v>10158</v>
      </c>
      <c r="N134" s="1" t="s">
        <v>158</v>
      </c>
      <c r="O134" s="11" t="s">
        <v>745</v>
      </c>
      <c r="P134" s="3"/>
    </row>
    <row r="135" spans="1:16">
      <c r="A135" s="6">
        <v>10383</v>
      </c>
      <c r="B135" s="6">
        <v>4</v>
      </c>
      <c r="C135" s="6">
        <v>8</v>
      </c>
      <c r="D135" s="8">
        <v>39067</v>
      </c>
      <c r="E135" s="8">
        <v>39095</v>
      </c>
      <c r="F135" s="8">
        <v>39069</v>
      </c>
      <c r="G135" s="6">
        <v>3</v>
      </c>
      <c r="H135" s="1">
        <v>34.24</v>
      </c>
      <c r="I135" s="1" t="s">
        <v>922</v>
      </c>
      <c r="J135" s="1" t="s">
        <v>923</v>
      </c>
      <c r="K135" s="1" t="s">
        <v>892</v>
      </c>
      <c r="L135" s="1" t="s">
        <v>893</v>
      </c>
      <c r="M135" s="1">
        <v>10239</v>
      </c>
      <c r="N135" s="1" t="s">
        <v>55</v>
      </c>
      <c r="O135" s="11" t="s">
        <v>745</v>
      </c>
      <c r="P135" s="3"/>
    </row>
    <row r="136" spans="1:16">
      <c r="A136" s="6">
        <v>10384</v>
      </c>
      <c r="B136" s="6">
        <v>5</v>
      </c>
      <c r="C136" s="6">
        <v>3</v>
      </c>
      <c r="D136" s="8">
        <v>39067</v>
      </c>
      <c r="E136" s="8">
        <v>39095</v>
      </c>
      <c r="F136" s="8">
        <v>39071</v>
      </c>
      <c r="G136" s="6">
        <v>3</v>
      </c>
      <c r="H136" s="1">
        <v>168.64</v>
      </c>
      <c r="I136" s="1" t="s">
        <v>796</v>
      </c>
      <c r="J136" s="1" t="s">
        <v>797</v>
      </c>
      <c r="K136" s="1" t="s">
        <v>62</v>
      </c>
      <c r="L136" s="2"/>
      <c r="M136" s="1">
        <v>10269</v>
      </c>
      <c r="N136" s="1" t="s">
        <v>63</v>
      </c>
      <c r="O136" s="11" t="s">
        <v>745</v>
      </c>
      <c r="P136" s="3"/>
    </row>
    <row r="137" spans="1:16">
      <c r="A137" s="6">
        <v>10385</v>
      </c>
      <c r="B137" s="6">
        <v>75</v>
      </c>
      <c r="C137" s="6">
        <v>1</v>
      </c>
      <c r="D137" s="8">
        <v>39068</v>
      </c>
      <c r="E137" s="8">
        <v>39096</v>
      </c>
      <c r="F137" s="8">
        <v>39074</v>
      </c>
      <c r="G137" s="6">
        <v>2</v>
      </c>
      <c r="H137" s="1">
        <v>30.96</v>
      </c>
      <c r="I137" s="1" t="s">
        <v>924</v>
      </c>
      <c r="J137" s="1" t="s">
        <v>925</v>
      </c>
      <c r="K137" s="1" t="s">
        <v>481</v>
      </c>
      <c r="L137" s="1" t="s">
        <v>482</v>
      </c>
      <c r="M137" s="1">
        <v>10315</v>
      </c>
      <c r="N137" s="1" t="s">
        <v>229</v>
      </c>
      <c r="O137" s="11" t="s">
        <v>745</v>
      </c>
      <c r="P137" s="3"/>
    </row>
    <row r="138" spans="1:16">
      <c r="A138" s="6">
        <v>10386</v>
      </c>
      <c r="B138" s="6">
        <v>21</v>
      </c>
      <c r="C138" s="6">
        <v>9</v>
      </c>
      <c r="D138" s="8">
        <v>39069</v>
      </c>
      <c r="E138" s="8">
        <v>39083</v>
      </c>
      <c r="F138" s="8">
        <v>39076</v>
      </c>
      <c r="G138" s="6">
        <v>3</v>
      </c>
      <c r="H138" s="1">
        <v>13.99</v>
      </c>
      <c r="I138" s="1" t="s">
        <v>926</v>
      </c>
      <c r="J138" s="1" t="s">
        <v>927</v>
      </c>
      <c r="K138" s="1" t="s">
        <v>127</v>
      </c>
      <c r="L138" s="1" t="s">
        <v>128</v>
      </c>
      <c r="M138" s="1">
        <v>10160</v>
      </c>
      <c r="N138" s="1" t="s">
        <v>129</v>
      </c>
      <c r="O138" s="11" t="s">
        <v>745</v>
      </c>
      <c r="P138" s="3"/>
    </row>
    <row r="139" spans="1:16">
      <c r="A139" s="6">
        <v>10387</v>
      </c>
      <c r="B139" s="6">
        <v>70</v>
      </c>
      <c r="C139" s="6">
        <v>1</v>
      </c>
      <c r="D139" s="8">
        <v>39069</v>
      </c>
      <c r="E139" s="8">
        <v>39097</v>
      </c>
      <c r="F139" s="8">
        <v>39071</v>
      </c>
      <c r="G139" s="6">
        <v>2</v>
      </c>
      <c r="H139" s="1">
        <v>93.63</v>
      </c>
      <c r="I139" s="1" t="s">
        <v>928</v>
      </c>
      <c r="J139" s="1" t="s">
        <v>929</v>
      </c>
      <c r="K139" s="1" t="s">
        <v>451</v>
      </c>
      <c r="L139" s="2"/>
      <c r="M139" s="1">
        <v>10303</v>
      </c>
      <c r="N139" s="1" t="s">
        <v>452</v>
      </c>
      <c r="O139" s="11" t="s">
        <v>745</v>
      </c>
      <c r="P139" s="3"/>
    </row>
    <row r="140" spans="1:16">
      <c r="A140" s="6">
        <v>10388</v>
      </c>
      <c r="B140" s="6">
        <v>72</v>
      </c>
      <c r="C140" s="6">
        <v>2</v>
      </c>
      <c r="D140" s="8">
        <v>39070</v>
      </c>
      <c r="E140" s="8">
        <v>39098</v>
      </c>
      <c r="F140" s="8">
        <v>39071</v>
      </c>
      <c r="G140" s="6">
        <v>1</v>
      </c>
      <c r="H140" s="1">
        <v>34.86</v>
      </c>
      <c r="I140" s="1" t="s">
        <v>898</v>
      </c>
      <c r="J140" s="1" t="s">
        <v>899</v>
      </c>
      <c r="K140" s="1" t="s">
        <v>54</v>
      </c>
      <c r="L140" s="2"/>
      <c r="M140" s="1">
        <v>10309</v>
      </c>
      <c r="N140" s="1" t="s">
        <v>55</v>
      </c>
      <c r="O140" s="11" t="s">
        <v>745</v>
      </c>
      <c r="P140" s="3"/>
    </row>
    <row r="141" spans="1:16">
      <c r="A141" s="6">
        <v>10389</v>
      </c>
      <c r="B141" s="6">
        <v>10</v>
      </c>
      <c r="C141" s="6">
        <v>4</v>
      </c>
      <c r="D141" s="8">
        <v>39071</v>
      </c>
      <c r="E141" s="8">
        <v>39099</v>
      </c>
      <c r="F141" s="8">
        <v>39075</v>
      </c>
      <c r="G141" s="6">
        <v>2</v>
      </c>
      <c r="H141" s="1">
        <v>47.42</v>
      </c>
      <c r="I141" s="1" t="s">
        <v>930</v>
      </c>
      <c r="J141" s="1" t="s">
        <v>931</v>
      </c>
      <c r="K141" s="1" t="s">
        <v>97</v>
      </c>
      <c r="L141" s="1" t="s">
        <v>98</v>
      </c>
      <c r="M141" s="1">
        <v>10130</v>
      </c>
      <c r="N141" s="1" t="s">
        <v>99</v>
      </c>
      <c r="O141" s="11" t="s">
        <v>745</v>
      </c>
      <c r="P141" s="3"/>
    </row>
    <row r="142" spans="1:16">
      <c r="A142" s="6">
        <v>10390</v>
      </c>
      <c r="B142" s="6">
        <v>20</v>
      </c>
      <c r="C142" s="6">
        <v>6</v>
      </c>
      <c r="D142" s="8">
        <v>39074</v>
      </c>
      <c r="E142" s="8">
        <v>39102</v>
      </c>
      <c r="F142" s="8">
        <v>39077</v>
      </c>
      <c r="G142" s="6">
        <v>1</v>
      </c>
      <c r="H142" s="1">
        <v>126.38</v>
      </c>
      <c r="I142" s="1" t="s">
        <v>760</v>
      </c>
      <c r="J142" s="1" t="s">
        <v>156</v>
      </c>
      <c r="K142" s="1" t="s">
        <v>157</v>
      </c>
      <c r="L142" s="2"/>
      <c r="M142" s="1">
        <v>10157</v>
      </c>
      <c r="N142" s="1" t="s">
        <v>158</v>
      </c>
      <c r="O142" s="11" t="s">
        <v>745</v>
      </c>
      <c r="P142" s="3"/>
    </row>
    <row r="143" spans="1:16">
      <c r="A143" s="6">
        <v>10391</v>
      </c>
      <c r="B143" s="6">
        <v>17</v>
      </c>
      <c r="C143" s="6">
        <v>3</v>
      </c>
      <c r="D143" s="8">
        <v>39074</v>
      </c>
      <c r="E143" s="8">
        <v>39102</v>
      </c>
      <c r="F143" s="8">
        <v>39082</v>
      </c>
      <c r="G143" s="6">
        <v>3</v>
      </c>
      <c r="H143" s="1">
        <v>5.45</v>
      </c>
      <c r="I143" s="1" t="s">
        <v>932</v>
      </c>
      <c r="J143" s="1" t="s">
        <v>933</v>
      </c>
      <c r="K143" s="1" t="s">
        <v>139</v>
      </c>
      <c r="L143" s="2"/>
      <c r="M143" s="1">
        <v>10147</v>
      </c>
      <c r="N143" s="1" t="s">
        <v>36</v>
      </c>
      <c r="O143" s="11" t="s">
        <v>745</v>
      </c>
      <c r="P143" s="3"/>
    </row>
    <row r="144" spans="1:16">
      <c r="A144" s="6">
        <v>10392</v>
      </c>
      <c r="B144" s="6">
        <v>59</v>
      </c>
      <c r="C144" s="6">
        <v>2</v>
      </c>
      <c r="D144" s="8">
        <v>39075</v>
      </c>
      <c r="E144" s="8">
        <v>39103</v>
      </c>
      <c r="F144" s="8">
        <v>39083</v>
      </c>
      <c r="G144" s="6">
        <v>3</v>
      </c>
      <c r="H144" s="1">
        <v>122.46</v>
      </c>
      <c r="I144" s="1" t="s">
        <v>934</v>
      </c>
      <c r="J144" s="1" t="s">
        <v>935</v>
      </c>
      <c r="K144" s="1" t="s">
        <v>394</v>
      </c>
      <c r="L144" s="2"/>
      <c r="M144" s="1">
        <v>10264</v>
      </c>
      <c r="N144" s="1" t="s">
        <v>158</v>
      </c>
      <c r="O144" s="11" t="s">
        <v>745</v>
      </c>
      <c r="P144" s="3"/>
    </row>
    <row r="145" spans="1:16">
      <c r="A145" s="6">
        <v>10393</v>
      </c>
      <c r="B145" s="6">
        <v>71</v>
      </c>
      <c r="C145" s="6">
        <v>1</v>
      </c>
      <c r="D145" s="8">
        <v>39076</v>
      </c>
      <c r="E145" s="8">
        <v>39104</v>
      </c>
      <c r="F145" s="8">
        <v>39085</v>
      </c>
      <c r="G145" s="6">
        <v>3</v>
      </c>
      <c r="H145" s="1">
        <v>126.56</v>
      </c>
      <c r="I145" s="1" t="s">
        <v>936</v>
      </c>
      <c r="J145" s="1" t="s">
        <v>937</v>
      </c>
      <c r="K145" s="1" t="s">
        <v>458</v>
      </c>
      <c r="L145" s="1" t="s">
        <v>459</v>
      </c>
      <c r="M145" s="1">
        <v>10306</v>
      </c>
      <c r="N145" s="1" t="s">
        <v>229</v>
      </c>
      <c r="O145" s="11" t="s">
        <v>745</v>
      </c>
      <c r="P145" s="3"/>
    </row>
    <row r="146" spans="1:16">
      <c r="A146" s="6">
        <v>10394</v>
      </c>
      <c r="B146" s="6">
        <v>36</v>
      </c>
      <c r="C146" s="6">
        <v>1</v>
      </c>
      <c r="D146" s="8">
        <v>39076</v>
      </c>
      <c r="E146" s="8">
        <v>39104</v>
      </c>
      <c r="F146" s="8">
        <v>39085</v>
      </c>
      <c r="G146" s="6">
        <v>3</v>
      </c>
      <c r="H146" s="1">
        <v>30.34</v>
      </c>
      <c r="I146" s="1" t="s">
        <v>938</v>
      </c>
      <c r="J146" s="1" t="s">
        <v>255</v>
      </c>
      <c r="K146" s="1" t="s">
        <v>256</v>
      </c>
      <c r="L146" s="1" t="s">
        <v>228</v>
      </c>
      <c r="M146" s="1">
        <v>10200</v>
      </c>
      <c r="N146" s="1" t="s">
        <v>229</v>
      </c>
      <c r="O146" s="11" t="s">
        <v>745</v>
      </c>
      <c r="P146" s="3"/>
    </row>
    <row r="147" spans="1:16">
      <c r="A147" s="6">
        <v>10395</v>
      </c>
      <c r="B147" s="6">
        <v>35</v>
      </c>
      <c r="C147" s="6">
        <v>6</v>
      </c>
      <c r="D147" s="8">
        <v>39077</v>
      </c>
      <c r="E147" s="8">
        <v>39105</v>
      </c>
      <c r="F147" s="8">
        <v>39085</v>
      </c>
      <c r="G147" s="6">
        <v>1</v>
      </c>
      <c r="H147" s="1">
        <v>184.41</v>
      </c>
      <c r="I147" s="1" t="s">
        <v>758</v>
      </c>
      <c r="J147" s="1" t="s">
        <v>759</v>
      </c>
      <c r="K147" s="1" t="s">
        <v>249</v>
      </c>
      <c r="L147" s="1" t="s">
        <v>250</v>
      </c>
      <c r="M147" s="1">
        <v>10199</v>
      </c>
      <c r="N147" s="1" t="s">
        <v>236</v>
      </c>
      <c r="O147" s="11" t="s">
        <v>745</v>
      </c>
      <c r="P147" s="3"/>
    </row>
    <row r="148" spans="1:16">
      <c r="A148" s="6">
        <v>10396</v>
      </c>
      <c r="B148" s="6">
        <v>25</v>
      </c>
      <c r="C148" s="6">
        <v>1</v>
      </c>
      <c r="D148" s="8">
        <v>39078</v>
      </c>
      <c r="E148" s="8">
        <v>39092</v>
      </c>
      <c r="F148" s="8">
        <v>39088</v>
      </c>
      <c r="G148" s="6">
        <v>3</v>
      </c>
      <c r="H148" s="1">
        <v>135.35</v>
      </c>
      <c r="I148" s="1" t="s">
        <v>777</v>
      </c>
      <c r="J148" s="1" t="s">
        <v>778</v>
      </c>
      <c r="K148" s="1" t="s">
        <v>186</v>
      </c>
      <c r="L148" s="2"/>
      <c r="M148" s="1">
        <v>10168</v>
      </c>
      <c r="N148" s="1" t="s">
        <v>36</v>
      </c>
      <c r="O148" s="11" t="s">
        <v>745</v>
      </c>
      <c r="P148" s="3"/>
    </row>
    <row r="149" spans="1:16">
      <c r="A149" s="6">
        <v>10397</v>
      </c>
      <c r="B149" s="6">
        <v>60</v>
      </c>
      <c r="C149" s="6">
        <v>5</v>
      </c>
      <c r="D149" s="8">
        <v>39078</v>
      </c>
      <c r="E149" s="8">
        <v>39106</v>
      </c>
      <c r="F149" s="8">
        <v>39084</v>
      </c>
      <c r="G149" s="6">
        <v>1</v>
      </c>
      <c r="H149" s="1">
        <v>60.26</v>
      </c>
      <c r="I149" s="1" t="s">
        <v>939</v>
      </c>
      <c r="J149" s="1" t="s">
        <v>940</v>
      </c>
      <c r="K149" s="1" t="s">
        <v>204</v>
      </c>
      <c r="L149" s="2"/>
      <c r="M149" s="1">
        <v>10270</v>
      </c>
      <c r="N149" s="1" t="s">
        <v>205</v>
      </c>
      <c r="O149" s="11" t="s">
        <v>745</v>
      </c>
      <c r="P149" s="3"/>
    </row>
    <row r="150" spans="1:16">
      <c r="A150" s="6">
        <v>10398</v>
      </c>
      <c r="B150" s="6">
        <v>71</v>
      </c>
      <c r="C150" s="6">
        <v>2</v>
      </c>
      <c r="D150" s="8">
        <v>39081</v>
      </c>
      <c r="E150" s="8">
        <v>39109</v>
      </c>
      <c r="F150" s="8">
        <v>39091</v>
      </c>
      <c r="G150" s="6">
        <v>3</v>
      </c>
      <c r="H150" s="1">
        <v>89.16</v>
      </c>
      <c r="I150" s="1" t="s">
        <v>854</v>
      </c>
      <c r="J150" s="1" t="s">
        <v>457</v>
      </c>
      <c r="K150" s="1" t="s">
        <v>458</v>
      </c>
      <c r="L150" s="1" t="s">
        <v>459</v>
      </c>
      <c r="M150" s="1">
        <v>10307</v>
      </c>
      <c r="N150" s="1" t="s">
        <v>229</v>
      </c>
      <c r="O150" s="11" t="s">
        <v>745</v>
      </c>
      <c r="P150" s="3"/>
    </row>
    <row r="151" spans="1:16">
      <c r="A151" s="6">
        <v>10399</v>
      </c>
      <c r="B151" s="6">
        <v>83</v>
      </c>
      <c r="C151" s="6">
        <v>8</v>
      </c>
      <c r="D151" s="8">
        <v>39082</v>
      </c>
      <c r="E151" s="8">
        <v>39096</v>
      </c>
      <c r="F151" s="8">
        <v>39090</v>
      </c>
      <c r="G151" s="6">
        <v>3</v>
      </c>
      <c r="H151" s="1">
        <v>27.36</v>
      </c>
      <c r="I151" s="1" t="s">
        <v>941</v>
      </c>
      <c r="J151" s="1" t="s">
        <v>942</v>
      </c>
      <c r="K151" s="1" t="s">
        <v>526</v>
      </c>
      <c r="L151" s="2"/>
      <c r="M151" s="1">
        <v>10341</v>
      </c>
      <c r="N151" s="1" t="s">
        <v>470</v>
      </c>
      <c r="O151" s="11" t="s">
        <v>745</v>
      </c>
      <c r="P151" s="3"/>
    </row>
    <row r="152" spans="1:16">
      <c r="A152" s="6">
        <v>10400</v>
      </c>
      <c r="B152" s="6">
        <v>19</v>
      </c>
      <c r="C152" s="6">
        <v>1</v>
      </c>
      <c r="D152" s="8">
        <v>39083</v>
      </c>
      <c r="E152" s="8">
        <v>39111</v>
      </c>
      <c r="F152" s="8">
        <v>39098</v>
      </c>
      <c r="G152" s="6">
        <v>3</v>
      </c>
      <c r="H152" s="1">
        <v>83.93</v>
      </c>
      <c r="I152" s="1" t="s">
        <v>943</v>
      </c>
      <c r="J152" s="1" t="s">
        <v>944</v>
      </c>
      <c r="K152" s="1" t="s">
        <v>54</v>
      </c>
      <c r="L152" s="2"/>
      <c r="M152" s="1">
        <v>10152</v>
      </c>
      <c r="N152" s="1" t="s">
        <v>55</v>
      </c>
      <c r="O152" s="11" t="s">
        <v>745</v>
      </c>
      <c r="P152" s="3"/>
    </row>
    <row r="153" spans="1:16">
      <c r="A153" s="6">
        <v>10401</v>
      </c>
      <c r="B153" s="6">
        <v>65</v>
      </c>
      <c r="C153" s="6">
        <v>1</v>
      </c>
      <c r="D153" s="8">
        <v>39083</v>
      </c>
      <c r="E153" s="8">
        <v>39111</v>
      </c>
      <c r="F153" s="8">
        <v>39092</v>
      </c>
      <c r="G153" s="6">
        <v>1</v>
      </c>
      <c r="H153" s="1">
        <v>12.51</v>
      </c>
      <c r="I153" s="1" t="s">
        <v>785</v>
      </c>
      <c r="J153" s="1" t="s">
        <v>786</v>
      </c>
      <c r="K153" s="1" t="s">
        <v>424</v>
      </c>
      <c r="L153" s="1" t="s">
        <v>425</v>
      </c>
      <c r="M153" s="1">
        <v>10285</v>
      </c>
      <c r="N153" s="1" t="s">
        <v>229</v>
      </c>
      <c r="O153" s="11" t="s">
        <v>745</v>
      </c>
      <c r="P153" s="3"/>
    </row>
    <row r="154" spans="1:16">
      <c r="A154" s="6">
        <v>10402</v>
      </c>
      <c r="B154" s="6">
        <v>20</v>
      </c>
      <c r="C154" s="6">
        <v>8</v>
      </c>
      <c r="D154" s="8">
        <v>39084</v>
      </c>
      <c r="E154" s="8">
        <v>39126</v>
      </c>
      <c r="F154" s="8">
        <v>39092</v>
      </c>
      <c r="G154" s="6">
        <v>2</v>
      </c>
      <c r="H154" s="1">
        <v>67.88</v>
      </c>
      <c r="I154" s="1" t="s">
        <v>769</v>
      </c>
      <c r="J154" s="1" t="s">
        <v>770</v>
      </c>
      <c r="K154" s="1" t="s">
        <v>157</v>
      </c>
      <c r="L154" s="2"/>
      <c r="M154" s="1">
        <v>10158</v>
      </c>
      <c r="N154" s="1" t="s">
        <v>158</v>
      </c>
      <c r="O154" s="11" t="s">
        <v>745</v>
      </c>
      <c r="P154" s="3"/>
    </row>
    <row r="155" spans="1:16">
      <c r="A155" s="6">
        <v>10403</v>
      </c>
      <c r="B155" s="6">
        <v>20</v>
      </c>
      <c r="C155" s="6">
        <v>4</v>
      </c>
      <c r="D155" s="8">
        <v>39085</v>
      </c>
      <c r="E155" s="8">
        <v>39113</v>
      </c>
      <c r="F155" s="8">
        <v>39091</v>
      </c>
      <c r="G155" s="6">
        <v>3</v>
      </c>
      <c r="H155" s="1">
        <v>73.790000000000006</v>
      </c>
      <c r="I155" s="1" t="s">
        <v>760</v>
      </c>
      <c r="J155" s="1" t="s">
        <v>156</v>
      </c>
      <c r="K155" s="1" t="s">
        <v>157</v>
      </c>
      <c r="L155" s="2"/>
      <c r="M155" s="1">
        <v>10157</v>
      </c>
      <c r="N155" s="1" t="s">
        <v>158</v>
      </c>
      <c r="O155" s="11" t="s">
        <v>745</v>
      </c>
      <c r="P155" s="3"/>
    </row>
    <row r="156" spans="1:16">
      <c r="A156" s="6">
        <v>10404</v>
      </c>
      <c r="B156" s="6">
        <v>49</v>
      </c>
      <c r="C156" s="6">
        <v>2</v>
      </c>
      <c r="D156" s="8">
        <v>39085</v>
      </c>
      <c r="E156" s="8">
        <v>39113</v>
      </c>
      <c r="F156" s="8">
        <v>39090</v>
      </c>
      <c r="G156" s="6">
        <v>1</v>
      </c>
      <c r="H156" s="1">
        <v>155.97</v>
      </c>
      <c r="I156" s="1" t="s">
        <v>945</v>
      </c>
      <c r="J156" s="1" t="s">
        <v>946</v>
      </c>
      <c r="K156" s="1" t="s">
        <v>338</v>
      </c>
      <c r="L156" s="2"/>
      <c r="M156" s="1">
        <v>10236</v>
      </c>
      <c r="N156" s="1" t="s">
        <v>198</v>
      </c>
      <c r="O156" s="11" t="s">
        <v>745</v>
      </c>
      <c r="P156" s="3"/>
    </row>
    <row r="157" spans="1:16">
      <c r="A157" s="6">
        <v>10405</v>
      </c>
      <c r="B157" s="6">
        <v>47</v>
      </c>
      <c r="C157" s="6">
        <v>1</v>
      </c>
      <c r="D157" s="8">
        <v>39088</v>
      </c>
      <c r="E157" s="8">
        <v>39116</v>
      </c>
      <c r="F157" s="8">
        <v>39104</v>
      </c>
      <c r="G157" s="6">
        <v>1</v>
      </c>
      <c r="H157" s="1">
        <v>34.82</v>
      </c>
      <c r="I157" s="1" t="s">
        <v>947</v>
      </c>
      <c r="J157" s="1" t="s">
        <v>948</v>
      </c>
      <c r="K157" s="1" t="s">
        <v>325</v>
      </c>
      <c r="L157" s="1" t="s">
        <v>326</v>
      </c>
      <c r="M157" s="1">
        <v>10231</v>
      </c>
      <c r="N157" s="1" t="s">
        <v>236</v>
      </c>
      <c r="O157" s="11" t="s">
        <v>745</v>
      </c>
      <c r="P157" s="3"/>
    </row>
    <row r="158" spans="1:16">
      <c r="A158" s="6">
        <v>10406</v>
      </c>
      <c r="B158" s="6">
        <v>62</v>
      </c>
      <c r="C158" s="6">
        <v>7</v>
      </c>
      <c r="D158" s="8">
        <v>39089</v>
      </c>
      <c r="E158" s="8">
        <v>39131</v>
      </c>
      <c r="F158" s="8">
        <v>39095</v>
      </c>
      <c r="G158" s="6">
        <v>1</v>
      </c>
      <c r="H158" s="1">
        <v>108.04</v>
      </c>
      <c r="I158" s="1" t="s">
        <v>914</v>
      </c>
      <c r="J158" s="1" t="s">
        <v>915</v>
      </c>
      <c r="K158" s="1" t="s">
        <v>127</v>
      </c>
      <c r="L158" s="1" t="s">
        <v>128</v>
      </c>
      <c r="M158" s="1">
        <v>10276</v>
      </c>
      <c r="N158" s="1" t="s">
        <v>129</v>
      </c>
      <c r="O158" s="11" t="s">
        <v>745</v>
      </c>
      <c r="P158" s="3"/>
    </row>
    <row r="159" spans="1:16">
      <c r="A159" s="6">
        <v>10407</v>
      </c>
      <c r="B159" s="6">
        <v>56</v>
      </c>
      <c r="C159" s="6">
        <v>2</v>
      </c>
      <c r="D159" s="8">
        <v>39089</v>
      </c>
      <c r="E159" s="8">
        <v>39117</v>
      </c>
      <c r="F159" s="8">
        <v>39112</v>
      </c>
      <c r="G159" s="6">
        <v>2</v>
      </c>
      <c r="H159" s="1">
        <v>91.48</v>
      </c>
      <c r="I159" s="1" t="s">
        <v>949</v>
      </c>
      <c r="J159" s="1" t="s">
        <v>950</v>
      </c>
      <c r="K159" s="1" t="s">
        <v>378</v>
      </c>
      <c r="L159" s="2"/>
      <c r="M159" s="1">
        <v>10259</v>
      </c>
      <c r="N159" s="1" t="s">
        <v>36</v>
      </c>
      <c r="O159" s="11" t="s">
        <v>745</v>
      </c>
      <c r="P159" s="3"/>
    </row>
    <row r="160" spans="1:16">
      <c r="A160" s="6">
        <v>10408</v>
      </c>
      <c r="B160" s="6">
        <v>23</v>
      </c>
      <c r="C160" s="6">
        <v>8</v>
      </c>
      <c r="D160" s="8">
        <v>39090</v>
      </c>
      <c r="E160" s="8">
        <v>39118</v>
      </c>
      <c r="F160" s="8">
        <v>39096</v>
      </c>
      <c r="G160" s="6">
        <v>1</v>
      </c>
      <c r="H160" s="1">
        <v>11.26</v>
      </c>
      <c r="I160" s="1" t="s">
        <v>951</v>
      </c>
      <c r="J160" s="1" t="s">
        <v>952</v>
      </c>
      <c r="K160" s="1" t="s">
        <v>175</v>
      </c>
      <c r="L160" s="2"/>
      <c r="M160" s="1">
        <v>10163</v>
      </c>
      <c r="N160" s="1" t="s">
        <v>77</v>
      </c>
      <c r="O160" s="11" t="s">
        <v>745</v>
      </c>
      <c r="P160" s="3"/>
    </row>
    <row r="161" spans="1:16">
      <c r="A161" s="6">
        <v>10409</v>
      </c>
      <c r="B161" s="6">
        <v>54</v>
      </c>
      <c r="C161" s="6">
        <v>3</v>
      </c>
      <c r="D161" s="8">
        <v>39091</v>
      </c>
      <c r="E161" s="8">
        <v>39119</v>
      </c>
      <c r="F161" s="8">
        <v>39096</v>
      </c>
      <c r="G161" s="6">
        <v>1</v>
      </c>
      <c r="H161" s="1">
        <v>29.83</v>
      </c>
      <c r="I161" s="1" t="s">
        <v>953</v>
      </c>
      <c r="J161" s="1" t="s">
        <v>954</v>
      </c>
      <c r="K161" s="1" t="s">
        <v>110</v>
      </c>
      <c r="L161" s="2"/>
      <c r="M161" s="1">
        <v>10254</v>
      </c>
      <c r="N161" s="1" t="s">
        <v>111</v>
      </c>
      <c r="O161" s="11" t="s">
        <v>745</v>
      </c>
      <c r="P161" s="3"/>
    </row>
    <row r="162" spans="1:16">
      <c r="A162" s="6">
        <v>10410</v>
      </c>
      <c r="B162" s="6">
        <v>10</v>
      </c>
      <c r="C162" s="6">
        <v>3</v>
      </c>
      <c r="D162" s="8">
        <v>39092</v>
      </c>
      <c r="E162" s="8">
        <v>39120</v>
      </c>
      <c r="F162" s="8">
        <v>39097</v>
      </c>
      <c r="G162" s="6">
        <v>3</v>
      </c>
      <c r="H162" s="1">
        <v>2.4</v>
      </c>
      <c r="I162" s="1" t="s">
        <v>930</v>
      </c>
      <c r="J162" s="1" t="s">
        <v>931</v>
      </c>
      <c r="K162" s="1" t="s">
        <v>97</v>
      </c>
      <c r="L162" s="1" t="s">
        <v>98</v>
      </c>
      <c r="M162" s="1">
        <v>10130</v>
      </c>
      <c r="N162" s="1" t="s">
        <v>99</v>
      </c>
      <c r="O162" s="11" t="s">
        <v>745</v>
      </c>
      <c r="P162" s="3"/>
    </row>
    <row r="163" spans="1:16">
      <c r="A163" s="6">
        <v>10411</v>
      </c>
      <c r="B163" s="6">
        <v>10</v>
      </c>
      <c r="C163" s="6">
        <v>9</v>
      </c>
      <c r="D163" s="8">
        <v>39092</v>
      </c>
      <c r="E163" s="8">
        <v>39120</v>
      </c>
      <c r="F163" s="8">
        <v>39103</v>
      </c>
      <c r="G163" s="6">
        <v>3</v>
      </c>
      <c r="H163" s="1">
        <v>23.65</v>
      </c>
      <c r="I163" s="1" t="s">
        <v>955</v>
      </c>
      <c r="J163" s="1" t="s">
        <v>956</v>
      </c>
      <c r="K163" s="1" t="s">
        <v>97</v>
      </c>
      <c r="L163" s="1" t="s">
        <v>98</v>
      </c>
      <c r="M163" s="1">
        <v>10129</v>
      </c>
      <c r="N163" s="1" t="s">
        <v>99</v>
      </c>
      <c r="O163" s="11" t="s">
        <v>745</v>
      </c>
      <c r="P163" s="3"/>
    </row>
    <row r="164" spans="1:16">
      <c r="A164" s="6">
        <v>10412</v>
      </c>
      <c r="B164" s="6">
        <v>87</v>
      </c>
      <c r="C164" s="6">
        <v>8</v>
      </c>
      <c r="D164" s="8">
        <v>39095</v>
      </c>
      <c r="E164" s="8">
        <v>39123</v>
      </c>
      <c r="F164" s="8">
        <v>39097</v>
      </c>
      <c r="G164" s="6">
        <v>2</v>
      </c>
      <c r="H164" s="1">
        <v>3.77</v>
      </c>
      <c r="I164" s="1" t="s">
        <v>863</v>
      </c>
      <c r="J164" s="1" t="s">
        <v>864</v>
      </c>
      <c r="K164" s="1" t="s">
        <v>550</v>
      </c>
      <c r="L164" s="2"/>
      <c r="M164" s="1">
        <v>10352</v>
      </c>
      <c r="N164" s="1" t="s">
        <v>551</v>
      </c>
      <c r="O164" s="11" t="s">
        <v>745</v>
      </c>
      <c r="P164" s="3"/>
    </row>
    <row r="165" spans="1:16">
      <c r="A165" s="6">
        <v>10413</v>
      </c>
      <c r="B165" s="6">
        <v>41</v>
      </c>
      <c r="C165" s="6">
        <v>3</v>
      </c>
      <c r="D165" s="8">
        <v>39096</v>
      </c>
      <c r="E165" s="8">
        <v>39124</v>
      </c>
      <c r="F165" s="8">
        <v>39098</v>
      </c>
      <c r="G165" s="6">
        <v>2</v>
      </c>
      <c r="H165" s="1">
        <v>95.66</v>
      </c>
      <c r="I165" s="1" t="s">
        <v>882</v>
      </c>
      <c r="J165" s="1" t="s">
        <v>883</v>
      </c>
      <c r="K165" s="1" t="s">
        <v>287</v>
      </c>
      <c r="L165" s="2"/>
      <c r="M165" s="1">
        <v>10217</v>
      </c>
      <c r="N165" s="1" t="s">
        <v>77</v>
      </c>
      <c r="O165" s="11" t="s">
        <v>745</v>
      </c>
      <c r="P165" s="3"/>
    </row>
    <row r="166" spans="1:16">
      <c r="A166" s="6">
        <v>10414</v>
      </c>
      <c r="B166" s="6">
        <v>21</v>
      </c>
      <c r="C166" s="6">
        <v>2</v>
      </c>
      <c r="D166" s="8">
        <v>39096</v>
      </c>
      <c r="E166" s="8">
        <v>39124</v>
      </c>
      <c r="F166" s="8">
        <v>39099</v>
      </c>
      <c r="G166" s="6">
        <v>3</v>
      </c>
      <c r="H166" s="1">
        <v>21.48</v>
      </c>
      <c r="I166" s="1" t="s">
        <v>957</v>
      </c>
      <c r="J166" s="1" t="s">
        <v>164</v>
      </c>
      <c r="K166" s="1" t="s">
        <v>127</v>
      </c>
      <c r="L166" s="1" t="s">
        <v>128</v>
      </c>
      <c r="M166" s="1">
        <v>10161</v>
      </c>
      <c r="N166" s="1" t="s">
        <v>129</v>
      </c>
      <c r="O166" s="11" t="s">
        <v>745</v>
      </c>
      <c r="P166" s="3"/>
    </row>
    <row r="167" spans="1:16">
      <c r="A167" s="6">
        <v>10415</v>
      </c>
      <c r="B167" s="6">
        <v>36</v>
      </c>
      <c r="C167" s="6">
        <v>3</v>
      </c>
      <c r="D167" s="8">
        <v>39097</v>
      </c>
      <c r="E167" s="8">
        <v>39125</v>
      </c>
      <c r="F167" s="8">
        <v>39106</v>
      </c>
      <c r="G167" s="6">
        <v>1</v>
      </c>
      <c r="H167" s="1">
        <v>0.2</v>
      </c>
      <c r="I167" s="1" t="s">
        <v>938</v>
      </c>
      <c r="J167" s="1" t="s">
        <v>255</v>
      </c>
      <c r="K167" s="1" t="s">
        <v>256</v>
      </c>
      <c r="L167" s="1" t="s">
        <v>228</v>
      </c>
      <c r="M167" s="1">
        <v>10200</v>
      </c>
      <c r="N167" s="1" t="s">
        <v>229</v>
      </c>
      <c r="O167" s="11" t="s">
        <v>745</v>
      </c>
      <c r="P167" s="3"/>
    </row>
    <row r="168" spans="1:16">
      <c r="A168" s="6">
        <v>10416</v>
      </c>
      <c r="B168" s="6">
        <v>87</v>
      </c>
      <c r="C168" s="6">
        <v>8</v>
      </c>
      <c r="D168" s="8">
        <v>39098</v>
      </c>
      <c r="E168" s="8">
        <v>39126</v>
      </c>
      <c r="F168" s="8">
        <v>39109</v>
      </c>
      <c r="G168" s="6">
        <v>3</v>
      </c>
      <c r="H168" s="1">
        <v>22.72</v>
      </c>
      <c r="I168" s="1" t="s">
        <v>846</v>
      </c>
      <c r="J168" s="1" t="s">
        <v>847</v>
      </c>
      <c r="K168" s="1" t="s">
        <v>550</v>
      </c>
      <c r="L168" s="2"/>
      <c r="M168" s="1">
        <v>10350</v>
      </c>
      <c r="N168" s="1" t="s">
        <v>551</v>
      </c>
      <c r="O168" s="11" t="s">
        <v>745</v>
      </c>
      <c r="P168" s="3"/>
    </row>
    <row r="169" spans="1:16">
      <c r="A169" s="6">
        <v>10417</v>
      </c>
      <c r="B169" s="6">
        <v>73</v>
      </c>
      <c r="C169" s="6">
        <v>4</v>
      </c>
      <c r="D169" s="8">
        <v>39098</v>
      </c>
      <c r="E169" s="8">
        <v>39126</v>
      </c>
      <c r="F169" s="8">
        <v>39110</v>
      </c>
      <c r="G169" s="6">
        <v>3</v>
      </c>
      <c r="H169" s="1">
        <v>70.290000000000006</v>
      </c>
      <c r="I169" s="1" t="s">
        <v>958</v>
      </c>
      <c r="J169" s="1" t="s">
        <v>959</v>
      </c>
      <c r="K169" s="1" t="s">
        <v>469</v>
      </c>
      <c r="L169" s="2"/>
      <c r="M169" s="1">
        <v>10311</v>
      </c>
      <c r="N169" s="1" t="s">
        <v>470</v>
      </c>
      <c r="O169" s="11" t="s">
        <v>745</v>
      </c>
      <c r="P169" s="3"/>
    </row>
    <row r="170" spans="1:16">
      <c r="A170" s="6">
        <v>10418</v>
      </c>
      <c r="B170" s="6">
        <v>63</v>
      </c>
      <c r="C170" s="6">
        <v>4</v>
      </c>
      <c r="D170" s="8">
        <v>39099</v>
      </c>
      <c r="E170" s="8">
        <v>39127</v>
      </c>
      <c r="F170" s="8">
        <v>39106</v>
      </c>
      <c r="G170" s="6">
        <v>1</v>
      </c>
      <c r="H170" s="1">
        <v>17.55</v>
      </c>
      <c r="I170" s="1" t="s">
        <v>808</v>
      </c>
      <c r="J170" s="1" t="s">
        <v>809</v>
      </c>
      <c r="K170" s="1" t="s">
        <v>413</v>
      </c>
      <c r="L170" s="2"/>
      <c r="M170" s="1">
        <v>10280</v>
      </c>
      <c r="N170" s="1" t="s">
        <v>36</v>
      </c>
      <c r="O170" s="11" t="s">
        <v>745</v>
      </c>
      <c r="P170" s="3"/>
    </row>
    <row r="171" spans="1:16">
      <c r="A171" s="6">
        <v>10419</v>
      </c>
      <c r="B171" s="6">
        <v>68</v>
      </c>
      <c r="C171" s="6">
        <v>4</v>
      </c>
      <c r="D171" s="8">
        <v>39102</v>
      </c>
      <c r="E171" s="8">
        <v>39130</v>
      </c>
      <c r="F171" s="8">
        <v>39112</v>
      </c>
      <c r="G171" s="6">
        <v>2</v>
      </c>
      <c r="H171" s="1">
        <v>137.35</v>
      </c>
      <c r="I171" s="1" t="s">
        <v>754</v>
      </c>
      <c r="J171" s="1" t="s">
        <v>755</v>
      </c>
      <c r="K171" s="1" t="s">
        <v>441</v>
      </c>
      <c r="L171" s="2"/>
      <c r="M171" s="1">
        <v>10294</v>
      </c>
      <c r="N171" s="1" t="s">
        <v>121</v>
      </c>
      <c r="O171" s="11" t="s">
        <v>745</v>
      </c>
      <c r="P171" s="3"/>
    </row>
    <row r="172" spans="1:16">
      <c r="A172" s="6">
        <v>10420</v>
      </c>
      <c r="B172" s="6">
        <v>88</v>
      </c>
      <c r="C172" s="6">
        <v>3</v>
      </c>
      <c r="D172" s="8">
        <v>39103</v>
      </c>
      <c r="E172" s="8">
        <v>39131</v>
      </c>
      <c r="F172" s="8">
        <v>39109</v>
      </c>
      <c r="G172" s="6">
        <v>1</v>
      </c>
      <c r="H172" s="1">
        <v>44.12</v>
      </c>
      <c r="I172" s="1" t="s">
        <v>960</v>
      </c>
      <c r="J172" s="1" t="s">
        <v>961</v>
      </c>
      <c r="K172" s="1" t="s">
        <v>557</v>
      </c>
      <c r="L172" s="1" t="s">
        <v>128</v>
      </c>
      <c r="M172" s="1">
        <v>10355</v>
      </c>
      <c r="N172" s="1" t="s">
        <v>129</v>
      </c>
      <c r="O172" s="11" t="s">
        <v>745</v>
      </c>
      <c r="P172" s="3"/>
    </row>
    <row r="173" spans="1:16">
      <c r="A173" s="6">
        <v>10421</v>
      </c>
      <c r="B173" s="6">
        <v>61</v>
      </c>
      <c r="C173" s="6">
        <v>8</v>
      </c>
      <c r="D173" s="8">
        <v>39103</v>
      </c>
      <c r="E173" s="8">
        <v>39145</v>
      </c>
      <c r="F173" s="8">
        <v>39109</v>
      </c>
      <c r="G173" s="6">
        <v>1</v>
      </c>
      <c r="H173" s="1">
        <v>99.23</v>
      </c>
      <c r="I173" s="1" t="s">
        <v>962</v>
      </c>
      <c r="J173" s="1" t="s">
        <v>963</v>
      </c>
      <c r="K173" s="1" t="s">
        <v>242</v>
      </c>
      <c r="L173" s="1" t="s">
        <v>243</v>
      </c>
      <c r="M173" s="1">
        <v>10275</v>
      </c>
      <c r="N173" s="1" t="s">
        <v>129</v>
      </c>
      <c r="O173" s="11" t="s">
        <v>745</v>
      </c>
      <c r="P173" s="3"/>
    </row>
    <row r="174" spans="1:16">
      <c r="A174" s="6">
        <v>10422</v>
      </c>
      <c r="B174" s="6">
        <v>27</v>
      </c>
      <c r="C174" s="6">
        <v>2</v>
      </c>
      <c r="D174" s="8">
        <v>39104</v>
      </c>
      <c r="E174" s="8">
        <v>39132</v>
      </c>
      <c r="F174" s="8">
        <v>39113</v>
      </c>
      <c r="G174" s="6">
        <v>1</v>
      </c>
      <c r="H174" s="1">
        <v>3.02</v>
      </c>
      <c r="I174" s="1" t="s">
        <v>964</v>
      </c>
      <c r="J174" s="1" t="s">
        <v>965</v>
      </c>
      <c r="K174" s="1" t="s">
        <v>197</v>
      </c>
      <c r="L174" s="2"/>
      <c r="M174" s="1">
        <v>10174</v>
      </c>
      <c r="N174" s="1" t="s">
        <v>198</v>
      </c>
      <c r="O174" s="11" t="s">
        <v>745</v>
      </c>
      <c r="P174" s="3"/>
    </row>
    <row r="175" spans="1:16">
      <c r="A175" s="6">
        <v>10423</v>
      </c>
      <c r="B175" s="6">
        <v>31</v>
      </c>
      <c r="C175" s="6">
        <v>6</v>
      </c>
      <c r="D175" s="8">
        <v>39105</v>
      </c>
      <c r="E175" s="8">
        <v>39119</v>
      </c>
      <c r="F175" s="8">
        <v>39137</v>
      </c>
      <c r="G175" s="6">
        <v>3</v>
      </c>
      <c r="H175" s="1">
        <v>24.5</v>
      </c>
      <c r="I175" s="1" t="s">
        <v>966</v>
      </c>
      <c r="J175" s="1" t="s">
        <v>967</v>
      </c>
      <c r="K175" s="1" t="s">
        <v>222</v>
      </c>
      <c r="L175" s="1" t="s">
        <v>128</v>
      </c>
      <c r="M175" s="1">
        <v>10187</v>
      </c>
      <c r="N175" s="1" t="s">
        <v>129</v>
      </c>
      <c r="O175" s="11" t="s">
        <v>745</v>
      </c>
      <c r="P175" s="3"/>
    </row>
    <row r="176" spans="1:16">
      <c r="A176" s="6">
        <v>10424</v>
      </c>
      <c r="B176" s="6">
        <v>51</v>
      </c>
      <c r="C176" s="6">
        <v>7</v>
      </c>
      <c r="D176" s="8">
        <v>39105</v>
      </c>
      <c r="E176" s="8">
        <v>39133</v>
      </c>
      <c r="F176" s="8">
        <v>39109</v>
      </c>
      <c r="G176" s="6">
        <v>2</v>
      </c>
      <c r="H176" s="1">
        <v>370.61</v>
      </c>
      <c r="I176" s="1" t="s">
        <v>873</v>
      </c>
      <c r="J176" s="1" t="s">
        <v>350</v>
      </c>
      <c r="K176" s="1" t="s">
        <v>351</v>
      </c>
      <c r="L176" s="1" t="s">
        <v>352</v>
      </c>
      <c r="M176" s="1">
        <v>10246</v>
      </c>
      <c r="N176" s="1" t="s">
        <v>99</v>
      </c>
      <c r="O176" s="11" t="s">
        <v>745</v>
      </c>
      <c r="P176" s="3"/>
    </row>
    <row r="177" spans="1:16">
      <c r="A177" s="6">
        <v>10425</v>
      </c>
      <c r="B177" s="6">
        <v>41</v>
      </c>
      <c r="C177" s="6">
        <v>6</v>
      </c>
      <c r="D177" s="8">
        <v>39106</v>
      </c>
      <c r="E177" s="8">
        <v>39134</v>
      </c>
      <c r="F177" s="8">
        <v>39127</v>
      </c>
      <c r="G177" s="6">
        <v>2</v>
      </c>
      <c r="H177" s="1">
        <v>7.93</v>
      </c>
      <c r="I177" s="1" t="s">
        <v>882</v>
      </c>
      <c r="J177" s="1" t="s">
        <v>883</v>
      </c>
      <c r="K177" s="1" t="s">
        <v>287</v>
      </c>
      <c r="L177" s="2"/>
      <c r="M177" s="1">
        <v>10217</v>
      </c>
      <c r="N177" s="1" t="s">
        <v>77</v>
      </c>
      <c r="O177" s="11" t="s">
        <v>745</v>
      </c>
      <c r="P177" s="3"/>
    </row>
    <row r="178" spans="1:16">
      <c r="A178" s="6">
        <v>10426</v>
      </c>
      <c r="B178" s="6">
        <v>29</v>
      </c>
      <c r="C178" s="6">
        <v>4</v>
      </c>
      <c r="D178" s="8">
        <v>39109</v>
      </c>
      <c r="E178" s="8">
        <v>39137</v>
      </c>
      <c r="F178" s="8">
        <v>39119</v>
      </c>
      <c r="G178" s="6">
        <v>1</v>
      </c>
      <c r="H178" s="1">
        <v>18.690000000000001</v>
      </c>
      <c r="I178" s="1" t="s">
        <v>968</v>
      </c>
      <c r="J178" s="1" t="s">
        <v>969</v>
      </c>
      <c r="K178" s="1" t="s">
        <v>211</v>
      </c>
      <c r="L178" s="2"/>
      <c r="M178" s="1">
        <v>10179</v>
      </c>
      <c r="N178" s="1" t="s">
        <v>84</v>
      </c>
      <c r="O178" s="11" t="s">
        <v>745</v>
      </c>
      <c r="P178" s="3"/>
    </row>
    <row r="179" spans="1:16">
      <c r="A179" s="6">
        <v>10427</v>
      </c>
      <c r="B179" s="6">
        <v>59</v>
      </c>
      <c r="C179" s="6">
        <v>4</v>
      </c>
      <c r="D179" s="8">
        <v>39109</v>
      </c>
      <c r="E179" s="8">
        <v>39137</v>
      </c>
      <c r="F179" s="8">
        <v>39144</v>
      </c>
      <c r="G179" s="6">
        <v>2</v>
      </c>
      <c r="H179" s="1">
        <v>31.29</v>
      </c>
      <c r="I179" s="1" t="s">
        <v>970</v>
      </c>
      <c r="J179" s="1" t="s">
        <v>971</v>
      </c>
      <c r="K179" s="1" t="s">
        <v>394</v>
      </c>
      <c r="L179" s="2"/>
      <c r="M179" s="1">
        <v>10266</v>
      </c>
      <c r="N179" s="1" t="s">
        <v>158</v>
      </c>
      <c r="O179" s="11" t="s">
        <v>745</v>
      </c>
      <c r="P179" s="3"/>
    </row>
    <row r="180" spans="1:16">
      <c r="A180" s="6">
        <v>10428</v>
      </c>
      <c r="B180" s="6">
        <v>66</v>
      </c>
      <c r="C180" s="6">
        <v>7</v>
      </c>
      <c r="D180" s="8">
        <v>39110</v>
      </c>
      <c r="E180" s="8">
        <v>39138</v>
      </c>
      <c r="F180" s="8">
        <v>39117</v>
      </c>
      <c r="G180" s="6">
        <v>1</v>
      </c>
      <c r="H180" s="1">
        <v>11.09</v>
      </c>
      <c r="I180" s="1" t="s">
        <v>812</v>
      </c>
      <c r="J180" s="1" t="s">
        <v>813</v>
      </c>
      <c r="K180" s="1" t="s">
        <v>431</v>
      </c>
      <c r="L180" s="2"/>
      <c r="M180" s="1">
        <v>10290</v>
      </c>
      <c r="N180" s="1" t="s">
        <v>198</v>
      </c>
      <c r="O180" s="11" t="s">
        <v>745</v>
      </c>
      <c r="P180" s="3"/>
    </row>
    <row r="181" spans="1:16">
      <c r="A181" s="6">
        <v>10429</v>
      </c>
      <c r="B181" s="6">
        <v>37</v>
      </c>
      <c r="C181" s="6">
        <v>3</v>
      </c>
      <c r="D181" s="8">
        <v>39111</v>
      </c>
      <c r="E181" s="8">
        <v>39153</v>
      </c>
      <c r="F181" s="8">
        <v>39120</v>
      </c>
      <c r="G181" s="6">
        <v>2</v>
      </c>
      <c r="H181" s="1">
        <v>56.63</v>
      </c>
      <c r="I181" s="1" t="s">
        <v>972</v>
      </c>
      <c r="J181" s="1" t="s">
        <v>973</v>
      </c>
      <c r="K181" s="1" t="s">
        <v>262</v>
      </c>
      <c r="L181" s="1" t="s">
        <v>263</v>
      </c>
      <c r="M181" s="1">
        <v>10204</v>
      </c>
      <c r="N181" s="1" t="s">
        <v>264</v>
      </c>
      <c r="O181" s="11" t="s">
        <v>745</v>
      </c>
      <c r="P181" s="3"/>
    </row>
    <row r="182" spans="1:16">
      <c r="A182" s="6">
        <v>10430</v>
      </c>
      <c r="B182" s="6">
        <v>20</v>
      </c>
      <c r="C182" s="6">
        <v>4</v>
      </c>
      <c r="D182" s="8">
        <v>39112</v>
      </c>
      <c r="E182" s="8">
        <v>39126</v>
      </c>
      <c r="F182" s="8">
        <v>39116</v>
      </c>
      <c r="G182" s="6">
        <v>1</v>
      </c>
      <c r="H182" s="1">
        <v>458.78</v>
      </c>
      <c r="I182" s="1" t="s">
        <v>974</v>
      </c>
      <c r="J182" s="1" t="s">
        <v>975</v>
      </c>
      <c r="K182" s="1" t="s">
        <v>157</v>
      </c>
      <c r="L182" s="2"/>
      <c r="M182" s="1">
        <v>10159</v>
      </c>
      <c r="N182" s="1" t="s">
        <v>158</v>
      </c>
      <c r="O182" s="11" t="s">
        <v>745</v>
      </c>
      <c r="P182" s="3"/>
    </row>
    <row r="183" spans="1:16">
      <c r="A183" s="6">
        <v>10431</v>
      </c>
      <c r="B183" s="6">
        <v>10</v>
      </c>
      <c r="C183" s="6">
        <v>4</v>
      </c>
      <c r="D183" s="8">
        <v>39112</v>
      </c>
      <c r="E183" s="8">
        <v>39126</v>
      </c>
      <c r="F183" s="8">
        <v>39120</v>
      </c>
      <c r="G183" s="6">
        <v>2</v>
      </c>
      <c r="H183" s="1">
        <v>44.17</v>
      </c>
      <c r="I183" s="1" t="s">
        <v>930</v>
      </c>
      <c r="J183" s="1" t="s">
        <v>931</v>
      </c>
      <c r="K183" s="1" t="s">
        <v>97</v>
      </c>
      <c r="L183" s="1" t="s">
        <v>98</v>
      </c>
      <c r="M183" s="1">
        <v>10130</v>
      </c>
      <c r="N183" s="1" t="s">
        <v>99</v>
      </c>
      <c r="O183" s="11" t="s">
        <v>745</v>
      </c>
      <c r="P183" s="3"/>
    </row>
    <row r="184" spans="1:16">
      <c r="A184" s="6">
        <v>10432</v>
      </c>
      <c r="B184" s="6">
        <v>75</v>
      </c>
      <c r="C184" s="6">
        <v>3</v>
      </c>
      <c r="D184" s="8">
        <v>39113</v>
      </c>
      <c r="E184" s="8">
        <v>39127</v>
      </c>
      <c r="F184" s="8">
        <v>39120</v>
      </c>
      <c r="G184" s="6">
        <v>2</v>
      </c>
      <c r="H184" s="1">
        <v>4.34</v>
      </c>
      <c r="I184" s="1" t="s">
        <v>976</v>
      </c>
      <c r="J184" s="1" t="s">
        <v>977</v>
      </c>
      <c r="K184" s="1" t="s">
        <v>481</v>
      </c>
      <c r="L184" s="1" t="s">
        <v>482</v>
      </c>
      <c r="M184" s="1">
        <v>10314</v>
      </c>
      <c r="N184" s="1" t="s">
        <v>229</v>
      </c>
      <c r="O184" s="11" t="s">
        <v>745</v>
      </c>
      <c r="P184" s="3"/>
    </row>
    <row r="185" spans="1:16">
      <c r="A185" s="6">
        <v>10433</v>
      </c>
      <c r="B185" s="6">
        <v>60</v>
      </c>
      <c r="C185" s="6">
        <v>3</v>
      </c>
      <c r="D185" s="8">
        <v>39116</v>
      </c>
      <c r="E185" s="8">
        <v>39144</v>
      </c>
      <c r="F185" s="8">
        <v>39145</v>
      </c>
      <c r="G185" s="6">
        <v>3</v>
      </c>
      <c r="H185" s="1">
        <v>73.83</v>
      </c>
      <c r="I185" s="1" t="s">
        <v>939</v>
      </c>
      <c r="J185" s="1" t="s">
        <v>940</v>
      </c>
      <c r="K185" s="1" t="s">
        <v>204</v>
      </c>
      <c r="L185" s="2"/>
      <c r="M185" s="1">
        <v>10270</v>
      </c>
      <c r="N185" s="1" t="s">
        <v>205</v>
      </c>
      <c r="O185" s="11" t="s">
        <v>745</v>
      </c>
      <c r="P185" s="3"/>
    </row>
    <row r="186" spans="1:16">
      <c r="A186" s="6">
        <v>10434</v>
      </c>
      <c r="B186" s="6">
        <v>24</v>
      </c>
      <c r="C186" s="6">
        <v>3</v>
      </c>
      <c r="D186" s="8">
        <v>39116</v>
      </c>
      <c r="E186" s="8">
        <v>39144</v>
      </c>
      <c r="F186" s="8">
        <v>39126</v>
      </c>
      <c r="G186" s="6">
        <v>2</v>
      </c>
      <c r="H186" s="1">
        <v>17.920000000000002</v>
      </c>
      <c r="I186" s="1" t="s">
        <v>856</v>
      </c>
      <c r="J186" s="1" t="s">
        <v>857</v>
      </c>
      <c r="K186" s="1" t="s">
        <v>181</v>
      </c>
      <c r="L186" s="2"/>
      <c r="M186" s="1">
        <v>10165</v>
      </c>
      <c r="N186" s="1" t="s">
        <v>63</v>
      </c>
      <c r="O186" s="11" t="s">
        <v>745</v>
      </c>
      <c r="P186" s="3"/>
    </row>
    <row r="187" spans="1:16">
      <c r="A187" s="6">
        <v>10435</v>
      </c>
      <c r="B187" s="6">
        <v>16</v>
      </c>
      <c r="C187" s="6">
        <v>8</v>
      </c>
      <c r="D187" s="8">
        <v>39117</v>
      </c>
      <c r="E187" s="8">
        <v>39159</v>
      </c>
      <c r="F187" s="8">
        <v>39120</v>
      </c>
      <c r="G187" s="6">
        <v>2</v>
      </c>
      <c r="H187" s="1">
        <v>9.2100000000000009</v>
      </c>
      <c r="I187" s="1" t="s">
        <v>978</v>
      </c>
      <c r="J187" s="1" t="s">
        <v>979</v>
      </c>
      <c r="K187" s="1" t="s">
        <v>54</v>
      </c>
      <c r="L187" s="2"/>
      <c r="M187" s="1">
        <v>10143</v>
      </c>
      <c r="N187" s="1" t="s">
        <v>55</v>
      </c>
      <c r="O187" s="11" t="s">
        <v>745</v>
      </c>
      <c r="P187" s="3"/>
    </row>
    <row r="188" spans="1:16">
      <c r="A188" s="6">
        <v>10436</v>
      </c>
      <c r="B188" s="6">
        <v>7</v>
      </c>
      <c r="C188" s="6">
        <v>3</v>
      </c>
      <c r="D188" s="8">
        <v>39118</v>
      </c>
      <c r="E188" s="8">
        <v>39146</v>
      </c>
      <c r="F188" s="8">
        <v>39124</v>
      </c>
      <c r="G188" s="6">
        <v>2</v>
      </c>
      <c r="H188" s="1">
        <v>156.66</v>
      </c>
      <c r="I188" s="1" t="s">
        <v>826</v>
      </c>
      <c r="J188" s="1" t="s">
        <v>75</v>
      </c>
      <c r="K188" s="1" t="s">
        <v>76</v>
      </c>
      <c r="L188" s="2"/>
      <c r="M188" s="1">
        <v>10331</v>
      </c>
      <c r="N188" s="1" t="s">
        <v>77</v>
      </c>
      <c r="O188" s="11" t="s">
        <v>745</v>
      </c>
      <c r="P188" s="3"/>
    </row>
    <row r="189" spans="1:16">
      <c r="A189" s="6">
        <v>10437</v>
      </c>
      <c r="B189" s="6">
        <v>87</v>
      </c>
      <c r="C189" s="6">
        <v>8</v>
      </c>
      <c r="D189" s="8">
        <v>39118</v>
      </c>
      <c r="E189" s="8">
        <v>39146</v>
      </c>
      <c r="F189" s="8">
        <v>39125</v>
      </c>
      <c r="G189" s="6">
        <v>1</v>
      </c>
      <c r="H189" s="1">
        <v>19.97</v>
      </c>
      <c r="I189" s="1" t="s">
        <v>846</v>
      </c>
      <c r="J189" s="1" t="s">
        <v>847</v>
      </c>
      <c r="K189" s="1" t="s">
        <v>550</v>
      </c>
      <c r="L189" s="2"/>
      <c r="M189" s="1">
        <v>10350</v>
      </c>
      <c r="N189" s="1" t="s">
        <v>551</v>
      </c>
      <c r="O189" s="11" t="s">
        <v>745</v>
      </c>
      <c r="P189" s="3"/>
    </row>
    <row r="190" spans="1:16">
      <c r="A190" s="6">
        <v>10438</v>
      </c>
      <c r="B190" s="6">
        <v>79</v>
      </c>
      <c r="C190" s="6">
        <v>3</v>
      </c>
      <c r="D190" s="8">
        <v>39119</v>
      </c>
      <c r="E190" s="8">
        <v>39147</v>
      </c>
      <c r="F190" s="8">
        <v>39127</v>
      </c>
      <c r="G190" s="6">
        <v>2</v>
      </c>
      <c r="H190" s="1">
        <v>8.24</v>
      </c>
      <c r="I190" s="1" t="s">
        <v>980</v>
      </c>
      <c r="J190" s="1" t="s">
        <v>981</v>
      </c>
      <c r="K190" s="1" t="s">
        <v>505</v>
      </c>
      <c r="L190" s="2"/>
      <c r="M190" s="1">
        <v>10326</v>
      </c>
      <c r="N190" s="1" t="s">
        <v>36</v>
      </c>
      <c r="O190" s="11" t="s">
        <v>745</v>
      </c>
      <c r="P190" s="3"/>
    </row>
    <row r="191" spans="1:16">
      <c r="A191" s="6">
        <v>10439</v>
      </c>
      <c r="B191" s="6">
        <v>51</v>
      </c>
      <c r="C191" s="6">
        <v>6</v>
      </c>
      <c r="D191" s="8">
        <v>39120</v>
      </c>
      <c r="E191" s="8">
        <v>39148</v>
      </c>
      <c r="F191" s="8">
        <v>39123</v>
      </c>
      <c r="G191" s="6">
        <v>3</v>
      </c>
      <c r="H191" s="1">
        <v>4.07</v>
      </c>
      <c r="I191" s="1" t="s">
        <v>873</v>
      </c>
      <c r="J191" s="1" t="s">
        <v>350</v>
      </c>
      <c r="K191" s="1" t="s">
        <v>351</v>
      </c>
      <c r="L191" s="1" t="s">
        <v>352</v>
      </c>
      <c r="M191" s="1">
        <v>10246</v>
      </c>
      <c r="N191" s="1" t="s">
        <v>99</v>
      </c>
      <c r="O191" s="11" t="s">
        <v>745</v>
      </c>
      <c r="P191" s="3"/>
    </row>
    <row r="192" spans="1:16">
      <c r="A192" s="6">
        <v>10440</v>
      </c>
      <c r="B192" s="6">
        <v>71</v>
      </c>
      <c r="C192" s="6">
        <v>4</v>
      </c>
      <c r="D192" s="8">
        <v>39123</v>
      </c>
      <c r="E192" s="8">
        <v>39151</v>
      </c>
      <c r="F192" s="8">
        <v>39141</v>
      </c>
      <c r="G192" s="6">
        <v>2</v>
      </c>
      <c r="H192" s="1">
        <v>86.53</v>
      </c>
      <c r="I192" s="1" t="s">
        <v>936</v>
      </c>
      <c r="J192" s="1" t="s">
        <v>937</v>
      </c>
      <c r="K192" s="1" t="s">
        <v>458</v>
      </c>
      <c r="L192" s="1" t="s">
        <v>459</v>
      </c>
      <c r="M192" s="1">
        <v>10306</v>
      </c>
      <c r="N192" s="1" t="s">
        <v>229</v>
      </c>
      <c r="O192" s="11" t="s">
        <v>745</v>
      </c>
      <c r="P192" s="3"/>
    </row>
    <row r="193" spans="1:16">
      <c r="A193" s="6">
        <v>10441</v>
      </c>
      <c r="B193" s="6">
        <v>55</v>
      </c>
      <c r="C193" s="6">
        <v>3</v>
      </c>
      <c r="D193" s="8">
        <v>39123</v>
      </c>
      <c r="E193" s="8">
        <v>39165</v>
      </c>
      <c r="F193" s="8">
        <v>39155</v>
      </c>
      <c r="G193" s="6">
        <v>2</v>
      </c>
      <c r="H193" s="1">
        <v>73.02</v>
      </c>
      <c r="I193" s="1" t="s">
        <v>871</v>
      </c>
      <c r="J193" s="1" t="s">
        <v>872</v>
      </c>
      <c r="K193" s="1" t="s">
        <v>371</v>
      </c>
      <c r="L193" s="1" t="s">
        <v>372</v>
      </c>
      <c r="M193" s="1">
        <v>10257</v>
      </c>
      <c r="N193" s="1" t="s">
        <v>229</v>
      </c>
      <c r="O193" s="11" t="s">
        <v>745</v>
      </c>
      <c r="P193" s="3"/>
    </row>
    <row r="194" spans="1:16">
      <c r="A194" s="6">
        <v>10442</v>
      </c>
      <c r="B194" s="6">
        <v>20</v>
      </c>
      <c r="C194" s="6">
        <v>3</v>
      </c>
      <c r="D194" s="8">
        <v>39124</v>
      </c>
      <c r="E194" s="8">
        <v>39152</v>
      </c>
      <c r="F194" s="8">
        <v>39131</v>
      </c>
      <c r="G194" s="6">
        <v>2</v>
      </c>
      <c r="H194" s="1">
        <v>47.94</v>
      </c>
      <c r="I194" s="1" t="s">
        <v>760</v>
      </c>
      <c r="J194" s="1" t="s">
        <v>156</v>
      </c>
      <c r="K194" s="1" t="s">
        <v>157</v>
      </c>
      <c r="L194" s="2"/>
      <c r="M194" s="1">
        <v>10157</v>
      </c>
      <c r="N194" s="1" t="s">
        <v>158</v>
      </c>
      <c r="O194" s="11" t="s">
        <v>745</v>
      </c>
      <c r="P194" s="3"/>
    </row>
    <row r="195" spans="1:16">
      <c r="A195" s="6">
        <v>10443</v>
      </c>
      <c r="B195" s="6">
        <v>66</v>
      </c>
      <c r="C195" s="6">
        <v>8</v>
      </c>
      <c r="D195" s="8">
        <v>39125</v>
      </c>
      <c r="E195" s="8">
        <v>39153</v>
      </c>
      <c r="F195" s="8">
        <v>39127</v>
      </c>
      <c r="G195" s="6">
        <v>1</v>
      </c>
      <c r="H195" s="1">
        <v>13.95</v>
      </c>
      <c r="I195" s="1" t="s">
        <v>812</v>
      </c>
      <c r="J195" s="1" t="s">
        <v>813</v>
      </c>
      <c r="K195" s="1" t="s">
        <v>431</v>
      </c>
      <c r="L195" s="2"/>
      <c r="M195" s="1">
        <v>10290</v>
      </c>
      <c r="N195" s="1" t="s">
        <v>198</v>
      </c>
      <c r="O195" s="11" t="s">
        <v>745</v>
      </c>
      <c r="P195" s="3"/>
    </row>
    <row r="196" spans="1:16">
      <c r="A196" s="6">
        <v>10444</v>
      </c>
      <c r="B196" s="6">
        <v>5</v>
      </c>
      <c r="C196" s="6">
        <v>3</v>
      </c>
      <c r="D196" s="8">
        <v>39125</v>
      </c>
      <c r="E196" s="8">
        <v>39153</v>
      </c>
      <c r="F196" s="8">
        <v>39134</v>
      </c>
      <c r="G196" s="6">
        <v>3</v>
      </c>
      <c r="H196" s="1">
        <v>3.5</v>
      </c>
      <c r="I196" s="1" t="s">
        <v>800</v>
      </c>
      <c r="J196" s="1" t="s">
        <v>801</v>
      </c>
      <c r="K196" s="1" t="s">
        <v>62</v>
      </c>
      <c r="L196" s="2"/>
      <c r="M196" s="1">
        <v>10268</v>
      </c>
      <c r="N196" s="1" t="s">
        <v>63</v>
      </c>
      <c r="O196" s="11" t="s">
        <v>745</v>
      </c>
      <c r="P196" s="3"/>
    </row>
    <row r="197" spans="1:16">
      <c r="A197" s="6">
        <v>10445</v>
      </c>
      <c r="B197" s="6">
        <v>5</v>
      </c>
      <c r="C197" s="6">
        <v>3</v>
      </c>
      <c r="D197" s="8">
        <v>39126</v>
      </c>
      <c r="E197" s="8">
        <v>39154</v>
      </c>
      <c r="F197" s="8">
        <v>39133</v>
      </c>
      <c r="G197" s="6">
        <v>1</v>
      </c>
      <c r="H197" s="1">
        <v>9.3000000000000007</v>
      </c>
      <c r="I197" s="1" t="s">
        <v>982</v>
      </c>
      <c r="J197" s="1" t="s">
        <v>983</v>
      </c>
      <c r="K197" s="1" t="s">
        <v>62</v>
      </c>
      <c r="L197" s="2"/>
      <c r="M197" s="1">
        <v>10267</v>
      </c>
      <c r="N197" s="1" t="s">
        <v>63</v>
      </c>
      <c r="O197" s="11" t="s">
        <v>745</v>
      </c>
      <c r="P197" s="3"/>
    </row>
    <row r="198" spans="1:16">
      <c r="A198" s="6">
        <v>10446</v>
      </c>
      <c r="B198" s="6">
        <v>79</v>
      </c>
      <c r="C198" s="6">
        <v>6</v>
      </c>
      <c r="D198" s="8">
        <v>39127</v>
      </c>
      <c r="E198" s="8">
        <v>39155</v>
      </c>
      <c r="F198" s="8">
        <v>39132</v>
      </c>
      <c r="G198" s="6">
        <v>1</v>
      </c>
      <c r="H198" s="1">
        <v>14.68</v>
      </c>
      <c r="I198" s="1" t="s">
        <v>984</v>
      </c>
      <c r="J198" s="1" t="s">
        <v>985</v>
      </c>
      <c r="K198" s="1" t="s">
        <v>505</v>
      </c>
      <c r="L198" s="2"/>
      <c r="M198" s="1">
        <v>10328</v>
      </c>
      <c r="N198" s="1" t="s">
        <v>36</v>
      </c>
      <c r="O198" s="11" t="s">
        <v>745</v>
      </c>
      <c r="P198" s="3"/>
    </row>
    <row r="199" spans="1:16">
      <c r="A199" s="6">
        <v>10447</v>
      </c>
      <c r="B199" s="6">
        <v>67</v>
      </c>
      <c r="C199" s="6">
        <v>4</v>
      </c>
      <c r="D199" s="8">
        <v>39127</v>
      </c>
      <c r="E199" s="8">
        <v>39155</v>
      </c>
      <c r="F199" s="8">
        <v>39148</v>
      </c>
      <c r="G199" s="6">
        <v>2</v>
      </c>
      <c r="H199" s="1">
        <v>68.66</v>
      </c>
      <c r="I199" s="1" t="s">
        <v>986</v>
      </c>
      <c r="J199" s="1" t="s">
        <v>987</v>
      </c>
      <c r="K199" s="1" t="s">
        <v>242</v>
      </c>
      <c r="L199" s="1" t="s">
        <v>243</v>
      </c>
      <c r="M199" s="1">
        <v>10293</v>
      </c>
      <c r="N199" s="1" t="s">
        <v>129</v>
      </c>
      <c r="O199" s="11" t="s">
        <v>745</v>
      </c>
      <c r="P199" s="3"/>
    </row>
    <row r="200" spans="1:16">
      <c r="A200" s="6">
        <v>10448</v>
      </c>
      <c r="B200" s="6">
        <v>64</v>
      </c>
      <c r="C200" s="6">
        <v>4</v>
      </c>
      <c r="D200" s="8">
        <v>39130</v>
      </c>
      <c r="E200" s="8">
        <v>39158</v>
      </c>
      <c r="F200" s="8">
        <v>39137</v>
      </c>
      <c r="G200" s="6">
        <v>2</v>
      </c>
      <c r="H200" s="1">
        <v>38.82</v>
      </c>
      <c r="I200" s="1" t="s">
        <v>988</v>
      </c>
      <c r="J200" s="1" t="s">
        <v>989</v>
      </c>
      <c r="K200" s="1" t="s">
        <v>110</v>
      </c>
      <c r="L200" s="2"/>
      <c r="M200" s="1">
        <v>10282</v>
      </c>
      <c r="N200" s="1" t="s">
        <v>111</v>
      </c>
      <c r="O200" s="11" t="s">
        <v>745</v>
      </c>
      <c r="P200" s="3"/>
    </row>
    <row r="201" spans="1:16">
      <c r="A201" s="6">
        <v>10449</v>
      </c>
      <c r="B201" s="6">
        <v>7</v>
      </c>
      <c r="C201" s="6">
        <v>3</v>
      </c>
      <c r="D201" s="8">
        <v>39131</v>
      </c>
      <c r="E201" s="8">
        <v>39159</v>
      </c>
      <c r="F201" s="8">
        <v>39140</v>
      </c>
      <c r="G201" s="6">
        <v>2</v>
      </c>
      <c r="H201" s="1">
        <v>53.3</v>
      </c>
      <c r="I201" s="1" t="s">
        <v>826</v>
      </c>
      <c r="J201" s="1" t="s">
        <v>75</v>
      </c>
      <c r="K201" s="1" t="s">
        <v>76</v>
      </c>
      <c r="L201" s="2"/>
      <c r="M201" s="1">
        <v>10331</v>
      </c>
      <c r="N201" s="1" t="s">
        <v>77</v>
      </c>
      <c r="O201" s="11" t="s">
        <v>745</v>
      </c>
      <c r="P201" s="3"/>
    </row>
    <row r="202" spans="1:16">
      <c r="A202" s="6">
        <v>10450</v>
      </c>
      <c r="B202" s="6">
        <v>84</v>
      </c>
      <c r="C202" s="6">
        <v>8</v>
      </c>
      <c r="D202" s="8">
        <v>39132</v>
      </c>
      <c r="E202" s="8">
        <v>39160</v>
      </c>
      <c r="F202" s="8">
        <v>39152</v>
      </c>
      <c r="G202" s="6">
        <v>2</v>
      </c>
      <c r="H202" s="1">
        <v>7.23</v>
      </c>
      <c r="I202" s="1" t="s">
        <v>990</v>
      </c>
      <c r="J202" s="1" t="s">
        <v>991</v>
      </c>
      <c r="K202" s="1" t="s">
        <v>532</v>
      </c>
      <c r="L202" s="2"/>
      <c r="M202" s="1">
        <v>10344</v>
      </c>
      <c r="N202" s="1" t="s">
        <v>77</v>
      </c>
      <c r="O202" s="11" t="s">
        <v>745</v>
      </c>
      <c r="P202" s="3"/>
    </row>
    <row r="203" spans="1:16">
      <c r="A203" s="6">
        <v>10451</v>
      </c>
      <c r="B203" s="6">
        <v>63</v>
      </c>
      <c r="C203" s="6">
        <v>4</v>
      </c>
      <c r="D203" s="8">
        <v>39132</v>
      </c>
      <c r="E203" s="8">
        <v>39146</v>
      </c>
      <c r="F203" s="8">
        <v>39153</v>
      </c>
      <c r="G203" s="6">
        <v>3</v>
      </c>
      <c r="H203" s="1">
        <v>189.09</v>
      </c>
      <c r="I203" s="1" t="s">
        <v>900</v>
      </c>
      <c r="J203" s="1" t="s">
        <v>901</v>
      </c>
      <c r="K203" s="1" t="s">
        <v>413</v>
      </c>
      <c r="L203" s="2"/>
      <c r="M203" s="1">
        <v>10281</v>
      </c>
      <c r="N203" s="1" t="s">
        <v>36</v>
      </c>
      <c r="O203" s="11" t="s">
        <v>745</v>
      </c>
      <c r="P203" s="3"/>
    </row>
    <row r="204" spans="1:16">
      <c r="A204" s="6">
        <v>10452</v>
      </c>
      <c r="B204" s="6">
        <v>71</v>
      </c>
      <c r="C204" s="6">
        <v>8</v>
      </c>
      <c r="D204" s="8">
        <v>39133</v>
      </c>
      <c r="E204" s="8">
        <v>39161</v>
      </c>
      <c r="F204" s="8">
        <v>39139</v>
      </c>
      <c r="G204" s="6">
        <v>1</v>
      </c>
      <c r="H204" s="1">
        <v>140.26</v>
      </c>
      <c r="I204" s="1" t="s">
        <v>936</v>
      </c>
      <c r="J204" s="1" t="s">
        <v>937</v>
      </c>
      <c r="K204" s="1" t="s">
        <v>458</v>
      </c>
      <c r="L204" s="1" t="s">
        <v>459</v>
      </c>
      <c r="M204" s="1">
        <v>10306</v>
      </c>
      <c r="N204" s="1" t="s">
        <v>229</v>
      </c>
      <c r="O204" s="11" t="s">
        <v>745</v>
      </c>
      <c r="P204" s="3"/>
    </row>
    <row r="205" spans="1:16">
      <c r="A205" s="6">
        <v>10453</v>
      </c>
      <c r="B205" s="6">
        <v>4</v>
      </c>
      <c r="C205" s="6">
        <v>1</v>
      </c>
      <c r="D205" s="8">
        <v>39134</v>
      </c>
      <c r="E205" s="8">
        <v>39162</v>
      </c>
      <c r="F205" s="8">
        <v>39139</v>
      </c>
      <c r="G205" s="6">
        <v>2</v>
      </c>
      <c r="H205" s="1">
        <v>25.36</v>
      </c>
      <c r="I205" s="1" t="s">
        <v>992</v>
      </c>
      <c r="J205" s="1" t="s">
        <v>993</v>
      </c>
      <c r="K205" s="1" t="s">
        <v>892</v>
      </c>
      <c r="L205" s="1" t="s">
        <v>893</v>
      </c>
      <c r="M205" s="1">
        <v>10240</v>
      </c>
      <c r="N205" s="1" t="s">
        <v>55</v>
      </c>
      <c r="O205" s="11" t="s">
        <v>745</v>
      </c>
      <c r="P205" s="3"/>
    </row>
    <row r="206" spans="1:16">
      <c r="A206" s="6">
        <v>10454</v>
      </c>
      <c r="B206" s="6">
        <v>41</v>
      </c>
      <c r="C206" s="6">
        <v>4</v>
      </c>
      <c r="D206" s="8">
        <v>39134</v>
      </c>
      <c r="E206" s="8">
        <v>39162</v>
      </c>
      <c r="F206" s="8">
        <v>39138</v>
      </c>
      <c r="G206" s="6">
        <v>3</v>
      </c>
      <c r="H206" s="1">
        <v>2.74</v>
      </c>
      <c r="I206" s="1" t="s">
        <v>896</v>
      </c>
      <c r="J206" s="1" t="s">
        <v>897</v>
      </c>
      <c r="K206" s="1" t="s">
        <v>287</v>
      </c>
      <c r="L206" s="2"/>
      <c r="M206" s="1">
        <v>10218</v>
      </c>
      <c r="N206" s="1" t="s">
        <v>77</v>
      </c>
      <c r="O206" s="11" t="s">
        <v>745</v>
      </c>
      <c r="P206" s="3"/>
    </row>
    <row r="207" spans="1:16">
      <c r="A207" s="6">
        <v>10455</v>
      </c>
      <c r="B207" s="6">
        <v>87</v>
      </c>
      <c r="C207" s="6">
        <v>8</v>
      </c>
      <c r="D207" s="8">
        <v>39137</v>
      </c>
      <c r="E207" s="8">
        <v>39179</v>
      </c>
      <c r="F207" s="8">
        <v>39144</v>
      </c>
      <c r="G207" s="6">
        <v>2</v>
      </c>
      <c r="H207" s="1">
        <v>180.45</v>
      </c>
      <c r="I207" s="1" t="s">
        <v>775</v>
      </c>
      <c r="J207" s="1" t="s">
        <v>776</v>
      </c>
      <c r="K207" s="1" t="s">
        <v>550</v>
      </c>
      <c r="L207" s="2"/>
      <c r="M207" s="1">
        <v>10351</v>
      </c>
      <c r="N207" s="1" t="s">
        <v>551</v>
      </c>
      <c r="O207" s="11" t="s">
        <v>745</v>
      </c>
      <c r="P207" s="3"/>
    </row>
    <row r="208" spans="1:16">
      <c r="A208" s="6">
        <v>10456</v>
      </c>
      <c r="B208" s="6">
        <v>39</v>
      </c>
      <c r="C208" s="6">
        <v>8</v>
      </c>
      <c r="D208" s="8">
        <v>39138</v>
      </c>
      <c r="E208" s="8">
        <v>39180</v>
      </c>
      <c r="F208" s="8">
        <v>39141</v>
      </c>
      <c r="G208" s="6">
        <v>2</v>
      </c>
      <c r="H208" s="1">
        <v>8.1199999999999992</v>
      </c>
      <c r="I208" s="1" t="s">
        <v>994</v>
      </c>
      <c r="J208" s="1" t="s">
        <v>995</v>
      </c>
      <c r="K208" s="1" t="s">
        <v>276</v>
      </c>
      <c r="L208" s="2"/>
      <c r="M208" s="1">
        <v>10208</v>
      </c>
      <c r="N208" s="1" t="s">
        <v>36</v>
      </c>
      <c r="O208" s="11" t="s">
        <v>745</v>
      </c>
      <c r="P208" s="3"/>
    </row>
    <row r="209" spans="1:16">
      <c r="A209" s="6">
        <v>10457</v>
      </c>
      <c r="B209" s="6">
        <v>39</v>
      </c>
      <c r="C209" s="6">
        <v>2</v>
      </c>
      <c r="D209" s="8">
        <v>39138</v>
      </c>
      <c r="E209" s="8">
        <v>39166</v>
      </c>
      <c r="F209" s="8">
        <v>39144</v>
      </c>
      <c r="G209" s="6">
        <v>1</v>
      </c>
      <c r="H209" s="1">
        <v>11.57</v>
      </c>
      <c r="I209" s="1" t="s">
        <v>852</v>
      </c>
      <c r="J209" s="1" t="s">
        <v>853</v>
      </c>
      <c r="K209" s="1" t="s">
        <v>276</v>
      </c>
      <c r="L209" s="2"/>
      <c r="M209" s="1">
        <v>10209</v>
      </c>
      <c r="N209" s="1" t="s">
        <v>36</v>
      </c>
      <c r="O209" s="11" t="s">
        <v>745</v>
      </c>
      <c r="P209" s="3"/>
    </row>
    <row r="210" spans="1:16">
      <c r="A210" s="6">
        <v>10458</v>
      </c>
      <c r="B210" s="6">
        <v>76</v>
      </c>
      <c r="C210" s="6">
        <v>7</v>
      </c>
      <c r="D210" s="8">
        <v>39139</v>
      </c>
      <c r="E210" s="8">
        <v>39167</v>
      </c>
      <c r="F210" s="8">
        <v>39145</v>
      </c>
      <c r="G210" s="6">
        <v>3</v>
      </c>
      <c r="H210" s="1">
        <v>147.06</v>
      </c>
      <c r="I210" s="1" t="s">
        <v>996</v>
      </c>
      <c r="J210" s="1" t="s">
        <v>997</v>
      </c>
      <c r="K210" s="1" t="s">
        <v>488</v>
      </c>
      <c r="L210" s="2"/>
      <c r="M210" s="1">
        <v>10317</v>
      </c>
      <c r="N210" s="1" t="s">
        <v>345</v>
      </c>
      <c r="O210" s="11" t="s">
        <v>745</v>
      </c>
      <c r="P210" s="3"/>
    </row>
    <row r="211" spans="1:16">
      <c r="A211" s="6">
        <v>10459</v>
      </c>
      <c r="B211" s="6">
        <v>84</v>
      </c>
      <c r="C211" s="6">
        <v>4</v>
      </c>
      <c r="D211" s="8">
        <v>39140</v>
      </c>
      <c r="E211" s="8">
        <v>39168</v>
      </c>
      <c r="F211" s="8">
        <v>39141</v>
      </c>
      <c r="G211" s="6">
        <v>2</v>
      </c>
      <c r="H211" s="1">
        <v>25.09</v>
      </c>
      <c r="I211" s="1" t="s">
        <v>865</v>
      </c>
      <c r="J211" s="1" t="s">
        <v>866</v>
      </c>
      <c r="K211" s="1" t="s">
        <v>532</v>
      </c>
      <c r="L211" s="2"/>
      <c r="M211" s="1">
        <v>10343</v>
      </c>
      <c r="N211" s="1" t="s">
        <v>77</v>
      </c>
      <c r="O211" s="11" t="s">
        <v>745</v>
      </c>
      <c r="P211" s="3"/>
    </row>
    <row r="212" spans="1:16">
      <c r="A212" s="6">
        <v>10460</v>
      </c>
      <c r="B212" s="6">
        <v>24</v>
      </c>
      <c r="C212" s="6">
        <v>8</v>
      </c>
      <c r="D212" s="8">
        <v>39141</v>
      </c>
      <c r="E212" s="8">
        <v>39169</v>
      </c>
      <c r="F212" s="8">
        <v>39144</v>
      </c>
      <c r="G212" s="6">
        <v>1</v>
      </c>
      <c r="H212" s="1">
        <v>16.27</v>
      </c>
      <c r="I212" s="1" t="s">
        <v>998</v>
      </c>
      <c r="J212" s="1" t="s">
        <v>999</v>
      </c>
      <c r="K212" s="1" t="s">
        <v>181</v>
      </c>
      <c r="L212" s="2"/>
      <c r="M212" s="1">
        <v>10166</v>
      </c>
      <c r="N212" s="1" t="s">
        <v>63</v>
      </c>
      <c r="O212" s="11" t="s">
        <v>745</v>
      </c>
      <c r="P212" s="3"/>
    </row>
    <row r="213" spans="1:16">
      <c r="A213" s="6">
        <v>10461</v>
      </c>
      <c r="B213" s="6">
        <v>46</v>
      </c>
      <c r="C213" s="6">
        <v>1</v>
      </c>
      <c r="D213" s="8">
        <v>39141</v>
      </c>
      <c r="E213" s="8">
        <v>39169</v>
      </c>
      <c r="F213" s="8">
        <v>39146</v>
      </c>
      <c r="G213" s="6">
        <v>3</v>
      </c>
      <c r="H213" s="1">
        <v>148.61000000000001</v>
      </c>
      <c r="I213" s="1" t="s">
        <v>806</v>
      </c>
      <c r="J213" s="1" t="s">
        <v>807</v>
      </c>
      <c r="K213" s="1" t="s">
        <v>318</v>
      </c>
      <c r="L213" s="1" t="s">
        <v>319</v>
      </c>
      <c r="M213" s="1">
        <v>10227</v>
      </c>
      <c r="N213" s="1" t="s">
        <v>236</v>
      </c>
      <c r="O213" s="11" t="s">
        <v>745</v>
      </c>
      <c r="P213" s="3"/>
    </row>
    <row r="214" spans="1:16">
      <c r="A214" s="6">
        <v>10462</v>
      </c>
      <c r="B214" s="6">
        <v>16</v>
      </c>
      <c r="C214" s="6">
        <v>2</v>
      </c>
      <c r="D214" s="8">
        <v>39144</v>
      </c>
      <c r="E214" s="8">
        <v>39172</v>
      </c>
      <c r="F214" s="8">
        <v>39159</v>
      </c>
      <c r="G214" s="6">
        <v>1</v>
      </c>
      <c r="H214" s="1">
        <v>6.17</v>
      </c>
      <c r="I214" s="1" t="s">
        <v>1000</v>
      </c>
      <c r="J214" s="1" t="s">
        <v>1001</v>
      </c>
      <c r="K214" s="1" t="s">
        <v>54</v>
      </c>
      <c r="L214" s="2"/>
      <c r="M214" s="1">
        <v>10144</v>
      </c>
      <c r="N214" s="1" t="s">
        <v>55</v>
      </c>
      <c r="O214" s="11" t="s">
        <v>745</v>
      </c>
      <c r="P214" s="3"/>
    </row>
    <row r="215" spans="1:16">
      <c r="A215" s="6">
        <v>10463</v>
      </c>
      <c r="B215" s="6">
        <v>76</v>
      </c>
      <c r="C215" s="6">
        <v>5</v>
      </c>
      <c r="D215" s="8">
        <v>39145</v>
      </c>
      <c r="E215" s="8">
        <v>39173</v>
      </c>
      <c r="F215" s="8">
        <v>39147</v>
      </c>
      <c r="G215" s="6">
        <v>3</v>
      </c>
      <c r="H215" s="1">
        <v>14.78</v>
      </c>
      <c r="I215" s="1" t="s">
        <v>748</v>
      </c>
      <c r="J215" s="1" t="s">
        <v>749</v>
      </c>
      <c r="K215" s="1" t="s">
        <v>488</v>
      </c>
      <c r="L215" s="2"/>
      <c r="M215" s="1">
        <v>10318</v>
      </c>
      <c r="N215" s="1" t="s">
        <v>345</v>
      </c>
      <c r="O215" s="11" t="s">
        <v>745</v>
      </c>
      <c r="P215" s="3"/>
    </row>
    <row r="216" spans="1:16">
      <c r="A216" s="6">
        <v>10464</v>
      </c>
      <c r="B216" s="6">
        <v>28</v>
      </c>
      <c r="C216" s="6">
        <v>4</v>
      </c>
      <c r="D216" s="8">
        <v>39145</v>
      </c>
      <c r="E216" s="8">
        <v>39173</v>
      </c>
      <c r="F216" s="8">
        <v>39155</v>
      </c>
      <c r="G216" s="6">
        <v>2</v>
      </c>
      <c r="H216" s="1">
        <v>89</v>
      </c>
      <c r="I216" s="1" t="s">
        <v>884</v>
      </c>
      <c r="J216" s="1" t="s">
        <v>885</v>
      </c>
      <c r="K216" s="1" t="s">
        <v>204</v>
      </c>
      <c r="L216" s="2"/>
      <c r="M216" s="1">
        <v>10177</v>
      </c>
      <c r="N216" s="1" t="s">
        <v>205</v>
      </c>
      <c r="O216" s="11" t="s">
        <v>745</v>
      </c>
      <c r="P216" s="3"/>
    </row>
    <row r="217" spans="1:16">
      <c r="A217" s="6">
        <v>10465</v>
      </c>
      <c r="B217" s="6">
        <v>83</v>
      </c>
      <c r="C217" s="6">
        <v>1</v>
      </c>
      <c r="D217" s="8">
        <v>39146</v>
      </c>
      <c r="E217" s="8">
        <v>39174</v>
      </c>
      <c r="F217" s="8">
        <v>39155</v>
      </c>
      <c r="G217" s="6">
        <v>3</v>
      </c>
      <c r="H217" s="1">
        <v>145.04</v>
      </c>
      <c r="I217" s="1" t="s">
        <v>1002</v>
      </c>
      <c r="J217" s="1" t="s">
        <v>1003</v>
      </c>
      <c r="K217" s="1" t="s">
        <v>526</v>
      </c>
      <c r="L217" s="2"/>
      <c r="M217" s="1">
        <v>10339</v>
      </c>
      <c r="N217" s="1" t="s">
        <v>470</v>
      </c>
      <c r="O217" s="11" t="s">
        <v>745</v>
      </c>
      <c r="P217" s="3"/>
    </row>
    <row r="218" spans="1:16">
      <c r="A218" s="6">
        <v>10466</v>
      </c>
      <c r="B218" s="6">
        <v>15</v>
      </c>
      <c r="C218" s="6">
        <v>4</v>
      </c>
      <c r="D218" s="8">
        <v>39147</v>
      </c>
      <c r="E218" s="8">
        <v>39175</v>
      </c>
      <c r="F218" s="8">
        <v>39154</v>
      </c>
      <c r="G218" s="6">
        <v>1</v>
      </c>
      <c r="H218" s="1">
        <v>11.93</v>
      </c>
      <c r="I218" s="1" t="s">
        <v>1004</v>
      </c>
      <c r="J218" s="1" t="s">
        <v>1005</v>
      </c>
      <c r="K218" s="1" t="s">
        <v>127</v>
      </c>
      <c r="L218" s="1" t="s">
        <v>128</v>
      </c>
      <c r="M218" s="1">
        <v>10140</v>
      </c>
      <c r="N218" s="1" t="s">
        <v>129</v>
      </c>
      <c r="O218" s="11" t="s">
        <v>745</v>
      </c>
      <c r="P218" s="3"/>
    </row>
    <row r="219" spans="1:16">
      <c r="A219" s="6">
        <v>10467</v>
      </c>
      <c r="B219" s="6">
        <v>49</v>
      </c>
      <c r="C219" s="6">
        <v>8</v>
      </c>
      <c r="D219" s="8">
        <v>39147</v>
      </c>
      <c r="E219" s="8">
        <v>39175</v>
      </c>
      <c r="F219" s="8">
        <v>39152</v>
      </c>
      <c r="G219" s="6">
        <v>2</v>
      </c>
      <c r="H219" s="1">
        <v>4.93</v>
      </c>
      <c r="I219" s="1" t="s">
        <v>1006</v>
      </c>
      <c r="J219" s="1" t="s">
        <v>1007</v>
      </c>
      <c r="K219" s="1" t="s">
        <v>338</v>
      </c>
      <c r="L219" s="2"/>
      <c r="M219" s="1">
        <v>10237</v>
      </c>
      <c r="N219" s="1" t="s">
        <v>198</v>
      </c>
      <c r="O219" s="11" t="s">
        <v>745</v>
      </c>
      <c r="P219" s="3"/>
    </row>
    <row r="220" spans="1:16">
      <c r="A220" s="6">
        <v>10468</v>
      </c>
      <c r="B220" s="6">
        <v>39</v>
      </c>
      <c r="C220" s="6">
        <v>3</v>
      </c>
      <c r="D220" s="8">
        <v>39148</v>
      </c>
      <c r="E220" s="8">
        <v>39176</v>
      </c>
      <c r="F220" s="8">
        <v>39153</v>
      </c>
      <c r="G220" s="6">
        <v>3</v>
      </c>
      <c r="H220" s="1">
        <v>44.12</v>
      </c>
      <c r="I220" s="1" t="s">
        <v>852</v>
      </c>
      <c r="J220" s="1" t="s">
        <v>853</v>
      </c>
      <c r="K220" s="1" t="s">
        <v>276</v>
      </c>
      <c r="L220" s="2"/>
      <c r="M220" s="1">
        <v>10209</v>
      </c>
      <c r="N220" s="1" t="s">
        <v>36</v>
      </c>
      <c r="O220" s="11" t="s">
        <v>745</v>
      </c>
      <c r="P220" s="3"/>
    </row>
    <row r="221" spans="1:16">
      <c r="A221" s="6">
        <v>10469</v>
      </c>
      <c r="B221" s="6">
        <v>89</v>
      </c>
      <c r="C221" s="6">
        <v>1</v>
      </c>
      <c r="D221" s="8">
        <v>39151</v>
      </c>
      <c r="E221" s="8">
        <v>39179</v>
      </c>
      <c r="F221" s="8">
        <v>39155</v>
      </c>
      <c r="G221" s="6">
        <v>1</v>
      </c>
      <c r="H221" s="1">
        <v>60.18</v>
      </c>
      <c r="I221" s="1" t="s">
        <v>1008</v>
      </c>
      <c r="J221" s="1" t="s">
        <v>1009</v>
      </c>
      <c r="K221" s="1" t="s">
        <v>562</v>
      </c>
      <c r="L221" s="1" t="s">
        <v>300</v>
      </c>
      <c r="M221" s="1">
        <v>10358</v>
      </c>
      <c r="N221" s="1" t="s">
        <v>229</v>
      </c>
      <c r="O221" s="11" t="s">
        <v>745</v>
      </c>
      <c r="P221" s="3"/>
    </row>
    <row r="222" spans="1:16">
      <c r="A222" s="6">
        <v>10470</v>
      </c>
      <c r="B222" s="6">
        <v>9</v>
      </c>
      <c r="C222" s="6">
        <v>4</v>
      </c>
      <c r="D222" s="8">
        <v>39152</v>
      </c>
      <c r="E222" s="8">
        <v>39180</v>
      </c>
      <c r="F222" s="8">
        <v>39155</v>
      </c>
      <c r="G222" s="6">
        <v>2</v>
      </c>
      <c r="H222" s="1">
        <v>64.56</v>
      </c>
      <c r="I222" s="1" t="s">
        <v>859</v>
      </c>
      <c r="J222" s="1" t="s">
        <v>860</v>
      </c>
      <c r="K222" s="1" t="s">
        <v>90</v>
      </c>
      <c r="L222" s="2"/>
      <c r="M222" s="1">
        <v>10369</v>
      </c>
      <c r="N222" s="1" t="s">
        <v>77</v>
      </c>
      <c r="O222" s="11" t="s">
        <v>745</v>
      </c>
      <c r="P222" s="3"/>
    </row>
    <row r="223" spans="1:16">
      <c r="A223" s="6">
        <v>10471</v>
      </c>
      <c r="B223" s="6">
        <v>11</v>
      </c>
      <c r="C223" s="6">
        <v>2</v>
      </c>
      <c r="D223" s="8">
        <v>39152</v>
      </c>
      <c r="E223" s="8">
        <v>39180</v>
      </c>
      <c r="F223" s="8">
        <v>39159</v>
      </c>
      <c r="G223" s="6">
        <v>3</v>
      </c>
      <c r="H223" s="1">
        <v>45.59</v>
      </c>
      <c r="I223" s="1" t="s">
        <v>1010</v>
      </c>
      <c r="J223" s="1" t="s">
        <v>1011</v>
      </c>
      <c r="K223" s="1" t="s">
        <v>54</v>
      </c>
      <c r="L223" s="2"/>
      <c r="M223" s="1">
        <v>10133</v>
      </c>
      <c r="N223" s="1" t="s">
        <v>55</v>
      </c>
      <c r="O223" s="11" t="s">
        <v>745</v>
      </c>
      <c r="P223" s="3"/>
    </row>
    <row r="224" spans="1:16">
      <c r="A224" s="6">
        <v>10472</v>
      </c>
      <c r="B224" s="6">
        <v>72</v>
      </c>
      <c r="C224" s="6">
        <v>8</v>
      </c>
      <c r="D224" s="8">
        <v>39153</v>
      </c>
      <c r="E224" s="8">
        <v>39181</v>
      </c>
      <c r="F224" s="8">
        <v>39160</v>
      </c>
      <c r="G224" s="6">
        <v>1</v>
      </c>
      <c r="H224" s="1">
        <v>4.2</v>
      </c>
      <c r="I224" s="1" t="s">
        <v>1012</v>
      </c>
      <c r="J224" s="1" t="s">
        <v>1013</v>
      </c>
      <c r="K224" s="1" t="s">
        <v>54</v>
      </c>
      <c r="L224" s="2"/>
      <c r="M224" s="1">
        <v>10308</v>
      </c>
      <c r="N224" s="1" t="s">
        <v>55</v>
      </c>
      <c r="O224" s="11" t="s">
        <v>745</v>
      </c>
      <c r="P224" s="3"/>
    </row>
    <row r="225" spans="1:16">
      <c r="A225" s="6">
        <v>10473</v>
      </c>
      <c r="B225" s="6">
        <v>38</v>
      </c>
      <c r="C225" s="6">
        <v>1</v>
      </c>
      <c r="D225" s="8">
        <v>39154</v>
      </c>
      <c r="E225" s="8">
        <v>39168</v>
      </c>
      <c r="F225" s="8">
        <v>39162</v>
      </c>
      <c r="G225" s="6">
        <v>3</v>
      </c>
      <c r="H225" s="1">
        <v>16.37</v>
      </c>
      <c r="I225" s="1" t="s">
        <v>844</v>
      </c>
      <c r="J225" s="1" t="s">
        <v>845</v>
      </c>
      <c r="K225" s="1" t="s">
        <v>270</v>
      </c>
      <c r="L225" s="1" t="s">
        <v>271</v>
      </c>
      <c r="M225" s="1">
        <v>10207</v>
      </c>
      <c r="N225" s="1" t="s">
        <v>55</v>
      </c>
      <c r="O225" s="11" t="s">
        <v>745</v>
      </c>
      <c r="P225" s="3"/>
    </row>
    <row r="226" spans="1:16">
      <c r="A226" s="6">
        <v>10474</v>
      </c>
      <c r="B226" s="6">
        <v>58</v>
      </c>
      <c r="C226" s="6">
        <v>5</v>
      </c>
      <c r="D226" s="8">
        <v>39154</v>
      </c>
      <c r="E226" s="8">
        <v>39182</v>
      </c>
      <c r="F226" s="8">
        <v>39162</v>
      </c>
      <c r="G226" s="6">
        <v>2</v>
      </c>
      <c r="H226" s="1">
        <v>83.49</v>
      </c>
      <c r="I226" s="1" t="s">
        <v>888</v>
      </c>
      <c r="J226" s="1" t="s">
        <v>889</v>
      </c>
      <c r="K226" s="1" t="s">
        <v>43</v>
      </c>
      <c r="L226" s="2"/>
      <c r="M226" s="1">
        <v>10263</v>
      </c>
      <c r="N226" s="1" t="s">
        <v>44</v>
      </c>
      <c r="O226" s="11" t="s">
        <v>745</v>
      </c>
      <c r="P226" s="3"/>
    </row>
    <row r="227" spans="1:16">
      <c r="A227" s="6">
        <v>10475</v>
      </c>
      <c r="B227" s="6">
        <v>76</v>
      </c>
      <c r="C227" s="6">
        <v>9</v>
      </c>
      <c r="D227" s="8">
        <v>39155</v>
      </c>
      <c r="E227" s="8">
        <v>39183</v>
      </c>
      <c r="F227" s="8">
        <v>39176</v>
      </c>
      <c r="G227" s="6">
        <v>1</v>
      </c>
      <c r="H227" s="1">
        <v>68.52</v>
      </c>
      <c r="I227" s="1" t="s">
        <v>1014</v>
      </c>
      <c r="J227" s="1" t="s">
        <v>1015</v>
      </c>
      <c r="K227" s="1" t="s">
        <v>488</v>
      </c>
      <c r="L227" s="2"/>
      <c r="M227" s="1">
        <v>10319</v>
      </c>
      <c r="N227" s="1" t="s">
        <v>345</v>
      </c>
      <c r="O227" s="11" t="s">
        <v>745</v>
      </c>
      <c r="P227" s="3"/>
    </row>
    <row r="228" spans="1:16">
      <c r="A228" s="6">
        <v>10476</v>
      </c>
      <c r="B228" s="6">
        <v>35</v>
      </c>
      <c r="C228" s="6">
        <v>8</v>
      </c>
      <c r="D228" s="8">
        <v>39158</v>
      </c>
      <c r="E228" s="8">
        <v>39186</v>
      </c>
      <c r="F228" s="8">
        <v>39165</v>
      </c>
      <c r="G228" s="6">
        <v>3</v>
      </c>
      <c r="H228" s="1">
        <v>4.41</v>
      </c>
      <c r="I228" s="1" t="s">
        <v>1016</v>
      </c>
      <c r="J228" s="1" t="s">
        <v>1017</v>
      </c>
      <c r="K228" s="1" t="s">
        <v>249</v>
      </c>
      <c r="L228" s="1" t="s">
        <v>250</v>
      </c>
      <c r="M228" s="1">
        <v>10198</v>
      </c>
      <c r="N228" s="1" t="s">
        <v>236</v>
      </c>
      <c r="O228" s="11" t="s">
        <v>745</v>
      </c>
      <c r="P228" s="3"/>
    </row>
    <row r="229" spans="1:16">
      <c r="A229" s="6">
        <v>10477</v>
      </c>
      <c r="B229" s="6">
        <v>60</v>
      </c>
      <c r="C229" s="6">
        <v>5</v>
      </c>
      <c r="D229" s="8">
        <v>39158</v>
      </c>
      <c r="E229" s="8">
        <v>39186</v>
      </c>
      <c r="F229" s="8">
        <v>39166</v>
      </c>
      <c r="G229" s="6">
        <v>2</v>
      </c>
      <c r="H229" s="1">
        <v>13.02</v>
      </c>
      <c r="I229" s="1" t="s">
        <v>939</v>
      </c>
      <c r="J229" s="1" t="s">
        <v>940</v>
      </c>
      <c r="K229" s="1" t="s">
        <v>204</v>
      </c>
      <c r="L229" s="2"/>
      <c r="M229" s="1">
        <v>10270</v>
      </c>
      <c r="N229" s="1" t="s">
        <v>205</v>
      </c>
      <c r="O229" s="11" t="s">
        <v>745</v>
      </c>
      <c r="P229" s="3"/>
    </row>
    <row r="230" spans="1:16">
      <c r="A230" s="6">
        <v>10478</v>
      </c>
      <c r="B230" s="6">
        <v>84</v>
      </c>
      <c r="C230" s="6">
        <v>2</v>
      </c>
      <c r="D230" s="8">
        <v>39159</v>
      </c>
      <c r="E230" s="8">
        <v>39173</v>
      </c>
      <c r="F230" s="8">
        <v>39167</v>
      </c>
      <c r="G230" s="6">
        <v>3</v>
      </c>
      <c r="H230" s="1">
        <v>4.8099999999999996</v>
      </c>
      <c r="I230" s="1" t="s">
        <v>990</v>
      </c>
      <c r="J230" s="1" t="s">
        <v>991</v>
      </c>
      <c r="K230" s="1" t="s">
        <v>532</v>
      </c>
      <c r="L230" s="2"/>
      <c r="M230" s="1">
        <v>10344</v>
      </c>
      <c r="N230" s="1" t="s">
        <v>77</v>
      </c>
      <c r="O230" s="11" t="s">
        <v>745</v>
      </c>
      <c r="P230" s="3"/>
    </row>
    <row r="231" spans="1:16">
      <c r="A231" s="6">
        <v>10479</v>
      </c>
      <c r="B231" s="6">
        <v>65</v>
      </c>
      <c r="C231" s="6">
        <v>3</v>
      </c>
      <c r="D231" s="8">
        <v>39160</v>
      </c>
      <c r="E231" s="8">
        <v>39188</v>
      </c>
      <c r="F231" s="8">
        <v>39162</v>
      </c>
      <c r="G231" s="6">
        <v>3</v>
      </c>
      <c r="H231" s="1">
        <v>708.95</v>
      </c>
      <c r="I231" s="1" t="s">
        <v>1018</v>
      </c>
      <c r="J231" s="1" t="s">
        <v>1019</v>
      </c>
      <c r="K231" s="1" t="s">
        <v>424</v>
      </c>
      <c r="L231" s="1" t="s">
        <v>425</v>
      </c>
      <c r="M231" s="1">
        <v>10287</v>
      </c>
      <c r="N231" s="1" t="s">
        <v>229</v>
      </c>
      <c r="O231" s="11" t="s">
        <v>745</v>
      </c>
      <c r="P231" s="3"/>
    </row>
    <row r="232" spans="1:16">
      <c r="A232" s="6">
        <v>10480</v>
      </c>
      <c r="B232" s="6">
        <v>23</v>
      </c>
      <c r="C232" s="6">
        <v>6</v>
      </c>
      <c r="D232" s="8">
        <v>39161</v>
      </c>
      <c r="E232" s="8">
        <v>39189</v>
      </c>
      <c r="F232" s="8">
        <v>39165</v>
      </c>
      <c r="G232" s="6">
        <v>2</v>
      </c>
      <c r="H232" s="1">
        <v>1.35</v>
      </c>
      <c r="I232" s="1" t="s">
        <v>1020</v>
      </c>
      <c r="J232" s="1" t="s">
        <v>1021</v>
      </c>
      <c r="K232" s="1" t="s">
        <v>175</v>
      </c>
      <c r="L232" s="2"/>
      <c r="M232" s="1">
        <v>10164</v>
      </c>
      <c r="N232" s="1" t="s">
        <v>77</v>
      </c>
      <c r="O232" s="11" t="s">
        <v>745</v>
      </c>
      <c r="P232" s="3"/>
    </row>
    <row r="233" spans="1:16">
      <c r="A233" s="6">
        <v>10481</v>
      </c>
      <c r="B233" s="6">
        <v>67</v>
      </c>
      <c r="C233" s="6">
        <v>8</v>
      </c>
      <c r="D233" s="8">
        <v>39161</v>
      </c>
      <c r="E233" s="8">
        <v>39189</v>
      </c>
      <c r="F233" s="8">
        <v>39166</v>
      </c>
      <c r="G233" s="6">
        <v>2</v>
      </c>
      <c r="H233" s="1">
        <v>64.33</v>
      </c>
      <c r="I233" s="1" t="s">
        <v>810</v>
      </c>
      <c r="J233" s="1" t="s">
        <v>811</v>
      </c>
      <c r="K233" s="1" t="s">
        <v>242</v>
      </c>
      <c r="L233" s="1" t="s">
        <v>243</v>
      </c>
      <c r="M233" s="1">
        <v>10291</v>
      </c>
      <c r="N233" s="1" t="s">
        <v>129</v>
      </c>
      <c r="O233" s="11" t="s">
        <v>745</v>
      </c>
      <c r="P233" s="3"/>
    </row>
    <row r="234" spans="1:16">
      <c r="A234" s="6">
        <v>10482</v>
      </c>
      <c r="B234" s="6">
        <v>43</v>
      </c>
      <c r="C234" s="6">
        <v>1</v>
      </c>
      <c r="D234" s="8">
        <v>39162</v>
      </c>
      <c r="E234" s="8">
        <v>39190</v>
      </c>
      <c r="F234" s="8">
        <v>39182</v>
      </c>
      <c r="G234" s="6">
        <v>3</v>
      </c>
      <c r="H234" s="1">
        <v>7.48</v>
      </c>
      <c r="I234" s="1" t="s">
        <v>1022</v>
      </c>
      <c r="J234" s="1" t="s">
        <v>1023</v>
      </c>
      <c r="K234" s="1" t="s">
        <v>299</v>
      </c>
      <c r="L234" s="1" t="s">
        <v>300</v>
      </c>
      <c r="M234" s="1">
        <v>10221</v>
      </c>
      <c r="N234" s="1" t="s">
        <v>229</v>
      </c>
      <c r="O234" s="11" t="s">
        <v>745</v>
      </c>
      <c r="P234" s="3"/>
    </row>
    <row r="235" spans="1:16">
      <c r="A235" s="6">
        <v>10483</v>
      </c>
      <c r="B235" s="6">
        <v>89</v>
      </c>
      <c r="C235" s="6">
        <v>7</v>
      </c>
      <c r="D235" s="8">
        <v>39165</v>
      </c>
      <c r="E235" s="8">
        <v>39193</v>
      </c>
      <c r="F235" s="8">
        <v>39197</v>
      </c>
      <c r="G235" s="6">
        <v>2</v>
      </c>
      <c r="H235" s="1">
        <v>15.28</v>
      </c>
      <c r="I235" s="1" t="s">
        <v>878</v>
      </c>
      <c r="J235" s="1" t="s">
        <v>879</v>
      </c>
      <c r="K235" s="1" t="s">
        <v>562</v>
      </c>
      <c r="L235" s="1" t="s">
        <v>300</v>
      </c>
      <c r="M235" s="1">
        <v>10356</v>
      </c>
      <c r="N235" s="1" t="s">
        <v>229</v>
      </c>
      <c r="O235" s="11" t="s">
        <v>745</v>
      </c>
      <c r="P235" s="3"/>
    </row>
    <row r="236" spans="1:16">
      <c r="A236" s="6">
        <v>10484</v>
      </c>
      <c r="B236" s="6">
        <v>11</v>
      </c>
      <c r="C236" s="6">
        <v>3</v>
      </c>
      <c r="D236" s="8">
        <v>39165</v>
      </c>
      <c r="E236" s="8">
        <v>39193</v>
      </c>
      <c r="F236" s="8">
        <v>39173</v>
      </c>
      <c r="G236" s="6">
        <v>3</v>
      </c>
      <c r="H236" s="1">
        <v>6.88</v>
      </c>
      <c r="I236" s="1" t="s">
        <v>814</v>
      </c>
      <c r="J236" s="1" t="s">
        <v>104</v>
      </c>
      <c r="K236" s="1" t="s">
        <v>54</v>
      </c>
      <c r="L236" s="2"/>
      <c r="M236" s="1">
        <v>10132</v>
      </c>
      <c r="N236" s="1" t="s">
        <v>55</v>
      </c>
      <c r="O236" s="11" t="s">
        <v>745</v>
      </c>
      <c r="P236" s="3"/>
    </row>
    <row r="237" spans="1:16">
      <c r="A237" s="6">
        <v>10485</v>
      </c>
      <c r="B237" s="6">
        <v>47</v>
      </c>
      <c r="C237" s="6">
        <v>4</v>
      </c>
      <c r="D237" s="8">
        <v>39166</v>
      </c>
      <c r="E237" s="8">
        <v>39180</v>
      </c>
      <c r="F237" s="8">
        <v>39172</v>
      </c>
      <c r="G237" s="6">
        <v>2</v>
      </c>
      <c r="H237" s="1">
        <v>64.45</v>
      </c>
      <c r="I237" s="1" t="s">
        <v>947</v>
      </c>
      <c r="J237" s="1" t="s">
        <v>948</v>
      </c>
      <c r="K237" s="1" t="s">
        <v>325</v>
      </c>
      <c r="L237" s="1" t="s">
        <v>326</v>
      </c>
      <c r="M237" s="1">
        <v>10231</v>
      </c>
      <c r="N237" s="1" t="s">
        <v>236</v>
      </c>
      <c r="O237" s="11" t="s">
        <v>745</v>
      </c>
      <c r="P237" s="3"/>
    </row>
    <row r="238" spans="1:16">
      <c r="A238" s="6">
        <v>10486</v>
      </c>
      <c r="B238" s="6">
        <v>35</v>
      </c>
      <c r="C238" s="6">
        <v>1</v>
      </c>
      <c r="D238" s="8">
        <v>39167</v>
      </c>
      <c r="E238" s="8">
        <v>39195</v>
      </c>
      <c r="F238" s="8">
        <v>39174</v>
      </c>
      <c r="G238" s="6">
        <v>2</v>
      </c>
      <c r="H238" s="1">
        <v>30.53</v>
      </c>
      <c r="I238" s="1" t="s">
        <v>1024</v>
      </c>
      <c r="J238" s="1" t="s">
        <v>1025</v>
      </c>
      <c r="K238" s="1" t="s">
        <v>249</v>
      </c>
      <c r="L238" s="1" t="s">
        <v>250</v>
      </c>
      <c r="M238" s="1">
        <v>10197</v>
      </c>
      <c r="N238" s="1" t="s">
        <v>236</v>
      </c>
      <c r="O238" s="11" t="s">
        <v>745</v>
      </c>
      <c r="P238" s="3"/>
    </row>
    <row r="239" spans="1:16">
      <c r="A239" s="6">
        <v>10487</v>
      </c>
      <c r="B239" s="6">
        <v>62</v>
      </c>
      <c r="C239" s="6">
        <v>2</v>
      </c>
      <c r="D239" s="8">
        <v>39167</v>
      </c>
      <c r="E239" s="8">
        <v>39195</v>
      </c>
      <c r="F239" s="8">
        <v>39169</v>
      </c>
      <c r="G239" s="6">
        <v>2</v>
      </c>
      <c r="H239" s="1">
        <v>71.069999999999993</v>
      </c>
      <c r="I239" s="1" t="s">
        <v>1026</v>
      </c>
      <c r="J239" s="1" t="s">
        <v>1027</v>
      </c>
      <c r="K239" s="1" t="s">
        <v>127</v>
      </c>
      <c r="L239" s="1" t="s">
        <v>128</v>
      </c>
      <c r="M239" s="1">
        <v>10277</v>
      </c>
      <c r="N239" s="1" t="s">
        <v>129</v>
      </c>
      <c r="O239" s="11" t="s">
        <v>745</v>
      </c>
      <c r="P239" s="3"/>
    </row>
    <row r="240" spans="1:16">
      <c r="A240" s="6">
        <v>10488</v>
      </c>
      <c r="B240" s="6">
        <v>25</v>
      </c>
      <c r="C240" s="6">
        <v>8</v>
      </c>
      <c r="D240" s="8">
        <v>39168</v>
      </c>
      <c r="E240" s="8">
        <v>39196</v>
      </c>
      <c r="F240" s="8">
        <v>39174</v>
      </c>
      <c r="G240" s="6">
        <v>2</v>
      </c>
      <c r="H240" s="1">
        <v>4.93</v>
      </c>
      <c r="I240" s="1" t="s">
        <v>777</v>
      </c>
      <c r="J240" s="1" t="s">
        <v>778</v>
      </c>
      <c r="K240" s="1" t="s">
        <v>186</v>
      </c>
      <c r="L240" s="2"/>
      <c r="M240" s="1">
        <v>10168</v>
      </c>
      <c r="N240" s="1" t="s">
        <v>36</v>
      </c>
      <c r="O240" s="11" t="s">
        <v>745</v>
      </c>
      <c r="P240" s="3"/>
    </row>
    <row r="241" spans="1:16">
      <c r="A241" s="6">
        <v>10489</v>
      </c>
      <c r="B241" s="6">
        <v>59</v>
      </c>
      <c r="C241" s="6">
        <v>6</v>
      </c>
      <c r="D241" s="8">
        <v>39169</v>
      </c>
      <c r="E241" s="8">
        <v>39197</v>
      </c>
      <c r="F241" s="8">
        <v>39181</v>
      </c>
      <c r="G241" s="6">
        <v>2</v>
      </c>
      <c r="H241" s="1">
        <v>5.29</v>
      </c>
      <c r="I241" s="1" t="s">
        <v>970</v>
      </c>
      <c r="J241" s="1" t="s">
        <v>971</v>
      </c>
      <c r="K241" s="1" t="s">
        <v>394</v>
      </c>
      <c r="L241" s="2"/>
      <c r="M241" s="1">
        <v>10266</v>
      </c>
      <c r="N241" s="1" t="s">
        <v>158</v>
      </c>
      <c r="O241" s="11" t="s">
        <v>745</v>
      </c>
      <c r="P241" s="3"/>
    </row>
    <row r="242" spans="1:16">
      <c r="A242" s="6">
        <v>10490</v>
      </c>
      <c r="B242" s="6">
        <v>35</v>
      </c>
      <c r="C242" s="6">
        <v>7</v>
      </c>
      <c r="D242" s="8">
        <v>39172</v>
      </c>
      <c r="E242" s="8">
        <v>39200</v>
      </c>
      <c r="F242" s="8">
        <v>39175</v>
      </c>
      <c r="G242" s="6">
        <v>2</v>
      </c>
      <c r="H242" s="1">
        <v>210.19</v>
      </c>
      <c r="I242" s="1" t="s">
        <v>758</v>
      </c>
      <c r="J242" s="1" t="s">
        <v>759</v>
      </c>
      <c r="K242" s="1" t="s">
        <v>249</v>
      </c>
      <c r="L242" s="1" t="s">
        <v>250</v>
      </c>
      <c r="M242" s="1">
        <v>10199</v>
      </c>
      <c r="N242" s="1" t="s">
        <v>236</v>
      </c>
      <c r="O242" s="11" t="s">
        <v>745</v>
      </c>
      <c r="P242" s="3"/>
    </row>
    <row r="243" spans="1:16">
      <c r="A243" s="6">
        <v>10491</v>
      </c>
      <c r="B243" s="6">
        <v>28</v>
      </c>
      <c r="C243" s="6">
        <v>8</v>
      </c>
      <c r="D243" s="8">
        <v>39172</v>
      </c>
      <c r="E243" s="8">
        <v>39200</v>
      </c>
      <c r="F243" s="8">
        <v>39180</v>
      </c>
      <c r="G243" s="6">
        <v>3</v>
      </c>
      <c r="H243" s="1">
        <v>16.96</v>
      </c>
      <c r="I243" s="1" t="s">
        <v>884</v>
      </c>
      <c r="J243" s="1" t="s">
        <v>885</v>
      </c>
      <c r="K243" s="1" t="s">
        <v>204</v>
      </c>
      <c r="L243" s="2"/>
      <c r="M243" s="1">
        <v>10177</v>
      </c>
      <c r="N243" s="1" t="s">
        <v>205</v>
      </c>
      <c r="O243" s="11" t="s">
        <v>745</v>
      </c>
      <c r="P243" s="3"/>
    </row>
    <row r="244" spans="1:16">
      <c r="A244" s="6">
        <v>10492</v>
      </c>
      <c r="B244" s="6">
        <v>10</v>
      </c>
      <c r="C244" s="6">
        <v>3</v>
      </c>
      <c r="D244" s="8">
        <v>39173</v>
      </c>
      <c r="E244" s="8">
        <v>39201</v>
      </c>
      <c r="F244" s="8">
        <v>39183</v>
      </c>
      <c r="G244" s="6">
        <v>1</v>
      </c>
      <c r="H244" s="1">
        <v>62.89</v>
      </c>
      <c r="I244" s="1" t="s">
        <v>955</v>
      </c>
      <c r="J244" s="1" t="s">
        <v>956</v>
      </c>
      <c r="K244" s="1" t="s">
        <v>97</v>
      </c>
      <c r="L244" s="1" t="s">
        <v>98</v>
      </c>
      <c r="M244" s="1">
        <v>10129</v>
      </c>
      <c r="N244" s="1" t="s">
        <v>99</v>
      </c>
      <c r="O244" s="11" t="s">
        <v>745</v>
      </c>
      <c r="P244" s="3"/>
    </row>
    <row r="245" spans="1:16">
      <c r="A245" s="6">
        <v>10493</v>
      </c>
      <c r="B245" s="6">
        <v>41</v>
      </c>
      <c r="C245" s="6">
        <v>4</v>
      </c>
      <c r="D245" s="8">
        <v>39174</v>
      </c>
      <c r="E245" s="8">
        <v>39202</v>
      </c>
      <c r="F245" s="8">
        <v>39182</v>
      </c>
      <c r="G245" s="6">
        <v>3</v>
      </c>
      <c r="H245" s="1">
        <v>10.64</v>
      </c>
      <c r="I245" s="1" t="s">
        <v>1028</v>
      </c>
      <c r="J245" s="1" t="s">
        <v>1029</v>
      </c>
      <c r="K245" s="1" t="s">
        <v>287</v>
      </c>
      <c r="L245" s="2"/>
      <c r="M245" s="1">
        <v>10216</v>
      </c>
      <c r="N245" s="1" t="s">
        <v>77</v>
      </c>
      <c r="O245" s="11" t="s">
        <v>745</v>
      </c>
      <c r="P245" s="3"/>
    </row>
    <row r="246" spans="1:16">
      <c r="A246" s="6">
        <v>10494</v>
      </c>
      <c r="B246" s="6">
        <v>15</v>
      </c>
      <c r="C246" s="6">
        <v>4</v>
      </c>
      <c r="D246" s="8">
        <v>39174</v>
      </c>
      <c r="E246" s="8">
        <v>39202</v>
      </c>
      <c r="F246" s="8">
        <v>39181</v>
      </c>
      <c r="G246" s="6">
        <v>2</v>
      </c>
      <c r="H246" s="1">
        <v>65.989999999999995</v>
      </c>
      <c r="I246" s="1" t="s">
        <v>1030</v>
      </c>
      <c r="J246" s="1" t="s">
        <v>1031</v>
      </c>
      <c r="K246" s="1" t="s">
        <v>127</v>
      </c>
      <c r="L246" s="1" t="s">
        <v>128</v>
      </c>
      <c r="M246" s="1">
        <v>10141</v>
      </c>
      <c r="N246" s="1" t="s">
        <v>129</v>
      </c>
      <c r="O246" s="11" t="s">
        <v>745</v>
      </c>
      <c r="P246" s="3"/>
    </row>
    <row r="247" spans="1:16">
      <c r="A247" s="6">
        <v>10495</v>
      </c>
      <c r="B247" s="6">
        <v>42</v>
      </c>
      <c r="C247" s="6">
        <v>3</v>
      </c>
      <c r="D247" s="8">
        <v>39175</v>
      </c>
      <c r="E247" s="8">
        <v>39203</v>
      </c>
      <c r="F247" s="8">
        <v>39183</v>
      </c>
      <c r="G247" s="6">
        <v>3</v>
      </c>
      <c r="H247" s="1">
        <v>4.6500000000000004</v>
      </c>
      <c r="I247" s="1" t="s">
        <v>1032</v>
      </c>
      <c r="J247" s="1" t="s">
        <v>1033</v>
      </c>
      <c r="K247" s="1" t="s">
        <v>293</v>
      </c>
      <c r="L247" s="1" t="s">
        <v>98</v>
      </c>
      <c r="M247" s="1">
        <v>10220</v>
      </c>
      <c r="N247" s="1" t="s">
        <v>99</v>
      </c>
      <c r="O247" s="11" t="s">
        <v>745</v>
      </c>
      <c r="P247" s="3"/>
    </row>
    <row r="248" spans="1:16">
      <c r="A248" s="6">
        <v>10496</v>
      </c>
      <c r="B248" s="6">
        <v>81</v>
      </c>
      <c r="C248" s="6">
        <v>7</v>
      </c>
      <c r="D248" s="8">
        <v>39176</v>
      </c>
      <c r="E248" s="8">
        <v>39204</v>
      </c>
      <c r="F248" s="8">
        <v>39179</v>
      </c>
      <c r="G248" s="6">
        <v>2</v>
      </c>
      <c r="H248" s="1">
        <v>46.77</v>
      </c>
      <c r="I248" s="1" t="s">
        <v>1034</v>
      </c>
      <c r="J248" s="1" t="s">
        <v>1035</v>
      </c>
      <c r="K248" s="1" t="s">
        <v>127</v>
      </c>
      <c r="L248" s="1" t="s">
        <v>128</v>
      </c>
      <c r="M248" s="1">
        <v>10336</v>
      </c>
      <c r="N248" s="1" t="s">
        <v>129</v>
      </c>
      <c r="O248" s="11" t="s">
        <v>745</v>
      </c>
      <c r="P248" s="3"/>
    </row>
    <row r="249" spans="1:16">
      <c r="A249" s="6">
        <v>10497</v>
      </c>
      <c r="B249" s="6">
        <v>44</v>
      </c>
      <c r="C249" s="6">
        <v>7</v>
      </c>
      <c r="D249" s="8">
        <v>39176</v>
      </c>
      <c r="E249" s="8">
        <v>39204</v>
      </c>
      <c r="F249" s="8">
        <v>39179</v>
      </c>
      <c r="G249" s="6">
        <v>1</v>
      </c>
      <c r="H249" s="1">
        <v>36.21</v>
      </c>
      <c r="I249" s="1" t="s">
        <v>798</v>
      </c>
      <c r="J249" s="1" t="s">
        <v>799</v>
      </c>
      <c r="K249" s="1" t="s">
        <v>306</v>
      </c>
      <c r="L249" s="2"/>
      <c r="M249" s="1">
        <v>10222</v>
      </c>
      <c r="N249" s="1" t="s">
        <v>36</v>
      </c>
      <c r="O249" s="11" t="s">
        <v>745</v>
      </c>
      <c r="P249" s="3"/>
    </row>
    <row r="250" spans="1:16">
      <c r="A250" s="6">
        <v>10498</v>
      </c>
      <c r="B250" s="6">
        <v>35</v>
      </c>
      <c r="C250" s="6">
        <v>8</v>
      </c>
      <c r="D250" s="8">
        <v>39179</v>
      </c>
      <c r="E250" s="8">
        <v>39207</v>
      </c>
      <c r="F250" s="8">
        <v>39183</v>
      </c>
      <c r="G250" s="6">
        <v>2</v>
      </c>
      <c r="H250" s="1">
        <v>29.75</v>
      </c>
      <c r="I250" s="1" t="s">
        <v>1016</v>
      </c>
      <c r="J250" s="1" t="s">
        <v>1017</v>
      </c>
      <c r="K250" s="1" t="s">
        <v>249</v>
      </c>
      <c r="L250" s="1" t="s">
        <v>250</v>
      </c>
      <c r="M250" s="1">
        <v>10198</v>
      </c>
      <c r="N250" s="1" t="s">
        <v>236</v>
      </c>
      <c r="O250" s="11" t="s">
        <v>745</v>
      </c>
      <c r="P250" s="3"/>
    </row>
    <row r="251" spans="1:16">
      <c r="A251" s="6">
        <v>10499</v>
      </c>
      <c r="B251" s="6">
        <v>46</v>
      </c>
      <c r="C251" s="6">
        <v>4</v>
      </c>
      <c r="D251" s="8">
        <v>39180</v>
      </c>
      <c r="E251" s="8">
        <v>39208</v>
      </c>
      <c r="F251" s="8">
        <v>39188</v>
      </c>
      <c r="G251" s="6">
        <v>2</v>
      </c>
      <c r="H251" s="1">
        <v>102.02</v>
      </c>
      <c r="I251" s="1" t="s">
        <v>824</v>
      </c>
      <c r="J251" s="1" t="s">
        <v>825</v>
      </c>
      <c r="K251" s="1" t="s">
        <v>318</v>
      </c>
      <c r="L251" s="1" t="s">
        <v>319</v>
      </c>
      <c r="M251" s="1">
        <v>10229</v>
      </c>
      <c r="N251" s="1" t="s">
        <v>236</v>
      </c>
      <c r="O251" s="11" t="s">
        <v>745</v>
      </c>
      <c r="P251" s="3"/>
    </row>
    <row r="252" spans="1:16">
      <c r="A252" s="6">
        <v>10500</v>
      </c>
      <c r="B252" s="6">
        <v>41</v>
      </c>
      <c r="C252" s="6">
        <v>6</v>
      </c>
      <c r="D252" s="8">
        <v>39181</v>
      </c>
      <c r="E252" s="8">
        <v>39209</v>
      </c>
      <c r="F252" s="8">
        <v>39189</v>
      </c>
      <c r="G252" s="6">
        <v>1</v>
      </c>
      <c r="H252" s="1">
        <v>42.68</v>
      </c>
      <c r="I252" s="1" t="s">
        <v>1028</v>
      </c>
      <c r="J252" s="1" t="s">
        <v>1029</v>
      </c>
      <c r="K252" s="1" t="s">
        <v>287</v>
      </c>
      <c r="L252" s="2"/>
      <c r="M252" s="1">
        <v>10216</v>
      </c>
      <c r="N252" s="1" t="s">
        <v>77</v>
      </c>
      <c r="O252" s="11" t="s">
        <v>745</v>
      </c>
      <c r="P252" s="3"/>
    </row>
    <row r="253" spans="1:16">
      <c r="A253" s="6">
        <v>10501</v>
      </c>
      <c r="B253" s="6">
        <v>6</v>
      </c>
      <c r="C253" s="6">
        <v>9</v>
      </c>
      <c r="D253" s="8">
        <v>39181</v>
      </c>
      <c r="E253" s="8">
        <v>39209</v>
      </c>
      <c r="F253" s="8">
        <v>39188</v>
      </c>
      <c r="G253" s="6">
        <v>3</v>
      </c>
      <c r="H253" s="1">
        <v>8.85</v>
      </c>
      <c r="I253" s="1" t="s">
        <v>1036</v>
      </c>
      <c r="J253" s="1" t="s">
        <v>1037</v>
      </c>
      <c r="K253" s="1" t="s">
        <v>69</v>
      </c>
      <c r="L253" s="2"/>
      <c r="M253" s="1">
        <v>10302</v>
      </c>
      <c r="N253" s="1" t="s">
        <v>36</v>
      </c>
      <c r="O253" s="11" t="s">
        <v>745</v>
      </c>
      <c r="P253" s="3"/>
    </row>
    <row r="254" spans="1:16">
      <c r="A254" s="6">
        <v>10502</v>
      </c>
      <c r="B254" s="6">
        <v>58</v>
      </c>
      <c r="C254" s="6">
        <v>2</v>
      </c>
      <c r="D254" s="8">
        <v>39182</v>
      </c>
      <c r="E254" s="8">
        <v>39210</v>
      </c>
      <c r="F254" s="8">
        <v>39201</v>
      </c>
      <c r="G254" s="6">
        <v>1</v>
      </c>
      <c r="H254" s="1">
        <v>69.319999999999993</v>
      </c>
      <c r="I254" s="1" t="s">
        <v>1038</v>
      </c>
      <c r="J254" s="1" t="s">
        <v>1039</v>
      </c>
      <c r="K254" s="1" t="s">
        <v>43</v>
      </c>
      <c r="L254" s="2"/>
      <c r="M254" s="1">
        <v>10262</v>
      </c>
      <c r="N254" s="1" t="s">
        <v>44</v>
      </c>
      <c r="O254" s="11" t="s">
        <v>745</v>
      </c>
      <c r="P254" s="3"/>
    </row>
    <row r="255" spans="1:16">
      <c r="A255" s="6">
        <v>10503</v>
      </c>
      <c r="B255" s="6">
        <v>37</v>
      </c>
      <c r="C255" s="6">
        <v>6</v>
      </c>
      <c r="D255" s="8">
        <v>39183</v>
      </c>
      <c r="E255" s="8">
        <v>39211</v>
      </c>
      <c r="F255" s="8">
        <v>39188</v>
      </c>
      <c r="G255" s="6">
        <v>2</v>
      </c>
      <c r="H255" s="1">
        <v>16.739999999999998</v>
      </c>
      <c r="I255" s="1" t="s">
        <v>827</v>
      </c>
      <c r="J255" s="1" t="s">
        <v>828</v>
      </c>
      <c r="K255" s="1" t="s">
        <v>262</v>
      </c>
      <c r="L255" s="1" t="s">
        <v>263</v>
      </c>
      <c r="M255" s="1">
        <v>10202</v>
      </c>
      <c r="N255" s="1" t="s">
        <v>264</v>
      </c>
      <c r="O255" s="11" t="s">
        <v>745</v>
      </c>
      <c r="P255" s="3"/>
    </row>
    <row r="256" spans="1:16">
      <c r="A256" s="6">
        <v>10504</v>
      </c>
      <c r="B256" s="6">
        <v>89</v>
      </c>
      <c r="C256" s="6">
        <v>4</v>
      </c>
      <c r="D256" s="8">
        <v>39183</v>
      </c>
      <c r="E256" s="8">
        <v>39211</v>
      </c>
      <c r="F256" s="8">
        <v>39190</v>
      </c>
      <c r="G256" s="6">
        <v>3</v>
      </c>
      <c r="H256" s="1">
        <v>59.13</v>
      </c>
      <c r="I256" s="1" t="s">
        <v>781</v>
      </c>
      <c r="J256" s="1" t="s">
        <v>782</v>
      </c>
      <c r="K256" s="1" t="s">
        <v>562</v>
      </c>
      <c r="L256" s="1" t="s">
        <v>300</v>
      </c>
      <c r="M256" s="1">
        <v>10357</v>
      </c>
      <c r="N256" s="1" t="s">
        <v>229</v>
      </c>
      <c r="O256" s="11" t="s">
        <v>745</v>
      </c>
      <c r="P256" s="3"/>
    </row>
    <row r="257" spans="1:16">
      <c r="A257" s="6">
        <v>10505</v>
      </c>
      <c r="B257" s="6">
        <v>51</v>
      </c>
      <c r="C257" s="6">
        <v>3</v>
      </c>
      <c r="D257" s="8">
        <v>39186</v>
      </c>
      <c r="E257" s="8">
        <v>39214</v>
      </c>
      <c r="F257" s="8">
        <v>39193</v>
      </c>
      <c r="G257" s="6">
        <v>3</v>
      </c>
      <c r="H257" s="1">
        <v>7.13</v>
      </c>
      <c r="I257" s="1" t="s">
        <v>861</v>
      </c>
      <c r="J257" s="1" t="s">
        <v>862</v>
      </c>
      <c r="K257" s="1" t="s">
        <v>351</v>
      </c>
      <c r="L257" s="1" t="s">
        <v>352</v>
      </c>
      <c r="M257" s="1">
        <v>10245</v>
      </c>
      <c r="N257" s="1" t="s">
        <v>99</v>
      </c>
      <c r="O257" s="11" t="s">
        <v>745</v>
      </c>
      <c r="P257" s="3"/>
    </row>
    <row r="258" spans="1:16">
      <c r="A258" s="6">
        <v>10506</v>
      </c>
      <c r="B258" s="6">
        <v>39</v>
      </c>
      <c r="C258" s="6">
        <v>9</v>
      </c>
      <c r="D258" s="8">
        <v>39187</v>
      </c>
      <c r="E258" s="8">
        <v>39215</v>
      </c>
      <c r="F258" s="8">
        <v>39204</v>
      </c>
      <c r="G258" s="6">
        <v>2</v>
      </c>
      <c r="H258" s="1">
        <v>21.19</v>
      </c>
      <c r="I258" s="1" t="s">
        <v>994</v>
      </c>
      <c r="J258" s="1" t="s">
        <v>995</v>
      </c>
      <c r="K258" s="1" t="s">
        <v>276</v>
      </c>
      <c r="L258" s="2"/>
      <c r="M258" s="1">
        <v>10208</v>
      </c>
      <c r="N258" s="1" t="s">
        <v>36</v>
      </c>
      <c r="O258" s="11" t="s">
        <v>745</v>
      </c>
      <c r="P258" s="3"/>
    </row>
    <row r="259" spans="1:16">
      <c r="A259" s="6">
        <v>10507</v>
      </c>
      <c r="B259" s="6">
        <v>3</v>
      </c>
      <c r="C259" s="6">
        <v>7</v>
      </c>
      <c r="D259" s="8">
        <v>39187</v>
      </c>
      <c r="E259" s="8">
        <v>39215</v>
      </c>
      <c r="F259" s="8">
        <v>39194</v>
      </c>
      <c r="G259" s="6">
        <v>1</v>
      </c>
      <c r="H259" s="1">
        <v>47.45</v>
      </c>
      <c r="I259" s="1" t="s">
        <v>908</v>
      </c>
      <c r="J259" s="1" t="s">
        <v>909</v>
      </c>
      <c r="K259" s="1" t="s">
        <v>43</v>
      </c>
      <c r="L259" s="2"/>
      <c r="M259" s="1">
        <v>10211</v>
      </c>
      <c r="N259" s="1" t="s">
        <v>44</v>
      </c>
      <c r="O259" s="11" t="s">
        <v>745</v>
      </c>
      <c r="P259" s="3"/>
    </row>
    <row r="260" spans="1:16">
      <c r="A260" s="6">
        <v>10508</v>
      </c>
      <c r="B260" s="6">
        <v>56</v>
      </c>
      <c r="C260" s="6">
        <v>1</v>
      </c>
      <c r="D260" s="8">
        <v>39188</v>
      </c>
      <c r="E260" s="8">
        <v>39216</v>
      </c>
      <c r="F260" s="8">
        <v>39215</v>
      </c>
      <c r="G260" s="6">
        <v>2</v>
      </c>
      <c r="H260" s="1">
        <v>4.99</v>
      </c>
      <c r="I260" s="1" t="s">
        <v>1040</v>
      </c>
      <c r="J260" s="1" t="s">
        <v>1041</v>
      </c>
      <c r="K260" s="1" t="s">
        <v>378</v>
      </c>
      <c r="L260" s="2"/>
      <c r="M260" s="1">
        <v>10260</v>
      </c>
      <c r="N260" s="1" t="s">
        <v>36</v>
      </c>
      <c r="O260" s="11" t="s">
        <v>745</v>
      </c>
      <c r="P260" s="3"/>
    </row>
    <row r="261" spans="1:16">
      <c r="A261" s="6">
        <v>10509</v>
      </c>
      <c r="B261" s="6">
        <v>6</v>
      </c>
      <c r="C261" s="6">
        <v>4</v>
      </c>
      <c r="D261" s="8">
        <v>39189</v>
      </c>
      <c r="E261" s="8">
        <v>39217</v>
      </c>
      <c r="F261" s="8">
        <v>39201</v>
      </c>
      <c r="G261" s="6">
        <v>1</v>
      </c>
      <c r="H261" s="1">
        <v>0.15</v>
      </c>
      <c r="I261" s="1" t="s">
        <v>1042</v>
      </c>
      <c r="J261" s="1" t="s">
        <v>1043</v>
      </c>
      <c r="K261" s="1" t="s">
        <v>69</v>
      </c>
      <c r="L261" s="2"/>
      <c r="M261" s="1">
        <v>10300</v>
      </c>
      <c r="N261" s="1" t="s">
        <v>36</v>
      </c>
      <c r="O261" s="11" t="s">
        <v>745</v>
      </c>
      <c r="P261" s="3"/>
    </row>
    <row r="262" spans="1:16">
      <c r="A262" s="6">
        <v>10510</v>
      </c>
      <c r="B262" s="6">
        <v>71</v>
      </c>
      <c r="C262" s="6">
        <v>6</v>
      </c>
      <c r="D262" s="8">
        <v>39190</v>
      </c>
      <c r="E262" s="8">
        <v>39218</v>
      </c>
      <c r="F262" s="8">
        <v>39200</v>
      </c>
      <c r="G262" s="6">
        <v>3</v>
      </c>
      <c r="H262" s="1">
        <v>367.63</v>
      </c>
      <c r="I262" s="1" t="s">
        <v>1044</v>
      </c>
      <c r="J262" s="1" t="s">
        <v>1045</v>
      </c>
      <c r="K262" s="1" t="s">
        <v>458</v>
      </c>
      <c r="L262" s="1" t="s">
        <v>459</v>
      </c>
      <c r="M262" s="1">
        <v>10305</v>
      </c>
      <c r="N262" s="1" t="s">
        <v>229</v>
      </c>
      <c r="O262" s="11" t="s">
        <v>745</v>
      </c>
      <c r="P262" s="3"/>
    </row>
    <row r="263" spans="1:16">
      <c r="A263" s="6">
        <v>10511</v>
      </c>
      <c r="B263" s="6">
        <v>9</v>
      </c>
      <c r="C263" s="6">
        <v>4</v>
      </c>
      <c r="D263" s="8">
        <v>39190</v>
      </c>
      <c r="E263" s="8">
        <v>39218</v>
      </c>
      <c r="F263" s="8">
        <v>39193</v>
      </c>
      <c r="G263" s="6">
        <v>3</v>
      </c>
      <c r="H263" s="1">
        <v>350.64</v>
      </c>
      <c r="I263" s="1" t="s">
        <v>902</v>
      </c>
      <c r="J263" s="1" t="s">
        <v>903</v>
      </c>
      <c r="K263" s="1" t="s">
        <v>90</v>
      </c>
      <c r="L263" s="2"/>
      <c r="M263" s="1">
        <v>10368</v>
      </c>
      <c r="N263" s="1" t="s">
        <v>77</v>
      </c>
      <c r="O263" s="11" t="s">
        <v>745</v>
      </c>
      <c r="P263" s="3"/>
    </row>
    <row r="264" spans="1:16">
      <c r="A264" s="6">
        <v>10512</v>
      </c>
      <c r="B264" s="6">
        <v>21</v>
      </c>
      <c r="C264" s="6">
        <v>7</v>
      </c>
      <c r="D264" s="8">
        <v>39193</v>
      </c>
      <c r="E264" s="8">
        <v>39221</v>
      </c>
      <c r="F264" s="8">
        <v>39196</v>
      </c>
      <c r="G264" s="6">
        <v>2</v>
      </c>
      <c r="H264" s="1">
        <v>3.53</v>
      </c>
      <c r="I264" s="1" t="s">
        <v>926</v>
      </c>
      <c r="J264" s="1" t="s">
        <v>927</v>
      </c>
      <c r="K264" s="1" t="s">
        <v>127</v>
      </c>
      <c r="L264" s="1" t="s">
        <v>128</v>
      </c>
      <c r="M264" s="1">
        <v>10160</v>
      </c>
      <c r="N264" s="1" t="s">
        <v>129</v>
      </c>
      <c r="O264" s="11" t="s">
        <v>745</v>
      </c>
      <c r="P264" s="3"/>
    </row>
    <row r="265" spans="1:16">
      <c r="A265" s="6">
        <v>10513</v>
      </c>
      <c r="B265" s="6">
        <v>86</v>
      </c>
      <c r="C265" s="6">
        <v>7</v>
      </c>
      <c r="D265" s="8">
        <v>39194</v>
      </c>
      <c r="E265" s="8">
        <v>39236</v>
      </c>
      <c r="F265" s="8">
        <v>39200</v>
      </c>
      <c r="G265" s="6">
        <v>1</v>
      </c>
      <c r="H265" s="1">
        <v>105.65</v>
      </c>
      <c r="I265" s="1" t="s">
        <v>829</v>
      </c>
      <c r="J265" s="1" t="s">
        <v>830</v>
      </c>
      <c r="K265" s="1" t="s">
        <v>544</v>
      </c>
      <c r="L265" s="2"/>
      <c r="M265" s="1">
        <v>10347</v>
      </c>
      <c r="N265" s="1" t="s">
        <v>36</v>
      </c>
      <c r="O265" s="11" t="s">
        <v>745</v>
      </c>
      <c r="P265" s="3"/>
    </row>
    <row r="266" spans="1:16">
      <c r="A266" s="6">
        <v>10514</v>
      </c>
      <c r="B266" s="6">
        <v>20</v>
      </c>
      <c r="C266" s="6">
        <v>3</v>
      </c>
      <c r="D266" s="8">
        <v>39194</v>
      </c>
      <c r="E266" s="8">
        <v>39222</v>
      </c>
      <c r="F266" s="8">
        <v>39218</v>
      </c>
      <c r="G266" s="6">
        <v>2</v>
      </c>
      <c r="H266" s="1">
        <v>789.95</v>
      </c>
      <c r="I266" s="1" t="s">
        <v>974</v>
      </c>
      <c r="J266" s="1" t="s">
        <v>975</v>
      </c>
      <c r="K266" s="1" t="s">
        <v>157</v>
      </c>
      <c r="L266" s="2"/>
      <c r="M266" s="1">
        <v>10159</v>
      </c>
      <c r="N266" s="1" t="s">
        <v>158</v>
      </c>
      <c r="O266" s="11" t="s">
        <v>745</v>
      </c>
      <c r="P266" s="3"/>
    </row>
    <row r="267" spans="1:16">
      <c r="A267" s="6">
        <v>10515</v>
      </c>
      <c r="B267" s="6">
        <v>63</v>
      </c>
      <c r="C267" s="6">
        <v>2</v>
      </c>
      <c r="D267" s="8">
        <v>39195</v>
      </c>
      <c r="E267" s="8">
        <v>39209</v>
      </c>
      <c r="F267" s="8">
        <v>39225</v>
      </c>
      <c r="G267" s="6">
        <v>1</v>
      </c>
      <c r="H267" s="1">
        <v>204.47</v>
      </c>
      <c r="I267" s="1" t="s">
        <v>808</v>
      </c>
      <c r="J267" s="1" t="s">
        <v>809</v>
      </c>
      <c r="K267" s="1" t="s">
        <v>413</v>
      </c>
      <c r="L267" s="2"/>
      <c r="M267" s="1">
        <v>10280</v>
      </c>
      <c r="N267" s="1" t="s">
        <v>36</v>
      </c>
      <c r="O267" s="11" t="s">
        <v>745</v>
      </c>
      <c r="P267" s="3"/>
    </row>
    <row r="268" spans="1:16">
      <c r="A268" s="6">
        <v>10516</v>
      </c>
      <c r="B268" s="6">
        <v>37</v>
      </c>
      <c r="C268" s="6">
        <v>2</v>
      </c>
      <c r="D268" s="8">
        <v>39196</v>
      </c>
      <c r="E268" s="8">
        <v>39224</v>
      </c>
      <c r="F268" s="8">
        <v>39203</v>
      </c>
      <c r="G268" s="6">
        <v>3</v>
      </c>
      <c r="H268" s="1">
        <v>62.78</v>
      </c>
      <c r="I268" s="1" t="s">
        <v>972</v>
      </c>
      <c r="J268" s="1" t="s">
        <v>973</v>
      </c>
      <c r="K268" s="1" t="s">
        <v>262</v>
      </c>
      <c r="L268" s="1" t="s">
        <v>263</v>
      </c>
      <c r="M268" s="1">
        <v>10204</v>
      </c>
      <c r="N268" s="1" t="s">
        <v>264</v>
      </c>
      <c r="O268" s="11" t="s">
        <v>745</v>
      </c>
      <c r="P268" s="3"/>
    </row>
    <row r="269" spans="1:16">
      <c r="A269" s="6">
        <v>10517</v>
      </c>
      <c r="B269" s="6">
        <v>53</v>
      </c>
      <c r="C269" s="6">
        <v>3</v>
      </c>
      <c r="D269" s="8">
        <v>39196</v>
      </c>
      <c r="E269" s="8">
        <v>39224</v>
      </c>
      <c r="F269" s="8">
        <v>39201</v>
      </c>
      <c r="G269" s="6">
        <v>3</v>
      </c>
      <c r="H269" s="1">
        <v>32.07</v>
      </c>
      <c r="I269" s="1" t="s">
        <v>1046</v>
      </c>
      <c r="J269" s="1" t="s">
        <v>1047</v>
      </c>
      <c r="K269" s="1" t="s">
        <v>54</v>
      </c>
      <c r="L269" s="2"/>
      <c r="M269" s="1">
        <v>10250</v>
      </c>
      <c r="N269" s="1" t="s">
        <v>55</v>
      </c>
      <c r="O269" s="11" t="s">
        <v>745</v>
      </c>
      <c r="P269" s="3"/>
    </row>
    <row r="270" spans="1:16">
      <c r="A270" s="6">
        <v>10518</v>
      </c>
      <c r="B270" s="6">
        <v>80</v>
      </c>
      <c r="C270" s="6">
        <v>4</v>
      </c>
      <c r="D270" s="8">
        <v>39197</v>
      </c>
      <c r="E270" s="8">
        <v>39211</v>
      </c>
      <c r="F270" s="8">
        <v>39207</v>
      </c>
      <c r="G270" s="6">
        <v>2</v>
      </c>
      <c r="H270" s="1">
        <v>218.15</v>
      </c>
      <c r="I270" s="1" t="s">
        <v>821</v>
      </c>
      <c r="J270" s="1" t="s">
        <v>510</v>
      </c>
      <c r="K270" s="1" t="s">
        <v>43</v>
      </c>
      <c r="L270" s="2"/>
      <c r="M270" s="1">
        <v>10333</v>
      </c>
      <c r="N270" s="1" t="s">
        <v>44</v>
      </c>
      <c r="O270" s="11" t="s">
        <v>745</v>
      </c>
      <c r="P270" s="3"/>
    </row>
    <row r="271" spans="1:16">
      <c r="A271" s="6">
        <v>10519</v>
      </c>
      <c r="B271" s="6">
        <v>14</v>
      </c>
      <c r="C271" s="6">
        <v>6</v>
      </c>
      <c r="D271" s="8">
        <v>39200</v>
      </c>
      <c r="E271" s="8">
        <v>39228</v>
      </c>
      <c r="F271" s="8">
        <v>39203</v>
      </c>
      <c r="G271" s="6">
        <v>3</v>
      </c>
      <c r="H271" s="1">
        <v>91.76</v>
      </c>
      <c r="I271" s="1" t="s">
        <v>1048</v>
      </c>
      <c r="J271" s="1" t="s">
        <v>119</v>
      </c>
      <c r="K271" s="1" t="s">
        <v>120</v>
      </c>
      <c r="L271" s="2"/>
      <c r="M271" s="1">
        <v>10138</v>
      </c>
      <c r="N271" s="1" t="s">
        <v>121</v>
      </c>
      <c r="O271" s="11" t="s">
        <v>745</v>
      </c>
      <c r="P271" s="3"/>
    </row>
    <row r="272" spans="1:16">
      <c r="A272" s="6">
        <v>10520</v>
      </c>
      <c r="B272" s="6">
        <v>70</v>
      </c>
      <c r="C272" s="6">
        <v>7</v>
      </c>
      <c r="D272" s="8">
        <v>39201</v>
      </c>
      <c r="E272" s="8">
        <v>39229</v>
      </c>
      <c r="F272" s="8">
        <v>39203</v>
      </c>
      <c r="G272" s="6">
        <v>1</v>
      </c>
      <c r="H272" s="1">
        <v>13.37</v>
      </c>
      <c r="I272" s="1" t="s">
        <v>928</v>
      </c>
      <c r="J272" s="1" t="s">
        <v>929</v>
      </c>
      <c r="K272" s="1" t="s">
        <v>451</v>
      </c>
      <c r="L272" s="2"/>
      <c r="M272" s="1">
        <v>10303</v>
      </c>
      <c r="N272" s="1" t="s">
        <v>452</v>
      </c>
      <c r="O272" s="11" t="s">
        <v>745</v>
      </c>
      <c r="P272" s="3"/>
    </row>
    <row r="273" spans="1:16">
      <c r="A273" s="6">
        <v>10521</v>
      </c>
      <c r="B273" s="6">
        <v>12</v>
      </c>
      <c r="C273" s="6">
        <v>8</v>
      </c>
      <c r="D273" s="8">
        <v>39201</v>
      </c>
      <c r="E273" s="8">
        <v>39229</v>
      </c>
      <c r="F273" s="8">
        <v>39204</v>
      </c>
      <c r="G273" s="6">
        <v>2</v>
      </c>
      <c r="H273" s="1">
        <v>17.22</v>
      </c>
      <c r="I273" s="1" t="s">
        <v>1049</v>
      </c>
      <c r="J273" s="1" t="s">
        <v>1050</v>
      </c>
      <c r="K273" s="1" t="s">
        <v>110</v>
      </c>
      <c r="L273" s="2"/>
      <c r="M273" s="1">
        <v>10134</v>
      </c>
      <c r="N273" s="1" t="s">
        <v>111</v>
      </c>
      <c r="O273" s="11" t="s">
        <v>745</v>
      </c>
      <c r="P273" s="3"/>
    </row>
    <row r="274" spans="1:16">
      <c r="A274" s="6">
        <v>10522</v>
      </c>
      <c r="B274" s="6">
        <v>44</v>
      </c>
      <c r="C274" s="6">
        <v>4</v>
      </c>
      <c r="D274" s="8">
        <v>39202</v>
      </c>
      <c r="E274" s="8">
        <v>39230</v>
      </c>
      <c r="F274" s="8">
        <v>39208</v>
      </c>
      <c r="G274" s="6">
        <v>1</v>
      </c>
      <c r="H274" s="1">
        <v>45.33</v>
      </c>
      <c r="I274" s="1" t="s">
        <v>798</v>
      </c>
      <c r="J274" s="1" t="s">
        <v>799</v>
      </c>
      <c r="K274" s="1" t="s">
        <v>306</v>
      </c>
      <c r="L274" s="2"/>
      <c r="M274" s="1">
        <v>10222</v>
      </c>
      <c r="N274" s="1" t="s">
        <v>36</v>
      </c>
      <c r="O274" s="11" t="s">
        <v>745</v>
      </c>
      <c r="P274" s="3"/>
    </row>
    <row r="275" spans="1:16">
      <c r="A275" s="6">
        <v>10523</v>
      </c>
      <c r="B275" s="6">
        <v>72</v>
      </c>
      <c r="C275" s="6">
        <v>7</v>
      </c>
      <c r="D275" s="8">
        <v>39203</v>
      </c>
      <c r="E275" s="8">
        <v>39231</v>
      </c>
      <c r="F275" s="8">
        <v>39232</v>
      </c>
      <c r="G275" s="6">
        <v>2</v>
      </c>
      <c r="H275" s="1">
        <v>77.63</v>
      </c>
      <c r="I275" s="1" t="s">
        <v>898</v>
      </c>
      <c r="J275" s="1" t="s">
        <v>899</v>
      </c>
      <c r="K275" s="1" t="s">
        <v>54</v>
      </c>
      <c r="L275" s="2"/>
      <c r="M275" s="1">
        <v>10309</v>
      </c>
      <c r="N275" s="1" t="s">
        <v>55</v>
      </c>
      <c r="O275" s="11" t="s">
        <v>745</v>
      </c>
      <c r="P275" s="3"/>
    </row>
    <row r="276" spans="1:16">
      <c r="A276" s="6">
        <v>10524</v>
      </c>
      <c r="B276" s="6">
        <v>5</v>
      </c>
      <c r="C276" s="6">
        <v>1</v>
      </c>
      <c r="D276" s="8">
        <v>39203</v>
      </c>
      <c r="E276" s="8">
        <v>39231</v>
      </c>
      <c r="F276" s="8">
        <v>39209</v>
      </c>
      <c r="G276" s="6">
        <v>2</v>
      </c>
      <c r="H276" s="1">
        <v>244.79</v>
      </c>
      <c r="I276" s="1" t="s">
        <v>982</v>
      </c>
      <c r="J276" s="1" t="s">
        <v>983</v>
      </c>
      <c r="K276" s="1" t="s">
        <v>62</v>
      </c>
      <c r="L276" s="2"/>
      <c r="M276" s="1">
        <v>10267</v>
      </c>
      <c r="N276" s="1" t="s">
        <v>63</v>
      </c>
      <c r="O276" s="11" t="s">
        <v>745</v>
      </c>
      <c r="P276" s="3"/>
    </row>
    <row r="277" spans="1:16">
      <c r="A277" s="6">
        <v>10525</v>
      </c>
      <c r="B277" s="6">
        <v>9</v>
      </c>
      <c r="C277" s="6">
        <v>1</v>
      </c>
      <c r="D277" s="8">
        <v>39204</v>
      </c>
      <c r="E277" s="8">
        <v>39232</v>
      </c>
      <c r="F277" s="8">
        <v>39225</v>
      </c>
      <c r="G277" s="6">
        <v>2</v>
      </c>
      <c r="H277" s="1">
        <v>11.06</v>
      </c>
      <c r="I277" s="1" t="s">
        <v>902</v>
      </c>
      <c r="J277" s="1" t="s">
        <v>903</v>
      </c>
      <c r="K277" s="1" t="s">
        <v>90</v>
      </c>
      <c r="L277" s="2"/>
      <c r="M277" s="1">
        <v>10368</v>
      </c>
      <c r="N277" s="1" t="s">
        <v>77</v>
      </c>
      <c r="O277" s="11" t="s">
        <v>745</v>
      </c>
      <c r="P277" s="3"/>
    </row>
    <row r="278" spans="1:16">
      <c r="A278" s="6">
        <v>10526</v>
      </c>
      <c r="B278" s="6">
        <v>87</v>
      </c>
      <c r="C278" s="6">
        <v>4</v>
      </c>
      <c r="D278" s="8">
        <v>39207</v>
      </c>
      <c r="E278" s="8">
        <v>39235</v>
      </c>
      <c r="F278" s="8">
        <v>39217</v>
      </c>
      <c r="G278" s="6">
        <v>2</v>
      </c>
      <c r="H278" s="1">
        <v>58.59</v>
      </c>
      <c r="I278" s="1" t="s">
        <v>863</v>
      </c>
      <c r="J278" s="1" t="s">
        <v>864</v>
      </c>
      <c r="K278" s="1" t="s">
        <v>550</v>
      </c>
      <c r="L278" s="2"/>
      <c r="M278" s="1">
        <v>10352</v>
      </c>
      <c r="N278" s="1" t="s">
        <v>551</v>
      </c>
      <c r="O278" s="11" t="s">
        <v>745</v>
      </c>
      <c r="P278" s="3"/>
    </row>
    <row r="279" spans="1:16">
      <c r="A279" s="6">
        <v>10527</v>
      </c>
      <c r="B279" s="6">
        <v>63</v>
      </c>
      <c r="C279" s="6">
        <v>7</v>
      </c>
      <c r="D279" s="8">
        <v>39207</v>
      </c>
      <c r="E279" s="8">
        <v>39235</v>
      </c>
      <c r="F279" s="8">
        <v>39209</v>
      </c>
      <c r="G279" s="6">
        <v>1</v>
      </c>
      <c r="H279" s="1">
        <v>41.9</v>
      </c>
      <c r="I279" s="1" t="s">
        <v>808</v>
      </c>
      <c r="J279" s="1" t="s">
        <v>809</v>
      </c>
      <c r="K279" s="1" t="s">
        <v>413</v>
      </c>
      <c r="L279" s="2"/>
      <c r="M279" s="1">
        <v>10280</v>
      </c>
      <c r="N279" s="1" t="s">
        <v>36</v>
      </c>
      <c r="O279" s="11" t="s">
        <v>745</v>
      </c>
      <c r="P279" s="3"/>
    </row>
    <row r="280" spans="1:16">
      <c r="A280" s="6">
        <v>10528</v>
      </c>
      <c r="B280" s="6">
        <v>32</v>
      </c>
      <c r="C280" s="6">
        <v>6</v>
      </c>
      <c r="D280" s="8">
        <v>39208</v>
      </c>
      <c r="E280" s="8">
        <v>39222</v>
      </c>
      <c r="F280" s="8">
        <v>39211</v>
      </c>
      <c r="G280" s="6">
        <v>2</v>
      </c>
      <c r="H280" s="1">
        <v>3.35</v>
      </c>
      <c r="I280" s="1" t="s">
        <v>1051</v>
      </c>
      <c r="J280" s="1" t="s">
        <v>1052</v>
      </c>
      <c r="K280" s="1" t="s">
        <v>227</v>
      </c>
      <c r="L280" s="1" t="s">
        <v>228</v>
      </c>
      <c r="M280" s="1">
        <v>10189</v>
      </c>
      <c r="N280" s="1" t="s">
        <v>229</v>
      </c>
      <c r="O280" s="11" t="s">
        <v>745</v>
      </c>
      <c r="P280" s="3"/>
    </row>
    <row r="281" spans="1:16">
      <c r="A281" s="6">
        <v>10529</v>
      </c>
      <c r="B281" s="6">
        <v>50</v>
      </c>
      <c r="C281" s="6">
        <v>5</v>
      </c>
      <c r="D281" s="8">
        <v>39209</v>
      </c>
      <c r="E281" s="8">
        <v>39237</v>
      </c>
      <c r="F281" s="8">
        <v>39211</v>
      </c>
      <c r="G281" s="6">
        <v>2</v>
      </c>
      <c r="H281" s="1">
        <v>66.69</v>
      </c>
      <c r="I281" s="1" t="s">
        <v>1053</v>
      </c>
      <c r="J281" s="1" t="s">
        <v>1054</v>
      </c>
      <c r="K281" s="1" t="s">
        <v>344</v>
      </c>
      <c r="L281" s="2"/>
      <c r="M281" s="1">
        <v>10242</v>
      </c>
      <c r="N281" s="1" t="s">
        <v>345</v>
      </c>
      <c r="O281" s="11" t="s">
        <v>745</v>
      </c>
      <c r="P281" s="3"/>
    </row>
    <row r="282" spans="1:16">
      <c r="A282" s="6">
        <v>10530</v>
      </c>
      <c r="B282" s="6">
        <v>59</v>
      </c>
      <c r="C282" s="6">
        <v>3</v>
      </c>
      <c r="D282" s="8">
        <v>39210</v>
      </c>
      <c r="E282" s="8">
        <v>39238</v>
      </c>
      <c r="F282" s="8">
        <v>39214</v>
      </c>
      <c r="G282" s="6">
        <v>2</v>
      </c>
      <c r="H282" s="1">
        <v>339.22</v>
      </c>
      <c r="I282" s="1" t="s">
        <v>970</v>
      </c>
      <c r="J282" s="1" t="s">
        <v>971</v>
      </c>
      <c r="K282" s="1" t="s">
        <v>394</v>
      </c>
      <c r="L282" s="2"/>
      <c r="M282" s="1">
        <v>10266</v>
      </c>
      <c r="N282" s="1" t="s">
        <v>158</v>
      </c>
      <c r="O282" s="11" t="s">
        <v>745</v>
      </c>
      <c r="P282" s="3"/>
    </row>
    <row r="283" spans="1:16">
      <c r="A283" s="6">
        <v>10531</v>
      </c>
      <c r="B283" s="6">
        <v>54</v>
      </c>
      <c r="C283" s="6">
        <v>7</v>
      </c>
      <c r="D283" s="8">
        <v>39210</v>
      </c>
      <c r="E283" s="8">
        <v>39238</v>
      </c>
      <c r="F283" s="8">
        <v>39221</v>
      </c>
      <c r="G283" s="6">
        <v>1</v>
      </c>
      <c r="H283" s="1">
        <v>8.1199999999999992</v>
      </c>
      <c r="I283" s="1" t="s">
        <v>1055</v>
      </c>
      <c r="J283" s="1" t="s">
        <v>1056</v>
      </c>
      <c r="K283" s="1" t="s">
        <v>110</v>
      </c>
      <c r="L283" s="2"/>
      <c r="M283" s="1">
        <v>10252</v>
      </c>
      <c r="N283" s="1" t="s">
        <v>111</v>
      </c>
      <c r="O283" s="11" t="s">
        <v>745</v>
      </c>
      <c r="P283" s="3"/>
    </row>
    <row r="284" spans="1:16">
      <c r="A284" s="6">
        <v>10532</v>
      </c>
      <c r="B284" s="6">
        <v>19</v>
      </c>
      <c r="C284" s="6">
        <v>7</v>
      </c>
      <c r="D284" s="8">
        <v>39211</v>
      </c>
      <c r="E284" s="8">
        <v>39239</v>
      </c>
      <c r="F284" s="8">
        <v>39214</v>
      </c>
      <c r="G284" s="6">
        <v>3</v>
      </c>
      <c r="H284" s="1">
        <v>74.459999999999994</v>
      </c>
      <c r="I284" s="1" t="s">
        <v>906</v>
      </c>
      <c r="J284" s="1" t="s">
        <v>907</v>
      </c>
      <c r="K284" s="1" t="s">
        <v>54</v>
      </c>
      <c r="L284" s="2"/>
      <c r="M284" s="1">
        <v>10151</v>
      </c>
      <c r="N284" s="1" t="s">
        <v>55</v>
      </c>
      <c r="O284" s="11" t="s">
        <v>745</v>
      </c>
      <c r="P284" s="3"/>
    </row>
    <row r="285" spans="1:16">
      <c r="A285" s="6">
        <v>10533</v>
      </c>
      <c r="B285" s="6">
        <v>24</v>
      </c>
      <c r="C285" s="6">
        <v>8</v>
      </c>
      <c r="D285" s="8">
        <v>39214</v>
      </c>
      <c r="E285" s="8">
        <v>39242</v>
      </c>
      <c r="F285" s="8">
        <v>39224</v>
      </c>
      <c r="G285" s="6">
        <v>1</v>
      </c>
      <c r="H285" s="1">
        <v>188.04</v>
      </c>
      <c r="I285" s="1" t="s">
        <v>771</v>
      </c>
      <c r="J285" s="1" t="s">
        <v>772</v>
      </c>
      <c r="K285" s="1" t="s">
        <v>181</v>
      </c>
      <c r="L285" s="2"/>
      <c r="M285" s="1">
        <v>10167</v>
      </c>
      <c r="N285" s="1" t="s">
        <v>63</v>
      </c>
      <c r="O285" s="11" t="s">
        <v>745</v>
      </c>
      <c r="P285" s="3"/>
    </row>
    <row r="286" spans="1:16">
      <c r="A286" s="6">
        <v>10534</v>
      </c>
      <c r="B286" s="6">
        <v>44</v>
      </c>
      <c r="C286" s="6">
        <v>8</v>
      </c>
      <c r="D286" s="8">
        <v>39214</v>
      </c>
      <c r="E286" s="8">
        <v>39242</v>
      </c>
      <c r="F286" s="8">
        <v>39216</v>
      </c>
      <c r="G286" s="6">
        <v>2</v>
      </c>
      <c r="H286" s="1">
        <v>27.94</v>
      </c>
      <c r="I286" s="1" t="s">
        <v>798</v>
      </c>
      <c r="J286" s="1" t="s">
        <v>799</v>
      </c>
      <c r="K286" s="1" t="s">
        <v>306</v>
      </c>
      <c r="L286" s="2"/>
      <c r="M286" s="1">
        <v>10222</v>
      </c>
      <c r="N286" s="1" t="s">
        <v>36</v>
      </c>
      <c r="O286" s="11" t="s">
        <v>745</v>
      </c>
      <c r="P286" s="3"/>
    </row>
    <row r="287" spans="1:16">
      <c r="A287" s="6">
        <v>10535</v>
      </c>
      <c r="B287" s="6">
        <v>3</v>
      </c>
      <c r="C287" s="6">
        <v>4</v>
      </c>
      <c r="D287" s="8">
        <v>39215</v>
      </c>
      <c r="E287" s="8">
        <v>39243</v>
      </c>
      <c r="F287" s="8">
        <v>39223</v>
      </c>
      <c r="G287" s="6">
        <v>1</v>
      </c>
      <c r="H287" s="1">
        <v>15.64</v>
      </c>
      <c r="I287" s="1" t="s">
        <v>908</v>
      </c>
      <c r="J287" s="1" t="s">
        <v>909</v>
      </c>
      <c r="K287" s="1" t="s">
        <v>43</v>
      </c>
      <c r="L287" s="2"/>
      <c r="M287" s="1">
        <v>10211</v>
      </c>
      <c r="N287" s="1" t="s">
        <v>44</v>
      </c>
      <c r="O287" s="11" t="s">
        <v>745</v>
      </c>
      <c r="P287" s="3"/>
    </row>
    <row r="288" spans="1:16">
      <c r="A288" s="6">
        <v>10536</v>
      </c>
      <c r="B288" s="6">
        <v>44</v>
      </c>
      <c r="C288" s="6">
        <v>3</v>
      </c>
      <c r="D288" s="8">
        <v>39216</v>
      </c>
      <c r="E288" s="8">
        <v>39244</v>
      </c>
      <c r="F288" s="8">
        <v>39239</v>
      </c>
      <c r="G288" s="6">
        <v>2</v>
      </c>
      <c r="H288" s="1">
        <v>58.88</v>
      </c>
      <c r="I288" s="1" t="s">
        <v>1057</v>
      </c>
      <c r="J288" s="1" t="s">
        <v>1058</v>
      </c>
      <c r="K288" s="1" t="s">
        <v>306</v>
      </c>
      <c r="L288" s="2"/>
      <c r="M288" s="1">
        <v>10223</v>
      </c>
      <c r="N288" s="1" t="s">
        <v>36</v>
      </c>
      <c r="O288" s="11" t="s">
        <v>745</v>
      </c>
      <c r="P288" s="3"/>
    </row>
    <row r="289" spans="1:16">
      <c r="A289" s="6">
        <v>10537</v>
      </c>
      <c r="B289" s="6">
        <v>68</v>
      </c>
      <c r="C289" s="6">
        <v>1</v>
      </c>
      <c r="D289" s="8">
        <v>39216</v>
      </c>
      <c r="E289" s="8">
        <v>39230</v>
      </c>
      <c r="F289" s="8">
        <v>39221</v>
      </c>
      <c r="G289" s="6">
        <v>1</v>
      </c>
      <c r="H289" s="1">
        <v>78.849999999999994</v>
      </c>
      <c r="I289" s="1" t="s">
        <v>1059</v>
      </c>
      <c r="J289" s="1" t="s">
        <v>1060</v>
      </c>
      <c r="K289" s="1" t="s">
        <v>441</v>
      </c>
      <c r="L289" s="2"/>
      <c r="M289" s="1">
        <v>10295</v>
      </c>
      <c r="N289" s="1" t="s">
        <v>121</v>
      </c>
      <c r="O289" s="11" t="s">
        <v>745</v>
      </c>
      <c r="P289" s="3"/>
    </row>
    <row r="290" spans="1:16">
      <c r="A290" s="6">
        <v>10538</v>
      </c>
      <c r="B290" s="6">
        <v>11</v>
      </c>
      <c r="C290" s="6">
        <v>9</v>
      </c>
      <c r="D290" s="8">
        <v>39217</v>
      </c>
      <c r="E290" s="8">
        <v>39245</v>
      </c>
      <c r="F290" s="8">
        <v>39218</v>
      </c>
      <c r="G290" s="6">
        <v>3</v>
      </c>
      <c r="H290" s="1">
        <v>4.87</v>
      </c>
      <c r="I290" s="1" t="s">
        <v>814</v>
      </c>
      <c r="J290" s="1" t="s">
        <v>104</v>
      </c>
      <c r="K290" s="1" t="s">
        <v>54</v>
      </c>
      <c r="L290" s="2"/>
      <c r="M290" s="1">
        <v>10132</v>
      </c>
      <c r="N290" s="1" t="s">
        <v>55</v>
      </c>
      <c r="O290" s="11" t="s">
        <v>745</v>
      </c>
      <c r="P290" s="3"/>
    </row>
    <row r="291" spans="1:16">
      <c r="A291" s="6">
        <v>10539</v>
      </c>
      <c r="B291" s="6">
        <v>11</v>
      </c>
      <c r="C291" s="6">
        <v>6</v>
      </c>
      <c r="D291" s="8">
        <v>39218</v>
      </c>
      <c r="E291" s="8">
        <v>39246</v>
      </c>
      <c r="F291" s="8">
        <v>39225</v>
      </c>
      <c r="G291" s="6">
        <v>3</v>
      </c>
      <c r="H291" s="1">
        <v>12.36</v>
      </c>
      <c r="I291" s="1" t="s">
        <v>814</v>
      </c>
      <c r="J291" s="1" t="s">
        <v>104</v>
      </c>
      <c r="K291" s="1" t="s">
        <v>54</v>
      </c>
      <c r="L291" s="2"/>
      <c r="M291" s="1">
        <v>10132</v>
      </c>
      <c r="N291" s="1" t="s">
        <v>55</v>
      </c>
      <c r="O291" s="11" t="s">
        <v>745</v>
      </c>
      <c r="P291" s="3"/>
    </row>
    <row r="292" spans="1:16">
      <c r="A292" s="6">
        <v>10540</v>
      </c>
      <c r="B292" s="6">
        <v>63</v>
      </c>
      <c r="C292" s="6">
        <v>3</v>
      </c>
      <c r="D292" s="8">
        <v>39221</v>
      </c>
      <c r="E292" s="8">
        <v>39249</v>
      </c>
      <c r="F292" s="8">
        <v>39246</v>
      </c>
      <c r="G292" s="6">
        <v>3</v>
      </c>
      <c r="H292" s="1">
        <v>1007.64</v>
      </c>
      <c r="I292" s="1" t="s">
        <v>900</v>
      </c>
      <c r="J292" s="1" t="s">
        <v>901</v>
      </c>
      <c r="K292" s="1" t="s">
        <v>413</v>
      </c>
      <c r="L292" s="2"/>
      <c r="M292" s="1">
        <v>10281</v>
      </c>
      <c r="N292" s="1" t="s">
        <v>36</v>
      </c>
      <c r="O292" s="11" t="s">
        <v>745</v>
      </c>
      <c r="P292" s="3"/>
    </row>
    <row r="293" spans="1:16">
      <c r="A293" s="6">
        <v>10541</v>
      </c>
      <c r="B293" s="6">
        <v>34</v>
      </c>
      <c r="C293" s="6">
        <v>2</v>
      </c>
      <c r="D293" s="8">
        <v>39221</v>
      </c>
      <c r="E293" s="8">
        <v>39249</v>
      </c>
      <c r="F293" s="8">
        <v>39231</v>
      </c>
      <c r="G293" s="6">
        <v>1</v>
      </c>
      <c r="H293" s="1">
        <v>68.650000000000006</v>
      </c>
      <c r="I293" s="1" t="s">
        <v>744</v>
      </c>
      <c r="J293" s="1" t="s">
        <v>241</v>
      </c>
      <c r="K293" s="1" t="s">
        <v>242</v>
      </c>
      <c r="L293" s="1" t="s">
        <v>243</v>
      </c>
      <c r="M293" s="1">
        <v>10195</v>
      </c>
      <c r="N293" s="1" t="s">
        <v>129</v>
      </c>
      <c r="O293" s="11" t="s">
        <v>745</v>
      </c>
      <c r="P293" s="3"/>
    </row>
    <row r="294" spans="1:16">
      <c r="A294" s="6">
        <v>10542</v>
      </c>
      <c r="B294" s="6">
        <v>39</v>
      </c>
      <c r="C294" s="6">
        <v>1</v>
      </c>
      <c r="D294" s="8">
        <v>39222</v>
      </c>
      <c r="E294" s="8">
        <v>39250</v>
      </c>
      <c r="F294" s="8">
        <v>39228</v>
      </c>
      <c r="G294" s="6">
        <v>3</v>
      </c>
      <c r="H294" s="1">
        <v>10.95</v>
      </c>
      <c r="I294" s="1" t="s">
        <v>994</v>
      </c>
      <c r="J294" s="1" t="s">
        <v>995</v>
      </c>
      <c r="K294" s="1" t="s">
        <v>276</v>
      </c>
      <c r="L294" s="2"/>
      <c r="M294" s="1">
        <v>10208</v>
      </c>
      <c r="N294" s="1" t="s">
        <v>36</v>
      </c>
      <c r="O294" s="11" t="s">
        <v>745</v>
      </c>
      <c r="P294" s="3"/>
    </row>
    <row r="295" spans="1:16">
      <c r="A295" s="6">
        <v>10543</v>
      </c>
      <c r="B295" s="6">
        <v>46</v>
      </c>
      <c r="C295" s="6">
        <v>8</v>
      </c>
      <c r="D295" s="8">
        <v>39223</v>
      </c>
      <c r="E295" s="8">
        <v>39251</v>
      </c>
      <c r="F295" s="8">
        <v>39225</v>
      </c>
      <c r="G295" s="6">
        <v>2</v>
      </c>
      <c r="H295" s="1">
        <v>48.17</v>
      </c>
      <c r="I295" s="1" t="s">
        <v>894</v>
      </c>
      <c r="J295" s="1" t="s">
        <v>895</v>
      </c>
      <c r="K295" s="1" t="s">
        <v>318</v>
      </c>
      <c r="L295" s="1" t="s">
        <v>319</v>
      </c>
      <c r="M295" s="1">
        <v>10228</v>
      </c>
      <c r="N295" s="1" t="s">
        <v>236</v>
      </c>
      <c r="O295" s="11" t="s">
        <v>745</v>
      </c>
      <c r="P295" s="3"/>
    </row>
    <row r="296" spans="1:16">
      <c r="A296" s="6">
        <v>10544</v>
      </c>
      <c r="B296" s="6">
        <v>48</v>
      </c>
      <c r="C296" s="6">
        <v>4</v>
      </c>
      <c r="D296" s="8">
        <v>39223</v>
      </c>
      <c r="E296" s="8">
        <v>39251</v>
      </c>
      <c r="F296" s="8">
        <v>39232</v>
      </c>
      <c r="G296" s="6">
        <v>1</v>
      </c>
      <c r="H296" s="1">
        <v>24.91</v>
      </c>
      <c r="I296" s="1" t="s">
        <v>1061</v>
      </c>
      <c r="J296" s="1" t="s">
        <v>1062</v>
      </c>
      <c r="K296" s="1" t="s">
        <v>332</v>
      </c>
      <c r="L296" s="1" t="s">
        <v>228</v>
      </c>
      <c r="M296" s="1">
        <v>10234</v>
      </c>
      <c r="N296" s="1" t="s">
        <v>229</v>
      </c>
      <c r="O296" s="11" t="s">
        <v>745</v>
      </c>
      <c r="P296" s="3"/>
    </row>
    <row r="297" spans="1:16">
      <c r="A297" s="6">
        <v>10545</v>
      </c>
      <c r="B297" s="6">
        <v>43</v>
      </c>
      <c r="C297" s="6">
        <v>8</v>
      </c>
      <c r="D297" s="8">
        <v>39224</v>
      </c>
      <c r="E297" s="8">
        <v>39252</v>
      </c>
      <c r="F297" s="8">
        <v>39259</v>
      </c>
      <c r="G297" s="6">
        <v>2</v>
      </c>
      <c r="H297" s="1">
        <v>11.92</v>
      </c>
      <c r="I297" s="1" t="s">
        <v>1022</v>
      </c>
      <c r="J297" s="1" t="s">
        <v>1023</v>
      </c>
      <c r="K297" s="1" t="s">
        <v>299</v>
      </c>
      <c r="L297" s="1" t="s">
        <v>300</v>
      </c>
      <c r="M297" s="1">
        <v>10221</v>
      </c>
      <c r="N297" s="1" t="s">
        <v>229</v>
      </c>
      <c r="O297" s="11" t="s">
        <v>745</v>
      </c>
      <c r="P297" s="3"/>
    </row>
    <row r="298" spans="1:16">
      <c r="A298" s="6">
        <v>10546</v>
      </c>
      <c r="B298" s="6">
        <v>84</v>
      </c>
      <c r="C298" s="6">
        <v>1</v>
      </c>
      <c r="D298" s="8">
        <v>39225</v>
      </c>
      <c r="E298" s="8">
        <v>39253</v>
      </c>
      <c r="F298" s="8">
        <v>39229</v>
      </c>
      <c r="G298" s="6">
        <v>3</v>
      </c>
      <c r="H298" s="1">
        <v>194.72</v>
      </c>
      <c r="I298" s="1" t="s">
        <v>990</v>
      </c>
      <c r="J298" s="1" t="s">
        <v>991</v>
      </c>
      <c r="K298" s="1" t="s">
        <v>532</v>
      </c>
      <c r="L298" s="2"/>
      <c r="M298" s="1">
        <v>10344</v>
      </c>
      <c r="N298" s="1" t="s">
        <v>77</v>
      </c>
      <c r="O298" s="11" t="s">
        <v>745</v>
      </c>
      <c r="P298" s="3"/>
    </row>
    <row r="299" spans="1:16">
      <c r="A299" s="6">
        <v>10547</v>
      </c>
      <c r="B299" s="6">
        <v>72</v>
      </c>
      <c r="C299" s="6">
        <v>3</v>
      </c>
      <c r="D299" s="8">
        <v>39225</v>
      </c>
      <c r="E299" s="8">
        <v>39253</v>
      </c>
      <c r="F299" s="8">
        <v>39235</v>
      </c>
      <c r="G299" s="6">
        <v>2</v>
      </c>
      <c r="H299" s="1">
        <v>178.43</v>
      </c>
      <c r="I299" s="1" t="s">
        <v>898</v>
      </c>
      <c r="J299" s="1" t="s">
        <v>899</v>
      </c>
      <c r="K299" s="1" t="s">
        <v>54</v>
      </c>
      <c r="L299" s="2"/>
      <c r="M299" s="1">
        <v>10309</v>
      </c>
      <c r="N299" s="1" t="s">
        <v>55</v>
      </c>
      <c r="O299" s="11" t="s">
        <v>745</v>
      </c>
      <c r="P299" s="3"/>
    </row>
    <row r="300" spans="1:16">
      <c r="A300" s="6">
        <v>10548</v>
      </c>
      <c r="B300" s="6">
        <v>79</v>
      </c>
      <c r="C300" s="6">
        <v>3</v>
      </c>
      <c r="D300" s="8">
        <v>39228</v>
      </c>
      <c r="E300" s="8">
        <v>39256</v>
      </c>
      <c r="F300" s="8">
        <v>39235</v>
      </c>
      <c r="G300" s="6">
        <v>2</v>
      </c>
      <c r="H300" s="1">
        <v>1.43</v>
      </c>
      <c r="I300" s="1" t="s">
        <v>980</v>
      </c>
      <c r="J300" s="1" t="s">
        <v>981</v>
      </c>
      <c r="K300" s="1" t="s">
        <v>505</v>
      </c>
      <c r="L300" s="2"/>
      <c r="M300" s="1">
        <v>10326</v>
      </c>
      <c r="N300" s="1" t="s">
        <v>36</v>
      </c>
      <c r="O300" s="11" t="s">
        <v>745</v>
      </c>
      <c r="P300" s="3"/>
    </row>
    <row r="301" spans="1:16">
      <c r="A301" s="6">
        <v>10549</v>
      </c>
      <c r="B301" s="6">
        <v>63</v>
      </c>
      <c r="C301" s="6">
        <v>5</v>
      </c>
      <c r="D301" s="8">
        <v>39229</v>
      </c>
      <c r="E301" s="8">
        <v>39243</v>
      </c>
      <c r="F301" s="8">
        <v>39232</v>
      </c>
      <c r="G301" s="6">
        <v>1</v>
      </c>
      <c r="H301" s="1">
        <v>171.24</v>
      </c>
      <c r="I301" s="1" t="s">
        <v>900</v>
      </c>
      <c r="J301" s="1" t="s">
        <v>901</v>
      </c>
      <c r="K301" s="1" t="s">
        <v>413</v>
      </c>
      <c r="L301" s="2"/>
      <c r="M301" s="1">
        <v>10281</v>
      </c>
      <c r="N301" s="1" t="s">
        <v>36</v>
      </c>
      <c r="O301" s="11" t="s">
        <v>745</v>
      </c>
      <c r="P301" s="3"/>
    </row>
    <row r="302" spans="1:16">
      <c r="A302" s="6">
        <v>10550</v>
      </c>
      <c r="B302" s="6">
        <v>30</v>
      </c>
      <c r="C302" s="6">
        <v>7</v>
      </c>
      <c r="D302" s="8">
        <v>39230</v>
      </c>
      <c r="E302" s="8">
        <v>39258</v>
      </c>
      <c r="F302" s="8">
        <v>39239</v>
      </c>
      <c r="G302" s="6">
        <v>3</v>
      </c>
      <c r="H302" s="1">
        <v>4.32</v>
      </c>
      <c r="I302" s="1" t="s">
        <v>1063</v>
      </c>
      <c r="J302" s="1" t="s">
        <v>1064</v>
      </c>
      <c r="K302" s="1" t="s">
        <v>217</v>
      </c>
      <c r="L302" s="2"/>
      <c r="M302" s="1">
        <v>10184</v>
      </c>
      <c r="N302" s="1" t="s">
        <v>84</v>
      </c>
      <c r="O302" s="11" t="s">
        <v>745</v>
      </c>
      <c r="P302" s="3"/>
    </row>
    <row r="303" spans="1:16">
      <c r="A303" s="6">
        <v>10551</v>
      </c>
      <c r="B303" s="6">
        <v>28</v>
      </c>
      <c r="C303" s="6">
        <v>4</v>
      </c>
      <c r="D303" s="8">
        <v>39230</v>
      </c>
      <c r="E303" s="8">
        <v>39272</v>
      </c>
      <c r="F303" s="8">
        <v>39239</v>
      </c>
      <c r="G303" s="6">
        <v>3</v>
      </c>
      <c r="H303" s="1">
        <v>72.95</v>
      </c>
      <c r="I303" s="1" t="s">
        <v>884</v>
      </c>
      <c r="J303" s="1" t="s">
        <v>885</v>
      </c>
      <c r="K303" s="1" t="s">
        <v>204</v>
      </c>
      <c r="L303" s="2"/>
      <c r="M303" s="1">
        <v>10177</v>
      </c>
      <c r="N303" s="1" t="s">
        <v>205</v>
      </c>
      <c r="O303" s="11" t="s">
        <v>745</v>
      </c>
      <c r="P303" s="3"/>
    </row>
    <row r="304" spans="1:16">
      <c r="A304" s="6">
        <v>10552</v>
      </c>
      <c r="B304" s="6">
        <v>35</v>
      </c>
      <c r="C304" s="6">
        <v>2</v>
      </c>
      <c r="D304" s="8">
        <v>39231</v>
      </c>
      <c r="E304" s="8">
        <v>39259</v>
      </c>
      <c r="F304" s="8">
        <v>39238</v>
      </c>
      <c r="G304" s="6">
        <v>1</v>
      </c>
      <c r="H304" s="1">
        <v>83.22</v>
      </c>
      <c r="I304" s="1" t="s">
        <v>1024</v>
      </c>
      <c r="J304" s="1" t="s">
        <v>1025</v>
      </c>
      <c r="K304" s="1" t="s">
        <v>249</v>
      </c>
      <c r="L304" s="1" t="s">
        <v>250</v>
      </c>
      <c r="M304" s="1">
        <v>10197</v>
      </c>
      <c r="N304" s="1" t="s">
        <v>236</v>
      </c>
      <c r="O304" s="11" t="s">
        <v>745</v>
      </c>
      <c r="P304" s="3"/>
    </row>
    <row r="305" spans="1:16">
      <c r="A305" s="6">
        <v>10553</v>
      </c>
      <c r="B305" s="6">
        <v>87</v>
      </c>
      <c r="C305" s="6">
        <v>2</v>
      </c>
      <c r="D305" s="8">
        <v>39232</v>
      </c>
      <c r="E305" s="8">
        <v>39260</v>
      </c>
      <c r="F305" s="8">
        <v>39236</v>
      </c>
      <c r="G305" s="6">
        <v>2</v>
      </c>
      <c r="H305" s="1">
        <v>149.49</v>
      </c>
      <c r="I305" s="1" t="s">
        <v>775</v>
      </c>
      <c r="J305" s="1" t="s">
        <v>776</v>
      </c>
      <c r="K305" s="1" t="s">
        <v>550</v>
      </c>
      <c r="L305" s="2"/>
      <c r="M305" s="1">
        <v>10351</v>
      </c>
      <c r="N305" s="1" t="s">
        <v>551</v>
      </c>
      <c r="O305" s="11" t="s">
        <v>745</v>
      </c>
      <c r="P305" s="3"/>
    </row>
    <row r="306" spans="1:16">
      <c r="A306" s="6">
        <v>10554</v>
      </c>
      <c r="B306" s="6">
        <v>56</v>
      </c>
      <c r="C306" s="6">
        <v>4</v>
      </c>
      <c r="D306" s="8">
        <v>39232</v>
      </c>
      <c r="E306" s="8">
        <v>39260</v>
      </c>
      <c r="F306" s="8">
        <v>39238</v>
      </c>
      <c r="G306" s="6">
        <v>3</v>
      </c>
      <c r="H306" s="1">
        <v>120.97</v>
      </c>
      <c r="I306" s="1" t="s">
        <v>1040</v>
      </c>
      <c r="J306" s="1" t="s">
        <v>1041</v>
      </c>
      <c r="K306" s="1" t="s">
        <v>378</v>
      </c>
      <c r="L306" s="2"/>
      <c r="M306" s="1">
        <v>10260</v>
      </c>
      <c r="N306" s="1" t="s">
        <v>36</v>
      </c>
      <c r="O306" s="11" t="s">
        <v>745</v>
      </c>
      <c r="P306" s="3"/>
    </row>
    <row r="307" spans="1:16">
      <c r="A307" s="6">
        <v>10555</v>
      </c>
      <c r="B307" s="6">
        <v>71</v>
      </c>
      <c r="C307" s="6">
        <v>6</v>
      </c>
      <c r="D307" s="8">
        <v>39235</v>
      </c>
      <c r="E307" s="8">
        <v>39263</v>
      </c>
      <c r="F307" s="8">
        <v>39237</v>
      </c>
      <c r="G307" s="6">
        <v>3</v>
      </c>
      <c r="H307" s="1">
        <v>252.49</v>
      </c>
      <c r="I307" s="1" t="s">
        <v>936</v>
      </c>
      <c r="J307" s="1" t="s">
        <v>937</v>
      </c>
      <c r="K307" s="1" t="s">
        <v>458</v>
      </c>
      <c r="L307" s="1" t="s">
        <v>459</v>
      </c>
      <c r="M307" s="1">
        <v>10306</v>
      </c>
      <c r="N307" s="1" t="s">
        <v>229</v>
      </c>
      <c r="O307" s="11" t="s">
        <v>745</v>
      </c>
      <c r="P307" s="3"/>
    </row>
    <row r="308" spans="1:16">
      <c r="A308" s="6">
        <v>10556</v>
      </c>
      <c r="B308" s="6">
        <v>73</v>
      </c>
      <c r="C308" s="6">
        <v>2</v>
      </c>
      <c r="D308" s="8">
        <v>39236</v>
      </c>
      <c r="E308" s="8">
        <v>39278</v>
      </c>
      <c r="F308" s="8">
        <v>39246</v>
      </c>
      <c r="G308" s="6">
        <v>1</v>
      </c>
      <c r="H308" s="1">
        <v>9.8000000000000007</v>
      </c>
      <c r="I308" s="1" t="s">
        <v>876</v>
      </c>
      <c r="J308" s="1" t="s">
        <v>877</v>
      </c>
      <c r="K308" s="1" t="s">
        <v>469</v>
      </c>
      <c r="L308" s="2"/>
      <c r="M308" s="1">
        <v>10310</v>
      </c>
      <c r="N308" s="1" t="s">
        <v>470</v>
      </c>
      <c r="O308" s="11" t="s">
        <v>745</v>
      </c>
      <c r="P308" s="3"/>
    </row>
    <row r="309" spans="1:16">
      <c r="A309" s="6">
        <v>10557</v>
      </c>
      <c r="B309" s="6">
        <v>44</v>
      </c>
      <c r="C309" s="6">
        <v>9</v>
      </c>
      <c r="D309" s="8">
        <v>39236</v>
      </c>
      <c r="E309" s="8">
        <v>39250</v>
      </c>
      <c r="F309" s="8">
        <v>39239</v>
      </c>
      <c r="G309" s="6">
        <v>2</v>
      </c>
      <c r="H309" s="1">
        <v>96.72</v>
      </c>
      <c r="I309" s="1" t="s">
        <v>1065</v>
      </c>
      <c r="J309" s="1" t="s">
        <v>1066</v>
      </c>
      <c r="K309" s="1" t="s">
        <v>306</v>
      </c>
      <c r="L309" s="2"/>
      <c r="M309" s="1">
        <v>10224</v>
      </c>
      <c r="N309" s="1" t="s">
        <v>36</v>
      </c>
      <c r="O309" s="11" t="s">
        <v>745</v>
      </c>
      <c r="P309" s="3"/>
    </row>
    <row r="310" spans="1:16">
      <c r="A310" s="6">
        <v>10558</v>
      </c>
      <c r="B310" s="6">
        <v>4</v>
      </c>
      <c r="C310" s="6">
        <v>1</v>
      </c>
      <c r="D310" s="8">
        <v>39237</v>
      </c>
      <c r="E310" s="8">
        <v>39265</v>
      </c>
      <c r="F310" s="8">
        <v>39243</v>
      </c>
      <c r="G310" s="6">
        <v>2</v>
      </c>
      <c r="H310" s="1">
        <v>72.97</v>
      </c>
      <c r="I310" s="1" t="s">
        <v>922</v>
      </c>
      <c r="J310" s="1" t="s">
        <v>923</v>
      </c>
      <c r="K310" s="1" t="s">
        <v>892</v>
      </c>
      <c r="L310" s="1" t="s">
        <v>893</v>
      </c>
      <c r="M310" s="1">
        <v>10239</v>
      </c>
      <c r="N310" s="1" t="s">
        <v>55</v>
      </c>
      <c r="O310" s="11" t="s">
        <v>745</v>
      </c>
      <c r="P310" s="3"/>
    </row>
    <row r="311" spans="1:16">
      <c r="A311" s="6">
        <v>10559</v>
      </c>
      <c r="B311" s="6">
        <v>7</v>
      </c>
      <c r="C311" s="6">
        <v>6</v>
      </c>
      <c r="D311" s="8">
        <v>39238</v>
      </c>
      <c r="E311" s="8">
        <v>39266</v>
      </c>
      <c r="F311" s="8">
        <v>39246</v>
      </c>
      <c r="G311" s="6">
        <v>1</v>
      </c>
      <c r="H311" s="1">
        <v>8.0500000000000007</v>
      </c>
      <c r="I311" s="1" t="s">
        <v>1067</v>
      </c>
      <c r="J311" s="1" t="s">
        <v>1068</v>
      </c>
      <c r="K311" s="1" t="s">
        <v>76</v>
      </c>
      <c r="L311" s="2"/>
      <c r="M311" s="1">
        <v>10330</v>
      </c>
      <c r="N311" s="1" t="s">
        <v>77</v>
      </c>
      <c r="O311" s="11" t="s">
        <v>745</v>
      </c>
      <c r="P311" s="3"/>
    </row>
    <row r="312" spans="1:16">
      <c r="A312" s="6">
        <v>10560</v>
      </c>
      <c r="B312" s="6">
        <v>25</v>
      </c>
      <c r="C312" s="6">
        <v>8</v>
      </c>
      <c r="D312" s="8">
        <v>39239</v>
      </c>
      <c r="E312" s="8">
        <v>39267</v>
      </c>
      <c r="F312" s="8">
        <v>39242</v>
      </c>
      <c r="G312" s="6">
        <v>1</v>
      </c>
      <c r="H312" s="1">
        <v>36.65</v>
      </c>
      <c r="I312" s="1" t="s">
        <v>869</v>
      </c>
      <c r="J312" s="1" t="s">
        <v>870</v>
      </c>
      <c r="K312" s="1" t="s">
        <v>186</v>
      </c>
      <c r="L312" s="2"/>
      <c r="M312" s="1">
        <v>10169</v>
      </c>
      <c r="N312" s="1" t="s">
        <v>36</v>
      </c>
      <c r="O312" s="11" t="s">
        <v>745</v>
      </c>
      <c r="P312" s="3"/>
    </row>
    <row r="313" spans="1:16">
      <c r="A313" s="6">
        <v>10561</v>
      </c>
      <c r="B313" s="6">
        <v>24</v>
      </c>
      <c r="C313" s="6">
        <v>2</v>
      </c>
      <c r="D313" s="8">
        <v>39239</v>
      </c>
      <c r="E313" s="8">
        <v>39267</v>
      </c>
      <c r="F313" s="8">
        <v>39242</v>
      </c>
      <c r="G313" s="6">
        <v>2</v>
      </c>
      <c r="H313" s="1">
        <v>242.21</v>
      </c>
      <c r="I313" s="1" t="s">
        <v>998</v>
      </c>
      <c r="J313" s="1" t="s">
        <v>999</v>
      </c>
      <c r="K313" s="1" t="s">
        <v>181</v>
      </c>
      <c r="L313" s="2"/>
      <c r="M313" s="1">
        <v>10166</v>
      </c>
      <c r="N313" s="1" t="s">
        <v>63</v>
      </c>
      <c r="O313" s="11" t="s">
        <v>745</v>
      </c>
      <c r="P313" s="3"/>
    </row>
    <row r="314" spans="1:16">
      <c r="A314" s="6">
        <v>10562</v>
      </c>
      <c r="B314" s="6">
        <v>66</v>
      </c>
      <c r="C314" s="6">
        <v>1</v>
      </c>
      <c r="D314" s="8">
        <v>39242</v>
      </c>
      <c r="E314" s="8">
        <v>39270</v>
      </c>
      <c r="F314" s="8">
        <v>39245</v>
      </c>
      <c r="G314" s="6">
        <v>1</v>
      </c>
      <c r="H314" s="1">
        <v>22.95</v>
      </c>
      <c r="I314" s="1" t="s">
        <v>1069</v>
      </c>
      <c r="J314" s="1" t="s">
        <v>1070</v>
      </c>
      <c r="K314" s="1" t="s">
        <v>431</v>
      </c>
      <c r="L314" s="2"/>
      <c r="M314" s="1">
        <v>10289</v>
      </c>
      <c r="N314" s="1" t="s">
        <v>198</v>
      </c>
      <c r="O314" s="11" t="s">
        <v>745</v>
      </c>
      <c r="P314" s="3"/>
    </row>
    <row r="315" spans="1:16">
      <c r="A315" s="6">
        <v>10563</v>
      </c>
      <c r="B315" s="6">
        <v>67</v>
      </c>
      <c r="C315" s="6">
        <v>2</v>
      </c>
      <c r="D315" s="8">
        <v>39243</v>
      </c>
      <c r="E315" s="8">
        <v>39285</v>
      </c>
      <c r="F315" s="8">
        <v>39257</v>
      </c>
      <c r="G315" s="6">
        <v>2</v>
      </c>
      <c r="H315" s="1">
        <v>60.43</v>
      </c>
      <c r="I315" s="1" t="s">
        <v>1071</v>
      </c>
      <c r="J315" s="1" t="s">
        <v>1072</v>
      </c>
      <c r="K315" s="1" t="s">
        <v>242</v>
      </c>
      <c r="L315" s="1" t="s">
        <v>243</v>
      </c>
      <c r="M315" s="1">
        <v>10292</v>
      </c>
      <c r="N315" s="1" t="s">
        <v>129</v>
      </c>
      <c r="O315" s="11" t="s">
        <v>745</v>
      </c>
      <c r="P315" s="3"/>
    </row>
    <row r="316" spans="1:16">
      <c r="A316" s="6">
        <v>10564</v>
      </c>
      <c r="B316" s="6">
        <v>65</v>
      </c>
      <c r="C316" s="6">
        <v>4</v>
      </c>
      <c r="D316" s="8">
        <v>39243</v>
      </c>
      <c r="E316" s="8">
        <v>39271</v>
      </c>
      <c r="F316" s="8">
        <v>39249</v>
      </c>
      <c r="G316" s="6">
        <v>3</v>
      </c>
      <c r="H316" s="1">
        <v>13.75</v>
      </c>
      <c r="I316" s="1" t="s">
        <v>767</v>
      </c>
      <c r="J316" s="1" t="s">
        <v>768</v>
      </c>
      <c r="K316" s="1" t="s">
        <v>424</v>
      </c>
      <c r="L316" s="1" t="s">
        <v>425</v>
      </c>
      <c r="M316" s="1">
        <v>10286</v>
      </c>
      <c r="N316" s="1" t="s">
        <v>229</v>
      </c>
      <c r="O316" s="11" t="s">
        <v>745</v>
      </c>
      <c r="P316" s="3"/>
    </row>
    <row r="317" spans="1:16">
      <c r="A317" s="6">
        <v>10565</v>
      </c>
      <c r="B317" s="6">
        <v>51</v>
      </c>
      <c r="C317" s="6">
        <v>8</v>
      </c>
      <c r="D317" s="8">
        <v>39244</v>
      </c>
      <c r="E317" s="8">
        <v>39272</v>
      </c>
      <c r="F317" s="8">
        <v>39251</v>
      </c>
      <c r="G317" s="6">
        <v>2</v>
      </c>
      <c r="H317" s="1">
        <v>7.15</v>
      </c>
      <c r="I317" s="1" t="s">
        <v>873</v>
      </c>
      <c r="J317" s="1" t="s">
        <v>350</v>
      </c>
      <c r="K317" s="1" t="s">
        <v>351</v>
      </c>
      <c r="L317" s="1" t="s">
        <v>352</v>
      </c>
      <c r="M317" s="1">
        <v>10246</v>
      </c>
      <c r="N317" s="1" t="s">
        <v>99</v>
      </c>
      <c r="O317" s="11" t="s">
        <v>745</v>
      </c>
      <c r="P317" s="3"/>
    </row>
    <row r="318" spans="1:16">
      <c r="A318" s="6">
        <v>10566</v>
      </c>
      <c r="B318" s="6">
        <v>7</v>
      </c>
      <c r="C318" s="6">
        <v>9</v>
      </c>
      <c r="D318" s="8">
        <v>39245</v>
      </c>
      <c r="E318" s="8">
        <v>39273</v>
      </c>
      <c r="F318" s="8">
        <v>39251</v>
      </c>
      <c r="G318" s="6">
        <v>1</v>
      </c>
      <c r="H318" s="1">
        <v>88.4</v>
      </c>
      <c r="I318" s="1" t="s">
        <v>826</v>
      </c>
      <c r="J318" s="1" t="s">
        <v>75</v>
      </c>
      <c r="K318" s="1" t="s">
        <v>76</v>
      </c>
      <c r="L318" s="2"/>
      <c r="M318" s="1">
        <v>10331</v>
      </c>
      <c r="N318" s="1" t="s">
        <v>77</v>
      </c>
      <c r="O318" s="11" t="s">
        <v>745</v>
      </c>
      <c r="P318" s="3"/>
    </row>
    <row r="319" spans="1:16">
      <c r="A319" s="6">
        <v>10567</v>
      </c>
      <c r="B319" s="6">
        <v>37</v>
      </c>
      <c r="C319" s="6">
        <v>1</v>
      </c>
      <c r="D319" s="8">
        <v>39245</v>
      </c>
      <c r="E319" s="8">
        <v>39273</v>
      </c>
      <c r="F319" s="8">
        <v>39250</v>
      </c>
      <c r="G319" s="6">
        <v>1</v>
      </c>
      <c r="H319" s="1">
        <v>33.97</v>
      </c>
      <c r="I319" s="1" t="s">
        <v>972</v>
      </c>
      <c r="J319" s="1" t="s">
        <v>973</v>
      </c>
      <c r="K319" s="1" t="s">
        <v>262</v>
      </c>
      <c r="L319" s="1" t="s">
        <v>263</v>
      </c>
      <c r="M319" s="1">
        <v>10204</v>
      </c>
      <c r="N319" s="1" t="s">
        <v>264</v>
      </c>
      <c r="O319" s="11" t="s">
        <v>745</v>
      </c>
      <c r="P319" s="3"/>
    </row>
    <row r="320" spans="1:16">
      <c r="A320" s="6">
        <v>10568</v>
      </c>
      <c r="B320" s="6">
        <v>29</v>
      </c>
      <c r="C320" s="6">
        <v>3</v>
      </c>
      <c r="D320" s="8">
        <v>39246</v>
      </c>
      <c r="E320" s="8">
        <v>39274</v>
      </c>
      <c r="F320" s="8">
        <v>39272</v>
      </c>
      <c r="G320" s="6">
        <v>3</v>
      </c>
      <c r="H320" s="1">
        <v>6.54</v>
      </c>
      <c r="I320" s="1" t="s">
        <v>910</v>
      </c>
      <c r="J320" s="1" t="s">
        <v>911</v>
      </c>
      <c r="K320" s="1" t="s">
        <v>211</v>
      </c>
      <c r="L320" s="2"/>
      <c r="M320" s="1">
        <v>10178</v>
      </c>
      <c r="N320" s="1" t="s">
        <v>84</v>
      </c>
      <c r="O320" s="11" t="s">
        <v>745</v>
      </c>
      <c r="P320" s="3"/>
    </row>
    <row r="321" spans="1:16">
      <c r="A321" s="6">
        <v>10569</v>
      </c>
      <c r="B321" s="6">
        <v>65</v>
      </c>
      <c r="C321" s="6">
        <v>5</v>
      </c>
      <c r="D321" s="8">
        <v>39249</v>
      </c>
      <c r="E321" s="8">
        <v>39277</v>
      </c>
      <c r="F321" s="8">
        <v>39274</v>
      </c>
      <c r="G321" s="6">
        <v>1</v>
      </c>
      <c r="H321" s="1">
        <v>58.98</v>
      </c>
      <c r="I321" s="1" t="s">
        <v>767</v>
      </c>
      <c r="J321" s="1" t="s">
        <v>768</v>
      </c>
      <c r="K321" s="1" t="s">
        <v>424</v>
      </c>
      <c r="L321" s="1" t="s">
        <v>425</v>
      </c>
      <c r="M321" s="1">
        <v>10286</v>
      </c>
      <c r="N321" s="1" t="s">
        <v>229</v>
      </c>
      <c r="O321" s="11" t="s">
        <v>745</v>
      </c>
      <c r="P321" s="3"/>
    </row>
    <row r="322" spans="1:16">
      <c r="A322" s="6">
        <v>10570</v>
      </c>
      <c r="B322" s="6">
        <v>51</v>
      </c>
      <c r="C322" s="6">
        <v>3</v>
      </c>
      <c r="D322" s="8">
        <v>39250</v>
      </c>
      <c r="E322" s="8">
        <v>39278</v>
      </c>
      <c r="F322" s="8">
        <v>39252</v>
      </c>
      <c r="G322" s="6">
        <v>3</v>
      </c>
      <c r="H322" s="1">
        <v>188.99</v>
      </c>
      <c r="I322" s="1" t="s">
        <v>873</v>
      </c>
      <c r="J322" s="1" t="s">
        <v>350</v>
      </c>
      <c r="K322" s="1" t="s">
        <v>351</v>
      </c>
      <c r="L322" s="1" t="s">
        <v>352</v>
      </c>
      <c r="M322" s="1">
        <v>10246</v>
      </c>
      <c r="N322" s="1" t="s">
        <v>99</v>
      </c>
      <c r="O322" s="11" t="s">
        <v>745</v>
      </c>
      <c r="P322" s="3"/>
    </row>
    <row r="323" spans="1:16">
      <c r="A323" s="6">
        <v>10571</v>
      </c>
      <c r="B323" s="6">
        <v>20</v>
      </c>
      <c r="C323" s="6">
        <v>8</v>
      </c>
      <c r="D323" s="8">
        <v>39250</v>
      </c>
      <c r="E323" s="8">
        <v>39292</v>
      </c>
      <c r="F323" s="8">
        <v>39267</v>
      </c>
      <c r="G323" s="6">
        <v>3</v>
      </c>
      <c r="H323" s="1">
        <v>26.06</v>
      </c>
      <c r="I323" s="1" t="s">
        <v>760</v>
      </c>
      <c r="J323" s="1" t="s">
        <v>156</v>
      </c>
      <c r="K323" s="1" t="s">
        <v>157</v>
      </c>
      <c r="L323" s="2"/>
      <c r="M323" s="1">
        <v>10157</v>
      </c>
      <c r="N323" s="1" t="s">
        <v>158</v>
      </c>
      <c r="O323" s="11" t="s">
        <v>745</v>
      </c>
      <c r="P323" s="3"/>
    </row>
    <row r="324" spans="1:16">
      <c r="A324" s="6">
        <v>10572</v>
      </c>
      <c r="B324" s="6">
        <v>5</v>
      </c>
      <c r="C324" s="6">
        <v>3</v>
      </c>
      <c r="D324" s="8">
        <v>39251</v>
      </c>
      <c r="E324" s="8">
        <v>39279</v>
      </c>
      <c r="F324" s="8">
        <v>39258</v>
      </c>
      <c r="G324" s="6">
        <v>2</v>
      </c>
      <c r="H324" s="1">
        <v>116.43</v>
      </c>
      <c r="I324" s="1" t="s">
        <v>800</v>
      </c>
      <c r="J324" s="1" t="s">
        <v>801</v>
      </c>
      <c r="K324" s="1" t="s">
        <v>62</v>
      </c>
      <c r="L324" s="2"/>
      <c r="M324" s="1">
        <v>10268</v>
      </c>
      <c r="N324" s="1" t="s">
        <v>63</v>
      </c>
      <c r="O324" s="11" t="s">
        <v>745</v>
      </c>
      <c r="P324" s="3"/>
    </row>
    <row r="325" spans="1:16">
      <c r="A325" s="6">
        <v>10573</v>
      </c>
      <c r="B325" s="6">
        <v>3</v>
      </c>
      <c r="C325" s="6">
        <v>7</v>
      </c>
      <c r="D325" s="8">
        <v>39252</v>
      </c>
      <c r="E325" s="8">
        <v>39280</v>
      </c>
      <c r="F325" s="8">
        <v>39253</v>
      </c>
      <c r="G325" s="6">
        <v>3</v>
      </c>
      <c r="H325" s="1">
        <v>84.84</v>
      </c>
      <c r="I325" s="1" t="s">
        <v>1073</v>
      </c>
      <c r="J325" s="1" t="s">
        <v>1074</v>
      </c>
      <c r="K325" s="1" t="s">
        <v>43</v>
      </c>
      <c r="L325" s="2"/>
      <c r="M325" s="1">
        <v>10212</v>
      </c>
      <c r="N325" s="1" t="s">
        <v>44</v>
      </c>
      <c r="O325" s="11" t="s">
        <v>745</v>
      </c>
      <c r="P325" s="3"/>
    </row>
    <row r="326" spans="1:16">
      <c r="A326" s="6">
        <v>10574</v>
      </c>
      <c r="B326" s="6">
        <v>82</v>
      </c>
      <c r="C326" s="6">
        <v>4</v>
      </c>
      <c r="D326" s="8">
        <v>39252</v>
      </c>
      <c r="E326" s="8">
        <v>39280</v>
      </c>
      <c r="F326" s="8">
        <v>39263</v>
      </c>
      <c r="G326" s="6">
        <v>2</v>
      </c>
      <c r="H326" s="1">
        <v>37.6</v>
      </c>
      <c r="I326" s="1" t="s">
        <v>1075</v>
      </c>
      <c r="J326" s="1" t="s">
        <v>1076</v>
      </c>
      <c r="K326" s="1" t="s">
        <v>520</v>
      </c>
      <c r="L326" s="1" t="s">
        <v>300</v>
      </c>
      <c r="M326" s="1">
        <v>10337</v>
      </c>
      <c r="N326" s="1" t="s">
        <v>229</v>
      </c>
      <c r="O326" s="11" t="s">
        <v>745</v>
      </c>
      <c r="P326" s="3"/>
    </row>
    <row r="327" spans="1:16">
      <c r="A327" s="6">
        <v>10575</v>
      </c>
      <c r="B327" s="6">
        <v>52</v>
      </c>
      <c r="C327" s="6">
        <v>5</v>
      </c>
      <c r="D327" s="8">
        <v>39253</v>
      </c>
      <c r="E327" s="8">
        <v>39267</v>
      </c>
      <c r="F327" s="8">
        <v>39263</v>
      </c>
      <c r="G327" s="6">
        <v>1</v>
      </c>
      <c r="H327" s="1">
        <v>127.34</v>
      </c>
      <c r="I327" s="1" t="s">
        <v>1077</v>
      </c>
      <c r="J327" s="1" t="s">
        <v>1078</v>
      </c>
      <c r="K327" s="1" t="s">
        <v>358</v>
      </c>
      <c r="L327" s="2"/>
      <c r="M327" s="1">
        <v>10249</v>
      </c>
      <c r="N327" s="1" t="s">
        <v>36</v>
      </c>
      <c r="O327" s="11" t="s">
        <v>745</v>
      </c>
      <c r="P327" s="3"/>
    </row>
    <row r="328" spans="1:16">
      <c r="A328" s="6">
        <v>10576</v>
      </c>
      <c r="B328" s="6">
        <v>80</v>
      </c>
      <c r="C328" s="6">
        <v>3</v>
      </c>
      <c r="D328" s="8">
        <v>39256</v>
      </c>
      <c r="E328" s="8">
        <v>39270</v>
      </c>
      <c r="F328" s="8">
        <v>39263</v>
      </c>
      <c r="G328" s="6">
        <v>3</v>
      </c>
      <c r="H328" s="1">
        <v>18.559999999999999</v>
      </c>
      <c r="I328" s="1" t="s">
        <v>792</v>
      </c>
      <c r="J328" s="1" t="s">
        <v>793</v>
      </c>
      <c r="K328" s="1" t="s">
        <v>43</v>
      </c>
      <c r="L328" s="2"/>
      <c r="M328" s="1">
        <v>10334</v>
      </c>
      <c r="N328" s="1" t="s">
        <v>44</v>
      </c>
      <c r="O328" s="11" t="s">
        <v>745</v>
      </c>
      <c r="P328" s="3"/>
    </row>
    <row r="329" spans="1:16">
      <c r="A329" s="6">
        <v>10577</v>
      </c>
      <c r="B329" s="6">
        <v>82</v>
      </c>
      <c r="C329" s="6">
        <v>9</v>
      </c>
      <c r="D329" s="8">
        <v>39256</v>
      </c>
      <c r="E329" s="8">
        <v>39298</v>
      </c>
      <c r="F329" s="8">
        <v>39263</v>
      </c>
      <c r="G329" s="6">
        <v>2</v>
      </c>
      <c r="H329" s="1">
        <v>25.41</v>
      </c>
      <c r="I329" s="1" t="s">
        <v>1079</v>
      </c>
      <c r="J329" s="1" t="s">
        <v>1080</v>
      </c>
      <c r="K329" s="1" t="s">
        <v>520</v>
      </c>
      <c r="L329" s="1" t="s">
        <v>300</v>
      </c>
      <c r="M329" s="1">
        <v>10338</v>
      </c>
      <c r="N329" s="1" t="s">
        <v>229</v>
      </c>
      <c r="O329" s="11" t="s">
        <v>745</v>
      </c>
      <c r="P329" s="3"/>
    </row>
    <row r="330" spans="1:16">
      <c r="A330" s="6">
        <v>10578</v>
      </c>
      <c r="B330" s="6">
        <v>11</v>
      </c>
      <c r="C330" s="6">
        <v>4</v>
      </c>
      <c r="D330" s="8">
        <v>39257</v>
      </c>
      <c r="E330" s="8">
        <v>39285</v>
      </c>
      <c r="F330" s="8">
        <v>39288</v>
      </c>
      <c r="G330" s="6">
        <v>3</v>
      </c>
      <c r="H330" s="1">
        <v>29.6</v>
      </c>
      <c r="I330" s="1" t="s">
        <v>1010</v>
      </c>
      <c r="J330" s="1" t="s">
        <v>1011</v>
      </c>
      <c r="K330" s="1" t="s">
        <v>54</v>
      </c>
      <c r="L330" s="2"/>
      <c r="M330" s="1">
        <v>10133</v>
      </c>
      <c r="N330" s="1" t="s">
        <v>55</v>
      </c>
      <c r="O330" s="11" t="s">
        <v>745</v>
      </c>
      <c r="P330" s="3"/>
    </row>
    <row r="331" spans="1:16">
      <c r="A331" s="6">
        <v>10579</v>
      </c>
      <c r="B331" s="6">
        <v>45</v>
      </c>
      <c r="C331" s="6">
        <v>1</v>
      </c>
      <c r="D331" s="8">
        <v>39258</v>
      </c>
      <c r="E331" s="8">
        <v>39286</v>
      </c>
      <c r="F331" s="8">
        <v>39267</v>
      </c>
      <c r="G331" s="6">
        <v>2</v>
      </c>
      <c r="H331" s="1">
        <v>13.73</v>
      </c>
      <c r="I331" s="1" t="s">
        <v>1081</v>
      </c>
      <c r="J331" s="1" t="s">
        <v>1082</v>
      </c>
      <c r="K331" s="1" t="s">
        <v>312</v>
      </c>
      <c r="L331" s="1" t="s">
        <v>313</v>
      </c>
      <c r="M331" s="1">
        <v>10226</v>
      </c>
      <c r="N331" s="1" t="s">
        <v>229</v>
      </c>
      <c r="O331" s="11" t="s">
        <v>745</v>
      </c>
      <c r="P331" s="3"/>
    </row>
    <row r="332" spans="1:16">
      <c r="A332" s="6">
        <v>10580</v>
      </c>
      <c r="B332" s="6">
        <v>56</v>
      </c>
      <c r="C332" s="6">
        <v>4</v>
      </c>
      <c r="D332" s="8">
        <v>39259</v>
      </c>
      <c r="E332" s="8">
        <v>39287</v>
      </c>
      <c r="F332" s="8">
        <v>39264</v>
      </c>
      <c r="G332" s="6">
        <v>3</v>
      </c>
      <c r="H332" s="1">
        <v>75.89</v>
      </c>
      <c r="I332" s="1" t="s">
        <v>1040</v>
      </c>
      <c r="J332" s="1" t="s">
        <v>1041</v>
      </c>
      <c r="K332" s="1" t="s">
        <v>378</v>
      </c>
      <c r="L332" s="2"/>
      <c r="M332" s="1">
        <v>10260</v>
      </c>
      <c r="N332" s="1" t="s">
        <v>36</v>
      </c>
      <c r="O332" s="11" t="s">
        <v>745</v>
      </c>
      <c r="P332" s="3"/>
    </row>
    <row r="333" spans="1:16">
      <c r="A333" s="6">
        <v>10581</v>
      </c>
      <c r="B333" s="6">
        <v>21</v>
      </c>
      <c r="C333" s="6">
        <v>3</v>
      </c>
      <c r="D333" s="8">
        <v>39259</v>
      </c>
      <c r="E333" s="8">
        <v>39287</v>
      </c>
      <c r="F333" s="8">
        <v>39265</v>
      </c>
      <c r="G333" s="6">
        <v>1</v>
      </c>
      <c r="H333" s="1">
        <v>3.01</v>
      </c>
      <c r="I333" s="1" t="s">
        <v>957</v>
      </c>
      <c r="J333" s="1" t="s">
        <v>164</v>
      </c>
      <c r="K333" s="1" t="s">
        <v>127</v>
      </c>
      <c r="L333" s="1" t="s">
        <v>128</v>
      </c>
      <c r="M333" s="1">
        <v>10161</v>
      </c>
      <c r="N333" s="1" t="s">
        <v>129</v>
      </c>
      <c r="O333" s="11" t="s">
        <v>745</v>
      </c>
      <c r="P333" s="3"/>
    </row>
    <row r="334" spans="1:16">
      <c r="A334" s="6">
        <v>10582</v>
      </c>
      <c r="B334" s="6">
        <v>6</v>
      </c>
      <c r="C334" s="6">
        <v>3</v>
      </c>
      <c r="D334" s="8">
        <v>39260</v>
      </c>
      <c r="E334" s="8">
        <v>39288</v>
      </c>
      <c r="F334" s="8">
        <v>39277</v>
      </c>
      <c r="G334" s="6">
        <v>2</v>
      </c>
      <c r="H334" s="1">
        <v>27.71</v>
      </c>
      <c r="I334" s="1" t="s">
        <v>1042</v>
      </c>
      <c r="J334" s="1" t="s">
        <v>1043</v>
      </c>
      <c r="K334" s="1" t="s">
        <v>69</v>
      </c>
      <c r="L334" s="2"/>
      <c r="M334" s="1">
        <v>10300</v>
      </c>
      <c r="N334" s="1" t="s">
        <v>36</v>
      </c>
      <c r="O334" s="11" t="s">
        <v>745</v>
      </c>
      <c r="P334" s="3"/>
    </row>
    <row r="335" spans="1:16">
      <c r="A335" s="6">
        <v>10583</v>
      </c>
      <c r="B335" s="6">
        <v>87</v>
      </c>
      <c r="C335" s="6">
        <v>2</v>
      </c>
      <c r="D335" s="8">
        <v>39263</v>
      </c>
      <c r="E335" s="8">
        <v>39291</v>
      </c>
      <c r="F335" s="8">
        <v>39267</v>
      </c>
      <c r="G335" s="6">
        <v>2</v>
      </c>
      <c r="H335" s="1">
        <v>7.28</v>
      </c>
      <c r="I335" s="1" t="s">
        <v>863</v>
      </c>
      <c r="J335" s="1" t="s">
        <v>864</v>
      </c>
      <c r="K335" s="1" t="s">
        <v>550</v>
      </c>
      <c r="L335" s="2"/>
      <c r="M335" s="1">
        <v>10352</v>
      </c>
      <c r="N335" s="1" t="s">
        <v>551</v>
      </c>
      <c r="O335" s="11" t="s">
        <v>745</v>
      </c>
      <c r="P335" s="3"/>
    </row>
    <row r="336" spans="1:16">
      <c r="A336" s="6">
        <v>10584</v>
      </c>
      <c r="B336" s="6">
        <v>7</v>
      </c>
      <c r="C336" s="6">
        <v>4</v>
      </c>
      <c r="D336" s="8">
        <v>39263</v>
      </c>
      <c r="E336" s="8">
        <v>39291</v>
      </c>
      <c r="F336" s="8">
        <v>39267</v>
      </c>
      <c r="G336" s="6">
        <v>1</v>
      </c>
      <c r="H336" s="1">
        <v>59.14</v>
      </c>
      <c r="I336" s="1" t="s">
        <v>1067</v>
      </c>
      <c r="J336" s="1" t="s">
        <v>1068</v>
      </c>
      <c r="K336" s="1" t="s">
        <v>76</v>
      </c>
      <c r="L336" s="2"/>
      <c r="M336" s="1">
        <v>10330</v>
      </c>
      <c r="N336" s="1" t="s">
        <v>77</v>
      </c>
      <c r="O336" s="11" t="s">
        <v>745</v>
      </c>
      <c r="P336" s="3"/>
    </row>
    <row r="337" spans="1:16">
      <c r="A337" s="6">
        <v>10585</v>
      </c>
      <c r="B337" s="6">
        <v>88</v>
      </c>
      <c r="C337" s="6">
        <v>7</v>
      </c>
      <c r="D337" s="8">
        <v>39264</v>
      </c>
      <c r="E337" s="8">
        <v>39292</v>
      </c>
      <c r="F337" s="8">
        <v>39273</v>
      </c>
      <c r="G337" s="6">
        <v>1</v>
      </c>
      <c r="H337" s="1">
        <v>13.41</v>
      </c>
      <c r="I337" s="1" t="s">
        <v>1083</v>
      </c>
      <c r="J337" s="1" t="s">
        <v>556</v>
      </c>
      <c r="K337" s="1" t="s">
        <v>557</v>
      </c>
      <c r="L337" s="1" t="s">
        <v>128</v>
      </c>
      <c r="M337" s="1">
        <v>10353</v>
      </c>
      <c r="N337" s="1" t="s">
        <v>129</v>
      </c>
      <c r="O337" s="11" t="s">
        <v>745</v>
      </c>
      <c r="P337" s="3"/>
    </row>
    <row r="338" spans="1:16">
      <c r="A338" s="6">
        <v>10586</v>
      </c>
      <c r="B338" s="6">
        <v>66</v>
      </c>
      <c r="C338" s="6">
        <v>9</v>
      </c>
      <c r="D338" s="8">
        <v>39265</v>
      </c>
      <c r="E338" s="8">
        <v>39293</v>
      </c>
      <c r="F338" s="8">
        <v>39272</v>
      </c>
      <c r="G338" s="6">
        <v>1</v>
      </c>
      <c r="H338" s="1">
        <v>0.48</v>
      </c>
      <c r="I338" s="1" t="s">
        <v>1069</v>
      </c>
      <c r="J338" s="1" t="s">
        <v>1070</v>
      </c>
      <c r="K338" s="1" t="s">
        <v>431</v>
      </c>
      <c r="L338" s="2"/>
      <c r="M338" s="1">
        <v>10289</v>
      </c>
      <c r="N338" s="1" t="s">
        <v>198</v>
      </c>
      <c r="O338" s="11" t="s">
        <v>745</v>
      </c>
      <c r="P338" s="3"/>
    </row>
    <row r="339" spans="1:16">
      <c r="A339" s="6">
        <v>10587</v>
      </c>
      <c r="B339" s="6">
        <v>61</v>
      </c>
      <c r="C339" s="6">
        <v>1</v>
      </c>
      <c r="D339" s="8">
        <v>39265</v>
      </c>
      <c r="E339" s="8">
        <v>39293</v>
      </c>
      <c r="F339" s="8">
        <v>39272</v>
      </c>
      <c r="G339" s="6">
        <v>1</v>
      </c>
      <c r="H339" s="1">
        <v>62.52</v>
      </c>
      <c r="I339" s="1" t="s">
        <v>962</v>
      </c>
      <c r="J339" s="1" t="s">
        <v>963</v>
      </c>
      <c r="K339" s="1" t="s">
        <v>242</v>
      </c>
      <c r="L339" s="1" t="s">
        <v>243</v>
      </c>
      <c r="M339" s="1">
        <v>10275</v>
      </c>
      <c r="N339" s="1" t="s">
        <v>129</v>
      </c>
      <c r="O339" s="11" t="s">
        <v>745</v>
      </c>
      <c r="P339" s="3"/>
    </row>
    <row r="340" spans="1:16">
      <c r="A340" s="6">
        <v>10588</v>
      </c>
      <c r="B340" s="6">
        <v>63</v>
      </c>
      <c r="C340" s="6">
        <v>2</v>
      </c>
      <c r="D340" s="8">
        <v>39266</v>
      </c>
      <c r="E340" s="8">
        <v>39294</v>
      </c>
      <c r="F340" s="8">
        <v>39273</v>
      </c>
      <c r="G340" s="6">
        <v>3</v>
      </c>
      <c r="H340" s="1">
        <v>194.67</v>
      </c>
      <c r="I340" s="1" t="s">
        <v>787</v>
      </c>
      <c r="J340" s="1" t="s">
        <v>412</v>
      </c>
      <c r="K340" s="1" t="s">
        <v>413</v>
      </c>
      <c r="L340" s="2"/>
      <c r="M340" s="1">
        <v>10279</v>
      </c>
      <c r="N340" s="1" t="s">
        <v>36</v>
      </c>
      <c r="O340" s="11" t="s">
        <v>745</v>
      </c>
      <c r="P340" s="3"/>
    </row>
    <row r="341" spans="1:16">
      <c r="A341" s="6">
        <v>10589</v>
      </c>
      <c r="B341" s="6">
        <v>32</v>
      </c>
      <c r="C341" s="6">
        <v>8</v>
      </c>
      <c r="D341" s="8">
        <v>39267</v>
      </c>
      <c r="E341" s="8">
        <v>39295</v>
      </c>
      <c r="F341" s="8">
        <v>39277</v>
      </c>
      <c r="G341" s="6">
        <v>2</v>
      </c>
      <c r="H341" s="1">
        <v>4.42</v>
      </c>
      <c r="I341" s="1" t="s">
        <v>1084</v>
      </c>
      <c r="J341" s="1" t="s">
        <v>1085</v>
      </c>
      <c r="K341" s="1" t="s">
        <v>227</v>
      </c>
      <c r="L341" s="1" t="s">
        <v>228</v>
      </c>
      <c r="M341" s="1">
        <v>10190</v>
      </c>
      <c r="N341" s="1" t="s">
        <v>229</v>
      </c>
      <c r="O341" s="11" t="s">
        <v>745</v>
      </c>
      <c r="P341" s="3"/>
    </row>
    <row r="342" spans="1:16">
      <c r="A342" s="6">
        <v>10590</v>
      </c>
      <c r="B342" s="6">
        <v>51</v>
      </c>
      <c r="C342" s="6">
        <v>4</v>
      </c>
      <c r="D342" s="8">
        <v>39270</v>
      </c>
      <c r="E342" s="8">
        <v>39298</v>
      </c>
      <c r="F342" s="8">
        <v>39277</v>
      </c>
      <c r="G342" s="6">
        <v>3</v>
      </c>
      <c r="H342" s="1">
        <v>44.77</v>
      </c>
      <c r="I342" s="1" t="s">
        <v>861</v>
      </c>
      <c r="J342" s="1" t="s">
        <v>862</v>
      </c>
      <c r="K342" s="1" t="s">
        <v>351</v>
      </c>
      <c r="L342" s="1" t="s">
        <v>352</v>
      </c>
      <c r="M342" s="1">
        <v>10245</v>
      </c>
      <c r="N342" s="1" t="s">
        <v>99</v>
      </c>
      <c r="O342" s="11" t="s">
        <v>745</v>
      </c>
      <c r="P342" s="3"/>
    </row>
    <row r="343" spans="1:16">
      <c r="A343" s="6">
        <v>10591</v>
      </c>
      <c r="B343" s="6">
        <v>83</v>
      </c>
      <c r="C343" s="6">
        <v>1</v>
      </c>
      <c r="D343" s="8">
        <v>39270</v>
      </c>
      <c r="E343" s="8">
        <v>39284</v>
      </c>
      <c r="F343" s="8">
        <v>39279</v>
      </c>
      <c r="G343" s="6">
        <v>1</v>
      </c>
      <c r="H343" s="1">
        <v>55.92</v>
      </c>
      <c r="I343" s="1" t="s">
        <v>1002</v>
      </c>
      <c r="J343" s="1" t="s">
        <v>1003</v>
      </c>
      <c r="K343" s="1" t="s">
        <v>526</v>
      </c>
      <c r="L343" s="2"/>
      <c r="M343" s="1">
        <v>10339</v>
      </c>
      <c r="N343" s="1" t="s">
        <v>470</v>
      </c>
      <c r="O343" s="11" t="s">
        <v>745</v>
      </c>
      <c r="P343" s="3"/>
    </row>
    <row r="344" spans="1:16">
      <c r="A344" s="6">
        <v>10592</v>
      </c>
      <c r="B344" s="6">
        <v>44</v>
      </c>
      <c r="C344" s="6">
        <v>3</v>
      </c>
      <c r="D344" s="8">
        <v>39271</v>
      </c>
      <c r="E344" s="8">
        <v>39299</v>
      </c>
      <c r="F344" s="8">
        <v>39279</v>
      </c>
      <c r="G344" s="6">
        <v>1</v>
      </c>
      <c r="H344" s="1">
        <v>32.1</v>
      </c>
      <c r="I344" s="1" t="s">
        <v>1057</v>
      </c>
      <c r="J344" s="1" t="s">
        <v>1058</v>
      </c>
      <c r="K344" s="1" t="s">
        <v>306</v>
      </c>
      <c r="L344" s="2"/>
      <c r="M344" s="1">
        <v>10223</v>
      </c>
      <c r="N344" s="1" t="s">
        <v>36</v>
      </c>
      <c r="O344" s="11" t="s">
        <v>745</v>
      </c>
      <c r="P344" s="3"/>
    </row>
    <row r="345" spans="1:16">
      <c r="A345" s="6">
        <v>10593</v>
      </c>
      <c r="B345" s="6">
        <v>44</v>
      </c>
      <c r="C345" s="6">
        <v>7</v>
      </c>
      <c r="D345" s="8">
        <v>39272</v>
      </c>
      <c r="E345" s="8">
        <v>39300</v>
      </c>
      <c r="F345" s="8">
        <v>39307</v>
      </c>
      <c r="G345" s="6">
        <v>2</v>
      </c>
      <c r="H345" s="1">
        <v>174.2</v>
      </c>
      <c r="I345" s="1" t="s">
        <v>1065</v>
      </c>
      <c r="J345" s="1" t="s">
        <v>1066</v>
      </c>
      <c r="K345" s="1" t="s">
        <v>306</v>
      </c>
      <c r="L345" s="2"/>
      <c r="M345" s="1">
        <v>10224</v>
      </c>
      <c r="N345" s="1" t="s">
        <v>36</v>
      </c>
      <c r="O345" s="11" t="s">
        <v>745</v>
      </c>
      <c r="P345" s="3"/>
    </row>
    <row r="346" spans="1:16">
      <c r="A346" s="6">
        <v>10594</v>
      </c>
      <c r="B346" s="6">
        <v>55</v>
      </c>
      <c r="C346" s="6">
        <v>3</v>
      </c>
      <c r="D346" s="8">
        <v>39272</v>
      </c>
      <c r="E346" s="8">
        <v>39300</v>
      </c>
      <c r="F346" s="8">
        <v>39279</v>
      </c>
      <c r="G346" s="6">
        <v>2</v>
      </c>
      <c r="H346" s="1">
        <v>5.24</v>
      </c>
      <c r="I346" s="1" t="s">
        <v>833</v>
      </c>
      <c r="J346" s="1" t="s">
        <v>834</v>
      </c>
      <c r="K346" s="1" t="s">
        <v>371</v>
      </c>
      <c r="L346" s="1" t="s">
        <v>372</v>
      </c>
      <c r="M346" s="1">
        <v>10256</v>
      </c>
      <c r="N346" s="1" t="s">
        <v>229</v>
      </c>
      <c r="O346" s="11" t="s">
        <v>745</v>
      </c>
      <c r="P346" s="3"/>
    </row>
    <row r="347" spans="1:16">
      <c r="A347" s="6">
        <v>10595</v>
      </c>
      <c r="B347" s="6">
        <v>20</v>
      </c>
      <c r="C347" s="6">
        <v>2</v>
      </c>
      <c r="D347" s="8">
        <v>39273</v>
      </c>
      <c r="E347" s="8">
        <v>39301</v>
      </c>
      <c r="F347" s="8">
        <v>39277</v>
      </c>
      <c r="G347" s="6">
        <v>1</v>
      </c>
      <c r="H347" s="1">
        <v>96.78</v>
      </c>
      <c r="I347" s="1" t="s">
        <v>974</v>
      </c>
      <c r="J347" s="1" t="s">
        <v>975</v>
      </c>
      <c r="K347" s="1" t="s">
        <v>157</v>
      </c>
      <c r="L347" s="2"/>
      <c r="M347" s="1">
        <v>10159</v>
      </c>
      <c r="N347" s="1" t="s">
        <v>158</v>
      </c>
      <c r="O347" s="11" t="s">
        <v>745</v>
      </c>
      <c r="P347" s="3"/>
    </row>
    <row r="348" spans="1:16">
      <c r="A348" s="6">
        <v>10596</v>
      </c>
      <c r="B348" s="6">
        <v>89</v>
      </c>
      <c r="C348" s="6">
        <v>8</v>
      </c>
      <c r="D348" s="8">
        <v>39274</v>
      </c>
      <c r="E348" s="8">
        <v>39302</v>
      </c>
      <c r="F348" s="8">
        <v>39306</v>
      </c>
      <c r="G348" s="6">
        <v>1</v>
      </c>
      <c r="H348" s="1">
        <v>16.34</v>
      </c>
      <c r="I348" s="1" t="s">
        <v>1008</v>
      </c>
      <c r="J348" s="1" t="s">
        <v>1009</v>
      </c>
      <c r="K348" s="1" t="s">
        <v>562</v>
      </c>
      <c r="L348" s="1" t="s">
        <v>300</v>
      </c>
      <c r="M348" s="1">
        <v>10358</v>
      </c>
      <c r="N348" s="1" t="s">
        <v>229</v>
      </c>
      <c r="O348" s="11" t="s">
        <v>745</v>
      </c>
      <c r="P348" s="3"/>
    </row>
    <row r="349" spans="1:16">
      <c r="A349" s="6">
        <v>10597</v>
      </c>
      <c r="B349" s="6">
        <v>59</v>
      </c>
      <c r="C349" s="6">
        <v>7</v>
      </c>
      <c r="D349" s="8">
        <v>39274</v>
      </c>
      <c r="E349" s="8">
        <v>39302</v>
      </c>
      <c r="F349" s="8">
        <v>39281</v>
      </c>
      <c r="G349" s="6">
        <v>3</v>
      </c>
      <c r="H349" s="1">
        <v>35.119999999999997</v>
      </c>
      <c r="I349" s="1" t="s">
        <v>886</v>
      </c>
      <c r="J349" s="1" t="s">
        <v>887</v>
      </c>
      <c r="K349" s="1" t="s">
        <v>394</v>
      </c>
      <c r="L349" s="2"/>
      <c r="M349" s="1">
        <v>10265</v>
      </c>
      <c r="N349" s="1" t="s">
        <v>158</v>
      </c>
      <c r="O349" s="11" t="s">
        <v>745</v>
      </c>
      <c r="P349" s="3"/>
    </row>
    <row r="350" spans="1:16">
      <c r="A350" s="6">
        <v>10598</v>
      </c>
      <c r="B350" s="6">
        <v>65</v>
      </c>
      <c r="C350" s="6">
        <v>1</v>
      </c>
      <c r="D350" s="8">
        <v>39277</v>
      </c>
      <c r="E350" s="8">
        <v>39305</v>
      </c>
      <c r="F350" s="8">
        <v>39281</v>
      </c>
      <c r="G350" s="6">
        <v>3</v>
      </c>
      <c r="H350" s="1">
        <v>44.42</v>
      </c>
      <c r="I350" s="1" t="s">
        <v>1018</v>
      </c>
      <c r="J350" s="1" t="s">
        <v>1019</v>
      </c>
      <c r="K350" s="1" t="s">
        <v>424</v>
      </c>
      <c r="L350" s="1" t="s">
        <v>425</v>
      </c>
      <c r="M350" s="1">
        <v>10287</v>
      </c>
      <c r="N350" s="1" t="s">
        <v>229</v>
      </c>
      <c r="O350" s="11" t="s">
        <v>745</v>
      </c>
      <c r="P350" s="3"/>
    </row>
    <row r="351" spans="1:16">
      <c r="A351" s="6">
        <v>10599</v>
      </c>
      <c r="B351" s="6">
        <v>11</v>
      </c>
      <c r="C351" s="6">
        <v>6</v>
      </c>
      <c r="D351" s="8">
        <v>39278</v>
      </c>
      <c r="E351" s="8">
        <v>39320</v>
      </c>
      <c r="F351" s="8">
        <v>39284</v>
      </c>
      <c r="G351" s="6">
        <v>3</v>
      </c>
      <c r="H351" s="1">
        <v>29.98</v>
      </c>
      <c r="I351" s="1" t="s">
        <v>814</v>
      </c>
      <c r="J351" s="1" t="s">
        <v>104</v>
      </c>
      <c r="K351" s="1" t="s">
        <v>54</v>
      </c>
      <c r="L351" s="2"/>
      <c r="M351" s="1">
        <v>10132</v>
      </c>
      <c r="N351" s="1" t="s">
        <v>55</v>
      </c>
      <c r="O351" s="11" t="s">
        <v>745</v>
      </c>
      <c r="P351" s="3"/>
    </row>
    <row r="352" spans="1:16">
      <c r="A352" s="6">
        <v>10600</v>
      </c>
      <c r="B352" s="6">
        <v>36</v>
      </c>
      <c r="C352" s="6">
        <v>4</v>
      </c>
      <c r="D352" s="8">
        <v>39279</v>
      </c>
      <c r="E352" s="8">
        <v>39307</v>
      </c>
      <c r="F352" s="8">
        <v>39284</v>
      </c>
      <c r="G352" s="6">
        <v>1</v>
      </c>
      <c r="H352" s="1">
        <v>45.13</v>
      </c>
      <c r="I352" s="1" t="s">
        <v>920</v>
      </c>
      <c r="J352" s="1" t="s">
        <v>921</v>
      </c>
      <c r="K352" s="1" t="s">
        <v>256</v>
      </c>
      <c r="L352" s="1" t="s">
        <v>228</v>
      </c>
      <c r="M352" s="1">
        <v>10201</v>
      </c>
      <c r="N352" s="1" t="s">
        <v>229</v>
      </c>
      <c r="O352" s="11" t="s">
        <v>745</v>
      </c>
      <c r="P352" s="3"/>
    </row>
    <row r="353" spans="1:16">
      <c r="A353" s="6">
        <v>10601</v>
      </c>
      <c r="B353" s="6">
        <v>35</v>
      </c>
      <c r="C353" s="6">
        <v>7</v>
      </c>
      <c r="D353" s="8">
        <v>39279</v>
      </c>
      <c r="E353" s="8">
        <v>39321</v>
      </c>
      <c r="F353" s="8">
        <v>39285</v>
      </c>
      <c r="G353" s="6">
        <v>1</v>
      </c>
      <c r="H353" s="1">
        <v>58.3</v>
      </c>
      <c r="I353" s="1" t="s">
        <v>1024</v>
      </c>
      <c r="J353" s="1" t="s">
        <v>1025</v>
      </c>
      <c r="K353" s="1" t="s">
        <v>249</v>
      </c>
      <c r="L353" s="1" t="s">
        <v>250</v>
      </c>
      <c r="M353" s="1">
        <v>10197</v>
      </c>
      <c r="N353" s="1" t="s">
        <v>236</v>
      </c>
      <c r="O353" s="11" t="s">
        <v>745</v>
      </c>
      <c r="P353" s="3"/>
    </row>
    <row r="354" spans="1:16">
      <c r="A354" s="6">
        <v>10602</v>
      </c>
      <c r="B354" s="6">
        <v>83</v>
      </c>
      <c r="C354" s="6">
        <v>8</v>
      </c>
      <c r="D354" s="8">
        <v>39280</v>
      </c>
      <c r="E354" s="8">
        <v>39308</v>
      </c>
      <c r="F354" s="8">
        <v>39285</v>
      </c>
      <c r="G354" s="6">
        <v>2</v>
      </c>
      <c r="H354" s="1">
        <v>2.92</v>
      </c>
      <c r="I354" s="1" t="s">
        <v>1002</v>
      </c>
      <c r="J354" s="1" t="s">
        <v>1003</v>
      </c>
      <c r="K354" s="1" t="s">
        <v>526</v>
      </c>
      <c r="L354" s="2"/>
      <c r="M354" s="1">
        <v>10339</v>
      </c>
      <c r="N354" s="1" t="s">
        <v>470</v>
      </c>
      <c r="O354" s="11" t="s">
        <v>745</v>
      </c>
      <c r="P354" s="3"/>
    </row>
    <row r="355" spans="1:16">
      <c r="A355" s="6">
        <v>10603</v>
      </c>
      <c r="B355" s="6">
        <v>71</v>
      </c>
      <c r="C355" s="6">
        <v>8</v>
      </c>
      <c r="D355" s="8">
        <v>39281</v>
      </c>
      <c r="E355" s="8">
        <v>39309</v>
      </c>
      <c r="F355" s="8">
        <v>39302</v>
      </c>
      <c r="G355" s="6">
        <v>2</v>
      </c>
      <c r="H355" s="1">
        <v>48.77</v>
      </c>
      <c r="I355" s="1" t="s">
        <v>854</v>
      </c>
      <c r="J355" s="1" t="s">
        <v>457</v>
      </c>
      <c r="K355" s="1" t="s">
        <v>458</v>
      </c>
      <c r="L355" s="1" t="s">
        <v>459</v>
      </c>
      <c r="M355" s="1">
        <v>10307</v>
      </c>
      <c r="N355" s="1" t="s">
        <v>229</v>
      </c>
      <c r="O355" s="11" t="s">
        <v>745</v>
      </c>
      <c r="P355" s="3"/>
    </row>
    <row r="356" spans="1:16">
      <c r="A356" s="6">
        <v>10604</v>
      </c>
      <c r="B356" s="6">
        <v>28</v>
      </c>
      <c r="C356" s="6">
        <v>1</v>
      </c>
      <c r="D356" s="8">
        <v>39281</v>
      </c>
      <c r="E356" s="8">
        <v>39309</v>
      </c>
      <c r="F356" s="8">
        <v>39292</v>
      </c>
      <c r="G356" s="6">
        <v>1</v>
      </c>
      <c r="H356" s="1">
        <v>7.46</v>
      </c>
      <c r="I356" s="1" t="s">
        <v>858</v>
      </c>
      <c r="J356" s="1" t="s">
        <v>203</v>
      </c>
      <c r="K356" s="1" t="s">
        <v>204</v>
      </c>
      <c r="L356" s="2"/>
      <c r="M356" s="1">
        <v>10176</v>
      </c>
      <c r="N356" s="1" t="s">
        <v>205</v>
      </c>
      <c r="O356" s="11" t="s">
        <v>745</v>
      </c>
      <c r="P356" s="3"/>
    </row>
    <row r="357" spans="1:16">
      <c r="A357" s="6">
        <v>10605</v>
      </c>
      <c r="B357" s="6">
        <v>51</v>
      </c>
      <c r="C357" s="6">
        <v>1</v>
      </c>
      <c r="D357" s="8">
        <v>39284</v>
      </c>
      <c r="E357" s="8">
        <v>39312</v>
      </c>
      <c r="F357" s="8">
        <v>39292</v>
      </c>
      <c r="G357" s="6">
        <v>2</v>
      </c>
      <c r="H357" s="1">
        <v>379.13</v>
      </c>
      <c r="I357" s="1" t="s">
        <v>861</v>
      </c>
      <c r="J357" s="1" t="s">
        <v>862</v>
      </c>
      <c r="K357" s="1" t="s">
        <v>351</v>
      </c>
      <c r="L357" s="1" t="s">
        <v>352</v>
      </c>
      <c r="M357" s="1">
        <v>10245</v>
      </c>
      <c r="N357" s="1" t="s">
        <v>99</v>
      </c>
      <c r="O357" s="11" t="s">
        <v>745</v>
      </c>
      <c r="P357" s="3"/>
    </row>
    <row r="358" spans="1:16">
      <c r="A358" s="6">
        <v>10606</v>
      </c>
      <c r="B358" s="6">
        <v>81</v>
      </c>
      <c r="C358" s="6">
        <v>4</v>
      </c>
      <c r="D358" s="8">
        <v>39285</v>
      </c>
      <c r="E358" s="8">
        <v>39313</v>
      </c>
      <c r="F358" s="8">
        <v>39294</v>
      </c>
      <c r="G358" s="6">
        <v>3</v>
      </c>
      <c r="H358" s="1">
        <v>79.400000000000006</v>
      </c>
      <c r="I358" s="1" t="s">
        <v>1034</v>
      </c>
      <c r="J358" s="1" t="s">
        <v>1035</v>
      </c>
      <c r="K358" s="1" t="s">
        <v>127</v>
      </c>
      <c r="L358" s="1" t="s">
        <v>128</v>
      </c>
      <c r="M358" s="1">
        <v>10336</v>
      </c>
      <c r="N358" s="1" t="s">
        <v>129</v>
      </c>
      <c r="O358" s="11" t="s">
        <v>745</v>
      </c>
      <c r="P358" s="3"/>
    </row>
    <row r="359" spans="1:16">
      <c r="A359" s="6">
        <v>10607</v>
      </c>
      <c r="B359" s="6">
        <v>71</v>
      </c>
      <c r="C359" s="6">
        <v>5</v>
      </c>
      <c r="D359" s="8">
        <v>39285</v>
      </c>
      <c r="E359" s="8">
        <v>39313</v>
      </c>
      <c r="F359" s="8">
        <v>39288</v>
      </c>
      <c r="G359" s="6">
        <v>1</v>
      </c>
      <c r="H359" s="1">
        <v>200.24</v>
      </c>
      <c r="I359" s="1" t="s">
        <v>854</v>
      </c>
      <c r="J359" s="1" t="s">
        <v>457</v>
      </c>
      <c r="K359" s="1" t="s">
        <v>458</v>
      </c>
      <c r="L359" s="1" t="s">
        <v>459</v>
      </c>
      <c r="M359" s="1">
        <v>10307</v>
      </c>
      <c r="N359" s="1" t="s">
        <v>229</v>
      </c>
      <c r="O359" s="11" t="s">
        <v>745</v>
      </c>
      <c r="P359" s="3"/>
    </row>
    <row r="360" spans="1:16">
      <c r="A360" s="6">
        <v>10608</v>
      </c>
      <c r="B360" s="6">
        <v>79</v>
      </c>
      <c r="C360" s="6">
        <v>4</v>
      </c>
      <c r="D360" s="8">
        <v>39286</v>
      </c>
      <c r="E360" s="8">
        <v>39314</v>
      </c>
      <c r="F360" s="8">
        <v>39295</v>
      </c>
      <c r="G360" s="6">
        <v>2</v>
      </c>
      <c r="H360" s="1">
        <v>27.79</v>
      </c>
      <c r="I360" s="1" t="s">
        <v>984</v>
      </c>
      <c r="J360" s="1" t="s">
        <v>985</v>
      </c>
      <c r="K360" s="1" t="s">
        <v>505</v>
      </c>
      <c r="L360" s="2"/>
      <c r="M360" s="1">
        <v>10328</v>
      </c>
      <c r="N360" s="1" t="s">
        <v>36</v>
      </c>
      <c r="O360" s="11" t="s">
        <v>745</v>
      </c>
      <c r="P360" s="3"/>
    </row>
    <row r="361" spans="1:16">
      <c r="A361" s="6">
        <v>10609</v>
      </c>
      <c r="B361" s="6">
        <v>18</v>
      </c>
      <c r="C361" s="6">
        <v>7</v>
      </c>
      <c r="D361" s="8">
        <v>39287</v>
      </c>
      <c r="E361" s="8">
        <v>39315</v>
      </c>
      <c r="F361" s="8">
        <v>39293</v>
      </c>
      <c r="G361" s="6">
        <v>2</v>
      </c>
      <c r="H361" s="1">
        <v>1.85</v>
      </c>
      <c r="I361" s="1" t="s">
        <v>840</v>
      </c>
      <c r="J361" s="1" t="s">
        <v>841</v>
      </c>
      <c r="K361" s="1" t="s">
        <v>145</v>
      </c>
      <c r="L361" s="2"/>
      <c r="M361" s="1">
        <v>10148</v>
      </c>
      <c r="N361" s="1" t="s">
        <v>77</v>
      </c>
      <c r="O361" s="11" t="s">
        <v>745</v>
      </c>
      <c r="P361" s="3"/>
    </row>
    <row r="362" spans="1:16">
      <c r="A362" s="6">
        <v>10610</v>
      </c>
      <c r="B362" s="6">
        <v>41</v>
      </c>
      <c r="C362" s="6">
        <v>8</v>
      </c>
      <c r="D362" s="8">
        <v>39288</v>
      </c>
      <c r="E362" s="8">
        <v>39316</v>
      </c>
      <c r="F362" s="8">
        <v>39300</v>
      </c>
      <c r="G362" s="6">
        <v>1</v>
      </c>
      <c r="H362" s="1">
        <v>26.78</v>
      </c>
      <c r="I362" s="1" t="s">
        <v>896</v>
      </c>
      <c r="J362" s="1" t="s">
        <v>897</v>
      </c>
      <c r="K362" s="1" t="s">
        <v>287</v>
      </c>
      <c r="L362" s="2"/>
      <c r="M362" s="1">
        <v>10218</v>
      </c>
      <c r="N362" s="1" t="s">
        <v>77</v>
      </c>
      <c r="O362" s="11" t="s">
        <v>745</v>
      </c>
      <c r="P362" s="3"/>
    </row>
    <row r="363" spans="1:16">
      <c r="A363" s="6">
        <v>10611</v>
      </c>
      <c r="B363" s="6">
        <v>91</v>
      </c>
      <c r="C363" s="6">
        <v>6</v>
      </c>
      <c r="D363" s="8">
        <v>39288</v>
      </c>
      <c r="E363" s="8">
        <v>39316</v>
      </c>
      <c r="F363" s="8">
        <v>39295</v>
      </c>
      <c r="G363" s="6">
        <v>2</v>
      </c>
      <c r="H363" s="1">
        <v>80.650000000000006</v>
      </c>
      <c r="I363" s="1" t="s">
        <v>1086</v>
      </c>
      <c r="J363" s="1" t="s">
        <v>574</v>
      </c>
      <c r="K363" s="1" t="s">
        <v>575</v>
      </c>
      <c r="L363" s="2"/>
      <c r="M363" s="1">
        <v>10365</v>
      </c>
      <c r="N363" s="1" t="s">
        <v>576</v>
      </c>
      <c r="O363" s="11" t="s">
        <v>745</v>
      </c>
      <c r="P363" s="3"/>
    </row>
    <row r="364" spans="1:16">
      <c r="A364" s="6">
        <v>10612</v>
      </c>
      <c r="B364" s="6">
        <v>71</v>
      </c>
      <c r="C364" s="6">
        <v>1</v>
      </c>
      <c r="D364" s="8">
        <v>39291</v>
      </c>
      <c r="E364" s="8">
        <v>39319</v>
      </c>
      <c r="F364" s="8">
        <v>39295</v>
      </c>
      <c r="G364" s="6">
        <v>2</v>
      </c>
      <c r="H364" s="1">
        <v>544.08000000000004</v>
      </c>
      <c r="I364" s="1" t="s">
        <v>1044</v>
      </c>
      <c r="J364" s="1" t="s">
        <v>1045</v>
      </c>
      <c r="K364" s="1" t="s">
        <v>458</v>
      </c>
      <c r="L364" s="1" t="s">
        <v>459</v>
      </c>
      <c r="M364" s="1">
        <v>10305</v>
      </c>
      <c r="N364" s="1" t="s">
        <v>229</v>
      </c>
      <c r="O364" s="11" t="s">
        <v>745</v>
      </c>
      <c r="P364" s="3"/>
    </row>
    <row r="365" spans="1:16">
      <c r="A365" s="6">
        <v>10613</v>
      </c>
      <c r="B365" s="6">
        <v>35</v>
      </c>
      <c r="C365" s="6">
        <v>4</v>
      </c>
      <c r="D365" s="8">
        <v>39292</v>
      </c>
      <c r="E365" s="8">
        <v>39320</v>
      </c>
      <c r="F365" s="8">
        <v>39295</v>
      </c>
      <c r="G365" s="6">
        <v>2</v>
      </c>
      <c r="H365" s="1">
        <v>8.11</v>
      </c>
      <c r="I365" s="1" t="s">
        <v>758</v>
      </c>
      <c r="J365" s="1" t="s">
        <v>759</v>
      </c>
      <c r="K365" s="1" t="s">
        <v>249</v>
      </c>
      <c r="L365" s="1" t="s">
        <v>250</v>
      </c>
      <c r="M365" s="1">
        <v>10199</v>
      </c>
      <c r="N365" s="1" t="s">
        <v>236</v>
      </c>
      <c r="O365" s="11" t="s">
        <v>745</v>
      </c>
      <c r="P365" s="3"/>
    </row>
    <row r="366" spans="1:16">
      <c r="A366" s="6">
        <v>10614</v>
      </c>
      <c r="B366" s="6">
        <v>6</v>
      </c>
      <c r="C366" s="6">
        <v>8</v>
      </c>
      <c r="D366" s="8">
        <v>39292</v>
      </c>
      <c r="E366" s="8">
        <v>39320</v>
      </c>
      <c r="F366" s="8">
        <v>39295</v>
      </c>
      <c r="G366" s="6">
        <v>3</v>
      </c>
      <c r="H366" s="1">
        <v>1.93</v>
      </c>
      <c r="I366" s="1" t="s">
        <v>1042</v>
      </c>
      <c r="J366" s="1" t="s">
        <v>1043</v>
      </c>
      <c r="K366" s="1" t="s">
        <v>69</v>
      </c>
      <c r="L366" s="2"/>
      <c r="M366" s="1">
        <v>10300</v>
      </c>
      <c r="N366" s="1" t="s">
        <v>36</v>
      </c>
      <c r="O366" s="11" t="s">
        <v>745</v>
      </c>
      <c r="P366" s="3"/>
    </row>
    <row r="367" spans="1:16">
      <c r="A367" s="6">
        <v>10615</v>
      </c>
      <c r="B367" s="6">
        <v>90</v>
      </c>
      <c r="C367" s="6">
        <v>2</v>
      </c>
      <c r="D367" s="8">
        <v>39293</v>
      </c>
      <c r="E367" s="8">
        <v>39321</v>
      </c>
      <c r="F367" s="8">
        <v>39300</v>
      </c>
      <c r="G367" s="6">
        <v>3</v>
      </c>
      <c r="H367" s="1">
        <v>0.75</v>
      </c>
      <c r="I367" s="1" t="s">
        <v>1087</v>
      </c>
      <c r="J367" s="1" t="s">
        <v>1088</v>
      </c>
      <c r="K367" s="1" t="s">
        <v>569</v>
      </c>
      <c r="L367" s="2"/>
      <c r="M367" s="1">
        <v>10362</v>
      </c>
      <c r="N367" s="1" t="s">
        <v>551</v>
      </c>
      <c r="O367" s="11" t="s">
        <v>745</v>
      </c>
      <c r="P367" s="3"/>
    </row>
    <row r="368" spans="1:16">
      <c r="A368" s="6">
        <v>10616</v>
      </c>
      <c r="B368" s="6">
        <v>32</v>
      </c>
      <c r="C368" s="6">
        <v>1</v>
      </c>
      <c r="D368" s="8">
        <v>39294</v>
      </c>
      <c r="E368" s="8">
        <v>39322</v>
      </c>
      <c r="F368" s="8">
        <v>39299</v>
      </c>
      <c r="G368" s="6">
        <v>2</v>
      </c>
      <c r="H368" s="1">
        <v>116.53</v>
      </c>
      <c r="I368" s="1" t="s">
        <v>1051</v>
      </c>
      <c r="J368" s="1" t="s">
        <v>1052</v>
      </c>
      <c r="K368" s="1" t="s">
        <v>227</v>
      </c>
      <c r="L368" s="1" t="s">
        <v>228</v>
      </c>
      <c r="M368" s="1">
        <v>10189</v>
      </c>
      <c r="N368" s="1" t="s">
        <v>229</v>
      </c>
      <c r="O368" s="11" t="s">
        <v>745</v>
      </c>
      <c r="P368" s="3"/>
    </row>
    <row r="369" spans="1:16">
      <c r="A369" s="6">
        <v>10617</v>
      </c>
      <c r="B369" s="6">
        <v>32</v>
      </c>
      <c r="C369" s="6">
        <v>4</v>
      </c>
      <c r="D369" s="8">
        <v>39294</v>
      </c>
      <c r="E369" s="8">
        <v>39322</v>
      </c>
      <c r="F369" s="8">
        <v>39298</v>
      </c>
      <c r="G369" s="6">
        <v>2</v>
      </c>
      <c r="H369" s="1">
        <v>18.53</v>
      </c>
      <c r="I369" s="1" t="s">
        <v>1084</v>
      </c>
      <c r="J369" s="1" t="s">
        <v>1085</v>
      </c>
      <c r="K369" s="1" t="s">
        <v>227</v>
      </c>
      <c r="L369" s="1" t="s">
        <v>228</v>
      </c>
      <c r="M369" s="1">
        <v>10190</v>
      </c>
      <c r="N369" s="1" t="s">
        <v>229</v>
      </c>
      <c r="O369" s="11" t="s">
        <v>745</v>
      </c>
      <c r="P369" s="3"/>
    </row>
    <row r="370" spans="1:16">
      <c r="A370" s="6">
        <v>10618</v>
      </c>
      <c r="B370" s="6">
        <v>51</v>
      </c>
      <c r="C370" s="6">
        <v>1</v>
      </c>
      <c r="D370" s="8">
        <v>39295</v>
      </c>
      <c r="E370" s="8">
        <v>39337</v>
      </c>
      <c r="F370" s="8">
        <v>39302</v>
      </c>
      <c r="G370" s="6">
        <v>1</v>
      </c>
      <c r="H370" s="1">
        <v>154.68</v>
      </c>
      <c r="I370" s="1" t="s">
        <v>873</v>
      </c>
      <c r="J370" s="1" t="s">
        <v>350</v>
      </c>
      <c r="K370" s="1" t="s">
        <v>351</v>
      </c>
      <c r="L370" s="1" t="s">
        <v>352</v>
      </c>
      <c r="M370" s="1">
        <v>10246</v>
      </c>
      <c r="N370" s="1" t="s">
        <v>99</v>
      </c>
      <c r="O370" s="11" t="s">
        <v>745</v>
      </c>
      <c r="P370" s="3"/>
    </row>
    <row r="371" spans="1:16">
      <c r="A371" s="6">
        <v>10619</v>
      </c>
      <c r="B371" s="6">
        <v>51</v>
      </c>
      <c r="C371" s="6">
        <v>3</v>
      </c>
      <c r="D371" s="8">
        <v>39298</v>
      </c>
      <c r="E371" s="8">
        <v>39326</v>
      </c>
      <c r="F371" s="8">
        <v>39301</v>
      </c>
      <c r="G371" s="6">
        <v>3</v>
      </c>
      <c r="H371" s="1">
        <v>91.05</v>
      </c>
      <c r="I371" s="1" t="s">
        <v>861</v>
      </c>
      <c r="J371" s="1" t="s">
        <v>862</v>
      </c>
      <c r="K371" s="1" t="s">
        <v>351</v>
      </c>
      <c r="L371" s="1" t="s">
        <v>352</v>
      </c>
      <c r="M371" s="1">
        <v>10245</v>
      </c>
      <c r="N371" s="1" t="s">
        <v>99</v>
      </c>
      <c r="O371" s="11" t="s">
        <v>745</v>
      </c>
      <c r="P371" s="3"/>
    </row>
    <row r="372" spans="1:16">
      <c r="A372" s="6">
        <v>10620</v>
      </c>
      <c r="B372" s="6">
        <v>42</v>
      </c>
      <c r="C372" s="6">
        <v>2</v>
      </c>
      <c r="D372" s="8">
        <v>39299</v>
      </c>
      <c r="E372" s="8">
        <v>39327</v>
      </c>
      <c r="F372" s="8">
        <v>39308</v>
      </c>
      <c r="G372" s="6">
        <v>3</v>
      </c>
      <c r="H372" s="1">
        <v>0.94</v>
      </c>
      <c r="I372" s="1" t="s">
        <v>1089</v>
      </c>
      <c r="J372" s="1" t="s">
        <v>1090</v>
      </c>
      <c r="K372" s="1" t="s">
        <v>293</v>
      </c>
      <c r="L372" s="1" t="s">
        <v>98</v>
      </c>
      <c r="M372" s="1">
        <v>10219</v>
      </c>
      <c r="N372" s="1" t="s">
        <v>99</v>
      </c>
      <c r="O372" s="11" t="s">
        <v>745</v>
      </c>
      <c r="P372" s="3"/>
    </row>
    <row r="373" spans="1:16">
      <c r="A373" s="6">
        <v>10621</v>
      </c>
      <c r="B373" s="6">
        <v>38</v>
      </c>
      <c r="C373" s="6">
        <v>4</v>
      </c>
      <c r="D373" s="8">
        <v>39299</v>
      </c>
      <c r="E373" s="8">
        <v>39327</v>
      </c>
      <c r="F373" s="8">
        <v>39305</v>
      </c>
      <c r="G373" s="6">
        <v>2</v>
      </c>
      <c r="H373" s="1">
        <v>23.73</v>
      </c>
      <c r="I373" s="1" t="s">
        <v>848</v>
      </c>
      <c r="J373" s="1" t="s">
        <v>849</v>
      </c>
      <c r="K373" s="1" t="s">
        <v>270</v>
      </c>
      <c r="L373" s="1" t="s">
        <v>271</v>
      </c>
      <c r="M373" s="1">
        <v>10206</v>
      </c>
      <c r="N373" s="1" t="s">
        <v>55</v>
      </c>
      <c r="O373" s="11" t="s">
        <v>745</v>
      </c>
      <c r="P373" s="3"/>
    </row>
    <row r="374" spans="1:16">
      <c r="A374" s="6">
        <v>10622</v>
      </c>
      <c r="B374" s="6">
        <v>67</v>
      </c>
      <c r="C374" s="6">
        <v>4</v>
      </c>
      <c r="D374" s="8">
        <v>39300</v>
      </c>
      <c r="E374" s="8">
        <v>39328</v>
      </c>
      <c r="F374" s="8">
        <v>39305</v>
      </c>
      <c r="G374" s="6">
        <v>3</v>
      </c>
      <c r="H374" s="1">
        <v>50.97</v>
      </c>
      <c r="I374" s="1" t="s">
        <v>810</v>
      </c>
      <c r="J374" s="1" t="s">
        <v>811</v>
      </c>
      <c r="K374" s="1" t="s">
        <v>242</v>
      </c>
      <c r="L374" s="1" t="s">
        <v>243</v>
      </c>
      <c r="M374" s="1">
        <v>10291</v>
      </c>
      <c r="N374" s="1" t="s">
        <v>129</v>
      </c>
      <c r="O374" s="11" t="s">
        <v>745</v>
      </c>
      <c r="P374" s="3"/>
    </row>
    <row r="375" spans="1:16">
      <c r="A375" s="6">
        <v>10623</v>
      </c>
      <c r="B375" s="6">
        <v>25</v>
      </c>
      <c r="C375" s="6">
        <v>8</v>
      </c>
      <c r="D375" s="8">
        <v>39301</v>
      </c>
      <c r="E375" s="8">
        <v>39329</v>
      </c>
      <c r="F375" s="8">
        <v>39306</v>
      </c>
      <c r="G375" s="6">
        <v>2</v>
      </c>
      <c r="H375" s="1">
        <v>97.18</v>
      </c>
      <c r="I375" s="1" t="s">
        <v>777</v>
      </c>
      <c r="J375" s="1" t="s">
        <v>778</v>
      </c>
      <c r="K375" s="1" t="s">
        <v>186</v>
      </c>
      <c r="L375" s="2"/>
      <c r="M375" s="1">
        <v>10168</v>
      </c>
      <c r="N375" s="1" t="s">
        <v>36</v>
      </c>
      <c r="O375" s="11" t="s">
        <v>745</v>
      </c>
      <c r="P375" s="3"/>
    </row>
    <row r="376" spans="1:16">
      <c r="A376" s="6">
        <v>10624</v>
      </c>
      <c r="B376" s="6">
        <v>78</v>
      </c>
      <c r="C376" s="6">
        <v>4</v>
      </c>
      <c r="D376" s="8">
        <v>39301</v>
      </c>
      <c r="E376" s="8">
        <v>39329</v>
      </c>
      <c r="F376" s="8">
        <v>39313</v>
      </c>
      <c r="G376" s="6">
        <v>2</v>
      </c>
      <c r="H376" s="1">
        <v>94.8</v>
      </c>
      <c r="I376" s="1" t="s">
        <v>1091</v>
      </c>
      <c r="J376" s="1" t="s">
        <v>1092</v>
      </c>
      <c r="K376" s="1" t="s">
        <v>498</v>
      </c>
      <c r="L376" s="1" t="s">
        <v>499</v>
      </c>
      <c r="M376" s="1">
        <v>10325</v>
      </c>
      <c r="N376" s="1" t="s">
        <v>229</v>
      </c>
      <c r="O376" s="11" t="s">
        <v>745</v>
      </c>
      <c r="P376" s="3"/>
    </row>
    <row r="377" spans="1:16">
      <c r="A377" s="6">
        <v>10625</v>
      </c>
      <c r="B377" s="6">
        <v>2</v>
      </c>
      <c r="C377" s="6">
        <v>3</v>
      </c>
      <c r="D377" s="8">
        <v>39302</v>
      </c>
      <c r="E377" s="8">
        <v>39330</v>
      </c>
      <c r="F377" s="8">
        <v>39308</v>
      </c>
      <c r="G377" s="6">
        <v>1</v>
      </c>
      <c r="H377" s="1">
        <v>43.9</v>
      </c>
      <c r="I377" s="1" t="s">
        <v>1093</v>
      </c>
      <c r="J377" s="1" t="s">
        <v>1094</v>
      </c>
      <c r="K377" s="1" t="s">
        <v>43</v>
      </c>
      <c r="L377" s="2"/>
      <c r="M377" s="1">
        <v>10181</v>
      </c>
      <c r="N377" s="1" t="s">
        <v>44</v>
      </c>
      <c r="O377" s="11" t="s">
        <v>745</v>
      </c>
      <c r="P377" s="3"/>
    </row>
    <row r="378" spans="1:16">
      <c r="A378" s="6">
        <v>10626</v>
      </c>
      <c r="B378" s="6">
        <v>5</v>
      </c>
      <c r="C378" s="6">
        <v>1</v>
      </c>
      <c r="D378" s="8">
        <v>39305</v>
      </c>
      <c r="E378" s="8">
        <v>39333</v>
      </c>
      <c r="F378" s="8">
        <v>39314</v>
      </c>
      <c r="G378" s="6">
        <v>2</v>
      </c>
      <c r="H378" s="1">
        <v>138.69</v>
      </c>
      <c r="I378" s="1" t="s">
        <v>982</v>
      </c>
      <c r="J378" s="1" t="s">
        <v>983</v>
      </c>
      <c r="K378" s="1" t="s">
        <v>62</v>
      </c>
      <c r="L378" s="2"/>
      <c r="M378" s="1">
        <v>10267</v>
      </c>
      <c r="N378" s="1" t="s">
        <v>63</v>
      </c>
      <c r="O378" s="11" t="s">
        <v>745</v>
      </c>
      <c r="P378" s="3"/>
    </row>
    <row r="379" spans="1:16">
      <c r="A379" s="6">
        <v>10627</v>
      </c>
      <c r="B379" s="6">
        <v>71</v>
      </c>
      <c r="C379" s="6">
        <v>8</v>
      </c>
      <c r="D379" s="8">
        <v>39305</v>
      </c>
      <c r="E379" s="8">
        <v>39347</v>
      </c>
      <c r="F379" s="8">
        <v>39315</v>
      </c>
      <c r="G379" s="6">
        <v>3</v>
      </c>
      <c r="H379" s="1">
        <v>107.46</v>
      </c>
      <c r="I379" s="1" t="s">
        <v>936</v>
      </c>
      <c r="J379" s="1" t="s">
        <v>937</v>
      </c>
      <c r="K379" s="1" t="s">
        <v>458</v>
      </c>
      <c r="L379" s="1" t="s">
        <v>459</v>
      </c>
      <c r="M379" s="1">
        <v>10306</v>
      </c>
      <c r="N379" s="1" t="s">
        <v>229</v>
      </c>
      <c r="O379" s="11" t="s">
        <v>745</v>
      </c>
      <c r="P379" s="3"/>
    </row>
    <row r="380" spans="1:16">
      <c r="A380" s="6">
        <v>10628</v>
      </c>
      <c r="B380" s="6">
        <v>7</v>
      </c>
      <c r="C380" s="6">
        <v>4</v>
      </c>
      <c r="D380" s="8">
        <v>39306</v>
      </c>
      <c r="E380" s="8">
        <v>39334</v>
      </c>
      <c r="F380" s="8">
        <v>39314</v>
      </c>
      <c r="G380" s="6">
        <v>3</v>
      </c>
      <c r="H380" s="1">
        <v>30.36</v>
      </c>
      <c r="I380" s="1" t="s">
        <v>1067</v>
      </c>
      <c r="J380" s="1" t="s">
        <v>1068</v>
      </c>
      <c r="K380" s="1" t="s">
        <v>76</v>
      </c>
      <c r="L380" s="2"/>
      <c r="M380" s="1">
        <v>10330</v>
      </c>
      <c r="N380" s="1" t="s">
        <v>77</v>
      </c>
      <c r="O380" s="11" t="s">
        <v>745</v>
      </c>
      <c r="P380" s="3"/>
    </row>
    <row r="381" spans="1:16">
      <c r="A381" s="6">
        <v>10629</v>
      </c>
      <c r="B381" s="6">
        <v>30</v>
      </c>
      <c r="C381" s="6">
        <v>4</v>
      </c>
      <c r="D381" s="8">
        <v>39306</v>
      </c>
      <c r="E381" s="8">
        <v>39334</v>
      </c>
      <c r="F381" s="8">
        <v>39314</v>
      </c>
      <c r="G381" s="6">
        <v>3</v>
      </c>
      <c r="H381" s="1">
        <v>85.46</v>
      </c>
      <c r="I381" s="1" t="s">
        <v>831</v>
      </c>
      <c r="J381" s="1" t="s">
        <v>832</v>
      </c>
      <c r="K381" s="1" t="s">
        <v>217</v>
      </c>
      <c r="L381" s="2"/>
      <c r="M381" s="1">
        <v>10183</v>
      </c>
      <c r="N381" s="1" t="s">
        <v>84</v>
      </c>
      <c r="O381" s="11" t="s">
        <v>745</v>
      </c>
      <c r="P381" s="3"/>
    </row>
    <row r="382" spans="1:16">
      <c r="A382" s="6">
        <v>10630</v>
      </c>
      <c r="B382" s="6">
        <v>39</v>
      </c>
      <c r="C382" s="6">
        <v>1</v>
      </c>
      <c r="D382" s="8">
        <v>39307</v>
      </c>
      <c r="E382" s="8">
        <v>39335</v>
      </c>
      <c r="F382" s="8">
        <v>39313</v>
      </c>
      <c r="G382" s="6">
        <v>2</v>
      </c>
      <c r="H382" s="1">
        <v>32.35</v>
      </c>
      <c r="I382" s="1" t="s">
        <v>852</v>
      </c>
      <c r="J382" s="1" t="s">
        <v>853</v>
      </c>
      <c r="K382" s="1" t="s">
        <v>276</v>
      </c>
      <c r="L382" s="2"/>
      <c r="M382" s="1">
        <v>10209</v>
      </c>
      <c r="N382" s="1" t="s">
        <v>36</v>
      </c>
      <c r="O382" s="11" t="s">
        <v>745</v>
      </c>
      <c r="P382" s="3"/>
    </row>
    <row r="383" spans="1:16">
      <c r="A383" s="6">
        <v>10631</v>
      </c>
      <c r="B383" s="6">
        <v>41</v>
      </c>
      <c r="C383" s="6">
        <v>8</v>
      </c>
      <c r="D383" s="8">
        <v>39308</v>
      </c>
      <c r="E383" s="8">
        <v>39336</v>
      </c>
      <c r="F383" s="8">
        <v>39309</v>
      </c>
      <c r="G383" s="6">
        <v>1</v>
      </c>
      <c r="H383" s="1">
        <v>0.87</v>
      </c>
      <c r="I383" s="1" t="s">
        <v>1028</v>
      </c>
      <c r="J383" s="1" t="s">
        <v>1029</v>
      </c>
      <c r="K383" s="1" t="s">
        <v>287</v>
      </c>
      <c r="L383" s="2"/>
      <c r="M383" s="1">
        <v>10216</v>
      </c>
      <c r="N383" s="1" t="s">
        <v>77</v>
      </c>
      <c r="O383" s="11" t="s">
        <v>745</v>
      </c>
      <c r="P383" s="3"/>
    </row>
    <row r="384" spans="1:16">
      <c r="A384" s="6">
        <v>10632</v>
      </c>
      <c r="B384" s="6">
        <v>86</v>
      </c>
      <c r="C384" s="6">
        <v>8</v>
      </c>
      <c r="D384" s="8">
        <v>39308</v>
      </c>
      <c r="E384" s="8">
        <v>39336</v>
      </c>
      <c r="F384" s="8">
        <v>39313</v>
      </c>
      <c r="G384" s="6">
        <v>1</v>
      </c>
      <c r="H384" s="1">
        <v>41.38</v>
      </c>
      <c r="I384" s="1" t="s">
        <v>1095</v>
      </c>
      <c r="J384" s="1" t="s">
        <v>1096</v>
      </c>
      <c r="K384" s="1" t="s">
        <v>544</v>
      </c>
      <c r="L384" s="2"/>
      <c r="M384" s="1">
        <v>10349</v>
      </c>
      <c r="N384" s="1" t="s">
        <v>36</v>
      </c>
      <c r="O384" s="11" t="s">
        <v>745</v>
      </c>
      <c r="P384" s="3"/>
    </row>
    <row r="385" spans="1:16">
      <c r="A385" s="6">
        <v>10633</v>
      </c>
      <c r="B385" s="6">
        <v>20</v>
      </c>
      <c r="C385" s="6">
        <v>7</v>
      </c>
      <c r="D385" s="8">
        <v>39309</v>
      </c>
      <c r="E385" s="8">
        <v>39337</v>
      </c>
      <c r="F385" s="8">
        <v>39312</v>
      </c>
      <c r="G385" s="6">
        <v>3</v>
      </c>
      <c r="H385" s="1">
        <v>477.9</v>
      </c>
      <c r="I385" s="1" t="s">
        <v>769</v>
      </c>
      <c r="J385" s="1" t="s">
        <v>770</v>
      </c>
      <c r="K385" s="1" t="s">
        <v>157</v>
      </c>
      <c r="L385" s="2"/>
      <c r="M385" s="1">
        <v>10158</v>
      </c>
      <c r="N385" s="1" t="s">
        <v>158</v>
      </c>
      <c r="O385" s="11" t="s">
        <v>745</v>
      </c>
      <c r="P385" s="3"/>
    </row>
    <row r="386" spans="1:16">
      <c r="A386" s="6">
        <v>10634</v>
      </c>
      <c r="B386" s="6">
        <v>23</v>
      </c>
      <c r="C386" s="6">
        <v>4</v>
      </c>
      <c r="D386" s="8">
        <v>39309</v>
      </c>
      <c r="E386" s="8">
        <v>39337</v>
      </c>
      <c r="F386" s="8">
        <v>39315</v>
      </c>
      <c r="G386" s="6">
        <v>3</v>
      </c>
      <c r="H386" s="1">
        <v>487.38</v>
      </c>
      <c r="I386" s="1" t="s">
        <v>1020</v>
      </c>
      <c r="J386" s="1" t="s">
        <v>1021</v>
      </c>
      <c r="K386" s="1" t="s">
        <v>175</v>
      </c>
      <c r="L386" s="2"/>
      <c r="M386" s="1">
        <v>10164</v>
      </c>
      <c r="N386" s="1" t="s">
        <v>77</v>
      </c>
      <c r="O386" s="11" t="s">
        <v>745</v>
      </c>
      <c r="P386" s="3"/>
    </row>
    <row r="387" spans="1:16">
      <c r="A387" s="6">
        <v>10635</v>
      </c>
      <c r="B387" s="6">
        <v>49</v>
      </c>
      <c r="C387" s="6">
        <v>8</v>
      </c>
      <c r="D387" s="8">
        <v>39312</v>
      </c>
      <c r="E387" s="8">
        <v>39340</v>
      </c>
      <c r="F387" s="8">
        <v>39315</v>
      </c>
      <c r="G387" s="6">
        <v>3</v>
      </c>
      <c r="H387" s="1">
        <v>47.46</v>
      </c>
      <c r="I387" s="1" t="s">
        <v>790</v>
      </c>
      <c r="J387" s="1" t="s">
        <v>791</v>
      </c>
      <c r="K387" s="1" t="s">
        <v>338</v>
      </c>
      <c r="L387" s="2"/>
      <c r="M387" s="1">
        <v>10235</v>
      </c>
      <c r="N387" s="1" t="s">
        <v>198</v>
      </c>
      <c r="O387" s="11" t="s">
        <v>745</v>
      </c>
      <c r="P387" s="3"/>
    </row>
    <row r="388" spans="1:16">
      <c r="A388" s="6">
        <v>10636</v>
      </c>
      <c r="B388" s="6">
        <v>87</v>
      </c>
      <c r="C388" s="6">
        <v>4</v>
      </c>
      <c r="D388" s="8">
        <v>39313</v>
      </c>
      <c r="E388" s="8">
        <v>39341</v>
      </c>
      <c r="F388" s="8">
        <v>39320</v>
      </c>
      <c r="G388" s="6">
        <v>1</v>
      </c>
      <c r="H388" s="1">
        <v>1.1499999999999999</v>
      </c>
      <c r="I388" s="1" t="s">
        <v>846</v>
      </c>
      <c r="J388" s="1" t="s">
        <v>847</v>
      </c>
      <c r="K388" s="1" t="s">
        <v>550</v>
      </c>
      <c r="L388" s="2"/>
      <c r="M388" s="1">
        <v>10350</v>
      </c>
      <c r="N388" s="1" t="s">
        <v>551</v>
      </c>
      <c r="O388" s="11" t="s">
        <v>745</v>
      </c>
      <c r="P388" s="3"/>
    </row>
    <row r="389" spans="1:16">
      <c r="A389" s="6">
        <v>10637</v>
      </c>
      <c r="B389" s="6">
        <v>62</v>
      </c>
      <c r="C389" s="6">
        <v>6</v>
      </c>
      <c r="D389" s="8">
        <v>39313</v>
      </c>
      <c r="E389" s="8">
        <v>39341</v>
      </c>
      <c r="F389" s="8">
        <v>39320</v>
      </c>
      <c r="G389" s="6">
        <v>1</v>
      </c>
      <c r="H389" s="1">
        <v>201.29</v>
      </c>
      <c r="I389" s="1" t="s">
        <v>1097</v>
      </c>
      <c r="J389" s="1" t="s">
        <v>1098</v>
      </c>
      <c r="K389" s="1" t="s">
        <v>127</v>
      </c>
      <c r="L389" s="1" t="s">
        <v>128</v>
      </c>
      <c r="M389" s="1">
        <v>10278</v>
      </c>
      <c r="N389" s="1" t="s">
        <v>129</v>
      </c>
      <c r="O389" s="11" t="s">
        <v>745</v>
      </c>
      <c r="P389" s="3"/>
    </row>
    <row r="390" spans="1:16">
      <c r="A390" s="6">
        <v>10638</v>
      </c>
      <c r="B390" s="6">
        <v>47</v>
      </c>
      <c r="C390" s="6">
        <v>3</v>
      </c>
      <c r="D390" s="8">
        <v>39314</v>
      </c>
      <c r="E390" s="8">
        <v>39342</v>
      </c>
      <c r="F390" s="8">
        <v>39326</v>
      </c>
      <c r="G390" s="6">
        <v>1</v>
      </c>
      <c r="H390" s="1">
        <v>158.44</v>
      </c>
      <c r="I390" s="1" t="s">
        <v>947</v>
      </c>
      <c r="J390" s="1" t="s">
        <v>948</v>
      </c>
      <c r="K390" s="1" t="s">
        <v>325</v>
      </c>
      <c r="L390" s="1" t="s">
        <v>326</v>
      </c>
      <c r="M390" s="1">
        <v>10231</v>
      </c>
      <c r="N390" s="1" t="s">
        <v>236</v>
      </c>
      <c r="O390" s="11" t="s">
        <v>745</v>
      </c>
      <c r="P390" s="3"/>
    </row>
    <row r="391" spans="1:16">
      <c r="A391" s="6">
        <v>10639</v>
      </c>
      <c r="B391" s="6">
        <v>70</v>
      </c>
      <c r="C391" s="6">
        <v>7</v>
      </c>
      <c r="D391" s="8">
        <v>39314</v>
      </c>
      <c r="E391" s="8">
        <v>39342</v>
      </c>
      <c r="F391" s="8">
        <v>39321</v>
      </c>
      <c r="G391" s="6">
        <v>3</v>
      </c>
      <c r="H391" s="1">
        <v>38.64</v>
      </c>
      <c r="I391" s="1" t="s">
        <v>928</v>
      </c>
      <c r="J391" s="1" t="s">
        <v>929</v>
      </c>
      <c r="K391" s="1" t="s">
        <v>451</v>
      </c>
      <c r="L391" s="2"/>
      <c r="M391" s="1">
        <v>10303</v>
      </c>
      <c r="N391" s="1" t="s">
        <v>452</v>
      </c>
      <c r="O391" s="11" t="s">
        <v>745</v>
      </c>
      <c r="P391" s="3"/>
    </row>
    <row r="392" spans="1:16">
      <c r="A392" s="6">
        <v>10640</v>
      </c>
      <c r="B392" s="6">
        <v>86</v>
      </c>
      <c r="C392" s="6">
        <v>4</v>
      </c>
      <c r="D392" s="8">
        <v>39315</v>
      </c>
      <c r="E392" s="8">
        <v>39343</v>
      </c>
      <c r="F392" s="8">
        <v>39322</v>
      </c>
      <c r="G392" s="6">
        <v>1</v>
      </c>
      <c r="H392" s="1">
        <v>23.55</v>
      </c>
      <c r="I392" s="1" t="s">
        <v>829</v>
      </c>
      <c r="J392" s="1" t="s">
        <v>830</v>
      </c>
      <c r="K392" s="1" t="s">
        <v>544</v>
      </c>
      <c r="L392" s="2"/>
      <c r="M392" s="1">
        <v>10347</v>
      </c>
      <c r="N392" s="1" t="s">
        <v>36</v>
      </c>
      <c r="O392" s="11" t="s">
        <v>745</v>
      </c>
      <c r="P392" s="3"/>
    </row>
    <row r="393" spans="1:16">
      <c r="A393" s="6">
        <v>10641</v>
      </c>
      <c r="B393" s="6">
        <v>35</v>
      </c>
      <c r="C393" s="6">
        <v>4</v>
      </c>
      <c r="D393" s="8">
        <v>39316</v>
      </c>
      <c r="E393" s="8">
        <v>39344</v>
      </c>
      <c r="F393" s="8">
        <v>39320</v>
      </c>
      <c r="G393" s="6">
        <v>2</v>
      </c>
      <c r="H393" s="1">
        <v>179.61</v>
      </c>
      <c r="I393" s="1" t="s">
        <v>758</v>
      </c>
      <c r="J393" s="1" t="s">
        <v>759</v>
      </c>
      <c r="K393" s="1" t="s">
        <v>249</v>
      </c>
      <c r="L393" s="1" t="s">
        <v>250</v>
      </c>
      <c r="M393" s="1">
        <v>10199</v>
      </c>
      <c r="N393" s="1" t="s">
        <v>236</v>
      </c>
      <c r="O393" s="11" t="s">
        <v>745</v>
      </c>
      <c r="P393" s="3"/>
    </row>
    <row r="394" spans="1:16">
      <c r="A394" s="6">
        <v>10642</v>
      </c>
      <c r="B394" s="6">
        <v>73</v>
      </c>
      <c r="C394" s="6">
        <v>7</v>
      </c>
      <c r="D394" s="8">
        <v>39316</v>
      </c>
      <c r="E394" s="8">
        <v>39344</v>
      </c>
      <c r="F394" s="8">
        <v>39330</v>
      </c>
      <c r="G394" s="6">
        <v>3</v>
      </c>
      <c r="H394" s="1">
        <v>41.89</v>
      </c>
      <c r="I394" s="1" t="s">
        <v>958</v>
      </c>
      <c r="J394" s="1" t="s">
        <v>959</v>
      </c>
      <c r="K394" s="1" t="s">
        <v>469</v>
      </c>
      <c r="L394" s="2"/>
      <c r="M394" s="1">
        <v>10311</v>
      </c>
      <c r="N394" s="1" t="s">
        <v>470</v>
      </c>
      <c r="O394" s="11" t="s">
        <v>745</v>
      </c>
      <c r="P394" s="3"/>
    </row>
    <row r="395" spans="1:16">
      <c r="A395" s="6">
        <v>10643</v>
      </c>
      <c r="B395" s="6">
        <v>1</v>
      </c>
      <c r="C395" s="6">
        <v>6</v>
      </c>
      <c r="D395" s="8">
        <v>39319</v>
      </c>
      <c r="E395" s="8">
        <v>39347</v>
      </c>
      <c r="F395" s="8">
        <v>39327</v>
      </c>
      <c r="G395" s="6">
        <v>1</v>
      </c>
      <c r="H395" s="1">
        <v>29.46</v>
      </c>
      <c r="I395" s="1" t="s">
        <v>1099</v>
      </c>
      <c r="J395" s="1" t="s">
        <v>1100</v>
      </c>
      <c r="K395" s="1" t="s">
        <v>35</v>
      </c>
      <c r="L395" s="2"/>
      <c r="M395" s="1">
        <v>10154</v>
      </c>
      <c r="N395" s="1" t="s">
        <v>36</v>
      </c>
      <c r="O395" s="11" t="s">
        <v>745</v>
      </c>
      <c r="P395" s="3"/>
    </row>
    <row r="396" spans="1:16">
      <c r="A396" s="6">
        <v>10644</v>
      </c>
      <c r="B396" s="6">
        <v>88</v>
      </c>
      <c r="C396" s="6">
        <v>3</v>
      </c>
      <c r="D396" s="8">
        <v>39319</v>
      </c>
      <c r="E396" s="8">
        <v>39347</v>
      </c>
      <c r="F396" s="8">
        <v>39326</v>
      </c>
      <c r="G396" s="6">
        <v>2</v>
      </c>
      <c r="H396" s="1">
        <v>0.14000000000000001</v>
      </c>
      <c r="I396" s="1" t="s">
        <v>1083</v>
      </c>
      <c r="J396" s="1" t="s">
        <v>556</v>
      </c>
      <c r="K396" s="1" t="s">
        <v>557</v>
      </c>
      <c r="L396" s="1" t="s">
        <v>128</v>
      </c>
      <c r="M396" s="1">
        <v>10353</v>
      </c>
      <c r="N396" s="1" t="s">
        <v>129</v>
      </c>
      <c r="O396" s="11" t="s">
        <v>745</v>
      </c>
      <c r="P396" s="3"/>
    </row>
    <row r="397" spans="1:16">
      <c r="A397" s="6">
        <v>10645</v>
      </c>
      <c r="B397" s="6">
        <v>34</v>
      </c>
      <c r="C397" s="6">
        <v>4</v>
      </c>
      <c r="D397" s="8">
        <v>39320</v>
      </c>
      <c r="E397" s="8">
        <v>39348</v>
      </c>
      <c r="F397" s="8">
        <v>39327</v>
      </c>
      <c r="G397" s="6">
        <v>1</v>
      </c>
      <c r="H397" s="1">
        <v>12.41</v>
      </c>
      <c r="I397" s="1" t="s">
        <v>1101</v>
      </c>
      <c r="J397" s="1" t="s">
        <v>1102</v>
      </c>
      <c r="K397" s="1" t="s">
        <v>242</v>
      </c>
      <c r="L397" s="1" t="s">
        <v>243</v>
      </c>
      <c r="M397" s="1">
        <v>10194</v>
      </c>
      <c r="N397" s="1" t="s">
        <v>129</v>
      </c>
      <c r="O397" s="11" t="s">
        <v>745</v>
      </c>
      <c r="P397" s="3"/>
    </row>
    <row r="398" spans="1:16">
      <c r="A398" s="6">
        <v>10646</v>
      </c>
      <c r="B398" s="6">
        <v>37</v>
      </c>
      <c r="C398" s="6">
        <v>9</v>
      </c>
      <c r="D398" s="8">
        <v>39321</v>
      </c>
      <c r="E398" s="8">
        <v>39363</v>
      </c>
      <c r="F398" s="8">
        <v>39328</v>
      </c>
      <c r="G398" s="6">
        <v>3</v>
      </c>
      <c r="H398" s="1">
        <v>142.33000000000001</v>
      </c>
      <c r="I398" s="1" t="s">
        <v>827</v>
      </c>
      <c r="J398" s="1" t="s">
        <v>828</v>
      </c>
      <c r="K398" s="1" t="s">
        <v>262</v>
      </c>
      <c r="L398" s="1" t="s">
        <v>263</v>
      </c>
      <c r="M398" s="1">
        <v>10202</v>
      </c>
      <c r="N398" s="1" t="s">
        <v>264</v>
      </c>
      <c r="O398" s="11" t="s">
        <v>745</v>
      </c>
      <c r="P398" s="3"/>
    </row>
    <row r="399" spans="1:16">
      <c r="A399" s="6">
        <v>10647</v>
      </c>
      <c r="B399" s="6">
        <v>61</v>
      </c>
      <c r="C399" s="6">
        <v>4</v>
      </c>
      <c r="D399" s="8">
        <v>39321</v>
      </c>
      <c r="E399" s="8">
        <v>39335</v>
      </c>
      <c r="F399" s="8">
        <v>39328</v>
      </c>
      <c r="G399" s="6">
        <v>2</v>
      </c>
      <c r="H399" s="1">
        <v>45.54</v>
      </c>
      <c r="I399" s="1" t="s">
        <v>765</v>
      </c>
      <c r="J399" s="1" t="s">
        <v>766</v>
      </c>
      <c r="K399" s="1" t="s">
        <v>242</v>
      </c>
      <c r="L399" s="1" t="s">
        <v>243</v>
      </c>
      <c r="M399" s="1">
        <v>10274</v>
      </c>
      <c r="N399" s="1" t="s">
        <v>129</v>
      </c>
      <c r="O399" s="11" t="s">
        <v>745</v>
      </c>
      <c r="P399" s="3"/>
    </row>
    <row r="400" spans="1:16">
      <c r="A400" s="6">
        <v>10648</v>
      </c>
      <c r="B400" s="6">
        <v>67</v>
      </c>
      <c r="C400" s="6">
        <v>5</v>
      </c>
      <c r="D400" s="8">
        <v>39322</v>
      </c>
      <c r="E400" s="8">
        <v>39364</v>
      </c>
      <c r="F400" s="8">
        <v>39334</v>
      </c>
      <c r="G400" s="6">
        <v>2</v>
      </c>
      <c r="H400" s="1">
        <v>14.25</v>
      </c>
      <c r="I400" s="1" t="s">
        <v>986</v>
      </c>
      <c r="J400" s="1" t="s">
        <v>987</v>
      </c>
      <c r="K400" s="1" t="s">
        <v>242</v>
      </c>
      <c r="L400" s="1" t="s">
        <v>243</v>
      </c>
      <c r="M400" s="1">
        <v>10293</v>
      </c>
      <c r="N400" s="1" t="s">
        <v>129</v>
      </c>
      <c r="O400" s="11" t="s">
        <v>745</v>
      </c>
      <c r="P400" s="3"/>
    </row>
    <row r="401" spans="1:16">
      <c r="A401" s="6">
        <v>10649</v>
      </c>
      <c r="B401" s="6">
        <v>50</v>
      </c>
      <c r="C401" s="6">
        <v>5</v>
      </c>
      <c r="D401" s="8">
        <v>39322</v>
      </c>
      <c r="E401" s="8">
        <v>39350</v>
      </c>
      <c r="F401" s="8">
        <v>39323</v>
      </c>
      <c r="G401" s="6">
        <v>3</v>
      </c>
      <c r="H401" s="1">
        <v>6.2</v>
      </c>
      <c r="I401" s="1" t="s">
        <v>1053</v>
      </c>
      <c r="J401" s="1" t="s">
        <v>1054</v>
      </c>
      <c r="K401" s="1" t="s">
        <v>344</v>
      </c>
      <c r="L401" s="2"/>
      <c r="M401" s="1">
        <v>10242</v>
      </c>
      <c r="N401" s="1" t="s">
        <v>345</v>
      </c>
      <c r="O401" s="11" t="s">
        <v>745</v>
      </c>
      <c r="P401" s="3"/>
    </row>
    <row r="402" spans="1:16">
      <c r="A402" s="6">
        <v>10650</v>
      </c>
      <c r="B402" s="6">
        <v>21</v>
      </c>
      <c r="C402" s="6">
        <v>5</v>
      </c>
      <c r="D402" s="8">
        <v>39323</v>
      </c>
      <c r="E402" s="8">
        <v>39351</v>
      </c>
      <c r="F402" s="8">
        <v>39328</v>
      </c>
      <c r="G402" s="6">
        <v>3</v>
      </c>
      <c r="H402" s="1">
        <v>176.81</v>
      </c>
      <c r="I402" s="1" t="s">
        <v>957</v>
      </c>
      <c r="J402" s="1" t="s">
        <v>164</v>
      </c>
      <c r="K402" s="1" t="s">
        <v>127</v>
      </c>
      <c r="L402" s="1" t="s">
        <v>128</v>
      </c>
      <c r="M402" s="1">
        <v>10161</v>
      </c>
      <c r="N402" s="1" t="s">
        <v>129</v>
      </c>
      <c r="O402" s="11" t="s">
        <v>745</v>
      </c>
      <c r="P402" s="3"/>
    </row>
    <row r="403" spans="1:16">
      <c r="A403" s="6">
        <v>10651</v>
      </c>
      <c r="B403" s="6">
        <v>86</v>
      </c>
      <c r="C403" s="6">
        <v>8</v>
      </c>
      <c r="D403" s="8">
        <v>39326</v>
      </c>
      <c r="E403" s="8">
        <v>39354</v>
      </c>
      <c r="F403" s="8">
        <v>39336</v>
      </c>
      <c r="G403" s="6">
        <v>2</v>
      </c>
      <c r="H403" s="1">
        <v>20.6</v>
      </c>
      <c r="I403" s="1" t="s">
        <v>829</v>
      </c>
      <c r="J403" s="1" t="s">
        <v>830</v>
      </c>
      <c r="K403" s="1" t="s">
        <v>544</v>
      </c>
      <c r="L403" s="2"/>
      <c r="M403" s="1">
        <v>10347</v>
      </c>
      <c r="N403" s="1" t="s">
        <v>36</v>
      </c>
      <c r="O403" s="11" t="s">
        <v>745</v>
      </c>
      <c r="P403" s="3"/>
    </row>
    <row r="404" spans="1:16">
      <c r="A404" s="6">
        <v>10652</v>
      </c>
      <c r="B404" s="6">
        <v>31</v>
      </c>
      <c r="C404" s="6">
        <v>4</v>
      </c>
      <c r="D404" s="8">
        <v>39326</v>
      </c>
      <c r="E404" s="8">
        <v>39354</v>
      </c>
      <c r="F404" s="8">
        <v>39333</v>
      </c>
      <c r="G404" s="6">
        <v>2</v>
      </c>
      <c r="H404" s="1">
        <v>7.14</v>
      </c>
      <c r="I404" s="1" t="s">
        <v>966</v>
      </c>
      <c r="J404" s="1" t="s">
        <v>967</v>
      </c>
      <c r="K404" s="1" t="s">
        <v>222</v>
      </c>
      <c r="L404" s="1" t="s">
        <v>128</v>
      </c>
      <c r="M404" s="1">
        <v>10187</v>
      </c>
      <c r="N404" s="1" t="s">
        <v>129</v>
      </c>
      <c r="O404" s="11" t="s">
        <v>745</v>
      </c>
      <c r="P404" s="3"/>
    </row>
    <row r="405" spans="1:16">
      <c r="A405" s="6">
        <v>10653</v>
      </c>
      <c r="B405" s="6">
        <v>25</v>
      </c>
      <c r="C405" s="6">
        <v>1</v>
      </c>
      <c r="D405" s="8">
        <v>39327</v>
      </c>
      <c r="E405" s="8">
        <v>39355</v>
      </c>
      <c r="F405" s="8">
        <v>39344</v>
      </c>
      <c r="G405" s="6">
        <v>1</v>
      </c>
      <c r="H405" s="1">
        <v>93.25</v>
      </c>
      <c r="I405" s="1" t="s">
        <v>869</v>
      </c>
      <c r="J405" s="1" t="s">
        <v>870</v>
      </c>
      <c r="K405" s="1" t="s">
        <v>186</v>
      </c>
      <c r="L405" s="2"/>
      <c r="M405" s="1">
        <v>10169</v>
      </c>
      <c r="N405" s="1" t="s">
        <v>36</v>
      </c>
      <c r="O405" s="11" t="s">
        <v>745</v>
      </c>
      <c r="P405" s="3"/>
    </row>
    <row r="406" spans="1:16">
      <c r="A406" s="6">
        <v>10654</v>
      </c>
      <c r="B406" s="6">
        <v>5</v>
      </c>
      <c r="C406" s="6">
        <v>5</v>
      </c>
      <c r="D406" s="8">
        <v>39327</v>
      </c>
      <c r="E406" s="8">
        <v>39355</v>
      </c>
      <c r="F406" s="8">
        <v>39336</v>
      </c>
      <c r="G406" s="6">
        <v>1</v>
      </c>
      <c r="H406" s="1">
        <v>55.26</v>
      </c>
      <c r="I406" s="1" t="s">
        <v>796</v>
      </c>
      <c r="J406" s="1" t="s">
        <v>797</v>
      </c>
      <c r="K406" s="1" t="s">
        <v>62</v>
      </c>
      <c r="L406" s="2"/>
      <c r="M406" s="1">
        <v>10269</v>
      </c>
      <c r="N406" s="1" t="s">
        <v>63</v>
      </c>
      <c r="O406" s="11" t="s">
        <v>745</v>
      </c>
      <c r="P406" s="3"/>
    </row>
    <row r="407" spans="1:16">
      <c r="A407" s="6">
        <v>10655</v>
      </c>
      <c r="B407" s="6">
        <v>66</v>
      </c>
      <c r="C407" s="6">
        <v>1</v>
      </c>
      <c r="D407" s="8">
        <v>39328</v>
      </c>
      <c r="E407" s="8">
        <v>39356</v>
      </c>
      <c r="F407" s="8">
        <v>39336</v>
      </c>
      <c r="G407" s="6">
        <v>2</v>
      </c>
      <c r="H407" s="1">
        <v>4.41</v>
      </c>
      <c r="I407" s="1" t="s">
        <v>1069</v>
      </c>
      <c r="J407" s="1" t="s">
        <v>1070</v>
      </c>
      <c r="K407" s="1" t="s">
        <v>431</v>
      </c>
      <c r="L407" s="2"/>
      <c r="M407" s="1">
        <v>10289</v>
      </c>
      <c r="N407" s="1" t="s">
        <v>198</v>
      </c>
      <c r="O407" s="11" t="s">
        <v>745</v>
      </c>
      <c r="P407" s="3"/>
    </row>
    <row r="408" spans="1:16">
      <c r="A408" s="6">
        <v>10656</v>
      </c>
      <c r="B408" s="6">
        <v>32</v>
      </c>
      <c r="C408" s="6">
        <v>6</v>
      </c>
      <c r="D408" s="8">
        <v>39329</v>
      </c>
      <c r="E408" s="8">
        <v>39357</v>
      </c>
      <c r="F408" s="8">
        <v>39335</v>
      </c>
      <c r="G408" s="6">
        <v>1</v>
      </c>
      <c r="H408" s="1">
        <v>57.15</v>
      </c>
      <c r="I408" s="1" t="s">
        <v>1084</v>
      </c>
      <c r="J408" s="1" t="s">
        <v>1085</v>
      </c>
      <c r="K408" s="1" t="s">
        <v>227</v>
      </c>
      <c r="L408" s="1" t="s">
        <v>228</v>
      </c>
      <c r="M408" s="1">
        <v>10190</v>
      </c>
      <c r="N408" s="1" t="s">
        <v>229</v>
      </c>
      <c r="O408" s="11" t="s">
        <v>745</v>
      </c>
      <c r="P408" s="3"/>
    </row>
    <row r="409" spans="1:16">
      <c r="A409" s="6">
        <v>10657</v>
      </c>
      <c r="B409" s="6">
        <v>71</v>
      </c>
      <c r="C409" s="6">
        <v>2</v>
      </c>
      <c r="D409" s="8">
        <v>39329</v>
      </c>
      <c r="E409" s="8">
        <v>39357</v>
      </c>
      <c r="F409" s="8">
        <v>39340</v>
      </c>
      <c r="G409" s="6">
        <v>2</v>
      </c>
      <c r="H409" s="1">
        <v>352.69</v>
      </c>
      <c r="I409" s="1" t="s">
        <v>1044</v>
      </c>
      <c r="J409" s="1" t="s">
        <v>1045</v>
      </c>
      <c r="K409" s="1" t="s">
        <v>458</v>
      </c>
      <c r="L409" s="1" t="s">
        <v>459</v>
      </c>
      <c r="M409" s="1">
        <v>10305</v>
      </c>
      <c r="N409" s="1" t="s">
        <v>229</v>
      </c>
      <c r="O409" s="11" t="s">
        <v>745</v>
      </c>
      <c r="P409" s="3"/>
    </row>
    <row r="410" spans="1:16">
      <c r="A410" s="6">
        <v>10658</v>
      </c>
      <c r="B410" s="6">
        <v>63</v>
      </c>
      <c r="C410" s="6">
        <v>4</v>
      </c>
      <c r="D410" s="8">
        <v>39330</v>
      </c>
      <c r="E410" s="8">
        <v>39358</v>
      </c>
      <c r="F410" s="8">
        <v>39333</v>
      </c>
      <c r="G410" s="6">
        <v>1</v>
      </c>
      <c r="H410" s="1">
        <v>364.15</v>
      </c>
      <c r="I410" s="1" t="s">
        <v>900</v>
      </c>
      <c r="J410" s="1" t="s">
        <v>901</v>
      </c>
      <c r="K410" s="1" t="s">
        <v>413</v>
      </c>
      <c r="L410" s="2"/>
      <c r="M410" s="1">
        <v>10281</v>
      </c>
      <c r="N410" s="1" t="s">
        <v>36</v>
      </c>
      <c r="O410" s="11" t="s">
        <v>745</v>
      </c>
      <c r="P410" s="3"/>
    </row>
    <row r="411" spans="1:16">
      <c r="A411" s="6">
        <v>10659</v>
      </c>
      <c r="B411" s="6">
        <v>62</v>
      </c>
      <c r="C411" s="6">
        <v>7</v>
      </c>
      <c r="D411" s="8">
        <v>39330</v>
      </c>
      <c r="E411" s="8">
        <v>39358</v>
      </c>
      <c r="F411" s="8">
        <v>39335</v>
      </c>
      <c r="G411" s="6">
        <v>2</v>
      </c>
      <c r="H411" s="1">
        <v>105.81</v>
      </c>
      <c r="I411" s="1" t="s">
        <v>1026</v>
      </c>
      <c r="J411" s="1" t="s">
        <v>1027</v>
      </c>
      <c r="K411" s="1" t="s">
        <v>127</v>
      </c>
      <c r="L411" s="1" t="s">
        <v>128</v>
      </c>
      <c r="M411" s="1">
        <v>10277</v>
      </c>
      <c r="N411" s="1" t="s">
        <v>129</v>
      </c>
      <c r="O411" s="11" t="s">
        <v>745</v>
      </c>
      <c r="P411" s="3"/>
    </row>
    <row r="412" spans="1:16">
      <c r="A412" s="6">
        <v>10660</v>
      </c>
      <c r="B412" s="6">
        <v>36</v>
      </c>
      <c r="C412" s="6">
        <v>8</v>
      </c>
      <c r="D412" s="8">
        <v>39333</v>
      </c>
      <c r="E412" s="8">
        <v>39361</v>
      </c>
      <c r="F412" s="8">
        <v>39370</v>
      </c>
      <c r="G412" s="6">
        <v>1</v>
      </c>
      <c r="H412" s="1">
        <v>111.29</v>
      </c>
      <c r="I412" s="1" t="s">
        <v>920</v>
      </c>
      <c r="J412" s="1" t="s">
        <v>921</v>
      </c>
      <c r="K412" s="1" t="s">
        <v>256</v>
      </c>
      <c r="L412" s="1" t="s">
        <v>228</v>
      </c>
      <c r="M412" s="1">
        <v>10201</v>
      </c>
      <c r="N412" s="1" t="s">
        <v>229</v>
      </c>
      <c r="O412" s="11" t="s">
        <v>745</v>
      </c>
      <c r="P412" s="3"/>
    </row>
    <row r="413" spans="1:16">
      <c r="A413" s="6">
        <v>10661</v>
      </c>
      <c r="B413" s="6">
        <v>37</v>
      </c>
      <c r="C413" s="6">
        <v>7</v>
      </c>
      <c r="D413" s="8">
        <v>39334</v>
      </c>
      <c r="E413" s="8">
        <v>39362</v>
      </c>
      <c r="F413" s="8">
        <v>39340</v>
      </c>
      <c r="G413" s="6">
        <v>3</v>
      </c>
      <c r="H413" s="1">
        <v>17.55</v>
      </c>
      <c r="I413" s="1" t="s">
        <v>827</v>
      </c>
      <c r="J413" s="1" t="s">
        <v>828</v>
      </c>
      <c r="K413" s="1" t="s">
        <v>262</v>
      </c>
      <c r="L413" s="1" t="s">
        <v>263</v>
      </c>
      <c r="M413" s="1">
        <v>10202</v>
      </c>
      <c r="N413" s="1" t="s">
        <v>264</v>
      </c>
      <c r="O413" s="11" t="s">
        <v>745</v>
      </c>
      <c r="P413" s="3"/>
    </row>
    <row r="414" spans="1:16">
      <c r="A414" s="6">
        <v>10662</v>
      </c>
      <c r="B414" s="6">
        <v>48</v>
      </c>
      <c r="C414" s="6">
        <v>3</v>
      </c>
      <c r="D414" s="8">
        <v>39334</v>
      </c>
      <c r="E414" s="8">
        <v>39362</v>
      </c>
      <c r="F414" s="8">
        <v>39343</v>
      </c>
      <c r="G414" s="6">
        <v>2</v>
      </c>
      <c r="H414" s="1">
        <v>1.28</v>
      </c>
      <c r="I414" s="1" t="s">
        <v>1061</v>
      </c>
      <c r="J414" s="1" t="s">
        <v>1062</v>
      </c>
      <c r="K414" s="1" t="s">
        <v>332</v>
      </c>
      <c r="L414" s="1" t="s">
        <v>228</v>
      </c>
      <c r="M414" s="1">
        <v>10234</v>
      </c>
      <c r="N414" s="1" t="s">
        <v>229</v>
      </c>
      <c r="O414" s="11" t="s">
        <v>745</v>
      </c>
      <c r="P414" s="3"/>
    </row>
    <row r="415" spans="1:16">
      <c r="A415" s="6">
        <v>10663</v>
      </c>
      <c r="B415" s="6">
        <v>9</v>
      </c>
      <c r="C415" s="6">
        <v>2</v>
      </c>
      <c r="D415" s="8">
        <v>39335</v>
      </c>
      <c r="E415" s="8">
        <v>39349</v>
      </c>
      <c r="F415" s="8">
        <v>39358</v>
      </c>
      <c r="G415" s="6">
        <v>2</v>
      </c>
      <c r="H415" s="1">
        <v>113.15</v>
      </c>
      <c r="I415" s="1" t="s">
        <v>902</v>
      </c>
      <c r="J415" s="1" t="s">
        <v>903</v>
      </c>
      <c r="K415" s="1" t="s">
        <v>90</v>
      </c>
      <c r="L415" s="2"/>
      <c r="M415" s="1">
        <v>10368</v>
      </c>
      <c r="N415" s="1" t="s">
        <v>77</v>
      </c>
      <c r="O415" s="11" t="s">
        <v>745</v>
      </c>
      <c r="P415" s="3"/>
    </row>
    <row r="416" spans="1:16">
      <c r="A416" s="6">
        <v>10664</v>
      </c>
      <c r="B416" s="6">
        <v>28</v>
      </c>
      <c r="C416" s="6">
        <v>1</v>
      </c>
      <c r="D416" s="8">
        <v>39335</v>
      </c>
      <c r="E416" s="8">
        <v>39363</v>
      </c>
      <c r="F416" s="8">
        <v>39344</v>
      </c>
      <c r="G416" s="6">
        <v>3</v>
      </c>
      <c r="H416" s="1">
        <v>1.27</v>
      </c>
      <c r="I416" s="1" t="s">
        <v>884</v>
      </c>
      <c r="J416" s="1" t="s">
        <v>885</v>
      </c>
      <c r="K416" s="1" t="s">
        <v>204</v>
      </c>
      <c r="L416" s="2"/>
      <c r="M416" s="1">
        <v>10177</v>
      </c>
      <c r="N416" s="1" t="s">
        <v>205</v>
      </c>
      <c r="O416" s="11" t="s">
        <v>745</v>
      </c>
      <c r="P416" s="3"/>
    </row>
    <row r="417" spans="1:16">
      <c r="A417" s="6">
        <v>10665</v>
      </c>
      <c r="B417" s="6">
        <v>48</v>
      </c>
      <c r="C417" s="6">
        <v>1</v>
      </c>
      <c r="D417" s="8">
        <v>39336</v>
      </c>
      <c r="E417" s="8">
        <v>39364</v>
      </c>
      <c r="F417" s="8">
        <v>39342</v>
      </c>
      <c r="G417" s="6">
        <v>2</v>
      </c>
      <c r="H417" s="1">
        <v>26.31</v>
      </c>
      <c r="I417" s="1" t="s">
        <v>835</v>
      </c>
      <c r="J417" s="1" t="s">
        <v>836</v>
      </c>
      <c r="K417" s="1" t="s">
        <v>332</v>
      </c>
      <c r="L417" s="1" t="s">
        <v>228</v>
      </c>
      <c r="M417" s="1">
        <v>10233</v>
      </c>
      <c r="N417" s="1" t="s">
        <v>229</v>
      </c>
      <c r="O417" s="11" t="s">
        <v>745</v>
      </c>
      <c r="P417" s="3"/>
    </row>
    <row r="418" spans="1:16">
      <c r="A418" s="6">
        <v>10666</v>
      </c>
      <c r="B418" s="6">
        <v>68</v>
      </c>
      <c r="C418" s="6">
        <v>7</v>
      </c>
      <c r="D418" s="8">
        <v>39337</v>
      </c>
      <c r="E418" s="8">
        <v>39365</v>
      </c>
      <c r="F418" s="8">
        <v>39347</v>
      </c>
      <c r="G418" s="6">
        <v>2</v>
      </c>
      <c r="H418" s="1">
        <v>232.42</v>
      </c>
      <c r="I418" s="1" t="s">
        <v>754</v>
      </c>
      <c r="J418" s="1" t="s">
        <v>755</v>
      </c>
      <c r="K418" s="1" t="s">
        <v>441</v>
      </c>
      <c r="L418" s="2"/>
      <c r="M418" s="1">
        <v>10294</v>
      </c>
      <c r="N418" s="1" t="s">
        <v>121</v>
      </c>
      <c r="O418" s="11" t="s">
        <v>745</v>
      </c>
      <c r="P418" s="3"/>
    </row>
    <row r="419" spans="1:16">
      <c r="A419" s="6">
        <v>10667</v>
      </c>
      <c r="B419" s="6">
        <v>20</v>
      </c>
      <c r="C419" s="6">
        <v>7</v>
      </c>
      <c r="D419" s="8">
        <v>39337</v>
      </c>
      <c r="E419" s="8">
        <v>39365</v>
      </c>
      <c r="F419" s="8">
        <v>39344</v>
      </c>
      <c r="G419" s="6">
        <v>1</v>
      </c>
      <c r="H419" s="1">
        <v>78.09</v>
      </c>
      <c r="I419" s="1" t="s">
        <v>974</v>
      </c>
      <c r="J419" s="1" t="s">
        <v>975</v>
      </c>
      <c r="K419" s="1" t="s">
        <v>157</v>
      </c>
      <c r="L419" s="2"/>
      <c r="M419" s="1">
        <v>10159</v>
      </c>
      <c r="N419" s="1" t="s">
        <v>158</v>
      </c>
      <c r="O419" s="11" t="s">
        <v>745</v>
      </c>
      <c r="P419" s="3"/>
    </row>
    <row r="420" spans="1:16">
      <c r="A420" s="6">
        <v>10668</v>
      </c>
      <c r="B420" s="6">
        <v>86</v>
      </c>
      <c r="C420" s="6">
        <v>1</v>
      </c>
      <c r="D420" s="8">
        <v>39340</v>
      </c>
      <c r="E420" s="8">
        <v>39368</v>
      </c>
      <c r="F420" s="8">
        <v>39348</v>
      </c>
      <c r="G420" s="6">
        <v>2</v>
      </c>
      <c r="H420" s="1">
        <v>47.22</v>
      </c>
      <c r="I420" s="1" t="s">
        <v>1095</v>
      </c>
      <c r="J420" s="1" t="s">
        <v>1096</v>
      </c>
      <c r="K420" s="1" t="s">
        <v>544</v>
      </c>
      <c r="L420" s="2"/>
      <c r="M420" s="1">
        <v>10349</v>
      </c>
      <c r="N420" s="1" t="s">
        <v>36</v>
      </c>
      <c r="O420" s="11" t="s">
        <v>745</v>
      </c>
      <c r="P420" s="3"/>
    </row>
    <row r="421" spans="1:16">
      <c r="A421" s="6">
        <v>10669</v>
      </c>
      <c r="B421" s="6">
        <v>73</v>
      </c>
      <c r="C421" s="6">
        <v>2</v>
      </c>
      <c r="D421" s="8">
        <v>39340</v>
      </c>
      <c r="E421" s="8">
        <v>39368</v>
      </c>
      <c r="F421" s="8">
        <v>39347</v>
      </c>
      <c r="G421" s="6">
        <v>1</v>
      </c>
      <c r="H421" s="1">
        <v>24.39</v>
      </c>
      <c r="I421" s="1" t="s">
        <v>876</v>
      </c>
      <c r="J421" s="1" t="s">
        <v>877</v>
      </c>
      <c r="K421" s="1" t="s">
        <v>469</v>
      </c>
      <c r="L421" s="2"/>
      <c r="M421" s="1">
        <v>10310</v>
      </c>
      <c r="N421" s="1" t="s">
        <v>470</v>
      </c>
      <c r="O421" s="11" t="s">
        <v>745</v>
      </c>
      <c r="P421" s="3"/>
    </row>
    <row r="422" spans="1:16">
      <c r="A422" s="6">
        <v>10670</v>
      </c>
      <c r="B422" s="6">
        <v>25</v>
      </c>
      <c r="C422" s="6">
        <v>4</v>
      </c>
      <c r="D422" s="8">
        <v>39341</v>
      </c>
      <c r="E422" s="8">
        <v>39369</v>
      </c>
      <c r="F422" s="8">
        <v>39343</v>
      </c>
      <c r="G422" s="6">
        <v>1</v>
      </c>
      <c r="H422" s="1">
        <v>203.48</v>
      </c>
      <c r="I422" s="1" t="s">
        <v>869</v>
      </c>
      <c r="J422" s="1" t="s">
        <v>870</v>
      </c>
      <c r="K422" s="1" t="s">
        <v>186</v>
      </c>
      <c r="L422" s="2"/>
      <c r="M422" s="1">
        <v>10169</v>
      </c>
      <c r="N422" s="1" t="s">
        <v>36</v>
      </c>
      <c r="O422" s="11" t="s">
        <v>745</v>
      </c>
      <c r="P422" s="3"/>
    </row>
    <row r="423" spans="1:16">
      <c r="A423" s="6">
        <v>10671</v>
      </c>
      <c r="B423" s="6">
        <v>26</v>
      </c>
      <c r="C423" s="6">
        <v>1</v>
      </c>
      <c r="D423" s="8">
        <v>39342</v>
      </c>
      <c r="E423" s="8">
        <v>39370</v>
      </c>
      <c r="F423" s="8">
        <v>39349</v>
      </c>
      <c r="G423" s="6">
        <v>1</v>
      </c>
      <c r="H423" s="1">
        <v>30.34</v>
      </c>
      <c r="I423" s="1" t="s">
        <v>1103</v>
      </c>
      <c r="J423" s="1" t="s">
        <v>1104</v>
      </c>
      <c r="K423" s="1" t="s">
        <v>145</v>
      </c>
      <c r="L423" s="2"/>
      <c r="M423" s="1">
        <v>10172</v>
      </c>
      <c r="N423" s="1" t="s">
        <v>77</v>
      </c>
      <c r="O423" s="11" t="s">
        <v>745</v>
      </c>
      <c r="P423" s="3"/>
    </row>
    <row r="424" spans="1:16">
      <c r="A424" s="6">
        <v>10672</v>
      </c>
      <c r="B424" s="6">
        <v>5</v>
      </c>
      <c r="C424" s="6">
        <v>9</v>
      </c>
      <c r="D424" s="8">
        <v>39342</v>
      </c>
      <c r="E424" s="8">
        <v>39356</v>
      </c>
      <c r="F424" s="8">
        <v>39351</v>
      </c>
      <c r="G424" s="6">
        <v>2</v>
      </c>
      <c r="H424" s="1">
        <v>95.75</v>
      </c>
      <c r="I424" s="1" t="s">
        <v>796</v>
      </c>
      <c r="J424" s="1" t="s">
        <v>797</v>
      </c>
      <c r="K424" s="1" t="s">
        <v>62</v>
      </c>
      <c r="L424" s="2"/>
      <c r="M424" s="1">
        <v>10269</v>
      </c>
      <c r="N424" s="1" t="s">
        <v>63</v>
      </c>
      <c r="O424" s="11" t="s">
        <v>745</v>
      </c>
      <c r="P424" s="3"/>
    </row>
    <row r="425" spans="1:16">
      <c r="A425" s="6">
        <v>10673</v>
      </c>
      <c r="B425" s="6">
        <v>90</v>
      </c>
      <c r="C425" s="6">
        <v>2</v>
      </c>
      <c r="D425" s="8">
        <v>39343</v>
      </c>
      <c r="E425" s="8">
        <v>39371</v>
      </c>
      <c r="F425" s="8">
        <v>39344</v>
      </c>
      <c r="G425" s="6">
        <v>1</v>
      </c>
      <c r="H425" s="1">
        <v>22.76</v>
      </c>
      <c r="I425" s="1" t="s">
        <v>1087</v>
      </c>
      <c r="J425" s="1" t="s">
        <v>1088</v>
      </c>
      <c r="K425" s="1" t="s">
        <v>569</v>
      </c>
      <c r="L425" s="2"/>
      <c r="M425" s="1">
        <v>10362</v>
      </c>
      <c r="N425" s="1" t="s">
        <v>551</v>
      </c>
      <c r="O425" s="11" t="s">
        <v>745</v>
      </c>
      <c r="P425" s="3"/>
    </row>
    <row r="426" spans="1:16">
      <c r="A426" s="6">
        <v>10674</v>
      </c>
      <c r="B426" s="6">
        <v>38</v>
      </c>
      <c r="C426" s="6">
        <v>4</v>
      </c>
      <c r="D426" s="8">
        <v>39343</v>
      </c>
      <c r="E426" s="8">
        <v>39371</v>
      </c>
      <c r="F426" s="8">
        <v>39355</v>
      </c>
      <c r="G426" s="6">
        <v>2</v>
      </c>
      <c r="H426" s="1">
        <v>0.9</v>
      </c>
      <c r="I426" s="1" t="s">
        <v>1105</v>
      </c>
      <c r="J426" s="1" t="s">
        <v>1106</v>
      </c>
      <c r="K426" s="1" t="s">
        <v>270</v>
      </c>
      <c r="L426" s="1" t="s">
        <v>271</v>
      </c>
      <c r="M426" s="1">
        <v>10205</v>
      </c>
      <c r="N426" s="1" t="s">
        <v>55</v>
      </c>
      <c r="O426" s="11" t="s">
        <v>745</v>
      </c>
      <c r="P426" s="3"/>
    </row>
    <row r="427" spans="1:16">
      <c r="A427" s="6">
        <v>10675</v>
      </c>
      <c r="B427" s="6">
        <v>25</v>
      </c>
      <c r="C427" s="6">
        <v>5</v>
      </c>
      <c r="D427" s="8">
        <v>39344</v>
      </c>
      <c r="E427" s="8">
        <v>39372</v>
      </c>
      <c r="F427" s="8">
        <v>39348</v>
      </c>
      <c r="G427" s="6">
        <v>2</v>
      </c>
      <c r="H427" s="1">
        <v>31.85</v>
      </c>
      <c r="I427" s="1" t="s">
        <v>1107</v>
      </c>
      <c r="J427" s="1" t="s">
        <v>1108</v>
      </c>
      <c r="K427" s="1" t="s">
        <v>186</v>
      </c>
      <c r="L427" s="2"/>
      <c r="M427" s="1">
        <v>10170</v>
      </c>
      <c r="N427" s="1" t="s">
        <v>36</v>
      </c>
      <c r="O427" s="11" t="s">
        <v>745</v>
      </c>
      <c r="P427" s="3"/>
    </row>
    <row r="428" spans="1:16">
      <c r="A428" s="6">
        <v>10676</v>
      </c>
      <c r="B428" s="6">
        <v>80</v>
      </c>
      <c r="C428" s="6">
        <v>2</v>
      </c>
      <c r="D428" s="8">
        <v>39347</v>
      </c>
      <c r="E428" s="8">
        <v>39375</v>
      </c>
      <c r="F428" s="8">
        <v>39354</v>
      </c>
      <c r="G428" s="6">
        <v>2</v>
      </c>
      <c r="H428" s="1">
        <v>2.0099999999999998</v>
      </c>
      <c r="I428" s="1" t="s">
        <v>792</v>
      </c>
      <c r="J428" s="1" t="s">
        <v>793</v>
      </c>
      <c r="K428" s="1" t="s">
        <v>43</v>
      </c>
      <c r="L428" s="2"/>
      <c r="M428" s="1">
        <v>10334</v>
      </c>
      <c r="N428" s="1" t="s">
        <v>44</v>
      </c>
      <c r="O428" s="11" t="s">
        <v>745</v>
      </c>
      <c r="P428" s="3"/>
    </row>
    <row r="429" spans="1:16">
      <c r="A429" s="6">
        <v>10677</v>
      </c>
      <c r="B429" s="6">
        <v>3</v>
      </c>
      <c r="C429" s="6">
        <v>1</v>
      </c>
      <c r="D429" s="8">
        <v>39347</v>
      </c>
      <c r="E429" s="8">
        <v>39375</v>
      </c>
      <c r="F429" s="8">
        <v>39351</v>
      </c>
      <c r="G429" s="6">
        <v>3</v>
      </c>
      <c r="H429" s="1">
        <v>4.03</v>
      </c>
      <c r="I429" s="1" t="s">
        <v>1073</v>
      </c>
      <c r="J429" s="1" t="s">
        <v>1074</v>
      </c>
      <c r="K429" s="1" t="s">
        <v>43</v>
      </c>
      <c r="L429" s="2"/>
      <c r="M429" s="1">
        <v>10212</v>
      </c>
      <c r="N429" s="1" t="s">
        <v>44</v>
      </c>
      <c r="O429" s="11" t="s">
        <v>745</v>
      </c>
      <c r="P429" s="3"/>
    </row>
    <row r="430" spans="1:16">
      <c r="A430" s="6">
        <v>10678</v>
      </c>
      <c r="B430" s="6">
        <v>71</v>
      </c>
      <c r="C430" s="6">
        <v>7</v>
      </c>
      <c r="D430" s="8">
        <v>39348</v>
      </c>
      <c r="E430" s="8">
        <v>39376</v>
      </c>
      <c r="F430" s="8">
        <v>39371</v>
      </c>
      <c r="G430" s="6">
        <v>3</v>
      </c>
      <c r="H430" s="1">
        <v>388.98</v>
      </c>
      <c r="I430" s="1" t="s">
        <v>1044</v>
      </c>
      <c r="J430" s="1" t="s">
        <v>1045</v>
      </c>
      <c r="K430" s="1" t="s">
        <v>458</v>
      </c>
      <c r="L430" s="1" t="s">
        <v>459</v>
      </c>
      <c r="M430" s="1">
        <v>10305</v>
      </c>
      <c r="N430" s="1" t="s">
        <v>229</v>
      </c>
      <c r="O430" s="11" t="s">
        <v>745</v>
      </c>
      <c r="P430" s="3"/>
    </row>
    <row r="431" spans="1:16">
      <c r="A431" s="6">
        <v>10679</v>
      </c>
      <c r="B431" s="6">
        <v>7</v>
      </c>
      <c r="C431" s="6">
        <v>8</v>
      </c>
      <c r="D431" s="8">
        <v>39348</v>
      </c>
      <c r="E431" s="8">
        <v>39376</v>
      </c>
      <c r="F431" s="8">
        <v>39355</v>
      </c>
      <c r="G431" s="6">
        <v>3</v>
      </c>
      <c r="H431" s="1">
        <v>27.94</v>
      </c>
      <c r="I431" s="1" t="s">
        <v>773</v>
      </c>
      <c r="J431" s="1" t="s">
        <v>774</v>
      </c>
      <c r="K431" s="1" t="s">
        <v>76</v>
      </c>
      <c r="L431" s="2"/>
      <c r="M431" s="1">
        <v>10329</v>
      </c>
      <c r="N431" s="1" t="s">
        <v>77</v>
      </c>
      <c r="O431" s="11" t="s">
        <v>745</v>
      </c>
      <c r="P431" s="3"/>
    </row>
    <row r="432" spans="1:16">
      <c r="A432" s="6">
        <v>10680</v>
      </c>
      <c r="B432" s="6">
        <v>55</v>
      </c>
      <c r="C432" s="6">
        <v>1</v>
      </c>
      <c r="D432" s="8">
        <v>39349</v>
      </c>
      <c r="E432" s="8">
        <v>39377</v>
      </c>
      <c r="F432" s="8">
        <v>39351</v>
      </c>
      <c r="G432" s="6">
        <v>1</v>
      </c>
      <c r="H432" s="1">
        <v>26.61</v>
      </c>
      <c r="I432" s="1" t="s">
        <v>833</v>
      </c>
      <c r="J432" s="1" t="s">
        <v>834</v>
      </c>
      <c r="K432" s="1" t="s">
        <v>371</v>
      </c>
      <c r="L432" s="1" t="s">
        <v>372</v>
      </c>
      <c r="M432" s="1">
        <v>10256</v>
      </c>
      <c r="N432" s="1" t="s">
        <v>229</v>
      </c>
      <c r="O432" s="11" t="s">
        <v>745</v>
      </c>
      <c r="P432" s="3"/>
    </row>
    <row r="433" spans="1:16">
      <c r="A433" s="6">
        <v>10681</v>
      </c>
      <c r="B433" s="6">
        <v>32</v>
      </c>
      <c r="C433" s="6">
        <v>3</v>
      </c>
      <c r="D433" s="8">
        <v>39350</v>
      </c>
      <c r="E433" s="8">
        <v>39378</v>
      </c>
      <c r="F433" s="8">
        <v>39355</v>
      </c>
      <c r="G433" s="6">
        <v>3</v>
      </c>
      <c r="H433" s="1">
        <v>76.13</v>
      </c>
      <c r="I433" s="1" t="s">
        <v>1084</v>
      </c>
      <c r="J433" s="1" t="s">
        <v>1085</v>
      </c>
      <c r="K433" s="1" t="s">
        <v>227</v>
      </c>
      <c r="L433" s="1" t="s">
        <v>228</v>
      </c>
      <c r="M433" s="1">
        <v>10190</v>
      </c>
      <c r="N433" s="1" t="s">
        <v>229</v>
      </c>
      <c r="O433" s="11" t="s">
        <v>745</v>
      </c>
      <c r="P433" s="3"/>
    </row>
    <row r="434" spans="1:16">
      <c r="A434" s="6">
        <v>10682</v>
      </c>
      <c r="B434" s="6">
        <v>3</v>
      </c>
      <c r="C434" s="6">
        <v>3</v>
      </c>
      <c r="D434" s="8">
        <v>39350</v>
      </c>
      <c r="E434" s="8">
        <v>39378</v>
      </c>
      <c r="F434" s="8">
        <v>39356</v>
      </c>
      <c r="G434" s="6">
        <v>2</v>
      </c>
      <c r="H434" s="1">
        <v>36.130000000000003</v>
      </c>
      <c r="I434" s="1" t="s">
        <v>1109</v>
      </c>
      <c r="J434" s="1" t="s">
        <v>1110</v>
      </c>
      <c r="K434" s="1" t="s">
        <v>43</v>
      </c>
      <c r="L434" s="2"/>
      <c r="M434" s="1">
        <v>10210</v>
      </c>
      <c r="N434" s="1" t="s">
        <v>44</v>
      </c>
      <c r="O434" s="11" t="s">
        <v>745</v>
      </c>
      <c r="P434" s="3"/>
    </row>
    <row r="435" spans="1:16">
      <c r="A435" s="6">
        <v>10683</v>
      </c>
      <c r="B435" s="6">
        <v>18</v>
      </c>
      <c r="C435" s="6">
        <v>2</v>
      </c>
      <c r="D435" s="8">
        <v>39351</v>
      </c>
      <c r="E435" s="8">
        <v>39379</v>
      </c>
      <c r="F435" s="8">
        <v>39356</v>
      </c>
      <c r="G435" s="6">
        <v>1</v>
      </c>
      <c r="H435" s="1">
        <v>4.4000000000000004</v>
      </c>
      <c r="I435" s="1" t="s">
        <v>1111</v>
      </c>
      <c r="J435" s="1" t="s">
        <v>1112</v>
      </c>
      <c r="K435" s="1" t="s">
        <v>145</v>
      </c>
      <c r="L435" s="2"/>
      <c r="M435" s="1">
        <v>10150</v>
      </c>
      <c r="N435" s="1" t="s">
        <v>77</v>
      </c>
      <c r="O435" s="11" t="s">
        <v>745</v>
      </c>
      <c r="P435" s="3"/>
    </row>
    <row r="436" spans="1:16">
      <c r="A436" s="6">
        <v>10684</v>
      </c>
      <c r="B436" s="6">
        <v>56</v>
      </c>
      <c r="C436" s="6">
        <v>3</v>
      </c>
      <c r="D436" s="8">
        <v>39351</v>
      </c>
      <c r="E436" s="8">
        <v>39379</v>
      </c>
      <c r="F436" s="8">
        <v>39355</v>
      </c>
      <c r="G436" s="6">
        <v>1</v>
      </c>
      <c r="H436" s="1">
        <v>145.63</v>
      </c>
      <c r="I436" s="1" t="s">
        <v>949</v>
      </c>
      <c r="J436" s="1" t="s">
        <v>950</v>
      </c>
      <c r="K436" s="1" t="s">
        <v>378</v>
      </c>
      <c r="L436" s="2"/>
      <c r="M436" s="1">
        <v>10259</v>
      </c>
      <c r="N436" s="1" t="s">
        <v>36</v>
      </c>
      <c r="O436" s="11" t="s">
        <v>745</v>
      </c>
      <c r="P436" s="3"/>
    </row>
    <row r="437" spans="1:16">
      <c r="A437" s="6">
        <v>10685</v>
      </c>
      <c r="B437" s="6">
        <v>31</v>
      </c>
      <c r="C437" s="6">
        <v>4</v>
      </c>
      <c r="D437" s="8">
        <v>39354</v>
      </c>
      <c r="E437" s="8">
        <v>39368</v>
      </c>
      <c r="F437" s="8">
        <v>39358</v>
      </c>
      <c r="G437" s="6">
        <v>2</v>
      </c>
      <c r="H437" s="1">
        <v>33.75</v>
      </c>
      <c r="I437" s="1" t="s">
        <v>966</v>
      </c>
      <c r="J437" s="1" t="s">
        <v>967</v>
      </c>
      <c r="K437" s="1" t="s">
        <v>222</v>
      </c>
      <c r="L437" s="1" t="s">
        <v>128</v>
      </c>
      <c r="M437" s="1">
        <v>10187</v>
      </c>
      <c r="N437" s="1" t="s">
        <v>129</v>
      </c>
      <c r="O437" s="11" t="s">
        <v>745</v>
      </c>
      <c r="P437" s="3"/>
    </row>
    <row r="438" spans="1:16">
      <c r="A438" s="6">
        <v>10686</v>
      </c>
      <c r="B438" s="6">
        <v>59</v>
      </c>
      <c r="C438" s="6">
        <v>2</v>
      </c>
      <c r="D438" s="8">
        <v>39355</v>
      </c>
      <c r="E438" s="8">
        <v>39383</v>
      </c>
      <c r="F438" s="8">
        <v>39363</v>
      </c>
      <c r="G438" s="6">
        <v>1</v>
      </c>
      <c r="H438" s="1">
        <v>96.5</v>
      </c>
      <c r="I438" s="1" t="s">
        <v>886</v>
      </c>
      <c r="J438" s="1" t="s">
        <v>887</v>
      </c>
      <c r="K438" s="1" t="s">
        <v>394</v>
      </c>
      <c r="L438" s="2"/>
      <c r="M438" s="1">
        <v>10265</v>
      </c>
      <c r="N438" s="1" t="s">
        <v>158</v>
      </c>
      <c r="O438" s="11" t="s">
        <v>745</v>
      </c>
      <c r="P438" s="3"/>
    </row>
    <row r="439" spans="1:16">
      <c r="A439" s="6">
        <v>10687</v>
      </c>
      <c r="B439" s="6">
        <v>37</v>
      </c>
      <c r="C439" s="6">
        <v>9</v>
      </c>
      <c r="D439" s="8">
        <v>39355</v>
      </c>
      <c r="E439" s="8">
        <v>39383</v>
      </c>
      <c r="F439" s="8">
        <v>39385</v>
      </c>
      <c r="G439" s="6">
        <v>2</v>
      </c>
      <c r="H439" s="1">
        <v>296.43</v>
      </c>
      <c r="I439" s="1" t="s">
        <v>916</v>
      </c>
      <c r="J439" s="1" t="s">
        <v>917</v>
      </c>
      <c r="K439" s="1" t="s">
        <v>262</v>
      </c>
      <c r="L439" s="1" t="s">
        <v>263</v>
      </c>
      <c r="M439" s="1">
        <v>10203</v>
      </c>
      <c r="N439" s="1" t="s">
        <v>264</v>
      </c>
      <c r="O439" s="11" t="s">
        <v>745</v>
      </c>
      <c r="P439" s="3"/>
    </row>
    <row r="440" spans="1:16">
      <c r="A440" s="6">
        <v>10688</v>
      </c>
      <c r="B440" s="6">
        <v>83</v>
      </c>
      <c r="C440" s="6">
        <v>4</v>
      </c>
      <c r="D440" s="8">
        <v>39356</v>
      </c>
      <c r="E440" s="8">
        <v>39370</v>
      </c>
      <c r="F440" s="8">
        <v>39362</v>
      </c>
      <c r="G440" s="6">
        <v>2</v>
      </c>
      <c r="H440" s="1">
        <v>299.08999999999997</v>
      </c>
      <c r="I440" s="1" t="s">
        <v>1002</v>
      </c>
      <c r="J440" s="1" t="s">
        <v>1003</v>
      </c>
      <c r="K440" s="1" t="s">
        <v>526</v>
      </c>
      <c r="L440" s="2"/>
      <c r="M440" s="1">
        <v>10339</v>
      </c>
      <c r="N440" s="1" t="s">
        <v>470</v>
      </c>
      <c r="O440" s="11" t="s">
        <v>745</v>
      </c>
      <c r="P440" s="3"/>
    </row>
    <row r="441" spans="1:16">
      <c r="A441" s="6">
        <v>10689</v>
      </c>
      <c r="B441" s="6">
        <v>5</v>
      </c>
      <c r="C441" s="6">
        <v>1</v>
      </c>
      <c r="D441" s="8">
        <v>39356</v>
      </c>
      <c r="E441" s="8">
        <v>39384</v>
      </c>
      <c r="F441" s="8">
        <v>39362</v>
      </c>
      <c r="G441" s="6">
        <v>2</v>
      </c>
      <c r="H441" s="1">
        <v>13.42</v>
      </c>
      <c r="I441" s="1" t="s">
        <v>800</v>
      </c>
      <c r="J441" s="1" t="s">
        <v>801</v>
      </c>
      <c r="K441" s="1" t="s">
        <v>62</v>
      </c>
      <c r="L441" s="2"/>
      <c r="M441" s="1">
        <v>10268</v>
      </c>
      <c r="N441" s="1" t="s">
        <v>63</v>
      </c>
      <c r="O441" s="11" t="s">
        <v>745</v>
      </c>
      <c r="P441" s="3"/>
    </row>
    <row r="442" spans="1:16">
      <c r="A442" s="6">
        <v>10690</v>
      </c>
      <c r="B442" s="6">
        <v>34</v>
      </c>
      <c r="C442" s="6">
        <v>1</v>
      </c>
      <c r="D442" s="8">
        <v>39357</v>
      </c>
      <c r="E442" s="8">
        <v>39385</v>
      </c>
      <c r="F442" s="8">
        <v>39358</v>
      </c>
      <c r="G442" s="6">
        <v>1</v>
      </c>
      <c r="H442" s="1">
        <v>15.8</v>
      </c>
      <c r="I442" s="1" t="s">
        <v>750</v>
      </c>
      <c r="J442" s="1" t="s">
        <v>751</v>
      </c>
      <c r="K442" s="1" t="s">
        <v>242</v>
      </c>
      <c r="L442" s="1" t="s">
        <v>243</v>
      </c>
      <c r="M442" s="1">
        <v>10196</v>
      </c>
      <c r="N442" s="1" t="s">
        <v>129</v>
      </c>
      <c r="O442" s="11" t="s">
        <v>745</v>
      </c>
      <c r="P442" s="3"/>
    </row>
    <row r="443" spans="1:16">
      <c r="A443" s="6">
        <v>10691</v>
      </c>
      <c r="B443" s="6">
        <v>63</v>
      </c>
      <c r="C443" s="6">
        <v>2</v>
      </c>
      <c r="D443" s="8">
        <v>39358</v>
      </c>
      <c r="E443" s="8">
        <v>39400</v>
      </c>
      <c r="F443" s="8">
        <v>39377</v>
      </c>
      <c r="G443" s="6">
        <v>2</v>
      </c>
      <c r="H443" s="1">
        <v>810.05</v>
      </c>
      <c r="I443" s="1" t="s">
        <v>808</v>
      </c>
      <c r="J443" s="1" t="s">
        <v>809</v>
      </c>
      <c r="K443" s="1" t="s">
        <v>413</v>
      </c>
      <c r="L443" s="2"/>
      <c r="M443" s="1">
        <v>10280</v>
      </c>
      <c r="N443" s="1" t="s">
        <v>36</v>
      </c>
      <c r="O443" s="11" t="s">
        <v>745</v>
      </c>
      <c r="P443" s="3"/>
    </row>
    <row r="444" spans="1:16">
      <c r="A444" s="6">
        <v>10692</v>
      </c>
      <c r="B444" s="6">
        <v>1</v>
      </c>
      <c r="C444" s="6">
        <v>4</v>
      </c>
      <c r="D444" s="8">
        <v>39358</v>
      </c>
      <c r="E444" s="8">
        <v>39386</v>
      </c>
      <c r="F444" s="8">
        <v>39368</v>
      </c>
      <c r="G444" s="6">
        <v>2</v>
      </c>
      <c r="H444" s="1">
        <v>61.02</v>
      </c>
      <c r="I444" s="1" t="s">
        <v>1113</v>
      </c>
      <c r="J444" s="1" t="s">
        <v>1114</v>
      </c>
      <c r="K444" s="1" t="s">
        <v>35</v>
      </c>
      <c r="L444" s="2"/>
      <c r="M444" s="1">
        <v>10156</v>
      </c>
      <c r="N444" s="1" t="s">
        <v>36</v>
      </c>
      <c r="O444" s="11" t="s">
        <v>745</v>
      </c>
      <c r="P444" s="3"/>
    </row>
    <row r="445" spans="1:16">
      <c r="A445" s="6">
        <v>10693</v>
      </c>
      <c r="B445" s="6">
        <v>89</v>
      </c>
      <c r="C445" s="6">
        <v>3</v>
      </c>
      <c r="D445" s="8">
        <v>39361</v>
      </c>
      <c r="E445" s="8">
        <v>39375</v>
      </c>
      <c r="F445" s="8">
        <v>39365</v>
      </c>
      <c r="G445" s="6">
        <v>3</v>
      </c>
      <c r="H445" s="1">
        <v>139.34</v>
      </c>
      <c r="I445" s="1" t="s">
        <v>1008</v>
      </c>
      <c r="J445" s="1" t="s">
        <v>1009</v>
      </c>
      <c r="K445" s="1" t="s">
        <v>562</v>
      </c>
      <c r="L445" s="1" t="s">
        <v>300</v>
      </c>
      <c r="M445" s="1">
        <v>10358</v>
      </c>
      <c r="N445" s="1" t="s">
        <v>229</v>
      </c>
      <c r="O445" s="11" t="s">
        <v>745</v>
      </c>
      <c r="P445" s="3"/>
    </row>
    <row r="446" spans="1:16">
      <c r="A446" s="6">
        <v>10694</v>
      </c>
      <c r="B446" s="6">
        <v>63</v>
      </c>
      <c r="C446" s="6">
        <v>8</v>
      </c>
      <c r="D446" s="8">
        <v>39361</v>
      </c>
      <c r="E446" s="8">
        <v>39389</v>
      </c>
      <c r="F446" s="8">
        <v>39364</v>
      </c>
      <c r="G446" s="6">
        <v>3</v>
      </c>
      <c r="H446" s="1">
        <v>398.36</v>
      </c>
      <c r="I446" s="1" t="s">
        <v>787</v>
      </c>
      <c r="J446" s="1" t="s">
        <v>412</v>
      </c>
      <c r="K446" s="1" t="s">
        <v>413</v>
      </c>
      <c r="L446" s="2"/>
      <c r="M446" s="1">
        <v>10279</v>
      </c>
      <c r="N446" s="1" t="s">
        <v>36</v>
      </c>
      <c r="O446" s="11" t="s">
        <v>745</v>
      </c>
      <c r="P446" s="3"/>
    </row>
    <row r="447" spans="1:16">
      <c r="A447" s="6">
        <v>10695</v>
      </c>
      <c r="B447" s="6">
        <v>90</v>
      </c>
      <c r="C447" s="6">
        <v>7</v>
      </c>
      <c r="D447" s="8">
        <v>39362</v>
      </c>
      <c r="E447" s="8">
        <v>39404</v>
      </c>
      <c r="F447" s="8">
        <v>39369</v>
      </c>
      <c r="G447" s="6">
        <v>1</v>
      </c>
      <c r="H447" s="1">
        <v>16.72</v>
      </c>
      <c r="I447" s="1" t="s">
        <v>1115</v>
      </c>
      <c r="J447" s="1" t="s">
        <v>1116</v>
      </c>
      <c r="K447" s="1" t="s">
        <v>569</v>
      </c>
      <c r="L447" s="2"/>
      <c r="M447" s="1">
        <v>10363</v>
      </c>
      <c r="N447" s="1" t="s">
        <v>551</v>
      </c>
      <c r="O447" s="11" t="s">
        <v>745</v>
      </c>
      <c r="P447" s="3"/>
    </row>
    <row r="448" spans="1:16">
      <c r="A448" s="6">
        <v>10696</v>
      </c>
      <c r="B448" s="6">
        <v>89</v>
      </c>
      <c r="C448" s="6">
        <v>8</v>
      </c>
      <c r="D448" s="8">
        <v>39363</v>
      </c>
      <c r="E448" s="8">
        <v>39405</v>
      </c>
      <c r="F448" s="8">
        <v>39369</v>
      </c>
      <c r="G448" s="6">
        <v>3</v>
      </c>
      <c r="H448" s="1">
        <v>102.55</v>
      </c>
      <c r="I448" s="1" t="s">
        <v>878</v>
      </c>
      <c r="J448" s="1" t="s">
        <v>879</v>
      </c>
      <c r="K448" s="1" t="s">
        <v>562</v>
      </c>
      <c r="L448" s="1" t="s">
        <v>300</v>
      </c>
      <c r="M448" s="1">
        <v>10356</v>
      </c>
      <c r="N448" s="1" t="s">
        <v>229</v>
      </c>
      <c r="O448" s="11" t="s">
        <v>745</v>
      </c>
      <c r="P448" s="3"/>
    </row>
    <row r="449" spans="1:16">
      <c r="A449" s="6">
        <v>10697</v>
      </c>
      <c r="B449" s="6">
        <v>47</v>
      </c>
      <c r="C449" s="6">
        <v>3</v>
      </c>
      <c r="D449" s="8">
        <v>39363</v>
      </c>
      <c r="E449" s="8">
        <v>39391</v>
      </c>
      <c r="F449" s="8">
        <v>39369</v>
      </c>
      <c r="G449" s="6">
        <v>1</v>
      </c>
      <c r="H449" s="1">
        <v>45.52</v>
      </c>
      <c r="I449" s="1" t="s">
        <v>947</v>
      </c>
      <c r="J449" s="1" t="s">
        <v>948</v>
      </c>
      <c r="K449" s="1" t="s">
        <v>325</v>
      </c>
      <c r="L449" s="1" t="s">
        <v>326</v>
      </c>
      <c r="M449" s="1">
        <v>10231</v>
      </c>
      <c r="N449" s="1" t="s">
        <v>236</v>
      </c>
      <c r="O449" s="11" t="s">
        <v>745</v>
      </c>
      <c r="P449" s="3"/>
    </row>
    <row r="450" spans="1:16">
      <c r="A450" s="6">
        <v>10698</v>
      </c>
      <c r="B450" s="6">
        <v>20</v>
      </c>
      <c r="C450" s="6">
        <v>4</v>
      </c>
      <c r="D450" s="8">
        <v>39364</v>
      </c>
      <c r="E450" s="8">
        <v>39392</v>
      </c>
      <c r="F450" s="8">
        <v>39372</v>
      </c>
      <c r="G450" s="6">
        <v>1</v>
      </c>
      <c r="H450" s="1">
        <v>272.47000000000003</v>
      </c>
      <c r="I450" s="1" t="s">
        <v>760</v>
      </c>
      <c r="J450" s="1" t="s">
        <v>156</v>
      </c>
      <c r="K450" s="1" t="s">
        <v>157</v>
      </c>
      <c r="L450" s="2"/>
      <c r="M450" s="1">
        <v>10157</v>
      </c>
      <c r="N450" s="1" t="s">
        <v>158</v>
      </c>
      <c r="O450" s="11" t="s">
        <v>745</v>
      </c>
      <c r="P450" s="3"/>
    </row>
    <row r="451" spans="1:16">
      <c r="A451" s="6">
        <v>10699</v>
      </c>
      <c r="B451" s="6">
        <v>52</v>
      </c>
      <c r="C451" s="6">
        <v>3</v>
      </c>
      <c r="D451" s="8">
        <v>39364</v>
      </c>
      <c r="E451" s="8">
        <v>39392</v>
      </c>
      <c r="F451" s="8">
        <v>39368</v>
      </c>
      <c r="G451" s="6">
        <v>3</v>
      </c>
      <c r="H451" s="1">
        <v>0.57999999999999996</v>
      </c>
      <c r="I451" s="1" t="s">
        <v>1117</v>
      </c>
      <c r="J451" s="1" t="s">
        <v>1118</v>
      </c>
      <c r="K451" s="1" t="s">
        <v>358</v>
      </c>
      <c r="L451" s="2"/>
      <c r="M451" s="1">
        <v>10248</v>
      </c>
      <c r="N451" s="1" t="s">
        <v>36</v>
      </c>
      <c r="O451" s="11" t="s">
        <v>745</v>
      </c>
      <c r="P451" s="3"/>
    </row>
    <row r="452" spans="1:16">
      <c r="A452" s="6">
        <v>10700</v>
      </c>
      <c r="B452" s="6">
        <v>71</v>
      </c>
      <c r="C452" s="6">
        <v>3</v>
      </c>
      <c r="D452" s="8">
        <v>39365</v>
      </c>
      <c r="E452" s="8">
        <v>39393</v>
      </c>
      <c r="F452" s="8">
        <v>39371</v>
      </c>
      <c r="G452" s="6">
        <v>1</v>
      </c>
      <c r="H452" s="1">
        <v>65.099999999999994</v>
      </c>
      <c r="I452" s="1" t="s">
        <v>854</v>
      </c>
      <c r="J452" s="1" t="s">
        <v>457</v>
      </c>
      <c r="K452" s="1" t="s">
        <v>458</v>
      </c>
      <c r="L452" s="1" t="s">
        <v>459</v>
      </c>
      <c r="M452" s="1">
        <v>10307</v>
      </c>
      <c r="N452" s="1" t="s">
        <v>229</v>
      </c>
      <c r="O452" s="11" t="s">
        <v>745</v>
      </c>
      <c r="P452" s="3"/>
    </row>
    <row r="453" spans="1:16">
      <c r="A453" s="6">
        <v>10701</v>
      </c>
      <c r="B453" s="6">
        <v>37</v>
      </c>
      <c r="C453" s="6">
        <v>6</v>
      </c>
      <c r="D453" s="8">
        <v>39368</v>
      </c>
      <c r="E453" s="8">
        <v>39382</v>
      </c>
      <c r="F453" s="8">
        <v>39370</v>
      </c>
      <c r="G453" s="6">
        <v>3</v>
      </c>
      <c r="H453" s="1">
        <v>220.31</v>
      </c>
      <c r="I453" s="1" t="s">
        <v>916</v>
      </c>
      <c r="J453" s="1" t="s">
        <v>917</v>
      </c>
      <c r="K453" s="1" t="s">
        <v>262</v>
      </c>
      <c r="L453" s="1" t="s">
        <v>263</v>
      </c>
      <c r="M453" s="1">
        <v>10203</v>
      </c>
      <c r="N453" s="1" t="s">
        <v>264</v>
      </c>
      <c r="O453" s="11" t="s">
        <v>745</v>
      </c>
      <c r="P453" s="3"/>
    </row>
    <row r="454" spans="1:16">
      <c r="A454" s="6">
        <v>10702</v>
      </c>
      <c r="B454" s="6">
        <v>1</v>
      </c>
      <c r="C454" s="6">
        <v>4</v>
      </c>
      <c r="D454" s="8">
        <v>39368</v>
      </c>
      <c r="E454" s="8">
        <v>39410</v>
      </c>
      <c r="F454" s="8">
        <v>39376</v>
      </c>
      <c r="G454" s="6">
        <v>1</v>
      </c>
      <c r="H454" s="1">
        <v>23.94</v>
      </c>
      <c r="I454" s="1" t="s">
        <v>1119</v>
      </c>
      <c r="J454" s="1" t="s">
        <v>1120</v>
      </c>
      <c r="K454" s="1" t="s">
        <v>35</v>
      </c>
      <c r="L454" s="2"/>
      <c r="M454" s="1">
        <v>10155</v>
      </c>
      <c r="N454" s="1" t="s">
        <v>36</v>
      </c>
      <c r="O454" s="11" t="s">
        <v>745</v>
      </c>
      <c r="P454" s="3"/>
    </row>
    <row r="455" spans="1:16">
      <c r="A455" s="6">
        <v>10703</v>
      </c>
      <c r="B455" s="6">
        <v>24</v>
      </c>
      <c r="C455" s="6">
        <v>6</v>
      </c>
      <c r="D455" s="8">
        <v>39369</v>
      </c>
      <c r="E455" s="8">
        <v>39397</v>
      </c>
      <c r="F455" s="8">
        <v>39375</v>
      </c>
      <c r="G455" s="6">
        <v>2</v>
      </c>
      <c r="H455" s="1">
        <v>152.30000000000001</v>
      </c>
      <c r="I455" s="1" t="s">
        <v>771</v>
      </c>
      <c r="J455" s="1" t="s">
        <v>772</v>
      </c>
      <c r="K455" s="1" t="s">
        <v>181</v>
      </c>
      <c r="L455" s="2"/>
      <c r="M455" s="1">
        <v>10167</v>
      </c>
      <c r="N455" s="1" t="s">
        <v>63</v>
      </c>
      <c r="O455" s="11" t="s">
        <v>745</v>
      </c>
      <c r="P455" s="3"/>
    </row>
    <row r="456" spans="1:16">
      <c r="A456" s="6">
        <v>10704</v>
      </c>
      <c r="B456" s="6">
        <v>62</v>
      </c>
      <c r="C456" s="6">
        <v>6</v>
      </c>
      <c r="D456" s="8">
        <v>39369</v>
      </c>
      <c r="E456" s="8">
        <v>39397</v>
      </c>
      <c r="F456" s="8">
        <v>39393</v>
      </c>
      <c r="G456" s="6">
        <v>1</v>
      </c>
      <c r="H456" s="1">
        <v>4.78</v>
      </c>
      <c r="I456" s="1" t="s">
        <v>1097</v>
      </c>
      <c r="J456" s="1" t="s">
        <v>1098</v>
      </c>
      <c r="K456" s="1" t="s">
        <v>127</v>
      </c>
      <c r="L456" s="1" t="s">
        <v>128</v>
      </c>
      <c r="M456" s="1">
        <v>10278</v>
      </c>
      <c r="N456" s="1" t="s">
        <v>129</v>
      </c>
      <c r="O456" s="11" t="s">
        <v>745</v>
      </c>
      <c r="P456" s="3"/>
    </row>
    <row r="457" spans="1:16">
      <c r="A457" s="6">
        <v>10705</v>
      </c>
      <c r="B457" s="6">
        <v>35</v>
      </c>
      <c r="C457" s="6">
        <v>9</v>
      </c>
      <c r="D457" s="8">
        <v>39370</v>
      </c>
      <c r="E457" s="8">
        <v>39398</v>
      </c>
      <c r="F457" s="8">
        <v>39404</v>
      </c>
      <c r="G457" s="6">
        <v>2</v>
      </c>
      <c r="H457" s="1">
        <v>3.52</v>
      </c>
      <c r="I457" s="1" t="s">
        <v>758</v>
      </c>
      <c r="J457" s="1" t="s">
        <v>759</v>
      </c>
      <c r="K457" s="1" t="s">
        <v>249</v>
      </c>
      <c r="L457" s="1" t="s">
        <v>250</v>
      </c>
      <c r="M457" s="1">
        <v>10199</v>
      </c>
      <c r="N457" s="1" t="s">
        <v>236</v>
      </c>
      <c r="O457" s="11" t="s">
        <v>745</v>
      </c>
      <c r="P457" s="3"/>
    </row>
    <row r="458" spans="1:16">
      <c r="A458" s="6">
        <v>10706</v>
      </c>
      <c r="B458" s="6">
        <v>55</v>
      </c>
      <c r="C458" s="6">
        <v>8</v>
      </c>
      <c r="D458" s="8">
        <v>39371</v>
      </c>
      <c r="E458" s="8">
        <v>39399</v>
      </c>
      <c r="F458" s="8">
        <v>39376</v>
      </c>
      <c r="G458" s="6">
        <v>3</v>
      </c>
      <c r="H458" s="1">
        <v>135.63</v>
      </c>
      <c r="I458" s="1" t="s">
        <v>871</v>
      </c>
      <c r="J458" s="1" t="s">
        <v>872</v>
      </c>
      <c r="K458" s="1" t="s">
        <v>371</v>
      </c>
      <c r="L458" s="1" t="s">
        <v>372</v>
      </c>
      <c r="M458" s="1">
        <v>10257</v>
      </c>
      <c r="N458" s="1" t="s">
        <v>229</v>
      </c>
      <c r="O458" s="11" t="s">
        <v>745</v>
      </c>
      <c r="P458" s="3"/>
    </row>
    <row r="459" spans="1:16">
      <c r="A459" s="6">
        <v>10707</v>
      </c>
      <c r="B459" s="6">
        <v>4</v>
      </c>
      <c r="C459" s="6">
        <v>4</v>
      </c>
      <c r="D459" s="8">
        <v>39371</v>
      </c>
      <c r="E459" s="8">
        <v>39385</v>
      </c>
      <c r="F459" s="8">
        <v>39378</v>
      </c>
      <c r="G459" s="6">
        <v>3</v>
      </c>
      <c r="H459" s="1">
        <v>21.74</v>
      </c>
      <c r="I459" s="1" t="s">
        <v>890</v>
      </c>
      <c r="J459" s="1" t="s">
        <v>891</v>
      </c>
      <c r="K459" s="1" t="s">
        <v>892</v>
      </c>
      <c r="L459" s="1" t="s">
        <v>893</v>
      </c>
      <c r="M459" s="1">
        <v>10238</v>
      </c>
      <c r="N459" s="1" t="s">
        <v>55</v>
      </c>
      <c r="O459" s="11" t="s">
        <v>745</v>
      </c>
      <c r="P459" s="3"/>
    </row>
    <row r="460" spans="1:16">
      <c r="A460" s="6">
        <v>10708</v>
      </c>
      <c r="B460" s="6">
        <v>77</v>
      </c>
      <c r="C460" s="6">
        <v>6</v>
      </c>
      <c r="D460" s="8">
        <v>39372</v>
      </c>
      <c r="E460" s="8">
        <v>39414</v>
      </c>
      <c r="F460" s="8">
        <v>39391</v>
      </c>
      <c r="G460" s="6">
        <v>2</v>
      </c>
      <c r="H460" s="1">
        <v>2.96</v>
      </c>
      <c r="I460" s="1" t="s">
        <v>1121</v>
      </c>
      <c r="J460" s="1" t="s">
        <v>1122</v>
      </c>
      <c r="K460" s="1" t="s">
        <v>332</v>
      </c>
      <c r="L460" s="1" t="s">
        <v>228</v>
      </c>
      <c r="M460" s="1">
        <v>10322</v>
      </c>
      <c r="N460" s="1" t="s">
        <v>229</v>
      </c>
      <c r="O460" s="11" t="s">
        <v>745</v>
      </c>
      <c r="P460" s="3"/>
    </row>
    <row r="461" spans="1:16">
      <c r="A461" s="6">
        <v>10709</v>
      </c>
      <c r="B461" s="6">
        <v>31</v>
      </c>
      <c r="C461" s="6">
        <v>1</v>
      </c>
      <c r="D461" s="8">
        <v>39372</v>
      </c>
      <c r="E461" s="8">
        <v>39400</v>
      </c>
      <c r="F461" s="8">
        <v>39406</v>
      </c>
      <c r="G461" s="6">
        <v>3</v>
      </c>
      <c r="H461" s="1">
        <v>210.8</v>
      </c>
      <c r="I461" s="1" t="s">
        <v>1123</v>
      </c>
      <c r="J461" s="1" t="s">
        <v>1124</v>
      </c>
      <c r="K461" s="1" t="s">
        <v>222</v>
      </c>
      <c r="L461" s="1" t="s">
        <v>128</v>
      </c>
      <c r="M461" s="1">
        <v>10188</v>
      </c>
      <c r="N461" s="1" t="s">
        <v>129</v>
      </c>
      <c r="O461" s="11" t="s">
        <v>745</v>
      </c>
      <c r="P461" s="3"/>
    </row>
    <row r="462" spans="1:16">
      <c r="A462" s="6">
        <v>10710</v>
      </c>
      <c r="B462" s="6">
        <v>27</v>
      </c>
      <c r="C462" s="6">
        <v>1</v>
      </c>
      <c r="D462" s="8">
        <v>39375</v>
      </c>
      <c r="E462" s="8">
        <v>39403</v>
      </c>
      <c r="F462" s="8">
        <v>39378</v>
      </c>
      <c r="G462" s="6">
        <v>1</v>
      </c>
      <c r="H462" s="1">
        <v>4.9800000000000004</v>
      </c>
      <c r="I462" s="1" t="s">
        <v>964</v>
      </c>
      <c r="J462" s="1" t="s">
        <v>965</v>
      </c>
      <c r="K462" s="1" t="s">
        <v>197</v>
      </c>
      <c r="L462" s="2"/>
      <c r="M462" s="1">
        <v>10174</v>
      </c>
      <c r="N462" s="1" t="s">
        <v>198</v>
      </c>
      <c r="O462" s="11" t="s">
        <v>745</v>
      </c>
      <c r="P462" s="3"/>
    </row>
    <row r="463" spans="1:16">
      <c r="A463" s="6">
        <v>10711</v>
      </c>
      <c r="B463" s="6">
        <v>71</v>
      </c>
      <c r="C463" s="6">
        <v>5</v>
      </c>
      <c r="D463" s="8">
        <v>39376</v>
      </c>
      <c r="E463" s="8">
        <v>39418</v>
      </c>
      <c r="F463" s="8">
        <v>39384</v>
      </c>
      <c r="G463" s="6">
        <v>2</v>
      </c>
      <c r="H463" s="1">
        <v>52.41</v>
      </c>
      <c r="I463" s="1" t="s">
        <v>1044</v>
      </c>
      <c r="J463" s="1" t="s">
        <v>1045</v>
      </c>
      <c r="K463" s="1" t="s">
        <v>458</v>
      </c>
      <c r="L463" s="1" t="s">
        <v>459</v>
      </c>
      <c r="M463" s="1">
        <v>10305</v>
      </c>
      <c r="N463" s="1" t="s">
        <v>229</v>
      </c>
      <c r="O463" s="11" t="s">
        <v>745</v>
      </c>
      <c r="P463" s="3"/>
    </row>
    <row r="464" spans="1:16">
      <c r="A464" s="6">
        <v>10712</v>
      </c>
      <c r="B464" s="6">
        <v>37</v>
      </c>
      <c r="C464" s="6">
        <v>3</v>
      </c>
      <c r="D464" s="8">
        <v>39376</v>
      </c>
      <c r="E464" s="8">
        <v>39404</v>
      </c>
      <c r="F464" s="8">
        <v>39386</v>
      </c>
      <c r="G464" s="6">
        <v>1</v>
      </c>
      <c r="H464" s="1">
        <v>89.93</v>
      </c>
      <c r="I464" s="1" t="s">
        <v>916</v>
      </c>
      <c r="J464" s="1" t="s">
        <v>917</v>
      </c>
      <c r="K464" s="1" t="s">
        <v>262</v>
      </c>
      <c r="L464" s="1" t="s">
        <v>263</v>
      </c>
      <c r="M464" s="1">
        <v>10203</v>
      </c>
      <c r="N464" s="1" t="s">
        <v>264</v>
      </c>
      <c r="O464" s="11" t="s">
        <v>745</v>
      </c>
      <c r="P464" s="3"/>
    </row>
    <row r="465" spans="1:16">
      <c r="A465" s="6">
        <v>10713</v>
      </c>
      <c r="B465" s="6">
        <v>71</v>
      </c>
      <c r="C465" s="6">
        <v>1</v>
      </c>
      <c r="D465" s="8">
        <v>39377</v>
      </c>
      <c r="E465" s="8">
        <v>39405</v>
      </c>
      <c r="F465" s="8">
        <v>39379</v>
      </c>
      <c r="G465" s="6">
        <v>1</v>
      </c>
      <c r="H465" s="1">
        <v>167.05</v>
      </c>
      <c r="I465" s="1" t="s">
        <v>854</v>
      </c>
      <c r="J465" s="1" t="s">
        <v>457</v>
      </c>
      <c r="K465" s="1" t="s">
        <v>458</v>
      </c>
      <c r="L465" s="1" t="s">
        <v>459</v>
      </c>
      <c r="M465" s="1">
        <v>10307</v>
      </c>
      <c r="N465" s="1" t="s">
        <v>229</v>
      </c>
      <c r="O465" s="11" t="s">
        <v>745</v>
      </c>
      <c r="P465" s="3"/>
    </row>
    <row r="466" spans="1:16">
      <c r="A466" s="6">
        <v>10714</v>
      </c>
      <c r="B466" s="6">
        <v>71</v>
      </c>
      <c r="C466" s="6">
        <v>5</v>
      </c>
      <c r="D466" s="8">
        <v>39377</v>
      </c>
      <c r="E466" s="8">
        <v>39405</v>
      </c>
      <c r="F466" s="8">
        <v>39382</v>
      </c>
      <c r="G466" s="6">
        <v>3</v>
      </c>
      <c r="H466" s="1">
        <v>24.49</v>
      </c>
      <c r="I466" s="1" t="s">
        <v>1044</v>
      </c>
      <c r="J466" s="1" t="s">
        <v>1045</v>
      </c>
      <c r="K466" s="1" t="s">
        <v>458</v>
      </c>
      <c r="L466" s="1" t="s">
        <v>459</v>
      </c>
      <c r="M466" s="1">
        <v>10305</v>
      </c>
      <c r="N466" s="1" t="s">
        <v>229</v>
      </c>
      <c r="O466" s="11" t="s">
        <v>745</v>
      </c>
      <c r="P466" s="3"/>
    </row>
    <row r="467" spans="1:16">
      <c r="A467" s="6">
        <v>10715</v>
      </c>
      <c r="B467" s="6">
        <v>9</v>
      </c>
      <c r="C467" s="6">
        <v>3</v>
      </c>
      <c r="D467" s="8">
        <v>39378</v>
      </c>
      <c r="E467" s="8">
        <v>39392</v>
      </c>
      <c r="F467" s="8">
        <v>39384</v>
      </c>
      <c r="G467" s="6">
        <v>1</v>
      </c>
      <c r="H467" s="1">
        <v>63.2</v>
      </c>
      <c r="I467" s="1" t="s">
        <v>902</v>
      </c>
      <c r="J467" s="1" t="s">
        <v>903</v>
      </c>
      <c r="K467" s="1" t="s">
        <v>90</v>
      </c>
      <c r="L467" s="2"/>
      <c r="M467" s="1">
        <v>10368</v>
      </c>
      <c r="N467" s="1" t="s">
        <v>77</v>
      </c>
      <c r="O467" s="11" t="s">
        <v>745</v>
      </c>
      <c r="P467" s="3"/>
    </row>
    <row r="468" spans="1:16">
      <c r="A468" s="6">
        <v>10716</v>
      </c>
      <c r="B468" s="6">
        <v>64</v>
      </c>
      <c r="C468" s="6">
        <v>4</v>
      </c>
      <c r="D468" s="8">
        <v>39379</v>
      </c>
      <c r="E468" s="8">
        <v>39407</v>
      </c>
      <c r="F468" s="8">
        <v>39382</v>
      </c>
      <c r="G468" s="6">
        <v>2</v>
      </c>
      <c r="H468" s="1">
        <v>22.57</v>
      </c>
      <c r="I468" s="1" t="s">
        <v>1125</v>
      </c>
      <c r="J468" s="1" t="s">
        <v>1126</v>
      </c>
      <c r="K468" s="1" t="s">
        <v>110</v>
      </c>
      <c r="L468" s="2"/>
      <c r="M468" s="1">
        <v>10283</v>
      </c>
      <c r="N468" s="1" t="s">
        <v>111</v>
      </c>
      <c r="O468" s="11" t="s">
        <v>745</v>
      </c>
      <c r="P468" s="3"/>
    </row>
    <row r="469" spans="1:16">
      <c r="A469" s="6">
        <v>10717</v>
      </c>
      <c r="B469" s="6">
        <v>25</v>
      </c>
      <c r="C469" s="6">
        <v>1</v>
      </c>
      <c r="D469" s="8">
        <v>39379</v>
      </c>
      <c r="E469" s="8">
        <v>39407</v>
      </c>
      <c r="F469" s="8">
        <v>39384</v>
      </c>
      <c r="G469" s="6">
        <v>2</v>
      </c>
      <c r="H469" s="1">
        <v>59.25</v>
      </c>
      <c r="I469" s="1" t="s">
        <v>869</v>
      </c>
      <c r="J469" s="1" t="s">
        <v>870</v>
      </c>
      <c r="K469" s="1" t="s">
        <v>186</v>
      </c>
      <c r="L469" s="2"/>
      <c r="M469" s="1">
        <v>10169</v>
      </c>
      <c r="N469" s="1" t="s">
        <v>36</v>
      </c>
      <c r="O469" s="11" t="s">
        <v>745</v>
      </c>
      <c r="P469" s="3"/>
    </row>
    <row r="470" spans="1:16">
      <c r="A470" s="6">
        <v>10718</v>
      </c>
      <c r="B470" s="6">
        <v>39</v>
      </c>
      <c r="C470" s="6">
        <v>1</v>
      </c>
      <c r="D470" s="8">
        <v>39382</v>
      </c>
      <c r="E470" s="8">
        <v>39410</v>
      </c>
      <c r="F470" s="8">
        <v>39384</v>
      </c>
      <c r="G470" s="6">
        <v>3</v>
      </c>
      <c r="H470" s="1">
        <v>170.88</v>
      </c>
      <c r="I470" s="1" t="s">
        <v>994</v>
      </c>
      <c r="J470" s="1" t="s">
        <v>995</v>
      </c>
      <c r="K470" s="1" t="s">
        <v>276</v>
      </c>
      <c r="L470" s="2"/>
      <c r="M470" s="1">
        <v>10208</v>
      </c>
      <c r="N470" s="1" t="s">
        <v>36</v>
      </c>
      <c r="O470" s="11" t="s">
        <v>745</v>
      </c>
      <c r="P470" s="3"/>
    </row>
    <row r="471" spans="1:16">
      <c r="A471" s="6">
        <v>10719</v>
      </c>
      <c r="B471" s="6">
        <v>45</v>
      </c>
      <c r="C471" s="6">
        <v>8</v>
      </c>
      <c r="D471" s="8">
        <v>39382</v>
      </c>
      <c r="E471" s="8">
        <v>39410</v>
      </c>
      <c r="F471" s="8">
        <v>39391</v>
      </c>
      <c r="G471" s="6">
        <v>2</v>
      </c>
      <c r="H471" s="1">
        <v>51.44</v>
      </c>
      <c r="I471" s="1" t="s">
        <v>1127</v>
      </c>
      <c r="J471" s="1" t="s">
        <v>1128</v>
      </c>
      <c r="K471" s="1" t="s">
        <v>312</v>
      </c>
      <c r="L471" s="1" t="s">
        <v>313</v>
      </c>
      <c r="M471" s="1">
        <v>10225</v>
      </c>
      <c r="N471" s="1" t="s">
        <v>229</v>
      </c>
      <c r="O471" s="11" t="s">
        <v>745</v>
      </c>
      <c r="P471" s="3"/>
    </row>
    <row r="472" spans="1:16">
      <c r="A472" s="6">
        <v>10720</v>
      </c>
      <c r="B472" s="6">
        <v>61</v>
      </c>
      <c r="C472" s="6">
        <v>8</v>
      </c>
      <c r="D472" s="8">
        <v>39383</v>
      </c>
      <c r="E472" s="8">
        <v>39397</v>
      </c>
      <c r="F472" s="8">
        <v>39391</v>
      </c>
      <c r="G472" s="6">
        <v>2</v>
      </c>
      <c r="H472" s="1">
        <v>9.5299999999999994</v>
      </c>
      <c r="I472" s="1" t="s">
        <v>962</v>
      </c>
      <c r="J472" s="1" t="s">
        <v>963</v>
      </c>
      <c r="K472" s="1" t="s">
        <v>242</v>
      </c>
      <c r="L472" s="1" t="s">
        <v>243</v>
      </c>
      <c r="M472" s="1">
        <v>10275</v>
      </c>
      <c r="N472" s="1" t="s">
        <v>129</v>
      </c>
      <c r="O472" s="11" t="s">
        <v>745</v>
      </c>
      <c r="P472" s="3"/>
    </row>
    <row r="473" spans="1:16">
      <c r="A473" s="6">
        <v>10721</v>
      </c>
      <c r="B473" s="6">
        <v>63</v>
      </c>
      <c r="C473" s="6">
        <v>5</v>
      </c>
      <c r="D473" s="8">
        <v>39384</v>
      </c>
      <c r="E473" s="8">
        <v>39412</v>
      </c>
      <c r="F473" s="8">
        <v>39386</v>
      </c>
      <c r="G473" s="6">
        <v>3</v>
      </c>
      <c r="H473" s="1">
        <v>48.92</v>
      </c>
      <c r="I473" s="1" t="s">
        <v>787</v>
      </c>
      <c r="J473" s="1" t="s">
        <v>412</v>
      </c>
      <c r="K473" s="1" t="s">
        <v>413</v>
      </c>
      <c r="L473" s="2"/>
      <c r="M473" s="1">
        <v>10279</v>
      </c>
      <c r="N473" s="1" t="s">
        <v>36</v>
      </c>
      <c r="O473" s="11" t="s">
        <v>745</v>
      </c>
      <c r="P473" s="3"/>
    </row>
    <row r="474" spans="1:16">
      <c r="A474" s="6">
        <v>10722</v>
      </c>
      <c r="B474" s="6">
        <v>71</v>
      </c>
      <c r="C474" s="6">
        <v>8</v>
      </c>
      <c r="D474" s="8">
        <v>39384</v>
      </c>
      <c r="E474" s="8">
        <v>39426</v>
      </c>
      <c r="F474" s="8">
        <v>39390</v>
      </c>
      <c r="G474" s="6">
        <v>1</v>
      </c>
      <c r="H474" s="1">
        <v>74.58</v>
      </c>
      <c r="I474" s="1" t="s">
        <v>1044</v>
      </c>
      <c r="J474" s="1" t="s">
        <v>1045</v>
      </c>
      <c r="K474" s="1" t="s">
        <v>458</v>
      </c>
      <c r="L474" s="1" t="s">
        <v>459</v>
      </c>
      <c r="M474" s="1">
        <v>10305</v>
      </c>
      <c r="N474" s="1" t="s">
        <v>229</v>
      </c>
      <c r="O474" s="11" t="s">
        <v>745</v>
      </c>
      <c r="P474" s="3"/>
    </row>
    <row r="475" spans="1:16">
      <c r="A475" s="6">
        <v>10723</v>
      </c>
      <c r="B475" s="6">
        <v>89</v>
      </c>
      <c r="C475" s="6">
        <v>3</v>
      </c>
      <c r="D475" s="8">
        <v>39385</v>
      </c>
      <c r="E475" s="8">
        <v>39413</v>
      </c>
      <c r="F475" s="8">
        <v>39411</v>
      </c>
      <c r="G475" s="6">
        <v>1</v>
      </c>
      <c r="H475" s="1">
        <v>21.72</v>
      </c>
      <c r="I475" s="1" t="s">
        <v>1008</v>
      </c>
      <c r="J475" s="1" t="s">
        <v>1009</v>
      </c>
      <c r="K475" s="1" t="s">
        <v>562</v>
      </c>
      <c r="L475" s="1" t="s">
        <v>300</v>
      </c>
      <c r="M475" s="1">
        <v>10358</v>
      </c>
      <c r="N475" s="1" t="s">
        <v>229</v>
      </c>
      <c r="O475" s="11" t="s">
        <v>745</v>
      </c>
      <c r="P475" s="3"/>
    </row>
    <row r="476" spans="1:16">
      <c r="A476" s="6">
        <v>10724</v>
      </c>
      <c r="B476" s="6">
        <v>51</v>
      </c>
      <c r="C476" s="6">
        <v>8</v>
      </c>
      <c r="D476" s="8">
        <v>39385</v>
      </c>
      <c r="E476" s="8">
        <v>39427</v>
      </c>
      <c r="F476" s="8">
        <v>39391</v>
      </c>
      <c r="G476" s="6">
        <v>2</v>
      </c>
      <c r="H476" s="1">
        <v>57.75</v>
      </c>
      <c r="I476" s="1" t="s">
        <v>1129</v>
      </c>
      <c r="J476" s="1" t="s">
        <v>1130</v>
      </c>
      <c r="K476" s="1" t="s">
        <v>351</v>
      </c>
      <c r="L476" s="1" t="s">
        <v>352</v>
      </c>
      <c r="M476" s="1">
        <v>10244</v>
      </c>
      <c r="N476" s="1" t="s">
        <v>99</v>
      </c>
      <c r="O476" s="11" t="s">
        <v>745</v>
      </c>
      <c r="P476" s="3"/>
    </row>
    <row r="477" spans="1:16">
      <c r="A477" s="6">
        <v>10725</v>
      </c>
      <c r="B477" s="6">
        <v>21</v>
      </c>
      <c r="C477" s="6">
        <v>4</v>
      </c>
      <c r="D477" s="8">
        <v>39386</v>
      </c>
      <c r="E477" s="8">
        <v>39414</v>
      </c>
      <c r="F477" s="8">
        <v>39391</v>
      </c>
      <c r="G477" s="6">
        <v>3</v>
      </c>
      <c r="H477" s="1">
        <v>10.83</v>
      </c>
      <c r="I477" s="1" t="s">
        <v>880</v>
      </c>
      <c r="J477" s="1" t="s">
        <v>881</v>
      </c>
      <c r="K477" s="1" t="s">
        <v>127</v>
      </c>
      <c r="L477" s="1" t="s">
        <v>128</v>
      </c>
      <c r="M477" s="1">
        <v>10162</v>
      </c>
      <c r="N477" s="1" t="s">
        <v>129</v>
      </c>
      <c r="O477" s="11" t="s">
        <v>745</v>
      </c>
      <c r="P477" s="3"/>
    </row>
    <row r="478" spans="1:16">
      <c r="A478" s="6">
        <v>10726</v>
      </c>
      <c r="B478" s="6">
        <v>19</v>
      </c>
      <c r="C478" s="6">
        <v>4</v>
      </c>
      <c r="D478" s="8">
        <v>39389</v>
      </c>
      <c r="E478" s="8">
        <v>39403</v>
      </c>
      <c r="F478" s="8">
        <v>39421</v>
      </c>
      <c r="G478" s="6">
        <v>1</v>
      </c>
      <c r="H478" s="1">
        <v>16.559999999999999</v>
      </c>
      <c r="I478" s="1" t="s">
        <v>1131</v>
      </c>
      <c r="J478" s="1" t="s">
        <v>150</v>
      </c>
      <c r="K478" s="1" t="s">
        <v>54</v>
      </c>
      <c r="L478" s="2"/>
      <c r="M478" s="1">
        <v>10153</v>
      </c>
      <c r="N478" s="1" t="s">
        <v>55</v>
      </c>
      <c r="O478" s="11" t="s">
        <v>745</v>
      </c>
      <c r="P478" s="3"/>
    </row>
    <row r="479" spans="1:16">
      <c r="A479" s="6">
        <v>10727</v>
      </c>
      <c r="B479" s="6">
        <v>66</v>
      </c>
      <c r="C479" s="6">
        <v>2</v>
      </c>
      <c r="D479" s="8">
        <v>39389</v>
      </c>
      <c r="E479" s="8">
        <v>39417</v>
      </c>
      <c r="F479" s="8">
        <v>39421</v>
      </c>
      <c r="G479" s="6">
        <v>1</v>
      </c>
      <c r="H479" s="1">
        <v>89.9</v>
      </c>
      <c r="I479" s="1" t="s">
        <v>1132</v>
      </c>
      <c r="J479" s="1" t="s">
        <v>1133</v>
      </c>
      <c r="K479" s="1" t="s">
        <v>431</v>
      </c>
      <c r="L479" s="2"/>
      <c r="M479" s="1">
        <v>10288</v>
      </c>
      <c r="N479" s="1" t="s">
        <v>198</v>
      </c>
      <c r="O479" s="11" t="s">
        <v>745</v>
      </c>
      <c r="P479" s="3"/>
    </row>
    <row r="480" spans="1:16">
      <c r="A480" s="6">
        <v>10728</v>
      </c>
      <c r="B480" s="6">
        <v>62</v>
      </c>
      <c r="C480" s="6">
        <v>4</v>
      </c>
      <c r="D480" s="8">
        <v>39390</v>
      </c>
      <c r="E480" s="8">
        <v>39418</v>
      </c>
      <c r="F480" s="8">
        <v>39397</v>
      </c>
      <c r="G480" s="6">
        <v>2</v>
      </c>
      <c r="H480" s="1">
        <v>58.33</v>
      </c>
      <c r="I480" s="1" t="s">
        <v>914</v>
      </c>
      <c r="J480" s="1" t="s">
        <v>915</v>
      </c>
      <c r="K480" s="1" t="s">
        <v>127</v>
      </c>
      <c r="L480" s="1" t="s">
        <v>128</v>
      </c>
      <c r="M480" s="1">
        <v>10276</v>
      </c>
      <c r="N480" s="1" t="s">
        <v>129</v>
      </c>
      <c r="O480" s="11" t="s">
        <v>745</v>
      </c>
      <c r="P480" s="3"/>
    </row>
    <row r="481" spans="1:16">
      <c r="A481" s="6">
        <v>10729</v>
      </c>
      <c r="B481" s="6">
        <v>47</v>
      </c>
      <c r="C481" s="6">
        <v>8</v>
      </c>
      <c r="D481" s="8">
        <v>39390</v>
      </c>
      <c r="E481" s="8">
        <v>39432</v>
      </c>
      <c r="F481" s="8">
        <v>39400</v>
      </c>
      <c r="G481" s="6">
        <v>3</v>
      </c>
      <c r="H481" s="1">
        <v>141.06</v>
      </c>
      <c r="I481" s="1" t="s">
        <v>1134</v>
      </c>
      <c r="J481" s="1" t="s">
        <v>1135</v>
      </c>
      <c r="K481" s="1" t="s">
        <v>325</v>
      </c>
      <c r="L481" s="1" t="s">
        <v>326</v>
      </c>
      <c r="M481" s="1">
        <v>10230</v>
      </c>
      <c r="N481" s="1" t="s">
        <v>236</v>
      </c>
      <c r="O481" s="11" t="s">
        <v>745</v>
      </c>
      <c r="P481" s="3"/>
    </row>
    <row r="482" spans="1:16">
      <c r="A482" s="6">
        <v>10730</v>
      </c>
      <c r="B482" s="6">
        <v>9</v>
      </c>
      <c r="C482" s="6">
        <v>5</v>
      </c>
      <c r="D482" s="8">
        <v>39391</v>
      </c>
      <c r="E482" s="8">
        <v>39419</v>
      </c>
      <c r="F482" s="8">
        <v>39400</v>
      </c>
      <c r="G482" s="6">
        <v>1</v>
      </c>
      <c r="H482" s="1">
        <v>20.12</v>
      </c>
      <c r="I482" s="1" t="s">
        <v>874</v>
      </c>
      <c r="J482" s="1" t="s">
        <v>875</v>
      </c>
      <c r="K482" s="1" t="s">
        <v>90</v>
      </c>
      <c r="L482" s="2"/>
      <c r="M482" s="1">
        <v>10367</v>
      </c>
      <c r="N482" s="1" t="s">
        <v>77</v>
      </c>
      <c r="O482" s="11" t="s">
        <v>745</v>
      </c>
      <c r="P482" s="3"/>
    </row>
    <row r="483" spans="1:16">
      <c r="A483" s="6">
        <v>10731</v>
      </c>
      <c r="B483" s="6">
        <v>14</v>
      </c>
      <c r="C483" s="6">
        <v>7</v>
      </c>
      <c r="D483" s="8">
        <v>39392</v>
      </c>
      <c r="E483" s="8">
        <v>39420</v>
      </c>
      <c r="F483" s="8">
        <v>39400</v>
      </c>
      <c r="G483" s="6">
        <v>1</v>
      </c>
      <c r="H483" s="1">
        <v>96.65</v>
      </c>
      <c r="I483" s="1" t="s">
        <v>752</v>
      </c>
      <c r="J483" s="1" t="s">
        <v>753</v>
      </c>
      <c r="K483" s="1" t="s">
        <v>120</v>
      </c>
      <c r="L483" s="2"/>
      <c r="M483" s="1">
        <v>10139</v>
      </c>
      <c r="N483" s="1" t="s">
        <v>121</v>
      </c>
      <c r="O483" s="11" t="s">
        <v>745</v>
      </c>
      <c r="P483" s="3"/>
    </row>
    <row r="484" spans="1:16">
      <c r="A484" s="6">
        <v>10732</v>
      </c>
      <c r="B484" s="6">
        <v>9</v>
      </c>
      <c r="C484" s="6">
        <v>3</v>
      </c>
      <c r="D484" s="8">
        <v>39392</v>
      </c>
      <c r="E484" s="8">
        <v>39420</v>
      </c>
      <c r="F484" s="8">
        <v>39393</v>
      </c>
      <c r="G484" s="6">
        <v>1</v>
      </c>
      <c r="H484" s="1">
        <v>16.97</v>
      </c>
      <c r="I484" s="1" t="s">
        <v>874</v>
      </c>
      <c r="J484" s="1" t="s">
        <v>875</v>
      </c>
      <c r="K484" s="1" t="s">
        <v>90</v>
      </c>
      <c r="L484" s="2"/>
      <c r="M484" s="1">
        <v>10367</v>
      </c>
      <c r="N484" s="1" t="s">
        <v>77</v>
      </c>
      <c r="O484" s="11" t="s">
        <v>745</v>
      </c>
      <c r="P484" s="3"/>
    </row>
    <row r="485" spans="1:16">
      <c r="A485" s="6">
        <v>10733</v>
      </c>
      <c r="B485" s="6">
        <v>5</v>
      </c>
      <c r="C485" s="6">
        <v>1</v>
      </c>
      <c r="D485" s="8">
        <v>39393</v>
      </c>
      <c r="E485" s="8">
        <v>39421</v>
      </c>
      <c r="F485" s="8">
        <v>39396</v>
      </c>
      <c r="G485" s="6">
        <v>3</v>
      </c>
      <c r="H485" s="1">
        <v>110.11</v>
      </c>
      <c r="I485" s="1" t="s">
        <v>982</v>
      </c>
      <c r="J485" s="1" t="s">
        <v>983</v>
      </c>
      <c r="K485" s="1" t="s">
        <v>62</v>
      </c>
      <c r="L485" s="2"/>
      <c r="M485" s="1">
        <v>10267</v>
      </c>
      <c r="N485" s="1" t="s">
        <v>63</v>
      </c>
      <c r="O485" s="11" t="s">
        <v>745</v>
      </c>
      <c r="P485" s="3"/>
    </row>
    <row r="486" spans="1:16">
      <c r="A486" s="6">
        <v>10734</v>
      </c>
      <c r="B486" s="6">
        <v>31</v>
      </c>
      <c r="C486" s="6">
        <v>2</v>
      </c>
      <c r="D486" s="8">
        <v>39393</v>
      </c>
      <c r="E486" s="8">
        <v>39421</v>
      </c>
      <c r="F486" s="8">
        <v>39398</v>
      </c>
      <c r="G486" s="6">
        <v>3</v>
      </c>
      <c r="H486" s="1">
        <v>1.63</v>
      </c>
      <c r="I486" s="1" t="s">
        <v>966</v>
      </c>
      <c r="J486" s="1" t="s">
        <v>967</v>
      </c>
      <c r="K486" s="1" t="s">
        <v>222</v>
      </c>
      <c r="L486" s="1" t="s">
        <v>128</v>
      </c>
      <c r="M486" s="1">
        <v>10187</v>
      </c>
      <c r="N486" s="1" t="s">
        <v>129</v>
      </c>
      <c r="O486" s="11" t="s">
        <v>745</v>
      </c>
      <c r="P486" s="3"/>
    </row>
    <row r="487" spans="1:16">
      <c r="A487" s="6">
        <v>10735</v>
      </c>
      <c r="B487" s="6">
        <v>45</v>
      </c>
      <c r="C487" s="6">
        <v>6</v>
      </c>
      <c r="D487" s="8">
        <v>39396</v>
      </c>
      <c r="E487" s="8">
        <v>39424</v>
      </c>
      <c r="F487" s="8">
        <v>39407</v>
      </c>
      <c r="G487" s="6">
        <v>2</v>
      </c>
      <c r="H487" s="1">
        <v>45.97</v>
      </c>
      <c r="I487" s="1" t="s">
        <v>1127</v>
      </c>
      <c r="J487" s="1" t="s">
        <v>1128</v>
      </c>
      <c r="K487" s="1" t="s">
        <v>312</v>
      </c>
      <c r="L487" s="1" t="s">
        <v>313</v>
      </c>
      <c r="M487" s="1">
        <v>10225</v>
      </c>
      <c r="N487" s="1" t="s">
        <v>229</v>
      </c>
      <c r="O487" s="11" t="s">
        <v>745</v>
      </c>
      <c r="P487" s="3"/>
    </row>
    <row r="488" spans="1:16">
      <c r="A488" s="6">
        <v>10736</v>
      </c>
      <c r="B488" s="6">
        <v>37</v>
      </c>
      <c r="C488" s="6">
        <v>9</v>
      </c>
      <c r="D488" s="8">
        <v>39397</v>
      </c>
      <c r="E488" s="8">
        <v>39425</v>
      </c>
      <c r="F488" s="8">
        <v>39407</v>
      </c>
      <c r="G488" s="6">
        <v>2</v>
      </c>
      <c r="H488" s="1">
        <v>44.1</v>
      </c>
      <c r="I488" s="1" t="s">
        <v>972</v>
      </c>
      <c r="J488" s="1" t="s">
        <v>973</v>
      </c>
      <c r="K488" s="1" t="s">
        <v>262</v>
      </c>
      <c r="L488" s="1" t="s">
        <v>263</v>
      </c>
      <c r="M488" s="1">
        <v>10204</v>
      </c>
      <c r="N488" s="1" t="s">
        <v>264</v>
      </c>
      <c r="O488" s="11" t="s">
        <v>745</v>
      </c>
      <c r="P488" s="3"/>
    </row>
    <row r="489" spans="1:16">
      <c r="A489" s="6">
        <v>10737</v>
      </c>
      <c r="B489" s="6">
        <v>85</v>
      </c>
      <c r="C489" s="6">
        <v>2</v>
      </c>
      <c r="D489" s="8">
        <v>39397</v>
      </c>
      <c r="E489" s="8">
        <v>39425</v>
      </c>
      <c r="F489" s="8">
        <v>39404</v>
      </c>
      <c r="G489" s="6">
        <v>2</v>
      </c>
      <c r="H489" s="1">
        <v>7.79</v>
      </c>
      <c r="I489" s="1" t="s">
        <v>822</v>
      </c>
      <c r="J489" s="1" t="s">
        <v>823</v>
      </c>
      <c r="K489" s="1" t="s">
        <v>538</v>
      </c>
      <c r="L489" s="2"/>
      <c r="M489" s="1">
        <v>10346</v>
      </c>
      <c r="N489" s="1" t="s">
        <v>77</v>
      </c>
      <c r="O489" s="11" t="s">
        <v>745</v>
      </c>
      <c r="P489" s="3"/>
    </row>
    <row r="490" spans="1:16">
      <c r="A490" s="6">
        <v>10738</v>
      </c>
      <c r="B490" s="6">
        <v>74</v>
      </c>
      <c r="C490" s="6">
        <v>2</v>
      </c>
      <c r="D490" s="8">
        <v>39398</v>
      </c>
      <c r="E490" s="8">
        <v>39426</v>
      </c>
      <c r="F490" s="8">
        <v>39404</v>
      </c>
      <c r="G490" s="6">
        <v>1</v>
      </c>
      <c r="H490" s="1">
        <v>2.91</v>
      </c>
      <c r="I490" s="1" t="s">
        <v>1136</v>
      </c>
      <c r="J490" s="1" t="s">
        <v>1137</v>
      </c>
      <c r="K490" s="1" t="s">
        <v>384</v>
      </c>
      <c r="L490" s="2"/>
      <c r="M490" s="1">
        <v>10312</v>
      </c>
      <c r="N490" s="1" t="s">
        <v>77</v>
      </c>
      <c r="O490" s="11" t="s">
        <v>745</v>
      </c>
      <c r="P490" s="3"/>
    </row>
    <row r="491" spans="1:16">
      <c r="A491" s="6">
        <v>10739</v>
      </c>
      <c r="B491" s="6">
        <v>85</v>
      </c>
      <c r="C491" s="6">
        <v>3</v>
      </c>
      <c r="D491" s="8">
        <v>39398</v>
      </c>
      <c r="E491" s="8">
        <v>39426</v>
      </c>
      <c r="F491" s="8">
        <v>39403</v>
      </c>
      <c r="G491" s="6">
        <v>3</v>
      </c>
      <c r="H491" s="1">
        <v>11.08</v>
      </c>
      <c r="I491" s="1" t="s">
        <v>822</v>
      </c>
      <c r="J491" s="1" t="s">
        <v>823</v>
      </c>
      <c r="K491" s="1" t="s">
        <v>538</v>
      </c>
      <c r="L491" s="2"/>
      <c r="M491" s="1">
        <v>10346</v>
      </c>
      <c r="N491" s="1" t="s">
        <v>77</v>
      </c>
      <c r="O491" s="11" t="s">
        <v>745</v>
      </c>
      <c r="P491" s="3"/>
    </row>
    <row r="492" spans="1:16">
      <c r="A492" s="6">
        <v>10740</v>
      </c>
      <c r="B492" s="6">
        <v>89</v>
      </c>
      <c r="C492" s="6">
        <v>4</v>
      </c>
      <c r="D492" s="8">
        <v>39399</v>
      </c>
      <c r="E492" s="8">
        <v>39427</v>
      </c>
      <c r="F492" s="8">
        <v>39411</v>
      </c>
      <c r="G492" s="6">
        <v>2</v>
      </c>
      <c r="H492" s="1">
        <v>81.88</v>
      </c>
      <c r="I492" s="1" t="s">
        <v>781</v>
      </c>
      <c r="J492" s="1" t="s">
        <v>782</v>
      </c>
      <c r="K492" s="1" t="s">
        <v>562</v>
      </c>
      <c r="L492" s="1" t="s">
        <v>300</v>
      </c>
      <c r="M492" s="1">
        <v>10357</v>
      </c>
      <c r="N492" s="1" t="s">
        <v>229</v>
      </c>
      <c r="O492" s="11" t="s">
        <v>745</v>
      </c>
      <c r="P492" s="3"/>
    </row>
    <row r="493" spans="1:16">
      <c r="A493" s="6">
        <v>10741</v>
      </c>
      <c r="B493" s="6">
        <v>4</v>
      </c>
      <c r="C493" s="6">
        <v>4</v>
      </c>
      <c r="D493" s="8">
        <v>39400</v>
      </c>
      <c r="E493" s="8">
        <v>39414</v>
      </c>
      <c r="F493" s="8">
        <v>39404</v>
      </c>
      <c r="G493" s="6">
        <v>3</v>
      </c>
      <c r="H493" s="1">
        <v>10.96</v>
      </c>
      <c r="I493" s="1" t="s">
        <v>992</v>
      </c>
      <c r="J493" s="1" t="s">
        <v>993</v>
      </c>
      <c r="K493" s="1" t="s">
        <v>892</v>
      </c>
      <c r="L493" s="1" t="s">
        <v>893</v>
      </c>
      <c r="M493" s="1">
        <v>10240</v>
      </c>
      <c r="N493" s="1" t="s">
        <v>55</v>
      </c>
      <c r="O493" s="11" t="s">
        <v>745</v>
      </c>
      <c r="P493" s="3"/>
    </row>
    <row r="494" spans="1:16">
      <c r="A494" s="6">
        <v>10742</v>
      </c>
      <c r="B494" s="6">
        <v>10</v>
      </c>
      <c r="C494" s="6">
        <v>3</v>
      </c>
      <c r="D494" s="8">
        <v>39400</v>
      </c>
      <c r="E494" s="8">
        <v>39428</v>
      </c>
      <c r="F494" s="8">
        <v>39404</v>
      </c>
      <c r="G494" s="6">
        <v>3</v>
      </c>
      <c r="H494" s="1">
        <v>243.73</v>
      </c>
      <c r="I494" s="1" t="s">
        <v>1138</v>
      </c>
      <c r="J494" s="1" t="s">
        <v>1139</v>
      </c>
      <c r="K494" s="1" t="s">
        <v>97</v>
      </c>
      <c r="L494" s="1" t="s">
        <v>98</v>
      </c>
      <c r="M494" s="1">
        <v>10131</v>
      </c>
      <c r="N494" s="1" t="s">
        <v>99</v>
      </c>
      <c r="O494" s="11" t="s">
        <v>745</v>
      </c>
      <c r="P494" s="3"/>
    </row>
    <row r="495" spans="1:16">
      <c r="A495" s="6">
        <v>11072</v>
      </c>
      <c r="B495" s="6">
        <v>20</v>
      </c>
      <c r="C495" s="6">
        <v>4</v>
      </c>
      <c r="D495" s="8">
        <v>39573</v>
      </c>
      <c r="E495" s="8">
        <v>39601</v>
      </c>
      <c r="F495" s="7"/>
      <c r="G495" s="6">
        <v>2</v>
      </c>
      <c r="H495" s="1">
        <v>258.64</v>
      </c>
      <c r="I495" s="1" t="s">
        <v>760</v>
      </c>
      <c r="J495" s="1" t="s">
        <v>156</v>
      </c>
      <c r="K495" s="1" t="s">
        <v>157</v>
      </c>
      <c r="L495" s="2"/>
      <c r="M495" s="1">
        <v>10157</v>
      </c>
      <c r="N495" s="1" t="s">
        <v>158</v>
      </c>
      <c r="O495" s="11" t="s">
        <v>745</v>
      </c>
      <c r="P495" s="3"/>
    </row>
    <row r="496" spans="1:16">
      <c r="A496" s="6">
        <v>10743</v>
      </c>
      <c r="B496" s="6">
        <v>4</v>
      </c>
      <c r="C496" s="6">
        <v>1</v>
      </c>
      <c r="D496" s="8">
        <v>39403</v>
      </c>
      <c r="E496" s="8">
        <v>39431</v>
      </c>
      <c r="F496" s="8">
        <v>39407</v>
      </c>
      <c r="G496" s="6">
        <v>2</v>
      </c>
      <c r="H496" s="1">
        <v>23.72</v>
      </c>
      <c r="I496" s="1" t="s">
        <v>992</v>
      </c>
      <c r="J496" s="1" t="s">
        <v>993</v>
      </c>
      <c r="K496" s="1" t="s">
        <v>892</v>
      </c>
      <c r="L496" s="1" t="s">
        <v>893</v>
      </c>
      <c r="M496" s="1">
        <v>10240</v>
      </c>
      <c r="N496" s="1" t="s">
        <v>55</v>
      </c>
      <c r="O496" s="11" t="s">
        <v>745</v>
      </c>
      <c r="P496" s="3"/>
    </row>
    <row r="497" spans="1:16">
      <c r="A497" s="6">
        <v>10744</v>
      </c>
      <c r="B497" s="6">
        <v>83</v>
      </c>
      <c r="C497" s="6">
        <v>6</v>
      </c>
      <c r="D497" s="8">
        <v>39403</v>
      </c>
      <c r="E497" s="8">
        <v>39431</v>
      </c>
      <c r="F497" s="8">
        <v>39410</v>
      </c>
      <c r="G497" s="6">
        <v>1</v>
      </c>
      <c r="H497" s="1">
        <v>69.19</v>
      </c>
      <c r="I497" s="1" t="s">
        <v>1002</v>
      </c>
      <c r="J497" s="1" t="s">
        <v>1003</v>
      </c>
      <c r="K497" s="1" t="s">
        <v>526</v>
      </c>
      <c r="L497" s="2"/>
      <c r="M497" s="1">
        <v>10339</v>
      </c>
      <c r="N497" s="1" t="s">
        <v>470</v>
      </c>
      <c r="O497" s="11" t="s">
        <v>745</v>
      </c>
      <c r="P497" s="3"/>
    </row>
    <row r="498" spans="1:16">
      <c r="A498" s="6">
        <v>10745</v>
      </c>
      <c r="B498" s="6">
        <v>63</v>
      </c>
      <c r="C498" s="6">
        <v>9</v>
      </c>
      <c r="D498" s="8">
        <v>39404</v>
      </c>
      <c r="E498" s="8">
        <v>39432</v>
      </c>
      <c r="F498" s="8">
        <v>39413</v>
      </c>
      <c r="G498" s="6">
        <v>1</v>
      </c>
      <c r="H498" s="1">
        <v>3.52</v>
      </c>
      <c r="I498" s="1" t="s">
        <v>900</v>
      </c>
      <c r="J498" s="1" t="s">
        <v>901</v>
      </c>
      <c r="K498" s="1" t="s">
        <v>413</v>
      </c>
      <c r="L498" s="2"/>
      <c r="M498" s="1">
        <v>10281</v>
      </c>
      <c r="N498" s="1" t="s">
        <v>36</v>
      </c>
      <c r="O498" s="11" t="s">
        <v>745</v>
      </c>
      <c r="P498" s="3"/>
    </row>
    <row r="499" spans="1:16">
      <c r="A499" s="6">
        <v>10746</v>
      </c>
      <c r="B499" s="6">
        <v>14</v>
      </c>
      <c r="C499" s="6">
        <v>1</v>
      </c>
      <c r="D499" s="8">
        <v>39405</v>
      </c>
      <c r="E499" s="8">
        <v>39433</v>
      </c>
      <c r="F499" s="8">
        <v>39407</v>
      </c>
      <c r="G499" s="6">
        <v>3</v>
      </c>
      <c r="H499" s="1">
        <v>31.43</v>
      </c>
      <c r="I499" s="1" t="s">
        <v>1048</v>
      </c>
      <c r="J499" s="1" t="s">
        <v>119</v>
      </c>
      <c r="K499" s="1" t="s">
        <v>120</v>
      </c>
      <c r="L499" s="2"/>
      <c r="M499" s="1">
        <v>10138</v>
      </c>
      <c r="N499" s="1" t="s">
        <v>121</v>
      </c>
      <c r="O499" s="11" t="s">
        <v>745</v>
      </c>
      <c r="P499" s="3"/>
    </row>
    <row r="500" spans="1:16">
      <c r="A500" s="6">
        <v>10747</v>
      </c>
      <c r="B500" s="6">
        <v>59</v>
      </c>
      <c r="C500" s="6">
        <v>6</v>
      </c>
      <c r="D500" s="8">
        <v>39405</v>
      </c>
      <c r="E500" s="8">
        <v>39433</v>
      </c>
      <c r="F500" s="8">
        <v>39412</v>
      </c>
      <c r="G500" s="6">
        <v>1</v>
      </c>
      <c r="H500" s="1">
        <v>117.33</v>
      </c>
      <c r="I500" s="1" t="s">
        <v>886</v>
      </c>
      <c r="J500" s="1" t="s">
        <v>887</v>
      </c>
      <c r="K500" s="1" t="s">
        <v>394</v>
      </c>
      <c r="L500" s="2"/>
      <c r="M500" s="1">
        <v>10265</v>
      </c>
      <c r="N500" s="1" t="s">
        <v>158</v>
      </c>
      <c r="O500" s="11" t="s">
        <v>745</v>
      </c>
      <c r="P500" s="3"/>
    </row>
    <row r="501" spans="1:16">
      <c r="A501" s="6">
        <v>10748</v>
      </c>
      <c r="B501" s="6">
        <v>71</v>
      </c>
      <c r="C501" s="6">
        <v>3</v>
      </c>
      <c r="D501" s="8">
        <v>39406</v>
      </c>
      <c r="E501" s="8">
        <v>39434</v>
      </c>
      <c r="F501" s="8">
        <v>39414</v>
      </c>
      <c r="G501" s="6">
        <v>1</v>
      </c>
      <c r="H501" s="1">
        <v>232.55</v>
      </c>
      <c r="I501" s="1" t="s">
        <v>936</v>
      </c>
      <c r="J501" s="1" t="s">
        <v>937</v>
      </c>
      <c r="K501" s="1" t="s">
        <v>458</v>
      </c>
      <c r="L501" s="1" t="s">
        <v>459</v>
      </c>
      <c r="M501" s="1">
        <v>10306</v>
      </c>
      <c r="N501" s="1" t="s">
        <v>229</v>
      </c>
      <c r="O501" s="11" t="s">
        <v>745</v>
      </c>
      <c r="P501" s="3"/>
    </row>
    <row r="502" spans="1:16">
      <c r="A502" s="6">
        <v>10749</v>
      </c>
      <c r="B502" s="6">
        <v>38</v>
      </c>
      <c r="C502" s="6">
        <v>4</v>
      </c>
      <c r="D502" s="8">
        <v>39406</v>
      </c>
      <c r="E502" s="8">
        <v>39434</v>
      </c>
      <c r="F502" s="8">
        <v>39435</v>
      </c>
      <c r="G502" s="6">
        <v>2</v>
      </c>
      <c r="H502" s="1">
        <v>61.53</v>
      </c>
      <c r="I502" s="1" t="s">
        <v>1105</v>
      </c>
      <c r="J502" s="1" t="s">
        <v>1106</v>
      </c>
      <c r="K502" s="1" t="s">
        <v>270</v>
      </c>
      <c r="L502" s="1" t="s">
        <v>271</v>
      </c>
      <c r="M502" s="1">
        <v>10205</v>
      </c>
      <c r="N502" s="1" t="s">
        <v>55</v>
      </c>
      <c r="O502" s="11" t="s">
        <v>745</v>
      </c>
      <c r="P502" s="3"/>
    </row>
    <row r="503" spans="1:16">
      <c r="A503" s="6">
        <v>10750</v>
      </c>
      <c r="B503" s="6">
        <v>87</v>
      </c>
      <c r="C503" s="6">
        <v>9</v>
      </c>
      <c r="D503" s="8">
        <v>39407</v>
      </c>
      <c r="E503" s="8">
        <v>39435</v>
      </c>
      <c r="F503" s="8">
        <v>39410</v>
      </c>
      <c r="G503" s="6">
        <v>1</v>
      </c>
      <c r="H503" s="1">
        <v>79.3</v>
      </c>
      <c r="I503" s="1" t="s">
        <v>863</v>
      </c>
      <c r="J503" s="1" t="s">
        <v>864</v>
      </c>
      <c r="K503" s="1" t="s">
        <v>550</v>
      </c>
      <c r="L503" s="2"/>
      <c r="M503" s="1">
        <v>10352</v>
      </c>
      <c r="N503" s="1" t="s">
        <v>551</v>
      </c>
      <c r="O503" s="11" t="s">
        <v>745</v>
      </c>
      <c r="P503" s="3"/>
    </row>
    <row r="504" spans="1:16">
      <c r="A504" s="6">
        <v>10751</v>
      </c>
      <c r="B504" s="6">
        <v>68</v>
      </c>
      <c r="C504" s="6">
        <v>3</v>
      </c>
      <c r="D504" s="8">
        <v>39410</v>
      </c>
      <c r="E504" s="8">
        <v>39438</v>
      </c>
      <c r="F504" s="8">
        <v>39419</v>
      </c>
      <c r="G504" s="6">
        <v>3</v>
      </c>
      <c r="H504" s="1">
        <v>130.79</v>
      </c>
      <c r="I504" s="1" t="s">
        <v>754</v>
      </c>
      <c r="J504" s="1" t="s">
        <v>755</v>
      </c>
      <c r="K504" s="1" t="s">
        <v>441</v>
      </c>
      <c r="L504" s="2"/>
      <c r="M504" s="1">
        <v>10294</v>
      </c>
      <c r="N504" s="1" t="s">
        <v>121</v>
      </c>
      <c r="O504" s="11" t="s">
        <v>745</v>
      </c>
      <c r="P504" s="3"/>
    </row>
    <row r="505" spans="1:16">
      <c r="A505" s="6">
        <v>10752</v>
      </c>
      <c r="B505" s="6">
        <v>53</v>
      </c>
      <c r="C505" s="6">
        <v>2</v>
      </c>
      <c r="D505" s="8">
        <v>39410</v>
      </c>
      <c r="E505" s="8">
        <v>39438</v>
      </c>
      <c r="F505" s="8">
        <v>39414</v>
      </c>
      <c r="G505" s="6">
        <v>3</v>
      </c>
      <c r="H505" s="1">
        <v>1.39</v>
      </c>
      <c r="I505" s="1" t="s">
        <v>1140</v>
      </c>
      <c r="J505" s="1" t="s">
        <v>1141</v>
      </c>
      <c r="K505" s="1" t="s">
        <v>54</v>
      </c>
      <c r="L505" s="2"/>
      <c r="M505" s="1">
        <v>10251</v>
      </c>
      <c r="N505" s="1" t="s">
        <v>55</v>
      </c>
      <c r="O505" s="11" t="s">
        <v>745</v>
      </c>
      <c r="P505" s="3"/>
    </row>
    <row r="506" spans="1:16">
      <c r="A506" s="6">
        <v>10753</v>
      </c>
      <c r="B506" s="6">
        <v>27</v>
      </c>
      <c r="C506" s="6">
        <v>3</v>
      </c>
      <c r="D506" s="8">
        <v>39411</v>
      </c>
      <c r="E506" s="8">
        <v>39439</v>
      </c>
      <c r="F506" s="8">
        <v>39413</v>
      </c>
      <c r="G506" s="6">
        <v>1</v>
      </c>
      <c r="H506" s="1">
        <v>7.7</v>
      </c>
      <c r="I506" s="1" t="s">
        <v>1142</v>
      </c>
      <c r="J506" s="1" t="s">
        <v>1143</v>
      </c>
      <c r="K506" s="1" t="s">
        <v>197</v>
      </c>
      <c r="L506" s="2"/>
      <c r="M506" s="1">
        <v>10175</v>
      </c>
      <c r="N506" s="1" t="s">
        <v>198</v>
      </c>
      <c r="O506" s="11" t="s">
        <v>745</v>
      </c>
      <c r="P506" s="3"/>
    </row>
    <row r="507" spans="1:16">
      <c r="A507" s="6">
        <v>10754</v>
      </c>
      <c r="B507" s="6">
        <v>49</v>
      </c>
      <c r="C507" s="6">
        <v>6</v>
      </c>
      <c r="D507" s="8">
        <v>39411</v>
      </c>
      <c r="E507" s="8">
        <v>39439</v>
      </c>
      <c r="F507" s="8">
        <v>39413</v>
      </c>
      <c r="G507" s="6">
        <v>3</v>
      </c>
      <c r="H507" s="1">
        <v>2.38</v>
      </c>
      <c r="I507" s="1" t="s">
        <v>945</v>
      </c>
      <c r="J507" s="1" t="s">
        <v>946</v>
      </c>
      <c r="K507" s="1" t="s">
        <v>338</v>
      </c>
      <c r="L507" s="2"/>
      <c r="M507" s="1">
        <v>10236</v>
      </c>
      <c r="N507" s="1" t="s">
        <v>198</v>
      </c>
      <c r="O507" s="11" t="s">
        <v>745</v>
      </c>
      <c r="P507" s="3"/>
    </row>
    <row r="508" spans="1:16">
      <c r="A508" s="6">
        <v>10755</v>
      </c>
      <c r="B508" s="6">
        <v>9</v>
      </c>
      <c r="C508" s="6">
        <v>4</v>
      </c>
      <c r="D508" s="8">
        <v>39412</v>
      </c>
      <c r="E508" s="8">
        <v>39440</v>
      </c>
      <c r="F508" s="8">
        <v>39414</v>
      </c>
      <c r="G508" s="6">
        <v>2</v>
      </c>
      <c r="H508" s="1">
        <v>16.71</v>
      </c>
      <c r="I508" s="1" t="s">
        <v>859</v>
      </c>
      <c r="J508" s="1" t="s">
        <v>860</v>
      </c>
      <c r="K508" s="1" t="s">
        <v>90</v>
      </c>
      <c r="L508" s="2"/>
      <c r="M508" s="1">
        <v>10369</v>
      </c>
      <c r="N508" s="1" t="s">
        <v>77</v>
      </c>
      <c r="O508" s="11" t="s">
        <v>745</v>
      </c>
      <c r="P508" s="3"/>
    </row>
    <row r="509" spans="1:16">
      <c r="A509" s="6">
        <v>10756</v>
      </c>
      <c r="B509" s="6">
        <v>75</v>
      </c>
      <c r="C509" s="6">
        <v>8</v>
      </c>
      <c r="D509" s="8">
        <v>39413</v>
      </c>
      <c r="E509" s="8">
        <v>39441</v>
      </c>
      <c r="F509" s="8">
        <v>39418</v>
      </c>
      <c r="G509" s="6">
        <v>2</v>
      </c>
      <c r="H509" s="1">
        <v>73.209999999999994</v>
      </c>
      <c r="I509" s="1" t="s">
        <v>783</v>
      </c>
      <c r="J509" s="1" t="s">
        <v>784</v>
      </c>
      <c r="K509" s="1" t="s">
        <v>481</v>
      </c>
      <c r="L509" s="1" t="s">
        <v>482</v>
      </c>
      <c r="M509" s="1">
        <v>10316</v>
      </c>
      <c r="N509" s="1" t="s">
        <v>229</v>
      </c>
      <c r="O509" s="11" t="s">
        <v>745</v>
      </c>
      <c r="P509" s="3"/>
    </row>
    <row r="510" spans="1:16">
      <c r="A510" s="6">
        <v>10757</v>
      </c>
      <c r="B510" s="6">
        <v>71</v>
      </c>
      <c r="C510" s="6">
        <v>6</v>
      </c>
      <c r="D510" s="8">
        <v>39413</v>
      </c>
      <c r="E510" s="8">
        <v>39441</v>
      </c>
      <c r="F510" s="8">
        <v>39431</v>
      </c>
      <c r="G510" s="6">
        <v>1</v>
      </c>
      <c r="H510" s="1">
        <v>8.19</v>
      </c>
      <c r="I510" s="1" t="s">
        <v>936</v>
      </c>
      <c r="J510" s="1" t="s">
        <v>937</v>
      </c>
      <c r="K510" s="1" t="s">
        <v>458</v>
      </c>
      <c r="L510" s="1" t="s">
        <v>459</v>
      </c>
      <c r="M510" s="1">
        <v>10306</v>
      </c>
      <c r="N510" s="1" t="s">
        <v>229</v>
      </c>
      <c r="O510" s="11" t="s">
        <v>745</v>
      </c>
      <c r="P510" s="3"/>
    </row>
    <row r="511" spans="1:16">
      <c r="A511" s="6">
        <v>10758</v>
      </c>
      <c r="B511" s="6">
        <v>68</v>
      </c>
      <c r="C511" s="6">
        <v>3</v>
      </c>
      <c r="D511" s="8">
        <v>39414</v>
      </c>
      <c r="E511" s="8">
        <v>39442</v>
      </c>
      <c r="F511" s="8">
        <v>39420</v>
      </c>
      <c r="G511" s="6">
        <v>3</v>
      </c>
      <c r="H511" s="1">
        <v>138.16999999999999</v>
      </c>
      <c r="I511" s="1" t="s">
        <v>1144</v>
      </c>
      <c r="J511" s="1" t="s">
        <v>1145</v>
      </c>
      <c r="K511" s="1" t="s">
        <v>441</v>
      </c>
      <c r="L511" s="2"/>
      <c r="M511" s="1">
        <v>10296</v>
      </c>
      <c r="N511" s="1" t="s">
        <v>121</v>
      </c>
      <c r="O511" s="11" t="s">
        <v>745</v>
      </c>
      <c r="P511" s="3"/>
    </row>
    <row r="512" spans="1:16">
      <c r="A512" s="6">
        <v>10759</v>
      </c>
      <c r="B512" s="6">
        <v>2</v>
      </c>
      <c r="C512" s="6">
        <v>3</v>
      </c>
      <c r="D512" s="8">
        <v>39414</v>
      </c>
      <c r="E512" s="8">
        <v>39442</v>
      </c>
      <c r="F512" s="8">
        <v>39428</v>
      </c>
      <c r="G512" s="6">
        <v>3</v>
      </c>
      <c r="H512" s="1">
        <v>11.99</v>
      </c>
      <c r="I512" s="1" t="s">
        <v>1093</v>
      </c>
      <c r="J512" s="1" t="s">
        <v>1094</v>
      </c>
      <c r="K512" s="1" t="s">
        <v>43</v>
      </c>
      <c r="L512" s="2"/>
      <c r="M512" s="1">
        <v>10181</v>
      </c>
      <c r="N512" s="1" t="s">
        <v>44</v>
      </c>
      <c r="O512" s="11" t="s">
        <v>745</v>
      </c>
      <c r="P512" s="3"/>
    </row>
    <row r="513" spans="1:16">
      <c r="A513" s="6">
        <v>10760</v>
      </c>
      <c r="B513" s="6">
        <v>50</v>
      </c>
      <c r="C513" s="6">
        <v>4</v>
      </c>
      <c r="D513" s="8">
        <v>39417</v>
      </c>
      <c r="E513" s="8">
        <v>39445</v>
      </c>
      <c r="F513" s="8">
        <v>39426</v>
      </c>
      <c r="G513" s="6">
        <v>1</v>
      </c>
      <c r="H513" s="1">
        <v>155.63999999999999</v>
      </c>
      <c r="I513" s="1" t="s">
        <v>1053</v>
      </c>
      <c r="J513" s="1" t="s">
        <v>1054</v>
      </c>
      <c r="K513" s="1" t="s">
        <v>344</v>
      </c>
      <c r="L513" s="2"/>
      <c r="M513" s="1">
        <v>10242</v>
      </c>
      <c r="N513" s="1" t="s">
        <v>345</v>
      </c>
      <c r="O513" s="11" t="s">
        <v>745</v>
      </c>
      <c r="P513" s="3"/>
    </row>
    <row r="514" spans="1:16">
      <c r="A514" s="6">
        <v>10761</v>
      </c>
      <c r="B514" s="6">
        <v>65</v>
      </c>
      <c r="C514" s="6">
        <v>5</v>
      </c>
      <c r="D514" s="8">
        <v>39418</v>
      </c>
      <c r="E514" s="8">
        <v>39446</v>
      </c>
      <c r="F514" s="8">
        <v>39424</v>
      </c>
      <c r="G514" s="6">
        <v>2</v>
      </c>
      <c r="H514" s="1">
        <v>18.66</v>
      </c>
      <c r="I514" s="1" t="s">
        <v>767</v>
      </c>
      <c r="J514" s="1" t="s">
        <v>768</v>
      </c>
      <c r="K514" s="1" t="s">
        <v>424</v>
      </c>
      <c r="L514" s="1" t="s">
        <v>425</v>
      </c>
      <c r="M514" s="1">
        <v>10286</v>
      </c>
      <c r="N514" s="1" t="s">
        <v>229</v>
      </c>
      <c r="O514" s="11" t="s">
        <v>745</v>
      </c>
      <c r="P514" s="3"/>
    </row>
    <row r="515" spans="1:16">
      <c r="A515" s="6">
        <v>10762</v>
      </c>
      <c r="B515" s="6">
        <v>24</v>
      </c>
      <c r="C515" s="6">
        <v>3</v>
      </c>
      <c r="D515" s="8">
        <v>39418</v>
      </c>
      <c r="E515" s="8">
        <v>39446</v>
      </c>
      <c r="F515" s="8">
        <v>39425</v>
      </c>
      <c r="G515" s="6">
        <v>1</v>
      </c>
      <c r="H515" s="1">
        <v>328.74</v>
      </c>
      <c r="I515" s="1" t="s">
        <v>998</v>
      </c>
      <c r="J515" s="1" t="s">
        <v>999</v>
      </c>
      <c r="K515" s="1" t="s">
        <v>181</v>
      </c>
      <c r="L515" s="2"/>
      <c r="M515" s="1">
        <v>10166</v>
      </c>
      <c r="N515" s="1" t="s">
        <v>63</v>
      </c>
      <c r="O515" s="11" t="s">
        <v>745</v>
      </c>
      <c r="P515" s="3"/>
    </row>
    <row r="516" spans="1:16">
      <c r="A516" s="6">
        <v>10763</v>
      </c>
      <c r="B516" s="6">
        <v>23</v>
      </c>
      <c r="C516" s="6">
        <v>3</v>
      </c>
      <c r="D516" s="8">
        <v>39419</v>
      </c>
      <c r="E516" s="8">
        <v>39447</v>
      </c>
      <c r="F516" s="8">
        <v>39424</v>
      </c>
      <c r="G516" s="6">
        <v>3</v>
      </c>
      <c r="H516" s="1">
        <v>37.35</v>
      </c>
      <c r="I516" s="1" t="s">
        <v>951</v>
      </c>
      <c r="J516" s="1" t="s">
        <v>952</v>
      </c>
      <c r="K516" s="1" t="s">
        <v>175</v>
      </c>
      <c r="L516" s="2"/>
      <c r="M516" s="1">
        <v>10163</v>
      </c>
      <c r="N516" s="1" t="s">
        <v>77</v>
      </c>
      <c r="O516" s="11" t="s">
        <v>745</v>
      </c>
      <c r="P516" s="3"/>
    </row>
    <row r="517" spans="1:16">
      <c r="A517" s="6">
        <v>10764</v>
      </c>
      <c r="B517" s="6">
        <v>20</v>
      </c>
      <c r="C517" s="6">
        <v>6</v>
      </c>
      <c r="D517" s="8">
        <v>39419</v>
      </c>
      <c r="E517" s="8">
        <v>39447</v>
      </c>
      <c r="F517" s="8">
        <v>39424</v>
      </c>
      <c r="G517" s="6">
        <v>3</v>
      </c>
      <c r="H517" s="1">
        <v>145.44999999999999</v>
      </c>
      <c r="I517" s="1" t="s">
        <v>974</v>
      </c>
      <c r="J517" s="1" t="s">
        <v>975</v>
      </c>
      <c r="K517" s="1" t="s">
        <v>157</v>
      </c>
      <c r="L517" s="2"/>
      <c r="M517" s="1">
        <v>10159</v>
      </c>
      <c r="N517" s="1" t="s">
        <v>158</v>
      </c>
      <c r="O517" s="11" t="s">
        <v>745</v>
      </c>
      <c r="P517" s="3"/>
    </row>
    <row r="518" spans="1:16">
      <c r="A518" s="6">
        <v>10765</v>
      </c>
      <c r="B518" s="6">
        <v>63</v>
      </c>
      <c r="C518" s="6">
        <v>3</v>
      </c>
      <c r="D518" s="8">
        <v>39420</v>
      </c>
      <c r="E518" s="8">
        <v>39448</v>
      </c>
      <c r="F518" s="8">
        <v>39425</v>
      </c>
      <c r="G518" s="6">
        <v>3</v>
      </c>
      <c r="H518" s="1">
        <v>42.74</v>
      </c>
      <c r="I518" s="1" t="s">
        <v>787</v>
      </c>
      <c r="J518" s="1" t="s">
        <v>412</v>
      </c>
      <c r="K518" s="1" t="s">
        <v>413</v>
      </c>
      <c r="L518" s="2"/>
      <c r="M518" s="1">
        <v>10279</v>
      </c>
      <c r="N518" s="1" t="s">
        <v>36</v>
      </c>
      <c r="O518" s="11" t="s">
        <v>745</v>
      </c>
      <c r="P518" s="3"/>
    </row>
    <row r="519" spans="1:16">
      <c r="A519" s="6">
        <v>10766</v>
      </c>
      <c r="B519" s="6">
        <v>56</v>
      </c>
      <c r="C519" s="6">
        <v>4</v>
      </c>
      <c r="D519" s="8">
        <v>39421</v>
      </c>
      <c r="E519" s="8">
        <v>39449</v>
      </c>
      <c r="F519" s="8">
        <v>39425</v>
      </c>
      <c r="G519" s="6">
        <v>1</v>
      </c>
      <c r="H519" s="1">
        <v>157.55000000000001</v>
      </c>
      <c r="I519" s="1" t="s">
        <v>1040</v>
      </c>
      <c r="J519" s="1" t="s">
        <v>1041</v>
      </c>
      <c r="K519" s="1" t="s">
        <v>378</v>
      </c>
      <c r="L519" s="2"/>
      <c r="M519" s="1">
        <v>10260</v>
      </c>
      <c r="N519" s="1" t="s">
        <v>36</v>
      </c>
      <c r="O519" s="11" t="s">
        <v>745</v>
      </c>
      <c r="P519" s="3"/>
    </row>
    <row r="520" spans="1:16">
      <c r="A520" s="6">
        <v>10767</v>
      </c>
      <c r="B520" s="6">
        <v>76</v>
      </c>
      <c r="C520" s="6">
        <v>4</v>
      </c>
      <c r="D520" s="8">
        <v>39421</v>
      </c>
      <c r="E520" s="8">
        <v>39449</v>
      </c>
      <c r="F520" s="8">
        <v>39431</v>
      </c>
      <c r="G520" s="6">
        <v>3</v>
      </c>
      <c r="H520" s="1">
        <v>1.59</v>
      </c>
      <c r="I520" s="1" t="s">
        <v>748</v>
      </c>
      <c r="J520" s="1" t="s">
        <v>749</v>
      </c>
      <c r="K520" s="1" t="s">
        <v>488</v>
      </c>
      <c r="L520" s="2"/>
      <c r="M520" s="1">
        <v>10318</v>
      </c>
      <c r="N520" s="1" t="s">
        <v>345</v>
      </c>
      <c r="O520" s="11" t="s">
        <v>745</v>
      </c>
      <c r="P520" s="3"/>
    </row>
    <row r="521" spans="1:16">
      <c r="A521" s="6">
        <v>10768</v>
      </c>
      <c r="B521" s="6">
        <v>4</v>
      </c>
      <c r="C521" s="6">
        <v>3</v>
      </c>
      <c r="D521" s="8">
        <v>39424</v>
      </c>
      <c r="E521" s="8">
        <v>39452</v>
      </c>
      <c r="F521" s="8">
        <v>39431</v>
      </c>
      <c r="G521" s="6">
        <v>2</v>
      </c>
      <c r="H521" s="1">
        <v>146.32</v>
      </c>
      <c r="I521" s="1" t="s">
        <v>922</v>
      </c>
      <c r="J521" s="1" t="s">
        <v>923</v>
      </c>
      <c r="K521" s="1" t="s">
        <v>892</v>
      </c>
      <c r="L521" s="1" t="s">
        <v>893</v>
      </c>
      <c r="M521" s="1">
        <v>10239</v>
      </c>
      <c r="N521" s="1" t="s">
        <v>55</v>
      </c>
      <c r="O521" s="11" t="s">
        <v>745</v>
      </c>
      <c r="P521" s="3"/>
    </row>
    <row r="522" spans="1:16">
      <c r="A522" s="6">
        <v>10769</v>
      </c>
      <c r="B522" s="6">
        <v>83</v>
      </c>
      <c r="C522" s="6">
        <v>3</v>
      </c>
      <c r="D522" s="8">
        <v>39424</v>
      </c>
      <c r="E522" s="8">
        <v>39452</v>
      </c>
      <c r="F522" s="8">
        <v>39428</v>
      </c>
      <c r="G522" s="6">
        <v>1</v>
      </c>
      <c r="H522" s="1">
        <v>65.06</v>
      </c>
      <c r="I522" s="1" t="s">
        <v>941</v>
      </c>
      <c r="J522" s="1" t="s">
        <v>942</v>
      </c>
      <c r="K522" s="1" t="s">
        <v>526</v>
      </c>
      <c r="L522" s="2"/>
      <c r="M522" s="1">
        <v>10341</v>
      </c>
      <c r="N522" s="1" t="s">
        <v>470</v>
      </c>
      <c r="O522" s="11" t="s">
        <v>745</v>
      </c>
      <c r="P522" s="3"/>
    </row>
    <row r="523" spans="1:16">
      <c r="A523" s="6">
        <v>10770</v>
      </c>
      <c r="B523" s="6">
        <v>34</v>
      </c>
      <c r="C523" s="6">
        <v>8</v>
      </c>
      <c r="D523" s="8">
        <v>39425</v>
      </c>
      <c r="E523" s="8">
        <v>39453</v>
      </c>
      <c r="F523" s="8">
        <v>39433</v>
      </c>
      <c r="G523" s="6">
        <v>3</v>
      </c>
      <c r="H523" s="1">
        <v>5.32</v>
      </c>
      <c r="I523" s="1" t="s">
        <v>750</v>
      </c>
      <c r="J523" s="1" t="s">
        <v>751</v>
      </c>
      <c r="K523" s="1" t="s">
        <v>242</v>
      </c>
      <c r="L523" s="1" t="s">
        <v>243</v>
      </c>
      <c r="M523" s="1">
        <v>10196</v>
      </c>
      <c r="N523" s="1" t="s">
        <v>129</v>
      </c>
      <c r="O523" s="11" t="s">
        <v>745</v>
      </c>
      <c r="P523" s="3"/>
    </row>
    <row r="524" spans="1:16">
      <c r="A524" s="6">
        <v>10771</v>
      </c>
      <c r="B524" s="6">
        <v>20</v>
      </c>
      <c r="C524" s="6">
        <v>9</v>
      </c>
      <c r="D524" s="8">
        <v>39426</v>
      </c>
      <c r="E524" s="8">
        <v>39454</v>
      </c>
      <c r="F524" s="8">
        <v>39449</v>
      </c>
      <c r="G524" s="6">
        <v>2</v>
      </c>
      <c r="H524" s="1">
        <v>11.19</v>
      </c>
      <c r="I524" s="1" t="s">
        <v>974</v>
      </c>
      <c r="J524" s="1" t="s">
        <v>975</v>
      </c>
      <c r="K524" s="1" t="s">
        <v>157</v>
      </c>
      <c r="L524" s="2"/>
      <c r="M524" s="1">
        <v>10159</v>
      </c>
      <c r="N524" s="1" t="s">
        <v>158</v>
      </c>
      <c r="O524" s="11" t="s">
        <v>745</v>
      </c>
      <c r="P524" s="3"/>
    </row>
    <row r="525" spans="1:16">
      <c r="A525" s="6">
        <v>10772</v>
      </c>
      <c r="B525" s="6">
        <v>44</v>
      </c>
      <c r="C525" s="6">
        <v>3</v>
      </c>
      <c r="D525" s="8">
        <v>39426</v>
      </c>
      <c r="E525" s="8">
        <v>39454</v>
      </c>
      <c r="F525" s="8">
        <v>39435</v>
      </c>
      <c r="G525" s="6">
        <v>2</v>
      </c>
      <c r="H525" s="1">
        <v>91.28</v>
      </c>
      <c r="I525" s="1" t="s">
        <v>1057</v>
      </c>
      <c r="J525" s="1" t="s">
        <v>1058</v>
      </c>
      <c r="K525" s="1" t="s">
        <v>306</v>
      </c>
      <c r="L525" s="2"/>
      <c r="M525" s="1">
        <v>10223</v>
      </c>
      <c r="N525" s="1" t="s">
        <v>36</v>
      </c>
      <c r="O525" s="11" t="s">
        <v>745</v>
      </c>
      <c r="P525" s="3"/>
    </row>
    <row r="526" spans="1:16">
      <c r="A526" s="6">
        <v>10773</v>
      </c>
      <c r="B526" s="6">
        <v>20</v>
      </c>
      <c r="C526" s="6">
        <v>1</v>
      </c>
      <c r="D526" s="8">
        <v>39427</v>
      </c>
      <c r="E526" s="8">
        <v>39455</v>
      </c>
      <c r="F526" s="8">
        <v>39432</v>
      </c>
      <c r="G526" s="6">
        <v>3</v>
      </c>
      <c r="H526" s="1">
        <v>96.43</v>
      </c>
      <c r="I526" s="1" t="s">
        <v>769</v>
      </c>
      <c r="J526" s="1" t="s">
        <v>770</v>
      </c>
      <c r="K526" s="1" t="s">
        <v>157</v>
      </c>
      <c r="L526" s="2"/>
      <c r="M526" s="1">
        <v>10158</v>
      </c>
      <c r="N526" s="1" t="s">
        <v>158</v>
      </c>
      <c r="O526" s="11" t="s">
        <v>745</v>
      </c>
      <c r="P526" s="3"/>
    </row>
    <row r="527" spans="1:16">
      <c r="A527" s="6">
        <v>10774</v>
      </c>
      <c r="B527" s="6">
        <v>24</v>
      </c>
      <c r="C527" s="6">
        <v>4</v>
      </c>
      <c r="D527" s="8">
        <v>39427</v>
      </c>
      <c r="E527" s="8">
        <v>39441</v>
      </c>
      <c r="F527" s="8">
        <v>39428</v>
      </c>
      <c r="G527" s="6">
        <v>1</v>
      </c>
      <c r="H527" s="1">
        <v>48.2</v>
      </c>
      <c r="I527" s="1" t="s">
        <v>771</v>
      </c>
      <c r="J527" s="1" t="s">
        <v>772</v>
      </c>
      <c r="K527" s="1" t="s">
        <v>181</v>
      </c>
      <c r="L527" s="2"/>
      <c r="M527" s="1">
        <v>10167</v>
      </c>
      <c r="N527" s="1" t="s">
        <v>63</v>
      </c>
      <c r="O527" s="11" t="s">
        <v>745</v>
      </c>
      <c r="P527" s="3"/>
    </row>
    <row r="528" spans="1:16">
      <c r="A528" s="6">
        <v>10775</v>
      </c>
      <c r="B528" s="6">
        <v>78</v>
      </c>
      <c r="C528" s="6">
        <v>7</v>
      </c>
      <c r="D528" s="8">
        <v>39428</v>
      </c>
      <c r="E528" s="8">
        <v>39456</v>
      </c>
      <c r="F528" s="8">
        <v>39442</v>
      </c>
      <c r="G528" s="6">
        <v>1</v>
      </c>
      <c r="H528" s="1">
        <v>20.25</v>
      </c>
      <c r="I528" s="1" t="s">
        <v>1146</v>
      </c>
      <c r="J528" s="1" t="s">
        <v>1147</v>
      </c>
      <c r="K528" s="1" t="s">
        <v>498</v>
      </c>
      <c r="L528" s="1" t="s">
        <v>499</v>
      </c>
      <c r="M528" s="1">
        <v>10323</v>
      </c>
      <c r="N528" s="1" t="s">
        <v>229</v>
      </c>
      <c r="O528" s="11" t="s">
        <v>745</v>
      </c>
      <c r="P528" s="3"/>
    </row>
    <row r="529" spans="1:16">
      <c r="A529" s="6">
        <v>10776</v>
      </c>
      <c r="B529" s="6">
        <v>20</v>
      </c>
      <c r="C529" s="6">
        <v>1</v>
      </c>
      <c r="D529" s="8">
        <v>39431</v>
      </c>
      <c r="E529" s="8">
        <v>39459</v>
      </c>
      <c r="F529" s="8">
        <v>39434</v>
      </c>
      <c r="G529" s="6">
        <v>3</v>
      </c>
      <c r="H529" s="1">
        <v>351.53</v>
      </c>
      <c r="I529" s="1" t="s">
        <v>760</v>
      </c>
      <c r="J529" s="1" t="s">
        <v>156</v>
      </c>
      <c r="K529" s="1" t="s">
        <v>157</v>
      </c>
      <c r="L529" s="2"/>
      <c r="M529" s="1">
        <v>10157</v>
      </c>
      <c r="N529" s="1" t="s">
        <v>158</v>
      </c>
      <c r="O529" s="11" t="s">
        <v>745</v>
      </c>
      <c r="P529" s="3"/>
    </row>
    <row r="530" spans="1:16">
      <c r="A530" s="6">
        <v>10777</v>
      </c>
      <c r="B530" s="6">
        <v>31</v>
      </c>
      <c r="C530" s="6">
        <v>7</v>
      </c>
      <c r="D530" s="8">
        <v>39431</v>
      </c>
      <c r="E530" s="8">
        <v>39445</v>
      </c>
      <c r="F530" s="8">
        <v>39468</v>
      </c>
      <c r="G530" s="6">
        <v>2</v>
      </c>
      <c r="H530" s="1">
        <v>3.01</v>
      </c>
      <c r="I530" s="1" t="s">
        <v>1123</v>
      </c>
      <c r="J530" s="1" t="s">
        <v>1124</v>
      </c>
      <c r="K530" s="1" t="s">
        <v>222</v>
      </c>
      <c r="L530" s="1" t="s">
        <v>128</v>
      </c>
      <c r="M530" s="1">
        <v>10188</v>
      </c>
      <c r="N530" s="1" t="s">
        <v>129</v>
      </c>
      <c r="O530" s="11" t="s">
        <v>745</v>
      </c>
      <c r="P530" s="3"/>
    </row>
    <row r="531" spans="1:16">
      <c r="A531" s="6">
        <v>10778</v>
      </c>
      <c r="B531" s="6">
        <v>5</v>
      </c>
      <c r="C531" s="6">
        <v>3</v>
      </c>
      <c r="D531" s="8">
        <v>39432</v>
      </c>
      <c r="E531" s="8">
        <v>39460</v>
      </c>
      <c r="F531" s="8">
        <v>39440</v>
      </c>
      <c r="G531" s="6">
        <v>1</v>
      </c>
      <c r="H531" s="1">
        <v>6.79</v>
      </c>
      <c r="I531" s="1" t="s">
        <v>982</v>
      </c>
      <c r="J531" s="1" t="s">
        <v>983</v>
      </c>
      <c r="K531" s="1" t="s">
        <v>62</v>
      </c>
      <c r="L531" s="2"/>
      <c r="M531" s="1">
        <v>10267</v>
      </c>
      <c r="N531" s="1" t="s">
        <v>63</v>
      </c>
      <c r="O531" s="11" t="s">
        <v>745</v>
      </c>
      <c r="P531" s="3"/>
    </row>
    <row r="532" spans="1:16">
      <c r="A532" s="6">
        <v>10779</v>
      </c>
      <c r="B532" s="6">
        <v>52</v>
      </c>
      <c r="C532" s="6">
        <v>3</v>
      </c>
      <c r="D532" s="8">
        <v>39432</v>
      </c>
      <c r="E532" s="8">
        <v>39460</v>
      </c>
      <c r="F532" s="8">
        <v>39461</v>
      </c>
      <c r="G532" s="6">
        <v>2</v>
      </c>
      <c r="H532" s="1">
        <v>58.13</v>
      </c>
      <c r="I532" s="1" t="s">
        <v>794</v>
      </c>
      <c r="J532" s="1" t="s">
        <v>795</v>
      </c>
      <c r="K532" s="1" t="s">
        <v>358</v>
      </c>
      <c r="L532" s="2"/>
      <c r="M532" s="1">
        <v>10247</v>
      </c>
      <c r="N532" s="1" t="s">
        <v>36</v>
      </c>
      <c r="O532" s="11" t="s">
        <v>745</v>
      </c>
      <c r="P532" s="3"/>
    </row>
    <row r="533" spans="1:16">
      <c r="A533" s="6">
        <v>10780</v>
      </c>
      <c r="B533" s="6">
        <v>46</v>
      </c>
      <c r="C533" s="6">
        <v>2</v>
      </c>
      <c r="D533" s="8">
        <v>39432</v>
      </c>
      <c r="E533" s="8">
        <v>39446</v>
      </c>
      <c r="F533" s="8">
        <v>39441</v>
      </c>
      <c r="G533" s="6">
        <v>1</v>
      </c>
      <c r="H533" s="1">
        <v>42.13</v>
      </c>
      <c r="I533" s="1" t="s">
        <v>824</v>
      </c>
      <c r="J533" s="1" t="s">
        <v>825</v>
      </c>
      <c r="K533" s="1" t="s">
        <v>318</v>
      </c>
      <c r="L533" s="1" t="s">
        <v>319</v>
      </c>
      <c r="M533" s="1">
        <v>10229</v>
      </c>
      <c r="N533" s="1" t="s">
        <v>236</v>
      </c>
      <c r="O533" s="11" t="s">
        <v>745</v>
      </c>
      <c r="P533" s="3"/>
    </row>
    <row r="534" spans="1:16">
      <c r="A534" s="6">
        <v>10781</v>
      </c>
      <c r="B534" s="6">
        <v>87</v>
      </c>
      <c r="C534" s="6">
        <v>2</v>
      </c>
      <c r="D534" s="8">
        <v>39433</v>
      </c>
      <c r="E534" s="8">
        <v>39461</v>
      </c>
      <c r="F534" s="8">
        <v>39435</v>
      </c>
      <c r="G534" s="6">
        <v>3</v>
      </c>
      <c r="H534" s="1">
        <v>73.16</v>
      </c>
      <c r="I534" s="1" t="s">
        <v>846</v>
      </c>
      <c r="J534" s="1" t="s">
        <v>847</v>
      </c>
      <c r="K534" s="1" t="s">
        <v>550</v>
      </c>
      <c r="L534" s="2"/>
      <c r="M534" s="1">
        <v>10350</v>
      </c>
      <c r="N534" s="1" t="s">
        <v>551</v>
      </c>
      <c r="O534" s="11" t="s">
        <v>745</v>
      </c>
      <c r="P534" s="3"/>
    </row>
    <row r="535" spans="1:16">
      <c r="A535" s="6">
        <v>10782</v>
      </c>
      <c r="B535" s="6">
        <v>12</v>
      </c>
      <c r="C535" s="6">
        <v>9</v>
      </c>
      <c r="D535" s="8">
        <v>39433</v>
      </c>
      <c r="E535" s="8">
        <v>39461</v>
      </c>
      <c r="F535" s="8">
        <v>39438</v>
      </c>
      <c r="G535" s="6">
        <v>3</v>
      </c>
      <c r="H535" s="1">
        <v>1.1000000000000001</v>
      </c>
      <c r="I535" s="1" t="s">
        <v>1148</v>
      </c>
      <c r="J535" s="1" t="s">
        <v>1149</v>
      </c>
      <c r="K535" s="1" t="s">
        <v>110</v>
      </c>
      <c r="L535" s="2"/>
      <c r="M535" s="1">
        <v>10136</v>
      </c>
      <c r="N535" s="1" t="s">
        <v>111</v>
      </c>
      <c r="O535" s="11" t="s">
        <v>745</v>
      </c>
      <c r="P535" s="3"/>
    </row>
    <row r="536" spans="1:16">
      <c r="A536" s="6">
        <v>10783</v>
      </c>
      <c r="B536" s="6">
        <v>34</v>
      </c>
      <c r="C536" s="6">
        <v>4</v>
      </c>
      <c r="D536" s="8">
        <v>39434</v>
      </c>
      <c r="E536" s="8">
        <v>39462</v>
      </c>
      <c r="F536" s="8">
        <v>39435</v>
      </c>
      <c r="G536" s="6">
        <v>2</v>
      </c>
      <c r="H536" s="1">
        <v>124.98</v>
      </c>
      <c r="I536" s="1" t="s">
        <v>1101</v>
      </c>
      <c r="J536" s="1" t="s">
        <v>1102</v>
      </c>
      <c r="K536" s="1" t="s">
        <v>242</v>
      </c>
      <c r="L536" s="1" t="s">
        <v>243</v>
      </c>
      <c r="M536" s="1">
        <v>10194</v>
      </c>
      <c r="N536" s="1" t="s">
        <v>129</v>
      </c>
      <c r="O536" s="11" t="s">
        <v>745</v>
      </c>
      <c r="P536" s="3"/>
    </row>
    <row r="537" spans="1:16">
      <c r="A537" s="6">
        <v>10784</v>
      </c>
      <c r="B537" s="6">
        <v>49</v>
      </c>
      <c r="C537" s="6">
        <v>4</v>
      </c>
      <c r="D537" s="8">
        <v>39434</v>
      </c>
      <c r="E537" s="8">
        <v>39462</v>
      </c>
      <c r="F537" s="8">
        <v>39438</v>
      </c>
      <c r="G537" s="6">
        <v>3</v>
      </c>
      <c r="H537" s="1">
        <v>70.09</v>
      </c>
      <c r="I537" s="1" t="s">
        <v>790</v>
      </c>
      <c r="J537" s="1" t="s">
        <v>791</v>
      </c>
      <c r="K537" s="1" t="s">
        <v>338</v>
      </c>
      <c r="L537" s="2"/>
      <c r="M537" s="1">
        <v>10235</v>
      </c>
      <c r="N537" s="1" t="s">
        <v>198</v>
      </c>
      <c r="O537" s="11" t="s">
        <v>745</v>
      </c>
      <c r="P537" s="3"/>
    </row>
    <row r="538" spans="1:16">
      <c r="A538" s="6">
        <v>10785</v>
      </c>
      <c r="B538" s="6">
        <v>33</v>
      </c>
      <c r="C538" s="6">
        <v>1</v>
      </c>
      <c r="D538" s="8">
        <v>39434</v>
      </c>
      <c r="E538" s="8">
        <v>39462</v>
      </c>
      <c r="F538" s="8">
        <v>39440</v>
      </c>
      <c r="G538" s="6">
        <v>3</v>
      </c>
      <c r="H538" s="1">
        <v>1.51</v>
      </c>
      <c r="I538" s="1" t="s">
        <v>1150</v>
      </c>
      <c r="J538" s="1" t="s">
        <v>1151</v>
      </c>
      <c r="K538" s="1" t="s">
        <v>234</v>
      </c>
      <c r="L538" s="1" t="s">
        <v>235</v>
      </c>
      <c r="M538" s="1">
        <v>10192</v>
      </c>
      <c r="N538" s="1" t="s">
        <v>236</v>
      </c>
      <c r="O538" s="11" t="s">
        <v>745</v>
      </c>
      <c r="P538" s="3"/>
    </row>
    <row r="539" spans="1:16">
      <c r="A539" s="6">
        <v>10786</v>
      </c>
      <c r="B539" s="6">
        <v>62</v>
      </c>
      <c r="C539" s="6">
        <v>8</v>
      </c>
      <c r="D539" s="8">
        <v>39435</v>
      </c>
      <c r="E539" s="8">
        <v>39463</v>
      </c>
      <c r="F539" s="8">
        <v>39439</v>
      </c>
      <c r="G539" s="6">
        <v>1</v>
      </c>
      <c r="H539" s="1">
        <v>110.87</v>
      </c>
      <c r="I539" s="1" t="s">
        <v>1026</v>
      </c>
      <c r="J539" s="1" t="s">
        <v>1027</v>
      </c>
      <c r="K539" s="1" t="s">
        <v>127</v>
      </c>
      <c r="L539" s="1" t="s">
        <v>128</v>
      </c>
      <c r="M539" s="1">
        <v>10277</v>
      </c>
      <c r="N539" s="1" t="s">
        <v>129</v>
      </c>
      <c r="O539" s="11" t="s">
        <v>745</v>
      </c>
      <c r="P539" s="3"/>
    </row>
    <row r="540" spans="1:16">
      <c r="A540" s="6">
        <v>10787</v>
      </c>
      <c r="B540" s="6">
        <v>41</v>
      </c>
      <c r="C540" s="6">
        <v>2</v>
      </c>
      <c r="D540" s="8">
        <v>39435</v>
      </c>
      <c r="E540" s="8">
        <v>39449</v>
      </c>
      <c r="F540" s="8">
        <v>39442</v>
      </c>
      <c r="G540" s="6">
        <v>1</v>
      </c>
      <c r="H540" s="1">
        <v>249.93</v>
      </c>
      <c r="I540" s="1" t="s">
        <v>882</v>
      </c>
      <c r="J540" s="1" t="s">
        <v>883</v>
      </c>
      <c r="K540" s="1" t="s">
        <v>287</v>
      </c>
      <c r="L540" s="2"/>
      <c r="M540" s="1">
        <v>10217</v>
      </c>
      <c r="N540" s="1" t="s">
        <v>77</v>
      </c>
      <c r="O540" s="11" t="s">
        <v>745</v>
      </c>
      <c r="P540" s="3"/>
    </row>
    <row r="541" spans="1:16">
      <c r="A541" s="6">
        <v>10788</v>
      </c>
      <c r="B541" s="6">
        <v>63</v>
      </c>
      <c r="C541" s="6">
        <v>1</v>
      </c>
      <c r="D541" s="8">
        <v>39438</v>
      </c>
      <c r="E541" s="8">
        <v>39466</v>
      </c>
      <c r="F541" s="8">
        <v>39466</v>
      </c>
      <c r="G541" s="6">
        <v>2</v>
      </c>
      <c r="H541" s="1">
        <v>42.7</v>
      </c>
      <c r="I541" s="1" t="s">
        <v>900</v>
      </c>
      <c r="J541" s="1" t="s">
        <v>901</v>
      </c>
      <c r="K541" s="1" t="s">
        <v>413</v>
      </c>
      <c r="L541" s="2"/>
      <c r="M541" s="1">
        <v>10281</v>
      </c>
      <c r="N541" s="1" t="s">
        <v>36</v>
      </c>
      <c r="O541" s="11" t="s">
        <v>745</v>
      </c>
    </row>
    <row r="542" spans="1:16">
      <c r="A542" s="6">
        <v>10789</v>
      </c>
      <c r="B542" s="6">
        <v>23</v>
      </c>
      <c r="C542" s="6">
        <v>1</v>
      </c>
      <c r="D542" s="8">
        <v>39438</v>
      </c>
      <c r="E542" s="8">
        <v>39466</v>
      </c>
      <c r="F542" s="8">
        <v>39447</v>
      </c>
      <c r="G542" s="6">
        <v>2</v>
      </c>
      <c r="H542" s="1">
        <v>100.6</v>
      </c>
      <c r="I542" s="1" t="s">
        <v>951</v>
      </c>
      <c r="J542" s="1" t="s">
        <v>952</v>
      </c>
      <c r="K542" s="1" t="s">
        <v>175</v>
      </c>
      <c r="L542" s="2"/>
      <c r="M542" s="1">
        <v>10163</v>
      </c>
      <c r="N542" s="1" t="s">
        <v>77</v>
      </c>
      <c r="O542" s="11" t="s">
        <v>745</v>
      </c>
    </row>
    <row r="543" spans="1:16">
      <c r="A543" s="6">
        <v>10790</v>
      </c>
      <c r="B543" s="6">
        <v>31</v>
      </c>
      <c r="C543" s="6">
        <v>6</v>
      </c>
      <c r="D543" s="8">
        <v>39438</v>
      </c>
      <c r="E543" s="8">
        <v>39466</v>
      </c>
      <c r="F543" s="8">
        <v>39442</v>
      </c>
      <c r="G543" s="6">
        <v>1</v>
      </c>
      <c r="H543" s="1">
        <v>28.23</v>
      </c>
      <c r="I543" s="1" t="s">
        <v>1152</v>
      </c>
      <c r="J543" s="1" t="s">
        <v>1153</v>
      </c>
      <c r="K543" s="1" t="s">
        <v>222</v>
      </c>
      <c r="L543" s="1" t="s">
        <v>128</v>
      </c>
      <c r="M543" s="1">
        <v>10186</v>
      </c>
      <c r="N543" s="1" t="s">
        <v>129</v>
      </c>
      <c r="O543" s="11" t="s">
        <v>745</v>
      </c>
    </row>
    <row r="544" spans="1:16">
      <c r="A544" s="6">
        <v>10791</v>
      </c>
      <c r="B544" s="6">
        <v>25</v>
      </c>
      <c r="C544" s="6">
        <v>6</v>
      </c>
      <c r="D544" s="8">
        <v>39439</v>
      </c>
      <c r="E544" s="8">
        <v>39467</v>
      </c>
      <c r="F544" s="8">
        <v>39448</v>
      </c>
      <c r="G544" s="6">
        <v>2</v>
      </c>
      <c r="H544" s="1">
        <v>16.850000000000001</v>
      </c>
      <c r="I544" s="1" t="s">
        <v>869</v>
      </c>
      <c r="J544" s="1" t="s">
        <v>870</v>
      </c>
      <c r="K544" s="1" t="s">
        <v>186</v>
      </c>
      <c r="L544" s="2"/>
      <c r="M544" s="1">
        <v>10169</v>
      </c>
      <c r="N544" s="1" t="s">
        <v>36</v>
      </c>
      <c r="O544" s="11" t="s">
        <v>745</v>
      </c>
    </row>
    <row r="545" spans="1:15">
      <c r="A545" s="6">
        <v>10792</v>
      </c>
      <c r="B545" s="6">
        <v>91</v>
      </c>
      <c r="C545" s="6">
        <v>1</v>
      </c>
      <c r="D545" s="8">
        <v>39439</v>
      </c>
      <c r="E545" s="8">
        <v>39467</v>
      </c>
      <c r="F545" s="8">
        <v>39447</v>
      </c>
      <c r="G545" s="6">
        <v>3</v>
      </c>
      <c r="H545" s="1">
        <v>23.79</v>
      </c>
      <c r="I545" s="1" t="s">
        <v>1154</v>
      </c>
      <c r="J545" s="1" t="s">
        <v>1155</v>
      </c>
      <c r="K545" s="1" t="s">
        <v>575</v>
      </c>
      <c r="L545" s="2"/>
      <c r="M545" s="1">
        <v>10366</v>
      </c>
      <c r="N545" s="1" t="s">
        <v>576</v>
      </c>
      <c r="O545" s="11" t="s">
        <v>745</v>
      </c>
    </row>
    <row r="546" spans="1:15">
      <c r="A546" s="6">
        <v>10793</v>
      </c>
      <c r="B546" s="6">
        <v>4</v>
      </c>
      <c r="C546" s="6">
        <v>3</v>
      </c>
      <c r="D546" s="8">
        <v>39440</v>
      </c>
      <c r="E546" s="8">
        <v>39468</v>
      </c>
      <c r="F546" s="8">
        <v>39455</v>
      </c>
      <c r="G546" s="6">
        <v>3</v>
      </c>
      <c r="H546" s="1">
        <v>4.5199999999999996</v>
      </c>
      <c r="I546" s="1" t="s">
        <v>922</v>
      </c>
      <c r="J546" s="1" t="s">
        <v>923</v>
      </c>
      <c r="K546" s="1" t="s">
        <v>892</v>
      </c>
      <c r="L546" s="1" t="s">
        <v>893</v>
      </c>
      <c r="M546" s="1">
        <v>10239</v>
      </c>
      <c r="N546" s="1" t="s">
        <v>55</v>
      </c>
      <c r="O546" s="11" t="s">
        <v>745</v>
      </c>
    </row>
    <row r="547" spans="1:15">
      <c r="A547" s="6">
        <v>10794</v>
      </c>
      <c r="B547" s="6">
        <v>61</v>
      </c>
      <c r="C547" s="6">
        <v>6</v>
      </c>
      <c r="D547" s="8">
        <v>39440</v>
      </c>
      <c r="E547" s="8">
        <v>39468</v>
      </c>
      <c r="F547" s="8">
        <v>39449</v>
      </c>
      <c r="G547" s="6">
        <v>1</v>
      </c>
      <c r="H547" s="1">
        <v>21.49</v>
      </c>
      <c r="I547" s="1" t="s">
        <v>962</v>
      </c>
      <c r="J547" s="1" t="s">
        <v>963</v>
      </c>
      <c r="K547" s="1" t="s">
        <v>242</v>
      </c>
      <c r="L547" s="1" t="s">
        <v>243</v>
      </c>
      <c r="M547" s="1">
        <v>10275</v>
      </c>
      <c r="N547" s="1" t="s">
        <v>129</v>
      </c>
      <c r="O547" s="11" t="s">
        <v>745</v>
      </c>
    </row>
    <row r="548" spans="1:15">
      <c r="A548" s="6">
        <v>10795</v>
      </c>
      <c r="B548" s="6">
        <v>20</v>
      </c>
      <c r="C548" s="6">
        <v>8</v>
      </c>
      <c r="D548" s="8">
        <v>39440</v>
      </c>
      <c r="E548" s="8">
        <v>39468</v>
      </c>
      <c r="F548" s="8">
        <v>39467</v>
      </c>
      <c r="G548" s="6">
        <v>2</v>
      </c>
      <c r="H548" s="1">
        <v>126.66</v>
      </c>
      <c r="I548" s="1" t="s">
        <v>769</v>
      </c>
      <c r="J548" s="1" t="s">
        <v>770</v>
      </c>
      <c r="K548" s="1" t="s">
        <v>157</v>
      </c>
      <c r="L548" s="2"/>
      <c r="M548" s="1">
        <v>10158</v>
      </c>
      <c r="N548" s="1" t="s">
        <v>158</v>
      </c>
      <c r="O548" s="11" t="s">
        <v>745</v>
      </c>
    </row>
    <row r="549" spans="1:15">
      <c r="A549" s="6">
        <v>10796</v>
      </c>
      <c r="B549" s="6">
        <v>35</v>
      </c>
      <c r="C549" s="6">
        <v>3</v>
      </c>
      <c r="D549" s="8">
        <v>39441</v>
      </c>
      <c r="E549" s="8">
        <v>39469</v>
      </c>
      <c r="F549" s="8">
        <v>39461</v>
      </c>
      <c r="G549" s="6">
        <v>1</v>
      </c>
      <c r="H549" s="1">
        <v>26.52</v>
      </c>
      <c r="I549" s="1" t="s">
        <v>1024</v>
      </c>
      <c r="J549" s="1" t="s">
        <v>1025</v>
      </c>
      <c r="K549" s="1" t="s">
        <v>249</v>
      </c>
      <c r="L549" s="1" t="s">
        <v>250</v>
      </c>
      <c r="M549" s="1">
        <v>10197</v>
      </c>
      <c r="N549" s="1" t="s">
        <v>236</v>
      </c>
      <c r="O549" s="11" t="s">
        <v>745</v>
      </c>
    </row>
    <row r="550" spans="1:15">
      <c r="A550" s="6">
        <v>10797</v>
      </c>
      <c r="B550" s="6">
        <v>17</v>
      </c>
      <c r="C550" s="6">
        <v>7</v>
      </c>
      <c r="D550" s="8">
        <v>39441</v>
      </c>
      <c r="E550" s="8">
        <v>39469</v>
      </c>
      <c r="F550" s="8">
        <v>39452</v>
      </c>
      <c r="G550" s="6">
        <v>2</v>
      </c>
      <c r="H550" s="1">
        <v>33.35</v>
      </c>
      <c r="I550" s="1" t="s">
        <v>932</v>
      </c>
      <c r="J550" s="1" t="s">
        <v>933</v>
      </c>
      <c r="K550" s="1" t="s">
        <v>139</v>
      </c>
      <c r="L550" s="2"/>
      <c r="M550" s="1">
        <v>10147</v>
      </c>
      <c r="N550" s="1" t="s">
        <v>36</v>
      </c>
      <c r="O550" s="11" t="s">
        <v>745</v>
      </c>
    </row>
    <row r="551" spans="1:15">
      <c r="A551" s="6">
        <v>10798</v>
      </c>
      <c r="B551" s="6">
        <v>38</v>
      </c>
      <c r="C551" s="6">
        <v>2</v>
      </c>
      <c r="D551" s="8">
        <v>39442</v>
      </c>
      <c r="E551" s="8">
        <v>39470</v>
      </c>
      <c r="F551" s="8">
        <v>39452</v>
      </c>
      <c r="G551" s="6">
        <v>1</v>
      </c>
      <c r="H551" s="1">
        <v>2.33</v>
      </c>
      <c r="I551" s="1" t="s">
        <v>844</v>
      </c>
      <c r="J551" s="1" t="s">
        <v>845</v>
      </c>
      <c r="K551" s="1" t="s">
        <v>270</v>
      </c>
      <c r="L551" s="1" t="s">
        <v>271</v>
      </c>
      <c r="M551" s="1">
        <v>10207</v>
      </c>
      <c r="N551" s="1" t="s">
        <v>55</v>
      </c>
      <c r="O551" s="11" t="s">
        <v>745</v>
      </c>
    </row>
    <row r="552" spans="1:15">
      <c r="A552" s="6">
        <v>10799</v>
      </c>
      <c r="B552" s="6">
        <v>39</v>
      </c>
      <c r="C552" s="6">
        <v>9</v>
      </c>
      <c r="D552" s="8">
        <v>39442</v>
      </c>
      <c r="E552" s="8">
        <v>39484</v>
      </c>
      <c r="F552" s="8">
        <v>39452</v>
      </c>
      <c r="G552" s="6">
        <v>3</v>
      </c>
      <c r="H552" s="1">
        <v>30.76</v>
      </c>
      <c r="I552" s="1" t="s">
        <v>994</v>
      </c>
      <c r="J552" s="1" t="s">
        <v>995</v>
      </c>
      <c r="K552" s="1" t="s">
        <v>276</v>
      </c>
      <c r="L552" s="2"/>
      <c r="M552" s="1">
        <v>10208</v>
      </c>
      <c r="N552" s="1" t="s">
        <v>36</v>
      </c>
      <c r="O552" s="11" t="s">
        <v>745</v>
      </c>
    </row>
    <row r="553" spans="1:15">
      <c r="A553" s="6">
        <v>10800</v>
      </c>
      <c r="B553" s="6">
        <v>72</v>
      </c>
      <c r="C553" s="6">
        <v>1</v>
      </c>
      <c r="D553" s="8">
        <v>39442</v>
      </c>
      <c r="E553" s="8">
        <v>39470</v>
      </c>
      <c r="F553" s="8">
        <v>39452</v>
      </c>
      <c r="G553" s="6">
        <v>3</v>
      </c>
      <c r="H553" s="1">
        <v>137.44</v>
      </c>
      <c r="I553" s="1" t="s">
        <v>898</v>
      </c>
      <c r="J553" s="1" t="s">
        <v>899</v>
      </c>
      <c r="K553" s="1" t="s">
        <v>54</v>
      </c>
      <c r="L553" s="2"/>
      <c r="M553" s="1">
        <v>10309</v>
      </c>
      <c r="N553" s="1" t="s">
        <v>55</v>
      </c>
      <c r="O553" s="11" t="s">
        <v>745</v>
      </c>
    </row>
    <row r="554" spans="1:15">
      <c r="A554" s="6">
        <v>10801</v>
      </c>
      <c r="B554" s="6">
        <v>8</v>
      </c>
      <c r="C554" s="6">
        <v>4</v>
      </c>
      <c r="D554" s="8">
        <v>39445</v>
      </c>
      <c r="E554" s="8">
        <v>39473</v>
      </c>
      <c r="F554" s="8">
        <v>39447</v>
      </c>
      <c r="G554" s="6">
        <v>2</v>
      </c>
      <c r="H554" s="1">
        <v>97.09</v>
      </c>
      <c r="I554" s="1" t="s">
        <v>1156</v>
      </c>
      <c r="J554" s="1" t="s">
        <v>1157</v>
      </c>
      <c r="K554" s="1" t="s">
        <v>83</v>
      </c>
      <c r="L554" s="2"/>
      <c r="M554" s="1">
        <v>10360</v>
      </c>
      <c r="N554" s="1" t="s">
        <v>84</v>
      </c>
      <c r="O554" s="11" t="s">
        <v>745</v>
      </c>
    </row>
    <row r="555" spans="1:15">
      <c r="A555" s="6">
        <v>10802</v>
      </c>
      <c r="B555" s="6">
        <v>73</v>
      </c>
      <c r="C555" s="6">
        <v>4</v>
      </c>
      <c r="D555" s="8">
        <v>39445</v>
      </c>
      <c r="E555" s="8">
        <v>39473</v>
      </c>
      <c r="F555" s="8">
        <v>39449</v>
      </c>
      <c r="G555" s="6">
        <v>2</v>
      </c>
      <c r="H555" s="1">
        <v>257.26</v>
      </c>
      <c r="I555" s="1" t="s">
        <v>876</v>
      </c>
      <c r="J555" s="1" t="s">
        <v>877</v>
      </c>
      <c r="K555" s="1" t="s">
        <v>469</v>
      </c>
      <c r="L555" s="2"/>
      <c r="M555" s="1">
        <v>10310</v>
      </c>
      <c r="N555" s="1" t="s">
        <v>470</v>
      </c>
      <c r="O555" s="11" t="s">
        <v>745</v>
      </c>
    </row>
    <row r="556" spans="1:15">
      <c r="A556" s="6">
        <v>10803</v>
      </c>
      <c r="B556" s="6">
        <v>88</v>
      </c>
      <c r="C556" s="6">
        <v>4</v>
      </c>
      <c r="D556" s="8">
        <v>39446</v>
      </c>
      <c r="E556" s="8">
        <v>39474</v>
      </c>
      <c r="F556" s="8">
        <v>39453</v>
      </c>
      <c r="G556" s="6">
        <v>1</v>
      </c>
      <c r="H556" s="1">
        <v>55.23</v>
      </c>
      <c r="I556" s="1" t="s">
        <v>756</v>
      </c>
      <c r="J556" s="1" t="s">
        <v>757</v>
      </c>
      <c r="K556" s="1" t="s">
        <v>557</v>
      </c>
      <c r="L556" s="1" t="s">
        <v>128</v>
      </c>
      <c r="M556" s="1">
        <v>10354</v>
      </c>
      <c r="N556" s="1" t="s">
        <v>129</v>
      </c>
      <c r="O556" s="11" t="s">
        <v>745</v>
      </c>
    </row>
    <row r="557" spans="1:15">
      <c r="A557" s="6">
        <v>10804</v>
      </c>
      <c r="B557" s="6">
        <v>72</v>
      </c>
      <c r="C557" s="6">
        <v>6</v>
      </c>
      <c r="D557" s="8">
        <v>39446</v>
      </c>
      <c r="E557" s="8">
        <v>39474</v>
      </c>
      <c r="F557" s="8">
        <v>39454</v>
      </c>
      <c r="G557" s="6">
        <v>2</v>
      </c>
      <c r="H557" s="1">
        <v>27.33</v>
      </c>
      <c r="I557" s="1" t="s">
        <v>898</v>
      </c>
      <c r="J557" s="1" t="s">
        <v>899</v>
      </c>
      <c r="K557" s="1" t="s">
        <v>54</v>
      </c>
      <c r="L557" s="2"/>
      <c r="M557" s="1">
        <v>10309</v>
      </c>
      <c r="N557" s="1" t="s">
        <v>55</v>
      </c>
      <c r="O557" s="11" t="s">
        <v>745</v>
      </c>
    </row>
    <row r="558" spans="1:15">
      <c r="A558" s="6">
        <v>10805</v>
      </c>
      <c r="B558" s="6">
        <v>77</v>
      </c>
      <c r="C558" s="6">
        <v>2</v>
      </c>
      <c r="D558" s="8">
        <v>39446</v>
      </c>
      <c r="E558" s="8">
        <v>39474</v>
      </c>
      <c r="F558" s="8">
        <v>39456</v>
      </c>
      <c r="G558" s="6">
        <v>3</v>
      </c>
      <c r="H558" s="1">
        <v>237.34</v>
      </c>
      <c r="I558" s="1" t="s">
        <v>1158</v>
      </c>
      <c r="J558" s="1" t="s">
        <v>1159</v>
      </c>
      <c r="K558" s="1" t="s">
        <v>332</v>
      </c>
      <c r="L558" s="1" t="s">
        <v>228</v>
      </c>
      <c r="M558" s="1">
        <v>10320</v>
      </c>
      <c r="N558" s="1" t="s">
        <v>229</v>
      </c>
      <c r="O558" s="11" t="s">
        <v>745</v>
      </c>
    </row>
    <row r="559" spans="1:15">
      <c r="A559" s="6">
        <v>10806</v>
      </c>
      <c r="B559" s="6">
        <v>84</v>
      </c>
      <c r="C559" s="6">
        <v>3</v>
      </c>
      <c r="D559" s="8">
        <v>39447</v>
      </c>
      <c r="E559" s="8">
        <v>39475</v>
      </c>
      <c r="F559" s="8">
        <v>39452</v>
      </c>
      <c r="G559" s="6">
        <v>2</v>
      </c>
      <c r="H559" s="1">
        <v>22.11</v>
      </c>
      <c r="I559" s="1" t="s">
        <v>990</v>
      </c>
      <c r="J559" s="1" t="s">
        <v>991</v>
      </c>
      <c r="K559" s="1" t="s">
        <v>532</v>
      </c>
      <c r="L559" s="2"/>
      <c r="M559" s="1">
        <v>10344</v>
      </c>
      <c r="N559" s="1" t="s">
        <v>77</v>
      </c>
      <c r="O559" s="11" t="s">
        <v>745</v>
      </c>
    </row>
    <row r="560" spans="1:15">
      <c r="A560" s="6">
        <v>10807</v>
      </c>
      <c r="B560" s="6">
        <v>27</v>
      </c>
      <c r="C560" s="6">
        <v>4</v>
      </c>
      <c r="D560" s="8">
        <v>39447</v>
      </c>
      <c r="E560" s="8">
        <v>39475</v>
      </c>
      <c r="F560" s="8">
        <v>39477</v>
      </c>
      <c r="G560" s="6">
        <v>1</v>
      </c>
      <c r="H560" s="1">
        <v>1.36</v>
      </c>
      <c r="I560" s="1" t="s">
        <v>1160</v>
      </c>
      <c r="J560" s="1" t="s">
        <v>1161</v>
      </c>
      <c r="K560" s="1" t="s">
        <v>197</v>
      </c>
      <c r="L560" s="2"/>
      <c r="M560" s="1">
        <v>10173</v>
      </c>
      <c r="N560" s="1" t="s">
        <v>198</v>
      </c>
      <c r="O560" s="11" t="s">
        <v>745</v>
      </c>
    </row>
    <row r="561" spans="1:15">
      <c r="A561" s="6">
        <v>10808</v>
      </c>
      <c r="B561" s="6">
        <v>55</v>
      </c>
      <c r="C561" s="6">
        <v>2</v>
      </c>
      <c r="D561" s="8">
        <v>39448</v>
      </c>
      <c r="E561" s="8">
        <v>39476</v>
      </c>
      <c r="F561" s="8">
        <v>39456</v>
      </c>
      <c r="G561" s="6">
        <v>3</v>
      </c>
      <c r="H561" s="1">
        <v>45.53</v>
      </c>
      <c r="I561" s="1" t="s">
        <v>833</v>
      </c>
      <c r="J561" s="1" t="s">
        <v>834</v>
      </c>
      <c r="K561" s="1" t="s">
        <v>371</v>
      </c>
      <c r="L561" s="1" t="s">
        <v>372</v>
      </c>
      <c r="M561" s="1">
        <v>10256</v>
      </c>
      <c r="N561" s="1" t="s">
        <v>229</v>
      </c>
      <c r="O561" s="11" t="s">
        <v>745</v>
      </c>
    </row>
    <row r="562" spans="1:15">
      <c r="A562" s="6">
        <v>10809</v>
      </c>
      <c r="B562" s="6">
        <v>88</v>
      </c>
      <c r="C562" s="6">
        <v>7</v>
      </c>
      <c r="D562" s="8">
        <v>39448</v>
      </c>
      <c r="E562" s="8">
        <v>39476</v>
      </c>
      <c r="F562" s="8">
        <v>39454</v>
      </c>
      <c r="G562" s="6">
        <v>1</v>
      </c>
      <c r="H562" s="1">
        <v>4.87</v>
      </c>
      <c r="I562" s="1" t="s">
        <v>960</v>
      </c>
      <c r="J562" s="1" t="s">
        <v>961</v>
      </c>
      <c r="K562" s="1" t="s">
        <v>557</v>
      </c>
      <c r="L562" s="1" t="s">
        <v>128</v>
      </c>
      <c r="M562" s="1">
        <v>10355</v>
      </c>
      <c r="N562" s="1" t="s">
        <v>129</v>
      </c>
      <c r="O562" s="11" t="s">
        <v>745</v>
      </c>
    </row>
    <row r="563" spans="1:15">
      <c r="A563" s="6">
        <v>10810</v>
      </c>
      <c r="B563" s="6">
        <v>42</v>
      </c>
      <c r="C563" s="6">
        <v>2</v>
      </c>
      <c r="D563" s="8">
        <v>39448</v>
      </c>
      <c r="E563" s="8">
        <v>39476</v>
      </c>
      <c r="F563" s="8">
        <v>39454</v>
      </c>
      <c r="G563" s="6">
        <v>3</v>
      </c>
      <c r="H563" s="1">
        <v>4.33</v>
      </c>
      <c r="I563" s="1" t="s">
        <v>1089</v>
      </c>
      <c r="J563" s="1" t="s">
        <v>1090</v>
      </c>
      <c r="K563" s="1" t="s">
        <v>293</v>
      </c>
      <c r="L563" s="1" t="s">
        <v>98</v>
      </c>
      <c r="M563" s="1">
        <v>10219</v>
      </c>
      <c r="N563" s="1" t="s">
        <v>99</v>
      </c>
      <c r="O563" s="11" t="s">
        <v>745</v>
      </c>
    </row>
    <row r="564" spans="1:15">
      <c r="A564" s="6">
        <v>10811</v>
      </c>
      <c r="B564" s="6">
        <v>47</v>
      </c>
      <c r="C564" s="6">
        <v>8</v>
      </c>
      <c r="D564" s="8">
        <v>39449</v>
      </c>
      <c r="E564" s="8">
        <v>39477</v>
      </c>
      <c r="F564" s="8">
        <v>39455</v>
      </c>
      <c r="G564" s="6">
        <v>1</v>
      </c>
      <c r="H564" s="1">
        <v>31.22</v>
      </c>
      <c r="I564" s="1" t="s">
        <v>947</v>
      </c>
      <c r="J564" s="1" t="s">
        <v>948</v>
      </c>
      <c r="K564" s="1" t="s">
        <v>325</v>
      </c>
      <c r="L564" s="1" t="s">
        <v>326</v>
      </c>
      <c r="M564" s="1">
        <v>10231</v>
      </c>
      <c r="N564" s="1" t="s">
        <v>236</v>
      </c>
      <c r="O564" s="11" t="s">
        <v>745</v>
      </c>
    </row>
    <row r="565" spans="1:15">
      <c r="A565" s="6">
        <v>10812</v>
      </c>
      <c r="B565" s="6">
        <v>66</v>
      </c>
      <c r="C565" s="6">
        <v>5</v>
      </c>
      <c r="D565" s="8">
        <v>39449</v>
      </c>
      <c r="E565" s="8">
        <v>39477</v>
      </c>
      <c r="F565" s="8">
        <v>39459</v>
      </c>
      <c r="G565" s="6">
        <v>1</v>
      </c>
      <c r="H565" s="1">
        <v>59.78</v>
      </c>
      <c r="I565" s="1" t="s">
        <v>1069</v>
      </c>
      <c r="J565" s="1" t="s">
        <v>1070</v>
      </c>
      <c r="K565" s="1" t="s">
        <v>431</v>
      </c>
      <c r="L565" s="2"/>
      <c r="M565" s="1">
        <v>10289</v>
      </c>
      <c r="N565" s="1" t="s">
        <v>198</v>
      </c>
      <c r="O565" s="11" t="s">
        <v>745</v>
      </c>
    </row>
    <row r="566" spans="1:15">
      <c r="A566" s="6">
        <v>10813</v>
      </c>
      <c r="B566" s="6">
        <v>67</v>
      </c>
      <c r="C566" s="6">
        <v>1</v>
      </c>
      <c r="D566" s="8">
        <v>39452</v>
      </c>
      <c r="E566" s="8">
        <v>39480</v>
      </c>
      <c r="F566" s="8">
        <v>39456</v>
      </c>
      <c r="G566" s="6">
        <v>1</v>
      </c>
      <c r="H566" s="1">
        <v>47.38</v>
      </c>
      <c r="I566" s="1" t="s">
        <v>986</v>
      </c>
      <c r="J566" s="1" t="s">
        <v>987</v>
      </c>
      <c r="K566" s="1" t="s">
        <v>242</v>
      </c>
      <c r="L566" s="1" t="s">
        <v>243</v>
      </c>
      <c r="M566" s="1">
        <v>10293</v>
      </c>
      <c r="N566" s="1" t="s">
        <v>129</v>
      </c>
      <c r="O566" s="11" t="s">
        <v>745</v>
      </c>
    </row>
    <row r="567" spans="1:15">
      <c r="A567" s="6">
        <v>10814</v>
      </c>
      <c r="B567" s="6">
        <v>84</v>
      </c>
      <c r="C567" s="6">
        <v>3</v>
      </c>
      <c r="D567" s="8">
        <v>39452</v>
      </c>
      <c r="E567" s="8">
        <v>39480</v>
      </c>
      <c r="F567" s="8">
        <v>39461</v>
      </c>
      <c r="G567" s="6">
        <v>3</v>
      </c>
      <c r="H567" s="1">
        <v>130.94</v>
      </c>
      <c r="I567" s="1" t="s">
        <v>865</v>
      </c>
      <c r="J567" s="1" t="s">
        <v>866</v>
      </c>
      <c r="K567" s="1" t="s">
        <v>532</v>
      </c>
      <c r="L567" s="2"/>
      <c r="M567" s="1">
        <v>10343</v>
      </c>
      <c r="N567" s="1" t="s">
        <v>77</v>
      </c>
      <c r="O567" s="11" t="s">
        <v>745</v>
      </c>
    </row>
    <row r="568" spans="1:15">
      <c r="A568" s="6">
        <v>10815</v>
      </c>
      <c r="B568" s="6">
        <v>71</v>
      </c>
      <c r="C568" s="6">
        <v>2</v>
      </c>
      <c r="D568" s="8">
        <v>39452</v>
      </c>
      <c r="E568" s="8">
        <v>39480</v>
      </c>
      <c r="F568" s="8">
        <v>39461</v>
      </c>
      <c r="G568" s="6">
        <v>3</v>
      </c>
      <c r="H568" s="1">
        <v>14.62</v>
      </c>
      <c r="I568" s="1" t="s">
        <v>1044</v>
      </c>
      <c r="J568" s="1" t="s">
        <v>1045</v>
      </c>
      <c r="K568" s="1" t="s">
        <v>458</v>
      </c>
      <c r="L568" s="1" t="s">
        <v>459</v>
      </c>
      <c r="M568" s="1">
        <v>10305</v>
      </c>
      <c r="N568" s="1" t="s">
        <v>229</v>
      </c>
      <c r="O568" s="11" t="s">
        <v>745</v>
      </c>
    </row>
    <row r="569" spans="1:15">
      <c r="A569" s="6">
        <v>10816</v>
      </c>
      <c r="B569" s="6">
        <v>32</v>
      </c>
      <c r="C569" s="6">
        <v>4</v>
      </c>
      <c r="D569" s="8">
        <v>39453</v>
      </c>
      <c r="E569" s="8">
        <v>39481</v>
      </c>
      <c r="F569" s="8">
        <v>39482</v>
      </c>
      <c r="G569" s="6">
        <v>2</v>
      </c>
      <c r="H569" s="1">
        <v>719.78</v>
      </c>
      <c r="I569" s="1" t="s">
        <v>1084</v>
      </c>
      <c r="J569" s="1" t="s">
        <v>1085</v>
      </c>
      <c r="K569" s="1" t="s">
        <v>227</v>
      </c>
      <c r="L569" s="1" t="s">
        <v>228</v>
      </c>
      <c r="M569" s="1">
        <v>10190</v>
      </c>
      <c r="N569" s="1" t="s">
        <v>229</v>
      </c>
      <c r="O569" s="11" t="s">
        <v>745</v>
      </c>
    </row>
    <row r="570" spans="1:15">
      <c r="A570" s="6">
        <v>10817</v>
      </c>
      <c r="B570" s="6">
        <v>39</v>
      </c>
      <c r="C570" s="6">
        <v>3</v>
      </c>
      <c r="D570" s="8">
        <v>39453</v>
      </c>
      <c r="E570" s="8">
        <v>39467</v>
      </c>
      <c r="F570" s="8">
        <v>39460</v>
      </c>
      <c r="G570" s="6">
        <v>2</v>
      </c>
      <c r="H570" s="1">
        <v>306.07</v>
      </c>
      <c r="I570" s="1" t="s">
        <v>852</v>
      </c>
      <c r="J570" s="1" t="s">
        <v>853</v>
      </c>
      <c r="K570" s="1" t="s">
        <v>276</v>
      </c>
      <c r="L570" s="2"/>
      <c r="M570" s="1">
        <v>10209</v>
      </c>
      <c r="N570" s="1" t="s">
        <v>36</v>
      </c>
      <c r="O570" s="11" t="s">
        <v>745</v>
      </c>
    </row>
    <row r="571" spans="1:15">
      <c r="A571" s="6">
        <v>10818</v>
      </c>
      <c r="B571" s="6">
        <v>49</v>
      </c>
      <c r="C571" s="6">
        <v>7</v>
      </c>
      <c r="D571" s="8">
        <v>39454</v>
      </c>
      <c r="E571" s="8">
        <v>39482</v>
      </c>
      <c r="F571" s="8">
        <v>39459</v>
      </c>
      <c r="G571" s="6">
        <v>3</v>
      </c>
      <c r="H571" s="1">
        <v>65.48</v>
      </c>
      <c r="I571" s="1" t="s">
        <v>945</v>
      </c>
      <c r="J571" s="1" t="s">
        <v>946</v>
      </c>
      <c r="K571" s="1" t="s">
        <v>338</v>
      </c>
      <c r="L571" s="2"/>
      <c r="M571" s="1">
        <v>10236</v>
      </c>
      <c r="N571" s="1" t="s">
        <v>198</v>
      </c>
      <c r="O571" s="11" t="s">
        <v>745</v>
      </c>
    </row>
    <row r="572" spans="1:15">
      <c r="A572" s="6">
        <v>10819</v>
      </c>
      <c r="B572" s="6">
        <v>12</v>
      </c>
      <c r="C572" s="6">
        <v>2</v>
      </c>
      <c r="D572" s="8">
        <v>39454</v>
      </c>
      <c r="E572" s="8">
        <v>39482</v>
      </c>
      <c r="F572" s="8">
        <v>39463</v>
      </c>
      <c r="G572" s="6">
        <v>3</v>
      </c>
      <c r="H572" s="1">
        <v>19.760000000000002</v>
      </c>
      <c r="I572" s="1" t="s">
        <v>1049</v>
      </c>
      <c r="J572" s="1" t="s">
        <v>1050</v>
      </c>
      <c r="K572" s="1" t="s">
        <v>110</v>
      </c>
      <c r="L572" s="2"/>
      <c r="M572" s="1">
        <v>10134</v>
      </c>
      <c r="N572" s="1" t="s">
        <v>111</v>
      </c>
      <c r="O572" s="11" t="s">
        <v>745</v>
      </c>
    </row>
    <row r="573" spans="1:15">
      <c r="A573" s="6">
        <v>10820</v>
      </c>
      <c r="B573" s="6">
        <v>65</v>
      </c>
      <c r="C573" s="6">
        <v>3</v>
      </c>
      <c r="D573" s="8">
        <v>39454</v>
      </c>
      <c r="E573" s="8">
        <v>39482</v>
      </c>
      <c r="F573" s="8">
        <v>39460</v>
      </c>
      <c r="G573" s="6">
        <v>2</v>
      </c>
      <c r="H573" s="1">
        <v>37.520000000000003</v>
      </c>
      <c r="I573" s="1" t="s">
        <v>767</v>
      </c>
      <c r="J573" s="1" t="s">
        <v>768</v>
      </c>
      <c r="K573" s="1" t="s">
        <v>424</v>
      </c>
      <c r="L573" s="1" t="s">
        <v>425</v>
      </c>
      <c r="M573" s="1">
        <v>10286</v>
      </c>
      <c r="N573" s="1" t="s">
        <v>229</v>
      </c>
      <c r="O573" s="11" t="s">
        <v>745</v>
      </c>
    </row>
    <row r="574" spans="1:15">
      <c r="A574" s="6">
        <v>10821</v>
      </c>
      <c r="B574" s="6">
        <v>75</v>
      </c>
      <c r="C574" s="6">
        <v>1</v>
      </c>
      <c r="D574" s="8">
        <v>39455</v>
      </c>
      <c r="E574" s="8">
        <v>39483</v>
      </c>
      <c r="F574" s="8">
        <v>39462</v>
      </c>
      <c r="G574" s="6">
        <v>1</v>
      </c>
      <c r="H574" s="1">
        <v>36.68</v>
      </c>
      <c r="I574" s="1" t="s">
        <v>976</v>
      </c>
      <c r="J574" s="1" t="s">
        <v>977</v>
      </c>
      <c r="K574" s="1" t="s">
        <v>481</v>
      </c>
      <c r="L574" s="1" t="s">
        <v>482</v>
      </c>
      <c r="M574" s="1">
        <v>10314</v>
      </c>
      <c r="N574" s="1" t="s">
        <v>229</v>
      </c>
      <c r="O574" s="11" t="s">
        <v>745</v>
      </c>
    </row>
    <row r="575" spans="1:15">
      <c r="A575" s="6">
        <v>10822</v>
      </c>
      <c r="B575" s="6">
        <v>82</v>
      </c>
      <c r="C575" s="6">
        <v>6</v>
      </c>
      <c r="D575" s="8">
        <v>39455</v>
      </c>
      <c r="E575" s="8">
        <v>39483</v>
      </c>
      <c r="F575" s="8">
        <v>39463</v>
      </c>
      <c r="G575" s="6">
        <v>3</v>
      </c>
      <c r="H575" s="1">
        <v>7</v>
      </c>
      <c r="I575" s="1" t="s">
        <v>1079</v>
      </c>
      <c r="J575" s="1" t="s">
        <v>1080</v>
      </c>
      <c r="K575" s="1" t="s">
        <v>520</v>
      </c>
      <c r="L575" s="1" t="s">
        <v>300</v>
      </c>
      <c r="M575" s="1">
        <v>10338</v>
      </c>
      <c r="N575" s="1" t="s">
        <v>229</v>
      </c>
      <c r="O575" s="11" t="s">
        <v>745</v>
      </c>
    </row>
    <row r="576" spans="1:15">
      <c r="A576" s="6">
        <v>10823</v>
      </c>
      <c r="B576" s="6">
        <v>46</v>
      </c>
      <c r="C576" s="6">
        <v>5</v>
      </c>
      <c r="D576" s="8">
        <v>39456</v>
      </c>
      <c r="E576" s="8">
        <v>39484</v>
      </c>
      <c r="F576" s="8">
        <v>39460</v>
      </c>
      <c r="G576" s="6">
        <v>2</v>
      </c>
      <c r="H576" s="1">
        <v>163.97</v>
      </c>
      <c r="I576" s="1" t="s">
        <v>806</v>
      </c>
      <c r="J576" s="1" t="s">
        <v>807</v>
      </c>
      <c r="K576" s="1" t="s">
        <v>318</v>
      </c>
      <c r="L576" s="1" t="s">
        <v>319</v>
      </c>
      <c r="M576" s="1">
        <v>10227</v>
      </c>
      <c r="N576" s="1" t="s">
        <v>236</v>
      </c>
      <c r="O576" s="11" t="s">
        <v>745</v>
      </c>
    </row>
    <row r="577" spans="1:15">
      <c r="A577" s="6">
        <v>10824</v>
      </c>
      <c r="B577" s="6">
        <v>24</v>
      </c>
      <c r="C577" s="6">
        <v>8</v>
      </c>
      <c r="D577" s="8">
        <v>39456</v>
      </c>
      <c r="E577" s="8">
        <v>39484</v>
      </c>
      <c r="F577" s="8">
        <v>39477</v>
      </c>
      <c r="G577" s="6">
        <v>1</v>
      </c>
      <c r="H577" s="1">
        <v>1.23</v>
      </c>
      <c r="I577" s="1" t="s">
        <v>856</v>
      </c>
      <c r="J577" s="1" t="s">
        <v>857</v>
      </c>
      <c r="K577" s="1" t="s">
        <v>181</v>
      </c>
      <c r="L577" s="2"/>
      <c r="M577" s="1">
        <v>10165</v>
      </c>
      <c r="N577" s="1" t="s">
        <v>63</v>
      </c>
      <c r="O577" s="11" t="s">
        <v>745</v>
      </c>
    </row>
    <row r="578" spans="1:15">
      <c r="A578" s="6">
        <v>10825</v>
      </c>
      <c r="B578" s="6">
        <v>17</v>
      </c>
      <c r="C578" s="6">
        <v>1</v>
      </c>
      <c r="D578" s="8">
        <v>39456</v>
      </c>
      <c r="E578" s="8">
        <v>39484</v>
      </c>
      <c r="F578" s="8">
        <v>39461</v>
      </c>
      <c r="G578" s="6">
        <v>1</v>
      </c>
      <c r="H578" s="1">
        <v>79.25</v>
      </c>
      <c r="I578" s="1" t="s">
        <v>904</v>
      </c>
      <c r="J578" s="1" t="s">
        <v>905</v>
      </c>
      <c r="K578" s="1" t="s">
        <v>139</v>
      </c>
      <c r="L578" s="2"/>
      <c r="M578" s="1">
        <v>10145</v>
      </c>
      <c r="N578" s="1" t="s">
        <v>36</v>
      </c>
      <c r="O578" s="11" t="s">
        <v>745</v>
      </c>
    </row>
    <row r="579" spans="1:15">
      <c r="A579" s="6">
        <v>10826</v>
      </c>
      <c r="B579" s="6">
        <v>7</v>
      </c>
      <c r="C579" s="6">
        <v>6</v>
      </c>
      <c r="D579" s="8">
        <v>39459</v>
      </c>
      <c r="E579" s="8">
        <v>39487</v>
      </c>
      <c r="F579" s="8">
        <v>39484</v>
      </c>
      <c r="G579" s="6">
        <v>1</v>
      </c>
      <c r="H579" s="1">
        <v>7.09</v>
      </c>
      <c r="I579" s="1" t="s">
        <v>826</v>
      </c>
      <c r="J579" s="1" t="s">
        <v>75</v>
      </c>
      <c r="K579" s="1" t="s">
        <v>76</v>
      </c>
      <c r="L579" s="2"/>
      <c r="M579" s="1">
        <v>10331</v>
      </c>
      <c r="N579" s="1" t="s">
        <v>77</v>
      </c>
      <c r="O579" s="11" t="s">
        <v>745</v>
      </c>
    </row>
    <row r="580" spans="1:15">
      <c r="A580" s="6">
        <v>10827</v>
      </c>
      <c r="B580" s="6">
        <v>9</v>
      </c>
      <c r="C580" s="6">
        <v>1</v>
      </c>
      <c r="D580" s="8">
        <v>39459</v>
      </c>
      <c r="E580" s="8">
        <v>39473</v>
      </c>
      <c r="F580" s="8">
        <v>39484</v>
      </c>
      <c r="G580" s="6">
        <v>2</v>
      </c>
      <c r="H580" s="1">
        <v>63.54</v>
      </c>
      <c r="I580" s="1" t="s">
        <v>902</v>
      </c>
      <c r="J580" s="1" t="s">
        <v>903</v>
      </c>
      <c r="K580" s="1" t="s">
        <v>90</v>
      </c>
      <c r="L580" s="2"/>
      <c r="M580" s="1">
        <v>10368</v>
      </c>
      <c r="N580" s="1" t="s">
        <v>77</v>
      </c>
      <c r="O580" s="11" t="s">
        <v>745</v>
      </c>
    </row>
    <row r="581" spans="1:15">
      <c r="A581" s="6">
        <v>10828</v>
      </c>
      <c r="B581" s="6">
        <v>64</v>
      </c>
      <c r="C581" s="6">
        <v>9</v>
      </c>
      <c r="D581" s="8">
        <v>39460</v>
      </c>
      <c r="E581" s="8">
        <v>39474</v>
      </c>
      <c r="F581" s="8">
        <v>39482</v>
      </c>
      <c r="G581" s="6">
        <v>1</v>
      </c>
      <c r="H581" s="1">
        <v>90.85</v>
      </c>
      <c r="I581" s="1" t="s">
        <v>1125</v>
      </c>
      <c r="J581" s="1" t="s">
        <v>1126</v>
      </c>
      <c r="K581" s="1" t="s">
        <v>110</v>
      </c>
      <c r="L581" s="2"/>
      <c r="M581" s="1">
        <v>10283</v>
      </c>
      <c r="N581" s="1" t="s">
        <v>111</v>
      </c>
      <c r="O581" s="11" t="s">
        <v>745</v>
      </c>
    </row>
    <row r="582" spans="1:15">
      <c r="A582" s="6">
        <v>10829</v>
      </c>
      <c r="B582" s="6">
        <v>38</v>
      </c>
      <c r="C582" s="6">
        <v>9</v>
      </c>
      <c r="D582" s="8">
        <v>39460</v>
      </c>
      <c r="E582" s="8">
        <v>39488</v>
      </c>
      <c r="F582" s="8">
        <v>39470</v>
      </c>
      <c r="G582" s="6">
        <v>1</v>
      </c>
      <c r="H582" s="1">
        <v>154.72</v>
      </c>
      <c r="I582" s="1" t="s">
        <v>1105</v>
      </c>
      <c r="J582" s="1" t="s">
        <v>1106</v>
      </c>
      <c r="K582" s="1" t="s">
        <v>270</v>
      </c>
      <c r="L582" s="1" t="s">
        <v>271</v>
      </c>
      <c r="M582" s="1">
        <v>10205</v>
      </c>
      <c r="N582" s="1" t="s">
        <v>55</v>
      </c>
      <c r="O582" s="11" t="s">
        <v>745</v>
      </c>
    </row>
    <row r="583" spans="1:15">
      <c r="A583" s="6">
        <v>10830</v>
      </c>
      <c r="B583" s="6">
        <v>81</v>
      </c>
      <c r="C583" s="6">
        <v>4</v>
      </c>
      <c r="D583" s="8">
        <v>39460</v>
      </c>
      <c r="E583" s="8">
        <v>39502</v>
      </c>
      <c r="F583" s="8">
        <v>39468</v>
      </c>
      <c r="G583" s="6">
        <v>2</v>
      </c>
      <c r="H583" s="1">
        <v>81.83</v>
      </c>
      <c r="I583" s="1" t="s">
        <v>1034</v>
      </c>
      <c r="J583" s="1" t="s">
        <v>1035</v>
      </c>
      <c r="K583" s="1" t="s">
        <v>127</v>
      </c>
      <c r="L583" s="1" t="s">
        <v>128</v>
      </c>
      <c r="M583" s="1">
        <v>10336</v>
      </c>
      <c r="N583" s="1" t="s">
        <v>129</v>
      </c>
      <c r="O583" s="11" t="s">
        <v>745</v>
      </c>
    </row>
    <row r="584" spans="1:15">
      <c r="A584" s="6">
        <v>10831</v>
      </c>
      <c r="B584" s="6">
        <v>70</v>
      </c>
      <c r="C584" s="6">
        <v>3</v>
      </c>
      <c r="D584" s="8">
        <v>39461</v>
      </c>
      <c r="E584" s="8">
        <v>39489</v>
      </c>
      <c r="F584" s="8">
        <v>39470</v>
      </c>
      <c r="G584" s="6">
        <v>2</v>
      </c>
      <c r="H584" s="1">
        <v>72.19</v>
      </c>
      <c r="I584" s="1" t="s">
        <v>928</v>
      </c>
      <c r="J584" s="1" t="s">
        <v>929</v>
      </c>
      <c r="K584" s="1" t="s">
        <v>451</v>
      </c>
      <c r="L584" s="2"/>
      <c r="M584" s="1">
        <v>10303</v>
      </c>
      <c r="N584" s="1" t="s">
        <v>452</v>
      </c>
      <c r="O584" s="11" t="s">
        <v>745</v>
      </c>
    </row>
    <row r="585" spans="1:15">
      <c r="A585" s="6">
        <v>10832</v>
      </c>
      <c r="B585" s="6">
        <v>41</v>
      </c>
      <c r="C585" s="6">
        <v>2</v>
      </c>
      <c r="D585" s="8">
        <v>39461</v>
      </c>
      <c r="E585" s="8">
        <v>39489</v>
      </c>
      <c r="F585" s="8">
        <v>39466</v>
      </c>
      <c r="G585" s="6">
        <v>2</v>
      </c>
      <c r="H585" s="1">
        <v>43.26</v>
      </c>
      <c r="I585" s="1" t="s">
        <v>896</v>
      </c>
      <c r="J585" s="1" t="s">
        <v>897</v>
      </c>
      <c r="K585" s="1" t="s">
        <v>287</v>
      </c>
      <c r="L585" s="2"/>
      <c r="M585" s="1">
        <v>10218</v>
      </c>
      <c r="N585" s="1" t="s">
        <v>77</v>
      </c>
      <c r="O585" s="11" t="s">
        <v>745</v>
      </c>
    </row>
    <row r="586" spans="1:15">
      <c r="A586" s="6">
        <v>10833</v>
      </c>
      <c r="B586" s="6">
        <v>56</v>
      </c>
      <c r="C586" s="6">
        <v>6</v>
      </c>
      <c r="D586" s="8">
        <v>39462</v>
      </c>
      <c r="E586" s="8">
        <v>39490</v>
      </c>
      <c r="F586" s="8">
        <v>39470</v>
      </c>
      <c r="G586" s="6">
        <v>2</v>
      </c>
      <c r="H586" s="1">
        <v>71.489999999999995</v>
      </c>
      <c r="I586" s="1" t="s">
        <v>949</v>
      </c>
      <c r="J586" s="1" t="s">
        <v>950</v>
      </c>
      <c r="K586" s="1" t="s">
        <v>378</v>
      </c>
      <c r="L586" s="2"/>
      <c r="M586" s="1">
        <v>10259</v>
      </c>
      <c r="N586" s="1" t="s">
        <v>36</v>
      </c>
      <c r="O586" s="11" t="s">
        <v>745</v>
      </c>
    </row>
    <row r="587" spans="1:15">
      <c r="A587" s="6">
        <v>10834</v>
      </c>
      <c r="B587" s="6">
        <v>81</v>
      </c>
      <c r="C587" s="6">
        <v>1</v>
      </c>
      <c r="D587" s="8">
        <v>39462</v>
      </c>
      <c r="E587" s="8">
        <v>39490</v>
      </c>
      <c r="F587" s="8">
        <v>39466</v>
      </c>
      <c r="G587" s="6">
        <v>3</v>
      </c>
      <c r="H587" s="1">
        <v>29.78</v>
      </c>
      <c r="I587" s="1" t="s">
        <v>819</v>
      </c>
      <c r="J587" s="1" t="s">
        <v>820</v>
      </c>
      <c r="K587" s="1" t="s">
        <v>127</v>
      </c>
      <c r="L587" s="1" t="s">
        <v>128</v>
      </c>
      <c r="M587" s="1">
        <v>10335</v>
      </c>
      <c r="N587" s="1" t="s">
        <v>129</v>
      </c>
      <c r="O587" s="11" t="s">
        <v>745</v>
      </c>
    </row>
    <row r="588" spans="1:15">
      <c r="A588" s="6">
        <v>10835</v>
      </c>
      <c r="B588" s="6">
        <v>1</v>
      </c>
      <c r="C588" s="6">
        <v>1</v>
      </c>
      <c r="D588" s="8">
        <v>39462</v>
      </c>
      <c r="E588" s="8">
        <v>39490</v>
      </c>
      <c r="F588" s="8">
        <v>39468</v>
      </c>
      <c r="G588" s="6">
        <v>3</v>
      </c>
      <c r="H588" s="1">
        <v>69.53</v>
      </c>
      <c r="I588" s="1" t="s">
        <v>1099</v>
      </c>
      <c r="J588" s="1" t="s">
        <v>1100</v>
      </c>
      <c r="K588" s="1" t="s">
        <v>35</v>
      </c>
      <c r="L588" s="2"/>
      <c r="M588" s="1">
        <v>10154</v>
      </c>
      <c r="N588" s="1" t="s">
        <v>36</v>
      </c>
      <c r="O588" s="11" t="s">
        <v>745</v>
      </c>
    </row>
    <row r="589" spans="1:15">
      <c r="A589" s="6">
        <v>10836</v>
      </c>
      <c r="B589" s="6">
        <v>20</v>
      </c>
      <c r="C589" s="6">
        <v>7</v>
      </c>
      <c r="D589" s="8">
        <v>39463</v>
      </c>
      <c r="E589" s="8">
        <v>39491</v>
      </c>
      <c r="F589" s="8">
        <v>39468</v>
      </c>
      <c r="G589" s="6">
        <v>1</v>
      </c>
      <c r="H589" s="1">
        <v>411.88</v>
      </c>
      <c r="I589" s="1" t="s">
        <v>974</v>
      </c>
      <c r="J589" s="1" t="s">
        <v>975</v>
      </c>
      <c r="K589" s="1" t="s">
        <v>157</v>
      </c>
      <c r="L589" s="2"/>
      <c r="M589" s="1">
        <v>10159</v>
      </c>
      <c r="N589" s="1" t="s">
        <v>158</v>
      </c>
      <c r="O589" s="11" t="s">
        <v>745</v>
      </c>
    </row>
    <row r="590" spans="1:15">
      <c r="A590" s="6">
        <v>10837</v>
      </c>
      <c r="B590" s="6">
        <v>5</v>
      </c>
      <c r="C590" s="6">
        <v>9</v>
      </c>
      <c r="D590" s="8">
        <v>39463</v>
      </c>
      <c r="E590" s="8">
        <v>39491</v>
      </c>
      <c r="F590" s="8">
        <v>39470</v>
      </c>
      <c r="G590" s="6">
        <v>3</v>
      </c>
      <c r="H590" s="1">
        <v>13.32</v>
      </c>
      <c r="I590" s="1" t="s">
        <v>982</v>
      </c>
      <c r="J590" s="1" t="s">
        <v>983</v>
      </c>
      <c r="K590" s="1" t="s">
        <v>62</v>
      </c>
      <c r="L590" s="2"/>
      <c r="M590" s="1">
        <v>10267</v>
      </c>
      <c r="N590" s="1" t="s">
        <v>63</v>
      </c>
      <c r="O590" s="11" t="s">
        <v>745</v>
      </c>
    </row>
    <row r="591" spans="1:15">
      <c r="A591" s="6">
        <v>10838</v>
      </c>
      <c r="B591" s="6">
        <v>47</v>
      </c>
      <c r="C591" s="6">
        <v>3</v>
      </c>
      <c r="D591" s="8">
        <v>39466</v>
      </c>
      <c r="E591" s="8">
        <v>39494</v>
      </c>
      <c r="F591" s="8">
        <v>39470</v>
      </c>
      <c r="G591" s="6">
        <v>3</v>
      </c>
      <c r="H591" s="1">
        <v>59.28</v>
      </c>
      <c r="I591" s="1" t="s">
        <v>1134</v>
      </c>
      <c r="J591" s="1" t="s">
        <v>1135</v>
      </c>
      <c r="K591" s="1" t="s">
        <v>325</v>
      </c>
      <c r="L591" s="1" t="s">
        <v>326</v>
      </c>
      <c r="M591" s="1">
        <v>10230</v>
      </c>
      <c r="N591" s="1" t="s">
        <v>236</v>
      </c>
      <c r="O591" s="11" t="s">
        <v>745</v>
      </c>
    </row>
    <row r="592" spans="1:15">
      <c r="A592" s="6">
        <v>10839</v>
      </c>
      <c r="B592" s="6">
        <v>81</v>
      </c>
      <c r="C592" s="6">
        <v>3</v>
      </c>
      <c r="D592" s="8">
        <v>39466</v>
      </c>
      <c r="E592" s="8">
        <v>39494</v>
      </c>
      <c r="F592" s="8">
        <v>39469</v>
      </c>
      <c r="G592" s="6">
        <v>3</v>
      </c>
      <c r="H592" s="1">
        <v>35.43</v>
      </c>
      <c r="I592" s="1" t="s">
        <v>1034</v>
      </c>
      <c r="J592" s="1" t="s">
        <v>1035</v>
      </c>
      <c r="K592" s="1" t="s">
        <v>127</v>
      </c>
      <c r="L592" s="1" t="s">
        <v>128</v>
      </c>
      <c r="M592" s="1">
        <v>10336</v>
      </c>
      <c r="N592" s="1" t="s">
        <v>129</v>
      </c>
      <c r="O592" s="11" t="s">
        <v>745</v>
      </c>
    </row>
    <row r="593" spans="1:15">
      <c r="A593" s="6">
        <v>10840</v>
      </c>
      <c r="B593" s="6">
        <v>47</v>
      </c>
      <c r="C593" s="6">
        <v>4</v>
      </c>
      <c r="D593" s="8">
        <v>39466</v>
      </c>
      <c r="E593" s="8">
        <v>39509</v>
      </c>
      <c r="F593" s="8">
        <v>39494</v>
      </c>
      <c r="G593" s="6">
        <v>2</v>
      </c>
      <c r="H593" s="1">
        <v>2.71</v>
      </c>
      <c r="I593" s="1" t="s">
        <v>1134</v>
      </c>
      <c r="J593" s="1" t="s">
        <v>1135</v>
      </c>
      <c r="K593" s="1" t="s">
        <v>325</v>
      </c>
      <c r="L593" s="1" t="s">
        <v>326</v>
      </c>
      <c r="M593" s="1">
        <v>10230</v>
      </c>
      <c r="N593" s="1" t="s">
        <v>236</v>
      </c>
      <c r="O593" s="11" t="s">
        <v>745</v>
      </c>
    </row>
    <row r="594" spans="1:15">
      <c r="A594" s="6">
        <v>10841</v>
      </c>
      <c r="B594" s="6">
        <v>76</v>
      </c>
      <c r="C594" s="6">
        <v>5</v>
      </c>
      <c r="D594" s="8">
        <v>39467</v>
      </c>
      <c r="E594" s="8">
        <v>39495</v>
      </c>
      <c r="F594" s="8">
        <v>39476</v>
      </c>
      <c r="G594" s="6">
        <v>2</v>
      </c>
      <c r="H594" s="1">
        <v>424.3</v>
      </c>
      <c r="I594" s="1" t="s">
        <v>748</v>
      </c>
      <c r="J594" s="1" t="s">
        <v>749</v>
      </c>
      <c r="K594" s="1" t="s">
        <v>488</v>
      </c>
      <c r="L594" s="2"/>
      <c r="M594" s="1">
        <v>10318</v>
      </c>
      <c r="N594" s="1" t="s">
        <v>345</v>
      </c>
      <c r="O594" s="11" t="s">
        <v>745</v>
      </c>
    </row>
    <row r="595" spans="1:15">
      <c r="A595" s="6">
        <v>10842</v>
      </c>
      <c r="B595" s="6">
        <v>80</v>
      </c>
      <c r="C595" s="6">
        <v>1</v>
      </c>
      <c r="D595" s="8">
        <v>39467</v>
      </c>
      <c r="E595" s="8">
        <v>39495</v>
      </c>
      <c r="F595" s="8">
        <v>39476</v>
      </c>
      <c r="G595" s="6">
        <v>3</v>
      </c>
      <c r="H595" s="1">
        <v>54.42</v>
      </c>
      <c r="I595" s="1" t="s">
        <v>1162</v>
      </c>
      <c r="J595" s="1" t="s">
        <v>1163</v>
      </c>
      <c r="K595" s="1" t="s">
        <v>43</v>
      </c>
      <c r="L595" s="2"/>
      <c r="M595" s="1">
        <v>10332</v>
      </c>
      <c r="N595" s="1" t="s">
        <v>44</v>
      </c>
      <c r="O595" s="11" t="s">
        <v>745</v>
      </c>
    </row>
    <row r="596" spans="1:15">
      <c r="A596" s="6">
        <v>10843</v>
      </c>
      <c r="B596" s="6">
        <v>84</v>
      </c>
      <c r="C596" s="6">
        <v>4</v>
      </c>
      <c r="D596" s="8">
        <v>39468</v>
      </c>
      <c r="E596" s="8">
        <v>39496</v>
      </c>
      <c r="F596" s="8">
        <v>39473</v>
      </c>
      <c r="G596" s="6">
        <v>2</v>
      </c>
      <c r="H596" s="1">
        <v>9.26</v>
      </c>
      <c r="I596" s="1" t="s">
        <v>990</v>
      </c>
      <c r="J596" s="1" t="s">
        <v>991</v>
      </c>
      <c r="K596" s="1" t="s">
        <v>532</v>
      </c>
      <c r="L596" s="2"/>
      <c r="M596" s="1">
        <v>10344</v>
      </c>
      <c r="N596" s="1" t="s">
        <v>77</v>
      </c>
      <c r="O596" s="11" t="s">
        <v>745</v>
      </c>
    </row>
    <row r="597" spans="1:15">
      <c r="A597" s="6">
        <v>10844</v>
      </c>
      <c r="B597" s="6">
        <v>59</v>
      </c>
      <c r="C597" s="6">
        <v>8</v>
      </c>
      <c r="D597" s="8">
        <v>39468</v>
      </c>
      <c r="E597" s="8">
        <v>39496</v>
      </c>
      <c r="F597" s="8">
        <v>39473</v>
      </c>
      <c r="G597" s="6">
        <v>2</v>
      </c>
      <c r="H597" s="1">
        <v>25.22</v>
      </c>
      <c r="I597" s="1" t="s">
        <v>934</v>
      </c>
      <c r="J597" s="1" t="s">
        <v>935</v>
      </c>
      <c r="K597" s="1" t="s">
        <v>394</v>
      </c>
      <c r="L597" s="2"/>
      <c r="M597" s="1">
        <v>10264</v>
      </c>
      <c r="N597" s="1" t="s">
        <v>158</v>
      </c>
      <c r="O597" s="11" t="s">
        <v>745</v>
      </c>
    </row>
    <row r="598" spans="1:15">
      <c r="A598" s="6">
        <v>10845</v>
      </c>
      <c r="B598" s="6">
        <v>63</v>
      </c>
      <c r="C598" s="6">
        <v>8</v>
      </c>
      <c r="D598" s="8">
        <v>39468</v>
      </c>
      <c r="E598" s="8">
        <v>39482</v>
      </c>
      <c r="F598" s="8">
        <v>39477</v>
      </c>
      <c r="G598" s="6">
        <v>1</v>
      </c>
      <c r="H598" s="1">
        <v>212.98</v>
      </c>
      <c r="I598" s="1" t="s">
        <v>787</v>
      </c>
      <c r="J598" s="1" t="s">
        <v>412</v>
      </c>
      <c r="K598" s="1" t="s">
        <v>413</v>
      </c>
      <c r="L598" s="2"/>
      <c r="M598" s="1">
        <v>10279</v>
      </c>
      <c r="N598" s="1" t="s">
        <v>36</v>
      </c>
      <c r="O598" s="11" t="s">
        <v>745</v>
      </c>
    </row>
    <row r="599" spans="1:15">
      <c r="A599" s="6">
        <v>10846</v>
      </c>
      <c r="B599" s="6">
        <v>76</v>
      </c>
      <c r="C599" s="6">
        <v>2</v>
      </c>
      <c r="D599" s="8">
        <v>39469</v>
      </c>
      <c r="E599" s="8">
        <v>39512</v>
      </c>
      <c r="F599" s="8">
        <v>39470</v>
      </c>
      <c r="G599" s="6">
        <v>3</v>
      </c>
      <c r="H599" s="1">
        <v>56.46</v>
      </c>
      <c r="I599" s="1" t="s">
        <v>1014</v>
      </c>
      <c r="J599" s="1" t="s">
        <v>1015</v>
      </c>
      <c r="K599" s="1" t="s">
        <v>488</v>
      </c>
      <c r="L599" s="2"/>
      <c r="M599" s="1">
        <v>10319</v>
      </c>
      <c r="N599" s="1" t="s">
        <v>345</v>
      </c>
      <c r="O599" s="11" t="s">
        <v>745</v>
      </c>
    </row>
    <row r="600" spans="1:15">
      <c r="A600" s="6">
        <v>10847</v>
      </c>
      <c r="B600" s="6">
        <v>71</v>
      </c>
      <c r="C600" s="6">
        <v>4</v>
      </c>
      <c r="D600" s="8">
        <v>39469</v>
      </c>
      <c r="E600" s="8">
        <v>39483</v>
      </c>
      <c r="F600" s="8">
        <v>39488</v>
      </c>
      <c r="G600" s="6">
        <v>3</v>
      </c>
      <c r="H600" s="1">
        <v>487.57</v>
      </c>
      <c r="I600" s="1" t="s">
        <v>1044</v>
      </c>
      <c r="J600" s="1" t="s">
        <v>1045</v>
      </c>
      <c r="K600" s="1" t="s">
        <v>458</v>
      </c>
      <c r="L600" s="1" t="s">
        <v>459</v>
      </c>
      <c r="M600" s="1">
        <v>10305</v>
      </c>
      <c r="N600" s="1" t="s">
        <v>229</v>
      </c>
      <c r="O600" s="11" t="s">
        <v>745</v>
      </c>
    </row>
    <row r="601" spans="1:15">
      <c r="A601" s="6">
        <v>10848</v>
      </c>
      <c r="B601" s="6">
        <v>16</v>
      </c>
      <c r="C601" s="6">
        <v>7</v>
      </c>
      <c r="D601" s="8">
        <v>39470</v>
      </c>
      <c r="E601" s="8">
        <v>39498</v>
      </c>
      <c r="F601" s="8">
        <v>39476</v>
      </c>
      <c r="G601" s="6">
        <v>2</v>
      </c>
      <c r="H601" s="1">
        <v>38.24</v>
      </c>
      <c r="I601" s="1" t="s">
        <v>978</v>
      </c>
      <c r="J601" s="1" t="s">
        <v>979</v>
      </c>
      <c r="K601" s="1" t="s">
        <v>54</v>
      </c>
      <c r="L601" s="2"/>
      <c r="M601" s="1">
        <v>10143</v>
      </c>
      <c r="N601" s="1" t="s">
        <v>55</v>
      </c>
      <c r="O601" s="11" t="s">
        <v>745</v>
      </c>
    </row>
    <row r="602" spans="1:15">
      <c r="A602" s="6">
        <v>10849</v>
      </c>
      <c r="B602" s="6">
        <v>39</v>
      </c>
      <c r="C602" s="6">
        <v>9</v>
      </c>
      <c r="D602" s="8">
        <v>39470</v>
      </c>
      <c r="E602" s="8">
        <v>39498</v>
      </c>
      <c r="F602" s="8">
        <v>39477</v>
      </c>
      <c r="G602" s="6">
        <v>2</v>
      </c>
      <c r="H602" s="1">
        <v>0.56000000000000005</v>
      </c>
      <c r="I602" s="1" t="s">
        <v>994</v>
      </c>
      <c r="J602" s="1" t="s">
        <v>995</v>
      </c>
      <c r="K602" s="1" t="s">
        <v>276</v>
      </c>
      <c r="L602" s="2"/>
      <c r="M602" s="1">
        <v>10208</v>
      </c>
      <c r="N602" s="1" t="s">
        <v>36</v>
      </c>
      <c r="O602" s="11" t="s">
        <v>745</v>
      </c>
    </row>
    <row r="603" spans="1:15">
      <c r="A603" s="6">
        <v>10850</v>
      </c>
      <c r="B603" s="6">
        <v>84</v>
      </c>
      <c r="C603" s="6">
        <v>1</v>
      </c>
      <c r="D603" s="8">
        <v>39470</v>
      </c>
      <c r="E603" s="8">
        <v>39513</v>
      </c>
      <c r="F603" s="8">
        <v>39477</v>
      </c>
      <c r="G603" s="6">
        <v>1</v>
      </c>
      <c r="H603" s="1">
        <v>49.19</v>
      </c>
      <c r="I603" s="1" t="s">
        <v>990</v>
      </c>
      <c r="J603" s="1" t="s">
        <v>991</v>
      </c>
      <c r="K603" s="1" t="s">
        <v>532</v>
      </c>
      <c r="L603" s="2"/>
      <c r="M603" s="1">
        <v>10344</v>
      </c>
      <c r="N603" s="1" t="s">
        <v>77</v>
      </c>
      <c r="O603" s="11" t="s">
        <v>745</v>
      </c>
    </row>
    <row r="604" spans="1:15">
      <c r="A604" s="6">
        <v>10851</v>
      </c>
      <c r="B604" s="6">
        <v>67</v>
      </c>
      <c r="C604" s="6">
        <v>5</v>
      </c>
      <c r="D604" s="8">
        <v>39473</v>
      </c>
      <c r="E604" s="8">
        <v>39501</v>
      </c>
      <c r="F604" s="8">
        <v>39480</v>
      </c>
      <c r="G604" s="6">
        <v>1</v>
      </c>
      <c r="H604" s="1">
        <v>160.55000000000001</v>
      </c>
      <c r="I604" s="1" t="s">
        <v>986</v>
      </c>
      <c r="J604" s="1" t="s">
        <v>987</v>
      </c>
      <c r="K604" s="1" t="s">
        <v>242</v>
      </c>
      <c r="L604" s="1" t="s">
        <v>243</v>
      </c>
      <c r="M604" s="1">
        <v>10293</v>
      </c>
      <c r="N604" s="1" t="s">
        <v>129</v>
      </c>
      <c r="O604" s="11" t="s">
        <v>745</v>
      </c>
    </row>
    <row r="605" spans="1:15">
      <c r="A605" s="6">
        <v>10852</v>
      </c>
      <c r="B605" s="6">
        <v>65</v>
      </c>
      <c r="C605" s="6">
        <v>8</v>
      </c>
      <c r="D605" s="8">
        <v>39473</v>
      </c>
      <c r="E605" s="8">
        <v>39487</v>
      </c>
      <c r="F605" s="8">
        <v>39477</v>
      </c>
      <c r="G605" s="6">
        <v>1</v>
      </c>
      <c r="H605" s="1">
        <v>174.05</v>
      </c>
      <c r="I605" s="1" t="s">
        <v>785</v>
      </c>
      <c r="J605" s="1" t="s">
        <v>786</v>
      </c>
      <c r="K605" s="1" t="s">
        <v>424</v>
      </c>
      <c r="L605" s="1" t="s">
        <v>425</v>
      </c>
      <c r="M605" s="1">
        <v>10285</v>
      </c>
      <c r="N605" s="1" t="s">
        <v>229</v>
      </c>
      <c r="O605" s="11" t="s">
        <v>745</v>
      </c>
    </row>
    <row r="606" spans="1:15">
      <c r="A606" s="6">
        <v>10853</v>
      </c>
      <c r="B606" s="6">
        <v>6</v>
      </c>
      <c r="C606" s="6">
        <v>9</v>
      </c>
      <c r="D606" s="8">
        <v>39474</v>
      </c>
      <c r="E606" s="8">
        <v>39502</v>
      </c>
      <c r="F606" s="8">
        <v>39481</v>
      </c>
      <c r="G606" s="6">
        <v>2</v>
      </c>
      <c r="H606" s="1">
        <v>53.83</v>
      </c>
      <c r="I606" s="1" t="s">
        <v>1164</v>
      </c>
      <c r="J606" s="1" t="s">
        <v>1165</v>
      </c>
      <c r="K606" s="1" t="s">
        <v>69</v>
      </c>
      <c r="L606" s="2"/>
      <c r="M606" s="1">
        <v>10301</v>
      </c>
      <c r="N606" s="1" t="s">
        <v>36</v>
      </c>
      <c r="O606" s="11" t="s">
        <v>745</v>
      </c>
    </row>
    <row r="607" spans="1:15">
      <c r="A607" s="6">
        <v>10854</v>
      </c>
      <c r="B607" s="6">
        <v>20</v>
      </c>
      <c r="C607" s="6">
        <v>3</v>
      </c>
      <c r="D607" s="8">
        <v>39474</v>
      </c>
      <c r="E607" s="8">
        <v>39502</v>
      </c>
      <c r="F607" s="8">
        <v>39483</v>
      </c>
      <c r="G607" s="6">
        <v>2</v>
      </c>
      <c r="H607" s="1">
        <v>100.22</v>
      </c>
      <c r="I607" s="1" t="s">
        <v>974</v>
      </c>
      <c r="J607" s="1" t="s">
        <v>975</v>
      </c>
      <c r="K607" s="1" t="s">
        <v>157</v>
      </c>
      <c r="L607" s="2"/>
      <c r="M607" s="1">
        <v>10159</v>
      </c>
      <c r="N607" s="1" t="s">
        <v>158</v>
      </c>
      <c r="O607" s="11" t="s">
        <v>745</v>
      </c>
    </row>
    <row r="608" spans="1:15">
      <c r="A608" s="6">
        <v>10855</v>
      </c>
      <c r="B608" s="6">
        <v>55</v>
      </c>
      <c r="C608" s="6">
        <v>3</v>
      </c>
      <c r="D608" s="8">
        <v>39474</v>
      </c>
      <c r="E608" s="8">
        <v>39502</v>
      </c>
      <c r="F608" s="8">
        <v>39482</v>
      </c>
      <c r="G608" s="6">
        <v>1</v>
      </c>
      <c r="H608" s="1">
        <v>170.97</v>
      </c>
      <c r="I608" s="1" t="s">
        <v>1166</v>
      </c>
      <c r="J608" s="1" t="s">
        <v>370</v>
      </c>
      <c r="K608" s="1" t="s">
        <v>371</v>
      </c>
      <c r="L608" s="1" t="s">
        <v>372</v>
      </c>
      <c r="M608" s="1">
        <v>10255</v>
      </c>
      <c r="N608" s="1" t="s">
        <v>229</v>
      </c>
      <c r="O608" s="11" t="s">
        <v>745</v>
      </c>
    </row>
    <row r="609" spans="1:15">
      <c r="A609" s="6">
        <v>10856</v>
      </c>
      <c r="B609" s="6">
        <v>3</v>
      </c>
      <c r="C609" s="6">
        <v>3</v>
      </c>
      <c r="D609" s="8">
        <v>39475</v>
      </c>
      <c r="E609" s="8">
        <v>39503</v>
      </c>
      <c r="F609" s="8">
        <v>39488</v>
      </c>
      <c r="G609" s="6">
        <v>2</v>
      </c>
      <c r="H609" s="1">
        <v>58.43</v>
      </c>
      <c r="I609" s="1" t="s">
        <v>908</v>
      </c>
      <c r="J609" s="1" t="s">
        <v>909</v>
      </c>
      <c r="K609" s="1" t="s">
        <v>43</v>
      </c>
      <c r="L609" s="2"/>
      <c r="M609" s="1">
        <v>10211</v>
      </c>
      <c r="N609" s="1" t="s">
        <v>44</v>
      </c>
      <c r="O609" s="11" t="s">
        <v>745</v>
      </c>
    </row>
    <row r="610" spans="1:15">
      <c r="A610" s="6">
        <v>10857</v>
      </c>
      <c r="B610" s="6">
        <v>5</v>
      </c>
      <c r="C610" s="6">
        <v>8</v>
      </c>
      <c r="D610" s="8">
        <v>39475</v>
      </c>
      <c r="E610" s="8">
        <v>39503</v>
      </c>
      <c r="F610" s="8">
        <v>39484</v>
      </c>
      <c r="G610" s="6">
        <v>2</v>
      </c>
      <c r="H610" s="1">
        <v>188.85</v>
      </c>
      <c r="I610" s="1" t="s">
        <v>800</v>
      </c>
      <c r="J610" s="1" t="s">
        <v>801</v>
      </c>
      <c r="K610" s="1" t="s">
        <v>62</v>
      </c>
      <c r="L610" s="2"/>
      <c r="M610" s="1">
        <v>10268</v>
      </c>
      <c r="N610" s="1" t="s">
        <v>63</v>
      </c>
      <c r="O610" s="11" t="s">
        <v>745</v>
      </c>
    </row>
    <row r="611" spans="1:15">
      <c r="A611" s="6">
        <v>10858</v>
      </c>
      <c r="B611" s="6">
        <v>40</v>
      </c>
      <c r="C611" s="6">
        <v>2</v>
      </c>
      <c r="D611" s="8">
        <v>39476</v>
      </c>
      <c r="E611" s="8">
        <v>39504</v>
      </c>
      <c r="F611" s="8">
        <v>39481</v>
      </c>
      <c r="G611" s="6">
        <v>1</v>
      </c>
      <c r="H611" s="1">
        <v>52.51</v>
      </c>
      <c r="I611" s="1" t="s">
        <v>1167</v>
      </c>
      <c r="J611" s="1" t="s">
        <v>1168</v>
      </c>
      <c r="K611" s="1" t="s">
        <v>281</v>
      </c>
      <c r="L611" s="2"/>
      <c r="M611" s="1">
        <v>10215</v>
      </c>
      <c r="N611" s="1" t="s">
        <v>77</v>
      </c>
      <c r="O611" s="11" t="s">
        <v>745</v>
      </c>
    </row>
    <row r="612" spans="1:15">
      <c r="A612" s="6">
        <v>10859</v>
      </c>
      <c r="B612" s="6">
        <v>25</v>
      </c>
      <c r="C612" s="6">
        <v>1</v>
      </c>
      <c r="D612" s="8">
        <v>39476</v>
      </c>
      <c r="E612" s="8">
        <v>39504</v>
      </c>
      <c r="F612" s="8">
        <v>39480</v>
      </c>
      <c r="G612" s="6">
        <v>2</v>
      </c>
      <c r="H612" s="1">
        <v>76.099999999999994</v>
      </c>
      <c r="I612" s="1" t="s">
        <v>869</v>
      </c>
      <c r="J612" s="1" t="s">
        <v>870</v>
      </c>
      <c r="K612" s="1" t="s">
        <v>186</v>
      </c>
      <c r="L612" s="2"/>
      <c r="M612" s="1">
        <v>10169</v>
      </c>
      <c r="N612" s="1" t="s">
        <v>36</v>
      </c>
      <c r="O612" s="11" t="s">
        <v>745</v>
      </c>
    </row>
    <row r="613" spans="1:15">
      <c r="A613" s="6">
        <v>10860</v>
      </c>
      <c r="B613" s="6">
        <v>26</v>
      </c>
      <c r="C613" s="6">
        <v>3</v>
      </c>
      <c r="D613" s="8">
        <v>39476</v>
      </c>
      <c r="E613" s="8">
        <v>39504</v>
      </c>
      <c r="F613" s="8">
        <v>39482</v>
      </c>
      <c r="G613" s="6">
        <v>3</v>
      </c>
      <c r="H613" s="1">
        <v>19.260000000000002</v>
      </c>
      <c r="I613" s="1" t="s">
        <v>1169</v>
      </c>
      <c r="J613" s="1" t="s">
        <v>1170</v>
      </c>
      <c r="K613" s="1" t="s">
        <v>145</v>
      </c>
      <c r="L613" s="2"/>
      <c r="M613" s="1">
        <v>10171</v>
      </c>
      <c r="N613" s="1" t="s">
        <v>77</v>
      </c>
      <c r="O613" s="11" t="s">
        <v>745</v>
      </c>
    </row>
    <row r="614" spans="1:15">
      <c r="A614" s="6">
        <v>10861</v>
      </c>
      <c r="B614" s="6">
        <v>89</v>
      </c>
      <c r="C614" s="6">
        <v>4</v>
      </c>
      <c r="D614" s="8">
        <v>39477</v>
      </c>
      <c r="E614" s="8">
        <v>39505</v>
      </c>
      <c r="F614" s="8">
        <v>39495</v>
      </c>
      <c r="G614" s="6">
        <v>2</v>
      </c>
      <c r="H614" s="1">
        <v>14.93</v>
      </c>
      <c r="I614" s="1" t="s">
        <v>1008</v>
      </c>
      <c r="J614" s="1" t="s">
        <v>1009</v>
      </c>
      <c r="K614" s="1" t="s">
        <v>562</v>
      </c>
      <c r="L614" s="1" t="s">
        <v>300</v>
      </c>
      <c r="M614" s="1">
        <v>10358</v>
      </c>
      <c r="N614" s="1" t="s">
        <v>229</v>
      </c>
      <c r="O614" s="11" t="s">
        <v>745</v>
      </c>
    </row>
    <row r="615" spans="1:15">
      <c r="A615" s="6">
        <v>10862</v>
      </c>
      <c r="B615" s="6">
        <v>44</v>
      </c>
      <c r="C615" s="6">
        <v>8</v>
      </c>
      <c r="D615" s="8">
        <v>39477</v>
      </c>
      <c r="E615" s="8">
        <v>39520</v>
      </c>
      <c r="F615" s="8">
        <v>39480</v>
      </c>
      <c r="G615" s="6">
        <v>2</v>
      </c>
      <c r="H615" s="1">
        <v>53.23</v>
      </c>
      <c r="I615" s="1" t="s">
        <v>1065</v>
      </c>
      <c r="J615" s="1" t="s">
        <v>1066</v>
      </c>
      <c r="K615" s="1" t="s">
        <v>306</v>
      </c>
      <c r="L615" s="2"/>
      <c r="M615" s="1">
        <v>10224</v>
      </c>
      <c r="N615" s="1" t="s">
        <v>36</v>
      </c>
      <c r="O615" s="11" t="s">
        <v>745</v>
      </c>
    </row>
    <row r="616" spans="1:15">
      <c r="A616" s="6">
        <v>10863</v>
      </c>
      <c r="B616" s="6">
        <v>35</v>
      </c>
      <c r="C616" s="6">
        <v>4</v>
      </c>
      <c r="D616" s="8">
        <v>39480</v>
      </c>
      <c r="E616" s="8">
        <v>39509</v>
      </c>
      <c r="F616" s="8">
        <v>39495</v>
      </c>
      <c r="G616" s="6">
        <v>2</v>
      </c>
      <c r="H616" s="1">
        <v>30.26</v>
      </c>
      <c r="I616" s="1" t="s">
        <v>1024</v>
      </c>
      <c r="J616" s="1" t="s">
        <v>1025</v>
      </c>
      <c r="K616" s="1" t="s">
        <v>249</v>
      </c>
      <c r="L616" s="1" t="s">
        <v>250</v>
      </c>
      <c r="M616" s="1">
        <v>10197</v>
      </c>
      <c r="N616" s="1" t="s">
        <v>236</v>
      </c>
      <c r="O616" s="11" t="s">
        <v>745</v>
      </c>
    </row>
    <row r="617" spans="1:15">
      <c r="A617" s="6">
        <v>10864</v>
      </c>
      <c r="B617" s="6">
        <v>4</v>
      </c>
      <c r="C617" s="6">
        <v>4</v>
      </c>
      <c r="D617" s="8">
        <v>39480</v>
      </c>
      <c r="E617" s="8">
        <v>39509</v>
      </c>
      <c r="F617" s="8">
        <v>39487</v>
      </c>
      <c r="G617" s="6">
        <v>2</v>
      </c>
      <c r="H617" s="1">
        <v>3.04</v>
      </c>
      <c r="I617" s="1" t="s">
        <v>992</v>
      </c>
      <c r="J617" s="1" t="s">
        <v>993</v>
      </c>
      <c r="K617" s="1" t="s">
        <v>892</v>
      </c>
      <c r="L617" s="1" t="s">
        <v>893</v>
      </c>
      <c r="M617" s="1">
        <v>10240</v>
      </c>
      <c r="N617" s="1" t="s">
        <v>55</v>
      </c>
      <c r="O617" s="11" t="s">
        <v>745</v>
      </c>
    </row>
    <row r="618" spans="1:15">
      <c r="A618" s="6">
        <v>10865</v>
      </c>
      <c r="B618" s="6">
        <v>63</v>
      </c>
      <c r="C618" s="6">
        <v>2</v>
      </c>
      <c r="D618" s="8">
        <v>39480</v>
      </c>
      <c r="E618" s="8">
        <v>39494</v>
      </c>
      <c r="F618" s="8">
        <v>39490</v>
      </c>
      <c r="G618" s="6">
        <v>1</v>
      </c>
      <c r="H618" s="1">
        <v>348.14</v>
      </c>
      <c r="I618" s="1" t="s">
        <v>787</v>
      </c>
      <c r="J618" s="1" t="s">
        <v>412</v>
      </c>
      <c r="K618" s="1" t="s">
        <v>413</v>
      </c>
      <c r="L618" s="2"/>
      <c r="M618" s="1">
        <v>10279</v>
      </c>
      <c r="N618" s="1" t="s">
        <v>36</v>
      </c>
      <c r="O618" s="11" t="s">
        <v>745</v>
      </c>
    </row>
    <row r="619" spans="1:15">
      <c r="A619" s="6">
        <v>10866</v>
      </c>
      <c r="B619" s="6">
        <v>5</v>
      </c>
      <c r="C619" s="6">
        <v>5</v>
      </c>
      <c r="D619" s="8">
        <v>39481</v>
      </c>
      <c r="E619" s="8">
        <v>39510</v>
      </c>
      <c r="F619" s="8">
        <v>39490</v>
      </c>
      <c r="G619" s="6">
        <v>1</v>
      </c>
      <c r="H619" s="1">
        <v>109.11</v>
      </c>
      <c r="I619" s="1" t="s">
        <v>800</v>
      </c>
      <c r="J619" s="1" t="s">
        <v>801</v>
      </c>
      <c r="K619" s="1" t="s">
        <v>62</v>
      </c>
      <c r="L619" s="2"/>
      <c r="M619" s="1">
        <v>10268</v>
      </c>
      <c r="N619" s="1" t="s">
        <v>63</v>
      </c>
      <c r="O619" s="11" t="s">
        <v>745</v>
      </c>
    </row>
    <row r="620" spans="1:15">
      <c r="A620" s="6">
        <v>10867</v>
      </c>
      <c r="B620" s="6">
        <v>48</v>
      </c>
      <c r="C620" s="6">
        <v>6</v>
      </c>
      <c r="D620" s="8">
        <v>39481</v>
      </c>
      <c r="E620" s="8">
        <v>39524</v>
      </c>
      <c r="F620" s="8">
        <v>39489</v>
      </c>
      <c r="G620" s="6">
        <v>1</v>
      </c>
      <c r="H620" s="1">
        <v>1.93</v>
      </c>
      <c r="I620" s="1" t="s">
        <v>835</v>
      </c>
      <c r="J620" s="1" t="s">
        <v>836</v>
      </c>
      <c r="K620" s="1" t="s">
        <v>332</v>
      </c>
      <c r="L620" s="1" t="s">
        <v>228</v>
      </c>
      <c r="M620" s="1">
        <v>10233</v>
      </c>
      <c r="N620" s="1" t="s">
        <v>229</v>
      </c>
      <c r="O620" s="11" t="s">
        <v>745</v>
      </c>
    </row>
    <row r="621" spans="1:15">
      <c r="A621" s="6">
        <v>10868</v>
      </c>
      <c r="B621" s="6">
        <v>62</v>
      </c>
      <c r="C621" s="6">
        <v>7</v>
      </c>
      <c r="D621" s="8">
        <v>39482</v>
      </c>
      <c r="E621" s="8">
        <v>39511</v>
      </c>
      <c r="F621" s="8">
        <v>39501</v>
      </c>
      <c r="G621" s="6">
        <v>2</v>
      </c>
      <c r="H621" s="1">
        <v>191.27</v>
      </c>
      <c r="I621" s="1" t="s">
        <v>1097</v>
      </c>
      <c r="J621" s="1" t="s">
        <v>1098</v>
      </c>
      <c r="K621" s="1" t="s">
        <v>127</v>
      </c>
      <c r="L621" s="1" t="s">
        <v>128</v>
      </c>
      <c r="M621" s="1">
        <v>10278</v>
      </c>
      <c r="N621" s="1" t="s">
        <v>129</v>
      </c>
      <c r="O621" s="11" t="s">
        <v>745</v>
      </c>
    </row>
    <row r="622" spans="1:15">
      <c r="A622" s="6">
        <v>10869</v>
      </c>
      <c r="B622" s="6">
        <v>72</v>
      </c>
      <c r="C622" s="6">
        <v>5</v>
      </c>
      <c r="D622" s="8">
        <v>39482</v>
      </c>
      <c r="E622" s="8">
        <v>39511</v>
      </c>
      <c r="F622" s="8">
        <v>39487</v>
      </c>
      <c r="G622" s="6">
        <v>1</v>
      </c>
      <c r="H622" s="1">
        <v>143.28</v>
      </c>
      <c r="I622" s="1" t="s">
        <v>1012</v>
      </c>
      <c r="J622" s="1" t="s">
        <v>1013</v>
      </c>
      <c r="K622" s="1" t="s">
        <v>54</v>
      </c>
      <c r="L622" s="2"/>
      <c r="M622" s="1">
        <v>10308</v>
      </c>
      <c r="N622" s="1" t="s">
        <v>55</v>
      </c>
      <c r="O622" s="11" t="s">
        <v>745</v>
      </c>
    </row>
    <row r="623" spans="1:15">
      <c r="A623" s="6">
        <v>10870</v>
      </c>
      <c r="B623" s="6">
        <v>91</v>
      </c>
      <c r="C623" s="6">
        <v>5</v>
      </c>
      <c r="D623" s="8">
        <v>39482</v>
      </c>
      <c r="E623" s="8">
        <v>39511</v>
      </c>
      <c r="F623" s="8">
        <v>39491</v>
      </c>
      <c r="G623" s="6">
        <v>3</v>
      </c>
      <c r="H623" s="1">
        <v>12.04</v>
      </c>
      <c r="I623" s="1" t="s">
        <v>918</v>
      </c>
      <c r="J623" s="1" t="s">
        <v>919</v>
      </c>
      <c r="K623" s="1" t="s">
        <v>575</v>
      </c>
      <c r="L623" s="2"/>
      <c r="M623" s="1">
        <v>10364</v>
      </c>
      <c r="N623" s="1" t="s">
        <v>576</v>
      </c>
      <c r="O623" s="11" t="s">
        <v>745</v>
      </c>
    </row>
    <row r="624" spans="1:15">
      <c r="A624" s="6">
        <v>10871</v>
      </c>
      <c r="B624" s="6">
        <v>9</v>
      </c>
      <c r="C624" s="6">
        <v>9</v>
      </c>
      <c r="D624" s="8">
        <v>39483</v>
      </c>
      <c r="E624" s="8">
        <v>39512</v>
      </c>
      <c r="F624" s="8">
        <v>39488</v>
      </c>
      <c r="G624" s="6">
        <v>2</v>
      </c>
      <c r="H624" s="1">
        <v>112.27</v>
      </c>
      <c r="I624" s="1" t="s">
        <v>902</v>
      </c>
      <c r="J624" s="1" t="s">
        <v>903</v>
      </c>
      <c r="K624" s="1" t="s">
        <v>90</v>
      </c>
      <c r="L624" s="2"/>
      <c r="M624" s="1">
        <v>10368</v>
      </c>
      <c r="N624" s="1" t="s">
        <v>77</v>
      </c>
      <c r="O624" s="11" t="s">
        <v>745</v>
      </c>
    </row>
    <row r="625" spans="1:15">
      <c r="A625" s="6">
        <v>10872</v>
      </c>
      <c r="B625" s="6">
        <v>30</v>
      </c>
      <c r="C625" s="6">
        <v>5</v>
      </c>
      <c r="D625" s="8">
        <v>39483</v>
      </c>
      <c r="E625" s="8">
        <v>39512</v>
      </c>
      <c r="F625" s="8">
        <v>39487</v>
      </c>
      <c r="G625" s="6">
        <v>2</v>
      </c>
      <c r="H625" s="1">
        <v>175.32</v>
      </c>
      <c r="I625" s="1" t="s">
        <v>1063</v>
      </c>
      <c r="J625" s="1" t="s">
        <v>1064</v>
      </c>
      <c r="K625" s="1" t="s">
        <v>217</v>
      </c>
      <c r="L625" s="2"/>
      <c r="M625" s="1">
        <v>10184</v>
      </c>
      <c r="N625" s="1" t="s">
        <v>84</v>
      </c>
      <c r="O625" s="11" t="s">
        <v>745</v>
      </c>
    </row>
    <row r="626" spans="1:15">
      <c r="A626" s="6">
        <v>10873</v>
      </c>
      <c r="B626" s="6">
        <v>90</v>
      </c>
      <c r="C626" s="6">
        <v>4</v>
      </c>
      <c r="D626" s="8">
        <v>39484</v>
      </c>
      <c r="E626" s="8">
        <v>39513</v>
      </c>
      <c r="F626" s="8">
        <v>39487</v>
      </c>
      <c r="G626" s="6">
        <v>1</v>
      </c>
      <c r="H626" s="1">
        <v>0.82</v>
      </c>
      <c r="I626" s="1" t="s">
        <v>1087</v>
      </c>
      <c r="J626" s="1" t="s">
        <v>1088</v>
      </c>
      <c r="K626" s="1" t="s">
        <v>569</v>
      </c>
      <c r="L626" s="2"/>
      <c r="M626" s="1">
        <v>10362</v>
      </c>
      <c r="N626" s="1" t="s">
        <v>551</v>
      </c>
      <c r="O626" s="11" t="s">
        <v>745</v>
      </c>
    </row>
    <row r="627" spans="1:15">
      <c r="A627" s="6">
        <v>10874</v>
      </c>
      <c r="B627" s="6">
        <v>30</v>
      </c>
      <c r="C627" s="6">
        <v>5</v>
      </c>
      <c r="D627" s="8">
        <v>39484</v>
      </c>
      <c r="E627" s="8">
        <v>39513</v>
      </c>
      <c r="F627" s="8">
        <v>39489</v>
      </c>
      <c r="G627" s="6">
        <v>2</v>
      </c>
      <c r="H627" s="1">
        <v>19.579999999999998</v>
      </c>
      <c r="I627" s="1" t="s">
        <v>831</v>
      </c>
      <c r="J627" s="1" t="s">
        <v>832</v>
      </c>
      <c r="K627" s="1" t="s">
        <v>217</v>
      </c>
      <c r="L627" s="2"/>
      <c r="M627" s="1">
        <v>10183</v>
      </c>
      <c r="N627" s="1" t="s">
        <v>84</v>
      </c>
      <c r="O627" s="11" t="s">
        <v>745</v>
      </c>
    </row>
    <row r="628" spans="1:15">
      <c r="A628" s="6">
        <v>10875</v>
      </c>
      <c r="B628" s="6">
        <v>5</v>
      </c>
      <c r="C628" s="6">
        <v>4</v>
      </c>
      <c r="D628" s="8">
        <v>39484</v>
      </c>
      <c r="E628" s="8">
        <v>39513</v>
      </c>
      <c r="F628" s="8">
        <v>39510</v>
      </c>
      <c r="G628" s="6">
        <v>2</v>
      </c>
      <c r="H628" s="1">
        <v>32.369999999999997</v>
      </c>
      <c r="I628" s="1" t="s">
        <v>982</v>
      </c>
      <c r="J628" s="1" t="s">
        <v>983</v>
      </c>
      <c r="K628" s="1" t="s">
        <v>62</v>
      </c>
      <c r="L628" s="2"/>
      <c r="M628" s="1">
        <v>10267</v>
      </c>
      <c r="N628" s="1" t="s">
        <v>63</v>
      </c>
      <c r="O628" s="11" t="s">
        <v>745</v>
      </c>
    </row>
    <row r="629" spans="1:15">
      <c r="A629" s="6">
        <v>10876</v>
      </c>
      <c r="B629" s="6">
        <v>9</v>
      </c>
      <c r="C629" s="6">
        <v>7</v>
      </c>
      <c r="D629" s="8">
        <v>39487</v>
      </c>
      <c r="E629" s="8">
        <v>39516</v>
      </c>
      <c r="F629" s="8">
        <v>39490</v>
      </c>
      <c r="G629" s="6">
        <v>3</v>
      </c>
      <c r="H629" s="1">
        <v>60.42</v>
      </c>
      <c r="I629" s="1" t="s">
        <v>874</v>
      </c>
      <c r="J629" s="1" t="s">
        <v>875</v>
      </c>
      <c r="K629" s="1" t="s">
        <v>90</v>
      </c>
      <c r="L629" s="2"/>
      <c r="M629" s="1">
        <v>10367</v>
      </c>
      <c r="N629" s="1" t="s">
        <v>77</v>
      </c>
      <c r="O629" s="11" t="s">
        <v>745</v>
      </c>
    </row>
    <row r="630" spans="1:15">
      <c r="A630" s="6">
        <v>10877</v>
      </c>
      <c r="B630" s="6">
        <v>67</v>
      </c>
      <c r="C630" s="6">
        <v>1</v>
      </c>
      <c r="D630" s="8">
        <v>39487</v>
      </c>
      <c r="E630" s="8">
        <v>39516</v>
      </c>
      <c r="F630" s="8">
        <v>39497</v>
      </c>
      <c r="G630" s="6">
        <v>1</v>
      </c>
      <c r="H630" s="1">
        <v>38.06</v>
      </c>
      <c r="I630" s="1" t="s">
        <v>1071</v>
      </c>
      <c r="J630" s="1" t="s">
        <v>1072</v>
      </c>
      <c r="K630" s="1" t="s">
        <v>242</v>
      </c>
      <c r="L630" s="1" t="s">
        <v>243</v>
      </c>
      <c r="M630" s="1">
        <v>10292</v>
      </c>
      <c r="N630" s="1" t="s">
        <v>129</v>
      </c>
      <c r="O630" s="11" t="s">
        <v>745</v>
      </c>
    </row>
    <row r="631" spans="1:15">
      <c r="A631" s="6">
        <v>10878</v>
      </c>
      <c r="B631" s="6">
        <v>63</v>
      </c>
      <c r="C631" s="6">
        <v>4</v>
      </c>
      <c r="D631" s="8">
        <v>39488</v>
      </c>
      <c r="E631" s="8">
        <v>39517</v>
      </c>
      <c r="F631" s="8">
        <v>39490</v>
      </c>
      <c r="G631" s="6">
        <v>1</v>
      </c>
      <c r="H631" s="1">
        <v>46.69</v>
      </c>
      <c r="I631" s="1" t="s">
        <v>808</v>
      </c>
      <c r="J631" s="1" t="s">
        <v>809</v>
      </c>
      <c r="K631" s="1" t="s">
        <v>413</v>
      </c>
      <c r="L631" s="2"/>
      <c r="M631" s="1">
        <v>10280</v>
      </c>
      <c r="N631" s="1" t="s">
        <v>36</v>
      </c>
      <c r="O631" s="11" t="s">
        <v>745</v>
      </c>
    </row>
    <row r="632" spans="1:15">
      <c r="A632" s="6">
        <v>10879</v>
      </c>
      <c r="B632" s="6">
        <v>90</v>
      </c>
      <c r="C632" s="6">
        <v>3</v>
      </c>
      <c r="D632" s="8">
        <v>39488</v>
      </c>
      <c r="E632" s="8">
        <v>39517</v>
      </c>
      <c r="F632" s="8">
        <v>39490</v>
      </c>
      <c r="G632" s="6">
        <v>3</v>
      </c>
      <c r="H632" s="1">
        <v>8.5</v>
      </c>
      <c r="I632" s="1" t="s">
        <v>1171</v>
      </c>
      <c r="J632" s="1" t="s">
        <v>568</v>
      </c>
      <c r="K632" s="1" t="s">
        <v>569</v>
      </c>
      <c r="L632" s="2"/>
      <c r="M632" s="1">
        <v>10361</v>
      </c>
      <c r="N632" s="1" t="s">
        <v>551</v>
      </c>
      <c r="O632" s="11" t="s">
        <v>745</v>
      </c>
    </row>
    <row r="633" spans="1:15">
      <c r="A633" s="6">
        <v>10880</v>
      </c>
      <c r="B633" s="6">
        <v>24</v>
      </c>
      <c r="C633" s="6">
        <v>7</v>
      </c>
      <c r="D633" s="8">
        <v>39488</v>
      </c>
      <c r="E633" s="8">
        <v>39531</v>
      </c>
      <c r="F633" s="8">
        <v>39496</v>
      </c>
      <c r="G633" s="6">
        <v>1</v>
      </c>
      <c r="H633" s="1">
        <v>88.01</v>
      </c>
      <c r="I633" s="1" t="s">
        <v>771</v>
      </c>
      <c r="J633" s="1" t="s">
        <v>772</v>
      </c>
      <c r="K633" s="1" t="s">
        <v>181</v>
      </c>
      <c r="L633" s="2"/>
      <c r="M633" s="1">
        <v>10167</v>
      </c>
      <c r="N633" s="1" t="s">
        <v>63</v>
      </c>
      <c r="O633" s="11" t="s">
        <v>745</v>
      </c>
    </row>
    <row r="634" spans="1:15">
      <c r="A634" s="6">
        <v>10881</v>
      </c>
      <c r="B634" s="6">
        <v>12</v>
      </c>
      <c r="C634" s="6">
        <v>4</v>
      </c>
      <c r="D634" s="8">
        <v>39489</v>
      </c>
      <c r="E634" s="8">
        <v>39518</v>
      </c>
      <c r="F634" s="8">
        <v>39496</v>
      </c>
      <c r="G634" s="6">
        <v>1</v>
      </c>
      <c r="H634" s="1">
        <v>2.84</v>
      </c>
      <c r="I634" s="1" t="s">
        <v>1172</v>
      </c>
      <c r="J634" s="1" t="s">
        <v>1173</v>
      </c>
      <c r="K634" s="1" t="s">
        <v>110</v>
      </c>
      <c r="L634" s="2"/>
      <c r="M634" s="1">
        <v>10135</v>
      </c>
      <c r="N634" s="1" t="s">
        <v>111</v>
      </c>
      <c r="O634" s="11" t="s">
        <v>745</v>
      </c>
    </row>
    <row r="635" spans="1:15">
      <c r="A635" s="6">
        <v>10882</v>
      </c>
      <c r="B635" s="6">
        <v>71</v>
      </c>
      <c r="C635" s="6">
        <v>4</v>
      </c>
      <c r="D635" s="8">
        <v>39489</v>
      </c>
      <c r="E635" s="8">
        <v>39518</v>
      </c>
      <c r="F635" s="8">
        <v>39498</v>
      </c>
      <c r="G635" s="6">
        <v>3</v>
      </c>
      <c r="H635" s="1">
        <v>23.1</v>
      </c>
      <c r="I635" s="1" t="s">
        <v>936</v>
      </c>
      <c r="J635" s="1" t="s">
        <v>937</v>
      </c>
      <c r="K635" s="1" t="s">
        <v>458</v>
      </c>
      <c r="L635" s="1" t="s">
        <v>459</v>
      </c>
      <c r="M635" s="1">
        <v>10306</v>
      </c>
      <c r="N635" s="1" t="s">
        <v>229</v>
      </c>
      <c r="O635" s="11" t="s">
        <v>745</v>
      </c>
    </row>
    <row r="636" spans="1:15">
      <c r="A636" s="6">
        <v>10883</v>
      </c>
      <c r="B636" s="6">
        <v>48</v>
      </c>
      <c r="C636" s="6">
        <v>8</v>
      </c>
      <c r="D636" s="8">
        <v>39490</v>
      </c>
      <c r="E636" s="8">
        <v>39519</v>
      </c>
      <c r="F636" s="8">
        <v>39498</v>
      </c>
      <c r="G636" s="6">
        <v>3</v>
      </c>
      <c r="H636" s="1">
        <v>0.53</v>
      </c>
      <c r="I636" s="1" t="s">
        <v>1061</v>
      </c>
      <c r="J636" s="1" t="s">
        <v>1062</v>
      </c>
      <c r="K636" s="1" t="s">
        <v>332</v>
      </c>
      <c r="L636" s="1" t="s">
        <v>228</v>
      </c>
      <c r="M636" s="1">
        <v>10234</v>
      </c>
      <c r="N636" s="1" t="s">
        <v>229</v>
      </c>
      <c r="O636" s="11" t="s">
        <v>745</v>
      </c>
    </row>
    <row r="637" spans="1:15">
      <c r="A637" s="6">
        <v>10884</v>
      </c>
      <c r="B637" s="6">
        <v>45</v>
      </c>
      <c r="C637" s="6">
        <v>4</v>
      </c>
      <c r="D637" s="8">
        <v>39490</v>
      </c>
      <c r="E637" s="8">
        <v>39519</v>
      </c>
      <c r="F637" s="8">
        <v>39491</v>
      </c>
      <c r="G637" s="6">
        <v>2</v>
      </c>
      <c r="H637" s="1">
        <v>90.97</v>
      </c>
      <c r="I637" s="1" t="s">
        <v>1081</v>
      </c>
      <c r="J637" s="1" t="s">
        <v>1082</v>
      </c>
      <c r="K637" s="1" t="s">
        <v>312</v>
      </c>
      <c r="L637" s="1" t="s">
        <v>313</v>
      </c>
      <c r="M637" s="1">
        <v>10226</v>
      </c>
      <c r="N637" s="1" t="s">
        <v>229</v>
      </c>
      <c r="O637" s="11" t="s">
        <v>745</v>
      </c>
    </row>
    <row r="638" spans="1:15">
      <c r="A638" s="6">
        <v>10885</v>
      </c>
      <c r="B638" s="6">
        <v>76</v>
      </c>
      <c r="C638" s="6">
        <v>6</v>
      </c>
      <c r="D638" s="8">
        <v>39490</v>
      </c>
      <c r="E638" s="8">
        <v>39519</v>
      </c>
      <c r="F638" s="8">
        <v>39496</v>
      </c>
      <c r="G638" s="6">
        <v>3</v>
      </c>
      <c r="H638" s="1">
        <v>5.64</v>
      </c>
      <c r="I638" s="1" t="s">
        <v>748</v>
      </c>
      <c r="J638" s="1" t="s">
        <v>749</v>
      </c>
      <c r="K638" s="1" t="s">
        <v>488</v>
      </c>
      <c r="L638" s="2"/>
      <c r="M638" s="1">
        <v>10318</v>
      </c>
      <c r="N638" s="1" t="s">
        <v>345</v>
      </c>
      <c r="O638" s="11" t="s">
        <v>745</v>
      </c>
    </row>
    <row r="639" spans="1:15">
      <c r="A639" s="6">
        <v>10886</v>
      </c>
      <c r="B639" s="6">
        <v>34</v>
      </c>
      <c r="C639" s="6">
        <v>1</v>
      </c>
      <c r="D639" s="8">
        <v>39491</v>
      </c>
      <c r="E639" s="8">
        <v>39520</v>
      </c>
      <c r="F639" s="8">
        <v>39509</v>
      </c>
      <c r="G639" s="6">
        <v>1</v>
      </c>
      <c r="H639" s="1">
        <v>4.99</v>
      </c>
      <c r="I639" s="1" t="s">
        <v>744</v>
      </c>
      <c r="J639" s="1" t="s">
        <v>241</v>
      </c>
      <c r="K639" s="1" t="s">
        <v>242</v>
      </c>
      <c r="L639" s="1" t="s">
        <v>243</v>
      </c>
      <c r="M639" s="1">
        <v>10195</v>
      </c>
      <c r="N639" s="1" t="s">
        <v>129</v>
      </c>
      <c r="O639" s="11" t="s">
        <v>745</v>
      </c>
    </row>
    <row r="640" spans="1:15">
      <c r="A640" s="6">
        <v>10887</v>
      </c>
      <c r="B640" s="6">
        <v>29</v>
      </c>
      <c r="C640" s="6">
        <v>8</v>
      </c>
      <c r="D640" s="8">
        <v>39491</v>
      </c>
      <c r="E640" s="8">
        <v>39520</v>
      </c>
      <c r="F640" s="8">
        <v>39494</v>
      </c>
      <c r="G640" s="6">
        <v>3</v>
      </c>
      <c r="H640" s="1">
        <v>1.25</v>
      </c>
      <c r="I640" s="1" t="s">
        <v>910</v>
      </c>
      <c r="J640" s="1" t="s">
        <v>911</v>
      </c>
      <c r="K640" s="1" t="s">
        <v>211</v>
      </c>
      <c r="L640" s="2"/>
      <c r="M640" s="1">
        <v>10178</v>
      </c>
      <c r="N640" s="1" t="s">
        <v>84</v>
      </c>
      <c r="O640" s="11" t="s">
        <v>745</v>
      </c>
    </row>
    <row r="641" spans="1:15">
      <c r="A641" s="6">
        <v>10888</v>
      </c>
      <c r="B641" s="6">
        <v>30</v>
      </c>
      <c r="C641" s="6">
        <v>1</v>
      </c>
      <c r="D641" s="8">
        <v>39494</v>
      </c>
      <c r="E641" s="8">
        <v>39523</v>
      </c>
      <c r="F641" s="8">
        <v>39501</v>
      </c>
      <c r="G641" s="6">
        <v>2</v>
      </c>
      <c r="H641" s="1">
        <v>51.87</v>
      </c>
      <c r="I641" s="1" t="s">
        <v>831</v>
      </c>
      <c r="J641" s="1" t="s">
        <v>832</v>
      </c>
      <c r="K641" s="1" t="s">
        <v>217</v>
      </c>
      <c r="L641" s="2"/>
      <c r="M641" s="1">
        <v>10183</v>
      </c>
      <c r="N641" s="1" t="s">
        <v>84</v>
      </c>
      <c r="O641" s="11" t="s">
        <v>745</v>
      </c>
    </row>
    <row r="642" spans="1:15">
      <c r="A642" s="6">
        <v>10889</v>
      </c>
      <c r="B642" s="6">
        <v>65</v>
      </c>
      <c r="C642" s="6">
        <v>9</v>
      </c>
      <c r="D642" s="8">
        <v>39494</v>
      </c>
      <c r="E642" s="8">
        <v>39523</v>
      </c>
      <c r="F642" s="8">
        <v>39501</v>
      </c>
      <c r="G642" s="6">
        <v>3</v>
      </c>
      <c r="H642" s="1">
        <v>280.61</v>
      </c>
      <c r="I642" s="1" t="s">
        <v>1018</v>
      </c>
      <c r="J642" s="1" t="s">
        <v>1019</v>
      </c>
      <c r="K642" s="1" t="s">
        <v>424</v>
      </c>
      <c r="L642" s="1" t="s">
        <v>425</v>
      </c>
      <c r="M642" s="1">
        <v>10287</v>
      </c>
      <c r="N642" s="1" t="s">
        <v>229</v>
      </c>
      <c r="O642" s="11" t="s">
        <v>745</v>
      </c>
    </row>
    <row r="643" spans="1:15">
      <c r="A643" s="6">
        <v>10890</v>
      </c>
      <c r="B643" s="6">
        <v>18</v>
      </c>
      <c r="C643" s="6">
        <v>7</v>
      </c>
      <c r="D643" s="8">
        <v>39494</v>
      </c>
      <c r="E643" s="8">
        <v>39523</v>
      </c>
      <c r="F643" s="8">
        <v>39496</v>
      </c>
      <c r="G643" s="6">
        <v>1</v>
      </c>
      <c r="H643" s="1">
        <v>32.76</v>
      </c>
      <c r="I643" s="1" t="s">
        <v>1174</v>
      </c>
      <c r="J643" s="1" t="s">
        <v>1175</v>
      </c>
      <c r="K643" s="1" t="s">
        <v>145</v>
      </c>
      <c r="L643" s="2"/>
      <c r="M643" s="1">
        <v>10149</v>
      </c>
      <c r="N643" s="1" t="s">
        <v>77</v>
      </c>
      <c r="O643" s="11" t="s">
        <v>745</v>
      </c>
    </row>
    <row r="644" spans="1:15">
      <c r="A644" s="6">
        <v>10891</v>
      </c>
      <c r="B644" s="6">
        <v>44</v>
      </c>
      <c r="C644" s="6">
        <v>7</v>
      </c>
      <c r="D644" s="8">
        <v>39495</v>
      </c>
      <c r="E644" s="8">
        <v>39524</v>
      </c>
      <c r="F644" s="8">
        <v>39497</v>
      </c>
      <c r="G644" s="6">
        <v>2</v>
      </c>
      <c r="H644" s="1">
        <v>20.37</v>
      </c>
      <c r="I644" s="1" t="s">
        <v>798</v>
      </c>
      <c r="J644" s="1" t="s">
        <v>799</v>
      </c>
      <c r="K644" s="1" t="s">
        <v>306</v>
      </c>
      <c r="L644" s="2"/>
      <c r="M644" s="1">
        <v>10222</v>
      </c>
      <c r="N644" s="1" t="s">
        <v>36</v>
      </c>
      <c r="O644" s="11" t="s">
        <v>745</v>
      </c>
    </row>
    <row r="645" spans="1:15">
      <c r="A645" s="6">
        <v>10892</v>
      </c>
      <c r="B645" s="6">
        <v>50</v>
      </c>
      <c r="C645" s="6">
        <v>4</v>
      </c>
      <c r="D645" s="8">
        <v>39495</v>
      </c>
      <c r="E645" s="8">
        <v>39524</v>
      </c>
      <c r="F645" s="8">
        <v>39497</v>
      </c>
      <c r="G645" s="6">
        <v>2</v>
      </c>
      <c r="H645" s="1">
        <v>120.27</v>
      </c>
      <c r="I645" s="1" t="s">
        <v>1176</v>
      </c>
      <c r="J645" s="1" t="s">
        <v>1177</v>
      </c>
      <c r="K645" s="1" t="s">
        <v>344</v>
      </c>
      <c r="L645" s="2"/>
      <c r="M645" s="1">
        <v>10241</v>
      </c>
      <c r="N645" s="1" t="s">
        <v>345</v>
      </c>
      <c r="O645" s="11" t="s">
        <v>745</v>
      </c>
    </row>
    <row r="646" spans="1:15">
      <c r="A646" s="6">
        <v>10893</v>
      </c>
      <c r="B646" s="6">
        <v>39</v>
      </c>
      <c r="C646" s="6">
        <v>9</v>
      </c>
      <c r="D646" s="8">
        <v>39496</v>
      </c>
      <c r="E646" s="8">
        <v>39525</v>
      </c>
      <c r="F646" s="8">
        <v>39498</v>
      </c>
      <c r="G646" s="6">
        <v>2</v>
      </c>
      <c r="H646" s="1">
        <v>77.78</v>
      </c>
      <c r="I646" s="1" t="s">
        <v>852</v>
      </c>
      <c r="J646" s="1" t="s">
        <v>853</v>
      </c>
      <c r="K646" s="1" t="s">
        <v>276</v>
      </c>
      <c r="L646" s="2"/>
      <c r="M646" s="1">
        <v>10209</v>
      </c>
      <c r="N646" s="1" t="s">
        <v>36</v>
      </c>
      <c r="O646" s="11" t="s">
        <v>745</v>
      </c>
    </row>
    <row r="647" spans="1:15">
      <c r="A647" s="6">
        <v>10894</v>
      </c>
      <c r="B647" s="6">
        <v>71</v>
      </c>
      <c r="C647" s="6">
        <v>1</v>
      </c>
      <c r="D647" s="8">
        <v>39496</v>
      </c>
      <c r="E647" s="8">
        <v>39525</v>
      </c>
      <c r="F647" s="8">
        <v>39498</v>
      </c>
      <c r="G647" s="6">
        <v>1</v>
      </c>
      <c r="H647" s="1">
        <v>116.13</v>
      </c>
      <c r="I647" s="1" t="s">
        <v>1044</v>
      </c>
      <c r="J647" s="1" t="s">
        <v>1045</v>
      </c>
      <c r="K647" s="1" t="s">
        <v>458</v>
      </c>
      <c r="L647" s="1" t="s">
        <v>459</v>
      </c>
      <c r="M647" s="1">
        <v>10305</v>
      </c>
      <c r="N647" s="1" t="s">
        <v>229</v>
      </c>
      <c r="O647" s="11" t="s">
        <v>745</v>
      </c>
    </row>
    <row r="648" spans="1:15">
      <c r="A648" s="6">
        <v>10895</v>
      </c>
      <c r="B648" s="6">
        <v>20</v>
      </c>
      <c r="C648" s="6">
        <v>3</v>
      </c>
      <c r="D648" s="8">
        <v>39496</v>
      </c>
      <c r="E648" s="8">
        <v>39525</v>
      </c>
      <c r="F648" s="8">
        <v>39501</v>
      </c>
      <c r="G648" s="6">
        <v>1</v>
      </c>
      <c r="H648" s="1">
        <v>162.75</v>
      </c>
      <c r="I648" s="1" t="s">
        <v>974</v>
      </c>
      <c r="J648" s="1" t="s">
        <v>975</v>
      </c>
      <c r="K648" s="1" t="s">
        <v>157</v>
      </c>
      <c r="L648" s="2"/>
      <c r="M648" s="1">
        <v>10159</v>
      </c>
      <c r="N648" s="1" t="s">
        <v>158</v>
      </c>
      <c r="O648" s="11" t="s">
        <v>745</v>
      </c>
    </row>
    <row r="649" spans="1:15">
      <c r="A649" s="6">
        <v>10896</v>
      </c>
      <c r="B649" s="6">
        <v>50</v>
      </c>
      <c r="C649" s="6">
        <v>7</v>
      </c>
      <c r="D649" s="8">
        <v>39497</v>
      </c>
      <c r="E649" s="8">
        <v>39526</v>
      </c>
      <c r="F649" s="8">
        <v>39505</v>
      </c>
      <c r="G649" s="6">
        <v>3</v>
      </c>
      <c r="H649" s="1">
        <v>32.450000000000003</v>
      </c>
      <c r="I649" s="1" t="s">
        <v>1176</v>
      </c>
      <c r="J649" s="1" t="s">
        <v>1177</v>
      </c>
      <c r="K649" s="1" t="s">
        <v>344</v>
      </c>
      <c r="L649" s="2"/>
      <c r="M649" s="1">
        <v>10241</v>
      </c>
      <c r="N649" s="1" t="s">
        <v>345</v>
      </c>
      <c r="O649" s="11" t="s">
        <v>745</v>
      </c>
    </row>
    <row r="650" spans="1:15">
      <c r="A650" s="6">
        <v>10897</v>
      </c>
      <c r="B650" s="6">
        <v>37</v>
      </c>
      <c r="C650" s="6">
        <v>3</v>
      </c>
      <c r="D650" s="8">
        <v>39497</v>
      </c>
      <c r="E650" s="8">
        <v>39526</v>
      </c>
      <c r="F650" s="8">
        <v>39503</v>
      </c>
      <c r="G650" s="6">
        <v>2</v>
      </c>
      <c r="H650" s="1">
        <v>603.54</v>
      </c>
      <c r="I650" s="1" t="s">
        <v>972</v>
      </c>
      <c r="J650" s="1" t="s">
        <v>973</v>
      </c>
      <c r="K650" s="1" t="s">
        <v>262</v>
      </c>
      <c r="L650" s="1" t="s">
        <v>263</v>
      </c>
      <c r="M650" s="1">
        <v>10204</v>
      </c>
      <c r="N650" s="1" t="s">
        <v>264</v>
      </c>
      <c r="O650" s="11" t="s">
        <v>745</v>
      </c>
    </row>
    <row r="651" spans="1:15">
      <c r="A651" s="6">
        <v>10898</v>
      </c>
      <c r="B651" s="6">
        <v>54</v>
      </c>
      <c r="C651" s="6">
        <v>4</v>
      </c>
      <c r="D651" s="8">
        <v>39498</v>
      </c>
      <c r="E651" s="8">
        <v>39527</v>
      </c>
      <c r="F651" s="8">
        <v>39513</v>
      </c>
      <c r="G651" s="6">
        <v>2</v>
      </c>
      <c r="H651" s="1">
        <v>1.27</v>
      </c>
      <c r="I651" s="1" t="s">
        <v>1178</v>
      </c>
      <c r="J651" s="1" t="s">
        <v>1179</v>
      </c>
      <c r="K651" s="1" t="s">
        <v>110</v>
      </c>
      <c r="L651" s="2"/>
      <c r="M651" s="1">
        <v>10253</v>
      </c>
      <c r="N651" s="1" t="s">
        <v>111</v>
      </c>
      <c r="O651" s="11" t="s">
        <v>745</v>
      </c>
    </row>
    <row r="652" spans="1:15">
      <c r="A652" s="6">
        <v>10899</v>
      </c>
      <c r="B652" s="6">
        <v>46</v>
      </c>
      <c r="C652" s="6">
        <v>5</v>
      </c>
      <c r="D652" s="8">
        <v>39498</v>
      </c>
      <c r="E652" s="8">
        <v>39527</v>
      </c>
      <c r="F652" s="8">
        <v>39504</v>
      </c>
      <c r="G652" s="6">
        <v>3</v>
      </c>
      <c r="H652" s="1">
        <v>1.21</v>
      </c>
      <c r="I652" s="1" t="s">
        <v>824</v>
      </c>
      <c r="J652" s="1" t="s">
        <v>825</v>
      </c>
      <c r="K652" s="1" t="s">
        <v>318</v>
      </c>
      <c r="L652" s="1" t="s">
        <v>319</v>
      </c>
      <c r="M652" s="1">
        <v>10229</v>
      </c>
      <c r="N652" s="1" t="s">
        <v>236</v>
      </c>
      <c r="O652" s="11" t="s">
        <v>745</v>
      </c>
    </row>
    <row r="653" spans="1:15">
      <c r="A653" s="6">
        <v>10900</v>
      </c>
      <c r="B653" s="6">
        <v>88</v>
      </c>
      <c r="C653" s="6">
        <v>1</v>
      </c>
      <c r="D653" s="8">
        <v>39498</v>
      </c>
      <c r="E653" s="8">
        <v>39527</v>
      </c>
      <c r="F653" s="8">
        <v>39511</v>
      </c>
      <c r="G653" s="6">
        <v>2</v>
      </c>
      <c r="H653" s="1">
        <v>1.66</v>
      </c>
      <c r="I653" s="1" t="s">
        <v>1083</v>
      </c>
      <c r="J653" s="1" t="s">
        <v>556</v>
      </c>
      <c r="K653" s="1" t="s">
        <v>557</v>
      </c>
      <c r="L653" s="1" t="s">
        <v>128</v>
      </c>
      <c r="M653" s="1">
        <v>10353</v>
      </c>
      <c r="N653" s="1" t="s">
        <v>129</v>
      </c>
      <c r="O653" s="11" t="s">
        <v>745</v>
      </c>
    </row>
    <row r="654" spans="1:15">
      <c r="A654" s="6">
        <v>10901</v>
      </c>
      <c r="B654" s="6">
        <v>35</v>
      </c>
      <c r="C654" s="6">
        <v>4</v>
      </c>
      <c r="D654" s="8">
        <v>39501</v>
      </c>
      <c r="E654" s="8">
        <v>39530</v>
      </c>
      <c r="F654" s="8">
        <v>39504</v>
      </c>
      <c r="G654" s="6">
        <v>1</v>
      </c>
      <c r="H654" s="1">
        <v>62.09</v>
      </c>
      <c r="I654" s="1" t="s">
        <v>1024</v>
      </c>
      <c r="J654" s="1" t="s">
        <v>1025</v>
      </c>
      <c r="K654" s="1" t="s">
        <v>249</v>
      </c>
      <c r="L654" s="1" t="s">
        <v>250</v>
      </c>
      <c r="M654" s="1">
        <v>10197</v>
      </c>
      <c r="N654" s="1" t="s">
        <v>236</v>
      </c>
      <c r="O654" s="11" t="s">
        <v>745</v>
      </c>
    </row>
    <row r="655" spans="1:15">
      <c r="A655" s="6">
        <v>10902</v>
      </c>
      <c r="B655" s="6">
        <v>24</v>
      </c>
      <c r="C655" s="6">
        <v>1</v>
      </c>
      <c r="D655" s="8">
        <v>39501</v>
      </c>
      <c r="E655" s="8">
        <v>39530</v>
      </c>
      <c r="F655" s="8">
        <v>39510</v>
      </c>
      <c r="G655" s="6">
        <v>1</v>
      </c>
      <c r="H655" s="1">
        <v>44.15</v>
      </c>
      <c r="I655" s="1" t="s">
        <v>856</v>
      </c>
      <c r="J655" s="1" t="s">
        <v>857</v>
      </c>
      <c r="K655" s="1" t="s">
        <v>181</v>
      </c>
      <c r="L655" s="2"/>
      <c r="M655" s="1">
        <v>10165</v>
      </c>
      <c r="N655" s="1" t="s">
        <v>63</v>
      </c>
      <c r="O655" s="11" t="s">
        <v>745</v>
      </c>
    </row>
    <row r="656" spans="1:15">
      <c r="A656" s="6">
        <v>10903</v>
      </c>
      <c r="B656" s="6">
        <v>34</v>
      </c>
      <c r="C656" s="6">
        <v>3</v>
      </c>
      <c r="D656" s="8">
        <v>39502</v>
      </c>
      <c r="E656" s="8">
        <v>39531</v>
      </c>
      <c r="F656" s="8">
        <v>39511</v>
      </c>
      <c r="G656" s="6">
        <v>3</v>
      </c>
      <c r="H656" s="1">
        <v>36.71</v>
      </c>
      <c r="I656" s="1" t="s">
        <v>1101</v>
      </c>
      <c r="J656" s="1" t="s">
        <v>1102</v>
      </c>
      <c r="K656" s="1" t="s">
        <v>242</v>
      </c>
      <c r="L656" s="1" t="s">
        <v>243</v>
      </c>
      <c r="M656" s="1">
        <v>10194</v>
      </c>
      <c r="N656" s="1" t="s">
        <v>129</v>
      </c>
      <c r="O656" s="11" t="s">
        <v>745</v>
      </c>
    </row>
    <row r="657" spans="1:15">
      <c r="A657" s="6">
        <v>10904</v>
      </c>
      <c r="B657" s="6">
        <v>89</v>
      </c>
      <c r="C657" s="6">
        <v>3</v>
      </c>
      <c r="D657" s="8">
        <v>39502</v>
      </c>
      <c r="E657" s="8">
        <v>39531</v>
      </c>
      <c r="F657" s="8">
        <v>39505</v>
      </c>
      <c r="G657" s="6">
        <v>3</v>
      </c>
      <c r="H657" s="1">
        <v>162.94999999999999</v>
      </c>
      <c r="I657" s="1" t="s">
        <v>878</v>
      </c>
      <c r="J657" s="1" t="s">
        <v>879</v>
      </c>
      <c r="K657" s="1" t="s">
        <v>562</v>
      </c>
      <c r="L657" s="1" t="s">
        <v>300</v>
      </c>
      <c r="M657" s="1">
        <v>10356</v>
      </c>
      <c r="N657" s="1" t="s">
        <v>229</v>
      </c>
      <c r="O657" s="11" t="s">
        <v>745</v>
      </c>
    </row>
    <row r="658" spans="1:15">
      <c r="A658" s="6">
        <v>10905</v>
      </c>
      <c r="B658" s="6">
        <v>88</v>
      </c>
      <c r="C658" s="6">
        <v>9</v>
      </c>
      <c r="D658" s="8">
        <v>39502</v>
      </c>
      <c r="E658" s="8">
        <v>39531</v>
      </c>
      <c r="F658" s="8">
        <v>39513</v>
      </c>
      <c r="G658" s="6">
        <v>2</v>
      </c>
      <c r="H658" s="1">
        <v>13.72</v>
      </c>
      <c r="I658" s="1" t="s">
        <v>1083</v>
      </c>
      <c r="J658" s="1" t="s">
        <v>556</v>
      </c>
      <c r="K658" s="1" t="s">
        <v>557</v>
      </c>
      <c r="L658" s="1" t="s">
        <v>128</v>
      </c>
      <c r="M658" s="1">
        <v>10353</v>
      </c>
      <c r="N658" s="1" t="s">
        <v>129</v>
      </c>
      <c r="O658" s="11" t="s">
        <v>745</v>
      </c>
    </row>
    <row r="659" spans="1:15">
      <c r="A659" s="6">
        <v>10906</v>
      </c>
      <c r="B659" s="6">
        <v>91</v>
      </c>
      <c r="C659" s="6">
        <v>4</v>
      </c>
      <c r="D659" s="8">
        <v>39503</v>
      </c>
      <c r="E659" s="8">
        <v>39518</v>
      </c>
      <c r="F659" s="8">
        <v>39510</v>
      </c>
      <c r="G659" s="6">
        <v>3</v>
      </c>
      <c r="H659" s="1">
        <v>26.29</v>
      </c>
      <c r="I659" s="1" t="s">
        <v>1086</v>
      </c>
      <c r="J659" s="1" t="s">
        <v>574</v>
      </c>
      <c r="K659" s="1" t="s">
        <v>575</v>
      </c>
      <c r="L659" s="2"/>
      <c r="M659" s="1">
        <v>10365</v>
      </c>
      <c r="N659" s="1" t="s">
        <v>576</v>
      </c>
      <c r="O659" s="11" t="s">
        <v>745</v>
      </c>
    </row>
    <row r="660" spans="1:15">
      <c r="A660" s="6">
        <v>10907</v>
      </c>
      <c r="B660" s="6">
        <v>74</v>
      </c>
      <c r="C660" s="6">
        <v>6</v>
      </c>
      <c r="D660" s="8">
        <v>39503</v>
      </c>
      <c r="E660" s="8">
        <v>39532</v>
      </c>
      <c r="F660" s="8">
        <v>39505</v>
      </c>
      <c r="G660" s="6">
        <v>3</v>
      </c>
      <c r="H660" s="1">
        <v>9.19</v>
      </c>
      <c r="I660" s="1" t="s">
        <v>1180</v>
      </c>
      <c r="J660" s="1" t="s">
        <v>1181</v>
      </c>
      <c r="K660" s="1" t="s">
        <v>384</v>
      </c>
      <c r="L660" s="2"/>
      <c r="M660" s="1">
        <v>10313</v>
      </c>
      <c r="N660" s="1" t="s">
        <v>77</v>
      </c>
      <c r="O660" s="11" t="s">
        <v>745</v>
      </c>
    </row>
    <row r="661" spans="1:15">
      <c r="A661" s="6">
        <v>10908</v>
      </c>
      <c r="B661" s="6">
        <v>66</v>
      </c>
      <c r="C661" s="6">
        <v>4</v>
      </c>
      <c r="D661" s="8">
        <v>39504</v>
      </c>
      <c r="E661" s="8">
        <v>39533</v>
      </c>
      <c r="F661" s="8">
        <v>39513</v>
      </c>
      <c r="G661" s="6">
        <v>2</v>
      </c>
      <c r="H661" s="1">
        <v>32.96</v>
      </c>
      <c r="I661" s="1" t="s">
        <v>1069</v>
      </c>
      <c r="J661" s="1" t="s">
        <v>1070</v>
      </c>
      <c r="K661" s="1" t="s">
        <v>431</v>
      </c>
      <c r="L661" s="2"/>
      <c r="M661" s="1">
        <v>10289</v>
      </c>
      <c r="N661" s="1" t="s">
        <v>198</v>
      </c>
      <c r="O661" s="11" t="s">
        <v>745</v>
      </c>
    </row>
    <row r="662" spans="1:15">
      <c r="A662" s="6">
        <v>10909</v>
      </c>
      <c r="B662" s="6">
        <v>70</v>
      </c>
      <c r="C662" s="6">
        <v>1</v>
      </c>
      <c r="D662" s="8">
        <v>39504</v>
      </c>
      <c r="E662" s="8">
        <v>39533</v>
      </c>
      <c r="F662" s="8">
        <v>39517</v>
      </c>
      <c r="G662" s="6">
        <v>2</v>
      </c>
      <c r="H662" s="1">
        <v>53.05</v>
      </c>
      <c r="I662" s="1" t="s">
        <v>1182</v>
      </c>
      <c r="J662" s="1" t="s">
        <v>1183</v>
      </c>
      <c r="K662" s="1" t="s">
        <v>451</v>
      </c>
      <c r="L662" s="2"/>
      <c r="M662" s="1">
        <v>10304</v>
      </c>
      <c r="N662" s="1" t="s">
        <v>452</v>
      </c>
      <c r="O662" s="11" t="s">
        <v>745</v>
      </c>
    </row>
    <row r="663" spans="1:15">
      <c r="A663" s="6">
        <v>10910</v>
      </c>
      <c r="B663" s="6">
        <v>90</v>
      </c>
      <c r="C663" s="6">
        <v>1</v>
      </c>
      <c r="D663" s="8">
        <v>39504</v>
      </c>
      <c r="E663" s="8">
        <v>39533</v>
      </c>
      <c r="F663" s="8">
        <v>39511</v>
      </c>
      <c r="G663" s="6">
        <v>3</v>
      </c>
      <c r="H663" s="1">
        <v>38.11</v>
      </c>
      <c r="I663" s="1" t="s">
        <v>1171</v>
      </c>
      <c r="J663" s="1" t="s">
        <v>568</v>
      </c>
      <c r="K663" s="1" t="s">
        <v>569</v>
      </c>
      <c r="L663" s="2"/>
      <c r="M663" s="1">
        <v>10361</v>
      </c>
      <c r="N663" s="1" t="s">
        <v>551</v>
      </c>
      <c r="O663" s="11" t="s">
        <v>745</v>
      </c>
    </row>
    <row r="664" spans="1:15">
      <c r="A664" s="6">
        <v>10911</v>
      </c>
      <c r="B664" s="6">
        <v>30</v>
      </c>
      <c r="C664" s="6">
        <v>3</v>
      </c>
      <c r="D664" s="8">
        <v>39504</v>
      </c>
      <c r="E664" s="8">
        <v>39533</v>
      </c>
      <c r="F664" s="8">
        <v>39512</v>
      </c>
      <c r="G664" s="6">
        <v>1</v>
      </c>
      <c r="H664" s="1">
        <v>38.19</v>
      </c>
      <c r="I664" s="1" t="s">
        <v>831</v>
      </c>
      <c r="J664" s="1" t="s">
        <v>832</v>
      </c>
      <c r="K664" s="1" t="s">
        <v>217</v>
      </c>
      <c r="L664" s="2"/>
      <c r="M664" s="1">
        <v>10183</v>
      </c>
      <c r="N664" s="1" t="s">
        <v>84</v>
      </c>
      <c r="O664" s="11" t="s">
        <v>745</v>
      </c>
    </row>
    <row r="665" spans="1:15">
      <c r="A665" s="6">
        <v>10912</v>
      </c>
      <c r="B665" s="6">
        <v>37</v>
      </c>
      <c r="C665" s="6">
        <v>2</v>
      </c>
      <c r="D665" s="8">
        <v>39504</v>
      </c>
      <c r="E665" s="8">
        <v>39533</v>
      </c>
      <c r="F665" s="8">
        <v>39525</v>
      </c>
      <c r="G665" s="6">
        <v>2</v>
      </c>
      <c r="H665" s="1">
        <v>580.91</v>
      </c>
      <c r="I665" s="1" t="s">
        <v>972</v>
      </c>
      <c r="J665" s="1" t="s">
        <v>973</v>
      </c>
      <c r="K665" s="1" t="s">
        <v>262</v>
      </c>
      <c r="L665" s="1" t="s">
        <v>263</v>
      </c>
      <c r="M665" s="1">
        <v>10204</v>
      </c>
      <c r="N665" s="1" t="s">
        <v>264</v>
      </c>
      <c r="O665" s="11" t="s">
        <v>745</v>
      </c>
    </row>
    <row r="666" spans="1:15">
      <c r="A666" s="6">
        <v>10913</v>
      </c>
      <c r="B666" s="6">
        <v>62</v>
      </c>
      <c r="C666" s="6">
        <v>4</v>
      </c>
      <c r="D666" s="8">
        <v>39504</v>
      </c>
      <c r="E666" s="8">
        <v>39533</v>
      </c>
      <c r="F666" s="8">
        <v>39511</v>
      </c>
      <c r="G666" s="6">
        <v>1</v>
      </c>
      <c r="H666" s="1">
        <v>33.049999999999997</v>
      </c>
      <c r="I666" s="1" t="s">
        <v>914</v>
      </c>
      <c r="J666" s="1" t="s">
        <v>915</v>
      </c>
      <c r="K666" s="1" t="s">
        <v>127</v>
      </c>
      <c r="L666" s="1" t="s">
        <v>128</v>
      </c>
      <c r="M666" s="1">
        <v>10276</v>
      </c>
      <c r="N666" s="1" t="s">
        <v>129</v>
      </c>
      <c r="O666" s="11" t="s">
        <v>745</v>
      </c>
    </row>
    <row r="667" spans="1:15">
      <c r="A667" s="6">
        <v>10914</v>
      </c>
      <c r="B667" s="6">
        <v>62</v>
      </c>
      <c r="C667" s="6">
        <v>6</v>
      </c>
      <c r="D667" s="8">
        <v>39505</v>
      </c>
      <c r="E667" s="8">
        <v>39534</v>
      </c>
      <c r="F667" s="8">
        <v>39509</v>
      </c>
      <c r="G667" s="6">
        <v>1</v>
      </c>
      <c r="H667" s="1">
        <v>21.19</v>
      </c>
      <c r="I667" s="1" t="s">
        <v>1026</v>
      </c>
      <c r="J667" s="1" t="s">
        <v>1027</v>
      </c>
      <c r="K667" s="1" t="s">
        <v>127</v>
      </c>
      <c r="L667" s="1" t="s">
        <v>128</v>
      </c>
      <c r="M667" s="1">
        <v>10277</v>
      </c>
      <c r="N667" s="1" t="s">
        <v>129</v>
      </c>
      <c r="O667" s="11" t="s">
        <v>745</v>
      </c>
    </row>
    <row r="668" spans="1:15">
      <c r="A668" s="6">
        <v>10915</v>
      </c>
      <c r="B668" s="6">
        <v>80</v>
      </c>
      <c r="C668" s="6">
        <v>2</v>
      </c>
      <c r="D668" s="8">
        <v>39505</v>
      </c>
      <c r="E668" s="8">
        <v>39534</v>
      </c>
      <c r="F668" s="8">
        <v>39509</v>
      </c>
      <c r="G668" s="6">
        <v>2</v>
      </c>
      <c r="H668" s="1">
        <v>3.51</v>
      </c>
      <c r="I668" s="1" t="s">
        <v>792</v>
      </c>
      <c r="J668" s="1" t="s">
        <v>793</v>
      </c>
      <c r="K668" s="1" t="s">
        <v>43</v>
      </c>
      <c r="L668" s="2"/>
      <c r="M668" s="1">
        <v>10334</v>
      </c>
      <c r="N668" s="1" t="s">
        <v>44</v>
      </c>
      <c r="O668" s="11" t="s">
        <v>745</v>
      </c>
    </row>
    <row r="669" spans="1:15">
      <c r="A669" s="6">
        <v>10916</v>
      </c>
      <c r="B669" s="6">
        <v>64</v>
      </c>
      <c r="C669" s="6">
        <v>1</v>
      </c>
      <c r="D669" s="8">
        <v>39505</v>
      </c>
      <c r="E669" s="8">
        <v>39534</v>
      </c>
      <c r="F669" s="8">
        <v>39516</v>
      </c>
      <c r="G669" s="6">
        <v>2</v>
      </c>
      <c r="H669" s="1">
        <v>63.77</v>
      </c>
      <c r="I669" s="1" t="s">
        <v>1184</v>
      </c>
      <c r="J669" s="1" t="s">
        <v>1185</v>
      </c>
      <c r="K669" s="1" t="s">
        <v>110</v>
      </c>
      <c r="L669" s="2"/>
      <c r="M669" s="1">
        <v>10284</v>
      </c>
      <c r="N669" s="1" t="s">
        <v>111</v>
      </c>
      <c r="O669" s="11" t="s">
        <v>745</v>
      </c>
    </row>
    <row r="670" spans="1:15">
      <c r="A670" s="6">
        <v>10917</v>
      </c>
      <c r="B670" s="6">
        <v>69</v>
      </c>
      <c r="C670" s="6">
        <v>4</v>
      </c>
      <c r="D670" s="8">
        <v>39509</v>
      </c>
      <c r="E670" s="8">
        <v>39537</v>
      </c>
      <c r="F670" s="8">
        <v>39518</v>
      </c>
      <c r="G670" s="6">
        <v>2</v>
      </c>
      <c r="H670" s="1">
        <v>8.2899999999999991</v>
      </c>
      <c r="I670" s="1" t="s">
        <v>1186</v>
      </c>
      <c r="J670" s="1" t="s">
        <v>1187</v>
      </c>
      <c r="K670" s="1" t="s">
        <v>83</v>
      </c>
      <c r="L670" s="2"/>
      <c r="M670" s="1">
        <v>10299</v>
      </c>
      <c r="N670" s="1" t="s">
        <v>84</v>
      </c>
      <c r="O670" s="11" t="s">
        <v>745</v>
      </c>
    </row>
    <row r="671" spans="1:15">
      <c r="A671" s="6">
        <v>10918</v>
      </c>
      <c r="B671" s="6">
        <v>10</v>
      </c>
      <c r="C671" s="6">
        <v>3</v>
      </c>
      <c r="D671" s="8">
        <v>39509</v>
      </c>
      <c r="E671" s="8">
        <v>39537</v>
      </c>
      <c r="F671" s="8">
        <v>39518</v>
      </c>
      <c r="G671" s="6">
        <v>3</v>
      </c>
      <c r="H671" s="1">
        <v>48.83</v>
      </c>
      <c r="I671" s="1" t="s">
        <v>930</v>
      </c>
      <c r="J671" s="1" t="s">
        <v>931</v>
      </c>
      <c r="K671" s="1" t="s">
        <v>97</v>
      </c>
      <c r="L671" s="1" t="s">
        <v>98</v>
      </c>
      <c r="M671" s="1">
        <v>10130</v>
      </c>
      <c r="N671" s="1" t="s">
        <v>99</v>
      </c>
      <c r="O671" s="11" t="s">
        <v>745</v>
      </c>
    </row>
    <row r="672" spans="1:15">
      <c r="A672" s="6">
        <v>10919</v>
      </c>
      <c r="B672" s="6">
        <v>47</v>
      </c>
      <c r="C672" s="6">
        <v>2</v>
      </c>
      <c r="D672" s="8">
        <v>39509</v>
      </c>
      <c r="E672" s="8">
        <v>39537</v>
      </c>
      <c r="F672" s="8">
        <v>39511</v>
      </c>
      <c r="G672" s="6">
        <v>2</v>
      </c>
      <c r="H672" s="1">
        <v>19.8</v>
      </c>
      <c r="I672" s="1" t="s">
        <v>947</v>
      </c>
      <c r="J672" s="1" t="s">
        <v>948</v>
      </c>
      <c r="K672" s="1" t="s">
        <v>325</v>
      </c>
      <c r="L672" s="1" t="s">
        <v>326</v>
      </c>
      <c r="M672" s="1">
        <v>10231</v>
      </c>
      <c r="N672" s="1" t="s">
        <v>236</v>
      </c>
      <c r="O672" s="11" t="s">
        <v>745</v>
      </c>
    </row>
    <row r="673" spans="1:15">
      <c r="A673" s="6">
        <v>10920</v>
      </c>
      <c r="B673" s="6">
        <v>4</v>
      </c>
      <c r="C673" s="6">
        <v>4</v>
      </c>
      <c r="D673" s="8">
        <v>39510</v>
      </c>
      <c r="E673" s="8">
        <v>39538</v>
      </c>
      <c r="F673" s="8">
        <v>39516</v>
      </c>
      <c r="G673" s="6">
        <v>2</v>
      </c>
      <c r="H673" s="1">
        <v>29.61</v>
      </c>
      <c r="I673" s="1" t="s">
        <v>890</v>
      </c>
      <c r="J673" s="1" t="s">
        <v>891</v>
      </c>
      <c r="K673" s="1" t="s">
        <v>892</v>
      </c>
      <c r="L673" s="1" t="s">
        <v>893</v>
      </c>
      <c r="M673" s="1">
        <v>10238</v>
      </c>
      <c r="N673" s="1" t="s">
        <v>55</v>
      </c>
      <c r="O673" s="11" t="s">
        <v>745</v>
      </c>
    </row>
    <row r="674" spans="1:15">
      <c r="A674" s="6">
        <v>10921</v>
      </c>
      <c r="B674" s="6">
        <v>83</v>
      </c>
      <c r="C674" s="6">
        <v>1</v>
      </c>
      <c r="D674" s="8">
        <v>39510</v>
      </c>
      <c r="E674" s="8">
        <v>39552</v>
      </c>
      <c r="F674" s="8">
        <v>39516</v>
      </c>
      <c r="G674" s="6">
        <v>1</v>
      </c>
      <c r="H674" s="1">
        <v>176.48</v>
      </c>
      <c r="I674" s="1" t="s">
        <v>1002</v>
      </c>
      <c r="J674" s="1" t="s">
        <v>1003</v>
      </c>
      <c r="K674" s="1" t="s">
        <v>526</v>
      </c>
      <c r="L674" s="2"/>
      <c r="M674" s="1">
        <v>10339</v>
      </c>
      <c r="N674" s="1" t="s">
        <v>470</v>
      </c>
      <c r="O674" s="11" t="s">
        <v>745</v>
      </c>
    </row>
    <row r="675" spans="1:15">
      <c r="A675" s="6">
        <v>10922</v>
      </c>
      <c r="B675" s="6">
        <v>34</v>
      </c>
      <c r="C675" s="6">
        <v>5</v>
      </c>
      <c r="D675" s="8">
        <v>39510</v>
      </c>
      <c r="E675" s="8">
        <v>39538</v>
      </c>
      <c r="F675" s="8">
        <v>39512</v>
      </c>
      <c r="G675" s="6">
        <v>3</v>
      </c>
      <c r="H675" s="1">
        <v>62.74</v>
      </c>
      <c r="I675" s="1" t="s">
        <v>1101</v>
      </c>
      <c r="J675" s="1" t="s">
        <v>1102</v>
      </c>
      <c r="K675" s="1" t="s">
        <v>242</v>
      </c>
      <c r="L675" s="1" t="s">
        <v>243</v>
      </c>
      <c r="M675" s="1">
        <v>10194</v>
      </c>
      <c r="N675" s="1" t="s">
        <v>129</v>
      </c>
      <c r="O675" s="11" t="s">
        <v>745</v>
      </c>
    </row>
    <row r="676" spans="1:15">
      <c r="A676" s="6">
        <v>10923</v>
      </c>
      <c r="B676" s="6">
        <v>41</v>
      </c>
      <c r="C676" s="6">
        <v>7</v>
      </c>
      <c r="D676" s="8">
        <v>39510</v>
      </c>
      <c r="E676" s="8">
        <v>39552</v>
      </c>
      <c r="F676" s="8">
        <v>39520</v>
      </c>
      <c r="G676" s="6">
        <v>3</v>
      </c>
      <c r="H676" s="1">
        <v>68.260000000000005</v>
      </c>
      <c r="I676" s="1" t="s">
        <v>1028</v>
      </c>
      <c r="J676" s="1" t="s">
        <v>1029</v>
      </c>
      <c r="K676" s="1" t="s">
        <v>287</v>
      </c>
      <c r="L676" s="2"/>
      <c r="M676" s="1">
        <v>10216</v>
      </c>
      <c r="N676" s="1" t="s">
        <v>77</v>
      </c>
      <c r="O676" s="11" t="s">
        <v>745</v>
      </c>
    </row>
    <row r="677" spans="1:15">
      <c r="A677" s="6">
        <v>10924</v>
      </c>
      <c r="B677" s="6">
        <v>5</v>
      </c>
      <c r="C677" s="6">
        <v>3</v>
      </c>
      <c r="D677" s="8">
        <v>39511</v>
      </c>
      <c r="E677" s="8">
        <v>39539</v>
      </c>
      <c r="F677" s="8">
        <v>39546</v>
      </c>
      <c r="G677" s="6">
        <v>2</v>
      </c>
      <c r="H677" s="1">
        <v>151.52000000000001</v>
      </c>
      <c r="I677" s="1" t="s">
        <v>982</v>
      </c>
      <c r="J677" s="1" t="s">
        <v>983</v>
      </c>
      <c r="K677" s="1" t="s">
        <v>62</v>
      </c>
      <c r="L677" s="2"/>
      <c r="M677" s="1">
        <v>10267</v>
      </c>
      <c r="N677" s="1" t="s">
        <v>63</v>
      </c>
      <c r="O677" s="11" t="s">
        <v>745</v>
      </c>
    </row>
    <row r="678" spans="1:15">
      <c r="A678" s="6">
        <v>10925</v>
      </c>
      <c r="B678" s="6">
        <v>34</v>
      </c>
      <c r="C678" s="6">
        <v>3</v>
      </c>
      <c r="D678" s="8">
        <v>39511</v>
      </c>
      <c r="E678" s="8">
        <v>39539</v>
      </c>
      <c r="F678" s="8">
        <v>39520</v>
      </c>
      <c r="G678" s="6">
        <v>1</v>
      </c>
      <c r="H678" s="1">
        <v>2.27</v>
      </c>
      <c r="I678" s="1" t="s">
        <v>750</v>
      </c>
      <c r="J678" s="1" t="s">
        <v>751</v>
      </c>
      <c r="K678" s="1" t="s">
        <v>242</v>
      </c>
      <c r="L678" s="1" t="s">
        <v>243</v>
      </c>
      <c r="M678" s="1">
        <v>10196</v>
      </c>
      <c r="N678" s="1" t="s">
        <v>129</v>
      </c>
      <c r="O678" s="11" t="s">
        <v>745</v>
      </c>
    </row>
    <row r="679" spans="1:15">
      <c r="A679" s="6">
        <v>10926</v>
      </c>
      <c r="B679" s="6">
        <v>2</v>
      </c>
      <c r="C679" s="6">
        <v>4</v>
      </c>
      <c r="D679" s="8">
        <v>39511</v>
      </c>
      <c r="E679" s="8">
        <v>39539</v>
      </c>
      <c r="F679" s="8">
        <v>39518</v>
      </c>
      <c r="G679" s="6">
        <v>3</v>
      </c>
      <c r="H679" s="1">
        <v>39.92</v>
      </c>
      <c r="I679" s="1" t="s">
        <v>1188</v>
      </c>
      <c r="J679" s="1" t="s">
        <v>1189</v>
      </c>
      <c r="K679" s="1" t="s">
        <v>43</v>
      </c>
      <c r="L679" s="2"/>
      <c r="M679" s="1">
        <v>10182</v>
      </c>
      <c r="N679" s="1" t="s">
        <v>44</v>
      </c>
      <c r="O679" s="11" t="s">
        <v>745</v>
      </c>
    </row>
    <row r="680" spans="1:15">
      <c r="A680" s="6">
        <v>10927</v>
      </c>
      <c r="B680" s="6">
        <v>40</v>
      </c>
      <c r="C680" s="6">
        <v>4</v>
      </c>
      <c r="D680" s="8">
        <v>39512</v>
      </c>
      <c r="E680" s="8">
        <v>39540</v>
      </c>
      <c r="F680" s="8">
        <v>39546</v>
      </c>
      <c r="G680" s="6">
        <v>1</v>
      </c>
      <c r="H680" s="1">
        <v>19.79</v>
      </c>
      <c r="I680" s="1" t="s">
        <v>1190</v>
      </c>
      <c r="J680" s="1" t="s">
        <v>1191</v>
      </c>
      <c r="K680" s="1" t="s">
        <v>281</v>
      </c>
      <c r="L680" s="2"/>
      <c r="M680" s="1">
        <v>10214</v>
      </c>
      <c r="N680" s="1" t="s">
        <v>77</v>
      </c>
      <c r="O680" s="11" t="s">
        <v>745</v>
      </c>
    </row>
    <row r="681" spans="1:15">
      <c r="A681" s="6">
        <v>10928</v>
      </c>
      <c r="B681" s="6">
        <v>29</v>
      </c>
      <c r="C681" s="6">
        <v>1</v>
      </c>
      <c r="D681" s="8">
        <v>39512</v>
      </c>
      <c r="E681" s="8">
        <v>39540</v>
      </c>
      <c r="F681" s="8">
        <v>39525</v>
      </c>
      <c r="G681" s="6">
        <v>1</v>
      </c>
      <c r="H681" s="1">
        <v>1.36</v>
      </c>
      <c r="I681" s="1" t="s">
        <v>968</v>
      </c>
      <c r="J681" s="1" t="s">
        <v>969</v>
      </c>
      <c r="K681" s="1" t="s">
        <v>211</v>
      </c>
      <c r="L681" s="2"/>
      <c r="M681" s="1">
        <v>10179</v>
      </c>
      <c r="N681" s="1" t="s">
        <v>84</v>
      </c>
      <c r="O681" s="11" t="s">
        <v>745</v>
      </c>
    </row>
    <row r="682" spans="1:15">
      <c r="A682" s="6">
        <v>10929</v>
      </c>
      <c r="B682" s="6">
        <v>25</v>
      </c>
      <c r="C682" s="6">
        <v>6</v>
      </c>
      <c r="D682" s="8">
        <v>39512</v>
      </c>
      <c r="E682" s="8">
        <v>39540</v>
      </c>
      <c r="F682" s="8">
        <v>39519</v>
      </c>
      <c r="G682" s="6">
        <v>1</v>
      </c>
      <c r="H682" s="1">
        <v>33.93</v>
      </c>
      <c r="I682" s="1" t="s">
        <v>869</v>
      </c>
      <c r="J682" s="1" t="s">
        <v>870</v>
      </c>
      <c r="K682" s="1" t="s">
        <v>186</v>
      </c>
      <c r="L682" s="2"/>
      <c r="M682" s="1">
        <v>10169</v>
      </c>
      <c r="N682" s="1" t="s">
        <v>36</v>
      </c>
      <c r="O682" s="11" t="s">
        <v>745</v>
      </c>
    </row>
    <row r="683" spans="1:15">
      <c r="A683" s="6">
        <v>10930</v>
      </c>
      <c r="B683" s="6">
        <v>76</v>
      </c>
      <c r="C683" s="6">
        <v>4</v>
      </c>
      <c r="D683" s="8">
        <v>39513</v>
      </c>
      <c r="E683" s="8">
        <v>39555</v>
      </c>
      <c r="F683" s="8">
        <v>39525</v>
      </c>
      <c r="G683" s="6">
        <v>3</v>
      </c>
      <c r="H683" s="1">
        <v>15.55</v>
      </c>
      <c r="I683" s="1" t="s">
        <v>996</v>
      </c>
      <c r="J683" s="1" t="s">
        <v>997</v>
      </c>
      <c r="K683" s="1" t="s">
        <v>488</v>
      </c>
      <c r="L683" s="2"/>
      <c r="M683" s="1">
        <v>10317</v>
      </c>
      <c r="N683" s="1" t="s">
        <v>345</v>
      </c>
      <c r="O683" s="11" t="s">
        <v>745</v>
      </c>
    </row>
    <row r="684" spans="1:15">
      <c r="A684" s="6">
        <v>10931</v>
      </c>
      <c r="B684" s="6">
        <v>68</v>
      </c>
      <c r="C684" s="6">
        <v>4</v>
      </c>
      <c r="D684" s="8">
        <v>39513</v>
      </c>
      <c r="E684" s="8">
        <v>39527</v>
      </c>
      <c r="F684" s="8">
        <v>39526</v>
      </c>
      <c r="G684" s="6">
        <v>2</v>
      </c>
      <c r="H684" s="1">
        <v>13.6</v>
      </c>
      <c r="I684" s="1" t="s">
        <v>1059</v>
      </c>
      <c r="J684" s="1" t="s">
        <v>1060</v>
      </c>
      <c r="K684" s="1" t="s">
        <v>441</v>
      </c>
      <c r="L684" s="2"/>
      <c r="M684" s="1">
        <v>10295</v>
      </c>
      <c r="N684" s="1" t="s">
        <v>121</v>
      </c>
      <c r="O684" s="11" t="s">
        <v>745</v>
      </c>
    </row>
    <row r="685" spans="1:15">
      <c r="A685" s="6">
        <v>10932</v>
      </c>
      <c r="B685" s="6">
        <v>9</v>
      </c>
      <c r="C685" s="6">
        <v>8</v>
      </c>
      <c r="D685" s="8">
        <v>39513</v>
      </c>
      <c r="E685" s="8">
        <v>39541</v>
      </c>
      <c r="F685" s="8">
        <v>39531</v>
      </c>
      <c r="G685" s="6">
        <v>1</v>
      </c>
      <c r="H685" s="1">
        <v>134.63999999999999</v>
      </c>
      <c r="I685" s="1" t="s">
        <v>902</v>
      </c>
      <c r="J685" s="1" t="s">
        <v>903</v>
      </c>
      <c r="K685" s="1" t="s">
        <v>90</v>
      </c>
      <c r="L685" s="2"/>
      <c r="M685" s="1">
        <v>10368</v>
      </c>
      <c r="N685" s="1" t="s">
        <v>77</v>
      </c>
      <c r="O685" s="11" t="s">
        <v>745</v>
      </c>
    </row>
    <row r="686" spans="1:15">
      <c r="A686" s="6">
        <v>10933</v>
      </c>
      <c r="B686" s="6">
        <v>38</v>
      </c>
      <c r="C686" s="6">
        <v>6</v>
      </c>
      <c r="D686" s="8">
        <v>39513</v>
      </c>
      <c r="E686" s="8">
        <v>39541</v>
      </c>
      <c r="F686" s="8">
        <v>39523</v>
      </c>
      <c r="G686" s="6">
        <v>3</v>
      </c>
      <c r="H686" s="1">
        <v>54.15</v>
      </c>
      <c r="I686" s="1" t="s">
        <v>1105</v>
      </c>
      <c r="J686" s="1" t="s">
        <v>1106</v>
      </c>
      <c r="K686" s="1" t="s">
        <v>270</v>
      </c>
      <c r="L686" s="1" t="s">
        <v>271</v>
      </c>
      <c r="M686" s="1">
        <v>10205</v>
      </c>
      <c r="N686" s="1" t="s">
        <v>55</v>
      </c>
      <c r="O686" s="11" t="s">
        <v>745</v>
      </c>
    </row>
    <row r="687" spans="1:15">
      <c r="A687" s="6">
        <v>10934</v>
      </c>
      <c r="B687" s="6">
        <v>44</v>
      </c>
      <c r="C687" s="6">
        <v>3</v>
      </c>
      <c r="D687" s="8">
        <v>39516</v>
      </c>
      <c r="E687" s="8">
        <v>39544</v>
      </c>
      <c r="F687" s="8">
        <v>39519</v>
      </c>
      <c r="G687" s="6">
        <v>3</v>
      </c>
      <c r="H687" s="1">
        <v>32.01</v>
      </c>
      <c r="I687" s="1" t="s">
        <v>1065</v>
      </c>
      <c r="J687" s="1" t="s">
        <v>1066</v>
      </c>
      <c r="K687" s="1" t="s">
        <v>306</v>
      </c>
      <c r="L687" s="2"/>
      <c r="M687" s="1">
        <v>10224</v>
      </c>
      <c r="N687" s="1" t="s">
        <v>36</v>
      </c>
      <c r="O687" s="11" t="s">
        <v>745</v>
      </c>
    </row>
    <row r="688" spans="1:15">
      <c r="A688" s="6">
        <v>10935</v>
      </c>
      <c r="B688" s="6">
        <v>88</v>
      </c>
      <c r="C688" s="6">
        <v>4</v>
      </c>
      <c r="D688" s="8">
        <v>39516</v>
      </c>
      <c r="E688" s="8">
        <v>39544</v>
      </c>
      <c r="F688" s="8">
        <v>39525</v>
      </c>
      <c r="G688" s="6">
        <v>3</v>
      </c>
      <c r="H688" s="1">
        <v>47.59</v>
      </c>
      <c r="I688" s="1" t="s">
        <v>1083</v>
      </c>
      <c r="J688" s="1" t="s">
        <v>556</v>
      </c>
      <c r="K688" s="1" t="s">
        <v>557</v>
      </c>
      <c r="L688" s="1" t="s">
        <v>128</v>
      </c>
      <c r="M688" s="1">
        <v>10353</v>
      </c>
      <c r="N688" s="1" t="s">
        <v>129</v>
      </c>
      <c r="O688" s="11" t="s">
        <v>745</v>
      </c>
    </row>
    <row r="689" spans="1:15">
      <c r="A689" s="6">
        <v>10936</v>
      </c>
      <c r="B689" s="6">
        <v>32</v>
      </c>
      <c r="C689" s="6">
        <v>3</v>
      </c>
      <c r="D689" s="8">
        <v>39516</v>
      </c>
      <c r="E689" s="8">
        <v>39544</v>
      </c>
      <c r="F689" s="8">
        <v>39525</v>
      </c>
      <c r="G689" s="6">
        <v>2</v>
      </c>
      <c r="H689" s="1">
        <v>33.68</v>
      </c>
      <c r="I689" s="1" t="s">
        <v>1084</v>
      </c>
      <c r="J689" s="1" t="s">
        <v>1085</v>
      </c>
      <c r="K689" s="1" t="s">
        <v>227</v>
      </c>
      <c r="L689" s="1" t="s">
        <v>228</v>
      </c>
      <c r="M689" s="1">
        <v>10190</v>
      </c>
      <c r="N689" s="1" t="s">
        <v>229</v>
      </c>
      <c r="O689" s="11" t="s">
        <v>745</v>
      </c>
    </row>
    <row r="690" spans="1:15">
      <c r="A690" s="6">
        <v>10937</v>
      </c>
      <c r="B690" s="6">
        <v>12</v>
      </c>
      <c r="C690" s="6">
        <v>7</v>
      </c>
      <c r="D690" s="8">
        <v>39517</v>
      </c>
      <c r="E690" s="8">
        <v>39531</v>
      </c>
      <c r="F690" s="8">
        <v>39520</v>
      </c>
      <c r="G690" s="6">
        <v>3</v>
      </c>
      <c r="H690" s="1">
        <v>31.51</v>
      </c>
      <c r="I690" s="1" t="s">
        <v>1049</v>
      </c>
      <c r="J690" s="1" t="s">
        <v>1050</v>
      </c>
      <c r="K690" s="1" t="s">
        <v>110</v>
      </c>
      <c r="L690" s="2"/>
      <c r="M690" s="1">
        <v>10134</v>
      </c>
      <c r="N690" s="1" t="s">
        <v>111</v>
      </c>
      <c r="O690" s="11" t="s">
        <v>745</v>
      </c>
    </row>
    <row r="691" spans="1:15">
      <c r="A691" s="6">
        <v>10938</v>
      </c>
      <c r="B691" s="6">
        <v>63</v>
      </c>
      <c r="C691" s="6">
        <v>3</v>
      </c>
      <c r="D691" s="8">
        <v>39517</v>
      </c>
      <c r="E691" s="8">
        <v>39545</v>
      </c>
      <c r="F691" s="8">
        <v>39523</v>
      </c>
      <c r="G691" s="6">
        <v>2</v>
      </c>
      <c r="H691" s="1">
        <v>31.89</v>
      </c>
      <c r="I691" s="1" t="s">
        <v>900</v>
      </c>
      <c r="J691" s="1" t="s">
        <v>901</v>
      </c>
      <c r="K691" s="1" t="s">
        <v>413</v>
      </c>
      <c r="L691" s="2"/>
      <c r="M691" s="1">
        <v>10281</v>
      </c>
      <c r="N691" s="1" t="s">
        <v>36</v>
      </c>
      <c r="O691" s="11" t="s">
        <v>745</v>
      </c>
    </row>
    <row r="692" spans="1:15">
      <c r="A692" s="6">
        <v>10939</v>
      </c>
      <c r="B692" s="6">
        <v>49</v>
      </c>
      <c r="C692" s="6">
        <v>2</v>
      </c>
      <c r="D692" s="8">
        <v>39517</v>
      </c>
      <c r="E692" s="8">
        <v>39545</v>
      </c>
      <c r="F692" s="8">
        <v>39520</v>
      </c>
      <c r="G692" s="6">
        <v>2</v>
      </c>
      <c r="H692" s="1">
        <v>76.33</v>
      </c>
      <c r="I692" s="1" t="s">
        <v>790</v>
      </c>
      <c r="J692" s="1" t="s">
        <v>791</v>
      </c>
      <c r="K692" s="1" t="s">
        <v>338</v>
      </c>
      <c r="L692" s="2"/>
      <c r="M692" s="1">
        <v>10235</v>
      </c>
      <c r="N692" s="1" t="s">
        <v>198</v>
      </c>
      <c r="O692" s="11" t="s">
        <v>745</v>
      </c>
    </row>
    <row r="693" spans="1:15">
      <c r="A693" s="6">
        <v>10940</v>
      </c>
      <c r="B693" s="6">
        <v>9</v>
      </c>
      <c r="C693" s="6">
        <v>8</v>
      </c>
      <c r="D693" s="8">
        <v>39518</v>
      </c>
      <c r="E693" s="8">
        <v>39546</v>
      </c>
      <c r="F693" s="8">
        <v>39530</v>
      </c>
      <c r="G693" s="6">
        <v>3</v>
      </c>
      <c r="H693" s="1">
        <v>19.77</v>
      </c>
      <c r="I693" s="1" t="s">
        <v>859</v>
      </c>
      <c r="J693" s="1" t="s">
        <v>860</v>
      </c>
      <c r="K693" s="1" t="s">
        <v>90</v>
      </c>
      <c r="L693" s="2"/>
      <c r="M693" s="1">
        <v>10369</v>
      </c>
      <c r="N693" s="1" t="s">
        <v>77</v>
      </c>
      <c r="O693" s="11" t="s">
        <v>745</v>
      </c>
    </row>
    <row r="694" spans="1:15">
      <c r="A694" s="6">
        <v>10941</v>
      </c>
      <c r="B694" s="6">
        <v>71</v>
      </c>
      <c r="C694" s="6">
        <v>7</v>
      </c>
      <c r="D694" s="8">
        <v>39518</v>
      </c>
      <c r="E694" s="8">
        <v>39546</v>
      </c>
      <c r="F694" s="8">
        <v>39527</v>
      </c>
      <c r="G694" s="6">
        <v>2</v>
      </c>
      <c r="H694" s="1">
        <v>400.81</v>
      </c>
      <c r="I694" s="1" t="s">
        <v>1044</v>
      </c>
      <c r="J694" s="1" t="s">
        <v>1045</v>
      </c>
      <c r="K694" s="1" t="s">
        <v>458</v>
      </c>
      <c r="L694" s="1" t="s">
        <v>459</v>
      </c>
      <c r="M694" s="1">
        <v>10305</v>
      </c>
      <c r="N694" s="1" t="s">
        <v>229</v>
      </c>
      <c r="O694" s="11" t="s">
        <v>745</v>
      </c>
    </row>
    <row r="695" spans="1:15">
      <c r="A695" s="6">
        <v>10942</v>
      </c>
      <c r="B695" s="6">
        <v>66</v>
      </c>
      <c r="C695" s="6">
        <v>9</v>
      </c>
      <c r="D695" s="8">
        <v>39518</v>
      </c>
      <c r="E695" s="8">
        <v>39546</v>
      </c>
      <c r="F695" s="8">
        <v>39525</v>
      </c>
      <c r="G695" s="6">
        <v>3</v>
      </c>
      <c r="H695" s="1">
        <v>17.95</v>
      </c>
      <c r="I695" s="1" t="s">
        <v>812</v>
      </c>
      <c r="J695" s="1" t="s">
        <v>813</v>
      </c>
      <c r="K695" s="1" t="s">
        <v>431</v>
      </c>
      <c r="L695" s="2"/>
      <c r="M695" s="1">
        <v>10290</v>
      </c>
      <c r="N695" s="1" t="s">
        <v>198</v>
      </c>
      <c r="O695" s="11" t="s">
        <v>745</v>
      </c>
    </row>
    <row r="696" spans="1:15">
      <c r="A696" s="6">
        <v>10943</v>
      </c>
      <c r="B696" s="6">
        <v>11</v>
      </c>
      <c r="C696" s="6">
        <v>4</v>
      </c>
      <c r="D696" s="8">
        <v>39518</v>
      </c>
      <c r="E696" s="8">
        <v>39546</v>
      </c>
      <c r="F696" s="8">
        <v>39526</v>
      </c>
      <c r="G696" s="6">
        <v>2</v>
      </c>
      <c r="H696" s="1">
        <v>2.17</v>
      </c>
      <c r="I696" s="1" t="s">
        <v>1010</v>
      </c>
      <c r="J696" s="1" t="s">
        <v>1011</v>
      </c>
      <c r="K696" s="1" t="s">
        <v>54</v>
      </c>
      <c r="L696" s="2"/>
      <c r="M696" s="1">
        <v>10133</v>
      </c>
      <c r="N696" s="1" t="s">
        <v>55</v>
      </c>
      <c r="O696" s="11" t="s">
        <v>745</v>
      </c>
    </row>
    <row r="697" spans="1:15">
      <c r="A697" s="6">
        <v>10944</v>
      </c>
      <c r="B697" s="6">
        <v>10</v>
      </c>
      <c r="C697" s="6">
        <v>6</v>
      </c>
      <c r="D697" s="8">
        <v>39519</v>
      </c>
      <c r="E697" s="8">
        <v>39533</v>
      </c>
      <c r="F697" s="8">
        <v>39520</v>
      </c>
      <c r="G697" s="6">
        <v>3</v>
      </c>
      <c r="H697" s="1">
        <v>52.92</v>
      </c>
      <c r="I697" s="1" t="s">
        <v>955</v>
      </c>
      <c r="J697" s="1" t="s">
        <v>956</v>
      </c>
      <c r="K697" s="1" t="s">
        <v>97</v>
      </c>
      <c r="L697" s="1" t="s">
        <v>98</v>
      </c>
      <c r="M697" s="1">
        <v>10129</v>
      </c>
      <c r="N697" s="1" t="s">
        <v>99</v>
      </c>
      <c r="O697" s="11" t="s">
        <v>745</v>
      </c>
    </row>
    <row r="698" spans="1:15">
      <c r="A698" s="6">
        <v>10945</v>
      </c>
      <c r="B698" s="6">
        <v>52</v>
      </c>
      <c r="C698" s="6">
        <v>4</v>
      </c>
      <c r="D698" s="8">
        <v>39519</v>
      </c>
      <c r="E698" s="8">
        <v>39547</v>
      </c>
      <c r="F698" s="8">
        <v>39525</v>
      </c>
      <c r="G698" s="6">
        <v>1</v>
      </c>
      <c r="H698" s="1">
        <v>10.220000000000001</v>
      </c>
      <c r="I698" s="1" t="s">
        <v>1117</v>
      </c>
      <c r="J698" s="1" t="s">
        <v>1118</v>
      </c>
      <c r="K698" s="1" t="s">
        <v>358</v>
      </c>
      <c r="L698" s="2"/>
      <c r="M698" s="1">
        <v>10248</v>
      </c>
      <c r="N698" s="1" t="s">
        <v>36</v>
      </c>
      <c r="O698" s="11" t="s">
        <v>745</v>
      </c>
    </row>
    <row r="699" spans="1:15">
      <c r="A699" s="6">
        <v>10946</v>
      </c>
      <c r="B699" s="6">
        <v>83</v>
      </c>
      <c r="C699" s="6">
        <v>1</v>
      </c>
      <c r="D699" s="8">
        <v>39519</v>
      </c>
      <c r="E699" s="8">
        <v>39547</v>
      </c>
      <c r="F699" s="8">
        <v>39526</v>
      </c>
      <c r="G699" s="6">
        <v>2</v>
      </c>
      <c r="H699" s="1">
        <v>27.2</v>
      </c>
      <c r="I699" s="1" t="s">
        <v>912</v>
      </c>
      <c r="J699" s="1" t="s">
        <v>913</v>
      </c>
      <c r="K699" s="1" t="s">
        <v>526</v>
      </c>
      <c r="L699" s="2"/>
      <c r="M699" s="1">
        <v>10340</v>
      </c>
      <c r="N699" s="1" t="s">
        <v>470</v>
      </c>
      <c r="O699" s="11" t="s">
        <v>745</v>
      </c>
    </row>
    <row r="700" spans="1:15">
      <c r="A700" s="6">
        <v>10947</v>
      </c>
      <c r="B700" s="6">
        <v>11</v>
      </c>
      <c r="C700" s="6">
        <v>3</v>
      </c>
      <c r="D700" s="8">
        <v>39520</v>
      </c>
      <c r="E700" s="8">
        <v>39548</v>
      </c>
      <c r="F700" s="8">
        <v>39523</v>
      </c>
      <c r="G700" s="6">
        <v>2</v>
      </c>
      <c r="H700" s="1">
        <v>3.26</v>
      </c>
      <c r="I700" s="1" t="s">
        <v>1010</v>
      </c>
      <c r="J700" s="1" t="s">
        <v>1011</v>
      </c>
      <c r="K700" s="1" t="s">
        <v>54</v>
      </c>
      <c r="L700" s="2"/>
      <c r="M700" s="1">
        <v>10133</v>
      </c>
      <c r="N700" s="1" t="s">
        <v>55</v>
      </c>
      <c r="O700" s="11" t="s">
        <v>745</v>
      </c>
    </row>
    <row r="701" spans="1:15">
      <c r="A701" s="6">
        <v>10948</v>
      </c>
      <c r="B701" s="6">
        <v>30</v>
      </c>
      <c r="C701" s="6">
        <v>3</v>
      </c>
      <c r="D701" s="8">
        <v>39520</v>
      </c>
      <c r="E701" s="8">
        <v>39548</v>
      </c>
      <c r="F701" s="8">
        <v>39526</v>
      </c>
      <c r="G701" s="6">
        <v>3</v>
      </c>
      <c r="H701" s="1">
        <v>23.39</v>
      </c>
      <c r="I701" s="1" t="s">
        <v>1063</v>
      </c>
      <c r="J701" s="1" t="s">
        <v>1064</v>
      </c>
      <c r="K701" s="1" t="s">
        <v>217</v>
      </c>
      <c r="L701" s="2"/>
      <c r="M701" s="1">
        <v>10184</v>
      </c>
      <c r="N701" s="1" t="s">
        <v>84</v>
      </c>
      <c r="O701" s="11" t="s">
        <v>745</v>
      </c>
    </row>
    <row r="702" spans="1:15">
      <c r="A702" s="6">
        <v>10949</v>
      </c>
      <c r="B702" s="6">
        <v>10</v>
      </c>
      <c r="C702" s="6">
        <v>2</v>
      </c>
      <c r="D702" s="8">
        <v>39520</v>
      </c>
      <c r="E702" s="8">
        <v>39548</v>
      </c>
      <c r="F702" s="8">
        <v>39524</v>
      </c>
      <c r="G702" s="6">
        <v>3</v>
      </c>
      <c r="H702" s="1">
        <v>74.44</v>
      </c>
      <c r="I702" s="1" t="s">
        <v>930</v>
      </c>
      <c r="J702" s="1" t="s">
        <v>931</v>
      </c>
      <c r="K702" s="1" t="s">
        <v>97</v>
      </c>
      <c r="L702" s="1" t="s">
        <v>98</v>
      </c>
      <c r="M702" s="1">
        <v>10130</v>
      </c>
      <c r="N702" s="1" t="s">
        <v>99</v>
      </c>
      <c r="O702" s="11" t="s">
        <v>745</v>
      </c>
    </row>
    <row r="703" spans="1:15">
      <c r="A703" s="6">
        <v>10950</v>
      </c>
      <c r="B703" s="6">
        <v>49</v>
      </c>
      <c r="C703" s="6">
        <v>1</v>
      </c>
      <c r="D703" s="8">
        <v>39523</v>
      </c>
      <c r="E703" s="8">
        <v>39551</v>
      </c>
      <c r="F703" s="8">
        <v>39530</v>
      </c>
      <c r="G703" s="6">
        <v>2</v>
      </c>
      <c r="H703" s="1">
        <v>2.5</v>
      </c>
      <c r="I703" s="1" t="s">
        <v>945</v>
      </c>
      <c r="J703" s="1" t="s">
        <v>946</v>
      </c>
      <c r="K703" s="1" t="s">
        <v>338</v>
      </c>
      <c r="L703" s="2"/>
      <c r="M703" s="1">
        <v>10236</v>
      </c>
      <c r="N703" s="1" t="s">
        <v>198</v>
      </c>
      <c r="O703" s="11" t="s">
        <v>745</v>
      </c>
    </row>
    <row r="704" spans="1:15">
      <c r="A704" s="6">
        <v>10951</v>
      </c>
      <c r="B704" s="6">
        <v>68</v>
      </c>
      <c r="C704" s="6">
        <v>9</v>
      </c>
      <c r="D704" s="8">
        <v>39523</v>
      </c>
      <c r="E704" s="8">
        <v>39565</v>
      </c>
      <c r="F704" s="8">
        <v>39545</v>
      </c>
      <c r="G704" s="6">
        <v>2</v>
      </c>
      <c r="H704" s="1">
        <v>30.85</v>
      </c>
      <c r="I704" s="1" t="s">
        <v>754</v>
      </c>
      <c r="J704" s="1" t="s">
        <v>755</v>
      </c>
      <c r="K704" s="1" t="s">
        <v>441</v>
      </c>
      <c r="L704" s="2"/>
      <c r="M704" s="1">
        <v>10294</v>
      </c>
      <c r="N704" s="1" t="s">
        <v>121</v>
      </c>
      <c r="O704" s="11" t="s">
        <v>745</v>
      </c>
    </row>
    <row r="705" spans="1:15">
      <c r="A705" s="6">
        <v>10952</v>
      </c>
      <c r="B705" s="6">
        <v>1</v>
      </c>
      <c r="C705" s="6">
        <v>1</v>
      </c>
      <c r="D705" s="8">
        <v>39523</v>
      </c>
      <c r="E705" s="8">
        <v>39565</v>
      </c>
      <c r="F705" s="8">
        <v>39531</v>
      </c>
      <c r="G705" s="6">
        <v>1</v>
      </c>
      <c r="H705" s="1">
        <v>40.42</v>
      </c>
      <c r="I705" s="1" t="s">
        <v>1099</v>
      </c>
      <c r="J705" s="1" t="s">
        <v>1100</v>
      </c>
      <c r="K705" s="1" t="s">
        <v>35</v>
      </c>
      <c r="L705" s="2"/>
      <c r="M705" s="1">
        <v>10154</v>
      </c>
      <c r="N705" s="1" t="s">
        <v>36</v>
      </c>
      <c r="O705" s="11" t="s">
        <v>745</v>
      </c>
    </row>
    <row r="706" spans="1:15">
      <c r="A706" s="6">
        <v>10953</v>
      </c>
      <c r="B706" s="6">
        <v>4</v>
      </c>
      <c r="C706" s="6">
        <v>9</v>
      </c>
      <c r="D706" s="8">
        <v>39523</v>
      </c>
      <c r="E706" s="8">
        <v>39537</v>
      </c>
      <c r="F706" s="8">
        <v>39532</v>
      </c>
      <c r="G706" s="6">
        <v>2</v>
      </c>
      <c r="H706" s="1">
        <v>23.72</v>
      </c>
      <c r="I706" s="1" t="s">
        <v>922</v>
      </c>
      <c r="J706" s="1" t="s">
        <v>923</v>
      </c>
      <c r="K706" s="1" t="s">
        <v>892</v>
      </c>
      <c r="L706" s="1" t="s">
        <v>893</v>
      </c>
      <c r="M706" s="1">
        <v>10239</v>
      </c>
      <c r="N706" s="1" t="s">
        <v>55</v>
      </c>
      <c r="O706" s="11" t="s">
        <v>745</v>
      </c>
    </row>
    <row r="707" spans="1:15">
      <c r="A707" s="6">
        <v>10954</v>
      </c>
      <c r="B707" s="6">
        <v>47</v>
      </c>
      <c r="C707" s="6">
        <v>5</v>
      </c>
      <c r="D707" s="8">
        <v>39524</v>
      </c>
      <c r="E707" s="8">
        <v>39566</v>
      </c>
      <c r="F707" s="8">
        <v>39527</v>
      </c>
      <c r="G707" s="6">
        <v>1</v>
      </c>
      <c r="H707" s="1">
        <v>27.91</v>
      </c>
      <c r="I707" s="1" t="s">
        <v>947</v>
      </c>
      <c r="J707" s="1" t="s">
        <v>948</v>
      </c>
      <c r="K707" s="1" t="s">
        <v>325</v>
      </c>
      <c r="L707" s="1" t="s">
        <v>326</v>
      </c>
      <c r="M707" s="1">
        <v>10231</v>
      </c>
      <c r="N707" s="1" t="s">
        <v>236</v>
      </c>
      <c r="O707" s="11" t="s">
        <v>745</v>
      </c>
    </row>
    <row r="708" spans="1:15">
      <c r="A708" s="6">
        <v>10955</v>
      </c>
      <c r="B708" s="6">
        <v>24</v>
      </c>
      <c r="C708" s="6">
        <v>8</v>
      </c>
      <c r="D708" s="8">
        <v>39524</v>
      </c>
      <c r="E708" s="8">
        <v>39552</v>
      </c>
      <c r="F708" s="8">
        <v>39527</v>
      </c>
      <c r="G708" s="6">
        <v>2</v>
      </c>
      <c r="H708" s="1">
        <v>3.26</v>
      </c>
      <c r="I708" s="1" t="s">
        <v>998</v>
      </c>
      <c r="J708" s="1" t="s">
        <v>999</v>
      </c>
      <c r="K708" s="1" t="s">
        <v>181</v>
      </c>
      <c r="L708" s="2"/>
      <c r="M708" s="1">
        <v>10166</v>
      </c>
      <c r="N708" s="1" t="s">
        <v>63</v>
      </c>
      <c r="O708" s="11" t="s">
        <v>745</v>
      </c>
    </row>
    <row r="709" spans="1:15">
      <c r="A709" s="6">
        <v>10956</v>
      </c>
      <c r="B709" s="6">
        <v>6</v>
      </c>
      <c r="C709" s="6">
        <v>6</v>
      </c>
      <c r="D709" s="8">
        <v>39524</v>
      </c>
      <c r="E709" s="8">
        <v>39566</v>
      </c>
      <c r="F709" s="8">
        <v>39527</v>
      </c>
      <c r="G709" s="6">
        <v>2</v>
      </c>
      <c r="H709" s="1">
        <v>44.65</v>
      </c>
      <c r="I709" s="1" t="s">
        <v>1164</v>
      </c>
      <c r="J709" s="1" t="s">
        <v>1165</v>
      </c>
      <c r="K709" s="1" t="s">
        <v>69</v>
      </c>
      <c r="L709" s="2"/>
      <c r="M709" s="1">
        <v>10301</v>
      </c>
      <c r="N709" s="1" t="s">
        <v>36</v>
      </c>
      <c r="O709" s="11" t="s">
        <v>745</v>
      </c>
    </row>
    <row r="710" spans="1:15">
      <c r="A710" s="6">
        <v>10957</v>
      </c>
      <c r="B710" s="6">
        <v>35</v>
      </c>
      <c r="C710" s="6">
        <v>8</v>
      </c>
      <c r="D710" s="8">
        <v>39525</v>
      </c>
      <c r="E710" s="8">
        <v>39553</v>
      </c>
      <c r="F710" s="8">
        <v>39534</v>
      </c>
      <c r="G710" s="6">
        <v>3</v>
      </c>
      <c r="H710" s="1">
        <v>105.36</v>
      </c>
      <c r="I710" s="1" t="s">
        <v>1024</v>
      </c>
      <c r="J710" s="1" t="s">
        <v>1025</v>
      </c>
      <c r="K710" s="1" t="s">
        <v>249</v>
      </c>
      <c r="L710" s="1" t="s">
        <v>250</v>
      </c>
      <c r="M710" s="1">
        <v>10197</v>
      </c>
      <c r="N710" s="1" t="s">
        <v>236</v>
      </c>
      <c r="O710" s="11" t="s">
        <v>745</v>
      </c>
    </row>
    <row r="711" spans="1:15">
      <c r="A711" s="6">
        <v>10958</v>
      </c>
      <c r="B711" s="6">
        <v>54</v>
      </c>
      <c r="C711" s="6">
        <v>7</v>
      </c>
      <c r="D711" s="8">
        <v>39525</v>
      </c>
      <c r="E711" s="8">
        <v>39553</v>
      </c>
      <c r="F711" s="8">
        <v>39534</v>
      </c>
      <c r="G711" s="6">
        <v>2</v>
      </c>
      <c r="H711" s="1">
        <v>49.56</v>
      </c>
      <c r="I711" s="1" t="s">
        <v>953</v>
      </c>
      <c r="J711" s="1" t="s">
        <v>954</v>
      </c>
      <c r="K711" s="1" t="s">
        <v>110</v>
      </c>
      <c r="L711" s="2"/>
      <c r="M711" s="1">
        <v>10254</v>
      </c>
      <c r="N711" s="1" t="s">
        <v>111</v>
      </c>
      <c r="O711" s="11" t="s">
        <v>745</v>
      </c>
    </row>
    <row r="712" spans="1:15">
      <c r="A712" s="6">
        <v>10959</v>
      </c>
      <c r="B712" s="6">
        <v>31</v>
      </c>
      <c r="C712" s="6">
        <v>6</v>
      </c>
      <c r="D712" s="8">
        <v>39525</v>
      </c>
      <c r="E712" s="8">
        <v>39567</v>
      </c>
      <c r="F712" s="8">
        <v>39530</v>
      </c>
      <c r="G712" s="6">
        <v>2</v>
      </c>
      <c r="H712" s="1">
        <v>4.9800000000000004</v>
      </c>
      <c r="I712" s="1" t="s">
        <v>1123</v>
      </c>
      <c r="J712" s="1" t="s">
        <v>1124</v>
      </c>
      <c r="K712" s="1" t="s">
        <v>222</v>
      </c>
      <c r="L712" s="1" t="s">
        <v>128</v>
      </c>
      <c r="M712" s="1">
        <v>10188</v>
      </c>
      <c r="N712" s="1" t="s">
        <v>129</v>
      </c>
      <c r="O712" s="11" t="s">
        <v>745</v>
      </c>
    </row>
    <row r="713" spans="1:15">
      <c r="A713" s="6">
        <v>10960</v>
      </c>
      <c r="B713" s="6">
        <v>35</v>
      </c>
      <c r="C713" s="6">
        <v>3</v>
      </c>
      <c r="D713" s="8">
        <v>39526</v>
      </c>
      <c r="E713" s="8">
        <v>39540</v>
      </c>
      <c r="F713" s="8">
        <v>39546</v>
      </c>
      <c r="G713" s="6">
        <v>1</v>
      </c>
      <c r="H713" s="1">
        <v>2.08</v>
      </c>
      <c r="I713" s="1" t="s">
        <v>1016</v>
      </c>
      <c r="J713" s="1" t="s">
        <v>1017</v>
      </c>
      <c r="K713" s="1" t="s">
        <v>249</v>
      </c>
      <c r="L713" s="1" t="s">
        <v>250</v>
      </c>
      <c r="M713" s="1">
        <v>10198</v>
      </c>
      <c r="N713" s="1" t="s">
        <v>236</v>
      </c>
      <c r="O713" s="11" t="s">
        <v>745</v>
      </c>
    </row>
    <row r="714" spans="1:15">
      <c r="A714" s="6">
        <v>10961</v>
      </c>
      <c r="B714" s="6">
        <v>62</v>
      </c>
      <c r="C714" s="6">
        <v>8</v>
      </c>
      <c r="D714" s="8">
        <v>39526</v>
      </c>
      <c r="E714" s="8">
        <v>39554</v>
      </c>
      <c r="F714" s="8">
        <v>39537</v>
      </c>
      <c r="G714" s="6">
        <v>1</v>
      </c>
      <c r="H714" s="1">
        <v>104.47</v>
      </c>
      <c r="I714" s="1" t="s">
        <v>914</v>
      </c>
      <c r="J714" s="1" t="s">
        <v>915</v>
      </c>
      <c r="K714" s="1" t="s">
        <v>127</v>
      </c>
      <c r="L714" s="1" t="s">
        <v>128</v>
      </c>
      <c r="M714" s="1">
        <v>10276</v>
      </c>
      <c r="N714" s="1" t="s">
        <v>129</v>
      </c>
      <c r="O714" s="11" t="s">
        <v>745</v>
      </c>
    </row>
    <row r="715" spans="1:15">
      <c r="A715" s="6">
        <v>10962</v>
      </c>
      <c r="B715" s="6">
        <v>63</v>
      </c>
      <c r="C715" s="6">
        <v>8</v>
      </c>
      <c r="D715" s="8">
        <v>39526</v>
      </c>
      <c r="E715" s="8">
        <v>39554</v>
      </c>
      <c r="F715" s="8">
        <v>39530</v>
      </c>
      <c r="G715" s="6">
        <v>2</v>
      </c>
      <c r="H715" s="1">
        <v>275.79000000000002</v>
      </c>
      <c r="I715" s="1" t="s">
        <v>808</v>
      </c>
      <c r="J715" s="1" t="s">
        <v>809</v>
      </c>
      <c r="K715" s="1" t="s">
        <v>413</v>
      </c>
      <c r="L715" s="2"/>
      <c r="M715" s="1">
        <v>10280</v>
      </c>
      <c r="N715" s="1" t="s">
        <v>36</v>
      </c>
      <c r="O715" s="11" t="s">
        <v>745</v>
      </c>
    </row>
    <row r="716" spans="1:15">
      <c r="A716" s="6">
        <v>10963</v>
      </c>
      <c r="B716" s="6">
        <v>28</v>
      </c>
      <c r="C716" s="6">
        <v>9</v>
      </c>
      <c r="D716" s="8">
        <v>39526</v>
      </c>
      <c r="E716" s="8">
        <v>39554</v>
      </c>
      <c r="F716" s="8">
        <v>39533</v>
      </c>
      <c r="G716" s="6">
        <v>3</v>
      </c>
      <c r="H716" s="1">
        <v>2.7</v>
      </c>
      <c r="I716" s="1" t="s">
        <v>858</v>
      </c>
      <c r="J716" s="1" t="s">
        <v>203</v>
      </c>
      <c r="K716" s="1" t="s">
        <v>204</v>
      </c>
      <c r="L716" s="2"/>
      <c r="M716" s="1">
        <v>10176</v>
      </c>
      <c r="N716" s="1" t="s">
        <v>205</v>
      </c>
      <c r="O716" s="11" t="s">
        <v>745</v>
      </c>
    </row>
    <row r="717" spans="1:15">
      <c r="A717" s="6">
        <v>10964</v>
      </c>
      <c r="B717" s="6">
        <v>74</v>
      </c>
      <c r="C717" s="6">
        <v>3</v>
      </c>
      <c r="D717" s="8">
        <v>39527</v>
      </c>
      <c r="E717" s="8">
        <v>39555</v>
      </c>
      <c r="F717" s="8">
        <v>39531</v>
      </c>
      <c r="G717" s="6">
        <v>2</v>
      </c>
      <c r="H717" s="1">
        <v>87.38</v>
      </c>
      <c r="I717" s="1" t="s">
        <v>1180</v>
      </c>
      <c r="J717" s="1" t="s">
        <v>1181</v>
      </c>
      <c r="K717" s="1" t="s">
        <v>384</v>
      </c>
      <c r="L717" s="2"/>
      <c r="M717" s="1">
        <v>10313</v>
      </c>
      <c r="N717" s="1" t="s">
        <v>77</v>
      </c>
      <c r="O717" s="11" t="s">
        <v>745</v>
      </c>
    </row>
    <row r="718" spans="1:15">
      <c r="A718" s="6">
        <v>10965</v>
      </c>
      <c r="B718" s="6">
        <v>55</v>
      </c>
      <c r="C718" s="6">
        <v>6</v>
      </c>
      <c r="D718" s="8">
        <v>39527</v>
      </c>
      <c r="E718" s="8">
        <v>39555</v>
      </c>
      <c r="F718" s="8">
        <v>39537</v>
      </c>
      <c r="G718" s="6">
        <v>3</v>
      </c>
      <c r="H718" s="1">
        <v>144.38</v>
      </c>
      <c r="I718" s="1" t="s">
        <v>833</v>
      </c>
      <c r="J718" s="1" t="s">
        <v>834</v>
      </c>
      <c r="K718" s="1" t="s">
        <v>371</v>
      </c>
      <c r="L718" s="1" t="s">
        <v>372</v>
      </c>
      <c r="M718" s="1">
        <v>10256</v>
      </c>
      <c r="N718" s="1" t="s">
        <v>229</v>
      </c>
      <c r="O718" s="11" t="s">
        <v>745</v>
      </c>
    </row>
    <row r="719" spans="1:15">
      <c r="A719" s="6">
        <v>10966</v>
      </c>
      <c r="B719" s="6">
        <v>14</v>
      </c>
      <c r="C719" s="6">
        <v>4</v>
      </c>
      <c r="D719" s="8">
        <v>39527</v>
      </c>
      <c r="E719" s="8">
        <v>39555</v>
      </c>
      <c r="F719" s="8">
        <v>39546</v>
      </c>
      <c r="G719" s="6">
        <v>1</v>
      </c>
      <c r="H719" s="1">
        <v>27.19</v>
      </c>
      <c r="I719" s="1" t="s">
        <v>1048</v>
      </c>
      <c r="J719" s="1" t="s">
        <v>119</v>
      </c>
      <c r="K719" s="1" t="s">
        <v>120</v>
      </c>
      <c r="L719" s="2"/>
      <c r="M719" s="1">
        <v>10138</v>
      </c>
      <c r="N719" s="1" t="s">
        <v>121</v>
      </c>
      <c r="O719" s="11" t="s">
        <v>745</v>
      </c>
    </row>
    <row r="720" spans="1:15">
      <c r="A720" s="6">
        <v>10967</v>
      </c>
      <c r="B720" s="6">
        <v>79</v>
      </c>
      <c r="C720" s="6">
        <v>2</v>
      </c>
      <c r="D720" s="8">
        <v>39530</v>
      </c>
      <c r="E720" s="8">
        <v>39558</v>
      </c>
      <c r="F720" s="8">
        <v>39540</v>
      </c>
      <c r="G720" s="6">
        <v>2</v>
      </c>
      <c r="H720" s="1">
        <v>62.22</v>
      </c>
      <c r="I720" s="1" t="s">
        <v>1192</v>
      </c>
      <c r="J720" s="1" t="s">
        <v>1193</v>
      </c>
      <c r="K720" s="1" t="s">
        <v>505</v>
      </c>
      <c r="L720" s="2"/>
      <c r="M720" s="1">
        <v>10327</v>
      </c>
      <c r="N720" s="1" t="s">
        <v>36</v>
      </c>
      <c r="O720" s="11" t="s">
        <v>745</v>
      </c>
    </row>
    <row r="721" spans="1:15">
      <c r="A721" s="6">
        <v>10968</v>
      </c>
      <c r="B721" s="6">
        <v>20</v>
      </c>
      <c r="C721" s="6">
        <v>1</v>
      </c>
      <c r="D721" s="8">
        <v>39530</v>
      </c>
      <c r="E721" s="8">
        <v>39558</v>
      </c>
      <c r="F721" s="8">
        <v>39539</v>
      </c>
      <c r="G721" s="6">
        <v>3</v>
      </c>
      <c r="H721" s="1">
        <v>74.599999999999994</v>
      </c>
      <c r="I721" s="1" t="s">
        <v>974</v>
      </c>
      <c r="J721" s="1" t="s">
        <v>975</v>
      </c>
      <c r="K721" s="1" t="s">
        <v>157</v>
      </c>
      <c r="L721" s="2"/>
      <c r="M721" s="1">
        <v>10159</v>
      </c>
      <c r="N721" s="1" t="s">
        <v>158</v>
      </c>
      <c r="O721" s="11" t="s">
        <v>745</v>
      </c>
    </row>
    <row r="722" spans="1:15">
      <c r="A722" s="6">
        <v>10969</v>
      </c>
      <c r="B722" s="6">
        <v>15</v>
      </c>
      <c r="C722" s="6">
        <v>1</v>
      </c>
      <c r="D722" s="8">
        <v>39530</v>
      </c>
      <c r="E722" s="8">
        <v>39558</v>
      </c>
      <c r="F722" s="8">
        <v>39537</v>
      </c>
      <c r="G722" s="6">
        <v>2</v>
      </c>
      <c r="H722" s="1">
        <v>0.21</v>
      </c>
      <c r="I722" s="1" t="s">
        <v>1030</v>
      </c>
      <c r="J722" s="1" t="s">
        <v>1031</v>
      </c>
      <c r="K722" s="1" t="s">
        <v>127</v>
      </c>
      <c r="L722" s="1" t="s">
        <v>128</v>
      </c>
      <c r="M722" s="1">
        <v>10141</v>
      </c>
      <c r="N722" s="1" t="s">
        <v>129</v>
      </c>
      <c r="O722" s="11" t="s">
        <v>745</v>
      </c>
    </row>
    <row r="723" spans="1:15">
      <c r="A723" s="6">
        <v>10970</v>
      </c>
      <c r="B723" s="6">
        <v>8</v>
      </c>
      <c r="C723" s="6">
        <v>9</v>
      </c>
      <c r="D723" s="8">
        <v>39531</v>
      </c>
      <c r="E723" s="8">
        <v>39545</v>
      </c>
      <c r="F723" s="8">
        <v>39562</v>
      </c>
      <c r="G723" s="6">
        <v>1</v>
      </c>
      <c r="H723" s="1">
        <v>16.16</v>
      </c>
      <c r="I723" s="1" t="s">
        <v>1156</v>
      </c>
      <c r="J723" s="1" t="s">
        <v>1157</v>
      </c>
      <c r="K723" s="1" t="s">
        <v>83</v>
      </c>
      <c r="L723" s="2"/>
      <c r="M723" s="1">
        <v>10360</v>
      </c>
      <c r="N723" s="1" t="s">
        <v>84</v>
      </c>
      <c r="O723" s="11" t="s">
        <v>745</v>
      </c>
    </row>
    <row r="724" spans="1:15">
      <c r="A724" s="6">
        <v>10971</v>
      </c>
      <c r="B724" s="6">
        <v>26</v>
      </c>
      <c r="C724" s="6">
        <v>2</v>
      </c>
      <c r="D724" s="8">
        <v>39531</v>
      </c>
      <c r="E724" s="8">
        <v>39559</v>
      </c>
      <c r="F724" s="8">
        <v>39540</v>
      </c>
      <c r="G724" s="6">
        <v>2</v>
      </c>
      <c r="H724" s="1">
        <v>121.82</v>
      </c>
      <c r="I724" s="1" t="s">
        <v>1169</v>
      </c>
      <c r="J724" s="1" t="s">
        <v>1170</v>
      </c>
      <c r="K724" s="1" t="s">
        <v>145</v>
      </c>
      <c r="L724" s="2"/>
      <c r="M724" s="1">
        <v>10171</v>
      </c>
      <c r="N724" s="1" t="s">
        <v>77</v>
      </c>
      <c r="O724" s="11" t="s">
        <v>745</v>
      </c>
    </row>
    <row r="725" spans="1:15">
      <c r="A725" s="6">
        <v>10972</v>
      </c>
      <c r="B725" s="6">
        <v>40</v>
      </c>
      <c r="C725" s="6">
        <v>4</v>
      </c>
      <c r="D725" s="8">
        <v>39531</v>
      </c>
      <c r="E725" s="8">
        <v>39559</v>
      </c>
      <c r="F725" s="8">
        <v>39533</v>
      </c>
      <c r="G725" s="6">
        <v>2</v>
      </c>
      <c r="H725" s="1">
        <v>0.02</v>
      </c>
      <c r="I725" s="1" t="s">
        <v>1194</v>
      </c>
      <c r="J725" s="1" t="s">
        <v>1195</v>
      </c>
      <c r="K725" s="1" t="s">
        <v>281</v>
      </c>
      <c r="L725" s="2"/>
      <c r="M725" s="1">
        <v>10213</v>
      </c>
      <c r="N725" s="1" t="s">
        <v>77</v>
      </c>
      <c r="O725" s="11" t="s">
        <v>745</v>
      </c>
    </row>
    <row r="726" spans="1:15">
      <c r="A726" s="6">
        <v>10973</v>
      </c>
      <c r="B726" s="6">
        <v>40</v>
      </c>
      <c r="C726" s="6">
        <v>6</v>
      </c>
      <c r="D726" s="8">
        <v>39531</v>
      </c>
      <c r="E726" s="8">
        <v>39559</v>
      </c>
      <c r="F726" s="8">
        <v>39534</v>
      </c>
      <c r="G726" s="6">
        <v>2</v>
      </c>
      <c r="H726" s="1">
        <v>15.17</v>
      </c>
      <c r="I726" s="1" t="s">
        <v>1190</v>
      </c>
      <c r="J726" s="1" t="s">
        <v>1191</v>
      </c>
      <c r="K726" s="1" t="s">
        <v>281</v>
      </c>
      <c r="L726" s="2"/>
      <c r="M726" s="1">
        <v>10214</v>
      </c>
      <c r="N726" s="1" t="s">
        <v>77</v>
      </c>
      <c r="O726" s="11" t="s">
        <v>745</v>
      </c>
    </row>
    <row r="727" spans="1:15">
      <c r="A727" s="6">
        <v>10974</v>
      </c>
      <c r="B727" s="6">
        <v>75</v>
      </c>
      <c r="C727" s="6">
        <v>3</v>
      </c>
      <c r="D727" s="8">
        <v>39532</v>
      </c>
      <c r="E727" s="8">
        <v>39546</v>
      </c>
      <c r="F727" s="8">
        <v>39541</v>
      </c>
      <c r="G727" s="6">
        <v>3</v>
      </c>
      <c r="H727" s="1">
        <v>12.96</v>
      </c>
      <c r="I727" s="1" t="s">
        <v>924</v>
      </c>
      <c r="J727" s="1" t="s">
        <v>925</v>
      </c>
      <c r="K727" s="1" t="s">
        <v>481</v>
      </c>
      <c r="L727" s="1" t="s">
        <v>482</v>
      </c>
      <c r="M727" s="1">
        <v>10315</v>
      </c>
      <c r="N727" s="1" t="s">
        <v>229</v>
      </c>
      <c r="O727" s="11" t="s">
        <v>745</v>
      </c>
    </row>
    <row r="728" spans="1:15">
      <c r="A728" s="6">
        <v>10975</v>
      </c>
      <c r="B728" s="6">
        <v>10</v>
      </c>
      <c r="C728" s="6">
        <v>1</v>
      </c>
      <c r="D728" s="8">
        <v>39532</v>
      </c>
      <c r="E728" s="8">
        <v>39560</v>
      </c>
      <c r="F728" s="8">
        <v>39534</v>
      </c>
      <c r="G728" s="6">
        <v>3</v>
      </c>
      <c r="H728" s="1">
        <v>32.270000000000003</v>
      </c>
      <c r="I728" s="1" t="s">
        <v>930</v>
      </c>
      <c r="J728" s="1" t="s">
        <v>931</v>
      </c>
      <c r="K728" s="1" t="s">
        <v>97</v>
      </c>
      <c r="L728" s="1" t="s">
        <v>98</v>
      </c>
      <c r="M728" s="1">
        <v>10130</v>
      </c>
      <c r="N728" s="1" t="s">
        <v>99</v>
      </c>
      <c r="O728" s="11" t="s">
        <v>745</v>
      </c>
    </row>
    <row r="729" spans="1:15">
      <c r="A729" s="6">
        <v>10976</v>
      </c>
      <c r="B729" s="6">
        <v>35</v>
      </c>
      <c r="C729" s="6">
        <v>1</v>
      </c>
      <c r="D729" s="8">
        <v>39532</v>
      </c>
      <c r="E729" s="8">
        <v>39574</v>
      </c>
      <c r="F729" s="8">
        <v>39541</v>
      </c>
      <c r="G729" s="6">
        <v>1</v>
      </c>
      <c r="H729" s="1">
        <v>37.97</v>
      </c>
      <c r="I729" s="1" t="s">
        <v>1016</v>
      </c>
      <c r="J729" s="1" t="s">
        <v>1017</v>
      </c>
      <c r="K729" s="1" t="s">
        <v>249</v>
      </c>
      <c r="L729" s="1" t="s">
        <v>250</v>
      </c>
      <c r="M729" s="1">
        <v>10198</v>
      </c>
      <c r="N729" s="1" t="s">
        <v>236</v>
      </c>
      <c r="O729" s="11" t="s">
        <v>745</v>
      </c>
    </row>
    <row r="730" spans="1:15">
      <c r="A730" s="6">
        <v>10977</v>
      </c>
      <c r="B730" s="6">
        <v>24</v>
      </c>
      <c r="C730" s="6">
        <v>8</v>
      </c>
      <c r="D730" s="8">
        <v>39533</v>
      </c>
      <c r="E730" s="8">
        <v>39561</v>
      </c>
      <c r="F730" s="8">
        <v>39548</v>
      </c>
      <c r="G730" s="6">
        <v>3</v>
      </c>
      <c r="H730" s="1">
        <v>208.5</v>
      </c>
      <c r="I730" s="1" t="s">
        <v>856</v>
      </c>
      <c r="J730" s="1" t="s">
        <v>857</v>
      </c>
      <c r="K730" s="1" t="s">
        <v>181</v>
      </c>
      <c r="L730" s="2"/>
      <c r="M730" s="1">
        <v>10165</v>
      </c>
      <c r="N730" s="1" t="s">
        <v>63</v>
      </c>
      <c r="O730" s="11" t="s">
        <v>745</v>
      </c>
    </row>
    <row r="731" spans="1:15">
      <c r="A731" s="6">
        <v>10978</v>
      </c>
      <c r="B731" s="6">
        <v>50</v>
      </c>
      <c r="C731" s="6">
        <v>9</v>
      </c>
      <c r="D731" s="8">
        <v>39533</v>
      </c>
      <c r="E731" s="8">
        <v>39561</v>
      </c>
      <c r="F731" s="8">
        <v>39561</v>
      </c>
      <c r="G731" s="6">
        <v>2</v>
      </c>
      <c r="H731" s="1">
        <v>32.82</v>
      </c>
      <c r="I731" s="1" t="s">
        <v>1176</v>
      </c>
      <c r="J731" s="1" t="s">
        <v>1177</v>
      </c>
      <c r="K731" s="1" t="s">
        <v>344</v>
      </c>
      <c r="L731" s="2"/>
      <c r="M731" s="1">
        <v>10241</v>
      </c>
      <c r="N731" s="1" t="s">
        <v>345</v>
      </c>
      <c r="O731" s="11" t="s">
        <v>745</v>
      </c>
    </row>
    <row r="732" spans="1:15">
      <c r="A732" s="6">
        <v>10979</v>
      </c>
      <c r="B732" s="6">
        <v>20</v>
      </c>
      <c r="C732" s="6">
        <v>8</v>
      </c>
      <c r="D732" s="8">
        <v>39533</v>
      </c>
      <c r="E732" s="8">
        <v>39561</v>
      </c>
      <c r="F732" s="8">
        <v>39538</v>
      </c>
      <c r="G732" s="6">
        <v>2</v>
      </c>
      <c r="H732" s="1">
        <v>353.07</v>
      </c>
      <c r="I732" s="1" t="s">
        <v>974</v>
      </c>
      <c r="J732" s="1" t="s">
        <v>975</v>
      </c>
      <c r="K732" s="1" t="s">
        <v>157</v>
      </c>
      <c r="L732" s="2"/>
      <c r="M732" s="1">
        <v>10159</v>
      </c>
      <c r="N732" s="1" t="s">
        <v>158</v>
      </c>
      <c r="O732" s="11" t="s">
        <v>745</v>
      </c>
    </row>
    <row r="733" spans="1:15">
      <c r="A733" s="6">
        <v>10980</v>
      </c>
      <c r="B733" s="6">
        <v>24</v>
      </c>
      <c r="C733" s="6">
        <v>4</v>
      </c>
      <c r="D733" s="8">
        <v>39534</v>
      </c>
      <c r="E733" s="8">
        <v>39576</v>
      </c>
      <c r="F733" s="8">
        <v>39555</v>
      </c>
      <c r="G733" s="6">
        <v>1</v>
      </c>
      <c r="H733" s="1">
        <v>1.26</v>
      </c>
      <c r="I733" s="1" t="s">
        <v>998</v>
      </c>
      <c r="J733" s="1" t="s">
        <v>999</v>
      </c>
      <c r="K733" s="1" t="s">
        <v>181</v>
      </c>
      <c r="L733" s="2"/>
      <c r="M733" s="1">
        <v>10166</v>
      </c>
      <c r="N733" s="1" t="s">
        <v>63</v>
      </c>
      <c r="O733" s="11" t="s">
        <v>745</v>
      </c>
    </row>
    <row r="734" spans="1:15">
      <c r="A734" s="6">
        <v>10981</v>
      </c>
      <c r="B734" s="6">
        <v>34</v>
      </c>
      <c r="C734" s="6">
        <v>1</v>
      </c>
      <c r="D734" s="8">
        <v>39534</v>
      </c>
      <c r="E734" s="8">
        <v>39562</v>
      </c>
      <c r="F734" s="8">
        <v>39540</v>
      </c>
      <c r="G734" s="6">
        <v>2</v>
      </c>
      <c r="H734" s="1">
        <v>193.37</v>
      </c>
      <c r="I734" s="1" t="s">
        <v>750</v>
      </c>
      <c r="J734" s="1" t="s">
        <v>751</v>
      </c>
      <c r="K734" s="1" t="s">
        <v>242</v>
      </c>
      <c r="L734" s="1" t="s">
        <v>243</v>
      </c>
      <c r="M734" s="1">
        <v>10196</v>
      </c>
      <c r="N734" s="1" t="s">
        <v>129</v>
      </c>
      <c r="O734" s="11" t="s">
        <v>745</v>
      </c>
    </row>
    <row r="735" spans="1:15">
      <c r="A735" s="6">
        <v>10982</v>
      </c>
      <c r="B735" s="6">
        <v>10</v>
      </c>
      <c r="C735" s="6">
        <v>2</v>
      </c>
      <c r="D735" s="8">
        <v>39534</v>
      </c>
      <c r="E735" s="8">
        <v>39562</v>
      </c>
      <c r="F735" s="8">
        <v>39546</v>
      </c>
      <c r="G735" s="6">
        <v>1</v>
      </c>
      <c r="H735" s="1">
        <v>14.01</v>
      </c>
      <c r="I735" s="1" t="s">
        <v>955</v>
      </c>
      <c r="J735" s="1" t="s">
        <v>956</v>
      </c>
      <c r="K735" s="1" t="s">
        <v>97</v>
      </c>
      <c r="L735" s="1" t="s">
        <v>98</v>
      </c>
      <c r="M735" s="1">
        <v>10129</v>
      </c>
      <c r="N735" s="1" t="s">
        <v>99</v>
      </c>
      <c r="O735" s="11" t="s">
        <v>745</v>
      </c>
    </row>
    <row r="736" spans="1:15">
      <c r="A736" s="6">
        <v>10983</v>
      </c>
      <c r="B736" s="6">
        <v>71</v>
      </c>
      <c r="C736" s="6">
        <v>2</v>
      </c>
      <c r="D736" s="8">
        <v>39534</v>
      </c>
      <c r="E736" s="8">
        <v>39562</v>
      </c>
      <c r="F736" s="8">
        <v>39544</v>
      </c>
      <c r="G736" s="6">
        <v>2</v>
      </c>
      <c r="H736" s="1">
        <v>657.54</v>
      </c>
      <c r="I736" s="1" t="s">
        <v>936</v>
      </c>
      <c r="J736" s="1" t="s">
        <v>937</v>
      </c>
      <c r="K736" s="1" t="s">
        <v>458</v>
      </c>
      <c r="L736" s="1" t="s">
        <v>459</v>
      </c>
      <c r="M736" s="1">
        <v>10306</v>
      </c>
      <c r="N736" s="1" t="s">
        <v>229</v>
      </c>
      <c r="O736" s="11" t="s">
        <v>745</v>
      </c>
    </row>
    <row r="737" spans="1:15">
      <c r="A737" s="6">
        <v>10984</v>
      </c>
      <c r="B737" s="6">
        <v>71</v>
      </c>
      <c r="C737" s="6">
        <v>1</v>
      </c>
      <c r="D737" s="8">
        <v>39537</v>
      </c>
      <c r="E737" s="8">
        <v>39565</v>
      </c>
      <c r="F737" s="8">
        <v>39541</v>
      </c>
      <c r="G737" s="6">
        <v>3</v>
      </c>
      <c r="H737" s="1">
        <v>211.22</v>
      </c>
      <c r="I737" s="1" t="s">
        <v>936</v>
      </c>
      <c r="J737" s="1" t="s">
        <v>937</v>
      </c>
      <c r="K737" s="1" t="s">
        <v>458</v>
      </c>
      <c r="L737" s="1" t="s">
        <v>459</v>
      </c>
      <c r="M737" s="1">
        <v>10306</v>
      </c>
      <c r="N737" s="1" t="s">
        <v>229</v>
      </c>
      <c r="O737" s="11" t="s">
        <v>745</v>
      </c>
    </row>
    <row r="738" spans="1:15">
      <c r="A738" s="6">
        <v>10985</v>
      </c>
      <c r="B738" s="6">
        <v>37</v>
      </c>
      <c r="C738" s="6">
        <v>2</v>
      </c>
      <c r="D738" s="8">
        <v>39537</v>
      </c>
      <c r="E738" s="8">
        <v>39565</v>
      </c>
      <c r="F738" s="8">
        <v>39540</v>
      </c>
      <c r="G738" s="6">
        <v>1</v>
      </c>
      <c r="H738" s="1">
        <v>91.51</v>
      </c>
      <c r="I738" s="1" t="s">
        <v>827</v>
      </c>
      <c r="J738" s="1" t="s">
        <v>828</v>
      </c>
      <c r="K738" s="1" t="s">
        <v>262</v>
      </c>
      <c r="L738" s="1" t="s">
        <v>263</v>
      </c>
      <c r="M738" s="1">
        <v>10202</v>
      </c>
      <c r="N738" s="1" t="s">
        <v>264</v>
      </c>
      <c r="O738" s="11" t="s">
        <v>745</v>
      </c>
    </row>
    <row r="739" spans="1:15">
      <c r="A739" s="6">
        <v>10986</v>
      </c>
      <c r="B739" s="6">
        <v>54</v>
      </c>
      <c r="C739" s="6">
        <v>8</v>
      </c>
      <c r="D739" s="8">
        <v>39537</v>
      </c>
      <c r="E739" s="8">
        <v>39565</v>
      </c>
      <c r="F739" s="8">
        <v>39559</v>
      </c>
      <c r="G739" s="6">
        <v>2</v>
      </c>
      <c r="H739" s="1">
        <v>217.86</v>
      </c>
      <c r="I739" s="1" t="s">
        <v>1055</v>
      </c>
      <c r="J739" s="1" t="s">
        <v>1056</v>
      </c>
      <c r="K739" s="1" t="s">
        <v>110</v>
      </c>
      <c r="L739" s="2"/>
      <c r="M739" s="1">
        <v>10252</v>
      </c>
      <c r="N739" s="1" t="s">
        <v>111</v>
      </c>
      <c r="O739" s="11" t="s">
        <v>745</v>
      </c>
    </row>
    <row r="740" spans="1:15">
      <c r="A740" s="6">
        <v>10987</v>
      </c>
      <c r="B740" s="6">
        <v>19</v>
      </c>
      <c r="C740" s="6">
        <v>8</v>
      </c>
      <c r="D740" s="8">
        <v>39538</v>
      </c>
      <c r="E740" s="8">
        <v>39566</v>
      </c>
      <c r="F740" s="8">
        <v>39544</v>
      </c>
      <c r="G740" s="6">
        <v>1</v>
      </c>
      <c r="H740" s="1">
        <v>185.48</v>
      </c>
      <c r="I740" s="1" t="s">
        <v>1131</v>
      </c>
      <c r="J740" s="1" t="s">
        <v>150</v>
      </c>
      <c r="K740" s="1" t="s">
        <v>54</v>
      </c>
      <c r="L740" s="2"/>
      <c r="M740" s="1">
        <v>10153</v>
      </c>
      <c r="N740" s="1" t="s">
        <v>55</v>
      </c>
      <c r="O740" s="11" t="s">
        <v>745</v>
      </c>
    </row>
    <row r="741" spans="1:15">
      <c r="A741" s="6">
        <v>10988</v>
      </c>
      <c r="B741" s="6">
        <v>65</v>
      </c>
      <c r="C741" s="6">
        <v>3</v>
      </c>
      <c r="D741" s="8">
        <v>39538</v>
      </c>
      <c r="E741" s="8">
        <v>39566</v>
      </c>
      <c r="F741" s="8">
        <v>39548</v>
      </c>
      <c r="G741" s="6">
        <v>2</v>
      </c>
      <c r="H741" s="1">
        <v>61.14</v>
      </c>
      <c r="I741" s="1" t="s">
        <v>785</v>
      </c>
      <c r="J741" s="1" t="s">
        <v>786</v>
      </c>
      <c r="K741" s="1" t="s">
        <v>424</v>
      </c>
      <c r="L741" s="1" t="s">
        <v>425</v>
      </c>
      <c r="M741" s="1">
        <v>10285</v>
      </c>
      <c r="N741" s="1" t="s">
        <v>229</v>
      </c>
      <c r="O741" s="11" t="s">
        <v>745</v>
      </c>
    </row>
    <row r="742" spans="1:15">
      <c r="A742" s="6">
        <v>10989</v>
      </c>
      <c r="B742" s="6">
        <v>61</v>
      </c>
      <c r="C742" s="6">
        <v>2</v>
      </c>
      <c r="D742" s="8">
        <v>39538</v>
      </c>
      <c r="E742" s="8">
        <v>39566</v>
      </c>
      <c r="F742" s="8">
        <v>39540</v>
      </c>
      <c r="G742" s="6">
        <v>1</v>
      </c>
      <c r="H742" s="1">
        <v>34.76</v>
      </c>
      <c r="I742" s="1" t="s">
        <v>817</v>
      </c>
      <c r="J742" s="1" t="s">
        <v>818</v>
      </c>
      <c r="K742" s="1" t="s">
        <v>242</v>
      </c>
      <c r="L742" s="1" t="s">
        <v>243</v>
      </c>
      <c r="M742" s="1">
        <v>10273</v>
      </c>
      <c r="N742" s="1" t="s">
        <v>129</v>
      </c>
      <c r="O742" s="11" t="s">
        <v>745</v>
      </c>
    </row>
    <row r="743" spans="1:15">
      <c r="A743" s="6">
        <v>10990</v>
      </c>
      <c r="B743" s="6">
        <v>20</v>
      </c>
      <c r="C743" s="6">
        <v>2</v>
      </c>
      <c r="D743" s="8">
        <v>39539</v>
      </c>
      <c r="E743" s="8">
        <v>39581</v>
      </c>
      <c r="F743" s="8">
        <v>39545</v>
      </c>
      <c r="G743" s="6">
        <v>3</v>
      </c>
      <c r="H743" s="1">
        <v>117.61</v>
      </c>
      <c r="I743" s="1" t="s">
        <v>760</v>
      </c>
      <c r="J743" s="1" t="s">
        <v>156</v>
      </c>
      <c r="K743" s="1" t="s">
        <v>157</v>
      </c>
      <c r="L743" s="2"/>
      <c r="M743" s="1">
        <v>10157</v>
      </c>
      <c r="N743" s="1" t="s">
        <v>158</v>
      </c>
      <c r="O743" s="11" t="s">
        <v>745</v>
      </c>
    </row>
    <row r="744" spans="1:15">
      <c r="A744" s="6">
        <v>10991</v>
      </c>
      <c r="B744" s="6">
        <v>63</v>
      </c>
      <c r="C744" s="6">
        <v>1</v>
      </c>
      <c r="D744" s="8">
        <v>39539</v>
      </c>
      <c r="E744" s="8">
        <v>39567</v>
      </c>
      <c r="F744" s="8">
        <v>39545</v>
      </c>
      <c r="G744" s="6">
        <v>1</v>
      </c>
      <c r="H744" s="1">
        <v>38.51</v>
      </c>
      <c r="I744" s="1" t="s">
        <v>787</v>
      </c>
      <c r="J744" s="1" t="s">
        <v>412</v>
      </c>
      <c r="K744" s="1" t="s">
        <v>413</v>
      </c>
      <c r="L744" s="2"/>
      <c r="M744" s="1">
        <v>10279</v>
      </c>
      <c r="N744" s="1" t="s">
        <v>36</v>
      </c>
      <c r="O744" s="11" t="s">
        <v>745</v>
      </c>
    </row>
    <row r="745" spans="1:15">
      <c r="A745" s="6">
        <v>10992</v>
      </c>
      <c r="B745" s="6">
        <v>77</v>
      </c>
      <c r="C745" s="6">
        <v>1</v>
      </c>
      <c r="D745" s="8">
        <v>39539</v>
      </c>
      <c r="E745" s="8">
        <v>39567</v>
      </c>
      <c r="F745" s="8">
        <v>39541</v>
      </c>
      <c r="G745" s="6">
        <v>3</v>
      </c>
      <c r="H745" s="1">
        <v>4.2699999999999996</v>
      </c>
      <c r="I745" s="1" t="s">
        <v>1121</v>
      </c>
      <c r="J745" s="1" t="s">
        <v>1122</v>
      </c>
      <c r="K745" s="1" t="s">
        <v>332</v>
      </c>
      <c r="L745" s="1" t="s">
        <v>228</v>
      </c>
      <c r="M745" s="1">
        <v>10322</v>
      </c>
      <c r="N745" s="1" t="s">
        <v>229</v>
      </c>
      <c r="O745" s="11" t="s">
        <v>745</v>
      </c>
    </row>
    <row r="746" spans="1:15">
      <c r="A746" s="6">
        <v>10993</v>
      </c>
      <c r="B746" s="6">
        <v>24</v>
      </c>
      <c r="C746" s="6">
        <v>7</v>
      </c>
      <c r="D746" s="8">
        <v>39539</v>
      </c>
      <c r="E746" s="8">
        <v>39567</v>
      </c>
      <c r="F746" s="8">
        <v>39548</v>
      </c>
      <c r="G746" s="6">
        <v>3</v>
      </c>
      <c r="H746" s="1">
        <v>8.81</v>
      </c>
      <c r="I746" s="1" t="s">
        <v>856</v>
      </c>
      <c r="J746" s="1" t="s">
        <v>857</v>
      </c>
      <c r="K746" s="1" t="s">
        <v>181</v>
      </c>
      <c r="L746" s="2"/>
      <c r="M746" s="1">
        <v>10165</v>
      </c>
      <c r="N746" s="1" t="s">
        <v>63</v>
      </c>
      <c r="O746" s="11" t="s">
        <v>745</v>
      </c>
    </row>
    <row r="747" spans="1:15">
      <c r="A747" s="6">
        <v>10994</v>
      </c>
      <c r="B747" s="6">
        <v>83</v>
      </c>
      <c r="C747" s="6">
        <v>2</v>
      </c>
      <c r="D747" s="8">
        <v>39540</v>
      </c>
      <c r="E747" s="8">
        <v>39554</v>
      </c>
      <c r="F747" s="8">
        <v>39547</v>
      </c>
      <c r="G747" s="6">
        <v>3</v>
      </c>
      <c r="H747" s="1">
        <v>65.53</v>
      </c>
      <c r="I747" s="1" t="s">
        <v>941</v>
      </c>
      <c r="J747" s="1" t="s">
        <v>942</v>
      </c>
      <c r="K747" s="1" t="s">
        <v>526</v>
      </c>
      <c r="L747" s="2"/>
      <c r="M747" s="1">
        <v>10341</v>
      </c>
      <c r="N747" s="1" t="s">
        <v>470</v>
      </c>
      <c r="O747" s="11" t="s">
        <v>745</v>
      </c>
    </row>
    <row r="748" spans="1:15">
      <c r="A748" s="6">
        <v>10995</v>
      </c>
      <c r="B748" s="6">
        <v>58</v>
      </c>
      <c r="C748" s="6">
        <v>1</v>
      </c>
      <c r="D748" s="8">
        <v>39540</v>
      </c>
      <c r="E748" s="8">
        <v>39568</v>
      </c>
      <c r="F748" s="8">
        <v>39544</v>
      </c>
      <c r="G748" s="6">
        <v>3</v>
      </c>
      <c r="H748" s="1">
        <v>46</v>
      </c>
      <c r="I748" s="1" t="s">
        <v>1038</v>
      </c>
      <c r="J748" s="1" t="s">
        <v>1039</v>
      </c>
      <c r="K748" s="1" t="s">
        <v>43</v>
      </c>
      <c r="L748" s="2"/>
      <c r="M748" s="1">
        <v>10262</v>
      </c>
      <c r="N748" s="1" t="s">
        <v>44</v>
      </c>
      <c r="O748" s="11" t="s">
        <v>745</v>
      </c>
    </row>
    <row r="749" spans="1:15">
      <c r="A749" s="6">
        <v>10996</v>
      </c>
      <c r="B749" s="6">
        <v>63</v>
      </c>
      <c r="C749" s="6">
        <v>4</v>
      </c>
      <c r="D749" s="8">
        <v>39540</v>
      </c>
      <c r="E749" s="8">
        <v>39568</v>
      </c>
      <c r="F749" s="8">
        <v>39548</v>
      </c>
      <c r="G749" s="6">
        <v>2</v>
      </c>
      <c r="H749" s="1">
        <v>1.1200000000000001</v>
      </c>
      <c r="I749" s="1" t="s">
        <v>900</v>
      </c>
      <c r="J749" s="1" t="s">
        <v>901</v>
      </c>
      <c r="K749" s="1" t="s">
        <v>413</v>
      </c>
      <c r="L749" s="2"/>
      <c r="M749" s="1">
        <v>10281</v>
      </c>
      <c r="N749" s="1" t="s">
        <v>36</v>
      </c>
      <c r="O749" s="11" t="s">
        <v>745</v>
      </c>
    </row>
    <row r="750" spans="1:15">
      <c r="A750" s="6">
        <v>10997</v>
      </c>
      <c r="B750" s="6">
        <v>46</v>
      </c>
      <c r="C750" s="6">
        <v>8</v>
      </c>
      <c r="D750" s="8">
        <v>39541</v>
      </c>
      <c r="E750" s="8">
        <v>39583</v>
      </c>
      <c r="F750" s="8">
        <v>39551</v>
      </c>
      <c r="G750" s="6">
        <v>2</v>
      </c>
      <c r="H750" s="1">
        <v>73.91</v>
      </c>
      <c r="I750" s="1" t="s">
        <v>806</v>
      </c>
      <c r="J750" s="1" t="s">
        <v>807</v>
      </c>
      <c r="K750" s="1" t="s">
        <v>318</v>
      </c>
      <c r="L750" s="1" t="s">
        <v>319</v>
      </c>
      <c r="M750" s="1">
        <v>10227</v>
      </c>
      <c r="N750" s="1" t="s">
        <v>236</v>
      </c>
      <c r="O750" s="11" t="s">
        <v>745</v>
      </c>
    </row>
    <row r="751" spans="1:15">
      <c r="A751" s="6">
        <v>10998</v>
      </c>
      <c r="B751" s="6">
        <v>91</v>
      </c>
      <c r="C751" s="6">
        <v>8</v>
      </c>
      <c r="D751" s="8">
        <v>39541</v>
      </c>
      <c r="E751" s="8">
        <v>39555</v>
      </c>
      <c r="F751" s="8">
        <v>39555</v>
      </c>
      <c r="G751" s="6">
        <v>2</v>
      </c>
      <c r="H751" s="1">
        <v>20.309999999999999</v>
      </c>
      <c r="I751" s="1" t="s">
        <v>918</v>
      </c>
      <c r="J751" s="1" t="s">
        <v>919</v>
      </c>
      <c r="K751" s="1" t="s">
        <v>575</v>
      </c>
      <c r="L751" s="2"/>
      <c r="M751" s="1">
        <v>10364</v>
      </c>
      <c r="N751" s="1" t="s">
        <v>576</v>
      </c>
      <c r="O751" s="11" t="s">
        <v>745</v>
      </c>
    </row>
    <row r="752" spans="1:15">
      <c r="A752" s="6">
        <v>10999</v>
      </c>
      <c r="B752" s="6">
        <v>56</v>
      </c>
      <c r="C752" s="6">
        <v>6</v>
      </c>
      <c r="D752" s="8">
        <v>39541</v>
      </c>
      <c r="E752" s="8">
        <v>39569</v>
      </c>
      <c r="F752" s="8">
        <v>39548</v>
      </c>
      <c r="G752" s="6">
        <v>2</v>
      </c>
      <c r="H752" s="1">
        <v>96.35</v>
      </c>
      <c r="I752" s="1" t="s">
        <v>949</v>
      </c>
      <c r="J752" s="1" t="s">
        <v>950</v>
      </c>
      <c r="K752" s="1" t="s">
        <v>378</v>
      </c>
      <c r="L752" s="2"/>
      <c r="M752" s="1">
        <v>10259</v>
      </c>
      <c r="N752" s="1" t="s">
        <v>36</v>
      </c>
      <c r="O752" s="11" t="s">
        <v>745</v>
      </c>
    </row>
    <row r="753" spans="1:15">
      <c r="A753" s="6">
        <v>11000</v>
      </c>
      <c r="B753" s="6">
        <v>65</v>
      </c>
      <c r="C753" s="6">
        <v>2</v>
      </c>
      <c r="D753" s="8">
        <v>39544</v>
      </c>
      <c r="E753" s="8">
        <v>39572</v>
      </c>
      <c r="F753" s="8">
        <v>39552</v>
      </c>
      <c r="G753" s="6">
        <v>3</v>
      </c>
      <c r="H753" s="1">
        <v>55.12</v>
      </c>
      <c r="I753" s="1" t="s">
        <v>785</v>
      </c>
      <c r="J753" s="1" t="s">
        <v>786</v>
      </c>
      <c r="K753" s="1" t="s">
        <v>424</v>
      </c>
      <c r="L753" s="1" t="s">
        <v>425</v>
      </c>
      <c r="M753" s="1">
        <v>10285</v>
      </c>
      <c r="N753" s="1" t="s">
        <v>229</v>
      </c>
      <c r="O753" s="11" t="s">
        <v>745</v>
      </c>
    </row>
    <row r="754" spans="1:15">
      <c r="A754" s="6">
        <v>11001</v>
      </c>
      <c r="B754" s="6">
        <v>24</v>
      </c>
      <c r="C754" s="6">
        <v>2</v>
      </c>
      <c r="D754" s="8">
        <v>39544</v>
      </c>
      <c r="E754" s="8">
        <v>39572</v>
      </c>
      <c r="F754" s="8">
        <v>39552</v>
      </c>
      <c r="G754" s="6">
        <v>2</v>
      </c>
      <c r="H754" s="1">
        <v>197.3</v>
      </c>
      <c r="I754" s="1" t="s">
        <v>998</v>
      </c>
      <c r="J754" s="1" t="s">
        <v>999</v>
      </c>
      <c r="K754" s="1" t="s">
        <v>181</v>
      </c>
      <c r="L754" s="2"/>
      <c r="M754" s="1">
        <v>10166</v>
      </c>
      <c r="N754" s="1" t="s">
        <v>63</v>
      </c>
      <c r="O754" s="11" t="s">
        <v>745</v>
      </c>
    </row>
    <row r="755" spans="1:15">
      <c r="A755" s="6">
        <v>11002</v>
      </c>
      <c r="B755" s="6">
        <v>71</v>
      </c>
      <c r="C755" s="6">
        <v>4</v>
      </c>
      <c r="D755" s="8">
        <v>39544</v>
      </c>
      <c r="E755" s="8">
        <v>39572</v>
      </c>
      <c r="F755" s="8">
        <v>39554</v>
      </c>
      <c r="G755" s="6">
        <v>1</v>
      </c>
      <c r="H755" s="1">
        <v>141.16</v>
      </c>
      <c r="I755" s="1" t="s">
        <v>1044</v>
      </c>
      <c r="J755" s="1" t="s">
        <v>1045</v>
      </c>
      <c r="K755" s="1" t="s">
        <v>458</v>
      </c>
      <c r="L755" s="1" t="s">
        <v>459</v>
      </c>
      <c r="M755" s="1">
        <v>10305</v>
      </c>
      <c r="N755" s="1" t="s">
        <v>229</v>
      </c>
      <c r="O755" s="11" t="s">
        <v>745</v>
      </c>
    </row>
    <row r="756" spans="1:15">
      <c r="A756" s="6">
        <v>11003</v>
      </c>
      <c r="B756" s="6">
        <v>78</v>
      </c>
      <c r="C756" s="6">
        <v>3</v>
      </c>
      <c r="D756" s="8">
        <v>39544</v>
      </c>
      <c r="E756" s="8">
        <v>39572</v>
      </c>
      <c r="F756" s="8">
        <v>39546</v>
      </c>
      <c r="G756" s="6">
        <v>3</v>
      </c>
      <c r="H756" s="1">
        <v>14.91</v>
      </c>
      <c r="I756" s="1" t="s">
        <v>1196</v>
      </c>
      <c r="J756" s="1" t="s">
        <v>1197</v>
      </c>
      <c r="K756" s="1" t="s">
        <v>498</v>
      </c>
      <c r="L756" s="1" t="s">
        <v>499</v>
      </c>
      <c r="M756" s="1">
        <v>10324</v>
      </c>
      <c r="N756" s="1" t="s">
        <v>229</v>
      </c>
      <c r="O756" s="11" t="s">
        <v>745</v>
      </c>
    </row>
    <row r="757" spans="1:15">
      <c r="A757" s="6">
        <v>11004</v>
      </c>
      <c r="B757" s="6">
        <v>50</v>
      </c>
      <c r="C757" s="6">
        <v>3</v>
      </c>
      <c r="D757" s="8">
        <v>39545</v>
      </c>
      <c r="E757" s="8">
        <v>39573</v>
      </c>
      <c r="F757" s="8">
        <v>39558</v>
      </c>
      <c r="G757" s="6">
        <v>1</v>
      </c>
      <c r="H757" s="1">
        <v>44.84</v>
      </c>
      <c r="I757" s="1" t="s">
        <v>1198</v>
      </c>
      <c r="J757" s="1" t="s">
        <v>1199</v>
      </c>
      <c r="K757" s="1" t="s">
        <v>344</v>
      </c>
      <c r="L757" s="2"/>
      <c r="M757" s="1">
        <v>10243</v>
      </c>
      <c r="N757" s="1" t="s">
        <v>345</v>
      </c>
      <c r="O757" s="11" t="s">
        <v>745</v>
      </c>
    </row>
    <row r="758" spans="1:15">
      <c r="A758" s="6">
        <v>11005</v>
      </c>
      <c r="B758" s="6">
        <v>90</v>
      </c>
      <c r="C758" s="6">
        <v>2</v>
      </c>
      <c r="D758" s="8">
        <v>39545</v>
      </c>
      <c r="E758" s="8">
        <v>39573</v>
      </c>
      <c r="F758" s="8">
        <v>39548</v>
      </c>
      <c r="G758" s="6">
        <v>1</v>
      </c>
      <c r="H758" s="1">
        <v>0.75</v>
      </c>
      <c r="I758" s="1" t="s">
        <v>1171</v>
      </c>
      <c r="J758" s="1" t="s">
        <v>568</v>
      </c>
      <c r="K758" s="1" t="s">
        <v>569</v>
      </c>
      <c r="L758" s="2"/>
      <c r="M758" s="1">
        <v>10361</v>
      </c>
      <c r="N758" s="1" t="s">
        <v>551</v>
      </c>
      <c r="O758" s="11" t="s">
        <v>745</v>
      </c>
    </row>
    <row r="759" spans="1:15">
      <c r="A759" s="6">
        <v>11006</v>
      </c>
      <c r="B759" s="6">
        <v>32</v>
      </c>
      <c r="C759" s="6">
        <v>3</v>
      </c>
      <c r="D759" s="8">
        <v>39545</v>
      </c>
      <c r="E759" s="8">
        <v>39573</v>
      </c>
      <c r="F759" s="8">
        <v>39553</v>
      </c>
      <c r="G759" s="6">
        <v>2</v>
      </c>
      <c r="H759" s="1">
        <v>25.19</v>
      </c>
      <c r="I759" s="1" t="s">
        <v>1051</v>
      </c>
      <c r="J759" s="1" t="s">
        <v>1052</v>
      </c>
      <c r="K759" s="1" t="s">
        <v>227</v>
      </c>
      <c r="L759" s="1" t="s">
        <v>228</v>
      </c>
      <c r="M759" s="1">
        <v>10189</v>
      </c>
      <c r="N759" s="1" t="s">
        <v>229</v>
      </c>
      <c r="O759" s="11" t="s">
        <v>745</v>
      </c>
    </row>
    <row r="760" spans="1:15">
      <c r="A760" s="6">
        <v>11007</v>
      </c>
      <c r="B760" s="6">
        <v>60</v>
      </c>
      <c r="C760" s="6">
        <v>8</v>
      </c>
      <c r="D760" s="8">
        <v>39546</v>
      </c>
      <c r="E760" s="8">
        <v>39574</v>
      </c>
      <c r="F760" s="8">
        <v>39551</v>
      </c>
      <c r="G760" s="6">
        <v>2</v>
      </c>
      <c r="H760" s="1">
        <v>202.24</v>
      </c>
      <c r="I760" s="1" t="s">
        <v>1200</v>
      </c>
      <c r="J760" s="1" t="s">
        <v>1201</v>
      </c>
      <c r="K760" s="1" t="s">
        <v>204</v>
      </c>
      <c r="L760" s="2"/>
      <c r="M760" s="1">
        <v>10272</v>
      </c>
      <c r="N760" s="1" t="s">
        <v>205</v>
      </c>
      <c r="O760" s="11" t="s">
        <v>745</v>
      </c>
    </row>
    <row r="761" spans="1:15">
      <c r="A761" s="6">
        <v>11008</v>
      </c>
      <c r="B761" s="6">
        <v>20</v>
      </c>
      <c r="C761" s="6">
        <v>7</v>
      </c>
      <c r="D761" s="8">
        <v>39546</v>
      </c>
      <c r="E761" s="8">
        <v>39574</v>
      </c>
      <c r="F761" s="7"/>
      <c r="G761" s="6">
        <v>3</v>
      </c>
      <c r="H761" s="1">
        <v>79.459999999999994</v>
      </c>
      <c r="I761" s="1" t="s">
        <v>974</v>
      </c>
      <c r="J761" s="1" t="s">
        <v>975</v>
      </c>
      <c r="K761" s="1" t="s">
        <v>157</v>
      </c>
      <c r="L761" s="2"/>
      <c r="M761" s="1">
        <v>10159</v>
      </c>
      <c r="N761" s="1" t="s">
        <v>158</v>
      </c>
      <c r="O761" s="11" t="s">
        <v>745</v>
      </c>
    </row>
    <row r="762" spans="1:15">
      <c r="A762" s="6">
        <v>11009</v>
      </c>
      <c r="B762" s="6">
        <v>30</v>
      </c>
      <c r="C762" s="6">
        <v>2</v>
      </c>
      <c r="D762" s="8">
        <v>39546</v>
      </c>
      <c r="E762" s="8">
        <v>39574</v>
      </c>
      <c r="F762" s="8">
        <v>39548</v>
      </c>
      <c r="G762" s="6">
        <v>1</v>
      </c>
      <c r="H762" s="1">
        <v>59.11</v>
      </c>
      <c r="I762" s="1" t="s">
        <v>1202</v>
      </c>
      <c r="J762" s="1" t="s">
        <v>1203</v>
      </c>
      <c r="K762" s="1" t="s">
        <v>217</v>
      </c>
      <c r="L762" s="2"/>
      <c r="M762" s="1">
        <v>10185</v>
      </c>
      <c r="N762" s="1" t="s">
        <v>84</v>
      </c>
      <c r="O762" s="11" t="s">
        <v>745</v>
      </c>
    </row>
    <row r="763" spans="1:15">
      <c r="A763" s="6">
        <v>11010</v>
      </c>
      <c r="B763" s="6">
        <v>66</v>
      </c>
      <c r="C763" s="6">
        <v>2</v>
      </c>
      <c r="D763" s="8">
        <v>39547</v>
      </c>
      <c r="E763" s="8">
        <v>39575</v>
      </c>
      <c r="F763" s="8">
        <v>39559</v>
      </c>
      <c r="G763" s="6">
        <v>2</v>
      </c>
      <c r="H763" s="1">
        <v>28.71</v>
      </c>
      <c r="I763" s="1" t="s">
        <v>1132</v>
      </c>
      <c r="J763" s="1" t="s">
        <v>1133</v>
      </c>
      <c r="K763" s="1" t="s">
        <v>431</v>
      </c>
      <c r="L763" s="2"/>
      <c r="M763" s="1">
        <v>10288</v>
      </c>
      <c r="N763" s="1" t="s">
        <v>198</v>
      </c>
      <c r="O763" s="11" t="s">
        <v>745</v>
      </c>
    </row>
    <row r="764" spans="1:15">
      <c r="A764" s="6">
        <v>11011</v>
      </c>
      <c r="B764" s="6">
        <v>1</v>
      </c>
      <c r="C764" s="6">
        <v>3</v>
      </c>
      <c r="D764" s="8">
        <v>39547</v>
      </c>
      <c r="E764" s="8">
        <v>39575</v>
      </c>
      <c r="F764" s="8">
        <v>39551</v>
      </c>
      <c r="G764" s="6">
        <v>1</v>
      </c>
      <c r="H764" s="1">
        <v>1.21</v>
      </c>
      <c r="I764" s="1" t="s">
        <v>1099</v>
      </c>
      <c r="J764" s="1" t="s">
        <v>1100</v>
      </c>
      <c r="K764" s="1" t="s">
        <v>35</v>
      </c>
      <c r="L764" s="2"/>
      <c r="M764" s="1">
        <v>10154</v>
      </c>
      <c r="N764" s="1" t="s">
        <v>36</v>
      </c>
      <c r="O764" s="11" t="s">
        <v>745</v>
      </c>
    </row>
    <row r="765" spans="1:15">
      <c r="A765" s="6">
        <v>11012</v>
      </c>
      <c r="B765" s="6">
        <v>25</v>
      </c>
      <c r="C765" s="6">
        <v>1</v>
      </c>
      <c r="D765" s="8">
        <v>39547</v>
      </c>
      <c r="E765" s="8">
        <v>39561</v>
      </c>
      <c r="F765" s="8">
        <v>39555</v>
      </c>
      <c r="G765" s="6">
        <v>3</v>
      </c>
      <c r="H765" s="1">
        <v>242.95</v>
      </c>
      <c r="I765" s="1" t="s">
        <v>1107</v>
      </c>
      <c r="J765" s="1" t="s">
        <v>1108</v>
      </c>
      <c r="K765" s="1" t="s">
        <v>186</v>
      </c>
      <c r="L765" s="2"/>
      <c r="M765" s="1">
        <v>10170</v>
      </c>
      <c r="N765" s="1" t="s">
        <v>36</v>
      </c>
      <c r="O765" s="11" t="s">
        <v>745</v>
      </c>
    </row>
    <row r="766" spans="1:15">
      <c r="A766" s="6">
        <v>11013</v>
      </c>
      <c r="B766" s="6">
        <v>69</v>
      </c>
      <c r="C766" s="6">
        <v>2</v>
      </c>
      <c r="D766" s="8">
        <v>39547</v>
      </c>
      <c r="E766" s="8">
        <v>39575</v>
      </c>
      <c r="F766" s="8">
        <v>39548</v>
      </c>
      <c r="G766" s="6">
        <v>1</v>
      </c>
      <c r="H766" s="1">
        <v>32.99</v>
      </c>
      <c r="I766" s="1" t="s">
        <v>802</v>
      </c>
      <c r="J766" s="1" t="s">
        <v>803</v>
      </c>
      <c r="K766" s="1" t="s">
        <v>83</v>
      </c>
      <c r="L766" s="2"/>
      <c r="M766" s="1">
        <v>10297</v>
      </c>
      <c r="N766" s="1" t="s">
        <v>84</v>
      </c>
      <c r="O766" s="11" t="s">
        <v>745</v>
      </c>
    </row>
    <row r="767" spans="1:15">
      <c r="A767" s="6">
        <v>11014</v>
      </c>
      <c r="B767" s="6">
        <v>47</v>
      </c>
      <c r="C767" s="6">
        <v>2</v>
      </c>
      <c r="D767" s="8">
        <v>39548</v>
      </c>
      <c r="E767" s="8">
        <v>39576</v>
      </c>
      <c r="F767" s="8">
        <v>39553</v>
      </c>
      <c r="G767" s="6">
        <v>3</v>
      </c>
      <c r="H767" s="1">
        <v>23.6</v>
      </c>
      <c r="I767" s="1" t="s">
        <v>1134</v>
      </c>
      <c r="J767" s="1" t="s">
        <v>1135</v>
      </c>
      <c r="K767" s="1" t="s">
        <v>325</v>
      </c>
      <c r="L767" s="1" t="s">
        <v>326</v>
      </c>
      <c r="M767" s="1">
        <v>10230</v>
      </c>
      <c r="N767" s="1" t="s">
        <v>236</v>
      </c>
      <c r="O767" s="11" t="s">
        <v>745</v>
      </c>
    </row>
    <row r="768" spans="1:15">
      <c r="A768" s="6">
        <v>11015</v>
      </c>
      <c r="B768" s="6">
        <v>70</v>
      </c>
      <c r="C768" s="6">
        <v>2</v>
      </c>
      <c r="D768" s="8">
        <v>39548</v>
      </c>
      <c r="E768" s="8">
        <v>39562</v>
      </c>
      <c r="F768" s="8">
        <v>39558</v>
      </c>
      <c r="G768" s="6">
        <v>2</v>
      </c>
      <c r="H768" s="1">
        <v>4.62</v>
      </c>
      <c r="I768" s="1" t="s">
        <v>1182</v>
      </c>
      <c r="J768" s="1" t="s">
        <v>1183</v>
      </c>
      <c r="K768" s="1" t="s">
        <v>451</v>
      </c>
      <c r="L768" s="2"/>
      <c r="M768" s="1">
        <v>10304</v>
      </c>
      <c r="N768" s="1" t="s">
        <v>452</v>
      </c>
      <c r="O768" s="11" t="s">
        <v>745</v>
      </c>
    </row>
    <row r="769" spans="1:15">
      <c r="A769" s="6">
        <v>11016</v>
      </c>
      <c r="B769" s="6">
        <v>4</v>
      </c>
      <c r="C769" s="6">
        <v>9</v>
      </c>
      <c r="D769" s="8">
        <v>39548</v>
      </c>
      <c r="E769" s="8">
        <v>39576</v>
      </c>
      <c r="F769" s="8">
        <v>39551</v>
      </c>
      <c r="G769" s="6">
        <v>2</v>
      </c>
      <c r="H769" s="1">
        <v>33.799999999999997</v>
      </c>
      <c r="I769" s="1" t="s">
        <v>890</v>
      </c>
      <c r="J769" s="1" t="s">
        <v>891</v>
      </c>
      <c r="K769" s="1" t="s">
        <v>892</v>
      </c>
      <c r="L769" s="1" t="s">
        <v>893</v>
      </c>
      <c r="M769" s="1">
        <v>10238</v>
      </c>
      <c r="N769" s="1" t="s">
        <v>55</v>
      </c>
      <c r="O769" s="11" t="s">
        <v>745</v>
      </c>
    </row>
    <row r="770" spans="1:15">
      <c r="A770" s="6">
        <v>11017</v>
      </c>
      <c r="B770" s="6">
        <v>20</v>
      </c>
      <c r="C770" s="6">
        <v>9</v>
      </c>
      <c r="D770" s="8">
        <v>39551</v>
      </c>
      <c r="E770" s="8">
        <v>39579</v>
      </c>
      <c r="F770" s="8">
        <v>39558</v>
      </c>
      <c r="G770" s="6">
        <v>2</v>
      </c>
      <c r="H770" s="1">
        <v>754.26</v>
      </c>
      <c r="I770" s="1" t="s">
        <v>974</v>
      </c>
      <c r="J770" s="1" t="s">
        <v>975</v>
      </c>
      <c r="K770" s="1" t="s">
        <v>157</v>
      </c>
      <c r="L770" s="2"/>
      <c r="M770" s="1">
        <v>10159</v>
      </c>
      <c r="N770" s="1" t="s">
        <v>158</v>
      </c>
      <c r="O770" s="11" t="s">
        <v>745</v>
      </c>
    </row>
    <row r="771" spans="1:15">
      <c r="A771" s="6">
        <v>11018</v>
      </c>
      <c r="B771" s="6">
        <v>48</v>
      </c>
      <c r="C771" s="6">
        <v>4</v>
      </c>
      <c r="D771" s="8">
        <v>39551</v>
      </c>
      <c r="E771" s="8">
        <v>39579</v>
      </c>
      <c r="F771" s="8">
        <v>39554</v>
      </c>
      <c r="G771" s="6">
        <v>2</v>
      </c>
      <c r="H771" s="1">
        <v>11.65</v>
      </c>
      <c r="I771" s="1" t="s">
        <v>835</v>
      </c>
      <c r="J771" s="1" t="s">
        <v>836</v>
      </c>
      <c r="K771" s="1" t="s">
        <v>332</v>
      </c>
      <c r="L771" s="1" t="s">
        <v>228</v>
      </c>
      <c r="M771" s="1">
        <v>10233</v>
      </c>
      <c r="N771" s="1" t="s">
        <v>229</v>
      </c>
      <c r="O771" s="11" t="s">
        <v>745</v>
      </c>
    </row>
    <row r="772" spans="1:15">
      <c r="A772" s="6">
        <v>11019</v>
      </c>
      <c r="B772" s="6">
        <v>64</v>
      </c>
      <c r="C772" s="6">
        <v>6</v>
      </c>
      <c r="D772" s="8">
        <v>39551</v>
      </c>
      <c r="E772" s="8">
        <v>39579</v>
      </c>
      <c r="F772" s="7"/>
      <c r="G772" s="6">
        <v>3</v>
      </c>
      <c r="H772" s="1">
        <v>3.17</v>
      </c>
      <c r="I772" s="1" t="s">
        <v>1125</v>
      </c>
      <c r="J772" s="1" t="s">
        <v>1126</v>
      </c>
      <c r="K772" s="1" t="s">
        <v>110</v>
      </c>
      <c r="L772" s="2"/>
      <c r="M772" s="1">
        <v>10283</v>
      </c>
      <c r="N772" s="1" t="s">
        <v>111</v>
      </c>
      <c r="O772" s="11" t="s">
        <v>745</v>
      </c>
    </row>
    <row r="773" spans="1:15">
      <c r="A773" s="6">
        <v>11020</v>
      </c>
      <c r="B773" s="6">
        <v>56</v>
      </c>
      <c r="C773" s="6">
        <v>2</v>
      </c>
      <c r="D773" s="8">
        <v>39552</v>
      </c>
      <c r="E773" s="8">
        <v>39580</v>
      </c>
      <c r="F773" s="8">
        <v>39554</v>
      </c>
      <c r="G773" s="6">
        <v>2</v>
      </c>
      <c r="H773" s="1">
        <v>43.3</v>
      </c>
      <c r="I773" s="1" t="s">
        <v>949</v>
      </c>
      <c r="J773" s="1" t="s">
        <v>950</v>
      </c>
      <c r="K773" s="1" t="s">
        <v>378</v>
      </c>
      <c r="L773" s="2"/>
      <c r="M773" s="1">
        <v>10259</v>
      </c>
      <c r="N773" s="1" t="s">
        <v>36</v>
      </c>
      <c r="O773" s="11" t="s">
        <v>745</v>
      </c>
    </row>
    <row r="774" spans="1:15">
      <c r="A774" s="6">
        <v>11021</v>
      </c>
      <c r="B774" s="6">
        <v>63</v>
      </c>
      <c r="C774" s="6">
        <v>3</v>
      </c>
      <c r="D774" s="8">
        <v>39552</v>
      </c>
      <c r="E774" s="8">
        <v>39580</v>
      </c>
      <c r="F774" s="8">
        <v>39559</v>
      </c>
      <c r="G774" s="6">
        <v>1</v>
      </c>
      <c r="H774" s="1">
        <v>297.18</v>
      </c>
      <c r="I774" s="1" t="s">
        <v>808</v>
      </c>
      <c r="J774" s="1" t="s">
        <v>809</v>
      </c>
      <c r="K774" s="1" t="s">
        <v>413</v>
      </c>
      <c r="L774" s="2"/>
      <c r="M774" s="1">
        <v>10280</v>
      </c>
      <c r="N774" s="1" t="s">
        <v>36</v>
      </c>
      <c r="O774" s="11" t="s">
        <v>745</v>
      </c>
    </row>
    <row r="775" spans="1:15">
      <c r="A775" s="6">
        <v>11022</v>
      </c>
      <c r="B775" s="6">
        <v>34</v>
      </c>
      <c r="C775" s="6">
        <v>9</v>
      </c>
      <c r="D775" s="8">
        <v>39552</v>
      </c>
      <c r="E775" s="8">
        <v>39580</v>
      </c>
      <c r="F775" s="8">
        <v>39572</v>
      </c>
      <c r="G775" s="6">
        <v>2</v>
      </c>
      <c r="H775" s="1">
        <v>6.27</v>
      </c>
      <c r="I775" s="1" t="s">
        <v>744</v>
      </c>
      <c r="J775" s="1" t="s">
        <v>241</v>
      </c>
      <c r="K775" s="1" t="s">
        <v>242</v>
      </c>
      <c r="L775" s="1" t="s">
        <v>243</v>
      </c>
      <c r="M775" s="1">
        <v>10195</v>
      </c>
      <c r="N775" s="1" t="s">
        <v>129</v>
      </c>
      <c r="O775" s="11" t="s">
        <v>745</v>
      </c>
    </row>
    <row r="776" spans="1:15">
      <c r="A776" s="6">
        <v>11023</v>
      </c>
      <c r="B776" s="6">
        <v>11</v>
      </c>
      <c r="C776" s="6">
        <v>1</v>
      </c>
      <c r="D776" s="8">
        <v>39552</v>
      </c>
      <c r="E776" s="8">
        <v>39566</v>
      </c>
      <c r="F776" s="8">
        <v>39562</v>
      </c>
      <c r="G776" s="6">
        <v>2</v>
      </c>
      <c r="H776" s="1">
        <v>123.83</v>
      </c>
      <c r="I776" s="1" t="s">
        <v>1010</v>
      </c>
      <c r="J776" s="1" t="s">
        <v>1011</v>
      </c>
      <c r="K776" s="1" t="s">
        <v>54</v>
      </c>
      <c r="L776" s="2"/>
      <c r="M776" s="1">
        <v>10133</v>
      </c>
      <c r="N776" s="1" t="s">
        <v>55</v>
      </c>
      <c r="O776" s="11" t="s">
        <v>745</v>
      </c>
    </row>
    <row r="777" spans="1:15">
      <c r="A777" s="6">
        <v>11024</v>
      </c>
      <c r="B777" s="6">
        <v>19</v>
      </c>
      <c r="C777" s="6">
        <v>4</v>
      </c>
      <c r="D777" s="8">
        <v>39553</v>
      </c>
      <c r="E777" s="8">
        <v>39581</v>
      </c>
      <c r="F777" s="8">
        <v>39558</v>
      </c>
      <c r="G777" s="6">
        <v>1</v>
      </c>
      <c r="H777" s="1">
        <v>74.36</v>
      </c>
      <c r="I777" s="1" t="s">
        <v>943</v>
      </c>
      <c r="J777" s="1" t="s">
        <v>944</v>
      </c>
      <c r="K777" s="1" t="s">
        <v>54</v>
      </c>
      <c r="L777" s="2"/>
      <c r="M777" s="1">
        <v>10152</v>
      </c>
      <c r="N777" s="1" t="s">
        <v>55</v>
      </c>
      <c r="O777" s="11" t="s">
        <v>745</v>
      </c>
    </row>
    <row r="778" spans="1:15">
      <c r="A778" s="6">
        <v>11025</v>
      </c>
      <c r="B778" s="6">
        <v>87</v>
      </c>
      <c r="C778" s="6">
        <v>6</v>
      </c>
      <c r="D778" s="8">
        <v>39553</v>
      </c>
      <c r="E778" s="8">
        <v>39581</v>
      </c>
      <c r="F778" s="8">
        <v>39562</v>
      </c>
      <c r="G778" s="6">
        <v>3</v>
      </c>
      <c r="H778" s="1">
        <v>29.17</v>
      </c>
      <c r="I778" s="1" t="s">
        <v>863</v>
      </c>
      <c r="J778" s="1" t="s">
        <v>864</v>
      </c>
      <c r="K778" s="1" t="s">
        <v>550</v>
      </c>
      <c r="L778" s="2"/>
      <c r="M778" s="1">
        <v>10352</v>
      </c>
      <c r="N778" s="1" t="s">
        <v>551</v>
      </c>
      <c r="O778" s="11" t="s">
        <v>745</v>
      </c>
    </row>
    <row r="779" spans="1:15">
      <c r="A779" s="6">
        <v>11026</v>
      </c>
      <c r="B779" s="6">
        <v>27</v>
      </c>
      <c r="C779" s="6">
        <v>4</v>
      </c>
      <c r="D779" s="8">
        <v>39553</v>
      </c>
      <c r="E779" s="8">
        <v>39581</v>
      </c>
      <c r="F779" s="8">
        <v>39566</v>
      </c>
      <c r="G779" s="6">
        <v>1</v>
      </c>
      <c r="H779" s="1">
        <v>47.09</v>
      </c>
      <c r="I779" s="1" t="s">
        <v>1142</v>
      </c>
      <c r="J779" s="1" t="s">
        <v>1143</v>
      </c>
      <c r="K779" s="1" t="s">
        <v>197</v>
      </c>
      <c r="L779" s="2"/>
      <c r="M779" s="1">
        <v>10175</v>
      </c>
      <c r="N779" s="1" t="s">
        <v>198</v>
      </c>
      <c r="O779" s="11" t="s">
        <v>745</v>
      </c>
    </row>
    <row r="780" spans="1:15">
      <c r="A780" s="6">
        <v>11027</v>
      </c>
      <c r="B780" s="6">
        <v>10</v>
      </c>
      <c r="C780" s="6">
        <v>1</v>
      </c>
      <c r="D780" s="8">
        <v>39554</v>
      </c>
      <c r="E780" s="8">
        <v>39582</v>
      </c>
      <c r="F780" s="8">
        <v>39558</v>
      </c>
      <c r="G780" s="6">
        <v>1</v>
      </c>
      <c r="H780" s="1">
        <v>52.52</v>
      </c>
      <c r="I780" s="1" t="s">
        <v>955</v>
      </c>
      <c r="J780" s="1" t="s">
        <v>956</v>
      </c>
      <c r="K780" s="1" t="s">
        <v>97</v>
      </c>
      <c r="L780" s="1" t="s">
        <v>98</v>
      </c>
      <c r="M780" s="1">
        <v>10129</v>
      </c>
      <c r="N780" s="1" t="s">
        <v>99</v>
      </c>
      <c r="O780" s="11" t="s">
        <v>745</v>
      </c>
    </row>
    <row r="781" spans="1:15">
      <c r="A781" s="6">
        <v>11028</v>
      </c>
      <c r="B781" s="6">
        <v>39</v>
      </c>
      <c r="C781" s="6">
        <v>2</v>
      </c>
      <c r="D781" s="8">
        <v>39554</v>
      </c>
      <c r="E781" s="8">
        <v>39582</v>
      </c>
      <c r="F781" s="8">
        <v>39560</v>
      </c>
      <c r="G781" s="6">
        <v>1</v>
      </c>
      <c r="H781" s="1">
        <v>29.59</v>
      </c>
      <c r="I781" s="1" t="s">
        <v>994</v>
      </c>
      <c r="J781" s="1" t="s">
        <v>995</v>
      </c>
      <c r="K781" s="1" t="s">
        <v>276</v>
      </c>
      <c r="L781" s="2"/>
      <c r="M781" s="1">
        <v>10208</v>
      </c>
      <c r="N781" s="1" t="s">
        <v>36</v>
      </c>
      <c r="O781" s="11" t="s">
        <v>745</v>
      </c>
    </row>
    <row r="782" spans="1:15">
      <c r="A782" s="6">
        <v>11029</v>
      </c>
      <c r="B782" s="6">
        <v>14</v>
      </c>
      <c r="C782" s="6">
        <v>4</v>
      </c>
      <c r="D782" s="8">
        <v>39554</v>
      </c>
      <c r="E782" s="8">
        <v>39582</v>
      </c>
      <c r="F782" s="8">
        <v>39565</v>
      </c>
      <c r="G782" s="6">
        <v>1</v>
      </c>
      <c r="H782" s="1">
        <v>47.84</v>
      </c>
      <c r="I782" s="1" t="s">
        <v>752</v>
      </c>
      <c r="J782" s="1" t="s">
        <v>753</v>
      </c>
      <c r="K782" s="1" t="s">
        <v>120</v>
      </c>
      <c r="L782" s="2"/>
      <c r="M782" s="1">
        <v>10139</v>
      </c>
      <c r="N782" s="1" t="s">
        <v>121</v>
      </c>
      <c r="O782" s="11" t="s">
        <v>745</v>
      </c>
    </row>
    <row r="783" spans="1:15">
      <c r="A783" s="6">
        <v>11030</v>
      </c>
      <c r="B783" s="6">
        <v>71</v>
      </c>
      <c r="C783" s="6">
        <v>7</v>
      </c>
      <c r="D783" s="8">
        <v>39555</v>
      </c>
      <c r="E783" s="8">
        <v>39583</v>
      </c>
      <c r="F783" s="8">
        <v>39565</v>
      </c>
      <c r="G783" s="6">
        <v>2</v>
      </c>
      <c r="H783" s="1">
        <v>830.75</v>
      </c>
      <c r="I783" s="1" t="s">
        <v>854</v>
      </c>
      <c r="J783" s="1" t="s">
        <v>457</v>
      </c>
      <c r="K783" s="1" t="s">
        <v>458</v>
      </c>
      <c r="L783" s="1" t="s">
        <v>459</v>
      </c>
      <c r="M783" s="1">
        <v>10307</v>
      </c>
      <c r="N783" s="1" t="s">
        <v>229</v>
      </c>
      <c r="O783" s="11" t="s">
        <v>745</v>
      </c>
    </row>
    <row r="784" spans="1:15">
      <c r="A784" s="6">
        <v>11031</v>
      </c>
      <c r="B784" s="6">
        <v>71</v>
      </c>
      <c r="C784" s="6">
        <v>6</v>
      </c>
      <c r="D784" s="8">
        <v>39555</v>
      </c>
      <c r="E784" s="8">
        <v>39583</v>
      </c>
      <c r="F784" s="8">
        <v>39562</v>
      </c>
      <c r="G784" s="6">
        <v>2</v>
      </c>
      <c r="H784" s="1">
        <v>227.22</v>
      </c>
      <c r="I784" s="1" t="s">
        <v>854</v>
      </c>
      <c r="J784" s="1" t="s">
        <v>457</v>
      </c>
      <c r="K784" s="1" t="s">
        <v>458</v>
      </c>
      <c r="L784" s="1" t="s">
        <v>459</v>
      </c>
      <c r="M784" s="1">
        <v>10307</v>
      </c>
      <c r="N784" s="1" t="s">
        <v>229</v>
      </c>
      <c r="O784" s="11" t="s">
        <v>745</v>
      </c>
    </row>
    <row r="785" spans="1:15">
      <c r="A785" s="6">
        <v>11032</v>
      </c>
      <c r="B785" s="6">
        <v>89</v>
      </c>
      <c r="C785" s="6">
        <v>2</v>
      </c>
      <c r="D785" s="8">
        <v>39555</v>
      </c>
      <c r="E785" s="8">
        <v>39583</v>
      </c>
      <c r="F785" s="8">
        <v>39561</v>
      </c>
      <c r="G785" s="6">
        <v>3</v>
      </c>
      <c r="H785" s="1">
        <v>606.19000000000005</v>
      </c>
      <c r="I785" s="1" t="s">
        <v>781</v>
      </c>
      <c r="J785" s="1" t="s">
        <v>782</v>
      </c>
      <c r="K785" s="1" t="s">
        <v>562</v>
      </c>
      <c r="L785" s="1" t="s">
        <v>300</v>
      </c>
      <c r="M785" s="1">
        <v>10357</v>
      </c>
      <c r="N785" s="1" t="s">
        <v>229</v>
      </c>
      <c r="O785" s="11" t="s">
        <v>745</v>
      </c>
    </row>
    <row r="786" spans="1:15">
      <c r="A786" s="6">
        <v>11033</v>
      </c>
      <c r="B786" s="6">
        <v>68</v>
      </c>
      <c r="C786" s="6">
        <v>7</v>
      </c>
      <c r="D786" s="8">
        <v>39555</v>
      </c>
      <c r="E786" s="8">
        <v>39583</v>
      </c>
      <c r="F786" s="8">
        <v>39561</v>
      </c>
      <c r="G786" s="6">
        <v>3</v>
      </c>
      <c r="H786" s="1">
        <v>84.74</v>
      </c>
      <c r="I786" s="1" t="s">
        <v>754</v>
      </c>
      <c r="J786" s="1" t="s">
        <v>755</v>
      </c>
      <c r="K786" s="1" t="s">
        <v>441</v>
      </c>
      <c r="L786" s="2"/>
      <c r="M786" s="1">
        <v>10294</v>
      </c>
      <c r="N786" s="1" t="s">
        <v>121</v>
      </c>
      <c r="O786" s="11" t="s">
        <v>745</v>
      </c>
    </row>
    <row r="787" spans="1:15">
      <c r="A787" s="6">
        <v>11034</v>
      </c>
      <c r="B787" s="6">
        <v>55</v>
      </c>
      <c r="C787" s="6">
        <v>8</v>
      </c>
      <c r="D787" s="8">
        <v>39558</v>
      </c>
      <c r="E787" s="8">
        <v>39600</v>
      </c>
      <c r="F787" s="8">
        <v>39565</v>
      </c>
      <c r="G787" s="6">
        <v>1</v>
      </c>
      <c r="H787" s="1">
        <v>40.32</v>
      </c>
      <c r="I787" s="1" t="s">
        <v>833</v>
      </c>
      <c r="J787" s="1" t="s">
        <v>834</v>
      </c>
      <c r="K787" s="1" t="s">
        <v>371</v>
      </c>
      <c r="L787" s="1" t="s">
        <v>372</v>
      </c>
      <c r="M787" s="1">
        <v>10256</v>
      </c>
      <c r="N787" s="1" t="s">
        <v>229</v>
      </c>
      <c r="O787" s="11" t="s">
        <v>745</v>
      </c>
    </row>
    <row r="788" spans="1:15">
      <c r="A788" s="6">
        <v>11035</v>
      </c>
      <c r="B788" s="6">
        <v>76</v>
      </c>
      <c r="C788" s="6">
        <v>2</v>
      </c>
      <c r="D788" s="8">
        <v>39558</v>
      </c>
      <c r="E788" s="8">
        <v>39586</v>
      </c>
      <c r="F788" s="8">
        <v>39562</v>
      </c>
      <c r="G788" s="6">
        <v>2</v>
      </c>
      <c r="H788" s="1">
        <v>0.17</v>
      </c>
      <c r="I788" s="1" t="s">
        <v>748</v>
      </c>
      <c r="J788" s="1" t="s">
        <v>749</v>
      </c>
      <c r="K788" s="1" t="s">
        <v>488</v>
      </c>
      <c r="L788" s="2"/>
      <c r="M788" s="1">
        <v>10318</v>
      </c>
      <c r="N788" s="1" t="s">
        <v>345</v>
      </c>
      <c r="O788" s="11" t="s">
        <v>745</v>
      </c>
    </row>
    <row r="789" spans="1:15">
      <c r="A789" s="6">
        <v>11036</v>
      </c>
      <c r="B789" s="6">
        <v>17</v>
      </c>
      <c r="C789" s="6">
        <v>8</v>
      </c>
      <c r="D789" s="8">
        <v>39558</v>
      </c>
      <c r="E789" s="8">
        <v>39586</v>
      </c>
      <c r="F789" s="8">
        <v>39560</v>
      </c>
      <c r="G789" s="6">
        <v>3</v>
      </c>
      <c r="H789" s="1">
        <v>149.47</v>
      </c>
      <c r="I789" s="1" t="s">
        <v>1204</v>
      </c>
      <c r="J789" s="1" t="s">
        <v>1205</v>
      </c>
      <c r="K789" s="1" t="s">
        <v>139</v>
      </c>
      <c r="L789" s="2"/>
      <c r="M789" s="1">
        <v>10146</v>
      </c>
      <c r="N789" s="1" t="s">
        <v>36</v>
      </c>
      <c r="O789" s="11" t="s">
        <v>745</v>
      </c>
    </row>
    <row r="790" spans="1:15">
      <c r="A790" s="6">
        <v>11037</v>
      </c>
      <c r="B790" s="6">
        <v>30</v>
      </c>
      <c r="C790" s="6">
        <v>7</v>
      </c>
      <c r="D790" s="8">
        <v>39559</v>
      </c>
      <c r="E790" s="8">
        <v>39587</v>
      </c>
      <c r="F790" s="8">
        <v>39565</v>
      </c>
      <c r="G790" s="6">
        <v>1</v>
      </c>
      <c r="H790" s="1">
        <v>3.2</v>
      </c>
      <c r="I790" s="1" t="s">
        <v>1063</v>
      </c>
      <c r="J790" s="1" t="s">
        <v>1064</v>
      </c>
      <c r="K790" s="1" t="s">
        <v>217</v>
      </c>
      <c r="L790" s="2"/>
      <c r="M790" s="1">
        <v>10184</v>
      </c>
      <c r="N790" s="1" t="s">
        <v>84</v>
      </c>
      <c r="O790" s="11" t="s">
        <v>745</v>
      </c>
    </row>
    <row r="791" spans="1:15">
      <c r="A791" s="6">
        <v>11038</v>
      </c>
      <c r="B791" s="6">
        <v>76</v>
      </c>
      <c r="C791" s="6">
        <v>1</v>
      </c>
      <c r="D791" s="8">
        <v>39559</v>
      </c>
      <c r="E791" s="8">
        <v>39587</v>
      </c>
      <c r="F791" s="8">
        <v>39568</v>
      </c>
      <c r="G791" s="6">
        <v>2</v>
      </c>
      <c r="H791" s="1">
        <v>29.59</v>
      </c>
      <c r="I791" s="1" t="s">
        <v>996</v>
      </c>
      <c r="J791" s="1" t="s">
        <v>997</v>
      </c>
      <c r="K791" s="1" t="s">
        <v>488</v>
      </c>
      <c r="L791" s="2"/>
      <c r="M791" s="1">
        <v>10317</v>
      </c>
      <c r="N791" s="1" t="s">
        <v>345</v>
      </c>
      <c r="O791" s="11" t="s">
        <v>745</v>
      </c>
    </row>
    <row r="792" spans="1:15">
      <c r="A792" s="6">
        <v>11039</v>
      </c>
      <c r="B792" s="6">
        <v>47</v>
      </c>
      <c r="C792" s="6">
        <v>1</v>
      </c>
      <c r="D792" s="8">
        <v>39559</v>
      </c>
      <c r="E792" s="8">
        <v>39587</v>
      </c>
      <c r="F792" s="7"/>
      <c r="G792" s="6">
        <v>2</v>
      </c>
      <c r="H792" s="1">
        <v>65</v>
      </c>
      <c r="I792" s="1" t="s">
        <v>1206</v>
      </c>
      <c r="J792" s="1" t="s">
        <v>324</v>
      </c>
      <c r="K792" s="1" t="s">
        <v>325</v>
      </c>
      <c r="L792" s="1" t="s">
        <v>326</v>
      </c>
      <c r="M792" s="1">
        <v>10232</v>
      </c>
      <c r="N792" s="1" t="s">
        <v>236</v>
      </c>
      <c r="O792" s="11" t="s">
        <v>745</v>
      </c>
    </row>
    <row r="793" spans="1:15">
      <c r="A793" s="6">
        <v>11040</v>
      </c>
      <c r="B793" s="6">
        <v>32</v>
      </c>
      <c r="C793" s="6">
        <v>4</v>
      </c>
      <c r="D793" s="8">
        <v>39560</v>
      </c>
      <c r="E793" s="8">
        <v>39588</v>
      </c>
      <c r="F793" s="7"/>
      <c r="G793" s="6">
        <v>3</v>
      </c>
      <c r="H793" s="1">
        <v>18.84</v>
      </c>
      <c r="I793" s="1" t="s">
        <v>1207</v>
      </c>
      <c r="J793" s="1" t="s">
        <v>1208</v>
      </c>
      <c r="K793" s="1" t="s">
        <v>227</v>
      </c>
      <c r="L793" s="1" t="s">
        <v>228</v>
      </c>
      <c r="M793" s="1">
        <v>10191</v>
      </c>
      <c r="N793" s="1" t="s">
        <v>229</v>
      </c>
      <c r="O793" s="11" t="s">
        <v>745</v>
      </c>
    </row>
    <row r="794" spans="1:15">
      <c r="A794" s="6">
        <v>11041</v>
      </c>
      <c r="B794" s="6">
        <v>14</v>
      </c>
      <c r="C794" s="6">
        <v>3</v>
      </c>
      <c r="D794" s="8">
        <v>39560</v>
      </c>
      <c r="E794" s="8">
        <v>39588</v>
      </c>
      <c r="F794" s="8">
        <v>39566</v>
      </c>
      <c r="G794" s="6">
        <v>2</v>
      </c>
      <c r="H794" s="1">
        <v>48.22</v>
      </c>
      <c r="I794" s="1" t="s">
        <v>752</v>
      </c>
      <c r="J794" s="1" t="s">
        <v>753</v>
      </c>
      <c r="K794" s="1" t="s">
        <v>120</v>
      </c>
      <c r="L794" s="2"/>
      <c r="M794" s="1">
        <v>10139</v>
      </c>
      <c r="N794" s="1" t="s">
        <v>121</v>
      </c>
      <c r="O794" s="11" t="s">
        <v>745</v>
      </c>
    </row>
    <row r="795" spans="1:15">
      <c r="A795" s="6">
        <v>11042</v>
      </c>
      <c r="B795" s="6">
        <v>15</v>
      </c>
      <c r="C795" s="6">
        <v>2</v>
      </c>
      <c r="D795" s="8">
        <v>39560</v>
      </c>
      <c r="E795" s="8">
        <v>39574</v>
      </c>
      <c r="F795" s="8">
        <v>39569</v>
      </c>
      <c r="G795" s="6">
        <v>1</v>
      </c>
      <c r="H795" s="1">
        <v>29.99</v>
      </c>
      <c r="I795" s="1" t="s">
        <v>1030</v>
      </c>
      <c r="J795" s="1" t="s">
        <v>1031</v>
      </c>
      <c r="K795" s="1" t="s">
        <v>127</v>
      </c>
      <c r="L795" s="1" t="s">
        <v>128</v>
      </c>
      <c r="M795" s="1">
        <v>10141</v>
      </c>
      <c r="N795" s="1" t="s">
        <v>129</v>
      </c>
      <c r="O795" s="11" t="s">
        <v>745</v>
      </c>
    </row>
    <row r="796" spans="1:15">
      <c r="A796" s="6">
        <v>11043</v>
      </c>
      <c r="B796" s="6">
        <v>74</v>
      </c>
      <c r="C796" s="6">
        <v>5</v>
      </c>
      <c r="D796" s="8">
        <v>39560</v>
      </c>
      <c r="E796" s="8">
        <v>39588</v>
      </c>
      <c r="F796" s="8">
        <v>39567</v>
      </c>
      <c r="G796" s="6">
        <v>2</v>
      </c>
      <c r="H796" s="1">
        <v>8.8000000000000007</v>
      </c>
      <c r="I796" s="1" t="s">
        <v>1180</v>
      </c>
      <c r="J796" s="1" t="s">
        <v>1181</v>
      </c>
      <c r="K796" s="1" t="s">
        <v>384</v>
      </c>
      <c r="L796" s="2"/>
      <c r="M796" s="1">
        <v>10313</v>
      </c>
      <c r="N796" s="1" t="s">
        <v>77</v>
      </c>
      <c r="O796" s="11" t="s">
        <v>745</v>
      </c>
    </row>
    <row r="797" spans="1:15">
      <c r="A797" s="6">
        <v>11044</v>
      </c>
      <c r="B797" s="6">
        <v>91</v>
      </c>
      <c r="C797" s="6">
        <v>4</v>
      </c>
      <c r="D797" s="8">
        <v>39561</v>
      </c>
      <c r="E797" s="8">
        <v>39589</v>
      </c>
      <c r="F797" s="8">
        <v>39569</v>
      </c>
      <c r="G797" s="6">
        <v>1</v>
      </c>
      <c r="H797" s="1">
        <v>8.7200000000000006</v>
      </c>
      <c r="I797" s="1" t="s">
        <v>1086</v>
      </c>
      <c r="J797" s="1" t="s">
        <v>574</v>
      </c>
      <c r="K797" s="1" t="s">
        <v>575</v>
      </c>
      <c r="L797" s="2"/>
      <c r="M797" s="1">
        <v>10365</v>
      </c>
      <c r="N797" s="1" t="s">
        <v>576</v>
      </c>
      <c r="O797" s="11" t="s">
        <v>745</v>
      </c>
    </row>
    <row r="798" spans="1:15">
      <c r="A798" s="6">
        <v>11045</v>
      </c>
      <c r="B798" s="6">
        <v>10</v>
      </c>
      <c r="C798" s="6">
        <v>6</v>
      </c>
      <c r="D798" s="8">
        <v>39561</v>
      </c>
      <c r="E798" s="8">
        <v>39589</v>
      </c>
      <c r="F798" s="7"/>
      <c r="G798" s="6">
        <v>2</v>
      </c>
      <c r="H798" s="1">
        <v>70.58</v>
      </c>
      <c r="I798" s="1" t="s">
        <v>1138</v>
      </c>
      <c r="J798" s="1" t="s">
        <v>1139</v>
      </c>
      <c r="K798" s="1" t="s">
        <v>97</v>
      </c>
      <c r="L798" s="1" t="s">
        <v>98</v>
      </c>
      <c r="M798" s="1">
        <v>10131</v>
      </c>
      <c r="N798" s="1" t="s">
        <v>99</v>
      </c>
      <c r="O798" s="11" t="s">
        <v>745</v>
      </c>
    </row>
    <row r="799" spans="1:15">
      <c r="A799" s="6">
        <v>11046</v>
      </c>
      <c r="B799" s="6">
        <v>86</v>
      </c>
      <c r="C799" s="6">
        <v>8</v>
      </c>
      <c r="D799" s="8">
        <v>39561</v>
      </c>
      <c r="E799" s="8">
        <v>39589</v>
      </c>
      <c r="F799" s="8">
        <v>39562</v>
      </c>
      <c r="G799" s="6">
        <v>2</v>
      </c>
      <c r="H799" s="1">
        <v>71.64</v>
      </c>
      <c r="I799" s="1" t="s">
        <v>1095</v>
      </c>
      <c r="J799" s="1" t="s">
        <v>1096</v>
      </c>
      <c r="K799" s="1" t="s">
        <v>544</v>
      </c>
      <c r="L799" s="2"/>
      <c r="M799" s="1">
        <v>10349</v>
      </c>
      <c r="N799" s="1" t="s">
        <v>36</v>
      </c>
      <c r="O799" s="11" t="s">
        <v>745</v>
      </c>
    </row>
    <row r="800" spans="1:15">
      <c r="A800" s="6">
        <v>11047</v>
      </c>
      <c r="B800" s="6">
        <v>19</v>
      </c>
      <c r="C800" s="6">
        <v>7</v>
      </c>
      <c r="D800" s="8">
        <v>39562</v>
      </c>
      <c r="E800" s="8">
        <v>39590</v>
      </c>
      <c r="F800" s="8">
        <v>39569</v>
      </c>
      <c r="G800" s="6">
        <v>3</v>
      </c>
      <c r="H800" s="1">
        <v>46.62</v>
      </c>
      <c r="I800" s="1" t="s">
        <v>1131</v>
      </c>
      <c r="J800" s="1" t="s">
        <v>150</v>
      </c>
      <c r="K800" s="1" t="s">
        <v>54</v>
      </c>
      <c r="L800" s="2"/>
      <c r="M800" s="1">
        <v>10153</v>
      </c>
      <c r="N800" s="1" t="s">
        <v>55</v>
      </c>
      <c r="O800" s="11" t="s">
        <v>745</v>
      </c>
    </row>
    <row r="801" spans="1:15">
      <c r="A801" s="6">
        <v>11048</v>
      </c>
      <c r="B801" s="6">
        <v>10</v>
      </c>
      <c r="C801" s="6">
        <v>7</v>
      </c>
      <c r="D801" s="8">
        <v>39562</v>
      </c>
      <c r="E801" s="8">
        <v>39590</v>
      </c>
      <c r="F801" s="8">
        <v>39568</v>
      </c>
      <c r="G801" s="6">
        <v>3</v>
      </c>
      <c r="H801" s="1">
        <v>24.12</v>
      </c>
      <c r="I801" s="1" t="s">
        <v>955</v>
      </c>
      <c r="J801" s="1" t="s">
        <v>956</v>
      </c>
      <c r="K801" s="1" t="s">
        <v>97</v>
      </c>
      <c r="L801" s="1" t="s">
        <v>98</v>
      </c>
      <c r="M801" s="1">
        <v>10129</v>
      </c>
      <c r="N801" s="1" t="s">
        <v>99</v>
      </c>
      <c r="O801" s="11" t="s">
        <v>745</v>
      </c>
    </row>
    <row r="802" spans="1:15">
      <c r="A802" s="6">
        <v>11049</v>
      </c>
      <c r="B802" s="6">
        <v>31</v>
      </c>
      <c r="C802" s="6">
        <v>3</v>
      </c>
      <c r="D802" s="8">
        <v>39562</v>
      </c>
      <c r="E802" s="8">
        <v>39590</v>
      </c>
      <c r="F802" s="8">
        <v>39572</v>
      </c>
      <c r="G802" s="6">
        <v>1</v>
      </c>
      <c r="H802" s="1">
        <v>8.34</v>
      </c>
      <c r="I802" s="1" t="s">
        <v>1152</v>
      </c>
      <c r="J802" s="1" t="s">
        <v>1153</v>
      </c>
      <c r="K802" s="1" t="s">
        <v>222</v>
      </c>
      <c r="L802" s="1" t="s">
        <v>128</v>
      </c>
      <c r="M802" s="1">
        <v>10186</v>
      </c>
      <c r="N802" s="1" t="s">
        <v>129</v>
      </c>
      <c r="O802" s="11" t="s">
        <v>745</v>
      </c>
    </row>
    <row r="803" spans="1:15">
      <c r="A803" s="6">
        <v>11050</v>
      </c>
      <c r="B803" s="6">
        <v>24</v>
      </c>
      <c r="C803" s="6">
        <v>8</v>
      </c>
      <c r="D803" s="8">
        <v>39565</v>
      </c>
      <c r="E803" s="8">
        <v>39593</v>
      </c>
      <c r="F803" s="8">
        <v>39573</v>
      </c>
      <c r="G803" s="6">
        <v>2</v>
      </c>
      <c r="H803" s="1">
        <v>59.41</v>
      </c>
      <c r="I803" s="1" t="s">
        <v>998</v>
      </c>
      <c r="J803" s="1" t="s">
        <v>999</v>
      </c>
      <c r="K803" s="1" t="s">
        <v>181</v>
      </c>
      <c r="L803" s="2"/>
      <c r="M803" s="1">
        <v>10166</v>
      </c>
      <c r="N803" s="1" t="s">
        <v>63</v>
      </c>
      <c r="O803" s="11" t="s">
        <v>745</v>
      </c>
    </row>
    <row r="804" spans="1:15">
      <c r="A804" s="6">
        <v>11051</v>
      </c>
      <c r="B804" s="6">
        <v>41</v>
      </c>
      <c r="C804" s="6">
        <v>7</v>
      </c>
      <c r="D804" s="8">
        <v>39565</v>
      </c>
      <c r="E804" s="8">
        <v>39593</v>
      </c>
      <c r="F804" s="7"/>
      <c r="G804" s="6">
        <v>3</v>
      </c>
      <c r="H804" s="1">
        <v>2.79</v>
      </c>
      <c r="I804" s="1" t="s">
        <v>1028</v>
      </c>
      <c r="J804" s="1" t="s">
        <v>1029</v>
      </c>
      <c r="K804" s="1" t="s">
        <v>287</v>
      </c>
      <c r="L804" s="2"/>
      <c r="M804" s="1">
        <v>10216</v>
      </c>
      <c r="N804" s="1" t="s">
        <v>77</v>
      </c>
      <c r="O804" s="11" t="s">
        <v>745</v>
      </c>
    </row>
    <row r="805" spans="1:15">
      <c r="A805" s="6">
        <v>11052</v>
      </c>
      <c r="B805" s="6">
        <v>34</v>
      </c>
      <c r="C805" s="6">
        <v>3</v>
      </c>
      <c r="D805" s="8">
        <v>39565</v>
      </c>
      <c r="E805" s="8">
        <v>39593</v>
      </c>
      <c r="F805" s="8">
        <v>39569</v>
      </c>
      <c r="G805" s="6">
        <v>1</v>
      </c>
      <c r="H805" s="1">
        <v>67.260000000000005</v>
      </c>
      <c r="I805" s="1" t="s">
        <v>1101</v>
      </c>
      <c r="J805" s="1" t="s">
        <v>1102</v>
      </c>
      <c r="K805" s="1" t="s">
        <v>242</v>
      </c>
      <c r="L805" s="1" t="s">
        <v>243</v>
      </c>
      <c r="M805" s="1">
        <v>10194</v>
      </c>
      <c r="N805" s="1" t="s">
        <v>129</v>
      </c>
      <c r="O805" s="11" t="s">
        <v>745</v>
      </c>
    </row>
    <row r="806" spans="1:15">
      <c r="A806" s="6">
        <v>11053</v>
      </c>
      <c r="B806" s="6">
        <v>59</v>
      </c>
      <c r="C806" s="6">
        <v>2</v>
      </c>
      <c r="D806" s="8">
        <v>39565</v>
      </c>
      <c r="E806" s="8">
        <v>39593</v>
      </c>
      <c r="F806" s="8">
        <v>39567</v>
      </c>
      <c r="G806" s="6">
        <v>2</v>
      </c>
      <c r="H806" s="1">
        <v>53.05</v>
      </c>
      <c r="I806" s="1" t="s">
        <v>934</v>
      </c>
      <c r="J806" s="1" t="s">
        <v>935</v>
      </c>
      <c r="K806" s="1" t="s">
        <v>394</v>
      </c>
      <c r="L806" s="2"/>
      <c r="M806" s="1">
        <v>10264</v>
      </c>
      <c r="N806" s="1" t="s">
        <v>158</v>
      </c>
      <c r="O806" s="11" t="s">
        <v>745</v>
      </c>
    </row>
    <row r="807" spans="1:15">
      <c r="A807" s="6">
        <v>11054</v>
      </c>
      <c r="B807" s="6">
        <v>12</v>
      </c>
      <c r="C807" s="6">
        <v>8</v>
      </c>
      <c r="D807" s="8">
        <v>39566</v>
      </c>
      <c r="E807" s="8">
        <v>39594</v>
      </c>
      <c r="F807" s="7"/>
      <c r="G807" s="6">
        <v>1</v>
      </c>
      <c r="H807" s="1">
        <v>0.33</v>
      </c>
      <c r="I807" s="1" t="s">
        <v>1049</v>
      </c>
      <c r="J807" s="1" t="s">
        <v>1050</v>
      </c>
      <c r="K807" s="1" t="s">
        <v>110</v>
      </c>
      <c r="L807" s="2"/>
      <c r="M807" s="1">
        <v>10134</v>
      </c>
      <c r="N807" s="1" t="s">
        <v>111</v>
      </c>
      <c r="O807" s="11" t="s">
        <v>745</v>
      </c>
    </row>
    <row r="808" spans="1:15">
      <c r="A808" s="6">
        <v>11055</v>
      </c>
      <c r="B808" s="6">
        <v>35</v>
      </c>
      <c r="C808" s="6">
        <v>7</v>
      </c>
      <c r="D808" s="8">
        <v>39566</v>
      </c>
      <c r="E808" s="8">
        <v>39594</v>
      </c>
      <c r="F808" s="8">
        <v>39573</v>
      </c>
      <c r="G808" s="6">
        <v>2</v>
      </c>
      <c r="H808" s="1">
        <v>120.92</v>
      </c>
      <c r="I808" s="1" t="s">
        <v>758</v>
      </c>
      <c r="J808" s="1" t="s">
        <v>759</v>
      </c>
      <c r="K808" s="1" t="s">
        <v>249</v>
      </c>
      <c r="L808" s="1" t="s">
        <v>250</v>
      </c>
      <c r="M808" s="1">
        <v>10199</v>
      </c>
      <c r="N808" s="1" t="s">
        <v>236</v>
      </c>
      <c r="O808" s="11" t="s">
        <v>745</v>
      </c>
    </row>
    <row r="809" spans="1:15">
      <c r="A809" s="6">
        <v>11056</v>
      </c>
      <c r="B809" s="6">
        <v>19</v>
      </c>
      <c r="C809" s="6">
        <v>8</v>
      </c>
      <c r="D809" s="8">
        <v>39566</v>
      </c>
      <c r="E809" s="8">
        <v>39580</v>
      </c>
      <c r="F809" s="8">
        <v>39569</v>
      </c>
      <c r="G809" s="6">
        <v>2</v>
      </c>
      <c r="H809" s="1">
        <v>278.95999999999998</v>
      </c>
      <c r="I809" s="1" t="s">
        <v>906</v>
      </c>
      <c r="J809" s="1" t="s">
        <v>907</v>
      </c>
      <c r="K809" s="1" t="s">
        <v>54</v>
      </c>
      <c r="L809" s="2"/>
      <c r="M809" s="1">
        <v>10151</v>
      </c>
      <c r="N809" s="1" t="s">
        <v>55</v>
      </c>
      <c r="O809" s="11" t="s">
        <v>745</v>
      </c>
    </row>
    <row r="810" spans="1:15">
      <c r="A810" s="6">
        <v>11057</v>
      </c>
      <c r="B810" s="6">
        <v>53</v>
      </c>
      <c r="C810" s="6">
        <v>3</v>
      </c>
      <c r="D810" s="8">
        <v>39567</v>
      </c>
      <c r="E810" s="8">
        <v>39595</v>
      </c>
      <c r="F810" s="8">
        <v>39569</v>
      </c>
      <c r="G810" s="6">
        <v>3</v>
      </c>
      <c r="H810" s="1">
        <v>4.13</v>
      </c>
      <c r="I810" s="1" t="s">
        <v>1140</v>
      </c>
      <c r="J810" s="1" t="s">
        <v>1141</v>
      </c>
      <c r="K810" s="1" t="s">
        <v>54</v>
      </c>
      <c r="L810" s="2"/>
      <c r="M810" s="1">
        <v>10251</v>
      </c>
      <c r="N810" s="1" t="s">
        <v>55</v>
      </c>
      <c r="O810" s="11" t="s">
        <v>745</v>
      </c>
    </row>
    <row r="811" spans="1:15">
      <c r="A811" s="6">
        <v>11058</v>
      </c>
      <c r="B811" s="6">
        <v>6</v>
      </c>
      <c r="C811" s="6">
        <v>9</v>
      </c>
      <c r="D811" s="8">
        <v>39567</v>
      </c>
      <c r="E811" s="8">
        <v>39595</v>
      </c>
      <c r="F811" s="7"/>
      <c r="G811" s="6">
        <v>3</v>
      </c>
      <c r="H811" s="1">
        <v>31.14</v>
      </c>
      <c r="I811" s="1" t="s">
        <v>1042</v>
      </c>
      <c r="J811" s="1" t="s">
        <v>1043</v>
      </c>
      <c r="K811" s="1" t="s">
        <v>69</v>
      </c>
      <c r="L811" s="2"/>
      <c r="M811" s="1">
        <v>10300</v>
      </c>
      <c r="N811" s="1" t="s">
        <v>36</v>
      </c>
      <c r="O811" s="11" t="s">
        <v>745</v>
      </c>
    </row>
    <row r="812" spans="1:15">
      <c r="A812" s="6">
        <v>11059</v>
      </c>
      <c r="B812" s="6">
        <v>67</v>
      </c>
      <c r="C812" s="6">
        <v>2</v>
      </c>
      <c r="D812" s="8">
        <v>39567</v>
      </c>
      <c r="E812" s="8">
        <v>39609</v>
      </c>
      <c r="F812" s="7"/>
      <c r="G812" s="6">
        <v>2</v>
      </c>
      <c r="H812" s="1">
        <v>85.8</v>
      </c>
      <c r="I812" s="1" t="s">
        <v>810</v>
      </c>
      <c r="J812" s="1" t="s">
        <v>811</v>
      </c>
      <c r="K812" s="1" t="s">
        <v>242</v>
      </c>
      <c r="L812" s="1" t="s">
        <v>243</v>
      </c>
      <c r="M812" s="1">
        <v>10291</v>
      </c>
      <c r="N812" s="1" t="s">
        <v>129</v>
      </c>
      <c r="O812" s="11" t="s">
        <v>745</v>
      </c>
    </row>
    <row r="813" spans="1:15">
      <c r="A813" s="6">
        <v>11060</v>
      </c>
      <c r="B813" s="6">
        <v>27</v>
      </c>
      <c r="C813" s="6">
        <v>2</v>
      </c>
      <c r="D813" s="8">
        <v>39568</v>
      </c>
      <c r="E813" s="8">
        <v>39596</v>
      </c>
      <c r="F813" s="8">
        <v>39572</v>
      </c>
      <c r="G813" s="6">
        <v>2</v>
      </c>
      <c r="H813" s="1">
        <v>10.98</v>
      </c>
      <c r="I813" s="1" t="s">
        <v>1142</v>
      </c>
      <c r="J813" s="1" t="s">
        <v>1143</v>
      </c>
      <c r="K813" s="1" t="s">
        <v>197</v>
      </c>
      <c r="L813" s="2"/>
      <c r="M813" s="1">
        <v>10175</v>
      </c>
      <c r="N813" s="1" t="s">
        <v>198</v>
      </c>
      <c r="O813" s="11" t="s">
        <v>745</v>
      </c>
    </row>
    <row r="814" spans="1:15">
      <c r="A814" s="6">
        <v>11061</v>
      </c>
      <c r="B814" s="6">
        <v>32</v>
      </c>
      <c r="C814" s="6">
        <v>4</v>
      </c>
      <c r="D814" s="8">
        <v>39568</v>
      </c>
      <c r="E814" s="8">
        <v>39610</v>
      </c>
      <c r="F814" s="7"/>
      <c r="G814" s="6">
        <v>3</v>
      </c>
      <c r="H814" s="1">
        <v>14.01</v>
      </c>
      <c r="I814" s="1" t="s">
        <v>1207</v>
      </c>
      <c r="J814" s="1" t="s">
        <v>1208</v>
      </c>
      <c r="K814" s="1" t="s">
        <v>227</v>
      </c>
      <c r="L814" s="1" t="s">
        <v>228</v>
      </c>
      <c r="M814" s="1">
        <v>10191</v>
      </c>
      <c r="N814" s="1" t="s">
        <v>229</v>
      </c>
      <c r="O814" s="11" t="s">
        <v>745</v>
      </c>
    </row>
    <row r="815" spans="1:15">
      <c r="A815" s="6">
        <v>11062</v>
      </c>
      <c r="B815" s="6">
        <v>66</v>
      </c>
      <c r="C815" s="6">
        <v>4</v>
      </c>
      <c r="D815" s="8">
        <v>39568</v>
      </c>
      <c r="E815" s="8">
        <v>39596</v>
      </c>
      <c r="F815" s="7"/>
      <c r="G815" s="6">
        <v>2</v>
      </c>
      <c r="H815" s="1">
        <v>29.93</v>
      </c>
      <c r="I815" s="1" t="s">
        <v>1069</v>
      </c>
      <c r="J815" s="1" t="s">
        <v>1070</v>
      </c>
      <c r="K815" s="1" t="s">
        <v>431</v>
      </c>
      <c r="L815" s="2"/>
      <c r="M815" s="1">
        <v>10289</v>
      </c>
      <c r="N815" s="1" t="s">
        <v>198</v>
      </c>
      <c r="O815" s="11" t="s">
        <v>745</v>
      </c>
    </row>
    <row r="816" spans="1:15">
      <c r="A816" s="6">
        <v>11063</v>
      </c>
      <c r="B816" s="6">
        <v>37</v>
      </c>
      <c r="C816" s="6">
        <v>3</v>
      </c>
      <c r="D816" s="8">
        <v>39568</v>
      </c>
      <c r="E816" s="8">
        <v>39596</v>
      </c>
      <c r="F816" s="8">
        <v>39574</v>
      </c>
      <c r="G816" s="6">
        <v>2</v>
      </c>
      <c r="H816" s="1">
        <v>81.73</v>
      </c>
      <c r="I816" s="1" t="s">
        <v>916</v>
      </c>
      <c r="J816" s="1" t="s">
        <v>917</v>
      </c>
      <c r="K816" s="1" t="s">
        <v>262</v>
      </c>
      <c r="L816" s="1" t="s">
        <v>263</v>
      </c>
      <c r="M816" s="1">
        <v>10203</v>
      </c>
      <c r="N816" s="1" t="s">
        <v>264</v>
      </c>
      <c r="O816" s="11" t="s">
        <v>745</v>
      </c>
    </row>
    <row r="817" spans="1:15">
      <c r="A817" s="6">
        <v>11064</v>
      </c>
      <c r="B817" s="6">
        <v>71</v>
      </c>
      <c r="C817" s="6">
        <v>1</v>
      </c>
      <c r="D817" s="8">
        <v>39569</v>
      </c>
      <c r="E817" s="8">
        <v>39597</v>
      </c>
      <c r="F817" s="8">
        <v>39572</v>
      </c>
      <c r="G817" s="6">
        <v>1</v>
      </c>
      <c r="H817" s="1">
        <v>30.09</v>
      </c>
      <c r="I817" s="1" t="s">
        <v>854</v>
      </c>
      <c r="J817" s="1" t="s">
        <v>457</v>
      </c>
      <c r="K817" s="1" t="s">
        <v>458</v>
      </c>
      <c r="L817" s="1" t="s">
        <v>459</v>
      </c>
      <c r="M817" s="1">
        <v>10307</v>
      </c>
      <c r="N817" s="1" t="s">
        <v>229</v>
      </c>
      <c r="O817" s="11" t="s">
        <v>745</v>
      </c>
    </row>
    <row r="818" spans="1:15">
      <c r="A818" s="6">
        <v>11065</v>
      </c>
      <c r="B818" s="6">
        <v>46</v>
      </c>
      <c r="C818" s="6">
        <v>8</v>
      </c>
      <c r="D818" s="8">
        <v>39569</v>
      </c>
      <c r="E818" s="8">
        <v>39597</v>
      </c>
      <c r="F818" s="7"/>
      <c r="G818" s="6">
        <v>1</v>
      </c>
      <c r="H818" s="1">
        <v>12.91</v>
      </c>
      <c r="I818" s="1" t="s">
        <v>824</v>
      </c>
      <c r="J818" s="1" t="s">
        <v>825</v>
      </c>
      <c r="K818" s="1" t="s">
        <v>318</v>
      </c>
      <c r="L818" s="1" t="s">
        <v>319</v>
      </c>
      <c r="M818" s="1">
        <v>10229</v>
      </c>
      <c r="N818" s="1" t="s">
        <v>236</v>
      </c>
      <c r="O818" s="11" t="s">
        <v>745</v>
      </c>
    </row>
    <row r="819" spans="1:15">
      <c r="A819" s="6">
        <v>11066</v>
      </c>
      <c r="B819" s="6">
        <v>89</v>
      </c>
      <c r="C819" s="6">
        <v>7</v>
      </c>
      <c r="D819" s="8">
        <v>39569</v>
      </c>
      <c r="E819" s="8">
        <v>39597</v>
      </c>
      <c r="F819" s="8">
        <v>39572</v>
      </c>
      <c r="G819" s="6">
        <v>2</v>
      </c>
      <c r="H819" s="1">
        <v>44.72</v>
      </c>
      <c r="I819" s="1" t="s">
        <v>878</v>
      </c>
      <c r="J819" s="1" t="s">
        <v>879</v>
      </c>
      <c r="K819" s="1" t="s">
        <v>562</v>
      </c>
      <c r="L819" s="1" t="s">
        <v>300</v>
      </c>
      <c r="M819" s="1">
        <v>10356</v>
      </c>
      <c r="N819" s="1" t="s">
        <v>229</v>
      </c>
      <c r="O819" s="11" t="s">
        <v>745</v>
      </c>
    </row>
    <row r="820" spans="1:15">
      <c r="A820" s="6">
        <v>11067</v>
      </c>
      <c r="B820" s="6">
        <v>17</v>
      </c>
      <c r="C820" s="6">
        <v>1</v>
      </c>
      <c r="D820" s="8">
        <v>39572</v>
      </c>
      <c r="E820" s="8">
        <v>39586</v>
      </c>
      <c r="F820" s="8">
        <v>39574</v>
      </c>
      <c r="G820" s="6">
        <v>2</v>
      </c>
      <c r="H820" s="1">
        <v>7.98</v>
      </c>
      <c r="I820" s="1" t="s">
        <v>904</v>
      </c>
      <c r="J820" s="1" t="s">
        <v>905</v>
      </c>
      <c r="K820" s="1" t="s">
        <v>139</v>
      </c>
      <c r="L820" s="2"/>
      <c r="M820" s="1">
        <v>10145</v>
      </c>
      <c r="N820" s="1" t="s">
        <v>36</v>
      </c>
      <c r="O820" s="11" t="s">
        <v>745</v>
      </c>
    </row>
    <row r="821" spans="1:15">
      <c r="A821" s="6">
        <v>11068</v>
      </c>
      <c r="B821" s="6">
        <v>62</v>
      </c>
      <c r="C821" s="6">
        <v>8</v>
      </c>
      <c r="D821" s="8">
        <v>39572</v>
      </c>
      <c r="E821" s="8">
        <v>39600</v>
      </c>
      <c r="F821" s="7"/>
      <c r="G821" s="6">
        <v>2</v>
      </c>
      <c r="H821" s="1">
        <v>81.75</v>
      </c>
      <c r="I821" s="1" t="s">
        <v>914</v>
      </c>
      <c r="J821" s="1" t="s">
        <v>915</v>
      </c>
      <c r="K821" s="1" t="s">
        <v>127</v>
      </c>
      <c r="L821" s="1" t="s">
        <v>128</v>
      </c>
      <c r="M821" s="1">
        <v>10276</v>
      </c>
      <c r="N821" s="1" t="s">
        <v>129</v>
      </c>
      <c r="O821" s="11" t="s">
        <v>745</v>
      </c>
    </row>
    <row r="822" spans="1:15">
      <c r="A822" s="6">
        <v>11069</v>
      </c>
      <c r="B822" s="6">
        <v>80</v>
      </c>
      <c r="C822" s="6">
        <v>1</v>
      </c>
      <c r="D822" s="8">
        <v>39572</v>
      </c>
      <c r="E822" s="8">
        <v>39600</v>
      </c>
      <c r="F822" s="8">
        <v>39574</v>
      </c>
      <c r="G822" s="6">
        <v>2</v>
      </c>
      <c r="H822" s="1">
        <v>15.67</v>
      </c>
      <c r="I822" s="1" t="s">
        <v>821</v>
      </c>
      <c r="J822" s="1" t="s">
        <v>510</v>
      </c>
      <c r="K822" s="1" t="s">
        <v>43</v>
      </c>
      <c r="L822" s="2"/>
      <c r="M822" s="1">
        <v>10333</v>
      </c>
      <c r="N822" s="1" t="s">
        <v>44</v>
      </c>
      <c r="O822" s="11" t="s">
        <v>745</v>
      </c>
    </row>
    <row r="823" spans="1:15">
      <c r="A823" s="6">
        <v>11070</v>
      </c>
      <c r="B823" s="6">
        <v>44</v>
      </c>
      <c r="C823" s="6">
        <v>2</v>
      </c>
      <c r="D823" s="8">
        <v>39573</v>
      </c>
      <c r="E823" s="8">
        <v>39601</v>
      </c>
      <c r="F823" s="7"/>
      <c r="G823" s="6">
        <v>1</v>
      </c>
      <c r="H823" s="1">
        <v>136</v>
      </c>
      <c r="I823" s="1" t="s">
        <v>798</v>
      </c>
      <c r="J823" s="1" t="s">
        <v>799</v>
      </c>
      <c r="K823" s="1" t="s">
        <v>306</v>
      </c>
      <c r="L823" s="2"/>
      <c r="M823" s="1">
        <v>10222</v>
      </c>
      <c r="N823" s="1" t="s">
        <v>36</v>
      </c>
      <c r="O823" s="11" t="s">
        <v>745</v>
      </c>
    </row>
    <row r="824" spans="1:15">
      <c r="A824" s="6">
        <v>11071</v>
      </c>
      <c r="B824" s="6">
        <v>46</v>
      </c>
      <c r="C824" s="6">
        <v>1</v>
      </c>
      <c r="D824" s="8">
        <v>39573</v>
      </c>
      <c r="E824" s="8">
        <v>39601</v>
      </c>
      <c r="F824" s="7"/>
      <c r="G824" s="6">
        <v>1</v>
      </c>
      <c r="H824" s="1">
        <v>0.93</v>
      </c>
      <c r="I824" s="1" t="s">
        <v>894</v>
      </c>
      <c r="J824" s="1" t="s">
        <v>895</v>
      </c>
      <c r="K824" s="1" t="s">
        <v>318</v>
      </c>
      <c r="L824" s="1" t="s">
        <v>319</v>
      </c>
      <c r="M824" s="1">
        <v>10228</v>
      </c>
      <c r="N824" s="1" t="s">
        <v>236</v>
      </c>
      <c r="O824" s="11" t="s">
        <v>745</v>
      </c>
    </row>
    <row r="825" spans="1:15">
      <c r="A825" s="6">
        <v>11073</v>
      </c>
      <c r="B825" s="6">
        <v>58</v>
      </c>
      <c r="C825" s="6">
        <v>2</v>
      </c>
      <c r="D825" s="8">
        <v>39573</v>
      </c>
      <c r="E825" s="8">
        <v>39601</v>
      </c>
      <c r="F825" s="7"/>
      <c r="G825" s="6">
        <v>2</v>
      </c>
      <c r="H825" s="1">
        <v>24.95</v>
      </c>
      <c r="I825" s="1" t="s">
        <v>1038</v>
      </c>
      <c r="J825" s="1" t="s">
        <v>1039</v>
      </c>
      <c r="K825" s="1" t="s">
        <v>43</v>
      </c>
      <c r="L825" s="2"/>
      <c r="M825" s="1">
        <v>10262</v>
      </c>
      <c r="N825" s="1" t="s">
        <v>44</v>
      </c>
      <c r="O825" s="11" t="s">
        <v>745</v>
      </c>
    </row>
    <row r="826" spans="1:15">
      <c r="A826" s="6">
        <v>11074</v>
      </c>
      <c r="B826" s="6">
        <v>73</v>
      </c>
      <c r="C826" s="6">
        <v>7</v>
      </c>
      <c r="D826" s="8">
        <v>39574</v>
      </c>
      <c r="E826" s="8">
        <v>39602</v>
      </c>
      <c r="F826" s="7"/>
      <c r="G826" s="6">
        <v>2</v>
      </c>
      <c r="H826" s="1">
        <v>18.440000000000001</v>
      </c>
      <c r="I826" s="1" t="s">
        <v>876</v>
      </c>
      <c r="J826" s="1" t="s">
        <v>877</v>
      </c>
      <c r="K826" s="1" t="s">
        <v>469</v>
      </c>
      <c r="L826" s="2"/>
      <c r="M826" s="1">
        <v>10310</v>
      </c>
      <c r="N826" s="1" t="s">
        <v>470</v>
      </c>
      <c r="O826" s="11" t="s">
        <v>745</v>
      </c>
    </row>
    <row r="827" spans="1:15">
      <c r="A827" s="6">
        <v>11075</v>
      </c>
      <c r="B827" s="6">
        <v>68</v>
      </c>
      <c r="C827" s="6">
        <v>8</v>
      </c>
      <c r="D827" s="8">
        <v>39574</v>
      </c>
      <c r="E827" s="8">
        <v>39602</v>
      </c>
      <c r="F827" s="7"/>
      <c r="G827" s="6">
        <v>2</v>
      </c>
      <c r="H827" s="1">
        <v>6.19</v>
      </c>
      <c r="I827" s="1" t="s">
        <v>754</v>
      </c>
      <c r="J827" s="1" t="s">
        <v>755</v>
      </c>
      <c r="K827" s="1" t="s">
        <v>441</v>
      </c>
      <c r="L827" s="2"/>
      <c r="M827" s="1">
        <v>10294</v>
      </c>
      <c r="N827" s="1" t="s">
        <v>121</v>
      </c>
      <c r="O827" s="11" t="s">
        <v>745</v>
      </c>
    </row>
    <row r="828" spans="1:15">
      <c r="A828" s="6">
        <v>11076</v>
      </c>
      <c r="B828" s="6">
        <v>9</v>
      </c>
      <c r="C828" s="6">
        <v>4</v>
      </c>
      <c r="D828" s="8">
        <v>39574</v>
      </c>
      <c r="E828" s="8">
        <v>39602</v>
      </c>
      <c r="F828" s="7"/>
      <c r="G828" s="6">
        <v>2</v>
      </c>
      <c r="H828" s="1">
        <v>38.28</v>
      </c>
      <c r="I828" s="1" t="s">
        <v>874</v>
      </c>
      <c r="J828" s="1" t="s">
        <v>875</v>
      </c>
      <c r="K828" s="1" t="s">
        <v>90</v>
      </c>
      <c r="L828" s="2"/>
      <c r="M828" s="1">
        <v>10367</v>
      </c>
      <c r="N828" s="1" t="s">
        <v>77</v>
      </c>
      <c r="O828" s="11" t="s">
        <v>745</v>
      </c>
    </row>
    <row r="829" spans="1:15">
      <c r="A829" s="6">
        <v>11077</v>
      </c>
      <c r="B829" s="6">
        <v>65</v>
      </c>
      <c r="C829" s="6">
        <v>1</v>
      </c>
      <c r="D829" s="8">
        <v>39574</v>
      </c>
      <c r="E829" s="8">
        <v>39602</v>
      </c>
      <c r="F829" s="7"/>
      <c r="G829" s="6">
        <v>2</v>
      </c>
      <c r="H829" s="1">
        <v>8.5299999999999994</v>
      </c>
      <c r="I829" s="1" t="s">
        <v>785</v>
      </c>
      <c r="J829" s="1" t="s">
        <v>786</v>
      </c>
      <c r="K829" s="1" t="s">
        <v>424</v>
      </c>
      <c r="L829" s="1" t="s">
        <v>425</v>
      </c>
      <c r="M829" s="1">
        <v>10285</v>
      </c>
      <c r="N829" s="1" t="s">
        <v>229</v>
      </c>
      <c r="O829" s="11" t="s">
        <v>745</v>
      </c>
    </row>
    <row r="830" spans="1:15">
      <c r="H830" s="3"/>
      <c r="I830" s="3"/>
      <c r="J830" s="3"/>
      <c r="K830" s="3"/>
      <c r="L830" s="3"/>
      <c r="M830" s="3"/>
      <c r="N830" s="3"/>
      <c r="O830" s="12"/>
    </row>
    <row r="831" spans="1:15">
      <c r="H831" s="3"/>
      <c r="I831" s="3"/>
      <c r="J831" s="3"/>
      <c r="K831" s="3"/>
      <c r="L831" s="3"/>
      <c r="M831" s="3"/>
      <c r="N831" s="3"/>
      <c r="O831" s="12"/>
    </row>
    <row r="832" spans="1:15">
      <c r="D832" s="13"/>
      <c r="E832" s="13"/>
      <c r="F832" s="14"/>
      <c r="O832" s="15"/>
    </row>
    <row r="833" spans="4:15">
      <c r="D833" s="13"/>
      <c r="E833" s="13"/>
      <c r="F833" s="14"/>
      <c r="O833" s="15"/>
    </row>
    <row r="834" spans="4:15">
      <c r="O834" s="15"/>
    </row>
    <row r="835" spans="4:15">
      <c r="O835" s="15"/>
    </row>
    <row r="836" spans="4:15">
      <c r="O836" s="15"/>
    </row>
    <row r="837" spans="4:15">
      <c r="O837" s="15"/>
    </row>
    <row r="838" spans="4:15">
      <c r="O838" s="15"/>
    </row>
    <row r="839" spans="4:15">
      <c r="O839" s="15"/>
    </row>
    <row r="840" spans="4:15">
      <c r="O840" s="15"/>
    </row>
    <row r="841" spans="4:15">
      <c r="O841" s="15"/>
    </row>
    <row r="842" spans="4:15">
      <c r="O842" s="15"/>
    </row>
    <row r="843" spans="4:15">
      <c r="O843" s="15"/>
    </row>
    <row r="844" spans="4:15">
      <c r="O844" s="15"/>
    </row>
    <row r="845" spans="4:15">
      <c r="O845" s="15"/>
    </row>
    <row r="846" spans="4:15">
      <c r="O846" s="15"/>
    </row>
    <row r="847" spans="4:15">
      <c r="O847" s="15"/>
    </row>
    <row r="848" spans="4:15">
      <c r="O848" s="15"/>
    </row>
    <row r="849" spans="15:15">
      <c r="O849" s="15"/>
    </row>
    <row r="850" spans="15:15">
      <c r="O850" s="15"/>
    </row>
  </sheetData>
  <autoFilter ref="A1:O829" xr:uid="{00000000-0001-0000-08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2"/>
  <sheetViews>
    <sheetView workbookViewId="0"/>
  </sheetViews>
  <sheetFormatPr defaultColWidth="12.5546875" defaultRowHeight="15.75" customHeight="1"/>
  <cols>
    <col min="3" max="3" width="39.88671875" customWidth="1"/>
  </cols>
  <sheetData>
    <row r="1" spans="1:4">
      <c r="A1" s="1" t="s">
        <v>0</v>
      </c>
      <c r="B1" s="1" t="s">
        <v>1</v>
      </c>
      <c r="C1" s="1" t="s">
        <v>2</v>
      </c>
      <c r="D1" s="2" t="s">
        <v>3</v>
      </c>
    </row>
    <row r="2" spans="1:4">
      <c r="A2" s="1">
        <v>1</v>
      </c>
      <c r="B2" s="1" t="s">
        <v>4</v>
      </c>
      <c r="C2" s="1" t="s">
        <v>5</v>
      </c>
      <c r="D2" s="2"/>
    </row>
    <row r="3" spans="1:4">
      <c r="A3" s="1">
        <v>2</v>
      </c>
      <c r="B3" s="1" t="s">
        <v>6</v>
      </c>
      <c r="C3" s="1" t="s">
        <v>7</v>
      </c>
      <c r="D3" s="2"/>
    </row>
    <row r="4" spans="1:4">
      <c r="A4" s="1">
        <v>3</v>
      </c>
      <c r="B4" s="1" t="s">
        <v>8</v>
      </c>
      <c r="C4" s="1" t="s">
        <v>9</v>
      </c>
      <c r="D4" s="2"/>
    </row>
    <row r="5" spans="1:4">
      <c r="A5" s="1">
        <v>4</v>
      </c>
      <c r="B5" s="1" t="s">
        <v>10</v>
      </c>
      <c r="C5" s="1" t="s">
        <v>11</v>
      </c>
      <c r="D5" s="2"/>
    </row>
    <row r="6" spans="1:4">
      <c r="A6" s="1">
        <v>5</v>
      </c>
      <c r="B6" s="1" t="s">
        <v>12</v>
      </c>
      <c r="C6" s="1" t="s">
        <v>13</v>
      </c>
      <c r="D6" s="2"/>
    </row>
    <row r="7" spans="1:4">
      <c r="A7" s="1">
        <v>6</v>
      </c>
      <c r="B7" s="1" t="s">
        <v>14</v>
      </c>
      <c r="C7" s="1" t="s">
        <v>15</v>
      </c>
      <c r="D7" s="2"/>
    </row>
    <row r="8" spans="1:4">
      <c r="A8" s="1">
        <v>7</v>
      </c>
      <c r="B8" s="1" t="s">
        <v>16</v>
      </c>
      <c r="C8" s="1" t="s">
        <v>17</v>
      </c>
      <c r="D8" s="2"/>
    </row>
    <row r="9" spans="1:4">
      <c r="A9" s="1">
        <v>8</v>
      </c>
      <c r="B9" s="1" t="s">
        <v>18</v>
      </c>
      <c r="C9" s="1" t="s">
        <v>19</v>
      </c>
      <c r="D9" s="2"/>
    </row>
    <row r="10" spans="1:4">
      <c r="A10" s="3"/>
      <c r="B10" s="3"/>
      <c r="C10" s="3"/>
      <c r="D10" s="3"/>
    </row>
    <row r="11" spans="1:4">
      <c r="A11" s="3"/>
      <c r="B11" s="3"/>
      <c r="C11" s="3"/>
      <c r="D11" s="3"/>
    </row>
    <row r="12" spans="1:4">
      <c r="A12" s="3"/>
      <c r="B12" s="3"/>
      <c r="C12" s="3"/>
      <c r="D12"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93"/>
  <sheetViews>
    <sheetView topLeftCell="D1" workbookViewId="0">
      <selection activeCell="C2" sqref="C2:C93"/>
    </sheetView>
  </sheetViews>
  <sheetFormatPr defaultColWidth="12.5546875" defaultRowHeight="15.75" customHeight="1"/>
  <cols>
    <col min="1" max="3" width="20.109375" customWidth="1"/>
    <col min="4" max="4" width="16.6640625" customWidth="1"/>
    <col min="5" max="5" width="25.33203125" customWidth="1"/>
    <col min="8" max="8" width="21.33203125" customWidth="1"/>
  </cols>
  <sheetData>
    <row r="1" spans="1:11">
      <c r="A1" s="4" t="s">
        <v>20</v>
      </c>
      <c r="B1" s="4" t="s">
        <v>21</v>
      </c>
      <c r="C1" s="4" t="s">
        <v>22</v>
      </c>
      <c r="D1" s="4" t="s">
        <v>23</v>
      </c>
      <c r="E1" s="4" t="s">
        <v>24</v>
      </c>
      <c r="F1" s="4" t="s">
        <v>25</v>
      </c>
      <c r="G1" s="5" t="s">
        <v>26</v>
      </c>
      <c r="H1" s="4" t="s">
        <v>27</v>
      </c>
      <c r="I1" s="4" t="s">
        <v>28</v>
      </c>
      <c r="J1" s="4" t="s">
        <v>29</v>
      </c>
      <c r="K1" s="4" t="s">
        <v>30</v>
      </c>
    </row>
    <row r="2" spans="1:11">
      <c r="A2" s="6">
        <v>1</v>
      </c>
      <c r="B2" s="6" t="s">
        <v>31</v>
      </c>
      <c r="C2" s="6" t="s">
        <v>32</v>
      </c>
      <c r="D2" s="6" t="s">
        <v>33</v>
      </c>
      <c r="E2" s="6" t="s">
        <v>34</v>
      </c>
      <c r="F2" s="6" t="s">
        <v>35</v>
      </c>
      <c r="G2" s="7"/>
      <c r="H2" s="6">
        <v>10092</v>
      </c>
      <c r="I2" s="6" t="s">
        <v>36</v>
      </c>
      <c r="J2" s="6" t="s">
        <v>37</v>
      </c>
      <c r="K2" s="6" t="s">
        <v>38</v>
      </c>
    </row>
    <row r="3" spans="1:11">
      <c r="A3" s="6">
        <v>2</v>
      </c>
      <c r="B3" s="6" t="s">
        <v>39</v>
      </c>
      <c r="C3" s="6" t="s">
        <v>40</v>
      </c>
      <c r="D3" s="6" t="s">
        <v>41</v>
      </c>
      <c r="E3" s="6" t="s">
        <v>42</v>
      </c>
      <c r="F3" s="6" t="s">
        <v>43</v>
      </c>
      <c r="G3" s="7"/>
      <c r="H3" s="6">
        <v>10077</v>
      </c>
      <c r="I3" s="6" t="s">
        <v>44</v>
      </c>
      <c r="J3" s="6" t="s">
        <v>45</v>
      </c>
      <c r="K3" s="6" t="s">
        <v>46</v>
      </c>
    </row>
    <row r="4" spans="1:11">
      <c r="A4" s="6">
        <v>3</v>
      </c>
      <c r="B4" s="6" t="s">
        <v>47</v>
      </c>
      <c r="C4" s="6" t="s">
        <v>48</v>
      </c>
      <c r="D4" s="6" t="s">
        <v>41</v>
      </c>
      <c r="E4" s="6" t="s">
        <v>49</v>
      </c>
      <c r="F4" s="6" t="s">
        <v>43</v>
      </c>
      <c r="G4" s="7"/>
      <c r="H4" s="6">
        <v>10097</v>
      </c>
      <c r="I4" s="6" t="s">
        <v>44</v>
      </c>
      <c r="J4" s="6" t="s">
        <v>50</v>
      </c>
      <c r="K4" s="7"/>
    </row>
    <row r="5" spans="1:11">
      <c r="A5" s="6">
        <v>4</v>
      </c>
      <c r="B5" s="6" t="s">
        <v>51</v>
      </c>
      <c r="C5" s="6" t="s">
        <v>52</v>
      </c>
      <c r="D5" s="6" t="s">
        <v>33</v>
      </c>
      <c r="E5" s="6" t="s">
        <v>53</v>
      </c>
      <c r="F5" s="6" t="s">
        <v>54</v>
      </c>
      <c r="G5" s="7"/>
      <c r="H5" s="6">
        <v>10046</v>
      </c>
      <c r="I5" s="6" t="s">
        <v>55</v>
      </c>
      <c r="J5" s="6" t="s">
        <v>56</v>
      </c>
      <c r="K5" s="6" t="s">
        <v>57</v>
      </c>
    </row>
    <row r="6" spans="1:11">
      <c r="A6" s="6">
        <v>5</v>
      </c>
      <c r="B6" s="6" t="s">
        <v>58</v>
      </c>
      <c r="C6" s="6" t="s">
        <v>59</v>
      </c>
      <c r="D6" s="6" t="s">
        <v>60</v>
      </c>
      <c r="E6" s="6" t="s">
        <v>61</v>
      </c>
      <c r="F6" s="6" t="s">
        <v>62</v>
      </c>
      <c r="G6" s="7"/>
      <c r="H6" s="6">
        <v>10112</v>
      </c>
      <c r="I6" s="6" t="s">
        <v>63</v>
      </c>
      <c r="J6" s="6" t="s">
        <v>64</v>
      </c>
      <c r="K6" s="6" t="s">
        <v>65</v>
      </c>
    </row>
    <row r="7" spans="1:11">
      <c r="A7" s="6">
        <v>6</v>
      </c>
      <c r="B7" s="6" t="s">
        <v>66</v>
      </c>
      <c r="C7" s="6" t="s">
        <v>67</v>
      </c>
      <c r="D7" s="6" t="s">
        <v>33</v>
      </c>
      <c r="E7" s="6" t="s">
        <v>68</v>
      </c>
      <c r="F7" s="6" t="s">
        <v>69</v>
      </c>
      <c r="G7" s="7"/>
      <c r="H7" s="6">
        <v>10117</v>
      </c>
      <c r="I7" s="6" t="s">
        <v>36</v>
      </c>
      <c r="J7" s="6" t="s">
        <v>70</v>
      </c>
      <c r="K7" s="6" t="s">
        <v>71</v>
      </c>
    </row>
    <row r="8" spans="1:11">
      <c r="A8" s="6">
        <v>7</v>
      </c>
      <c r="B8" s="6" t="s">
        <v>72</v>
      </c>
      <c r="C8" s="6" t="s">
        <v>73</v>
      </c>
      <c r="D8" s="6" t="s">
        <v>74</v>
      </c>
      <c r="E8" s="6" t="s">
        <v>75</v>
      </c>
      <c r="F8" s="6" t="s">
        <v>76</v>
      </c>
      <c r="G8" s="7"/>
      <c r="H8" s="6">
        <v>10089</v>
      </c>
      <c r="I8" s="6" t="s">
        <v>77</v>
      </c>
      <c r="J8" s="6" t="s">
        <v>78</v>
      </c>
      <c r="K8" s="6" t="s">
        <v>79</v>
      </c>
    </row>
    <row r="9" spans="1:11">
      <c r="A9" s="6">
        <v>8</v>
      </c>
      <c r="B9" s="6" t="s">
        <v>80</v>
      </c>
      <c r="C9" s="6" t="s">
        <v>81</v>
      </c>
      <c r="D9" s="6" t="s">
        <v>41</v>
      </c>
      <c r="E9" s="6" t="s">
        <v>82</v>
      </c>
      <c r="F9" s="6" t="s">
        <v>83</v>
      </c>
      <c r="G9" s="7"/>
      <c r="H9" s="6">
        <v>10104</v>
      </c>
      <c r="I9" s="6" t="s">
        <v>84</v>
      </c>
      <c r="J9" s="6" t="s">
        <v>85</v>
      </c>
      <c r="K9" s="6" t="s">
        <v>86</v>
      </c>
    </row>
    <row r="10" spans="1:11">
      <c r="A10" s="6">
        <v>9</v>
      </c>
      <c r="B10" s="6" t="s">
        <v>87</v>
      </c>
      <c r="C10" s="6" t="s">
        <v>88</v>
      </c>
      <c r="D10" s="6" t="s">
        <v>41</v>
      </c>
      <c r="E10" s="6" t="s">
        <v>89</v>
      </c>
      <c r="F10" s="6" t="s">
        <v>90</v>
      </c>
      <c r="G10" s="7"/>
      <c r="H10" s="6">
        <v>10105</v>
      </c>
      <c r="I10" s="6" t="s">
        <v>77</v>
      </c>
      <c r="J10" s="6" t="s">
        <v>91</v>
      </c>
      <c r="K10" s="6" t="s">
        <v>92</v>
      </c>
    </row>
    <row r="11" spans="1:11">
      <c r="A11" s="6">
        <v>10</v>
      </c>
      <c r="B11" s="6" t="s">
        <v>93</v>
      </c>
      <c r="C11" s="6" t="s">
        <v>94</v>
      </c>
      <c r="D11" s="6" t="s">
        <v>95</v>
      </c>
      <c r="E11" s="6" t="s">
        <v>96</v>
      </c>
      <c r="F11" s="6" t="s">
        <v>97</v>
      </c>
      <c r="G11" s="6" t="s">
        <v>98</v>
      </c>
      <c r="H11" s="6">
        <v>10111</v>
      </c>
      <c r="I11" s="6" t="s">
        <v>99</v>
      </c>
      <c r="J11" s="6" t="s">
        <v>100</v>
      </c>
      <c r="K11" s="6" t="s">
        <v>101</v>
      </c>
    </row>
    <row r="12" spans="1:11">
      <c r="A12" s="6">
        <v>11</v>
      </c>
      <c r="B12" s="6" t="s">
        <v>102</v>
      </c>
      <c r="C12" s="6" t="s">
        <v>103</v>
      </c>
      <c r="D12" s="6" t="s">
        <v>33</v>
      </c>
      <c r="E12" s="6" t="s">
        <v>104</v>
      </c>
      <c r="F12" s="6" t="s">
        <v>54</v>
      </c>
      <c r="G12" s="7"/>
      <c r="H12" s="6">
        <v>10064</v>
      </c>
      <c r="I12" s="6" t="s">
        <v>55</v>
      </c>
      <c r="J12" s="6" t="s">
        <v>105</v>
      </c>
      <c r="K12" s="7"/>
    </row>
    <row r="13" spans="1:11">
      <c r="A13" s="6">
        <v>12</v>
      </c>
      <c r="B13" s="6" t="s">
        <v>106</v>
      </c>
      <c r="C13" s="6" t="s">
        <v>107</v>
      </c>
      <c r="D13" s="6" t="s">
        <v>108</v>
      </c>
      <c r="E13" s="6" t="s">
        <v>109</v>
      </c>
      <c r="F13" s="6" t="s">
        <v>110</v>
      </c>
      <c r="G13" s="7"/>
      <c r="H13" s="6">
        <v>10057</v>
      </c>
      <c r="I13" s="6" t="s">
        <v>111</v>
      </c>
      <c r="J13" s="6" t="s">
        <v>112</v>
      </c>
      <c r="K13" s="6" t="s">
        <v>113</v>
      </c>
    </row>
    <row r="14" spans="1:11">
      <c r="A14" s="6">
        <v>13</v>
      </c>
      <c r="B14" s="6" t="s">
        <v>114</v>
      </c>
      <c r="C14" s="6" t="s">
        <v>115</v>
      </c>
      <c r="D14" s="6" t="s">
        <v>74</v>
      </c>
      <c r="E14" s="6" t="s">
        <v>116</v>
      </c>
      <c r="F14" s="6" t="s">
        <v>43</v>
      </c>
      <c r="G14" s="7"/>
      <c r="H14" s="6">
        <v>10056</v>
      </c>
      <c r="I14" s="6" t="s">
        <v>44</v>
      </c>
      <c r="J14" s="6" t="s">
        <v>46</v>
      </c>
      <c r="K14" s="6" t="s">
        <v>50</v>
      </c>
    </row>
    <row r="15" spans="1:11">
      <c r="A15" s="6">
        <v>14</v>
      </c>
      <c r="B15" s="6" t="s">
        <v>117</v>
      </c>
      <c r="C15" s="6" t="s">
        <v>118</v>
      </c>
      <c r="D15" s="6" t="s">
        <v>41</v>
      </c>
      <c r="E15" s="6" t="s">
        <v>119</v>
      </c>
      <c r="F15" s="6" t="s">
        <v>120</v>
      </c>
      <c r="G15" s="7"/>
      <c r="H15" s="6">
        <v>10065</v>
      </c>
      <c r="I15" s="6" t="s">
        <v>121</v>
      </c>
      <c r="J15" s="6" t="s">
        <v>122</v>
      </c>
      <c r="K15" s="7"/>
    </row>
    <row r="16" spans="1:11">
      <c r="A16" s="6">
        <v>15</v>
      </c>
      <c r="B16" s="6" t="s">
        <v>123</v>
      </c>
      <c r="C16" s="6" t="s">
        <v>124</v>
      </c>
      <c r="D16" s="6" t="s">
        <v>125</v>
      </c>
      <c r="E16" s="6" t="s">
        <v>126</v>
      </c>
      <c r="F16" s="6" t="s">
        <v>127</v>
      </c>
      <c r="G16" s="6" t="s">
        <v>128</v>
      </c>
      <c r="H16" s="6">
        <v>10087</v>
      </c>
      <c r="I16" s="6" t="s">
        <v>129</v>
      </c>
      <c r="J16" s="6" t="s">
        <v>130</v>
      </c>
      <c r="K16" s="7"/>
    </row>
    <row r="17" spans="1:11">
      <c r="A17" s="6">
        <v>16</v>
      </c>
      <c r="B17" s="6" t="s">
        <v>131</v>
      </c>
      <c r="C17" s="6" t="s">
        <v>132</v>
      </c>
      <c r="D17" s="6" t="s">
        <v>33</v>
      </c>
      <c r="E17" s="6" t="s">
        <v>133</v>
      </c>
      <c r="F17" s="6" t="s">
        <v>54</v>
      </c>
      <c r="G17" s="7"/>
      <c r="H17" s="6">
        <v>10039</v>
      </c>
      <c r="I17" s="6" t="s">
        <v>55</v>
      </c>
      <c r="J17" s="6" t="s">
        <v>134</v>
      </c>
      <c r="K17" s="6" t="s">
        <v>135</v>
      </c>
    </row>
    <row r="18" spans="1:11">
      <c r="A18" s="6">
        <v>17</v>
      </c>
      <c r="B18" s="6" t="s">
        <v>136</v>
      </c>
      <c r="C18" s="6" t="s">
        <v>137</v>
      </c>
      <c r="D18" s="6" t="s">
        <v>60</v>
      </c>
      <c r="E18" s="6" t="s">
        <v>138</v>
      </c>
      <c r="F18" s="6" t="s">
        <v>139</v>
      </c>
      <c r="G18" s="7"/>
      <c r="H18" s="6">
        <v>10067</v>
      </c>
      <c r="I18" s="6" t="s">
        <v>36</v>
      </c>
      <c r="J18" s="6" t="s">
        <v>140</v>
      </c>
      <c r="K18" s="6" t="s">
        <v>141</v>
      </c>
    </row>
    <row r="19" spans="1:11">
      <c r="A19" s="6">
        <v>18</v>
      </c>
      <c r="B19" s="6" t="s">
        <v>142</v>
      </c>
      <c r="C19" s="6" t="s">
        <v>143</v>
      </c>
      <c r="D19" s="6" t="s">
        <v>41</v>
      </c>
      <c r="E19" s="6" t="s">
        <v>144</v>
      </c>
      <c r="F19" s="6" t="s">
        <v>145</v>
      </c>
      <c r="G19" s="7"/>
      <c r="H19" s="6">
        <v>10041</v>
      </c>
      <c r="I19" s="6" t="s">
        <v>77</v>
      </c>
      <c r="J19" s="6" t="s">
        <v>146</v>
      </c>
      <c r="K19" s="6" t="s">
        <v>147</v>
      </c>
    </row>
    <row r="20" spans="1:11">
      <c r="A20" s="6">
        <v>19</v>
      </c>
      <c r="B20" s="6" t="s">
        <v>148</v>
      </c>
      <c r="C20" s="6" t="s">
        <v>149</v>
      </c>
      <c r="D20" s="6" t="s">
        <v>108</v>
      </c>
      <c r="E20" s="6" t="s">
        <v>150</v>
      </c>
      <c r="F20" s="6" t="s">
        <v>54</v>
      </c>
      <c r="G20" s="7"/>
      <c r="H20" s="6">
        <v>10110</v>
      </c>
      <c r="I20" s="6" t="s">
        <v>55</v>
      </c>
      <c r="J20" s="6" t="s">
        <v>151</v>
      </c>
      <c r="K20" s="6" t="s">
        <v>152</v>
      </c>
    </row>
    <row r="21" spans="1:11">
      <c r="A21" s="6">
        <v>20</v>
      </c>
      <c r="B21" s="6" t="s">
        <v>153</v>
      </c>
      <c r="C21" s="6" t="s">
        <v>154</v>
      </c>
      <c r="D21" s="6" t="s">
        <v>155</v>
      </c>
      <c r="E21" s="6" t="s">
        <v>156</v>
      </c>
      <c r="F21" s="6" t="s">
        <v>157</v>
      </c>
      <c r="G21" s="7"/>
      <c r="H21" s="6">
        <v>10059</v>
      </c>
      <c r="I21" s="6" t="s">
        <v>158</v>
      </c>
      <c r="J21" s="6" t="s">
        <v>159</v>
      </c>
      <c r="K21" s="6" t="s">
        <v>160</v>
      </c>
    </row>
    <row r="22" spans="1:11">
      <c r="A22" s="6">
        <v>21</v>
      </c>
      <c r="B22" s="6" t="s">
        <v>161</v>
      </c>
      <c r="C22" s="6" t="s">
        <v>162</v>
      </c>
      <c r="D22" s="6" t="s">
        <v>163</v>
      </c>
      <c r="E22" s="6" t="s">
        <v>164</v>
      </c>
      <c r="F22" s="6" t="s">
        <v>127</v>
      </c>
      <c r="G22" s="6" t="s">
        <v>128</v>
      </c>
      <c r="H22" s="6">
        <v>10096</v>
      </c>
      <c r="I22" s="6" t="s">
        <v>129</v>
      </c>
      <c r="J22" s="6" t="s">
        <v>165</v>
      </c>
      <c r="K22" s="7"/>
    </row>
    <row r="23" spans="1:11">
      <c r="A23" s="6">
        <v>22</v>
      </c>
      <c r="B23" s="6" t="s">
        <v>166</v>
      </c>
      <c r="C23" s="6" t="s">
        <v>167</v>
      </c>
      <c r="D23" s="6" t="s">
        <v>95</v>
      </c>
      <c r="E23" s="6" t="s">
        <v>168</v>
      </c>
      <c r="F23" s="6" t="s">
        <v>83</v>
      </c>
      <c r="G23" s="7"/>
      <c r="H23" s="6">
        <v>10080</v>
      </c>
      <c r="I23" s="6" t="s">
        <v>84</v>
      </c>
      <c r="J23" s="6" t="s">
        <v>169</v>
      </c>
      <c r="K23" s="6" t="s">
        <v>170</v>
      </c>
    </row>
    <row r="24" spans="1:11">
      <c r="A24" s="6">
        <v>23</v>
      </c>
      <c r="B24" s="6" t="s">
        <v>171</v>
      </c>
      <c r="C24" s="6" t="s">
        <v>172</v>
      </c>
      <c r="D24" s="6" t="s">
        <v>173</v>
      </c>
      <c r="E24" s="6" t="s">
        <v>174</v>
      </c>
      <c r="F24" s="6" t="s">
        <v>175</v>
      </c>
      <c r="G24" s="7"/>
      <c r="H24" s="6">
        <v>10048</v>
      </c>
      <c r="I24" s="6" t="s">
        <v>77</v>
      </c>
      <c r="J24" s="6" t="s">
        <v>176</v>
      </c>
      <c r="K24" s="6" t="s">
        <v>177</v>
      </c>
    </row>
    <row r="25" spans="1:11">
      <c r="A25" s="6">
        <v>24</v>
      </c>
      <c r="B25" s="6" t="s">
        <v>178</v>
      </c>
      <c r="C25" s="6" t="s">
        <v>179</v>
      </c>
      <c r="D25" s="6" t="s">
        <v>41</v>
      </c>
      <c r="E25" s="6" t="s">
        <v>180</v>
      </c>
      <c r="F25" s="6" t="s">
        <v>181</v>
      </c>
      <c r="G25" s="7"/>
      <c r="H25" s="6">
        <v>10114</v>
      </c>
      <c r="I25" s="6" t="s">
        <v>63</v>
      </c>
      <c r="J25" s="6" t="s">
        <v>182</v>
      </c>
      <c r="K25" s="7"/>
    </row>
    <row r="26" spans="1:11">
      <c r="A26" s="6">
        <v>25</v>
      </c>
      <c r="B26" s="6" t="s">
        <v>183</v>
      </c>
      <c r="C26" s="6" t="s">
        <v>184</v>
      </c>
      <c r="D26" s="6" t="s">
        <v>74</v>
      </c>
      <c r="E26" s="6" t="s">
        <v>185</v>
      </c>
      <c r="F26" s="6" t="s">
        <v>186</v>
      </c>
      <c r="G26" s="7"/>
      <c r="H26" s="6">
        <v>10091</v>
      </c>
      <c r="I26" s="6" t="s">
        <v>36</v>
      </c>
      <c r="J26" s="6" t="s">
        <v>187</v>
      </c>
      <c r="K26" s="6" t="s">
        <v>188</v>
      </c>
    </row>
    <row r="27" spans="1:11">
      <c r="A27" s="6">
        <v>26</v>
      </c>
      <c r="B27" s="6" t="s">
        <v>189</v>
      </c>
      <c r="C27" s="6" t="s">
        <v>190</v>
      </c>
      <c r="D27" s="6" t="s">
        <v>74</v>
      </c>
      <c r="E27" s="6" t="s">
        <v>191</v>
      </c>
      <c r="F27" s="6" t="s">
        <v>145</v>
      </c>
      <c r="G27" s="7"/>
      <c r="H27" s="6">
        <v>10101</v>
      </c>
      <c r="I27" s="6" t="s">
        <v>77</v>
      </c>
      <c r="J27" s="6" t="s">
        <v>192</v>
      </c>
      <c r="K27" s="6" t="s">
        <v>193</v>
      </c>
    </row>
    <row r="28" spans="1:11">
      <c r="A28" s="6">
        <v>27</v>
      </c>
      <c r="B28" s="6" t="s">
        <v>194</v>
      </c>
      <c r="C28" s="6" t="s">
        <v>195</v>
      </c>
      <c r="D28" s="6" t="s">
        <v>33</v>
      </c>
      <c r="E28" s="6" t="s">
        <v>196</v>
      </c>
      <c r="F28" s="6" t="s">
        <v>197</v>
      </c>
      <c r="G28" s="7"/>
      <c r="H28" s="6">
        <v>10099</v>
      </c>
      <c r="I28" s="6" t="s">
        <v>198</v>
      </c>
      <c r="J28" s="6" t="s">
        <v>199</v>
      </c>
      <c r="K28" s="6" t="s">
        <v>200</v>
      </c>
    </row>
    <row r="29" spans="1:11">
      <c r="A29" s="6">
        <v>28</v>
      </c>
      <c r="B29" s="6" t="s">
        <v>201</v>
      </c>
      <c r="C29" s="6" t="s">
        <v>202</v>
      </c>
      <c r="D29" s="6" t="s">
        <v>155</v>
      </c>
      <c r="E29" s="6" t="s">
        <v>203</v>
      </c>
      <c r="F29" s="6" t="s">
        <v>204</v>
      </c>
      <c r="G29" s="7"/>
      <c r="H29" s="6">
        <v>10054</v>
      </c>
      <c r="I29" s="6" t="s">
        <v>205</v>
      </c>
      <c r="J29" s="6" t="s">
        <v>206</v>
      </c>
      <c r="K29" s="6" t="s">
        <v>207</v>
      </c>
    </row>
    <row r="30" spans="1:11">
      <c r="A30" s="6">
        <v>29</v>
      </c>
      <c r="B30" s="6" t="s">
        <v>208</v>
      </c>
      <c r="C30" s="6" t="s">
        <v>209</v>
      </c>
      <c r="D30" s="6" t="s">
        <v>74</v>
      </c>
      <c r="E30" s="6" t="s">
        <v>210</v>
      </c>
      <c r="F30" s="6" t="s">
        <v>211</v>
      </c>
      <c r="G30" s="7"/>
      <c r="H30" s="6">
        <v>10081</v>
      </c>
      <c r="I30" s="6" t="s">
        <v>84</v>
      </c>
      <c r="J30" s="6" t="s">
        <v>212</v>
      </c>
      <c r="K30" s="6" t="s">
        <v>213</v>
      </c>
    </row>
    <row r="31" spans="1:11">
      <c r="A31" s="6">
        <v>30</v>
      </c>
      <c r="B31" s="6" t="s">
        <v>214</v>
      </c>
      <c r="C31" s="6" t="s">
        <v>215</v>
      </c>
      <c r="D31" s="6" t="s">
        <v>155</v>
      </c>
      <c r="E31" s="6" t="s">
        <v>216</v>
      </c>
      <c r="F31" s="6" t="s">
        <v>217</v>
      </c>
      <c r="G31" s="7"/>
      <c r="H31" s="6">
        <v>10075</v>
      </c>
      <c r="I31" s="6" t="s">
        <v>84</v>
      </c>
      <c r="J31" s="6" t="s">
        <v>218</v>
      </c>
      <c r="K31" s="7"/>
    </row>
    <row r="32" spans="1:11">
      <c r="A32" s="6">
        <v>31</v>
      </c>
      <c r="B32" s="6" t="s">
        <v>219</v>
      </c>
      <c r="C32" s="6" t="s">
        <v>220</v>
      </c>
      <c r="D32" s="6" t="s">
        <v>125</v>
      </c>
      <c r="E32" s="6" t="s">
        <v>221</v>
      </c>
      <c r="F32" s="6" t="s">
        <v>222</v>
      </c>
      <c r="G32" s="6" t="s">
        <v>128</v>
      </c>
      <c r="H32" s="6">
        <v>10128</v>
      </c>
      <c r="I32" s="6" t="s">
        <v>129</v>
      </c>
      <c r="J32" s="6" t="s">
        <v>223</v>
      </c>
      <c r="K32" s="7"/>
    </row>
    <row r="33" spans="1:11">
      <c r="A33" s="6">
        <v>32</v>
      </c>
      <c r="B33" s="6" t="s">
        <v>224</v>
      </c>
      <c r="C33" s="6" t="s">
        <v>225</v>
      </c>
      <c r="D33" s="6" t="s">
        <v>74</v>
      </c>
      <c r="E33" s="6" t="s">
        <v>226</v>
      </c>
      <c r="F33" s="6" t="s">
        <v>227</v>
      </c>
      <c r="G33" s="6" t="s">
        <v>228</v>
      </c>
      <c r="H33" s="6">
        <v>10070</v>
      </c>
      <c r="I33" s="6" t="s">
        <v>229</v>
      </c>
      <c r="J33" s="6" t="s">
        <v>230</v>
      </c>
      <c r="K33" s="7"/>
    </row>
    <row r="34" spans="1:11">
      <c r="A34" s="6">
        <v>33</v>
      </c>
      <c r="B34" s="6" t="s">
        <v>231</v>
      </c>
      <c r="C34" s="6" t="s">
        <v>232</v>
      </c>
      <c r="D34" s="6" t="s">
        <v>41</v>
      </c>
      <c r="E34" s="6" t="s">
        <v>233</v>
      </c>
      <c r="F34" s="6" t="s">
        <v>234</v>
      </c>
      <c r="G34" s="6" t="s">
        <v>235</v>
      </c>
      <c r="H34" s="6">
        <v>10043</v>
      </c>
      <c r="I34" s="6" t="s">
        <v>236</v>
      </c>
      <c r="J34" s="6" t="s">
        <v>237</v>
      </c>
      <c r="K34" s="6" t="s">
        <v>238</v>
      </c>
    </row>
    <row r="35" spans="1:11">
      <c r="A35" s="6">
        <v>34</v>
      </c>
      <c r="B35" s="6" t="s">
        <v>239</v>
      </c>
      <c r="C35" s="6" t="s">
        <v>240</v>
      </c>
      <c r="D35" s="6" t="s">
        <v>95</v>
      </c>
      <c r="E35" s="6" t="s">
        <v>241</v>
      </c>
      <c r="F35" s="6" t="s">
        <v>242</v>
      </c>
      <c r="G35" s="6" t="s">
        <v>243</v>
      </c>
      <c r="H35" s="6">
        <v>10076</v>
      </c>
      <c r="I35" s="6" t="s">
        <v>129</v>
      </c>
      <c r="J35" s="6" t="s">
        <v>244</v>
      </c>
      <c r="K35" s="6" t="s">
        <v>245</v>
      </c>
    </row>
    <row r="36" spans="1:11">
      <c r="A36" s="6">
        <v>35</v>
      </c>
      <c r="B36" s="6" t="s">
        <v>246</v>
      </c>
      <c r="C36" s="6" t="s">
        <v>247</v>
      </c>
      <c r="D36" s="6" t="s">
        <v>33</v>
      </c>
      <c r="E36" s="6" t="s">
        <v>248</v>
      </c>
      <c r="F36" s="6" t="s">
        <v>249</v>
      </c>
      <c r="G36" s="6" t="s">
        <v>250</v>
      </c>
      <c r="H36" s="6">
        <v>10066</v>
      </c>
      <c r="I36" s="6" t="s">
        <v>236</v>
      </c>
      <c r="J36" s="6" t="s">
        <v>251</v>
      </c>
      <c r="K36" s="6" t="s">
        <v>252</v>
      </c>
    </row>
    <row r="37" spans="1:11">
      <c r="A37" s="6">
        <v>36</v>
      </c>
      <c r="B37" s="6" t="s">
        <v>253</v>
      </c>
      <c r="C37" s="6" t="s">
        <v>254</v>
      </c>
      <c r="D37" s="6" t="s">
        <v>33</v>
      </c>
      <c r="E37" s="6" t="s">
        <v>255</v>
      </c>
      <c r="F37" s="6" t="s">
        <v>256</v>
      </c>
      <c r="G37" s="6" t="s">
        <v>228</v>
      </c>
      <c r="H37" s="6">
        <v>10103</v>
      </c>
      <c r="I37" s="6" t="s">
        <v>229</v>
      </c>
      <c r="J37" s="6" t="s">
        <v>257</v>
      </c>
      <c r="K37" s="6" t="s">
        <v>258</v>
      </c>
    </row>
    <row r="38" spans="1:11">
      <c r="A38" s="6">
        <v>37</v>
      </c>
      <c r="B38" s="6" t="s">
        <v>259</v>
      </c>
      <c r="C38" s="6" t="s">
        <v>260</v>
      </c>
      <c r="D38" s="6" t="s">
        <v>125</v>
      </c>
      <c r="E38" s="6" t="s">
        <v>261</v>
      </c>
      <c r="F38" s="6" t="s">
        <v>262</v>
      </c>
      <c r="G38" s="6" t="s">
        <v>263</v>
      </c>
      <c r="H38" s="6">
        <v>10051</v>
      </c>
      <c r="I38" s="6" t="s">
        <v>264</v>
      </c>
      <c r="J38" s="6" t="s">
        <v>265</v>
      </c>
      <c r="K38" s="6" t="s">
        <v>266</v>
      </c>
    </row>
    <row r="39" spans="1:11">
      <c r="A39" s="6">
        <v>38</v>
      </c>
      <c r="B39" s="6" t="s">
        <v>267</v>
      </c>
      <c r="C39" s="6" t="s">
        <v>268</v>
      </c>
      <c r="D39" s="6" t="s">
        <v>74</v>
      </c>
      <c r="E39" s="6" t="s">
        <v>269</v>
      </c>
      <c r="F39" s="6" t="s">
        <v>270</v>
      </c>
      <c r="G39" s="6" t="s">
        <v>271</v>
      </c>
      <c r="H39" s="6">
        <v>10063</v>
      </c>
      <c r="I39" s="6" t="s">
        <v>55</v>
      </c>
      <c r="J39" s="6" t="s">
        <v>272</v>
      </c>
      <c r="K39" s="7"/>
    </row>
    <row r="40" spans="1:11">
      <c r="A40" s="6">
        <v>39</v>
      </c>
      <c r="B40" s="6" t="s">
        <v>273</v>
      </c>
      <c r="C40" s="6" t="s">
        <v>274</v>
      </c>
      <c r="D40" s="6" t="s">
        <v>125</v>
      </c>
      <c r="E40" s="6" t="s">
        <v>275</v>
      </c>
      <c r="F40" s="6" t="s">
        <v>276</v>
      </c>
      <c r="G40" s="7"/>
      <c r="H40" s="6">
        <v>10060</v>
      </c>
      <c r="I40" s="6" t="s">
        <v>36</v>
      </c>
      <c r="J40" s="6" t="s">
        <v>277</v>
      </c>
      <c r="K40" s="7"/>
    </row>
    <row r="41" spans="1:11">
      <c r="A41" s="6">
        <v>40</v>
      </c>
      <c r="B41" s="6" t="s">
        <v>278</v>
      </c>
      <c r="C41" s="6" t="s">
        <v>279</v>
      </c>
      <c r="D41" s="6" t="s">
        <v>33</v>
      </c>
      <c r="E41" s="6" t="s">
        <v>280</v>
      </c>
      <c r="F41" s="6" t="s">
        <v>281</v>
      </c>
      <c r="G41" s="7"/>
      <c r="H41" s="6">
        <v>10108</v>
      </c>
      <c r="I41" s="6" t="s">
        <v>77</v>
      </c>
      <c r="J41" s="6" t="s">
        <v>282</v>
      </c>
      <c r="K41" s="6" t="s">
        <v>283</v>
      </c>
    </row>
    <row r="42" spans="1:11">
      <c r="A42" s="6">
        <v>41</v>
      </c>
      <c r="B42" s="6" t="s">
        <v>284</v>
      </c>
      <c r="C42" s="6" t="s">
        <v>285</v>
      </c>
      <c r="D42" s="6" t="s">
        <v>155</v>
      </c>
      <c r="E42" s="6" t="s">
        <v>286</v>
      </c>
      <c r="F42" s="6" t="s">
        <v>287</v>
      </c>
      <c r="G42" s="7"/>
      <c r="H42" s="6">
        <v>10053</v>
      </c>
      <c r="I42" s="6" t="s">
        <v>77</v>
      </c>
      <c r="J42" s="6" t="s">
        <v>288</v>
      </c>
      <c r="K42" s="6" t="s">
        <v>289</v>
      </c>
    </row>
    <row r="43" spans="1:11">
      <c r="A43" s="6">
        <v>42</v>
      </c>
      <c r="B43" s="6" t="s">
        <v>290</v>
      </c>
      <c r="C43" s="6" t="s">
        <v>291</v>
      </c>
      <c r="D43" s="6" t="s">
        <v>163</v>
      </c>
      <c r="E43" s="6" t="s">
        <v>292</v>
      </c>
      <c r="F43" s="6" t="s">
        <v>293</v>
      </c>
      <c r="G43" s="6" t="s">
        <v>98</v>
      </c>
      <c r="H43" s="6">
        <v>10098</v>
      </c>
      <c r="I43" s="6" t="s">
        <v>99</v>
      </c>
      <c r="J43" s="6" t="s">
        <v>294</v>
      </c>
      <c r="K43" s="6" t="s">
        <v>295</v>
      </c>
    </row>
    <row r="44" spans="1:11">
      <c r="A44" s="6">
        <v>43</v>
      </c>
      <c r="B44" s="6" t="s">
        <v>296</v>
      </c>
      <c r="C44" s="6" t="s">
        <v>297</v>
      </c>
      <c r="D44" s="6" t="s">
        <v>74</v>
      </c>
      <c r="E44" s="6" t="s">
        <v>298</v>
      </c>
      <c r="F44" s="6" t="s">
        <v>299</v>
      </c>
      <c r="G44" s="6" t="s">
        <v>300</v>
      </c>
      <c r="H44" s="6">
        <v>10069</v>
      </c>
      <c r="I44" s="6" t="s">
        <v>229</v>
      </c>
      <c r="J44" s="6" t="s">
        <v>301</v>
      </c>
      <c r="K44" s="6" t="s">
        <v>302</v>
      </c>
    </row>
    <row r="45" spans="1:11">
      <c r="A45" s="6">
        <v>44</v>
      </c>
      <c r="B45" s="6" t="s">
        <v>303</v>
      </c>
      <c r="C45" s="6" t="s">
        <v>304</v>
      </c>
      <c r="D45" s="6" t="s">
        <v>33</v>
      </c>
      <c r="E45" s="6" t="s">
        <v>305</v>
      </c>
      <c r="F45" s="6" t="s">
        <v>306</v>
      </c>
      <c r="G45" s="7"/>
      <c r="H45" s="6">
        <v>10095</v>
      </c>
      <c r="I45" s="6" t="s">
        <v>36</v>
      </c>
      <c r="J45" s="6" t="s">
        <v>307</v>
      </c>
      <c r="K45" s="6" t="s">
        <v>308</v>
      </c>
    </row>
    <row r="46" spans="1:11">
      <c r="A46" s="6">
        <v>45</v>
      </c>
      <c r="B46" s="6" t="s">
        <v>309</v>
      </c>
      <c r="C46" s="6" t="s">
        <v>310</v>
      </c>
      <c r="D46" s="6" t="s">
        <v>41</v>
      </c>
      <c r="E46" s="6" t="s">
        <v>311</v>
      </c>
      <c r="F46" s="6" t="s">
        <v>312</v>
      </c>
      <c r="G46" s="6" t="s">
        <v>313</v>
      </c>
      <c r="H46" s="6">
        <v>10062</v>
      </c>
      <c r="I46" s="6" t="s">
        <v>229</v>
      </c>
      <c r="J46" s="6" t="s">
        <v>314</v>
      </c>
      <c r="K46" s="7"/>
    </row>
    <row r="47" spans="1:11">
      <c r="A47" s="6">
        <v>46</v>
      </c>
      <c r="B47" s="6" t="s">
        <v>315</v>
      </c>
      <c r="C47" s="6" t="s">
        <v>316</v>
      </c>
      <c r="D47" s="6" t="s">
        <v>95</v>
      </c>
      <c r="E47" s="6" t="s">
        <v>317</v>
      </c>
      <c r="F47" s="6" t="s">
        <v>318</v>
      </c>
      <c r="G47" s="6" t="s">
        <v>319</v>
      </c>
      <c r="H47" s="6">
        <v>10093</v>
      </c>
      <c r="I47" s="6" t="s">
        <v>236</v>
      </c>
      <c r="J47" s="6" t="s">
        <v>320</v>
      </c>
      <c r="K47" s="6" t="s">
        <v>321</v>
      </c>
    </row>
    <row r="48" spans="1:11">
      <c r="A48" s="6">
        <v>47</v>
      </c>
      <c r="B48" s="6" t="s">
        <v>322</v>
      </c>
      <c r="C48" s="6" t="s">
        <v>323</v>
      </c>
      <c r="D48" s="6" t="s">
        <v>41</v>
      </c>
      <c r="E48" s="6" t="s">
        <v>324</v>
      </c>
      <c r="F48" s="6" t="s">
        <v>325</v>
      </c>
      <c r="G48" s="6" t="s">
        <v>326</v>
      </c>
      <c r="H48" s="6">
        <v>10121</v>
      </c>
      <c r="I48" s="6" t="s">
        <v>236</v>
      </c>
      <c r="J48" s="6" t="s">
        <v>327</v>
      </c>
      <c r="K48" s="6" t="s">
        <v>328</v>
      </c>
    </row>
    <row r="49" spans="1:11">
      <c r="A49" s="6">
        <v>48</v>
      </c>
      <c r="B49" s="6" t="s">
        <v>329</v>
      </c>
      <c r="C49" s="6" t="s">
        <v>330</v>
      </c>
      <c r="D49" s="6" t="s">
        <v>155</v>
      </c>
      <c r="E49" s="6" t="s">
        <v>331</v>
      </c>
      <c r="F49" s="6" t="s">
        <v>332</v>
      </c>
      <c r="G49" s="6" t="s">
        <v>228</v>
      </c>
      <c r="H49" s="6">
        <v>10073</v>
      </c>
      <c r="I49" s="6" t="s">
        <v>229</v>
      </c>
      <c r="J49" s="6" t="s">
        <v>333</v>
      </c>
      <c r="K49" s="6" t="s">
        <v>334</v>
      </c>
    </row>
    <row r="50" spans="1:11">
      <c r="A50" s="6">
        <v>49</v>
      </c>
      <c r="B50" s="6" t="s">
        <v>335</v>
      </c>
      <c r="C50" s="6" t="s">
        <v>336</v>
      </c>
      <c r="D50" s="6" t="s">
        <v>74</v>
      </c>
      <c r="E50" s="6" t="s">
        <v>337</v>
      </c>
      <c r="F50" s="6" t="s">
        <v>338</v>
      </c>
      <c r="G50" s="7"/>
      <c r="H50" s="6">
        <v>10106</v>
      </c>
      <c r="I50" s="6" t="s">
        <v>198</v>
      </c>
      <c r="J50" s="6" t="s">
        <v>339</v>
      </c>
      <c r="K50" s="6" t="s">
        <v>340</v>
      </c>
    </row>
    <row r="51" spans="1:11">
      <c r="A51" s="6">
        <v>50</v>
      </c>
      <c r="B51" s="6" t="s">
        <v>341</v>
      </c>
      <c r="C51" s="6" t="s">
        <v>342</v>
      </c>
      <c r="D51" s="6" t="s">
        <v>108</v>
      </c>
      <c r="E51" s="6" t="s">
        <v>343</v>
      </c>
      <c r="F51" s="6" t="s">
        <v>344</v>
      </c>
      <c r="G51" s="7"/>
      <c r="H51" s="6">
        <v>10074</v>
      </c>
      <c r="I51" s="6" t="s">
        <v>345</v>
      </c>
      <c r="J51" s="6" t="s">
        <v>346</v>
      </c>
      <c r="K51" s="6" t="s">
        <v>347</v>
      </c>
    </row>
    <row r="52" spans="1:11">
      <c r="A52" s="6">
        <v>51</v>
      </c>
      <c r="B52" s="6" t="s">
        <v>348</v>
      </c>
      <c r="C52" s="6" t="s">
        <v>349</v>
      </c>
      <c r="D52" s="6" t="s">
        <v>163</v>
      </c>
      <c r="E52" s="6" t="s">
        <v>350</v>
      </c>
      <c r="F52" s="6" t="s">
        <v>351</v>
      </c>
      <c r="G52" s="6" t="s">
        <v>352</v>
      </c>
      <c r="H52" s="6">
        <v>10040</v>
      </c>
      <c r="I52" s="6" t="s">
        <v>99</v>
      </c>
      <c r="J52" s="6" t="s">
        <v>353</v>
      </c>
      <c r="K52" s="6" t="s">
        <v>354</v>
      </c>
    </row>
    <row r="53" spans="1:11">
      <c r="A53" s="6">
        <v>52</v>
      </c>
      <c r="B53" s="6" t="s">
        <v>355</v>
      </c>
      <c r="C53" s="6" t="s">
        <v>356</v>
      </c>
      <c r="D53" s="6" t="s">
        <v>163</v>
      </c>
      <c r="E53" s="6" t="s">
        <v>357</v>
      </c>
      <c r="F53" s="6" t="s">
        <v>358</v>
      </c>
      <c r="G53" s="7"/>
      <c r="H53" s="6">
        <v>10125</v>
      </c>
      <c r="I53" s="6" t="s">
        <v>36</v>
      </c>
      <c r="J53" s="6" t="s">
        <v>359</v>
      </c>
      <c r="K53" s="7"/>
    </row>
    <row r="54" spans="1:11">
      <c r="A54" s="6">
        <v>53</v>
      </c>
      <c r="B54" s="6" t="s">
        <v>360</v>
      </c>
      <c r="C54" s="6" t="s">
        <v>361</v>
      </c>
      <c r="D54" s="6" t="s">
        <v>125</v>
      </c>
      <c r="E54" s="6" t="s">
        <v>362</v>
      </c>
      <c r="F54" s="6" t="s">
        <v>54</v>
      </c>
      <c r="G54" s="7"/>
      <c r="H54" s="6">
        <v>10061</v>
      </c>
      <c r="I54" s="6" t="s">
        <v>55</v>
      </c>
      <c r="J54" s="6" t="s">
        <v>363</v>
      </c>
      <c r="K54" s="6" t="s">
        <v>364</v>
      </c>
    </row>
    <row r="55" spans="1:11">
      <c r="A55" s="6">
        <v>54</v>
      </c>
      <c r="B55" s="6" t="s">
        <v>365</v>
      </c>
      <c r="C55" s="6" t="s">
        <v>366</v>
      </c>
      <c r="D55" s="6" t="s">
        <v>108</v>
      </c>
      <c r="E55" s="6" t="s">
        <v>367</v>
      </c>
      <c r="F55" s="6" t="s">
        <v>110</v>
      </c>
      <c r="G55" s="7"/>
      <c r="H55" s="6">
        <v>10094</v>
      </c>
      <c r="I55" s="6" t="s">
        <v>111</v>
      </c>
      <c r="J55" s="6" t="s">
        <v>207</v>
      </c>
      <c r="K55" s="6" t="s">
        <v>112</v>
      </c>
    </row>
    <row r="56" spans="1:11">
      <c r="A56" s="6">
        <v>55</v>
      </c>
      <c r="B56" s="6" t="s">
        <v>368</v>
      </c>
      <c r="C56" s="6" t="s">
        <v>369</v>
      </c>
      <c r="D56" s="6" t="s">
        <v>33</v>
      </c>
      <c r="E56" s="6" t="s">
        <v>370</v>
      </c>
      <c r="F56" s="6" t="s">
        <v>371</v>
      </c>
      <c r="G56" s="6" t="s">
        <v>372</v>
      </c>
      <c r="H56" s="6">
        <v>10050</v>
      </c>
      <c r="I56" s="6" t="s">
        <v>229</v>
      </c>
      <c r="J56" s="6" t="s">
        <v>373</v>
      </c>
      <c r="K56" s="6" t="s">
        <v>374</v>
      </c>
    </row>
    <row r="57" spans="1:11">
      <c r="A57" s="6">
        <v>56</v>
      </c>
      <c r="B57" s="6" t="s">
        <v>375</v>
      </c>
      <c r="C57" s="6" t="s">
        <v>376</v>
      </c>
      <c r="D57" s="6" t="s">
        <v>41</v>
      </c>
      <c r="E57" s="6" t="s">
        <v>377</v>
      </c>
      <c r="F57" s="6" t="s">
        <v>378</v>
      </c>
      <c r="G57" s="7"/>
      <c r="H57" s="6">
        <v>10047</v>
      </c>
      <c r="I57" s="6" t="s">
        <v>36</v>
      </c>
      <c r="J57" s="6" t="s">
        <v>379</v>
      </c>
      <c r="K57" s="6" t="s">
        <v>380</v>
      </c>
    </row>
    <row r="58" spans="1:11">
      <c r="A58" s="6">
        <v>57</v>
      </c>
      <c r="B58" s="6" t="s">
        <v>381</v>
      </c>
      <c r="C58" s="6" t="s">
        <v>382</v>
      </c>
      <c r="D58" s="6" t="s">
        <v>41</v>
      </c>
      <c r="E58" s="6" t="s">
        <v>383</v>
      </c>
      <c r="F58" s="6" t="s">
        <v>384</v>
      </c>
      <c r="G58" s="7"/>
      <c r="H58" s="6">
        <v>10085</v>
      </c>
      <c r="I58" s="6" t="s">
        <v>77</v>
      </c>
      <c r="J58" s="6" t="s">
        <v>385</v>
      </c>
      <c r="K58" s="6" t="s">
        <v>386</v>
      </c>
    </row>
    <row r="59" spans="1:11">
      <c r="A59" s="6">
        <v>58</v>
      </c>
      <c r="B59" s="6" t="s">
        <v>387</v>
      </c>
      <c r="C59" s="6" t="s">
        <v>388</v>
      </c>
      <c r="D59" s="6" t="s">
        <v>33</v>
      </c>
      <c r="E59" s="6" t="s">
        <v>389</v>
      </c>
      <c r="F59" s="6" t="s">
        <v>43</v>
      </c>
      <c r="G59" s="7"/>
      <c r="H59" s="6">
        <v>10116</v>
      </c>
      <c r="I59" s="6" t="s">
        <v>44</v>
      </c>
      <c r="J59" s="6" t="s">
        <v>390</v>
      </c>
      <c r="K59" s="6" t="s">
        <v>251</v>
      </c>
    </row>
    <row r="60" spans="1:11">
      <c r="A60" s="6">
        <v>59</v>
      </c>
      <c r="B60" s="6" t="s">
        <v>391</v>
      </c>
      <c r="C60" s="6" t="s">
        <v>392</v>
      </c>
      <c r="D60" s="6" t="s">
        <v>155</v>
      </c>
      <c r="E60" s="6" t="s">
        <v>393</v>
      </c>
      <c r="F60" s="6" t="s">
        <v>394</v>
      </c>
      <c r="G60" s="7"/>
      <c r="H60" s="6">
        <v>10127</v>
      </c>
      <c r="I60" s="6" t="s">
        <v>158</v>
      </c>
      <c r="J60" s="6" t="s">
        <v>395</v>
      </c>
      <c r="K60" s="6" t="s">
        <v>396</v>
      </c>
    </row>
    <row r="61" spans="1:11">
      <c r="A61" s="6">
        <v>60</v>
      </c>
      <c r="B61" s="6" t="s">
        <v>397</v>
      </c>
      <c r="C61" s="6" t="s">
        <v>398</v>
      </c>
      <c r="D61" s="6" t="s">
        <v>33</v>
      </c>
      <c r="E61" s="6" t="s">
        <v>399</v>
      </c>
      <c r="F61" s="6" t="s">
        <v>204</v>
      </c>
      <c r="G61" s="7"/>
      <c r="H61" s="6">
        <v>10083</v>
      </c>
      <c r="I61" s="6" t="s">
        <v>205</v>
      </c>
      <c r="J61" s="6" t="s">
        <v>400</v>
      </c>
      <c r="K61" s="7"/>
    </row>
    <row r="62" spans="1:11">
      <c r="A62" s="6">
        <v>61</v>
      </c>
      <c r="B62" s="6" t="s">
        <v>401</v>
      </c>
      <c r="C62" s="6" t="s">
        <v>402</v>
      </c>
      <c r="D62" s="6" t="s">
        <v>95</v>
      </c>
      <c r="E62" s="6" t="s">
        <v>403</v>
      </c>
      <c r="F62" s="6" t="s">
        <v>242</v>
      </c>
      <c r="G62" s="6" t="s">
        <v>243</v>
      </c>
      <c r="H62" s="6">
        <v>10115</v>
      </c>
      <c r="I62" s="6" t="s">
        <v>129</v>
      </c>
      <c r="J62" s="6" t="s">
        <v>404</v>
      </c>
      <c r="K62" s="6" t="s">
        <v>405</v>
      </c>
    </row>
    <row r="63" spans="1:11">
      <c r="A63" s="6">
        <v>62</v>
      </c>
      <c r="B63" s="6" t="s">
        <v>406</v>
      </c>
      <c r="C63" s="6" t="s">
        <v>407</v>
      </c>
      <c r="D63" s="6" t="s">
        <v>163</v>
      </c>
      <c r="E63" s="6" t="s">
        <v>408</v>
      </c>
      <c r="F63" s="6" t="s">
        <v>127</v>
      </c>
      <c r="G63" s="6" t="s">
        <v>128</v>
      </c>
      <c r="H63" s="6">
        <v>10102</v>
      </c>
      <c r="I63" s="6" t="s">
        <v>129</v>
      </c>
      <c r="J63" s="6" t="s">
        <v>409</v>
      </c>
      <c r="K63" s="7"/>
    </row>
    <row r="64" spans="1:11">
      <c r="A64" s="6">
        <v>63</v>
      </c>
      <c r="B64" s="6" t="s">
        <v>410</v>
      </c>
      <c r="C64" s="6" t="s">
        <v>411</v>
      </c>
      <c r="D64" s="6" t="s">
        <v>95</v>
      </c>
      <c r="E64" s="6" t="s">
        <v>412</v>
      </c>
      <c r="F64" s="6" t="s">
        <v>413</v>
      </c>
      <c r="G64" s="7"/>
      <c r="H64" s="6">
        <v>10126</v>
      </c>
      <c r="I64" s="6" t="s">
        <v>36</v>
      </c>
      <c r="J64" s="6" t="s">
        <v>414</v>
      </c>
      <c r="K64" s="7"/>
    </row>
    <row r="65" spans="1:11">
      <c r="A65" s="6">
        <v>64</v>
      </c>
      <c r="B65" s="6" t="s">
        <v>415</v>
      </c>
      <c r="C65" s="6" t="s">
        <v>416</v>
      </c>
      <c r="D65" s="6" t="s">
        <v>33</v>
      </c>
      <c r="E65" s="6" t="s">
        <v>417</v>
      </c>
      <c r="F65" s="6" t="s">
        <v>110</v>
      </c>
      <c r="G65" s="7"/>
      <c r="H65" s="6">
        <v>10124</v>
      </c>
      <c r="I65" s="6" t="s">
        <v>111</v>
      </c>
      <c r="J65" s="6" t="s">
        <v>418</v>
      </c>
      <c r="K65" s="6" t="s">
        <v>419</v>
      </c>
    </row>
    <row r="66" spans="1:11">
      <c r="A66" s="6">
        <v>65</v>
      </c>
      <c r="B66" s="6" t="s">
        <v>420</v>
      </c>
      <c r="C66" s="6" t="s">
        <v>421</v>
      </c>
      <c r="D66" s="6" t="s">
        <v>422</v>
      </c>
      <c r="E66" s="6" t="s">
        <v>423</v>
      </c>
      <c r="F66" s="6" t="s">
        <v>424</v>
      </c>
      <c r="G66" s="6" t="s">
        <v>425</v>
      </c>
      <c r="H66" s="6">
        <v>10109</v>
      </c>
      <c r="I66" s="6" t="s">
        <v>229</v>
      </c>
      <c r="J66" s="6" t="s">
        <v>426</v>
      </c>
      <c r="K66" s="6" t="s">
        <v>427</v>
      </c>
    </row>
    <row r="67" spans="1:11">
      <c r="A67" s="6">
        <v>66</v>
      </c>
      <c r="B67" s="6" t="s">
        <v>428</v>
      </c>
      <c r="C67" s="6" t="s">
        <v>429</v>
      </c>
      <c r="D67" s="6" t="s">
        <v>125</v>
      </c>
      <c r="E67" s="6" t="s">
        <v>430</v>
      </c>
      <c r="F67" s="6" t="s">
        <v>431</v>
      </c>
      <c r="G67" s="7"/>
      <c r="H67" s="6">
        <v>10038</v>
      </c>
      <c r="I67" s="6" t="s">
        <v>198</v>
      </c>
      <c r="J67" s="6" t="s">
        <v>432</v>
      </c>
      <c r="K67" s="6" t="s">
        <v>433</v>
      </c>
    </row>
    <row r="68" spans="1:11">
      <c r="A68" s="6">
        <v>67</v>
      </c>
      <c r="B68" s="6" t="s">
        <v>434</v>
      </c>
      <c r="C68" s="6" t="s">
        <v>435</v>
      </c>
      <c r="D68" s="6" t="s">
        <v>173</v>
      </c>
      <c r="E68" s="6" t="s">
        <v>436</v>
      </c>
      <c r="F68" s="6" t="s">
        <v>242</v>
      </c>
      <c r="G68" s="6" t="s">
        <v>243</v>
      </c>
      <c r="H68" s="6">
        <v>10052</v>
      </c>
      <c r="I68" s="6" t="s">
        <v>129</v>
      </c>
      <c r="J68" s="6" t="s">
        <v>437</v>
      </c>
      <c r="K68" s="7"/>
    </row>
    <row r="69" spans="1:11">
      <c r="A69" s="6">
        <v>68</v>
      </c>
      <c r="B69" s="6" t="s">
        <v>438</v>
      </c>
      <c r="C69" s="6" t="s">
        <v>439</v>
      </c>
      <c r="D69" s="6" t="s">
        <v>155</v>
      </c>
      <c r="E69" s="6" t="s">
        <v>440</v>
      </c>
      <c r="F69" s="6" t="s">
        <v>441</v>
      </c>
      <c r="G69" s="7"/>
      <c r="H69" s="6">
        <v>10122</v>
      </c>
      <c r="I69" s="6" t="s">
        <v>121</v>
      </c>
      <c r="J69" s="6" t="s">
        <v>442</v>
      </c>
      <c r="K69" s="7"/>
    </row>
    <row r="70" spans="1:11">
      <c r="A70" s="6">
        <v>69</v>
      </c>
      <c r="B70" s="6" t="s">
        <v>443</v>
      </c>
      <c r="C70" s="6" t="s">
        <v>444</v>
      </c>
      <c r="D70" s="6" t="s">
        <v>95</v>
      </c>
      <c r="E70" s="6" t="s">
        <v>445</v>
      </c>
      <c r="F70" s="6" t="s">
        <v>83</v>
      </c>
      <c r="G70" s="7"/>
      <c r="H70" s="6">
        <v>10071</v>
      </c>
      <c r="I70" s="6" t="s">
        <v>84</v>
      </c>
      <c r="J70" s="6" t="s">
        <v>446</v>
      </c>
      <c r="K70" s="6" t="s">
        <v>447</v>
      </c>
    </row>
    <row r="71" spans="1:11">
      <c r="A71" s="6">
        <v>70</v>
      </c>
      <c r="B71" s="6" t="s">
        <v>448</v>
      </c>
      <c r="C71" s="6" t="s">
        <v>449</v>
      </c>
      <c r="D71" s="6" t="s">
        <v>41</v>
      </c>
      <c r="E71" s="6" t="s">
        <v>450</v>
      </c>
      <c r="F71" s="6" t="s">
        <v>451</v>
      </c>
      <c r="G71" s="7"/>
      <c r="H71" s="6">
        <v>10123</v>
      </c>
      <c r="I71" s="6" t="s">
        <v>452</v>
      </c>
      <c r="J71" s="6" t="s">
        <v>453</v>
      </c>
      <c r="K71" s="6" t="s">
        <v>454</v>
      </c>
    </row>
    <row r="72" spans="1:11">
      <c r="A72" s="6">
        <v>71</v>
      </c>
      <c r="B72" s="6" t="s">
        <v>455</v>
      </c>
      <c r="C72" s="6" t="s">
        <v>456</v>
      </c>
      <c r="D72" s="6" t="s">
        <v>33</v>
      </c>
      <c r="E72" s="6" t="s">
        <v>457</v>
      </c>
      <c r="F72" s="6" t="s">
        <v>458</v>
      </c>
      <c r="G72" s="6" t="s">
        <v>459</v>
      </c>
      <c r="H72" s="6">
        <v>10078</v>
      </c>
      <c r="I72" s="6" t="s">
        <v>229</v>
      </c>
      <c r="J72" s="6" t="s">
        <v>460</v>
      </c>
      <c r="K72" s="7"/>
    </row>
    <row r="73" spans="1:11">
      <c r="A73" s="6">
        <v>72</v>
      </c>
      <c r="B73" s="6" t="s">
        <v>461</v>
      </c>
      <c r="C73" s="6" t="s">
        <v>462</v>
      </c>
      <c r="D73" s="6" t="s">
        <v>155</v>
      </c>
      <c r="E73" s="6" t="s">
        <v>463</v>
      </c>
      <c r="F73" s="6" t="s">
        <v>54</v>
      </c>
      <c r="G73" s="7"/>
      <c r="H73" s="6">
        <v>10088</v>
      </c>
      <c r="I73" s="6" t="s">
        <v>55</v>
      </c>
      <c r="J73" s="6" t="s">
        <v>464</v>
      </c>
      <c r="K73" s="6" t="s">
        <v>465</v>
      </c>
    </row>
    <row r="74" spans="1:11">
      <c r="A74" s="6">
        <v>73</v>
      </c>
      <c r="B74" s="6" t="s">
        <v>466</v>
      </c>
      <c r="C74" s="6" t="s">
        <v>467</v>
      </c>
      <c r="D74" s="6" t="s">
        <v>41</v>
      </c>
      <c r="E74" s="6" t="s">
        <v>468</v>
      </c>
      <c r="F74" s="6" t="s">
        <v>469</v>
      </c>
      <c r="G74" s="7"/>
      <c r="H74" s="6">
        <v>10079</v>
      </c>
      <c r="I74" s="6" t="s">
        <v>470</v>
      </c>
      <c r="J74" s="6" t="s">
        <v>471</v>
      </c>
      <c r="K74" s="6" t="s">
        <v>472</v>
      </c>
    </row>
    <row r="75" spans="1:11">
      <c r="A75" s="6">
        <v>74</v>
      </c>
      <c r="B75" s="6" t="s">
        <v>473</v>
      </c>
      <c r="C75" s="6" t="s">
        <v>474</v>
      </c>
      <c r="D75" s="6" t="s">
        <v>74</v>
      </c>
      <c r="E75" s="6" t="s">
        <v>475</v>
      </c>
      <c r="F75" s="6" t="s">
        <v>384</v>
      </c>
      <c r="G75" s="7"/>
      <c r="H75" s="6">
        <v>10058</v>
      </c>
      <c r="I75" s="6" t="s">
        <v>77</v>
      </c>
      <c r="J75" s="6" t="s">
        <v>476</v>
      </c>
      <c r="K75" s="6" t="s">
        <v>477</v>
      </c>
    </row>
    <row r="76" spans="1:11">
      <c r="A76" s="6">
        <v>75</v>
      </c>
      <c r="B76" s="6" t="s">
        <v>478</v>
      </c>
      <c r="C76" s="6" t="s">
        <v>479</v>
      </c>
      <c r="D76" s="6" t="s">
        <v>155</v>
      </c>
      <c r="E76" s="6" t="s">
        <v>480</v>
      </c>
      <c r="F76" s="6" t="s">
        <v>481</v>
      </c>
      <c r="G76" s="6" t="s">
        <v>482</v>
      </c>
      <c r="H76" s="6">
        <v>10113</v>
      </c>
      <c r="I76" s="6" t="s">
        <v>229</v>
      </c>
      <c r="J76" s="6" t="s">
        <v>483</v>
      </c>
      <c r="K76" s="6" t="s">
        <v>484</v>
      </c>
    </row>
    <row r="77" spans="1:11">
      <c r="A77" s="6">
        <v>76</v>
      </c>
      <c r="B77" s="6" t="s">
        <v>485</v>
      </c>
      <c r="C77" s="6" t="s">
        <v>486</v>
      </c>
      <c r="D77" s="6" t="s">
        <v>95</v>
      </c>
      <c r="E77" s="6" t="s">
        <v>487</v>
      </c>
      <c r="F77" s="6" t="s">
        <v>488</v>
      </c>
      <c r="G77" s="7"/>
      <c r="H77" s="6">
        <v>10100</v>
      </c>
      <c r="I77" s="6" t="s">
        <v>345</v>
      </c>
      <c r="J77" s="6" t="s">
        <v>489</v>
      </c>
      <c r="K77" s="6" t="s">
        <v>490</v>
      </c>
    </row>
    <row r="78" spans="1:11">
      <c r="A78" s="6">
        <v>77</v>
      </c>
      <c r="B78" s="6" t="s">
        <v>491</v>
      </c>
      <c r="C78" s="6" t="s">
        <v>492</v>
      </c>
      <c r="D78" s="6" t="s">
        <v>74</v>
      </c>
      <c r="E78" s="6" t="s">
        <v>493</v>
      </c>
      <c r="F78" s="6" t="s">
        <v>332</v>
      </c>
      <c r="G78" s="6" t="s">
        <v>228</v>
      </c>
      <c r="H78" s="6">
        <v>10042</v>
      </c>
      <c r="I78" s="6" t="s">
        <v>229</v>
      </c>
      <c r="J78" s="6" t="s">
        <v>494</v>
      </c>
      <c r="K78" s="7"/>
    </row>
    <row r="79" spans="1:11">
      <c r="A79" s="6">
        <v>78</v>
      </c>
      <c r="B79" s="6" t="s">
        <v>495</v>
      </c>
      <c r="C79" s="6" t="s">
        <v>496</v>
      </c>
      <c r="D79" s="6" t="s">
        <v>163</v>
      </c>
      <c r="E79" s="6" t="s">
        <v>497</v>
      </c>
      <c r="F79" s="6" t="s">
        <v>498</v>
      </c>
      <c r="G79" s="6" t="s">
        <v>499</v>
      </c>
      <c r="H79" s="6">
        <v>10107</v>
      </c>
      <c r="I79" s="6" t="s">
        <v>229</v>
      </c>
      <c r="J79" s="6" t="s">
        <v>500</v>
      </c>
      <c r="K79" s="6" t="s">
        <v>501</v>
      </c>
    </row>
    <row r="80" spans="1:11">
      <c r="A80" s="6">
        <v>79</v>
      </c>
      <c r="B80" s="6" t="s">
        <v>502</v>
      </c>
      <c r="C80" s="6" t="s">
        <v>503</v>
      </c>
      <c r="D80" s="6" t="s">
        <v>74</v>
      </c>
      <c r="E80" s="6" t="s">
        <v>504</v>
      </c>
      <c r="F80" s="6" t="s">
        <v>505</v>
      </c>
      <c r="G80" s="7"/>
      <c r="H80" s="6">
        <v>10118</v>
      </c>
      <c r="I80" s="6" t="s">
        <v>36</v>
      </c>
      <c r="J80" s="6" t="s">
        <v>506</v>
      </c>
      <c r="K80" s="6" t="s">
        <v>507</v>
      </c>
    </row>
    <row r="81" spans="1:11">
      <c r="A81" s="6">
        <v>80</v>
      </c>
      <c r="B81" s="6" t="s">
        <v>508</v>
      </c>
      <c r="C81" s="6" t="s">
        <v>509</v>
      </c>
      <c r="D81" s="6" t="s">
        <v>41</v>
      </c>
      <c r="E81" s="6" t="s">
        <v>510</v>
      </c>
      <c r="F81" s="6" t="s">
        <v>43</v>
      </c>
      <c r="G81" s="7"/>
      <c r="H81" s="6">
        <v>10044</v>
      </c>
      <c r="I81" s="6" t="s">
        <v>44</v>
      </c>
      <c r="J81" s="6" t="s">
        <v>511</v>
      </c>
      <c r="K81" s="7"/>
    </row>
    <row r="82" spans="1:11">
      <c r="A82" s="6">
        <v>81</v>
      </c>
      <c r="B82" s="6" t="s">
        <v>512</v>
      </c>
      <c r="C82" s="6" t="s">
        <v>513</v>
      </c>
      <c r="D82" s="6" t="s">
        <v>33</v>
      </c>
      <c r="E82" s="6" t="s">
        <v>514</v>
      </c>
      <c r="F82" s="6" t="s">
        <v>127</v>
      </c>
      <c r="G82" s="6" t="s">
        <v>128</v>
      </c>
      <c r="H82" s="6">
        <v>10120</v>
      </c>
      <c r="I82" s="6" t="s">
        <v>129</v>
      </c>
      <c r="J82" s="6" t="s">
        <v>515</v>
      </c>
      <c r="K82" s="6" t="s">
        <v>516</v>
      </c>
    </row>
    <row r="83" spans="1:11">
      <c r="A83" s="6">
        <v>82</v>
      </c>
      <c r="B83" s="6" t="s">
        <v>517</v>
      </c>
      <c r="C83" s="6" t="s">
        <v>518</v>
      </c>
      <c r="D83" s="6" t="s">
        <v>125</v>
      </c>
      <c r="E83" s="6" t="s">
        <v>519</v>
      </c>
      <c r="F83" s="6" t="s">
        <v>520</v>
      </c>
      <c r="G83" s="6" t="s">
        <v>300</v>
      </c>
      <c r="H83" s="6">
        <v>10119</v>
      </c>
      <c r="I83" s="6" t="s">
        <v>229</v>
      </c>
      <c r="J83" s="6" t="s">
        <v>521</v>
      </c>
      <c r="K83" s="6" t="s">
        <v>522</v>
      </c>
    </row>
    <row r="84" spans="1:11">
      <c r="A84" s="6">
        <v>83</v>
      </c>
      <c r="B84" s="6" t="s">
        <v>523</v>
      </c>
      <c r="C84" s="6" t="s">
        <v>524</v>
      </c>
      <c r="D84" s="6" t="s">
        <v>155</v>
      </c>
      <c r="E84" s="6" t="s">
        <v>525</v>
      </c>
      <c r="F84" s="6" t="s">
        <v>526</v>
      </c>
      <c r="G84" s="7"/>
      <c r="H84" s="6">
        <v>10090</v>
      </c>
      <c r="I84" s="6" t="s">
        <v>470</v>
      </c>
      <c r="J84" s="6" t="s">
        <v>527</v>
      </c>
      <c r="K84" s="6" t="s">
        <v>528</v>
      </c>
    </row>
    <row r="85" spans="1:11">
      <c r="A85" s="6">
        <v>84</v>
      </c>
      <c r="B85" s="6" t="s">
        <v>529</v>
      </c>
      <c r="C85" s="6" t="s">
        <v>530</v>
      </c>
      <c r="D85" s="6" t="s">
        <v>108</v>
      </c>
      <c r="E85" s="6" t="s">
        <v>531</v>
      </c>
      <c r="F85" s="6" t="s">
        <v>532</v>
      </c>
      <c r="G85" s="7"/>
      <c r="H85" s="6">
        <v>10072</v>
      </c>
      <c r="I85" s="6" t="s">
        <v>77</v>
      </c>
      <c r="J85" s="6" t="s">
        <v>533</v>
      </c>
      <c r="K85" s="6" t="s">
        <v>534</v>
      </c>
    </row>
    <row r="86" spans="1:11">
      <c r="A86" s="6">
        <v>85</v>
      </c>
      <c r="B86" s="6" t="s">
        <v>535</v>
      </c>
      <c r="C86" s="6" t="s">
        <v>536</v>
      </c>
      <c r="D86" s="6" t="s">
        <v>95</v>
      </c>
      <c r="E86" s="6" t="s">
        <v>537</v>
      </c>
      <c r="F86" s="6" t="s">
        <v>538</v>
      </c>
      <c r="G86" s="7"/>
      <c r="H86" s="6">
        <v>10082</v>
      </c>
      <c r="I86" s="6" t="s">
        <v>77</v>
      </c>
      <c r="J86" s="6" t="s">
        <v>539</v>
      </c>
      <c r="K86" s="6" t="s">
        <v>540</v>
      </c>
    </row>
    <row r="87" spans="1:11">
      <c r="A87" s="6">
        <v>86</v>
      </c>
      <c r="B87" s="6" t="s">
        <v>541</v>
      </c>
      <c r="C87" s="6" t="s">
        <v>542</v>
      </c>
      <c r="D87" s="6" t="s">
        <v>33</v>
      </c>
      <c r="E87" s="6" t="s">
        <v>543</v>
      </c>
      <c r="F87" s="6" t="s">
        <v>544</v>
      </c>
      <c r="G87" s="7"/>
      <c r="H87" s="6">
        <v>10086</v>
      </c>
      <c r="I87" s="6" t="s">
        <v>36</v>
      </c>
      <c r="J87" s="6" t="s">
        <v>545</v>
      </c>
      <c r="K87" s="6" t="s">
        <v>546</v>
      </c>
    </row>
    <row r="88" spans="1:11">
      <c r="A88" s="6">
        <v>87</v>
      </c>
      <c r="B88" s="6" t="s">
        <v>547</v>
      </c>
      <c r="C88" s="6" t="s">
        <v>548</v>
      </c>
      <c r="D88" s="6" t="s">
        <v>95</v>
      </c>
      <c r="E88" s="6" t="s">
        <v>549</v>
      </c>
      <c r="F88" s="6" t="s">
        <v>550</v>
      </c>
      <c r="G88" s="7"/>
      <c r="H88" s="6">
        <v>10045</v>
      </c>
      <c r="I88" s="6" t="s">
        <v>551</v>
      </c>
      <c r="J88" s="6" t="s">
        <v>552</v>
      </c>
      <c r="K88" s="6" t="s">
        <v>553</v>
      </c>
    </row>
    <row r="89" spans="1:11">
      <c r="A89" s="6">
        <v>88</v>
      </c>
      <c r="B89" s="6" t="s">
        <v>554</v>
      </c>
      <c r="C89" s="6" t="s">
        <v>555</v>
      </c>
      <c r="D89" s="6" t="s">
        <v>155</v>
      </c>
      <c r="E89" s="6" t="s">
        <v>556</v>
      </c>
      <c r="F89" s="6" t="s">
        <v>557</v>
      </c>
      <c r="G89" s="6" t="s">
        <v>128</v>
      </c>
      <c r="H89" s="6">
        <v>10084</v>
      </c>
      <c r="I89" s="6" t="s">
        <v>129</v>
      </c>
      <c r="J89" s="6" t="s">
        <v>558</v>
      </c>
      <c r="K89" s="7"/>
    </row>
    <row r="90" spans="1:11">
      <c r="A90" s="6">
        <v>89</v>
      </c>
      <c r="B90" s="6" t="s">
        <v>559</v>
      </c>
      <c r="C90" s="6" t="s">
        <v>560</v>
      </c>
      <c r="D90" s="6" t="s">
        <v>41</v>
      </c>
      <c r="E90" s="6" t="s">
        <v>561</v>
      </c>
      <c r="F90" s="6" t="s">
        <v>562</v>
      </c>
      <c r="G90" s="6" t="s">
        <v>300</v>
      </c>
      <c r="H90" s="6">
        <v>10049</v>
      </c>
      <c r="I90" s="6" t="s">
        <v>229</v>
      </c>
      <c r="J90" s="6" t="s">
        <v>563</v>
      </c>
      <c r="K90" s="6" t="s">
        <v>564</v>
      </c>
    </row>
    <row r="91" spans="1:11">
      <c r="A91" s="6">
        <v>90</v>
      </c>
      <c r="B91" s="6" t="s">
        <v>565</v>
      </c>
      <c r="C91" s="6" t="s">
        <v>566</v>
      </c>
      <c r="D91" s="6" t="s">
        <v>567</v>
      </c>
      <c r="E91" s="6" t="s">
        <v>568</v>
      </c>
      <c r="F91" s="6" t="s">
        <v>569</v>
      </c>
      <c r="G91" s="7"/>
      <c r="H91" s="6">
        <v>10055</v>
      </c>
      <c r="I91" s="6" t="s">
        <v>551</v>
      </c>
      <c r="J91" s="6" t="s">
        <v>570</v>
      </c>
      <c r="K91" s="6" t="s">
        <v>571</v>
      </c>
    </row>
    <row r="92" spans="1:11">
      <c r="A92" s="6">
        <v>91</v>
      </c>
      <c r="B92" s="6" t="s">
        <v>572</v>
      </c>
      <c r="C92" s="6" t="s">
        <v>573</v>
      </c>
      <c r="D92" s="6" t="s">
        <v>41</v>
      </c>
      <c r="E92" s="6" t="s">
        <v>574</v>
      </c>
      <c r="F92" s="6" t="s">
        <v>575</v>
      </c>
      <c r="G92" s="7"/>
      <c r="H92" s="6">
        <v>10068</v>
      </c>
      <c r="I92" s="6" t="s">
        <v>576</v>
      </c>
      <c r="J92" s="6" t="s">
        <v>577</v>
      </c>
      <c r="K92" s="6" t="s">
        <v>578</v>
      </c>
    </row>
    <row r="93" spans="1:11">
      <c r="A93" s="6">
        <v>91</v>
      </c>
      <c r="B93" s="6"/>
      <c r="C93" s="6" t="s">
        <v>41</v>
      </c>
      <c r="D93" s="6" t="s">
        <v>574</v>
      </c>
      <c r="E93" s="6" t="s">
        <v>575</v>
      </c>
      <c r="F93" s="7"/>
      <c r="G93" s="6">
        <v>10068</v>
      </c>
      <c r="H93" s="6" t="s">
        <v>576</v>
      </c>
      <c r="I93" s="6" t="s">
        <v>577</v>
      </c>
      <c r="J93" s="6" t="s">
        <v>578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
  <sheetViews>
    <sheetView workbookViewId="0">
      <selection activeCell="O18" sqref="O18"/>
    </sheetView>
  </sheetViews>
  <sheetFormatPr defaultColWidth="12.5546875" defaultRowHeight="15.75" customHeight="1"/>
  <cols>
    <col min="4" max="4" width="17.21875" customWidth="1"/>
    <col min="6" max="7" width="13.21875" bestFit="1" customWidth="1"/>
    <col min="8" max="8" width="21" customWidth="1"/>
  </cols>
  <sheetData>
    <row r="1" spans="1:18">
      <c r="A1" s="6" t="s">
        <v>579</v>
      </c>
      <c r="B1" s="6" t="s">
        <v>580</v>
      </c>
      <c r="C1" s="6" t="s">
        <v>581</v>
      </c>
      <c r="D1" s="6" t="s">
        <v>582</v>
      </c>
      <c r="E1" s="6" t="s">
        <v>583</v>
      </c>
      <c r="F1" s="6" t="s">
        <v>584</v>
      </c>
      <c r="G1" s="6" t="s">
        <v>585</v>
      </c>
      <c r="H1" s="6" t="s">
        <v>24</v>
      </c>
      <c r="I1" s="6" t="s">
        <v>25</v>
      </c>
      <c r="J1" s="6" t="s">
        <v>26</v>
      </c>
      <c r="K1" s="6" t="s">
        <v>27</v>
      </c>
      <c r="L1" s="6" t="s">
        <v>28</v>
      </c>
      <c r="M1" s="6" t="s">
        <v>29</v>
      </c>
      <c r="N1" s="2" t="s">
        <v>586</v>
      </c>
      <c r="O1" s="2" t="s">
        <v>587</v>
      </c>
      <c r="P1" s="2" t="s">
        <v>588</v>
      </c>
      <c r="Q1" s="2" t="s">
        <v>589</v>
      </c>
      <c r="R1" s="2" t="s">
        <v>590</v>
      </c>
    </row>
    <row r="2" spans="1:18">
      <c r="A2" s="6">
        <v>1</v>
      </c>
      <c r="B2" s="6" t="s">
        <v>591</v>
      </c>
      <c r="C2" s="6" t="s">
        <v>592</v>
      </c>
      <c r="D2" s="6" t="s">
        <v>593</v>
      </c>
      <c r="E2" s="6" t="s">
        <v>594</v>
      </c>
      <c r="F2" s="8">
        <v>21527</v>
      </c>
      <c r="G2" s="8">
        <v>37377</v>
      </c>
      <c r="H2" s="6" t="s">
        <v>595</v>
      </c>
      <c r="I2" s="6" t="s">
        <v>562</v>
      </c>
      <c r="J2" s="6" t="s">
        <v>300</v>
      </c>
      <c r="K2" s="6">
        <v>10003</v>
      </c>
      <c r="L2" s="6" t="s">
        <v>229</v>
      </c>
      <c r="M2" s="6" t="s">
        <v>596</v>
      </c>
      <c r="N2" s="2"/>
      <c r="O2" s="2"/>
      <c r="P2" s="2"/>
      <c r="Q2" s="2"/>
      <c r="R2" s="2"/>
    </row>
    <row r="3" spans="1:18">
      <c r="A3" s="6">
        <v>2</v>
      </c>
      <c r="B3" s="6" t="s">
        <v>597</v>
      </c>
      <c r="C3" s="6" t="s">
        <v>598</v>
      </c>
      <c r="D3" s="6" t="s">
        <v>599</v>
      </c>
      <c r="E3" s="6" t="s">
        <v>600</v>
      </c>
      <c r="F3" s="8">
        <v>22696</v>
      </c>
      <c r="G3" s="8">
        <v>37482</v>
      </c>
      <c r="H3" s="6" t="s">
        <v>601</v>
      </c>
      <c r="I3" s="6" t="s">
        <v>602</v>
      </c>
      <c r="J3" s="6" t="s">
        <v>300</v>
      </c>
      <c r="K3" s="6">
        <v>10001</v>
      </c>
      <c r="L3" s="6" t="s">
        <v>229</v>
      </c>
      <c r="M3" s="6" t="s">
        <v>603</v>
      </c>
      <c r="N3" s="2"/>
      <c r="O3" s="2"/>
      <c r="P3" s="2"/>
      <c r="Q3" s="6">
        <v>1</v>
      </c>
      <c r="R3" s="2"/>
    </row>
    <row r="4" spans="1:18">
      <c r="A4" s="6">
        <v>3</v>
      </c>
      <c r="B4" s="6" t="s">
        <v>604</v>
      </c>
      <c r="C4" s="6" t="s">
        <v>605</v>
      </c>
      <c r="D4" s="6" t="s">
        <v>155</v>
      </c>
      <c r="E4" s="6" t="s">
        <v>594</v>
      </c>
      <c r="F4" s="8">
        <v>26906</v>
      </c>
      <c r="G4" s="8">
        <v>37347</v>
      </c>
      <c r="H4" s="6" t="s">
        <v>606</v>
      </c>
      <c r="I4" s="6" t="s">
        <v>520</v>
      </c>
      <c r="J4" s="6" t="s">
        <v>300</v>
      </c>
      <c r="K4" s="6">
        <v>10007</v>
      </c>
      <c r="L4" s="6" t="s">
        <v>229</v>
      </c>
      <c r="M4" s="6" t="s">
        <v>607</v>
      </c>
      <c r="N4" s="2"/>
      <c r="O4" s="2"/>
      <c r="P4" s="2"/>
      <c r="Q4" s="6">
        <v>2</v>
      </c>
      <c r="R4" s="2"/>
    </row>
    <row r="5" spans="1:18">
      <c r="A5" s="6">
        <v>4</v>
      </c>
      <c r="B5" s="6" t="s">
        <v>608</v>
      </c>
      <c r="C5" s="6" t="s">
        <v>609</v>
      </c>
      <c r="D5" s="6" t="s">
        <v>33</v>
      </c>
      <c r="E5" s="6" t="s">
        <v>610</v>
      </c>
      <c r="F5" s="8">
        <v>17429</v>
      </c>
      <c r="G5" s="8">
        <v>37744</v>
      </c>
      <c r="H5" s="6" t="s">
        <v>611</v>
      </c>
      <c r="I5" s="6" t="s">
        <v>612</v>
      </c>
      <c r="J5" s="6" t="s">
        <v>300</v>
      </c>
      <c r="K5" s="6">
        <v>10009</v>
      </c>
      <c r="L5" s="6" t="s">
        <v>229</v>
      </c>
      <c r="M5" s="6" t="s">
        <v>613</v>
      </c>
      <c r="N5" s="2"/>
      <c r="O5" s="2"/>
      <c r="P5" s="2"/>
      <c r="Q5" s="6">
        <v>3</v>
      </c>
      <c r="R5" s="2"/>
    </row>
    <row r="6" spans="1:18">
      <c r="A6" s="6">
        <v>5</v>
      </c>
      <c r="B6" s="6" t="s">
        <v>614</v>
      </c>
      <c r="C6" s="6" t="s">
        <v>615</v>
      </c>
      <c r="D6" s="6" t="s">
        <v>155</v>
      </c>
      <c r="E6" s="6" t="s">
        <v>616</v>
      </c>
      <c r="F6" s="8">
        <v>23805</v>
      </c>
      <c r="G6" s="8">
        <v>37911</v>
      </c>
      <c r="H6" s="6" t="s">
        <v>617</v>
      </c>
      <c r="I6" s="6" t="s">
        <v>54</v>
      </c>
      <c r="J6" s="2"/>
      <c r="K6" s="6">
        <v>10004</v>
      </c>
      <c r="L6" s="6" t="s">
        <v>55</v>
      </c>
      <c r="M6" s="6" t="s">
        <v>618</v>
      </c>
      <c r="N6" s="2"/>
      <c r="O6" s="2"/>
      <c r="P6" s="2"/>
      <c r="Q6" s="6">
        <v>2</v>
      </c>
      <c r="R6" s="2"/>
    </row>
    <row r="7" spans="1:18">
      <c r="A7" s="6">
        <v>6</v>
      </c>
      <c r="B7" s="6" t="s">
        <v>619</v>
      </c>
      <c r="C7" s="6" t="s">
        <v>620</v>
      </c>
      <c r="D7" s="6" t="s">
        <v>33</v>
      </c>
      <c r="E7" s="6" t="s">
        <v>616</v>
      </c>
      <c r="F7" s="8">
        <v>26847</v>
      </c>
      <c r="G7" s="8">
        <v>37911</v>
      </c>
      <c r="H7" s="6" t="s">
        <v>621</v>
      </c>
      <c r="I7" s="6" t="s">
        <v>54</v>
      </c>
      <c r="J7" s="2"/>
      <c r="K7" s="6">
        <v>10005</v>
      </c>
      <c r="L7" s="6" t="s">
        <v>55</v>
      </c>
      <c r="M7" s="6" t="s">
        <v>622</v>
      </c>
      <c r="N7" s="2"/>
      <c r="O7" s="2"/>
      <c r="P7" s="2"/>
      <c r="Q7" s="6">
        <v>5</v>
      </c>
      <c r="R7" s="2"/>
    </row>
    <row r="8" spans="1:18">
      <c r="A8" s="6">
        <v>7</v>
      </c>
      <c r="B8" s="6" t="s">
        <v>623</v>
      </c>
      <c r="C8" s="6" t="s">
        <v>624</v>
      </c>
      <c r="D8" s="6" t="s">
        <v>33</v>
      </c>
      <c r="E8" s="6" t="s">
        <v>616</v>
      </c>
      <c r="F8" s="8">
        <v>25717</v>
      </c>
      <c r="G8" s="8">
        <v>37988</v>
      </c>
      <c r="H8" s="6" t="s">
        <v>625</v>
      </c>
      <c r="I8" s="6" t="s">
        <v>54</v>
      </c>
      <c r="J8" s="2"/>
      <c r="K8" s="6">
        <v>10002</v>
      </c>
      <c r="L8" s="6" t="s">
        <v>55</v>
      </c>
      <c r="M8" s="6" t="s">
        <v>626</v>
      </c>
      <c r="N8" s="2"/>
      <c r="O8" s="2"/>
      <c r="P8" s="2"/>
      <c r="Q8" s="6">
        <v>5</v>
      </c>
      <c r="R8" s="2"/>
    </row>
    <row r="9" spans="1:18">
      <c r="A9" s="6">
        <v>8</v>
      </c>
      <c r="B9" s="6" t="s">
        <v>627</v>
      </c>
      <c r="C9" s="6" t="s">
        <v>628</v>
      </c>
      <c r="D9" s="6" t="s">
        <v>33</v>
      </c>
      <c r="E9" s="6" t="s">
        <v>594</v>
      </c>
      <c r="F9" s="8">
        <v>24846</v>
      </c>
      <c r="G9" s="8">
        <v>38051</v>
      </c>
      <c r="H9" s="6" t="s">
        <v>629</v>
      </c>
      <c r="I9" s="6" t="s">
        <v>562</v>
      </c>
      <c r="J9" s="6" t="s">
        <v>300</v>
      </c>
      <c r="K9" s="6">
        <v>10006</v>
      </c>
      <c r="L9" s="6" t="s">
        <v>229</v>
      </c>
      <c r="M9" s="6" t="s">
        <v>630</v>
      </c>
      <c r="N9" s="2"/>
      <c r="O9" s="2"/>
      <c r="P9" s="2"/>
      <c r="Q9" s="6">
        <v>3</v>
      </c>
      <c r="R9" s="2"/>
    </row>
    <row r="10" spans="1:18">
      <c r="A10" s="6">
        <v>9</v>
      </c>
      <c r="B10" s="6" t="s">
        <v>631</v>
      </c>
      <c r="C10" s="6" t="s">
        <v>632</v>
      </c>
      <c r="D10" s="6" t="s">
        <v>33</v>
      </c>
      <c r="E10" s="6" t="s">
        <v>594</v>
      </c>
      <c r="F10" s="8">
        <v>27786</v>
      </c>
      <c r="G10" s="8">
        <v>38306</v>
      </c>
      <c r="H10" s="6" t="s">
        <v>633</v>
      </c>
      <c r="I10" s="6" t="s">
        <v>54</v>
      </c>
      <c r="J10" s="2"/>
      <c r="K10" s="6">
        <v>10008</v>
      </c>
      <c r="L10" s="6" t="s">
        <v>55</v>
      </c>
      <c r="M10" s="6" t="s">
        <v>634</v>
      </c>
      <c r="N10" s="2"/>
      <c r="O10" s="2"/>
      <c r="P10" s="2"/>
      <c r="Q10" s="6">
        <v>5</v>
      </c>
      <c r="R1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50"/>
  <sheetViews>
    <sheetView workbookViewId="0">
      <selection sqref="A1:B50"/>
    </sheetView>
  </sheetViews>
  <sheetFormatPr defaultColWidth="12.5546875" defaultRowHeight="15.75" customHeight="1"/>
  <sheetData>
    <row r="1" spans="1:4">
      <c r="A1" s="6" t="s">
        <v>635</v>
      </c>
      <c r="B1" s="6" t="s">
        <v>636</v>
      </c>
      <c r="C1" s="4"/>
      <c r="D1" s="4"/>
    </row>
    <row r="2" spans="1:4">
      <c r="A2" s="6">
        <v>1</v>
      </c>
      <c r="B2" s="6">
        <v>6897</v>
      </c>
      <c r="C2" s="4"/>
      <c r="D2" s="4"/>
    </row>
    <row r="3" spans="1:4">
      <c r="A3" s="6">
        <v>2</v>
      </c>
      <c r="B3" s="6">
        <v>19713</v>
      </c>
      <c r="C3" s="4"/>
      <c r="D3" s="4"/>
    </row>
    <row r="4" spans="1:4">
      <c r="A4" s="6">
        <v>3</v>
      </c>
      <c r="B4" s="6">
        <v>1581</v>
      </c>
      <c r="C4" s="4"/>
      <c r="D4" s="4"/>
    </row>
    <row r="5" spans="1:4">
      <c r="A5" s="6">
        <v>4</v>
      </c>
      <c r="B5" s="6">
        <v>1730</v>
      </c>
      <c r="C5" s="4"/>
      <c r="D5" s="4"/>
    </row>
    <row r="6" spans="1:4">
      <c r="A6" s="6">
        <v>5</v>
      </c>
      <c r="B6" s="6">
        <v>1833</v>
      </c>
      <c r="C6" s="4"/>
      <c r="D6" s="4"/>
    </row>
    <row r="7" spans="1:4">
      <c r="A7" s="6">
        <v>6</v>
      </c>
      <c r="B7" s="6">
        <v>2116</v>
      </c>
      <c r="C7" s="4"/>
      <c r="D7" s="4"/>
    </row>
    <row r="8" spans="1:4">
      <c r="A8" s="6">
        <v>7</v>
      </c>
      <c r="B8" s="6">
        <v>2139</v>
      </c>
      <c r="C8" s="4"/>
      <c r="D8" s="4"/>
    </row>
    <row r="9" spans="1:4">
      <c r="A9" s="6">
        <v>8</v>
      </c>
      <c r="B9" s="6">
        <v>2184</v>
      </c>
      <c r="C9" s="4"/>
      <c r="D9" s="4"/>
    </row>
    <row r="10" spans="1:4">
      <c r="A10" s="6">
        <v>9</v>
      </c>
      <c r="B10" s="6">
        <v>40222</v>
      </c>
      <c r="C10" s="4"/>
      <c r="D10" s="4"/>
    </row>
    <row r="11" spans="1:4">
      <c r="A11" s="6">
        <v>10</v>
      </c>
      <c r="B11" s="6">
        <v>30346</v>
      </c>
      <c r="C11" s="4"/>
      <c r="D11" s="4"/>
    </row>
    <row r="12" spans="1:4">
      <c r="A12" s="6">
        <v>11</v>
      </c>
      <c r="B12" s="6">
        <v>31406</v>
      </c>
      <c r="C12" s="4"/>
      <c r="D12" s="4"/>
    </row>
    <row r="13" spans="1:4">
      <c r="A13" s="6">
        <v>12</v>
      </c>
      <c r="B13" s="6">
        <v>32859</v>
      </c>
      <c r="C13" s="4"/>
      <c r="D13" s="4"/>
    </row>
    <row r="14" spans="1:4">
      <c r="A14" s="6">
        <v>13</v>
      </c>
      <c r="B14" s="6">
        <v>33607</v>
      </c>
      <c r="C14" s="4"/>
      <c r="D14" s="4"/>
    </row>
    <row r="15" spans="1:4">
      <c r="A15" s="6">
        <v>14</v>
      </c>
      <c r="B15" s="6">
        <v>20852</v>
      </c>
      <c r="C15" s="4"/>
      <c r="D15" s="4"/>
    </row>
    <row r="16" spans="1:4">
      <c r="A16" s="6">
        <v>15</v>
      </c>
      <c r="B16" s="6">
        <v>27403</v>
      </c>
      <c r="C16" s="4"/>
      <c r="D16" s="4"/>
    </row>
    <row r="17" spans="1:4">
      <c r="A17" s="6">
        <v>16</v>
      </c>
      <c r="B17" s="6">
        <v>27511</v>
      </c>
      <c r="C17" s="4"/>
      <c r="D17" s="4"/>
    </row>
    <row r="18" spans="1:4">
      <c r="A18" s="6">
        <v>17</v>
      </c>
      <c r="B18" s="6">
        <v>2903</v>
      </c>
      <c r="C18" s="4"/>
      <c r="D18" s="4"/>
    </row>
    <row r="19" spans="1:4">
      <c r="A19" s="6">
        <v>18</v>
      </c>
      <c r="B19" s="6">
        <v>7960</v>
      </c>
      <c r="C19" s="4"/>
      <c r="D19" s="4"/>
    </row>
    <row r="20" spans="1:4">
      <c r="A20" s="6">
        <v>19</v>
      </c>
      <c r="B20" s="6">
        <v>8837</v>
      </c>
      <c r="C20" s="4"/>
      <c r="D20" s="4"/>
    </row>
    <row r="21" spans="1:4">
      <c r="A21" s="6">
        <v>20</v>
      </c>
      <c r="B21" s="6">
        <v>10019</v>
      </c>
      <c r="C21" s="4"/>
      <c r="D21" s="4"/>
    </row>
    <row r="22" spans="1:4">
      <c r="A22" s="6">
        <v>21</v>
      </c>
      <c r="B22" s="6">
        <v>10038</v>
      </c>
      <c r="C22" s="4"/>
      <c r="D22" s="4"/>
    </row>
    <row r="23" spans="1:4">
      <c r="A23" s="6">
        <v>22</v>
      </c>
      <c r="B23" s="6">
        <v>11747</v>
      </c>
      <c r="C23" s="4"/>
      <c r="D23" s="4"/>
    </row>
    <row r="24" spans="1:4">
      <c r="A24" s="6">
        <v>23</v>
      </c>
      <c r="B24" s="6">
        <v>14450</v>
      </c>
      <c r="C24" s="4"/>
      <c r="D24" s="4"/>
    </row>
    <row r="25" spans="1:4">
      <c r="A25" s="6">
        <v>24</v>
      </c>
      <c r="B25" s="6">
        <v>85014</v>
      </c>
      <c r="C25" s="4"/>
      <c r="D25" s="4"/>
    </row>
    <row r="26" spans="1:4">
      <c r="A26" s="6">
        <v>25</v>
      </c>
      <c r="B26" s="6">
        <v>85251</v>
      </c>
      <c r="C26" s="4"/>
      <c r="D26" s="4"/>
    </row>
    <row r="27" spans="1:4">
      <c r="A27" s="6">
        <v>26</v>
      </c>
      <c r="B27" s="6">
        <v>98004</v>
      </c>
      <c r="C27" s="4"/>
      <c r="D27" s="4"/>
    </row>
    <row r="28" spans="1:4">
      <c r="A28" s="6">
        <v>27</v>
      </c>
      <c r="B28" s="6">
        <v>98052</v>
      </c>
      <c r="C28" s="4"/>
      <c r="D28" s="4"/>
    </row>
    <row r="29" spans="1:4">
      <c r="A29" s="6">
        <v>28</v>
      </c>
      <c r="B29" s="6">
        <v>98104</v>
      </c>
      <c r="C29" s="4"/>
      <c r="D29" s="4"/>
    </row>
    <row r="30" spans="1:4">
      <c r="A30" s="6">
        <v>29</v>
      </c>
      <c r="B30" s="6">
        <v>60179</v>
      </c>
      <c r="C30" s="4"/>
      <c r="D30" s="4"/>
    </row>
    <row r="31" spans="1:4">
      <c r="A31" s="6">
        <v>30</v>
      </c>
      <c r="B31" s="6">
        <v>60601</v>
      </c>
      <c r="C31" s="4"/>
      <c r="D31" s="4"/>
    </row>
    <row r="32" spans="1:4">
      <c r="A32" s="6">
        <v>31</v>
      </c>
      <c r="B32" s="6">
        <v>80202</v>
      </c>
      <c r="C32" s="4"/>
      <c r="D32" s="4"/>
    </row>
    <row r="33" spans="1:4">
      <c r="A33" s="6">
        <v>32</v>
      </c>
      <c r="B33" s="6">
        <v>80909</v>
      </c>
      <c r="C33" s="4"/>
      <c r="D33" s="4"/>
    </row>
    <row r="34" spans="1:4">
      <c r="A34" s="6">
        <v>33</v>
      </c>
      <c r="B34" s="6">
        <v>90405</v>
      </c>
      <c r="C34" s="4"/>
      <c r="D34" s="4"/>
    </row>
    <row r="35" spans="1:4">
      <c r="A35" s="6">
        <v>34</v>
      </c>
      <c r="B35" s="6">
        <v>94025</v>
      </c>
      <c r="C35" s="4"/>
      <c r="D35" s="4"/>
    </row>
    <row r="36" spans="1:4">
      <c r="A36" s="6">
        <v>35</v>
      </c>
      <c r="B36" s="6">
        <v>94105</v>
      </c>
      <c r="C36" s="4"/>
      <c r="D36" s="4"/>
    </row>
    <row r="37" spans="1:4">
      <c r="A37" s="6">
        <v>36</v>
      </c>
      <c r="B37" s="6">
        <v>95008</v>
      </c>
      <c r="C37" s="4"/>
      <c r="D37" s="4"/>
    </row>
    <row r="38" spans="1:4">
      <c r="A38" s="6">
        <v>37</v>
      </c>
      <c r="B38" s="6">
        <v>95054</v>
      </c>
      <c r="C38" s="4"/>
      <c r="D38" s="4"/>
    </row>
    <row r="39" spans="1:4">
      <c r="A39" s="6">
        <v>38</v>
      </c>
      <c r="B39" s="6">
        <v>95060</v>
      </c>
      <c r="C39" s="4"/>
      <c r="D39" s="4"/>
    </row>
    <row r="40" spans="1:4">
      <c r="A40" s="6">
        <v>39</v>
      </c>
      <c r="B40" s="6">
        <v>19428</v>
      </c>
      <c r="C40" s="4"/>
      <c r="D40" s="4"/>
    </row>
    <row r="41" spans="1:4">
      <c r="A41" s="6">
        <v>40</v>
      </c>
      <c r="B41" s="6">
        <v>44122</v>
      </c>
      <c r="C41" s="4"/>
      <c r="D41" s="4"/>
    </row>
    <row r="42" spans="1:4">
      <c r="A42" s="6">
        <v>41</v>
      </c>
      <c r="B42" s="6">
        <v>45839</v>
      </c>
      <c r="C42" s="4"/>
      <c r="D42" s="4"/>
    </row>
    <row r="43" spans="1:4">
      <c r="A43" s="6">
        <v>42</v>
      </c>
      <c r="B43" s="6">
        <v>53404</v>
      </c>
      <c r="C43" s="4"/>
      <c r="D43" s="4"/>
    </row>
    <row r="44" spans="1:4">
      <c r="A44" s="6">
        <v>43</v>
      </c>
      <c r="B44" s="6">
        <v>3049</v>
      </c>
      <c r="C44" s="4"/>
      <c r="D44" s="4"/>
    </row>
    <row r="45" spans="1:4">
      <c r="A45" s="6">
        <v>44</v>
      </c>
      <c r="B45" s="6">
        <v>3801</v>
      </c>
      <c r="C45" s="4"/>
      <c r="D45" s="4"/>
    </row>
    <row r="46" spans="1:4">
      <c r="A46" s="6">
        <v>45</v>
      </c>
      <c r="B46" s="6">
        <v>48075</v>
      </c>
      <c r="C46" s="4"/>
      <c r="D46" s="4"/>
    </row>
    <row r="47" spans="1:4">
      <c r="A47" s="6">
        <v>46</v>
      </c>
      <c r="B47" s="6">
        <v>48084</v>
      </c>
      <c r="C47" s="4"/>
      <c r="D47" s="4"/>
    </row>
    <row r="48" spans="1:4">
      <c r="A48" s="6">
        <v>47</v>
      </c>
      <c r="B48" s="6">
        <v>48304</v>
      </c>
      <c r="C48" s="4"/>
      <c r="D48" s="4"/>
    </row>
    <row r="49" spans="1:4">
      <c r="A49" s="6">
        <v>48</v>
      </c>
      <c r="B49" s="6">
        <v>55113</v>
      </c>
      <c r="C49" s="4"/>
      <c r="D49" s="4"/>
    </row>
    <row r="50" spans="1:4">
      <c r="A50" s="6">
        <v>49</v>
      </c>
      <c r="B50" s="6">
        <v>55439</v>
      </c>
      <c r="C50" s="4"/>
      <c r="D50"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78"/>
  <sheetViews>
    <sheetView workbookViewId="0"/>
  </sheetViews>
  <sheetFormatPr defaultColWidth="12.5546875" defaultRowHeight="15.75" customHeight="1"/>
  <sheetData>
    <row r="1" spans="1:11">
      <c r="A1" s="6" t="s">
        <v>638</v>
      </c>
      <c r="B1" s="6" t="s">
        <v>642</v>
      </c>
      <c r="C1" s="6" t="s">
        <v>643</v>
      </c>
      <c r="D1" s="2" t="s">
        <v>0</v>
      </c>
      <c r="E1" s="6" t="s">
        <v>644</v>
      </c>
      <c r="F1" s="2" t="s">
        <v>639</v>
      </c>
      <c r="G1" s="2" t="s">
        <v>645</v>
      </c>
      <c r="H1" s="2" t="s">
        <v>646</v>
      </c>
      <c r="I1" s="6" t="s">
        <v>647</v>
      </c>
      <c r="J1" s="2" t="s">
        <v>648</v>
      </c>
      <c r="K1" s="10"/>
    </row>
    <row r="2" spans="1:11">
      <c r="A2" s="6">
        <v>1</v>
      </c>
      <c r="B2" s="6" t="s">
        <v>649</v>
      </c>
      <c r="C2" s="6">
        <v>1</v>
      </c>
      <c r="D2" s="6">
        <v>1</v>
      </c>
      <c r="E2" s="7"/>
      <c r="F2" s="6">
        <v>18</v>
      </c>
      <c r="G2" s="7"/>
      <c r="H2" s="7"/>
      <c r="I2" s="7"/>
      <c r="J2" s="6">
        <v>0</v>
      </c>
    </row>
    <row r="3" spans="1:11">
      <c r="A3" s="6">
        <v>2</v>
      </c>
      <c r="B3" s="6" t="s">
        <v>650</v>
      </c>
      <c r="C3" s="6">
        <v>1</v>
      </c>
      <c r="D3" s="6">
        <v>1</v>
      </c>
      <c r="E3" s="7"/>
      <c r="F3" s="6">
        <v>19</v>
      </c>
      <c r="G3" s="7"/>
      <c r="H3" s="7"/>
      <c r="I3" s="7"/>
      <c r="J3" s="6">
        <v>0</v>
      </c>
    </row>
    <row r="4" spans="1:11">
      <c r="A4" s="6">
        <v>3</v>
      </c>
      <c r="B4" s="6" t="s">
        <v>651</v>
      </c>
      <c r="C4" s="6">
        <v>1</v>
      </c>
      <c r="D4" s="6">
        <v>2</v>
      </c>
      <c r="E4" s="7"/>
      <c r="F4" s="6">
        <v>10</v>
      </c>
      <c r="G4" s="7"/>
      <c r="H4" s="7"/>
      <c r="I4" s="7"/>
      <c r="J4" s="6">
        <v>0</v>
      </c>
    </row>
    <row r="5" spans="1:11">
      <c r="A5" s="6">
        <v>4</v>
      </c>
      <c r="B5" s="6" t="s">
        <v>652</v>
      </c>
      <c r="C5" s="6">
        <v>2</v>
      </c>
      <c r="D5" s="6">
        <v>2</v>
      </c>
      <c r="E5" s="7"/>
      <c r="F5" s="6">
        <v>22</v>
      </c>
      <c r="G5" s="7"/>
      <c r="H5" s="7"/>
      <c r="I5" s="7"/>
      <c r="J5" s="6">
        <v>0</v>
      </c>
    </row>
    <row r="6" spans="1:11">
      <c r="A6" s="6">
        <v>5</v>
      </c>
      <c r="B6" s="6" t="s">
        <v>653</v>
      </c>
      <c r="C6" s="6">
        <v>2</v>
      </c>
      <c r="D6" s="6">
        <v>2</v>
      </c>
      <c r="E6" s="7"/>
      <c r="F6" s="6">
        <v>21.35</v>
      </c>
      <c r="G6" s="7"/>
      <c r="H6" s="7"/>
      <c r="I6" s="7"/>
      <c r="J6" s="6">
        <v>1</v>
      </c>
    </row>
    <row r="7" spans="1:11">
      <c r="A7" s="6">
        <v>6</v>
      </c>
      <c r="B7" s="6" t="s">
        <v>654</v>
      </c>
      <c r="C7" s="6">
        <v>3</v>
      </c>
      <c r="D7" s="6">
        <v>2</v>
      </c>
      <c r="E7" s="7"/>
      <c r="F7" s="6">
        <v>25</v>
      </c>
      <c r="G7" s="7"/>
      <c r="H7" s="7"/>
      <c r="I7" s="7"/>
      <c r="J7" s="6">
        <v>0</v>
      </c>
    </row>
    <row r="8" spans="1:11">
      <c r="A8" s="6">
        <v>7</v>
      </c>
      <c r="B8" s="6" t="s">
        <v>655</v>
      </c>
      <c r="C8" s="6">
        <v>3</v>
      </c>
      <c r="D8" s="6">
        <v>7</v>
      </c>
      <c r="E8" s="7"/>
      <c r="F8" s="6">
        <v>30</v>
      </c>
      <c r="G8" s="7"/>
      <c r="H8" s="7"/>
      <c r="I8" s="7"/>
      <c r="J8" s="6">
        <v>0</v>
      </c>
    </row>
    <row r="9" spans="1:11">
      <c r="A9" s="6">
        <v>8</v>
      </c>
      <c r="B9" s="6" t="s">
        <v>656</v>
      </c>
      <c r="C9" s="6">
        <v>3</v>
      </c>
      <c r="D9" s="6">
        <v>2</v>
      </c>
      <c r="E9" s="7"/>
      <c r="F9" s="6">
        <v>40</v>
      </c>
      <c r="G9" s="7"/>
      <c r="H9" s="7"/>
      <c r="I9" s="7"/>
      <c r="J9" s="6">
        <v>0</v>
      </c>
    </row>
    <row r="10" spans="1:11">
      <c r="A10" s="6">
        <v>9</v>
      </c>
      <c r="B10" s="6" t="s">
        <v>657</v>
      </c>
      <c r="C10" s="6">
        <v>4</v>
      </c>
      <c r="D10" s="6">
        <v>6</v>
      </c>
      <c r="E10" s="7"/>
      <c r="F10" s="6">
        <v>97</v>
      </c>
      <c r="G10" s="7"/>
      <c r="H10" s="7"/>
      <c r="I10" s="7"/>
      <c r="J10" s="6">
        <v>1</v>
      </c>
    </row>
    <row r="11" spans="1:11">
      <c r="A11" s="6">
        <v>10</v>
      </c>
      <c r="B11" s="6" t="s">
        <v>658</v>
      </c>
      <c r="C11" s="6">
        <v>4</v>
      </c>
      <c r="D11" s="6">
        <v>8</v>
      </c>
      <c r="E11" s="7"/>
      <c r="F11" s="6">
        <v>31</v>
      </c>
      <c r="G11" s="7"/>
      <c r="H11" s="7"/>
      <c r="I11" s="7"/>
      <c r="J11" s="6">
        <v>0</v>
      </c>
    </row>
    <row r="12" spans="1:11">
      <c r="A12" s="6">
        <v>11</v>
      </c>
      <c r="B12" s="6" t="s">
        <v>659</v>
      </c>
      <c r="C12" s="6">
        <v>5</v>
      </c>
      <c r="D12" s="6">
        <v>4</v>
      </c>
      <c r="E12" s="7"/>
      <c r="F12" s="6">
        <v>21</v>
      </c>
      <c r="G12" s="7"/>
      <c r="H12" s="7"/>
      <c r="I12" s="7"/>
      <c r="J12" s="6">
        <v>0</v>
      </c>
    </row>
    <row r="13" spans="1:11">
      <c r="A13" s="6">
        <v>12</v>
      </c>
      <c r="B13" s="6" t="s">
        <v>660</v>
      </c>
      <c r="C13" s="6">
        <v>5</v>
      </c>
      <c r="D13" s="6">
        <v>4</v>
      </c>
      <c r="E13" s="7"/>
      <c r="F13" s="6">
        <v>38</v>
      </c>
      <c r="G13" s="7"/>
      <c r="H13" s="7"/>
      <c r="I13" s="7"/>
      <c r="J13" s="6">
        <v>0</v>
      </c>
    </row>
    <row r="14" spans="1:11">
      <c r="A14" s="6">
        <v>13</v>
      </c>
      <c r="B14" s="6" t="s">
        <v>661</v>
      </c>
      <c r="C14" s="6">
        <v>6</v>
      </c>
      <c r="D14" s="6">
        <v>8</v>
      </c>
      <c r="E14" s="7"/>
      <c r="F14" s="6">
        <v>6</v>
      </c>
      <c r="G14" s="7"/>
      <c r="H14" s="7"/>
      <c r="I14" s="7"/>
      <c r="J14" s="6">
        <v>0</v>
      </c>
    </row>
    <row r="15" spans="1:11">
      <c r="A15" s="6">
        <v>14</v>
      </c>
      <c r="B15" s="6" t="s">
        <v>662</v>
      </c>
      <c r="C15" s="6">
        <v>6</v>
      </c>
      <c r="D15" s="6">
        <v>7</v>
      </c>
      <c r="E15" s="7"/>
      <c r="F15" s="6">
        <v>23.25</v>
      </c>
      <c r="G15" s="7"/>
      <c r="H15" s="7"/>
      <c r="I15" s="7"/>
      <c r="J15" s="6">
        <v>0</v>
      </c>
    </row>
    <row r="16" spans="1:11">
      <c r="A16" s="6">
        <v>15</v>
      </c>
      <c r="B16" s="6" t="s">
        <v>663</v>
      </c>
      <c r="C16" s="6">
        <v>6</v>
      </c>
      <c r="D16" s="6">
        <v>2</v>
      </c>
      <c r="E16" s="7"/>
      <c r="F16" s="6">
        <v>15.5</v>
      </c>
      <c r="G16" s="7"/>
      <c r="H16" s="7"/>
      <c r="I16" s="7"/>
      <c r="J16" s="6">
        <v>0</v>
      </c>
    </row>
    <row r="17" spans="1:10">
      <c r="A17" s="6">
        <v>16</v>
      </c>
      <c r="B17" s="6" t="s">
        <v>664</v>
      </c>
      <c r="C17" s="6">
        <v>7</v>
      </c>
      <c r="D17" s="6">
        <v>3</v>
      </c>
      <c r="E17" s="7"/>
      <c r="F17" s="6">
        <v>17.45</v>
      </c>
      <c r="G17" s="7"/>
      <c r="H17" s="7"/>
      <c r="I17" s="7"/>
      <c r="J17" s="6">
        <v>0</v>
      </c>
    </row>
    <row r="18" spans="1:10">
      <c r="A18" s="6">
        <v>17</v>
      </c>
      <c r="B18" s="6" t="s">
        <v>665</v>
      </c>
      <c r="C18" s="6">
        <v>7</v>
      </c>
      <c r="D18" s="6">
        <v>6</v>
      </c>
      <c r="E18" s="7"/>
      <c r="F18" s="6">
        <v>39</v>
      </c>
      <c r="G18" s="7"/>
      <c r="H18" s="7"/>
      <c r="I18" s="7"/>
      <c r="J18" s="6">
        <v>1</v>
      </c>
    </row>
    <row r="19" spans="1:10">
      <c r="A19" s="6">
        <v>18</v>
      </c>
      <c r="B19" s="6" t="s">
        <v>666</v>
      </c>
      <c r="C19" s="6">
        <v>7</v>
      </c>
      <c r="D19" s="6">
        <v>8</v>
      </c>
      <c r="E19" s="7"/>
      <c r="F19" s="6">
        <v>62.5</v>
      </c>
      <c r="G19" s="7"/>
      <c r="H19" s="7"/>
      <c r="I19" s="7"/>
      <c r="J19" s="6">
        <v>0</v>
      </c>
    </row>
    <row r="20" spans="1:10">
      <c r="A20" s="6">
        <v>19</v>
      </c>
      <c r="B20" s="6" t="s">
        <v>667</v>
      </c>
      <c r="C20" s="6">
        <v>8</v>
      </c>
      <c r="D20" s="6">
        <v>3</v>
      </c>
      <c r="E20" s="7"/>
      <c r="F20" s="6">
        <v>9.1999999999999993</v>
      </c>
      <c r="G20" s="7"/>
      <c r="H20" s="7"/>
      <c r="I20" s="7"/>
      <c r="J20" s="6">
        <v>0</v>
      </c>
    </row>
    <row r="21" spans="1:10">
      <c r="A21" s="6">
        <v>20</v>
      </c>
      <c r="B21" s="6" t="s">
        <v>668</v>
      </c>
      <c r="C21" s="6">
        <v>8</v>
      </c>
      <c r="D21" s="6">
        <v>3</v>
      </c>
      <c r="E21" s="7"/>
      <c r="F21" s="6">
        <v>81</v>
      </c>
      <c r="G21" s="7"/>
      <c r="H21" s="7"/>
      <c r="I21" s="7"/>
      <c r="J21" s="6">
        <v>0</v>
      </c>
    </row>
    <row r="22" spans="1:10">
      <c r="A22" s="6">
        <v>21</v>
      </c>
      <c r="B22" s="6" t="s">
        <v>669</v>
      </c>
      <c r="C22" s="6">
        <v>8</v>
      </c>
      <c r="D22" s="6">
        <v>3</v>
      </c>
      <c r="E22" s="7"/>
      <c r="F22" s="6">
        <v>10</v>
      </c>
      <c r="G22" s="7"/>
      <c r="H22" s="7"/>
      <c r="I22" s="7"/>
      <c r="J22" s="6">
        <v>0</v>
      </c>
    </row>
    <row r="23" spans="1:10">
      <c r="A23" s="6">
        <v>22</v>
      </c>
      <c r="B23" s="6" t="s">
        <v>670</v>
      </c>
      <c r="C23" s="6">
        <v>9</v>
      </c>
      <c r="D23" s="6">
        <v>5</v>
      </c>
      <c r="E23" s="7"/>
      <c r="F23" s="6">
        <v>21</v>
      </c>
      <c r="G23" s="7"/>
      <c r="H23" s="7"/>
      <c r="I23" s="7"/>
      <c r="J23" s="6">
        <v>0</v>
      </c>
    </row>
    <row r="24" spans="1:10">
      <c r="A24" s="6">
        <v>23</v>
      </c>
      <c r="B24" s="6" t="s">
        <v>671</v>
      </c>
      <c r="C24" s="6">
        <v>9</v>
      </c>
      <c r="D24" s="6">
        <v>5</v>
      </c>
      <c r="E24" s="7"/>
      <c r="F24" s="6">
        <v>9</v>
      </c>
      <c r="G24" s="7"/>
      <c r="H24" s="7"/>
      <c r="I24" s="7"/>
      <c r="J24" s="6">
        <v>0</v>
      </c>
    </row>
    <row r="25" spans="1:10">
      <c r="A25" s="6">
        <v>24</v>
      </c>
      <c r="B25" s="6" t="s">
        <v>672</v>
      </c>
      <c r="C25" s="6">
        <v>10</v>
      </c>
      <c r="D25" s="6">
        <v>1</v>
      </c>
      <c r="E25" s="7"/>
      <c r="F25" s="6">
        <v>4.5</v>
      </c>
      <c r="G25" s="7"/>
      <c r="H25" s="7"/>
      <c r="I25" s="7"/>
      <c r="J25" s="6">
        <v>1</v>
      </c>
    </row>
    <row r="26" spans="1:10">
      <c r="A26" s="6">
        <v>25</v>
      </c>
      <c r="B26" s="6" t="s">
        <v>673</v>
      </c>
      <c r="C26" s="6">
        <v>11</v>
      </c>
      <c r="D26" s="6">
        <v>3</v>
      </c>
      <c r="E26" s="7"/>
      <c r="F26" s="6">
        <v>14</v>
      </c>
      <c r="G26" s="7"/>
      <c r="H26" s="7"/>
      <c r="I26" s="7"/>
      <c r="J26" s="6">
        <v>0</v>
      </c>
    </row>
    <row r="27" spans="1:10">
      <c r="A27" s="6">
        <v>26</v>
      </c>
      <c r="B27" s="6" t="s">
        <v>674</v>
      </c>
      <c r="C27" s="6">
        <v>11</v>
      </c>
      <c r="D27" s="6">
        <v>3</v>
      </c>
      <c r="E27" s="7"/>
      <c r="F27" s="6">
        <v>31.23</v>
      </c>
      <c r="G27" s="7"/>
      <c r="H27" s="7"/>
      <c r="I27" s="7"/>
      <c r="J27" s="6">
        <v>0</v>
      </c>
    </row>
    <row r="28" spans="1:10">
      <c r="A28" s="6">
        <v>27</v>
      </c>
      <c r="B28" s="6" t="s">
        <v>675</v>
      </c>
      <c r="C28" s="6">
        <v>11</v>
      </c>
      <c r="D28" s="6">
        <v>3</v>
      </c>
      <c r="E28" s="7"/>
      <c r="F28" s="6">
        <v>43.9</v>
      </c>
      <c r="G28" s="7"/>
      <c r="H28" s="7"/>
      <c r="I28" s="7"/>
      <c r="J28" s="6">
        <v>0</v>
      </c>
    </row>
    <row r="29" spans="1:10">
      <c r="A29" s="6">
        <v>28</v>
      </c>
      <c r="B29" s="6" t="s">
        <v>676</v>
      </c>
      <c r="C29" s="6">
        <v>12</v>
      </c>
      <c r="D29" s="6">
        <v>7</v>
      </c>
      <c r="E29" s="7"/>
      <c r="F29" s="6">
        <v>45.6</v>
      </c>
      <c r="G29" s="7"/>
      <c r="H29" s="7"/>
      <c r="I29" s="7"/>
      <c r="J29" s="6">
        <v>1</v>
      </c>
    </row>
    <row r="30" spans="1:10">
      <c r="A30" s="6">
        <v>29</v>
      </c>
      <c r="B30" s="6" t="s">
        <v>677</v>
      </c>
      <c r="C30" s="6">
        <v>12</v>
      </c>
      <c r="D30" s="6">
        <v>6</v>
      </c>
      <c r="E30" s="7"/>
      <c r="F30" s="6">
        <v>123.79</v>
      </c>
      <c r="G30" s="7"/>
      <c r="H30" s="7"/>
      <c r="I30" s="7"/>
      <c r="J30" s="6">
        <v>1</v>
      </c>
    </row>
    <row r="31" spans="1:10">
      <c r="A31" s="6">
        <v>30</v>
      </c>
      <c r="B31" s="6" t="s">
        <v>678</v>
      </c>
      <c r="C31" s="6">
        <v>13</v>
      </c>
      <c r="D31" s="6">
        <v>8</v>
      </c>
      <c r="E31" s="7"/>
      <c r="F31" s="6">
        <v>25.89</v>
      </c>
      <c r="G31" s="7"/>
      <c r="H31" s="7"/>
      <c r="I31" s="7"/>
      <c r="J31" s="6">
        <v>0</v>
      </c>
    </row>
    <row r="32" spans="1:10">
      <c r="A32" s="6">
        <v>31</v>
      </c>
      <c r="B32" s="6" t="s">
        <v>679</v>
      </c>
      <c r="C32" s="6">
        <v>14</v>
      </c>
      <c r="D32" s="6">
        <v>4</v>
      </c>
      <c r="E32" s="7"/>
      <c r="F32" s="6">
        <v>12.5</v>
      </c>
      <c r="G32" s="7"/>
      <c r="H32" s="7"/>
      <c r="I32" s="7"/>
      <c r="J32" s="6">
        <v>0</v>
      </c>
    </row>
    <row r="33" spans="1:10">
      <c r="A33" s="6">
        <v>32</v>
      </c>
      <c r="B33" s="6" t="s">
        <v>680</v>
      </c>
      <c r="C33" s="6">
        <v>14</v>
      </c>
      <c r="D33" s="6">
        <v>4</v>
      </c>
      <c r="E33" s="7"/>
      <c r="F33" s="6">
        <v>32</v>
      </c>
      <c r="G33" s="7"/>
      <c r="H33" s="7"/>
      <c r="I33" s="7"/>
      <c r="J33" s="6">
        <v>0</v>
      </c>
    </row>
    <row r="34" spans="1:10">
      <c r="A34" s="6">
        <v>33</v>
      </c>
      <c r="B34" s="6" t="s">
        <v>681</v>
      </c>
      <c r="C34" s="6">
        <v>15</v>
      </c>
      <c r="D34" s="6">
        <v>4</v>
      </c>
      <c r="E34" s="7"/>
      <c r="F34" s="6">
        <v>2.5</v>
      </c>
      <c r="G34" s="7"/>
      <c r="H34" s="7"/>
      <c r="I34" s="7"/>
      <c r="J34" s="6">
        <v>0</v>
      </c>
    </row>
    <row r="35" spans="1:10">
      <c r="A35" s="6">
        <v>34</v>
      </c>
      <c r="B35" s="6" t="s">
        <v>682</v>
      </c>
      <c r="C35" s="6">
        <v>16</v>
      </c>
      <c r="D35" s="6">
        <v>1</v>
      </c>
      <c r="E35" s="7"/>
      <c r="F35" s="6">
        <v>14</v>
      </c>
      <c r="G35" s="7"/>
      <c r="H35" s="7"/>
      <c r="I35" s="7"/>
      <c r="J35" s="6">
        <v>0</v>
      </c>
    </row>
    <row r="36" spans="1:10">
      <c r="A36" s="6">
        <v>35</v>
      </c>
      <c r="B36" s="6" t="s">
        <v>683</v>
      </c>
      <c r="C36" s="6">
        <v>16</v>
      </c>
      <c r="D36" s="6">
        <v>1</v>
      </c>
      <c r="E36" s="7"/>
      <c r="F36" s="6">
        <v>18</v>
      </c>
      <c r="G36" s="7"/>
      <c r="H36" s="7"/>
      <c r="I36" s="7"/>
      <c r="J36" s="6">
        <v>0</v>
      </c>
    </row>
    <row r="37" spans="1:10">
      <c r="A37" s="6">
        <v>36</v>
      </c>
      <c r="B37" s="6" t="s">
        <v>684</v>
      </c>
      <c r="C37" s="6">
        <v>17</v>
      </c>
      <c r="D37" s="6">
        <v>8</v>
      </c>
      <c r="E37" s="7"/>
      <c r="F37" s="6">
        <v>19</v>
      </c>
      <c r="G37" s="7"/>
      <c r="H37" s="7"/>
      <c r="I37" s="7"/>
      <c r="J37" s="6">
        <v>0</v>
      </c>
    </row>
    <row r="38" spans="1:10">
      <c r="A38" s="6">
        <v>37</v>
      </c>
      <c r="B38" s="6" t="s">
        <v>685</v>
      </c>
      <c r="C38" s="6">
        <v>17</v>
      </c>
      <c r="D38" s="6">
        <v>8</v>
      </c>
      <c r="E38" s="7"/>
      <c r="F38" s="6">
        <v>26</v>
      </c>
      <c r="G38" s="7"/>
      <c r="H38" s="7"/>
      <c r="I38" s="7"/>
      <c r="J38" s="6">
        <v>0</v>
      </c>
    </row>
    <row r="39" spans="1:10">
      <c r="A39" s="6">
        <v>38</v>
      </c>
      <c r="B39" s="6" t="s">
        <v>686</v>
      </c>
      <c r="C39" s="6">
        <v>18</v>
      </c>
      <c r="D39" s="6">
        <v>1</v>
      </c>
      <c r="E39" s="7"/>
      <c r="F39" s="6">
        <v>263.5</v>
      </c>
      <c r="G39" s="7"/>
      <c r="H39" s="7"/>
      <c r="I39" s="7"/>
      <c r="J39" s="6">
        <v>0</v>
      </c>
    </row>
    <row r="40" spans="1:10">
      <c r="A40" s="6">
        <v>39</v>
      </c>
      <c r="B40" s="6" t="s">
        <v>687</v>
      </c>
      <c r="C40" s="6">
        <v>18</v>
      </c>
      <c r="D40" s="6">
        <v>1</v>
      </c>
      <c r="E40" s="7"/>
      <c r="F40" s="6">
        <v>18</v>
      </c>
      <c r="G40" s="7"/>
      <c r="H40" s="7"/>
      <c r="I40" s="7"/>
      <c r="J40" s="6">
        <v>0</v>
      </c>
    </row>
    <row r="41" spans="1:10">
      <c r="A41" s="6">
        <v>40</v>
      </c>
      <c r="B41" s="6" t="s">
        <v>688</v>
      </c>
      <c r="C41" s="6">
        <v>19</v>
      </c>
      <c r="D41" s="6">
        <v>8</v>
      </c>
      <c r="E41" s="7"/>
      <c r="F41" s="6">
        <v>18.399999999999999</v>
      </c>
      <c r="G41" s="7"/>
      <c r="H41" s="7"/>
      <c r="I41" s="7"/>
      <c r="J41" s="6">
        <v>0</v>
      </c>
    </row>
    <row r="42" spans="1:10">
      <c r="A42" s="6">
        <v>41</v>
      </c>
      <c r="B42" s="6" t="s">
        <v>689</v>
      </c>
      <c r="C42" s="6">
        <v>19</v>
      </c>
      <c r="D42" s="6">
        <v>8</v>
      </c>
      <c r="E42" s="7"/>
      <c r="F42" s="6">
        <v>9.65</v>
      </c>
      <c r="G42" s="7"/>
      <c r="H42" s="7"/>
      <c r="I42" s="7"/>
      <c r="J42" s="6">
        <v>0</v>
      </c>
    </row>
    <row r="43" spans="1:10">
      <c r="A43" s="6">
        <v>42</v>
      </c>
      <c r="B43" s="6" t="s">
        <v>690</v>
      </c>
      <c r="C43" s="6">
        <v>20</v>
      </c>
      <c r="D43" s="6">
        <v>5</v>
      </c>
      <c r="E43" s="7"/>
      <c r="F43" s="6">
        <v>14</v>
      </c>
      <c r="G43" s="7"/>
      <c r="H43" s="7"/>
      <c r="I43" s="7"/>
      <c r="J43" s="6">
        <v>1</v>
      </c>
    </row>
    <row r="44" spans="1:10">
      <c r="A44" s="6">
        <v>43</v>
      </c>
      <c r="B44" s="6" t="s">
        <v>691</v>
      </c>
      <c r="C44" s="6">
        <v>20</v>
      </c>
      <c r="D44" s="6">
        <v>1</v>
      </c>
      <c r="E44" s="7"/>
      <c r="F44" s="6">
        <v>46</v>
      </c>
      <c r="G44" s="7"/>
      <c r="H44" s="7"/>
      <c r="I44" s="7"/>
      <c r="J44" s="6">
        <v>0</v>
      </c>
    </row>
    <row r="45" spans="1:10">
      <c r="A45" s="6">
        <v>44</v>
      </c>
      <c r="B45" s="6" t="s">
        <v>692</v>
      </c>
      <c r="C45" s="6">
        <v>20</v>
      </c>
      <c r="D45" s="6">
        <v>2</v>
      </c>
      <c r="E45" s="7"/>
      <c r="F45" s="6">
        <v>19.45</v>
      </c>
      <c r="G45" s="7"/>
      <c r="H45" s="7"/>
      <c r="I45" s="7"/>
      <c r="J45" s="6">
        <v>0</v>
      </c>
    </row>
    <row r="46" spans="1:10">
      <c r="A46" s="6">
        <v>45</v>
      </c>
      <c r="B46" s="6" t="s">
        <v>693</v>
      </c>
      <c r="C46" s="6">
        <v>21</v>
      </c>
      <c r="D46" s="6">
        <v>8</v>
      </c>
      <c r="E46" s="7"/>
      <c r="F46" s="6">
        <v>9.5</v>
      </c>
      <c r="G46" s="7"/>
      <c r="H46" s="7"/>
      <c r="I46" s="7"/>
      <c r="J46" s="6">
        <v>0</v>
      </c>
    </row>
    <row r="47" spans="1:10">
      <c r="A47" s="6">
        <v>46</v>
      </c>
      <c r="B47" s="6" t="s">
        <v>694</v>
      </c>
      <c r="C47" s="6">
        <v>21</v>
      </c>
      <c r="D47" s="6">
        <v>8</v>
      </c>
      <c r="E47" s="7"/>
      <c r="F47" s="6">
        <v>12</v>
      </c>
      <c r="G47" s="7"/>
      <c r="H47" s="7"/>
      <c r="I47" s="7"/>
      <c r="J47" s="6">
        <v>0</v>
      </c>
    </row>
    <row r="48" spans="1:10">
      <c r="A48" s="6">
        <v>47</v>
      </c>
      <c r="B48" s="6" t="s">
        <v>695</v>
      </c>
      <c r="C48" s="6">
        <v>22</v>
      </c>
      <c r="D48" s="6">
        <v>3</v>
      </c>
      <c r="E48" s="7"/>
      <c r="F48" s="6">
        <v>9.5</v>
      </c>
      <c r="G48" s="7"/>
      <c r="H48" s="7"/>
      <c r="I48" s="7"/>
      <c r="J48" s="6">
        <v>0</v>
      </c>
    </row>
    <row r="49" spans="1:10">
      <c r="A49" s="6">
        <v>48</v>
      </c>
      <c r="B49" s="6" t="s">
        <v>696</v>
      </c>
      <c r="C49" s="6">
        <v>22</v>
      </c>
      <c r="D49" s="6">
        <v>3</v>
      </c>
      <c r="E49" s="7"/>
      <c r="F49" s="6">
        <v>12.75</v>
      </c>
      <c r="G49" s="7"/>
      <c r="H49" s="7"/>
      <c r="I49" s="7"/>
      <c r="J49" s="6">
        <v>0</v>
      </c>
    </row>
    <row r="50" spans="1:10">
      <c r="A50" s="6">
        <v>49</v>
      </c>
      <c r="B50" s="6" t="s">
        <v>697</v>
      </c>
      <c r="C50" s="6">
        <v>23</v>
      </c>
      <c r="D50" s="6">
        <v>3</v>
      </c>
      <c r="E50" s="7"/>
      <c r="F50" s="6">
        <v>20</v>
      </c>
      <c r="G50" s="7"/>
      <c r="H50" s="7"/>
      <c r="I50" s="7"/>
      <c r="J50" s="6">
        <v>0</v>
      </c>
    </row>
    <row r="51" spans="1:10">
      <c r="A51" s="6">
        <v>50</v>
      </c>
      <c r="B51" s="6" t="s">
        <v>698</v>
      </c>
      <c r="C51" s="6">
        <v>23</v>
      </c>
      <c r="D51" s="6">
        <v>3</v>
      </c>
      <c r="E51" s="7"/>
      <c r="F51" s="6">
        <v>16.25</v>
      </c>
      <c r="G51" s="7"/>
      <c r="H51" s="7"/>
      <c r="I51" s="7"/>
      <c r="J51" s="6">
        <v>0</v>
      </c>
    </row>
    <row r="52" spans="1:10">
      <c r="A52" s="6">
        <v>51</v>
      </c>
      <c r="B52" s="6" t="s">
        <v>699</v>
      </c>
      <c r="C52" s="6">
        <v>24</v>
      </c>
      <c r="D52" s="6">
        <v>7</v>
      </c>
      <c r="E52" s="7"/>
      <c r="F52" s="6">
        <v>53</v>
      </c>
      <c r="G52" s="7"/>
      <c r="H52" s="7"/>
      <c r="I52" s="7"/>
      <c r="J52" s="6">
        <v>0</v>
      </c>
    </row>
    <row r="53" spans="1:10">
      <c r="A53" s="6">
        <v>52</v>
      </c>
      <c r="B53" s="6" t="s">
        <v>700</v>
      </c>
      <c r="C53" s="6">
        <v>24</v>
      </c>
      <c r="D53" s="6">
        <v>5</v>
      </c>
      <c r="E53" s="7"/>
      <c r="F53" s="6">
        <v>7</v>
      </c>
      <c r="G53" s="7"/>
      <c r="H53" s="7"/>
      <c r="I53" s="7"/>
      <c r="J53" s="6">
        <v>0</v>
      </c>
    </row>
    <row r="54" spans="1:10">
      <c r="A54" s="6">
        <v>53</v>
      </c>
      <c r="B54" s="6" t="s">
        <v>701</v>
      </c>
      <c r="C54" s="6">
        <v>24</v>
      </c>
      <c r="D54" s="6">
        <v>6</v>
      </c>
      <c r="E54" s="7"/>
      <c r="F54" s="6">
        <v>32.799999999999997</v>
      </c>
      <c r="G54" s="7"/>
      <c r="H54" s="7"/>
      <c r="I54" s="7"/>
      <c r="J54" s="6">
        <v>1</v>
      </c>
    </row>
    <row r="55" spans="1:10">
      <c r="A55" s="6">
        <v>54</v>
      </c>
      <c r="B55" s="6" t="s">
        <v>702</v>
      </c>
      <c r="C55" s="6">
        <v>25</v>
      </c>
      <c r="D55" s="6">
        <v>6</v>
      </c>
      <c r="E55" s="7"/>
      <c r="F55" s="6">
        <v>7.45</v>
      </c>
      <c r="G55" s="7"/>
      <c r="H55" s="7"/>
      <c r="I55" s="7"/>
      <c r="J55" s="6">
        <v>0</v>
      </c>
    </row>
    <row r="56" spans="1:10">
      <c r="A56" s="6">
        <v>55</v>
      </c>
      <c r="B56" s="6" t="s">
        <v>703</v>
      </c>
      <c r="C56" s="6">
        <v>25</v>
      </c>
      <c r="D56" s="6">
        <v>6</v>
      </c>
      <c r="E56" s="7"/>
      <c r="F56" s="6">
        <v>24</v>
      </c>
      <c r="G56" s="7"/>
      <c r="H56" s="7"/>
      <c r="I56" s="7"/>
      <c r="J56" s="6">
        <v>0</v>
      </c>
    </row>
    <row r="57" spans="1:10">
      <c r="A57" s="6">
        <v>56</v>
      </c>
      <c r="B57" s="6" t="s">
        <v>704</v>
      </c>
      <c r="C57" s="6">
        <v>26</v>
      </c>
      <c r="D57" s="6">
        <v>5</v>
      </c>
      <c r="E57" s="7"/>
      <c r="F57" s="6">
        <v>38</v>
      </c>
      <c r="G57" s="7"/>
      <c r="H57" s="7"/>
      <c r="I57" s="7"/>
      <c r="J57" s="6">
        <v>0</v>
      </c>
    </row>
    <row r="58" spans="1:10">
      <c r="A58" s="6">
        <v>57</v>
      </c>
      <c r="B58" s="6" t="s">
        <v>705</v>
      </c>
      <c r="C58" s="6">
        <v>26</v>
      </c>
      <c r="D58" s="6">
        <v>5</v>
      </c>
      <c r="E58" s="7"/>
      <c r="F58" s="6">
        <v>19.5</v>
      </c>
      <c r="G58" s="7"/>
      <c r="H58" s="7"/>
      <c r="I58" s="7"/>
      <c r="J58" s="6">
        <v>0</v>
      </c>
    </row>
    <row r="59" spans="1:10">
      <c r="A59" s="6">
        <v>58</v>
      </c>
      <c r="B59" s="6" t="s">
        <v>706</v>
      </c>
      <c r="C59" s="6">
        <v>27</v>
      </c>
      <c r="D59" s="6">
        <v>8</v>
      </c>
      <c r="E59" s="7"/>
      <c r="F59" s="6">
        <v>13.25</v>
      </c>
      <c r="G59" s="7"/>
      <c r="H59" s="7"/>
      <c r="I59" s="7"/>
      <c r="J59" s="6">
        <v>0</v>
      </c>
    </row>
    <row r="60" spans="1:10">
      <c r="A60" s="6">
        <v>59</v>
      </c>
      <c r="B60" s="6" t="s">
        <v>707</v>
      </c>
      <c r="C60" s="6">
        <v>28</v>
      </c>
      <c r="D60" s="6">
        <v>4</v>
      </c>
      <c r="E60" s="7"/>
      <c r="F60" s="6">
        <v>55</v>
      </c>
      <c r="G60" s="7"/>
      <c r="H60" s="7"/>
      <c r="I60" s="7"/>
      <c r="J60" s="6">
        <v>0</v>
      </c>
    </row>
    <row r="61" spans="1:10">
      <c r="A61" s="6">
        <v>60</v>
      </c>
      <c r="B61" s="6" t="s">
        <v>708</v>
      </c>
      <c r="C61" s="6">
        <v>28</v>
      </c>
      <c r="D61" s="6">
        <v>4</v>
      </c>
      <c r="E61" s="7"/>
      <c r="F61" s="6">
        <v>34</v>
      </c>
      <c r="G61" s="7"/>
      <c r="H61" s="7"/>
      <c r="I61" s="7"/>
      <c r="J61" s="6">
        <v>0</v>
      </c>
    </row>
    <row r="62" spans="1:10">
      <c r="A62" s="6">
        <v>61</v>
      </c>
      <c r="B62" s="6" t="s">
        <v>709</v>
      </c>
      <c r="C62" s="6">
        <v>29</v>
      </c>
      <c r="D62" s="6">
        <v>2</v>
      </c>
      <c r="E62" s="7"/>
      <c r="F62" s="6">
        <v>28.5</v>
      </c>
      <c r="G62" s="7"/>
      <c r="H62" s="7"/>
      <c r="I62" s="7"/>
      <c r="J62" s="6">
        <v>0</v>
      </c>
    </row>
    <row r="63" spans="1:10">
      <c r="A63" s="6">
        <v>62</v>
      </c>
      <c r="B63" s="6" t="s">
        <v>710</v>
      </c>
      <c r="C63" s="6">
        <v>29</v>
      </c>
      <c r="D63" s="6">
        <v>3</v>
      </c>
      <c r="E63" s="7"/>
      <c r="F63" s="6">
        <v>49.3</v>
      </c>
      <c r="G63" s="7"/>
      <c r="H63" s="7"/>
      <c r="I63" s="7"/>
      <c r="J63" s="6">
        <v>0</v>
      </c>
    </row>
    <row r="64" spans="1:10">
      <c r="A64" s="6">
        <v>63</v>
      </c>
      <c r="B64" s="6" t="s">
        <v>711</v>
      </c>
      <c r="C64" s="6">
        <v>7</v>
      </c>
      <c r="D64" s="6">
        <v>2</v>
      </c>
      <c r="E64" s="7"/>
      <c r="F64" s="6">
        <v>43.9</v>
      </c>
      <c r="G64" s="7"/>
      <c r="H64" s="7"/>
      <c r="I64" s="7"/>
      <c r="J64" s="6">
        <v>0</v>
      </c>
    </row>
    <row r="65" spans="1:10">
      <c r="A65" s="6">
        <v>64</v>
      </c>
      <c r="B65" s="6" t="s">
        <v>712</v>
      </c>
      <c r="C65" s="6">
        <v>12</v>
      </c>
      <c r="D65" s="6">
        <v>5</v>
      </c>
      <c r="E65" s="7"/>
      <c r="F65" s="6">
        <v>33.25</v>
      </c>
      <c r="G65" s="7"/>
      <c r="H65" s="7"/>
      <c r="I65" s="7"/>
      <c r="J65" s="6">
        <v>0</v>
      </c>
    </row>
    <row r="66" spans="1:10">
      <c r="A66" s="6">
        <v>65</v>
      </c>
      <c r="B66" s="6" t="s">
        <v>713</v>
      </c>
      <c r="C66" s="6">
        <v>2</v>
      </c>
      <c r="D66" s="6">
        <v>2</v>
      </c>
      <c r="E66" s="7"/>
      <c r="F66" s="6">
        <v>21.05</v>
      </c>
      <c r="G66" s="7"/>
      <c r="H66" s="7"/>
      <c r="I66" s="7"/>
      <c r="J66" s="6">
        <v>0</v>
      </c>
    </row>
    <row r="67" spans="1:10">
      <c r="A67" s="6">
        <v>66</v>
      </c>
      <c r="B67" s="6" t="s">
        <v>714</v>
      </c>
      <c r="C67" s="6">
        <v>2</v>
      </c>
      <c r="D67" s="6">
        <v>2</v>
      </c>
      <c r="E67" s="7"/>
      <c r="F67" s="6">
        <v>17</v>
      </c>
      <c r="G67" s="7"/>
      <c r="H67" s="7"/>
      <c r="I67" s="7"/>
      <c r="J67" s="6">
        <v>0</v>
      </c>
    </row>
    <row r="68" spans="1:10">
      <c r="A68" s="6">
        <v>67</v>
      </c>
      <c r="B68" s="6" t="s">
        <v>715</v>
      </c>
      <c r="C68" s="6">
        <v>16</v>
      </c>
      <c r="D68" s="6">
        <v>1</v>
      </c>
      <c r="E68" s="7"/>
      <c r="F68" s="6">
        <v>14</v>
      </c>
      <c r="G68" s="7"/>
      <c r="H68" s="7"/>
      <c r="I68" s="7"/>
      <c r="J68" s="6">
        <v>0</v>
      </c>
    </row>
    <row r="69" spans="1:10">
      <c r="A69" s="6">
        <v>68</v>
      </c>
      <c r="B69" s="6" t="s">
        <v>716</v>
      </c>
      <c r="C69" s="6">
        <v>8</v>
      </c>
      <c r="D69" s="6">
        <v>3</v>
      </c>
      <c r="E69" s="7"/>
      <c r="F69" s="6">
        <v>12.5</v>
      </c>
      <c r="G69" s="7"/>
      <c r="H69" s="7"/>
      <c r="I69" s="7"/>
      <c r="J69" s="6">
        <v>0</v>
      </c>
    </row>
    <row r="70" spans="1:10">
      <c r="A70" s="6">
        <v>69</v>
      </c>
      <c r="B70" s="6" t="s">
        <v>717</v>
      </c>
      <c r="C70" s="6">
        <v>15</v>
      </c>
      <c r="D70" s="6">
        <v>4</v>
      </c>
      <c r="E70" s="7"/>
      <c r="F70" s="6">
        <v>36</v>
      </c>
      <c r="G70" s="7"/>
      <c r="H70" s="7"/>
      <c r="I70" s="7"/>
      <c r="J70" s="6">
        <v>0</v>
      </c>
    </row>
    <row r="71" spans="1:10">
      <c r="A71" s="6">
        <v>70</v>
      </c>
      <c r="B71" s="6" t="s">
        <v>718</v>
      </c>
      <c r="C71" s="6">
        <v>7</v>
      </c>
      <c r="D71" s="6">
        <v>1</v>
      </c>
      <c r="E71" s="7"/>
      <c r="F71" s="6">
        <v>15</v>
      </c>
      <c r="G71" s="7"/>
      <c r="H71" s="7"/>
      <c r="I71" s="7"/>
      <c r="J71" s="6">
        <v>0</v>
      </c>
    </row>
    <row r="72" spans="1:10">
      <c r="A72" s="6">
        <v>71</v>
      </c>
      <c r="B72" s="6" t="s">
        <v>719</v>
      </c>
      <c r="C72" s="6">
        <v>15</v>
      </c>
      <c r="D72" s="6">
        <v>4</v>
      </c>
      <c r="E72" s="7"/>
      <c r="F72" s="6">
        <v>21.5</v>
      </c>
      <c r="G72" s="7"/>
      <c r="H72" s="7"/>
      <c r="I72" s="7"/>
      <c r="J72" s="6">
        <v>0</v>
      </c>
    </row>
    <row r="73" spans="1:10">
      <c r="A73" s="6">
        <v>72</v>
      </c>
      <c r="B73" s="6" t="s">
        <v>720</v>
      </c>
      <c r="C73" s="6">
        <v>14</v>
      </c>
      <c r="D73" s="6">
        <v>4</v>
      </c>
      <c r="E73" s="7"/>
      <c r="F73" s="6">
        <v>34.799999999999997</v>
      </c>
      <c r="G73" s="7"/>
      <c r="H73" s="7"/>
      <c r="I73" s="7"/>
      <c r="J73" s="6">
        <v>0</v>
      </c>
    </row>
    <row r="74" spans="1:10">
      <c r="A74" s="6">
        <v>73</v>
      </c>
      <c r="B74" s="6" t="s">
        <v>721</v>
      </c>
      <c r="C74" s="6">
        <v>17</v>
      </c>
      <c r="D74" s="6">
        <v>8</v>
      </c>
      <c r="E74" s="7"/>
      <c r="F74" s="6">
        <v>15</v>
      </c>
      <c r="G74" s="7"/>
      <c r="H74" s="7"/>
      <c r="I74" s="7"/>
      <c r="J74" s="6">
        <v>0</v>
      </c>
    </row>
    <row r="75" spans="1:10">
      <c r="A75" s="6">
        <v>74</v>
      </c>
      <c r="B75" s="6" t="s">
        <v>722</v>
      </c>
      <c r="C75" s="6">
        <v>4</v>
      </c>
      <c r="D75" s="6">
        <v>7</v>
      </c>
      <c r="E75" s="7"/>
      <c r="F75" s="6">
        <v>10</v>
      </c>
      <c r="G75" s="7"/>
      <c r="H75" s="7"/>
      <c r="I75" s="7"/>
      <c r="J75" s="6">
        <v>0</v>
      </c>
    </row>
    <row r="76" spans="1:10">
      <c r="A76" s="6">
        <v>75</v>
      </c>
      <c r="B76" s="6" t="s">
        <v>723</v>
      </c>
      <c r="C76" s="6">
        <v>12</v>
      </c>
      <c r="D76" s="6">
        <v>1</v>
      </c>
      <c r="E76" s="7"/>
      <c r="F76" s="6">
        <v>7.75</v>
      </c>
      <c r="G76" s="7"/>
      <c r="H76" s="7"/>
      <c r="I76" s="7"/>
      <c r="J76" s="6">
        <v>0</v>
      </c>
    </row>
    <row r="77" spans="1:10">
      <c r="A77" s="6">
        <v>76</v>
      </c>
      <c r="B77" s="6" t="s">
        <v>724</v>
      </c>
      <c r="C77" s="6">
        <v>23</v>
      </c>
      <c r="D77" s="6">
        <v>1</v>
      </c>
      <c r="E77" s="7"/>
      <c r="F77" s="6">
        <v>18</v>
      </c>
      <c r="G77" s="7"/>
      <c r="H77" s="7"/>
      <c r="I77" s="7"/>
      <c r="J77" s="6">
        <v>0</v>
      </c>
    </row>
    <row r="78" spans="1:10">
      <c r="A78" s="6">
        <v>77</v>
      </c>
      <c r="B78" s="6" t="s">
        <v>725</v>
      </c>
      <c r="C78" s="6">
        <v>12</v>
      </c>
      <c r="D78" s="6">
        <v>2</v>
      </c>
      <c r="E78" s="7"/>
      <c r="F78" s="6">
        <v>13</v>
      </c>
      <c r="G78" s="7"/>
      <c r="H78" s="7"/>
      <c r="I78" s="7"/>
      <c r="J78" s="6">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5"/>
  <sheetViews>
    <sheetView workbookViewId="0"/>
  </sheetViews>
  <sheetFormatPr defaultColWidth="12.5546875" defaultRowHeight="15.75" customHeight="1"/>
  <sheetData>
    <row r="1" spans="1:2">
      <c r="A1" s="6" t="s">
        <v>726</v>
      </c>
      <c r="B1" s="6" t="s">
        <v>727</v>
      </c>
    </row>
    <row r="2" spans="1:2">
      <c r="A2" s="6">
        <v>1</v>
      </c>
      <c r="B2" s="6" t="s">
        <v>728</v>
      </c>
    </row>
    <row r="3" spans="1:2">
      <c r="A3" s="6">
        <v>2</v>
      </c>
      <c r="B3" s="6" t="s">
        <v>729</v>
      </c>
    </row>
    <row r="4" spans="1:2">
      <c r="A4" s="6">
        <v>3</v>
      </c>
      <c r="B4" s="6" t="s">
        <v>730</v>
      </c>
    </row>
    <row r="5" spans="1:2">
      <c r="A5" s="6">
        <v>4</v>
      </c>
      <c r="B5" s="6" t="s">
        <v>731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6"/>
  <sheetViews>
    <sheetView workbookViewId="0"/>
  </sheetViews>
  <sheetFormatPr defaultColWidth="12.5546875" defaultRowHeight="15.75" customHeight="1"/>
  <sheetData>
    <row r="1" spans="1:3">
      <c r="A1" s="16" t="s">
        <v>735</v>
      </c>
      <c r="B1" s="16" t="s">
        <v>21</v>
      </c>
      <c r="C1" s="16" t="s">
        <v>29</v>
      </c>
    </row>
    <row r="2" spans="1:3">
      <c r="A2" s="6">
        <v>1</v>
      </c>
      <c r="B2" s="6" t="s">
        <v>1209</v>
      </c>
      <c r="C2" s="6" t="s">
        <v>1210</v>
      </c>
    </row>
    <row r="3" spans="1:3">
      <c r="A3" s="6">
        <v>2</v>
      </c>
      <c r="B3" s="6" t="s">
        <v>1211</v>
      </c>
      <c r="C3" s="6" t="s">
        <v>1212</v>
      </c>
    </row>
    <row r="4" spans="1:3">
      <c r="A4" s="6">
        <v>3</v>
      </c>
      <c r="B4" s="6" t="s">
        <v>1213</v>
      </c>
      <c r="C4" s="6" t="s">
        <v>1214</v>
      </c>
    </row>
    <row r="5" spans="1:3">
      <c r="A5" s="3"/>
      <c r="B5" s="3"/>
      <c r="C5" s="3"/>
    </row>
    <row r="6" spans="1:3">
      <c r="A6" s="3"/>
      <c r="B6" s="3"/>
      <c r="C6"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L31"/>
  <sheetViews>
    <sheetView workbookViewId="0">
      <selection activeCell="C1" sqref="C1:C1048576"/>
    </sheetView>
  </sheetViews>
  <sheetFormatPr defaultColWidth="12.5546875" defaultRowHeight="15.75" customHeight="1"/>
  <cols>
    <col min="4" max="5" width="20.109375" customWidth="1"/>
  </cols>
  <sheetData>
    <row r="1" spans="1:12">
      <c r="A1" s="6" t="s">
        <v>643</v>
      </c>
      <c r="B1" s="6" t="s">
        <v>21</v>
      </c>
      <c r="C1" s="6" t="s">
        <v>22</v>
      </c>
      <c r="D1" s="6" t="s">
        <v>23</v>
      </c>
      <c r="E1" s="6" t="s">
        <v>24</v>
      </c>
      <c r="F1" s="6" t="s">
        <v>25</v>
      </c>
      <c r="G1" s="2" t="s">
        <v>26</v>
      </c>
      <c r="H1" s="6" t="s">
        <v>27</v>
      </c>
      <c r="I1" s="6" t="s">
        <v>28</v>
      </c>
      <c r="J1" s="6" t="s">
        <v>29</v>
      </c>
      <c r="K1" s="2" t="s">
        <v>30</v>
      </c>
      <c r="L1" s="2" t="s">
        <v>1215</v>
      </c>
    </row>
    <row r="2" spans="1:12">
      <c r="A2" s="6">
        <v>1</v>
      </c>
      <c r="B2" s="6" t="s">
        <v>1216</v>
      </c>
      <c r="C2" s="6" t="s">
        <v>1217</v>
      </c>
      <c r="D2" s="6" t="s">
        <v>1218</v>
      </c>
      <c r="E2" s="6" t="s">
        <v>1219</v>
      </c>
      <c r="F2" s="6" t="s">
        <v>54</v>
      </c>
      <c r="G2" s="2"/>
      <c r="H2" s="6">
        <v>10023</v>
      </c>
      <c r="I2" s="6" t="s">
        <v>55</v>
      </c>
      <c r="J2" s="6" t="s">
        <v>56</v>
      </c>
      <c r="K2" s="2"/>
      <c r="L2" s="2"/>
    </row>
    <row r="3" spans="1:12">
      <c r="A3" s="6">
        <v>2</v>
      </c>
      <c r="B3" s="6" t="s">
        <v>1220</v>
      </c>
      <c r="C3" s="6" t="s">
        <v>1221</v>
      </c>
      <c r="D3" s="6" t="s">
        <v>60</v>
      </c>
      <c r="E3" s="6" t="s">
        <v>977</v>
      </c>
      <c r="F3" s="6" t="s">
        <v>1222</v>
      </c>
      <c r="G3" s="6" t="s">
        <v>1223</v>
      </c>
      <c r="H3" s="6">
        <v>10013</v>
      </c>
      <c r="I3" s="6" t="s">
        <v>229</v>
      </c>
      <c r="J3" s="6" t="s">
        <v>1224</v>
      </c>
      <c r="K3" s="2"/>
      <c r="L3" s="2"/>
    </row>
    <row r="4" spans="1:12">
      <c r="A4" s="6">
        <v>3</v>
      </c>
      <c r="B4" s="6" t="s">
        <v>1225</v>
      </c>
      <c r="C4" s="6" t="s">
        <v>1226</v>
      </c>
      <c r="D4" s="6" t="s">
        <v>33</v>
      </c>
      <c r="E4" s="6" t="s">
        <v>1227</v>
      </c>
      <c r="F4" s="6" t="s">
        <v>1228</v>
      </c>
      <c r="G4" s="6" t="s">
        <v>1229</v>
      </c>
      <c r="H4" s="6">
        <v>10026</v>
      </c>
      <c r="I4" s="6" t="s">
        <v>229</v>
      </c>
      <c r="J4" s="6" t="s">
        <v>1230</v>
      </c>
      <c r="K4" s="6" t="s">
        <v>1231</v>
      </c>
      <c r="L4" s="2"/>
    </row>
    <row r="5" spans="1:12">
      <c r="A5" s="6">
        <v>4</v>
      </c>
      <c r="B5" s="6" t="s">
        <v>1232</v>
      </c>
      <c r="C5" s="6" t="s">
        <v>1233</v>
      </c>
      <c r="D5" s="6" t="s">
        <v>74</v>
      </c>
      <c r="E5" s="6" t="s">
        <v>1234</v>
      </c>
      <c r="F5" s="6" t="s">
        <v>1235</v>
      </c>
      <c r="G5" s="2"/>
      <c r="H5" s="6">
        <v>10011</v>
      </c>
      <c r="I5" s="6" t="s">
        <v>1236</v>
      </c>
      <c r="J5" s="6" t="s">
        <v>1237</v>
      </c>
      <c r="K5" s="2"/>
      <c r="L5" s="2"/>
    </row>
    <row r="6" spans="1:12">
      <c r="A6" s="6">
        <v>5</v>
      </c>
      <c r="B6" s="6" t="s">
        <v>1238</v>
      </c>
      <c r="C6" s="6" t="s">
        <v>1239</v>
      </c>
      <c r="D6" s="6" t="s">
        <v>1240</v>
      </c>
      <c r="E6" s="6" t="s">
        <v>1241</v>
      </c>
      <c r="F6" s="6" t="s">
        <v>1242</v>
      </c>
      <c r="G6" s="6" t="s">
        <v>1243</v>
      </c>
      <c r="H6" s="6">
        <v>10029</v>
      </c>
      <c r="I6" s="6" t="s">
        <v>84</v>
      </c>
      <c r="J6" s="6" t="s">
        <v>1244</v>
      </c>
      <c r="K6" s="2"/>
      <c r="L6" s="2"/>
    </row>
    <row r="7" spans="1:12">
      <c r="A7" s="6">
        <v>6</v>
      </c>
      <c r="B7" s="6" t="s">
        <v>1245</v>
      </c>
      <c r="C7" s="6" t="s">
        <v>1246</v>
      </c>
      <c r="D7" s="6" t="s">
        <v>1247</v>
      </c>
      <c r="E7" s="6" t="s">
        <v>1248</v>
      </c>
      <c r="F7" s="6" t="s">
        <v>1249</v>
      </c>
      <c r="G7" s="2"/>
      <c r="H7" s="6">
        <v>10028</v>
      </c>
      <c r="I7" s="6" t="s">
        <v>1236</v>
      </c>
      <c r="J7" s="6" t="s">
        <v>1250</v>
      </c>
      <c r="K7" s="2"/>
      <c r="L7" s="2"/>
    </row>
    <row r="8" spans="1:12">
      <c r="A8" s="6">
        <v>7</v>
      </c>
      <c r="B8" s="6" t="s">
        <v>1251</v>
      </c>
      <c r="C8" s="6" t="s">
        <v>1252</v>
      </c>
      <c r="D8" s="6" t="s">
        <v>74</v>
      </c>
      <c r="E8" s="6" t="s">
        <v>1253</v>
      </c>
      <c r="F8" s="6" t="s">
        <v>1254</v>
      </c>
      <c r="G8" s="6" t="s">
        <v>1255</v>
      </c>
      <c r="H8" s="6">
        <v>10018</v>
      </c>
      <c r="I8" s="6" t="s">
        <v>1256</v>
      </c>
      <c r="J8" s="6" t="s">
        <v>1257</v>
      </c>
      <c r="K8" s="6" t="s">
        <v>1258</v>
      </c>
      <c r="L8" s="2"/>
    </row>
    <row r="9" spans="1:12">
      <c r="A9" s="6">
        <v>8</v>
      </c>
      <c r="B9" s="6" t="s">
        <v>1259</v>
      </c>
      <c r="C9" s="6" t="s">
        <v>1260</v>
      </c>
      <c r="D9" s="6" t="s">
        <v>33</v>
      </c>
      <c r="E9" s="6" t="s">
        <v>1261</v>
      </c>
      <c r="F9" s="6" t="s">
        <v>1262</v>
      </c>
      <c r="G9" s="2"/>
      <c r="H9" s="6">
        <v>10021</v>
      </c>
      <c r="I9" s="6" t="s">
        <v>55</v>
      </c>
      <c r="J9" s="6" t="s">
        <v>1263</v>
      </c>
      <c r="K9" s="2"/>
      <c r="L9" s="2"/>
    </row>
    <row r="10" spans="1:12">
      <c r="A10" s="6">
        <v>9</v>
      </c>
      <c r="B10" s="6" t="s">
        <v>1264</v>
      </c>
      <c r="C10" s="6" t="s">
        <v>1265</v>
      </c>
      <c r="D10" s="6" t="s">
        <v>108</v>
      </c>
      <c r="E10" s="6" t="s">
        <v>1266</v>
      </c>
      <c r="F10" s="6" t="s">
        <v>1267</v>
      </c>
      <c r="G10" s="2"/>
      <c r="H10" s="6">
        <v>10022</v>
      </c>
      <c r="I10" s="6" t="s">
        <v>63</v>
      </c>
      <c r="J10" s="6" t="s">
        <v>1268</v>
      </c>
      <c r="K10" s="6" t="s">
        <v>1269</v>
      </c>
      <c r="L10" s="2"/>
    </row>
    <row r="11" spans="1:12">
      <c r="A11" s="6">
        <v>10</v>
      </c>
      <c r="B11" s="6" t="s">
        <v>1270</v>
      </c>
      <c r="C11" s="6" t="s">
        <v>1271</v>
      </c>
      <c r="D11" s="6" t="s">
        <v>74</v>
      </c>
      <c r="E11" s="6" t="s">
        <v>1272</v>
      </c>
      <c r="F11" s="6" t="s">
        <v>127</v>
      </c>
      <c r="G11" s="2"/>
      <c r="H11" s="6">
        <v>10034</v>
      </c>
      <c r="I11" s="6" t="s">
        <v>129</v>
      </c>
      <c r="J11" s="6" t="s">
        <v>1273</v>
      </c>
      <c r="K11" s="2"/>
      <c r="L11" s="2"/>
    </row>
    <row r="12" spans="1:12">
      <c r="A12" s="6">
        <v>11</v>
      </c>
      <c r="B12" s="6" t="s">
        <v>1274</v>
      </c>
      <c r="C12" s="6" t="s">
        <v>1275</v>
      </c>
      <c r="D12" s="6" t="s">
        <v>155</v>
      </c>
      <c r="E12" s="6" t="s">
        <v>1276</v>
      </c>
      <c r="F12" s="6" t="s">
        <v>35</v>
      </c>
      <c r="G12" s="2"/>
      <c r="H12" s="6">
        <v>10016</v>
      </c>
      <c r="I12" s="6" t="s">
        <v>36</v>
      </c>
      <c r="J12" s="6" t="s">
        <v>1277</v>
      </c>
      <c r="K12" s="2"/>
      <c r="L12" s="2"/>
    </row>
    <row r="13" spans="1:12">
      <c r="A13" s="6">
        <v>12</v>
      </c>
      <c r="B13" s="6" t="s">
        <v>1278</v>
      </c>
      <c r="C13" s="6" t="s">
        <v>1279</v>
      </c>
      <c r="D13" s="6" t="s">
        <v>1280</v>
      </c>
      <c r="E13" s="6" t="s">
        <v>1281</v>
      </c>
      <c r="F13" s="6" t="s">
        <v>1282</v>
      </c>
      <c r="G13" s="2"/>
      <c r="H13" s="6">
        <v>10024</v>
      </c>
      <c r="I13" s="6" t="s">
        <v>36</v>
      </c>
      <c r="J13" s="6" t="s">
        <v>1283</v>
      </c>
      <c r="K13" s="2"/>
      <c r="L13" s="2"/>
    </row>
    <row r="14" spans="1:12">
      <c r="A14" s="6">
        <v>13</v>
      </c>
      <c r="B14" s="6" t="s">
        <v>1284</v>
      </c>
      <c r="C14" s="6" t="s">
        <v>1285</v>
      </c>
      <c r="D14" s="6" t="s">
        <v>1286</v>
      </c>
      <c r="E14" s="6" t="s">
        <v>1287</v>
      </c>
      <c r="F14" s="6" t="s">
        <v>1288</v>
      </c>
      <c r="G14" s="2"/>
      <c r="H14" s="6">
        <v>10019</v>
      </c>
      <c r="I14" s="6" t="s">
        <v>36</v>
      </c>
      <c r="J14" s="6" t="s">
        <v>1289</v>
      </c>
      <c r="K14" s="6" t="s">
        <v>1290</v>
      </c>
      <c r="L14" s="2"/>
    </row>
    <row r="15" spans="1:12">
      <c r="A15" s="6">
        <v>14</v>
      </c>
      <c r="B15" s="6" t="s">
        <v>1291</v>
      </c>
      <c r="C15" s="6" t="s">
        <v>1292</v>
      </c>
      <c r="D15" s="6" t="s">
        <v>33</v>
      </c>
      <c r="E15" s="6" t="s">
        <v>1293</v>
      </c>
      <c r="F15" s="6" t="s">
        <v>1294</v>
      </c>
      <c r="G15" s="2"/>
      <c r="H15" s="6">
        <v>10015</v>
      </c>
      <c r="I15" s="6" t="s">
        <v>198</v>
      </c>
      <c r="J15" s="6" t="s">
        <v>1295</v>
      </c>
      <c r="K15" s="6" t="s">
        <v>1296</v>
      </c>
      <c r="L15" s="2"/>
    </row>
    <row r="16" spans="1:12">
      <c r="A16" s="6">
        <v>15</v>
      </c>
      <c r="B16" s="6" t="s">
        <v>1297</v>
      </c>
      <c r="C16" s="6" t="s">
        <v>1298</v>
      </c>
      <c r="D16" s="6" t="s">
        <v>74</v>
      </c>
      <c r="E16" s="6" t="s">
        <v>1299</v>
      </c>
      <c r="F16" s="6" t="s">
        <v>1300</v>
      </c>
      <c r="G16" s="2"/>
      <c r="H16" s="6">
        <v>10025</v>
      </c>
      <c r="I16" s="6" t="s">
        <v>452</v>
      </c>
      <c r="J16" s="6" t="s">
        <v>1301</v>
      </c>
      <c r="K16" s="2"/>
      <c r="L16" s="2"/>
    </row>
    <row r="17" spans="1:12">
      <c r="A17" s="6">
        <v>16</v>
      </c>
      <c r="B17" s="6" t="s">
        <v>1302</v>
      </c>
      <c r="C17" s="6" t="s">
        <v>1303</v>
      </c>
      <c r="D17" s="6" t="s">
        <v>1304</v>
      </c>
      <c r="E17" s="6" t="s">
        <v>1305</v>
      </c>
      <c r="F17" s="6" t="s">
        <v>1306</v>
      </c>
      <c r="G17" s="6" t="s">
        <v>228</v>
      </c>
      <c r="H17" s="6">
        <v>10035</v>
      </c>
      <c r="I17" s="6" t="s">
        <v>229</v>
      </c>
      <c r="J17" s="6" t="s">
        <v>1307</v>
      </c>
      <c r="K17" s="2"/>
      <c r="L17" s="2"/>
    </row>
    <row r="18" spans="1:12">
      <c r="A18" s="6">
        <v>17</v>
      </c>
      <c r="B18" s="6" t="s">
        <v>1308</v>
      </c>
      <c r="C18" s="6" t="s">
        <v>1309</v>
      </c>
      <c r="D18" s="6" t="s">
        <v>33</v>
      </c>
      <c r="E18" s="6" t="s">
        <v>1310</v>
      </c>
      <c r="F18" s="6" t="s">
        <v>1311</v>
      </c>
      <c r="G18" s="2"/>
      <c r="H18" s="6">
        <v>10033</v>
      </c>
      <c r="I18" s="6" t="s">
        <v>63</v>
      </c>
      <c r="J18" s="6" t="s">
        <v>1312</v>
      </c>
      <c r="K18" s="2"/>
      <c r="L18" s="2"/>
    </row>
    <row r="19" spans="1:12">
      <c r="A19" s="6">
        <v>18</v>
      </c>
      <c r="B19" s="6" t="s">
        <v>1313</v>
      </c>
      <c r="C19" s="6" t="s">
        <v>1314</v>
      </c>
      <c r="D19" s="6" t="s">
        <v>155</v>
      </c>
      <c r="E19" s="6" t="s">
        <v>1315</v>
      </c>
      <c r="F19" s="6" t="s">
        <v>384</v>
      </c>
      <c r="G19" s="2"/>
      <c r="H19" s="6">
        <v>10031</v>
      </c>
      <c r="I19" s="6" t="s">
        <v>77</v>
      </c>
      <c r="J19" s="6" t="s">
        <v>1316</v>
      </c>
      <c r="K19" s="6" t="s">
        <v>1317</v>
      </c>
      <c r="L19" s="2"/>
    </row>
    <row r="20" spans="1:12">
      <c r="A20" s="6">
        <v>19</v>
      </c>
      <c r="B20" s="6" t="s">
        <v>1318</v>
      </c>
      <c r="C20" s="6" t="s">
        <v>1319</v>
      </c>
      <c r="D20" s="6" t="s">
        <v>1320</v>
      </c>
      <c r="E20" s="6" t="s">
        <v>1321</v>
      </c>
      <c r="F20" s="6" t="s">
        <v>1322</v>
      </c>
      <c r="G20" s="6" t="s">
        <v>1323</v>
      </c>
      <c r="H20" s="6">
        <v>10027</v>
      </c>
      <c r="I20" s="6" t="s">
        <v>229</v>
      </c>
      <c r="J20" s="6" t="s">
        <v>1324</v>
      </c>
      <c r="K20" s="6" t="s">
        <v>1325</v>
      </c>
      <c r="L20" s="2"/>
    </row>
    <row r="21" spans="1:12">
      <c r="A21" s="6">
        <v>20</v>
      </c>
      <c r="B21" s="6" t="s">
        <v>1326</v>
      </c>
      <c r="C21" s="6" t="s">
        <v>1327</v>
      </c>
      <c r="D21" s="6" t="s">
        <v>41</v>
      </c>
      <c r="E21" s="6" t="s">
        <v>1328</v>
      </c>
      <c r="F21" s="6" t="s">
        <v>1329</v>
      </c>
      <c r="G21" s="2"/>
      <c r="H21" s="6">
        <v>10037</v>
      </c>
      <c r="I21" s="6" t="s">
        <v>1329</v>
      </c>
      <c r="J21" s="6" t="s">
        <v>1330</v>
      </c>
      <c r="K21" s="2"/>
      <c r="L21" s="2"/>
    </row>
    <row r="22" spans="1:12">
      <c r="A22" s="6">
        <v>21</v>
      </c>
      <c r="B22" s="6" t="s">
        <v>1331</v>
      </c>
      <c r="C22" s="6" t="s">
        <v>1332</v>
      </c>
      <c r="D22" s="6" t="s">
        <v>155</v>
      </c>
      <c r="E22" s="6" t="s">
        <v>1333</v>
      </c>
      <c r="F22" s="6" t="s">
        <v>1334</v>
      </c>
      <c r="G22" s="2"/>
      <c r="H22" s="6">
        <v>10012</v>
      </c>
      <c r="I22" s="6" t="s">
        <v>470</v>
      </c>
      <c r="J22" s="6">
        <v>67890123</v>
      </c>
      <c r="K22" s="6">
        <v>78901234</v>
      </c>
      <c r="L22" s="2"/>
    </row>
    <row r="23" spans="1:12">
      <c r="A23" s="6">
        <v>22</v>
      </c>
      <c r="B23" s="6" t="s">
        <v>1335</v>
      </c>
      <c r="C23" s="6" t="s">
        <v>1336</v>
      </c>
      <c r="D23" s="6" t="s">
        <v>95</v>
      </c>
      <c r="E23" s="6" t="s">
        <v>1337</v>
      </c>
      <c r="F23" s="6" t="s">
        <v>1338</v>
      </c>
      <c r="G23" s="2"/>
      <c r="H23" s="6">
        <v>10014</v>
      </c>
      <c r="I23" s="6" t="s">
        <v>1339</v>
      </c>
      <c r="J23" s="6" t="s">
        <v>1340</v>
      </c>
      <c r="K23" s="6" t="s">
        <v>1341</v>
      </c>
      <c r="L23" s="2"/>
    </row>
    <row r="24" spans="1:12">
      <c r="A24" s="6">
        <v>23</v>
      </c>
      <c r="B24" s="6" t="s">
        <v>1342</v>
      </c>
      <c r="C24" s="6" t="s">
        <v>1343</v>
      </c>
      <c r="D24" s="6" t="s">
        <v>1344</v>
      </c>
      <c r="E24" s="6" t="s">
        <v>1345</v>
      </c>
      <c r="F24" s="6" t="s">
        <v>1346</v>
      </c>
      <c r="G24" s="2"/>
      <c r="H24" s="6">
        <v>10032</v>
      </c>
      <c r="I24" s="6" t="s">
        <v>551</v>
      </c>
      <c r="J24" s="6" t="s">
        <v>1347</v>
      </c>
      <c r="K24" s="2"/>
      <c r="L24" s="2"/>
    </row>
    <row r="25" spans="1:12">
      <c r="A25" s="6">
        <v>24</v>
      </c>
      <c r="B25" s="6" t="s">
        <v>1348</v>
      </c>
      <c r="C25" s="6" t="s">
        <v>1349</v>
      </c>
      <c r="D25" s="6" t="s">
        <v>33</v>
      </c>
      <c r="E25" s="6" t="s">
        <v>1350</v>
      </c>
      <c r="F25" s="6" t="s">
        <v>1351</v>
      </c>
      <c r="G25" s="6" t="s">
        <v>1352</v>
      </c>
      <c r="H25" s="6">
        <v>10030</v>
      </c>
      <c r="I25" s="6" t="s">
        <v>1256</v>
      </c>
      <c r="J25" s="6" t="s">
        <v>1353</v>
      </c>
      <c r="K25" s="6" t="s">
        <v>1354</v>
      </c>
      <c r="L25" s="2"/>
    </row>
    <row r="26" spans="1:12">
      <c r="A26" s="6">
        <v>25</v>
      </c>
      <c r="B26" s="6" t="s">
        <v>1355</v>
      </c>
      <c r="C26" s="6" t="s">
        <v>1356</v>
      </c>
      <c r="D26" s="6" t="s">
        <v>74</v>
      </c>
      <c r="E26" s="6" t="s">
        <v>1357</v>
      </c>
      <c r="F26" s="6" t="s">
        <v>351</v>
      </c>
      <c r="G26" s="6" t="s">
        <v>352</v>
      </c>
      <c r="H26" s="6">
        <v>10017</v>
      </c>
      <c r="I26" s="6" t="s">
        <v>99</v>
      </c>
      <c r="J26" s="6" t="s">
        <v>1358</v>
      </c>
      <c r="K26" s="2"/>
      <c r="L26" s="2"/>
    </row>
    <row r="27" spans="1:12">
      <c r="A27" s="6">
        <v>26</v>
      </c>
      <c r="B27" s="6" t="s">
        <v>1359</v>
      </c>
      <c r="C27" s="6" t="s">
        <v>1360</v>
      </c>
      <c r="D27" s="6" t="s">
        <v>60</v>
      </c>
      <c r="E27" s="6" t="s">
        <v>1361</v>
      </c>
      <c r="F27" s="6" t="s">
        <v>1362</v>
      </c>
      <c r="G27" s="2"/>
      <c r="H27" s="6">
        <v>10020</v>
      </c>
      <c r="I27" s="6" t="s">
        <v>198</v>
      </c>
      <c r="J27" s="6" t="s">
        <v>1363</v>
      </c>
      <c r="K27" s="6" t="s">
        <v>1363</v>
      </c>
      <c r="L27" s="2"/>
    </row>
    <row r="28" spans="1:12">
      <c r="A28" s="6">
        <v>27</v>
      </c>
      <c r="B28" s="6" t="s">
        <v>1364</v>
      </c>
      <c r="C28" s="6" t="s">
        <v>1365</v>
      </c>
      <c r="D28" s="6" t="s">
        <v>155</v>
      </c>
      <c r="E28" s="6" t="s">
        <v>1366</v>
      </c>
      <c r="F28" s="6" t="s">
        <v>1367</v>
      </c>
      <c r="G28" s="2"/>
      <c r="H28" s="6">
        <v>10036</v>
      </c>
      <c r="I28" s="6" t="s">
        <v>77</v>
      </c>
      <c r="J28" s="6" t="s">
        <v>146</v>
      </c>
      <c r="K28" s="2"/>
      <c r="L28" s="2"/>
    </row>
    <row r="29" spans="1:12">
      <c r="A29" s="6">
        <v>28</v>
      </c>
      <c r="B29" s="6" t="s">
        <v>1368</v>
      </c>
      <c r="C29" s="6" t="s">
        <v>1369</v>
      </c>
      <c r="D29" s="6" t="s">
        <v>33</v>
      </c>
      <c r="E29" s="6" t="s">
        <v>1370</v>
      </c>
      <c r="F29" s="6" t="s">
        <v>1371</v>
      </c>
      <c r="G29" s="2"/>
      <c r="H29" s="6">
        <v>10010</v>
      </c>
      <c r="I29" s="6" t="s">
        <v>77</v>
      </c>
      <c r="J29" s="6" t="s">
        <v>1372</v>
      </c>
      <c r="K29" s="6" t="s">
        <v>146</v>
      </c>
      <c r="L29" s="2"/>
    </row>
    <row r="30" spans="1:12">
      <c r="A30" s="6">
        <v>29</v>
      </c>
      <c r="B30" s="6" t="s">
        <v>1373</v>
      </c>
      <c r="C30" s="6" t="s">
        <v>1374</v>
      </c>
      <c r="D30" s="6" t="s">
        <v>95</v>
      </c>
      <c r="E30" s="6" t="s">
        <v>1375</v>
      </c>
      <c r="F30" s="6" t="s">
        <v>1376</v>
      </c>
      <c r="G30" s="6" t="s">
        <v>352</v>
      </c>
      <c r="H30" s="6">
        <v>10009</v>
      </c>
      <c r="I30" s="6" t="s">
        <v>99</v>
      </c>
      <c r="J30" s="6" t="s">
        <v>1377</v>
      </c>
      <c r="K30" s="6" t="s">
        <v>1378</v>
      </c>
      <c r="L30" s="2"/>
    </row>
    <row r="31" spans="1:12">
      <c r="A31" s="4"/>
    </row>
  </sheetData>
  <autoFilter ref="C1:C31" xr:uid="{00000000-0001-0000-0A00-000000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54"/>
  <sheetViews>
    <sheetView topLeftCell="G1" workbookViewId="0"/>
  </sheetViews>
  <sheetFormatPr defaultColWidth="12.5546875" defaultRowHeight="15.75" customHeight="1"/>
  <sheetData>
    <row r="1" spans="1:3">
      <c r="A1" s="6" t="s">
        <v>636</v>
      </c>
      <c r="B1" s="6" t="s">
        <v>1379</v>
      </c>
      <c r="C1" s="6" t="s">
        <v>1380</v>
      </c>
    </row>
    <row r="2" spans="1:3">
      <c r="A2" s="6">
        <v>1581</v>
      </c>
      <c r="B2" s="6" t="s">
        <v>1381</v>
      </c>
      <c r="C2" s="6">
        <v>1</v>
      </c>
    </row>
    <row r="3" spans="1:3">
      <c r="A3" s="6">
        <v>1730</v>
      </c>
      <c r="B3" s="6" t="s">
        <v>1382</v>
      </c>
      <c r="C3" s="6">
        <v>1</v>
      </c>
    </row>
    <row r="4" spans="1:3">
      <c r="A4" s="6">
        <v>1833</v>
      </c>
      <c r="B4" s="6" t="s">
        <v>1383</v>
      </c>
      <c r="C4" s="6">
        <v>1</v>
      </c>
    </row>
    <row r="5" spans="1:3">
      <c r="A5" s="6">
        <v>2116</v>
      </c>
      <c r="B5" s="6" t="s">
        <v>1322</v>
      </c>
      <c r="C5" s="6">
        <v>1</v>
      </c>
    </row>
    <row r="6" spans="1:3">
      <c r="A6" s="6">
        <v>2139</v>
      </c>
      <c r="B6" s="6" t="s">
        <v>1384</v>
      </c>
      <c r="C6" s="6">
        <v>1</v>
      </c>
    </row>
    <row r="7" spans="1:3">
      <c r="A7" s="6">
        <v>2184</v>
      </c>
      <c r="B7" s="6" t="s">
        <v>1385</v>
      </c>
      <c r="C7" s="6">
        <v>1</v>
      </c>
    </row>
    <row r="8" spans="1:3">
      <c r="A8" s="6">
        <v>2903</v>
      </c>
      <c r="B8" s="6" t="s">
        <v>1386</v>
      </c>
      <c r="C8" s="6">
        <v>1</v>
      </c>
    </row>
    <row r="9" spans="1:3">
      <c r="A9" s="6">
        <v>3049</v>
      </c>
      <c r="B9" s="6" t="s">
        <v>1387</v>
      </c>
      <c r="C9" s="6">
        <v>3</v>
      </c>
    </row>
    <row r="10" spans="1:3">
      <c r="A10" s="6">
        <v>3801</v>
      </c>
      <c r="B10" s="6" t="s">
        <v>1388</v>
      </c>
      <c r="C10" s="6">
        <v>3</v>
      </c>
    </row>
    <row r="11" spans="1:3">
      <c r="A11" s="6">
        <v>6897</v>
      </c>
      <c r="B11" s="6" t="s">
        <v>1389</v>
      </c>
      <c r="C11" s="6">
        <v>1</v>
      </c>
    </row>
    <row r="12" spans="1:3">
      <c r="A12" s="6">
        <v>7960</v>
      </c>
      <c r="B12" s="6" t="s">
        <v>1390</v>
      </c>
      <c r="C12" s="6">
        <v>1</v>
      </c>
    </row>
    <row r="13" spans="1:3">
      <c r="A13" s="6">
        <v>8837</v>
      </c>
      <c r="B13" s="6" t="s">
        <v>1391</v>
      </c>
      <c r="C13" s="6">
        <v>1</v>
      </c>
    </row>
    <row r="14" spans="1:3">
      <c r="A14" s="6">
        <v>10019</v>
      </c>
      <c r="B14" s="6" t="s">
        <v>1392</v>
      </c>
      <c r="C14" s="6">
        <v>1</v>
      </c>
    </row>
    <row r="15" spans="1:3">
      <c r="A15" s="6">
        <v>10038</v>
      </c>
      <c r="B15" s="6" t="s">
        <v>1392</v>
      </c>
      <c r="C15" s="6">
        <v>1</v>
      </c>
    </row>
    <row r="16" spans="1:3">
      <c r="A16" s="6">
        <v>11747</v>
      </c>
      <c r="B16" s="6" t="s">
        <v>1393</v>
      </c>
      <c r="C16" s="6">
        <v>1</v>
      </c>
    </row>
    <row r="17" spans="1:3">
      <c r="A17" s="6">
        <v>14450</v>
      </c>
      <c r="B17" s="6" t="s">
        <v>1394</v>
      </c>
      <c r="C17" s="6">
        <v>1</v>
      </c>
    </row>
    <row r="18" spans="1:3">
      <c r="A18" s="6">
        <v>19428</v>
      </c>
      <c r="B18" s="6" t="s">
        <v>1395</v>
      </c>
      <c r="C18" s="6">
        <v>3</v>
      </c>
    </row>
    <row r="19" spans="1:3">
      <c r="A19" s="6">
        <v>19713</v>
      </c>
      <c r="B19" s="6" t="s">
        <v>1396</v>
      </c>
      <c r="C19" s="6">
        <v>1</v>
      </c>
    </row>
    <row r="20" spans="1:3">
      <c r="A20" s="6">
        <v>20852</v>
      </c>
      <c r="B20" s="6" t="s">
        <v>1397</v>
      </c>
      <c r="C20" s="6">
        <v>1</v>
      </c>
    </row>
    <row r="21" spans="1:3">
      <c r="A21" s="6">
        <v>27403</v>
      </c>
      <c r="B21" s="6" t="s">
        <v>1398</v>
      </c>
      <c r="C21" s="6">
        <v>1</v>
      </c>
    </row>
    <row r="22" spans="1:3">
      <c r="A22" s="6">
        <v>27511</v>
      </c>
      <c r="B22" s="6" t="s">
        <v>1399</v>
      </c>
      <c r="C22" s="6">
        <v>1</v>
      </c>
    </row>
    <row r="23" spans="1:3">
      <c r="A23" s="6">
        <v>29202</v>
      </c>
      <c r="B23" s="6" t="s">
        <v>1400</v>
      </c>
      <c r="C23" s="6">
        <v>4</v>
      </c>
    </row>
    <row r="24" spans="1:3">
      <c r="A24" s="6">
        <v>30346</v>
      </c>
      <c r="B24" s="6" t="s">
        <v>1401</v>
      </c>
      <c r="C24" s="6">
        <v>4</v>
      </c>
    </row>
    <row r="25" spans="1:3">
      <c r="A25" s="6">
        <v>31406</v>
      </c>
      <c r="B25" s="6" t="s">
        <v>1402</v>
      </c>
      <c r="C25" s="6">
        <v>4</v>
      </c>
    </row>
    <row r="26" spans="1:3">
      <c r="A26" s="6">
        <v>32859</v>
      </c>
      <c r="B26" s="6" t="s">
        <v>1403</v>
      </c>
      <c r="C26" s="6">
        <v>4</v>
      </c>
    </row>
    <row r="27" spans="1:3">
      <c r="A27" s="6">
        <v>33607</v>
      </c>
      <c r="B27" s="6" t="s">
        <v>1404</v>
      </c>
      <c r="C27" s="6">
        <v>4</v>
      </c>
    </row>
    <row r="28" spans="1:3">
      <c r="A28" s="6">
        <v>40222</v>
      </c>
      <c r="B28" s="6" t="s">
        <v>1405</v>
      </c>
      <c r="C28" s="6">
        <v>1</v>
      </c>
    </row>
    <row r="29" spans="1:3">
      <c r="A29" s="6">
        <v>44122</v>
      </c>
      <c r="B29" s="6" t="s">
        <v>1406</v>
      </c>
      <c r="C29" s="6">
        <v>3</v>
      </c>
    </row>
    <row r="30" spans="1:3">
      <c r="A30" s="6">
        <v>45839</v>
      </c>
      <c r="B30" s="6" t="s">
        <v>1407</v>
      </c>
      <c r="C30" s="6">
        <v>3</v>
      </c>
    </row>
    <row r="31" spans="1:3">
      <c r="A31" s="6">
        <v>48075</v>
      </c>
      <c r="B31" s="6" t="s">
        <v>1408</v>
      </c>
      <c r="C31" s="6">
        <v>3</v>
      </c>
    </row>
    <row r="32" spans="1:3">
      <c r="A32" s="6">
        <v>48084</v>
      </c>
      <c r="B32" s="6" t="s">
        <v>1409</v>
      </c>
      <c r="C32" s="6">
        <v>3</v>
      </c>
    </row>
    <row r="33" spans="1:3">
      <c r="A33" s="6">
        <v>48304</v>
      </c>
      <c r="B33" s="6" t="s">
        <v>1410</v>
      </c>
      <c r="C33" s="6">
        <v>3</v>
      </c>
    </row>
    <row r="34" spans="1:3">
      <c r="A34" s="6">
        <v>53404</v>
      </c>
      <c r="B34" s="6" t="s">
        <v>1411</v>
      </c>
      <c r="C34" s="6">
        <v>3</v>
      </c>
    </row>
    <row r="35" spans="1:3">
      <c r="A35" s="6">
        <v>55113</v>
      </c>
      <c r="B35" s="6" t="s">
        <v>1412</v>
      </c>
      <c r="C35" s="6">
        <v>3</v>
      </c>
    </row>
    <row r="36" spans="1:3">
      <c r="A36" s="6">
        <v>55439</v>
      </c>
      <c r="B36" s="6" t="s">
        <v>1413</v>
      </c>
      <c r="C36" s="6">
        <v>3</v>
      </c>
    </row>
    <row r="37" spans="1:3">
      <c r="A37" s="6">
        <v>60179</v>
      </c>
      <c r="B37" s="6" t="s">
        <v>1414</v>
      </c>
      <c r="C37" s="6">
        <v>2</v>
      </c>
    </row>
    <row r="38" spans="1:3">
      <c r="A38" s="6">
        <v>60601</v>
      </c>
      <c r="B38" s="6" t="s">
        <v>1415</v>
      </c>
      <c r="C38" s="6">
        <v>2</v>
      </c>
    </row>
    <row r="39" spans="1:3">
      <c r="A39" s="6">
        <v>72716</v>
      </c>
      <c r="B39" s="6" t="s">
        <v>1416</v>
      </c>
      <c r="C39" s="6">
        <v>4</v>
      </c>
    </row>
    <row r="40" spans="1:3">
      <c r="A40" s="6">
        <v>75234</v>
      </c>
      <c r="B40" s="6" t="s">
        <v>1417</v>
      </c>
      <c r="C40" s="6">
        <v>4</v>
      </c>
    </row>
    <row r="41" spans="1:3">
      <c r="A41" s="6">
        <v>78759</v>
      </c>
      <c r="B41" s="6" t="s">
        <v>1418</v>
      </c>
      <c r="C41" s="6">
        <v>4</v>
      </c>
    </row>
    <row r="42" spans="1:3">
      <c r="A42" s="6">
        <v>80202</v>
      </c>
      <c r="B42" s="6" t="s">
        <v>1419</v>
      </c>
      <c r="C42" s="6">
        <v>2</v>
      </c>
    </row>
    <row r="43" spans="1:3">
      <c r="A43" s="6">
        <v>80909</v>
      </c>
      <c r="B43" s="6" t="s">
        <v>1420</v>
      </c>
      <c r="C43" s="6">
        <v>2</v>
      </c>
    </row>
    <row r="44" spans="1:3">
      <c r="A44" s="6">
        <v>85014</v>
      </c>
      <c r="B44" s="6" t="s">
        <v>1421</v>
      </c>
      <c r="C44" s="6">
        <v>2</v>
      </c>
    </row>
    <row r="45" spans="1:3">
      <c r="A45" s="6">
        <v>85251</v>
      </c>
      <c r="B45" s="6" t="s">
        <v>1422</v>
      </c>
      <c r="C45" s="6">
        <v>2</v>
      </c>
    </row>
    <row r="46" spans="1:3">
      <c r="A46" s="6">
        <v>90405</v>
      </c>
      <c r="B46" s="6" t="s">
        <v>1423</v>
      </c>
      <c r="C46" s="6">
        <v>2</v>
      </c>
    </row>
    <row r="47" spans="1:3">
      <c r="A47" s="6">
        <v>94025</v>
      </c>
      <c r="B47" s="6" t="s">
        <v>1424</v>
      </c>
      <c r="C47" s="6">
        <v>2</v>
      </c>
    </row>
    <row r="48" spans="1:3">
      <c r="A48" s="6">
        <v>94105</v>
      </c>
      <c r="B48" s="6" t="s">
        <v>312</v>
      </c>
      <c r="C48" s="6">
        <v>2</v>
      </c>
    </row>
    <row r="49" spans="1:3">
      <c r="A49" s="6">
        <v>95008</v>
      </c>
      <c r="B49" s="6" t="s">
        <v>1425</v>
      </c>
      <c r="C49" s="6">
        <v>2</v>
      </c>
    </row>
    <row r="50" spans="1:3">
      <c r="A50" s="6">
        <v>95054</v>
      </c>
      <c r="B50" s="6" t="s">
        <v>1426</v>
      </c>
      <c r="C50" s="6">
        <v>2</v>
      </c>
    </row>
    <row r="51" spans="1:3">
      <c r="A51" s="6">
        <v>95060</v>
      </c>
      <c r="B51" s="6" t="s">
        <v>1427</v>
      </c>
      <c r="C51" s="6">
        <v>2</v>
      </c>
    </row>
    <row r="52" spans="1:3">
      <c r="A52" s="6">
        <v>98004</v>
      </c>
      <c r="B52" s="6" t="s">
        <v>1428</v>
      </c>
      <c r="C52" s="6">
        <v>2</v>
      </c>
    </row>
    <row r="53" spans="1:3">
      <c r="A53" s="6">
        <v>98052</v>
      </c>
      <c r="B53" s="6" t="s">
        <v>612</v>
      </c>
      <c r="C53" s="6">
        <v>2</v>
      </c>
    </row>
    <row r="54" spans="1:3">
      <c r="A54" s="6">
        <v>98104</v>
      </c>
      <c r="B54" s="6" t="s">
        <v>562</v>
      </c>
      <c r="C54" s="6">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Order Detail</vt:lpstr>
      <vt:lpstr>Pivot_Table</vt:lpstr>
      <vt:lpstr>Assessment Brief</vt:lpstr>
      <vt:lpstr>Sales Order</vt:lpstr>
      <vt:lpstr>Category</vt:lpstr>
      <vt:lpstr>Customer</vt:lpstr>
      <vt:lpstr>Employee</vt:lpstr>
      <vt:lpstr>Employee Territory</vt:lpstr>
      <vt:lpstr>Product</vt:lpstr>
      <vt:lpstr>Region</vt:lpstr>
      <vt:lpstr>Shipper</vt:lpstr>
      <vt:lpstr>Supplier</vt:lpstr>
      <vt:lpstr>Territory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Oladipo Oluwatoni</cp:lastModifiedBy>
  <dcterms:created xsi:type="dcterms:W3CDTF">2026-07-30T23:19:31Z</dcterms:created>
  <dcterms:modified xsi:type="dcterms:W3CDTF">2026-07-31T23:30:29Z</dcterms:modified>
</cp:coreProperties>
</file>